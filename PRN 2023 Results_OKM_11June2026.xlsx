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OKM\Malaysian Elections\PRN State Elections 2023 (Six States)\Results\"/>
    </mc:Choice>
  </mc:AlternateContent>
  <xr:revisionPtr revIDLastSave="0" documentId="8_{D2A8A344-B834-477F-A837-3AC3DBE56030}" xr6:coauthVersionLast="47" xr6:coauthVersionMax="47" xr10:uidLastSave="{00000000-0000-0000-0000-000000000000}"/>
  <bookViews>
    <workbookView xWindow="-110" yWindow="-110" windowWidth="25820" windowHeight="15500" firstSheet="5" activeTab="13" xr2:uid="{00000000-000D-0000-FFFF-FFFF00000000}"/>
  </bookViews>
  <sheets>
    <sheet name="Worksheet" sheetId="2" r:id="rId1"/>
    <sheet name="Turnout" sheetId="11" r:id="rId2"/>
    <sheet name="TurnoutWorksheet" sheetId="16" r:id="rId3"/>
    <sheet name="TurnoutbyRace" sheetId="15" r:id="rId4"/>
    <sheet name="Voting" sheetId="12" r:id="rId5"/>
    <sheet name="VotingWorksheet" sheetId="17" r:id="rId6"/>
    <sheet name="VotingbyRace" sheetId="14" r:id="rId7"/>
    <sheet name="Seats" sheetId="13" r:id="rId8"/>
    <sheet name="Kelantan" sheetId="5" r:id="rId9"/>
    <sheet name="Kedah" sheetId="4" r:id="rId10"/>
    <sheet name="Terengganu" sheetId="6" r:id="rId11"/>
    <sheet name="Penang" sheetId="8" r:id="rId12"/>
    <sheet name="Selangor" sheetId="1" r:id="rId13"/>
    <sheet name="NS" sheetId="7" r:id="rId14"/>
  </sheets>
  <definedNames>
    <definedName name="_xlnm._FilterDatabase" localSheetId="9" hidden="1">Kedah!$A$2:$AZ$39</definedName>
    <definedName name="_xlnm._FilterDatabase" localSheetId="13" hidden="1">NS!$A$2:$AZ$39</definedName>
    <definedName name="_xlnm._FilterDatabase" localSheetId="11" hidden="1">Penang!$A$2:$AZ$43</definedName>
    <definedName name="_xlnm._FilterDatabase" localSheetId="12" hidden="1">Selangor!$B$2:$BB$59</definedName>
    <definedName name="_xlnm._FilterDatabase" localSheetId="0" hidden="1">Worksheet!$A$1:$K$571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0" i="5" l="1"/>
  <c r="BA18" i="8"/>
  <c r="AC61" i="1" l="1"/>
  <c r="BA12" i="7" l="1"/>
  <c r="BA14" i="7"/>
  <c r="BB18" i="8"/>
  <c r="E14" i="14" l="1"/>
  <c r="E13" i="14"/>
  <c r="E12" i="14"/>
  <c r="E11" i="14"/>
  <c r="I7" i="14"/>
  <c r="I6" i="14"/>
  <c r="I5" i="14"/>
  <c r="I4" i="14"/>
  <c r="P181" i="17" l="1"/>
  <c r="P165" i="17"/>
  <c r="Q103" i="17"/>
  <c r="Q55" i="17"/>
  <c r="Q22" i="17"/>
  <c r="Q7" i="17"/>
  <c r="K7" i="15"/>
  <c r="J7" i="15"/>
  <c r="I7" i="15"/>
  <c r="K6" i="15"/>
  <c r="J6" i="15"/>
  <c r="I6" i="15"/>
  <c r="K5" i="15"/>
  <c r="J5" i="15"/>
  <c r="I5" i="15"/>
  <c r="K4" i="15"/>
  <c r="J4" i="15"/>
  <c r="I4" i="15"/>
  <c r="R195" i="16"/>
  <c r="R177" i="16"/>
  <c r="R161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R136" i="16"/>
  <c r="R120" i="16"/>
  <c r="R104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R88" i="16"/>
  <c r="R72" i="16"/>
  <c r="R55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R40" i="16"/>
  <c r="R25" i="16"/>
  <c r="R8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H4" i="16"/>
  <c r="H3" i="16"/>
  <c r="J32" i="13" l="1"/>
  <c r="I32" i="13"/>
  <c r="H32" i="13"/>
  <c r="G32" i="13"/>
  <c r="F32" i="13"/>
  <c r="E32" i="13"/>
  <c r="D32" i="13"/>
  <c r="C32" i="13"/>
  <c r="J31" i="13"/>
  <c r="I31" i="13"/>
  <c r="H31" i="13"/>
  <c r="G31" i="13"/>
  <c r="F31" i="13"/>
  <c r="E31" i="13"/>
  <c r="D31" i="13"/>
  <c r="C31" i="13"/>
  <c r="J30" i="13"/>
  <c r="I30" i="13"/>
  <c r="H30" i="13"/>
  <c r="G30" i="13"/>
  <c r="F30" i="13"/>
  <c r="E30" i="13"/>
  <c r="D30" i="13"/>
  <c r="C30" i="13"/>
  <c r="J29" i="13"/>
  <c r="I29" i="13"/>
  <c r="H29" i="13"/>
  <c r="G29" i="13"/>
  <c r="F29" i="13"/>
  <c r="E29" i="13"/>
  <c r="D29" i="13"/>
  <c r="C29" i="13"/>
  <c r="J28" i="13"/>
  <c r="I28" i="13"/>
  <c r="H28" i="13"/>
  <c r="G28" i="13"/>
  <c r="F28" i="13"/>
  <c r="E28" i="13"/>
  <c r="D28" i="13"/>
  <c r="C28" i="13"/>
  <c r="J27" i="13"/>
  <c r="I27" i="13"/>
  <c r="H27" i="13"/>
  <c r="G27" i="13"/>
  <c r="F27" i="13"/>
  <c r="E27" i="13"/>
  <c r="D27" i="13"/>
  <c r="C27" i="13"/>
  <c r="J26" i="13"/>
  <c r="I26" i="13"/>
  <c r="H26" i="13"/>
  <c r="G26" i="13"/>
  <c r="F26" i="13"/>
  <c r="E26" i="13"/>
  <c r="D26" i="13"/>
  <c r="C26" i="13"/>
  <c r="I21" i="13"/>
  <c r="H21" i="13"/>
  <c r="G21" i="13"/>
  <c r="E21" i="13"/>
  <c r="D21" i="13"/>
  <c r="C21" i="13"/>
  <c r="J20" i="13"/>
  <c r="F20" i="13"/>
  <c r="J19" i="13"/>
  <c r="F19" i="13"/>
  <c r="J18" i="13"/>
  <c r="F18" i="13"/>
  <c r="J17" i="13"/>
  <c r="F17" i="13"/>
  <c r="J16" i="13"/>
  <c r="F16" i="13"/>
  <c r="J15" i="13"/>
  <c r="F15" i="13"/>
  <c r="J10" i="13"/>
  <c r="I10" i="13"/>
  <c r="H10" i="13"/>
  <c r="G10" i="13"/>
  <c r="E10" i="13"/>
  <c r="D10" i="13"/>
  <c r="C10" i="13"/>
  <c r="AV48" i="7"/>
  <c r="AV47" i="7"/>
  <c r="AV45" i="7"/>
  <c r="AV43" i="7"/>
  <c r="AV42" i="7"/>
  <c r="AV41" i="7"/>
  <c r="AX68" i="1"/>
  <c r="AX67" i="1"/>
  <c r="AX65" i="1"/>
  <c r="AX63" i="1"/>
  <c r="AX62" i="1"/>
  <c r="AX61" i="1"/>
  <c r="AV52" i="8"/>
  <c r="AV51" i="8"/>
  <c r="AV49" i="8"/>
  <c r="AV47" i="8"/>
  <c r="AV46" i="8"/>
  <c r="AV45" i="8"/>
  <c r="AP44" i="6"/>
  <c r="AP43" i="6"/>
  <c r="AP41" i="6"/>
  <c r="AP39" i="6"/>
  <c r="AP38" i="6"/>
  <c r="AP37" i="6"/>
  <c r="J9" i="13"/>
  <c r="J8" i="13"/>
  <c r="J7" i="13"/>
  <c r="J6" i="13"/>
  <c r="J5" i="13"/>
  <c r="AV57" i="5"/>
  <c r="AV56" i="5"/>
  <c r="AV54" i="5"/>
  <c r="AV52" i="5"/>
  <c r="AV51" i="5"/>
  <c r="AV50" i="5"/>
  <c r="J4" i="13"/>
  <c r="F9" i="13"/>
  <c r="F8" i="13"/>
  <c r="F7" i="13"/>
  <c r="F6" i="13"/>
  <c r="F5" i="13"/>
  <c r="F4" i="13"/>
  <c r="N8" i="12"/>
  <c r="M8" i="12"/>
  <c r="L8" i="12"/>
  <c r="K8" i="12"/>
  <c r="N7" i="12"/>
  <c r="M7" i="12"/>
  <c r="L7" i="12"/>
  <c r="K7" i="12"/>
  <c r="N6" i="12"/>
  <c r="M6" i="12"/>
  <c r="L6" i="12"/>
  <c r="K6" i="12"/>
  <c r="N5" i="12"/>
  <c r="M5" i="12"/>
  <c r="L5" i="12"/>
  <c r="K5" i="12"/>
  <c r="N4" i="12"/>
  <c r="M4" i="12"/>
  <c r="L4" i="12"/>
  <c r="K4" i="12"/>
  <c r="N3" i="12"/>
  <c r="M3" i="12"/>
  <c r="L3" i="12"/>
  <c r="K3" i="12"/>
  <c r="I8" i="12"/>
  <c r="I7" i="12"/>
  <c r="I6" i="12"/>
  <c r="I5" i="12"/>
  <c r="I4" i="12"/>
  <c r="I3" i="12"/>
  <c r="E8" i="12"/>
  <c r="E7" i="12"/>
  <c r="E6" i="12"/>
  <c r="E5" i="12"/>
  <c r="E4" i="12"/>
  <c r="E3" i="12"/>
  <c r="AG39" i="7"/>
  <c r="AA39" i="7"/>
  <c r="U39" i="7"/>
  <c r="O39" i="7"/>
  <c r="I39" i="7"/>
  <c r="AZ38" i="7"/>
  <c r="AY38" i="7"/>
  <c r="AX38" i="7"/>
  <c r="AZ37" i="7"/>
  <c r="AY37" i="7"/>
  <c r="AX37" i="7"/>
  <c r="AZ36" i="7"/>
  <c r="AY36" i="7"/>
  <c r="AX36" i="7"/>
  <c r="AZ35" i="7"/>
  <c r="AY35" i="7"/>
  <c r="AX35" i="7"/>
  <c r="AZ34" i="7"/>
  <c r="AY34" i="7"/>
  <c r="AX34" i="7"/>
  <c r="AZ33" i="7"/>
  <c r="AY33" i="7"/>
  <c r="AX33" i="7"/>
  <c r="AZ32" i="7"/>
  <c r="AY32" i="7"/>
  <c r="AX32" i="7"/>
  <c r="AZ31" i="7"/>
  <c r="AY31" i="7"/>
  <c r="AX31" i="7"/>
  <c r="AZ30" i="7"/>
  <c r="AY30" i="7"/>
  <c r="AX30" i="7"/>
  <c r="AZ29" i="7"/>
  <c r="AY29" i="7"/>
  <c r="AX29" i="7"/>
  <c r="AZ28" i="7"/>
  <c r="AY28" i="7"/>
  <c r="AX28" i="7"/>
  <c r="AZ27" i="7"/>
  <c r="AY27" i="7"/>
  <c r="AX27" i="7"/>
  <c r="AZ26" i="7"/>
  <c r="AY26" i="7"/>
  <c r="AX26" i="7"/>
  <c r="AZ25" i="7"/>
  <c r="AY25" i="7"/>
  <c r="AX25" i="7"/>
  <c r="AZ24" i="7"/>
  <c r="AY24" i="7"/>
  <c r="AX24" i="7"/>
  <c r="AZ23" i="7"/>
  <c r="AY23" i="7"/>
  <c r="AX23" i="7"/>
  <c r="AZ22" i="7"/>
  <c r="AY22" i="7"/>
  <c r="AX22" i="7"/>
  <c r="AZ21" i="7"/>
  <c r="AY21" i="7"/>
  <c r="AX21" i="7"/>
  <c r="AZ20" i="7"/>
  <c r="AY20" i="7"/>
  <c r="AX20" i="7"/>
  <c r="AZ19" i="7"/>
  <c r="AY19" i="7"/>
  <c r="AX19" i="7"/>
  <c r="AZ18" i="7"/>
  <c r="AY18" i="7"/>
  <c r="AX18" i="7"/>
  <c r="AZ17" i="7"/>
  <c r="AY17" i="7"/>
  <c r="AX17" i="7"/>
  <c r="AZ16" i="7"/>
  <c r="AY16" i="7"/>
  <c r="AX16" i="7"/>
  <c r="AZ15" i="7"/>
  <c r="AY15" i="7"/>
  <c r="AX15" i="7"/>
  <c r="AZ14" i="7"/>
  <c r="AY14" i="7"/>
  <c r="AX14" i="7"/>
  <c r="AZ13" i="7"/>
  <c r="AY13" i="7"/>
  <c r="AX13" i="7"/>
  <c r="AZ12" i="7"/>
  <c r="AY12" i="7"/>
  <c r="AX12" i="7"/>
  <c r="AZ11" i="7"/>
  <c r="AY11" i="7"/>
  <c r="AX11" i="7"/>
  <c r="AZ10" i="7"/>
  <c r="AY10" i="7"/>
  <c r="AX10" i="7"/>
  <c r="AZ9" i="7"/>
  <c r="AY9" i="7"/>
  <c r="AX9" i="7"/>
  <c r="AZ8" i="7"/>
  <c r="AY8" i="7"/>
  <c r="AX8" i="7"/>
  <c r="AZ7" i="7"/>
  <c r="AY7" i="7"/>
  <c r="AX7" i="7"/>
  <c r="AZ6" i="7"/>
  <c r="AY6" i="7"/>
  <c r="AX6" i="7"/>
  <c r="AZ5" i="7"/>
  <c r="AY5" i="7"/>
  <c r="AX5" i="7"/>
  <c r="AZ4" i="7"/>
  <c r="AY4" i="7"/>
  <c r="AX4" i="7"/>
  <c r="AZ3" i="7"/>
  <c r="AY3" i="7"/>
  <c r="AX3" i="7"/>
  <c r="AI59" i="1"/>
  <c r="AC59" i="1"/>
  <c r="W59" i="1"/>
  <c r="Q59" i="1"/>
  <c r="K59" i="1"/>
  <c r="BB58" i="1"/>
  <c r="BA58" i="1"/>
  <c r="AZ58" i="1"/>
  <c r="BB57" i="1"/>
  <c r="BA57" i="1"/>
  <c r="AZ57" i="1"/>
  <c r="BB56" i="1"/>
  <c r="BA56" i="1"/>
  <c r="AZ56" i="1"/>
  <c r="BB55" i="1"/>
  <c r="BA55" i="1"/>
  <c r="AZ55" i="1"/>
  <c r="BB54" i="1"/>
  <c r="BA54" i="1"/>
  <c r="AZ54" i="1"/>
  <c r="BB53" i="1"/>
  <c r="BA53" i="1"/>
  <c r="AZ53" i="1"/>
  <c r="BB52" i="1"/>
  <c r="BA52" i="1"/>
  <c r="AZ52" i="1"/>
  <c r="BB51" i="1"/>
  <c r="BA51" i="1"/>
  <c r="AZ51" i="1"/>
  <c r="BB50" i="1"/>
  <c r="BA50" i="1"/>
  <c r="AZ50" i="1"/>
  <c r="BB49" i="1"/>
  <c r="BA49" i="1"/>
  <c r="AZ49" i="1"/>
  <c r="BB48" i="1"/>
  <c r="BA48" i="1"/>
  <c r="AZ48" i="1"/>
  <c r="BB47" i="1"/>
  <c r="BA47" i="1"/>
  <c r="AZ47" i="1"/>
  <c r="BB46" i="1"/>
  <c r="BA46" i="1"/>
  <c r="AZ46" i="1"/>
  <c r="BB45" i="1"/>
  <c r="BA45" i="1"/>
  <c r="AZ45" i="1"/>
  <c r="BB44" i="1"/>
  <c r="BA44" i="1"/>
  <c r="AZ44" i="1"/>
  <c r="BB43" i="1"/>
  <c r="BA43" i="1"/>
  <c r="AZ43" i="1"/>
  <c r="BB42" i="1"/>
  <c r="BA42" i="1"/>
  <c r="AZ42" i="1"/>
  <c r="BB41" i="1"/>
  <c r="BA41" i="1"/>
  <c r="AZ41" i="1"/>
  <c r="BB40" i="1"/>
  <c r="BA40" i="1"/>
  <c r="AZ40" i="1"/>
  <c r="BB39" i="1"/>
  <c r="BA39" i="1"/>
  <c r="AZ39" i="1"/>
  <c r="BB38" i="1"/>
  <c r="BA38" i="1"/>
  <c r="AZ38" i="1"/>
  <c r="BB37" i="1"/>
  <c r="BA37" i="1"/>
  <c r="AZ37" i="1"/>
  <c r="BB36" i="1"/>
  <c r="BA36" i="1"/>
  <c r="AZ36" i="1"/>
  <c r="BB35" i="1"/>
  <c r="BA35" i="1"/>
  <c r="AZ35" i="1"/>
  <c r="BB34" i="1"/>
  <c r="BA34" i="1"/>
  <c r="AZ34" i="1"/>
  <c r="BB33" i="1"/>
  <c r="BA33" i="1"/>
  <c r="AZ33" i="1"/>
  <c r="BB32" i="1"/>
  <c r="BA32" i="1"/>
  <c r="AZ32" i="1"/>
  <c r="BB31" i="1"/>
  <c r="BA31" i="1"/>
  <c r="AZ31" i="1"/>
  <c r="BB30" i="1"/>
  <c r="BA30" i="1"/>
  <c r="AZ30" i="1"/>
  <c r="BB29" i="1"/>
  <c r="BA29" i="1"/>
  <c r="AZ29" i="1"/>
  <c r="BB28" i="1"/>
  <c r="BA28" i="1"/>
  <c r="AZ28" i="1"/>
  <c r="BB27" i="1"/>
  <c r="BA27" i="1"/>
  <c r="AZ27" i="1"/>
  <c r="BB26" i="1"/>
  <c r="BA26" i="1"/>
  <c r="AZ26" i="1"/>
  <c r="BB25" i="1"/>
  <c r="BA25" i="1"/>
  <c r="AZ25" i="1"/>
  <c r="BB24" i="1"/>
  <c r="BA24" i="1"/>
  <c r="AZ24" i="1"/>
  <c r="BB23" i="1"/>
  <c r="BA23" i="1"/>
  <c r="AZ23" i="1"/>
  <c r="BB22" i="1"/>
  <c r="BA22" i="1"/>
  <c r="AZ22" i="1"/>
  <c r="BB21" i="1"/>
  <c r="BA21" i="1"/>
  <c r="AZ21" i="1"/>
  <c r="BB20" i="1"/>
  <c r="BA20" i="1"/>
  <c r="AZ20" i="1"/>
  <c r="BB19" i="1"/>
  <c r="BA19" i="1"/>
  <c r="AZ19" i="1"/>
  <c r="BB18" i="1"/>
  <c r="BA18" i="1"/>
  <c r="AZ18" i="1"/>
  <c r="BB17" i="1"/>
  <c r="BA17" i="1"/>
  <c r="AZ17" i="1"/>
  <c r="BB16" i="1"/>
  <c r="BA16" i="1"/>
  <c r="AZ16" i="1"/>
  <c r="BB15" i="1"/>
  <c r="BA15" i="1"/>
  <c r="AZ15" i="1"/>
  <c r="BB14" i="1"/>
  <c r="BA14" i="1"/>
  <c r="AZ14" i="1"/>
  <c r="BB13" i="1"/>
  <c r="BA13" i="1"/>
  <c r="AZ13" i="1"/>
  <c r="BB12" i="1"/>
  <c r="BA12" i="1"/>
  <c r="AZ12" i="1"/>
  <c r="BB11" i="1"/>
  <c r="BA11" i="1"/>
  <c r="AZ11" i="1"/>
  <c r="BB10" i="1"/>
  <c r="BA10" i="1"/>
  <c r="AZ10" i="1"/>
  <c r="BB9" i="1"/>
  <c r="BA9" i="1"/>
  <c r="AZ9" i="1"/>
  <c r="BB8" i="1"/>
  <c r="BA8" i="1"/>
  <c r="AZ8" i="1"/>
  <c r="BB7" i="1"/>
  <c r="BA7" i="1"/>
  <c r="AZ7" i="1"/>
  <c r="BB6" i="1"/>
  <c r="BA6" i="1"/>
  <c r="AZ6" i="1"/>
  <c r="BB5" i="1"/>
  <c r="BA5" i="1"/>
  <c r="AZ5" i="1"/>
  <c r="BB4" i="1"/>
  <c r="BA4" i="1"/>
  <c r="AZ4" i="1"/>
  <c r="BB3" i="1"/>
  <c r="BA3" i="1"/>
  <c r="AZ3" i="1"/>
  <c r="AG43" i="8"/>
  <c r="AA43" i="8"/>
  <c r="U43" i="8"/>
  <c r="O43" i="8"/>
  <c r="I43" i="8"/>
  <c r="AZ42" i="8"/>
  <c r="AY42" i="8"/>
  <c r="AX42" i="8"/>
  <c r="AZ41" i="8"/>
  <c r="AY41" i="8"/>
  <c r="AX41" i="8"/>
  <c r="AZ40" i="8"/>
  <c r="AY40" i="8"/>
  <c r="AX40" i="8"/>
  <c r="AZ39" i="8"/>
  <c r="AY39" i="8"/>
  <c r="AX39" i="8"/>
  <c r="AZ38" i="8"/>
  <c r="AY38" i="8"/>
  <c r="AX38" i="8"/>
  <c r="AZ37" i="8"/>
  <c r="AY37" i="8"/>
  <c r="AX37" i="8"/>
  <c r="AZ36" i="8"/>
  <c r="AY36" i="8"/>
  <c r="AX36" i="8"/>
  <c r="AZ35" i="8"/>
  <c r="AY35" i="8"/>
  <c r="AX35" i="8"/>
  <c r="AZ34" i="8"/>
  <c r="AY34" i="8"/>
  <c r="AX34" i="8"/>
  <c r="AZ33" i="8"/>
  <c r="AY33" i="8"/>
  <c r="AX33" i="8"/>
  <c r="AZ32" i="8"/>
  <c r="AY32" i="8"/>
  <c r="AX32" i="8"/>
  <c r="AZ31" i="8"/>
  <c r="AY31" i="8"/>
  <c r="AX31" i="8"/>
  <c r="AZ30" i="8"/>
  <c r="AY30" i="8"/>
  <c r="AX30" i="8"/>
  <c r="AZ29" i="8"/>
  <c r="AY29" i="8"/>
  <c r="AX29" i="8"/>
  <c r="AZ28" i="8"/>
  <c r="AY28" i="8"/>
  <c r="AX28" i="8"/>
  <c r="AZ27" i="8"/>
  <c r="AY27" i="8"/>
  <c r="AX27" i="8"/>
  <c r="AZ26" i="8"/>
  <c r="AY26" i="8"/>
  <c r="AX26" i="8"/>
  <c r="AZ25" i="8"/>
  <c r="AY25" i="8"/>
  <c r="AX25" i="8"/>
  <c r="AZ24" i="8"/>
  <c r="AY24" i="8"/>
  <c r="AX24" i="8"/>
  <c r="AZ23" i="8"/>
  <c r="AY23" i="8"/>
  <c r="AX23" i="8"/>
  <c r="AZ22" i="8"/>
  <c r="AY22" i="8"/>
  <c r="AX22" i="8"/>
  <c r="AZ21" i="8"/>
  <c r="AY21" i="8"/>
  <c r="AX21" i="8"/>
  <c r="AZ20" i="8"/>
  <c r="AY20" i="8"/>
  <c r="AX20" i="8"/>
  <c r="AZ19" i="8"/>
  <c r="AY19" i="8"/>
  <c r="AX19" i="8"/>
  <c r="AZ18" i="8"/>
  <c r="AY18" i="8"/>
  <c r="AX18" i="8"/>
  <c r="AZ17" i="8"/>
  <c r="AY17" i="8"/>
  <c r="AX17" i="8"/>
  <c r="AZ16" i="8"/>
  <c r="AY16" i="8"/>
  <c r="AX16" i="8"/>
  <c r="AZ15" i="8"/>
  <c r="AY15" i="8"/>
  <c r="AX15" i="8"/>
  <c r="AZ14" i="8"/>
  <c r="AY14" i="8"/>
  <c r="AX14" i="8"/>
  <c r="AZ13" i="8"/>
  <c r="AY13" i="8"/>
  <c r="AX13" i="8"/>
  <c r="AZ12" i="8"/>
  <c r="AY12" i="8"/>
  <c r="AX12" i="8"/>
  <c r="AZ11" i="8"/>
  <c r="AY11" i="8"/>
  <c r="AX11" i="8"/>
  <c r="AZ10" i="8"/>
  <c r="AY10" i="8"/>
  <c r="AX10" i="8"/>
  <c r="AZ9" i="8"/>
  <c r="AY9" i="8"/>
  <c r="AX9" i="8"/>
  <c r="AZ8" i="8"/>
  <c r="AY8" i="8"/>
  <c r="AX8" i="8"/>
  <c r="AZ7" i="8"/>
  <c r="AY7" i="8"/>
  <c r="AX7" i="8"/>
  <c r="AZ6" i="8"/>
  <c r="AY6" i="8"/>
  <c r="AX6" i="8"/>
  <c r="AZ5" i="8"/>
  <c r="AY5" i="8"/>
  <c r="AX5" i="8"/>
  <c r="AZ4" i="8"/>
  <c r="AY4" i="8"/>
  <c r="AX4" i="8"/>
  <c r="AZ3" i="8"/>
  <c r="AY3" i="8"/>
  <c r="AX3" i="8"/>
  <c r="AA35" i="6"/>
  <c r="U35" i="6"/>
  <c r="AT35" i="6" s="1"/>
  <c r="O35" i="6"/>
  <c r="AS35" i="6" s="1"/>
  <c r="I35" i="6"/>
  <c r="AR35" i="6" s="1"/>
  <c r="AT34" i="6"/>
  <c r="AS34" i="6"/>
  <c r="AR34" i="6"/>
  <c r="AT33" i="6"/>
  <c r="AS33" i="6"/>
  <c r="AR33" i="6"/>
  <c r="AT32" i="6"/>
  <c r="AS32" i="6"/>
  <c r="AR32" i="6"/>
  <c r="AT31" i="6"/>
  <c r="AS31" i="6"/>
  <c r="AR31" i="6"/>
  <c r="AT30" i="6"/>
  <c r="AS30" i="6"/>
  <c r="AR30" i="6"/>
  <c r="AT29" i="6"/>
  <c r="AS29" i="6"/>
  <c r="AR29" i="6"/>
  <c r="AT28" i="6"/>
  <c r="AS28" i="6"/>
  <c r="AR28" i="6"/>
  <c r="AT27" i="6"/>
  <c r="AS27" i="6"/>
  <c r="AR27" i="6"/>
  <c r="AT26" i="6"/>
  <c r="AS26" i="6"/>
  <c r="AR26" i="6"/>
  <c r="AT25" i="6"/>
  <c r="AS25" i="6"/>
  <c r="AR25" i="6"/>
  <c r="AT24" i="6"/>
  <c r="AS24" i="6"/>
  <c r="AR24" i="6"/>
  <c r="AT23" i="6"/>
  <c r="AS23" i="6"/>
  <c r="AR23" i="6"/>
  <c r="AT22" i="6"/>
  <c r="AS22" i="6"/>
  <c r="AR22" i="6"/>
  <c r="AT21" i="6"/>
  <c r="AS21" i="6"/>
  <c r="AR21" i="6"/>
  <c r="AT20" i="6"/>
  <c r="AS20" i="6"/>
  <c r="AR20" i="6"/>
  <c r="AT19" i="6"/>
  <c r="AS19" i="6"/>
  <c r="AR19" i="6"/>
  <c r="AT18" i="6"/>
  <c r="AS18" i="6"/>
  <c r="AR18" i="6"/>
  <c r="AT17" i="6"/>
  <c r="AS17" i="6"/>
  <c r="AR17" i="6"/>
  <c r="AT16" i="6"/>
  <c r="AS16" i="6"/>
  <c r="AR16" i="6"/>
  <c r="AT15" i="6"/>
  <c r="AS15" i="6"/>
  <c r="AR15" i="6"/>
  <c r="AT14" i="6"/>
  <c r="AS14" i="6"/>
  <c r="AR14" i="6"/>
  <c r="AT13" i="6"/>
  <c r="AS13" i="6"/>
  <c r="AR13" i="6"/>
  <c r="AT12" i="6"/>
  <c r="AS12" i="6"/>
  <c r="AR12" i="6"/>
  <c r="AT11" i="6"/>
  <c r="AS11" i="6"/>
  <c r="AR11" i="6"/>
  <c r="AT10" i="6"/>
  <c r="AS10" i="6"/>
  <c r="AR10" i="6"/>
  <c r="AT9" i="6"/>
  <c r="AS9" i="6"/>
  <c r="AR9" i="6"/>
  <c r="AT8" i="6"/>
  <c r="AS8" i="6"/>
  <c r="AR8" i="6"/>
  <c r="AT7" i="6"/>
  <c r="AS7" i="6"/>
  <c r="AR7" i="6"/>
  <c r="AT6" i="6"/>
  <c r="AS6" i="6"/>
  <c r="AR6" i="6"/>
  <c r="AT5" i="6"/>
  <c r="AS5" i="6"/>
  <c r="AR5" i="6"/>
  <c r="AT4" i="6"/>
  <c r="AS4" i="6"/>
  <c r="AR4" i="6"/>
  <c r="AT3" i="6"/>
  <c r="AS3" i="6"/>
  <c r="AR3" i="6"/>
  <c r="AG48" i="5"/>
  <c r="AA48" i="5"/>
  <c r="U48" i="5"/>
  <c r="AZ48" i="5" s="1"/>
  <c r="O48" i="5"/>
  <c r="AY48" i="5" s="1"/>
  <c r="I48" i="5"/>
  <c r="AX48" i="5" s="1"/>
  <c r="AZ47" i="5"/>
  <c r="AY47" i="5"/>
  <c r="AX47" i="5"/>
  <c r="AZ46" i="5"/>
  <c r="AY46" i="5"/>
  <c r="AX46" i="5"/>
  <c r="AZ45" i="5"/>
  <c r="AY45" i="5"/>
  <c r="AX45" i="5"/>
  <c r="AZ44" i="5"/>
  <c r="AY44" i="5"/>
  <c r="AX44" i="5"/>
  <c r="AZ43" i="5"/>
  <c r="AY43" i="5"/>
  <c r="AX43" i="5"/>
  <c r="AZ42" i="5"/>
  <c r="AY42" i="5"/>
  <c r="AX42" i="5"/>
  <c r="AZ41" i="5"/>
  <c r="AY41" i="5"/>
  <c r="AX41" i="5"/>
  <c r="AZ40" i="5"/>
  <c r="AY40" i="5"/>
  <c r="AX40" i="5"/>
  <c r="AZ39" i="5"/>
  <c r="AY39" i="5"/>
  <c r="AX39" i="5"/>
  <c r="AZ38" i="5"/>
  <c r="AY38" i="5"/>
  <c r="AX38" i="5"/>
  <c r="AZ37" i="5"/>
  <c r="AY37" i="5"/>
  <c r="AX37" i="5"/>
  <c r="AZ36" i="5"/>
  <c r="AY36" i="5"/>
  <c r="AX36" i="5"/>
  <c r="AZ35" i="5"/>
  <c r="AY35" i="5"/>
  <c r="AX35" i="5"/>
  <c r="AZ34" i="5"/>
  <c r="AY34" i="5"/>
  <c r="AX34" i="5"/>
  <c r="AZ33" i="5"/>
  <c r="AY33" i="5"/>
  <c r="AX33" i="5"/>
  <c r="AZ32" i="5"/>
  <c r="AY32" i="5"/>
  <c r="AX32" i="5"/>
  <c r="AZ31" i="5"/>
  <c r="AY31" i="5"/>
  <c r="AX31" i="5"/>
  <c r="AZ30" i="5"/>
  <c r="AY30" i="5"/>
  <c r="AX30" i="5"/>
  <c r="AZ29" i="5"/>
  <c r="AY29" i="5"/>
  <c r="AX29" i="5"/>
  <c r="AZ28" i="5"/>
  <c r="AY28" i="5"/>
  <c r="AX28" i="5"/>
  <c r="AZ27" i="5"/>
  <c r="AY27" i="5"/>
  <c r="AX27" i="5"/>
  <c r="AZ26" i="5"/>
  <c r="AY26" i="5"/>
  <c r="AX26" i="5"/>
  <c r="AZ25" i="5"/>
  <c r="AY25" i="5"/>
  <c r="AX25" i="5"/>
  <c r="AZ24" i="5"/>
  <c r="AY24" i="5"/>
  <c r="AX24" i="5"/>
  <c r="AZ23" i="5"/>
  <c r="AY23" i="5"/>
  <c r="AX23" i="5"/>
  <c r="AZ22" i="5"/>
  <c r="AY22" i="5"/>
  <c r="AX22" i="5"/>
  <c r="AZ21" i="5"/>
  <c r="AY21" i="5"/>
  <c r="AX21" i="5"/>
  <c r="AZ20" i="5"/>
  <c r="AY20" i="5"/>
  <c r="AX20" i="5"/>
  <c r="AZ19" i="5"/>
  <c r="AY19" i="5"/>
  <c r="AX19" i="5"/>
  <c r="AZ18" i="5"/>
  <c r="AY18" i="5"/>
  <c r="AX18" i="5"/>
  <c r="AZ17" i="5"/>
  <c r="AY17" i="5"/>
  <c r="AX17" i="5"/>
  <c r="AZ16" i="5"/>
  <c r="AY16" i="5"/>
  <c r="AX16" i="5"/>
  <c r="AZ15" i="5"/>
  <c r="AY15" i="5"/>
  <c r="AX15" i="5"/>
  <c r="AZ14" i="5"/>
  <c r="AY14" i="5"/>
  <c r="AX14" i="5"/>
  <c r="AZ13" i="5"/>
  <c r="AY13" i="5"/>
  <c r="AX13" i="5"/>
  <c r="AZ12" i="5"/>
  <c r="AY12" i="5"/>
  <c r="AX12" i="5"/>
  <c r="AZ11" i="5"/>
  <c r="AY11" i="5"/>
  <c r="AX11" i="5"/>
  <c r="AZ10" i="5"/>
  <c r="AY10" i="5"/>
  <c r="AX10" i="5"/>
  <c r="AZ9" i="5"/>
  <c r="AY9" i="5"/>
  <c r="AX9" i="5"/>
  <c r="AZ8" i="5"/>
  <c r="AY8" i="5"/>
  <c r="AX8" i="5"/>
  <c r="AZ7" i="5"/>
  <c r="AY7" i="5"/>
  <c r="AX7" i="5"/>
  <c r="AZ6" i="5"/>
  <c r="AY6" i="5"/>
  <c r="AX6" i="5"/>
  <c r="AZ5" i="5"/>
  <c r="AY5" i="5"/>
  <c r="AX5" i="5"/>
  <c r="AZ4" i="5"/>
  <c r="AY4" i="5"/>
  <c r="AX4" i="5"/>
  <c r="AZ3" i="5"/>
  <c r="AY3" i="5"/>
  <c r="AX3" i="5"/>
  <c r="H8" i="11"/>
  <c r="G8" i="11"/>
  <c r="F8" i="11"/>
  <c r="H7" i="11"/>
  <c r="G7" i="11"/>
  <c r="F7" i="11"/>
  <c r="H6" i="11"/>
  <c r="G6" i="11"/>
  <c r="F6" i="11"/>
  <c r="H5" i="11"/>
  <c r="G5" i="11"/>
  <c r="F5" i="11"/>
  <c r="H4" i="11"/>
  <c r="G4" i="11"/>
  <c r="F4" i="11"/>
  <c r="H3" i="11"/>
  <c r="G3" i="11"/>
  <c r="F3" i="11"/>
  <c r="AG39" i="4"/>
  <c r="AD39" i="4"/>
  <c r="X39" i="4"/>
  <c r="U39" i="4"/>
  <c r="O39" i="4"/>
  <c r="I39" i="4"/>
  <c r="AZ38" i="4"/>
  <c r="AY38" i="4"/>
  <c r="AX38" i="4"/>
  <c r="AZ37" i="4"/>
  <c r="AY37" i="4"/>
  <c r="AX37" i="4"/>
  <c r="AZ36" i="4"/>
  <c r="AY36" i="4"/>
  <c r="AX36" i="4"/>
  <c r="AZ35" i="4"/>
  <c r="AY35" i="4"/>
  <c r="AX35" i="4"/>
  <c r="AZ34" i="4"/>
  <c r="AY34" i="4"/>
  <c r="AX34" i="4"/>
  <c r="AZ33" i="4"/>
  <c r="AY33" i="4"/>
  <c r="AX33" i="4"/>
  <c r="AZ32" i="4"/>
  <c r="AY32" i="4"/>
  <c r="AX32" i="4"/>
  <c r="AZ31" i="4"/>
  <c r="AY31" i="4"/>
  <c r="AX31" i="4"/>
  <c r="AZ30" i="4"/>
  <c r="AY30" i="4"/>
  <c r="AX30" i="4"/>
  <c r="AZ29" i="4"/>
  <c r="AY29" i="4"/>
  <c r="AX29" i="4"/>
  <c r="AZ28" i="4"/>
  <c r="AY28" i="4"/>
  <c r="AX28" i="4"/>
  <c r="AZ27" i="4"/>
  <c r="AY27" i="4"/>
  <c r="AX27" i="4"/>
  <c r="AZ26" i="4"/>
  <c r="AY26" i="4"/>
  <c r="AX26" i="4"/>
  <c r="AZ25" i="4"/>
  <c r="AY25" i="4"/>
  <c r="AX25" i="4"/>
  <c r="AZ24" i="4"/>
  <c r="AY24" i="4"/>
  <c r="AX24" i="4"/>
  <c r="AZ23" i="4"/>
  <c r="AY23" i="4"/>
  <c r="AX23" i="4"/>
  <c r="AZ22" i="4"/>
  <c r="AY22" i="4"/>
  <c r="AX22" i="4"/>
  <c r="AZ21" i="4"/>
  <c r="AY21" i="4"/>
  <c r="AX21" i="4"/>
  <c r="AZ20" i="4"/>
  <c r="AY20" i="4"/>
  <c r="AX20" i="4"/>
  <c r="AZ19" i="4"/>
  <c r="AY19" i="4"/>
  <c r="AX19" i="4"/>
  <c r="AZ18" i="4"/>
  <c r="AY18" i="4"/>
  <c r="AX18" i="4"/>
  <c r="AZ17" i="4"/>
  <c r="AY17" i="4"/>
  <c r="AX17" i="4"/>
  <c r="AZ16" i="4"/>
  <c r="AY16" i="4"/>
  <c r="AX16" i="4"/>
  <c r="AZ15" i="4"/>
  <c r="AY15" i="4"/>
  <c r="AX15" i="4"/>
  <c r="AZ14" i="4"/>
  <c r="AY14" i="4"/>
  <c r="AX14" i="4"/>
  <c r="AZ13" i="4"/>
  <c r="AY13" i="4"/>
  <c r="AX13" i="4"/>
  <c r="AZ12" i="4"/>
  <c r="AY12" i="4"/>
  <c r="AX12" i="4"/>
  <c r="AZ11" i="4"/>
  <c r="AY11" i="4"/>
  <c r="AX11" i="4"/>
  <c r="AZ10" i="4"/>
  <c r="AY10" i="4"/>
  <c r="AX10" i="4"/>
  <c r="AZ9" i="4"/>
  <c r="AY9" i="4"/>
  <c r="AX9" i="4"/>
  <c r="AZ8" i="4"/>
  <c r="AY8" i="4"/>
  <c r="AX8" i="4"/>
  <c r="AZ7" i="4"/>
  <c r="AY7" i="4"/>
  <c r="AX7" i="4"/>
  <c r="AZ6" i="4"/>
  <c r="AY6" i="4"/>
  <c r="AX6" i="4"/>
  <c r="AZ5" i="4"/>
  <c r="AY5" i="4"/>
  <c r="AX5" i="4"/>
  <c r="AZ4" i="4"/>
  <c r="AY4" i="4"/>
  <c r="AX4" i="4"/>
  <c r="AZ3" i="4"/>
  <c r="AY3" i="4"/>
  <c r="AX3" i="4"/>
  <c r="E8" i="11"/>
  <c r="E7" i="11"/>
  <c r="E6" i="11"/>
  <c r="E5" i="11"/>
  <c r="E4" i="11"/>
  <c r="E3" i="11"/>
  <c r="AV59" i="1"/>
  <c r="AW59" i="1" s="1"/>
  <c r="AT43" i="8"/>
  <c r="AZ43" i="8" s="1"/>
  <c r="AO35" i="6"/>
  <c r="AN35" i="6"/>
  <c r="AU48" i="5"/>
  <c r="AT48" i="5"/>
  <c r="AT39" i="4"/>
  <c r="AU39" i="4" s="1"/>
  <c r="AT39" i="7"/>
  <c r="AU39" i="7" s="1"/>
  <c r="AY58" i="1"/>
  <c r="AY57" i="1"/>
  <c r="AY56" i="1"/>
  <c r="AY55" i="1"/>
  <c r="AY54" i="1"/>
  <c r="AY53" i="1"/>
  <c r="AY52" i="1"/>
  <c r="AY51" i="1"/>
  <c r="AY50" i="1"/>
  <c r="AY49" i="1"/>
  <c r="AY48" i="1"/>
  <c r="AY47" i="1"/>
  <c r="AY46" i="1"/>
  <c r="AY45" i="1"/>
  <c r="AY44" i="1"/>
  <c r="AY43" i="1"/>
  <c r="AY42" i="1"/>
  <c r="AY41" i="1"/>
  <c r="AY40" i="1"/>
  <c r="AY39" i="1"/>
  <c r="AY38" i="1"/>
  <c r="AY37" i="1"/>
  <c r="AY36" i="1"/>
  <c r="AY35" i="1"/>
  <c r="AY34" i="1"/>
  <c r="AY33" i="1"/>
  <c r="AY32" i="1"/>
  <c r="AY31" i="1"/>
  <c r="AY30" i="1"/>
  <c r="AY29" i="1"/>
  <c r="AY28" i="1"/>
  <c r="AY27" i="1"/>
  <c r="AY26" i="1"/>
  <c r="AY25" i="1"/>
  <c r="AY24" i="1"/>
  <c r="AY23" i="1"/>
  <c r="AY22" i="1"/>
  <c r="AY21" i="1"/>
  <c r="AY20" i="1"/>
  <c r="AY19" i="1"/>
  <c r="AY18" i="1"/>
  <c r="AY17" i="1"/>
  <c r="AY16" i="1"/>
  <c r="AY15" i="1"/>
  <c r="AY14" i="1"/>
  <c r="AY13" i="1"/>
  <c r="AY12" i="1"/>
  <c r="AY11" i="1"/>
  <c r="AY10" i="1"/>
  <c r="AY9" i="1"/>
  <c r="AY8" i="1"/>
  <c r="AY7" i="1"/>
  <c r="AY6" i="1"/>
  <c r="AY5" i="1"/>
  <c r="AY4" i="1"/>
  <c r="AY3" i="1"/>
  <c r="AW47" i="5"/>
  <c r="AW46" i="5"/>
  <c r="AW45" i="5"/>
  <c r="AW44" i="5"/>
  <c r="AW43" i="5"/>
  <c r="AW42" i="5"/>
  <c r="AW41" i="5"/>
  <c r="AW40" i="5"/>
  <c r="AW39" i="5"/>
  <c r="AW38" i="5"/>
  <c r="AW37" i="5"/>
  <c r="AW36" i="5"/>
  <c r="AW35" i="5"/>
  <c r="AW34" i="5"/>
  <c r="AW33" i="5"/>
  <c r="AW32" i="5"/>
  <c r="AW31" i="5"/>
  <c r="AW30" i="5"/>
  <c r="AW29" i="5"/>
  <c r="AW28" i="5"/>
  <c r="AW27" i="5"/>
  <c r="AW26" i="5"/>
  <c r="AW25" i="5"/>
  <c r="AW24" i="5"/>
  <c r="AW23" i="5"/>
  <c r="AW22" i="5"/>
  <c r="AW21" i="5"/>
  <c r="AW20" i="5"/>
  <c r="AW19" i="5"/>
  <c r="AW18" i="5"/>
  <c r="AW17" i="5"/>
  <c r="AW16" i="5"/>
  <c r="AW15" i="5"/>
  <c r="AW14" i="5"/>
  <c r="AW13" i="5"/>
  <c r="AW12" i="5"/>
  <c r="AW11" i="5"/>
  <c r="AW10" i="5"/>
  <c r="AW9" i="5"/>
  <c r="AW8" i="5"/>
  <c r="AW7" i="5"/>
  <c r="AW6" i="5"/>
  <c r="AW5" i="5"/>
  <c r="AW4" i="5"/>
  <c r="AW3" i="5"/>
  <c r="AW42" i="8"/>
  <c r="AW41" i="8"/>
  <c r="AW40" i="8"/>
  <c r="AW39" i="8"/>
  <c r="AW38" i="8"/>
  <c r="AW3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W6" i="8"/>
  <c r="AW5" i="8"/>
  <c r="AW4" i="8"/>
  <c r="AW3" i="8"/>
  <c r="AW38" i="4"/>
  <c r="AV38" i="4" s="1"/>
  <c r="AW37" i="4"/>
  <c r="AV37" i="4" s="1"/>
  <c r="AW36" i="4"/>
  <c r="AV36" i="4" s="1"/>
  <c r="AW35" i="4"/>
  <c r="AV35" i="4" s="1"/>
  <c r="AW34" i="4"/>
  <c r="AV34" i="4" s="1"/>
  <c r="AW33" i="4"/>
  <c r="AV33" i="4" s="1"/>
  <c r="AW32" i="4"/>
  <c r="AV32" i="4" s="1"/>
  <c r="AW31" i="4"/>
  <c r="AV31" i="4"/>
  <c r="AW30" i="4"/>
  <c r="AV30" i="4" s="1"/>
  <c r="AW29" i="4"/>
  <c r="AV29" i="4"/>
  <c r="AW28" i="4"/>
  <c r="AV28" i="4" s="1"/>
  <c r="AW27" i="4"/>
  <c r="AV27" i="4"/>
  <c r="AW26" i="4"/>
  <c r="AV26" i="4" s="1"/>
  <c r="AW25" i="4"/>
  <c r="AV25" i="4"/>
  <c r="AW24" i="4"/>
  <c r="AV24" i="4" s="1"/>
  <c r="AW23" i="4"/>
  <c r="AV23" i="4" s="1"/>
  <c r="AW22" i="4"/>
  <c r="AV22" i="4"/>
  <c r="AW21" i="4"/>
  <c r="AV21" i="4" s="1"/>
  <c r="AW20" i="4"/>
  <c r="AV20" i="4" s="1"/>
  <c r="AW19" i="4"/>
  <c r="AV19" i="4" s="1"/>
  <c r="AW18" i="4"/>
  <c r="AV18" i="4"/>
  <c r="AW17" i="4"/>
  <c r="AV17" i="4" s="1"/>
  <c r="AW16" i="4"/>
  <c r="AV16" i="4"/>
  <c r="AW15" i="4"/>
  <c r="AV15" i="4" s="1"/>
  <c r="AW14" i="4"/>
  <c r="AV14" i="4" s="1"/>
  <c r="AW13" i="4"/>
  <c r="AV13" i="4" s="1"/>
  <c r="AW12" i="4"/>
  <c r="AV12" i="4"/>
  <c r="AW11" i="4"/>
  <c r="AV11" i="4" s="1"/>
  <c r="AW10" i="4"/>
  <c r="AV10" i="4" s="1"/>
  <c r="AW9" i="4"/>
  <c r="AV9" i="4"/>
  <c r="AW8" i="4"/>
  <c r="AV8" i="4" s="1"/>
  <c r="AW7" i="4"/>
  <c r="AV7" i="4"/>
  <c r="AW6" i="4"/>
  <c r="AV6" i="4" s="1"/>
  <c r="AW5" i="4"/>
  <c r="AV5" i="4"/>
  <c r="AW4" i="4"/>
  <c r="AV4" i="4" s="1"/>
  <c r="AW3" i="4"/>
  <c r="AV3" i="4" s="1"/>
  <c r="Q47" i="8"/>
  <c r="Q46" i="8"/>
  <c r="Q45" i="8"/>
  <c r="M61" i="1"/>
  <c r="G63" i="1"/>
  <c r="G62" i="1"/>
  <c r="G61" i="1"/>
  <c r="K50" i="5"/>
  <c r="Q43" i="7"/>
  <c r="Q42" i="7"/>
  <c r="Q41" i="7"/>
  <c r="K41" i="7"/>
  <c r="E43" i="7"/>
  <c r="E42" i="7"/>
  <c r="E41" i="7"/>
  <c r="K45" i="8"/>
  <c r="E47" i="8"/>
  <c r="E46" i="8"/>
  <c r="E45" i="8"/>
  <c r="S63" i="1"/>
  <c r="S62" i="1"/>
  <c r="S61" i="1"/>
  <c r="Q38" i="6"/>
  <c r="Q37" i="6"/>
  <c r="Q39" i="6" s="1"/>
  <c r="K37" i="6"/>
  <c r="E38" i="6"/>
  <c r="E37" i="6"/>
  <c r="E39" i="6" s="1"/>
  <c r="Q51" i="5"/>
  <c r="Q50" i="5"/>
  <c r="Q52" i="5" s="1"/>
  <c r="E51" i="5"/>
  <c r="E50" i="5"/>
  <c r="E52" i="5" s="1"/>
  <c r="Q43" i="4"/>
  <c r="Q42" i="4"/>
  <c r="Q41" i="4"/>
  <c r="K41" i="4"/>
  <c r="E43" i="4"/>
  <c r="E42" i="4"/>
  <c r="E41" i="4"/>
  <c r="AX43" i="8" l="1"/>
  <c r="AY43" i="8"/>
  <c r="AX39" i="4"/>
  <c r="AZ39" i="4"/>
  <c r="AX39" i="7"/>
  <c r="AV42" i="4"/>
  <c r="AV48" i="4"/>
  <c r="AV47" i="4"/>
  <c r="AV45" i="4"/>
  <c r="AV43" i="4"/>
  <c r="AV41" i="4"/>
  <c r="AY39" i="4"/>
  <c r="AU43" i="8"/>
  <c r="Q48" i="8"/>
  <c r="AZ59" i="1"/>
  <c r="BB59" i="1"/>
  <c r="BA59" i="1"/>
  <c r="G64" i="1"/>
  <c r="AY39" i="7"/>
  <c r="AZ39" i="7"/>
  <c r="J21" i="13"/>
  <c r="F21" i="13"/>
  <c r="F10" i="13"/>
  <c r="E48" i="8"/>
  <c r="Q44" i="4"/>
  <c r="E44" i="4"/>
  <c r="S64" i="1"/>
  <c r="E44" i="7"/>
</calcChain>
</file>

<file path=xl/sharedStrings.xml><?xml version="1.0" encoding="utf-8"?>
<sst xmlns="http://schemas.openxmlformats.org/spreadsheetml/2006/main" count="9032" uniqueCount="1470">
  <si>
    <t>State</t>
  </si>
  <si>
    <t>Parl Code</t>
  </si>
  <si>
    <t>Parl Name</t>
  </si>
  <si>
    <t>Selangor</t>
  </si>
  <si>
    <t>P92</t>
  </si>
  <si>
    <t>Sabak Bernam</t>
  </si>
  <si>
    <t>P93</t>
  </si>
  <si>
    <t>Sungai Besar</t>
  </si>
  <si>
    <t>P94</t>
  </si>
  <si>
    <t>Hulu Selangor</t>
  </si>
  <si>
    <t>P95</t>
  </si>
  <si>
    <t>Tanjong Karang</t>
  </si>
  <si>
    <t>P96</t>
  </si>
  <si>
    <t>Kuala Selangor</t>
  </si>
  <si>
    <t>P97</t>
  </si>
  <si>
    <t>Selayang</t>
  </si>
  <si>
    <t>P98</t>
  </si>
  <si>
    <t>Gombak</t>
  </si>
  <si>
    <t>P99</t>
  </si>
  <si>
    <t>Ampang</t>
  </si>
  <si>
    <t>P100</t>
  </si>
  <si>
    <t>Pandan</t>
  </si>
  <si>
    <t>P101</t>
  </si>
  <si>
    <t>Hulu Langat</t>
  </si>
  <si>
    <t>P102</t>
  </si>
  <si>
    <t>Bangi</t>
  </si>
  <si>
    <t>P103</t>
  </si>
  <si>
    <t>Puchong</t>
  </si>
  <si>
    <t>P104</t>
  </si>
  <si>
    <t>Subang</t>
  </si>
  <si>
    <t>P105</t>
  </si>
  <si>
    <t>Petaling Jaya</t>
  </si>
  <si>
    <t>P106</t>
  </si>
  <si>
    <t>Damansara</t>
  </si>
  <si>
    <t>P107</t>
  </si>
  <si>
    <t>Sungai Buloh</t>
  </si>
  <si>
    <t>P108</t>
  </si>
  <si>
    <t>Shah Alam</t>
  </si>
  <si>
    <t>P109</t>
  </si>
  <si>
    <t>Kapar</t>
  </si>
  <si>
    <t>P110</t>
  </si>
  <si>
    <t>Klang</t>
  </si>
  <si>
    <t>P111</t>
  </si>
  <si>
    <t>Kota Raja</t>
  </si>
  <si>
    <t>P112</t>
  </si>
  <si>
    <t>Kuala Langat</t>
  </si>
  <si>
    <t>P113</t>
  </si>
  <si>
    <t>Sepang</t>
  </si>
  <si>
    <t>AMANAH</t>
  </si>
  <si>
    <t>DAP</t>
  </si>
  <si>
    <t>BERSATU</t>
  </si>
  <si>
    <t>PKR</t>
  </si>
  <si>
    <t>PAS</t>
  </si>
  <si>
    <t>ballot_order</t>
  </si>
  <si>
    <t>Kedah</t>
  </si>
  <si>
    <t>P.004 Langkawi</t>
  </si>
  <si>
    <t>N.01 Ayer Hangat</t>
  </si>
  <si>
    <t>SHAMSILAH BINTI SIRU</t>
  </si>
  <si>
    <t>PERIKATAN NASIONAL</t>
  </si>
  <si>
    <t>PN</t>
  </si>
  <si>
    <t>female</t>
  </si>
  <si>
    <t>malay</t>
  </si>
  <si>
    <t>SAFWAN HANIF BIN SHAFIE</t>
  </si>
  <si>
    <t>SAFWAN HANIF</t>
  </si>
  <si>
    <t>BEBAS</t>
  </si>
  <si>
    <t>male</t>
  </si>
  <si>
    <t>HISHAM SUHAILY BINTI OTHMAN</t>
  </si>
  <si>
    <t>BARISAN NASIONAL OF MALAYSIA</t>
  </si>
  <si>
    <t>BN</t>
  </si>
  <si>
    <t>ZULFADLI BIN MOHD YUSOFF</t>
  </si>
  <si>
    <t>N.02 Kuah</t>
  </si>
  <si>
    <t>AMAR PARED BIN MAHAMUD</t>
  </si>
  <si>
    <t>AHMAD FAUZI BIN CHIK</t>
  </si>
  <si>
    <t>PAKATAN HARAPAN</t>
  </si>
  <si>
    <t>PH</t>
  </si>
  <si>
    <t>MAZLAN BIN AHMAD</t>
  </si>
  <si>
    <t>P.005 Jerlun</t>
  </si>
  <si>
    <t>N.03 Kota Siputeh</t>
  </si>
  <si>
    <t>MOHD ASHRAF MUSTAQIM BIN BADRUL MUNIR</t>
  </si>
  <si>
    <t>MOHD ASHRAF MUSTAQIM</t>
  </si>
  <si>
    <t>SALMEE BINTI SAID</t>
  </si>
  <si>
    <t>DR SALMEE BINTI SAID</t>
  </si>
  <si>
    <t>ABDUL BIN RAMLI</t>
  </si>
  <si>
    <t>ABDUL BIN RAMLI @ LATIF</t>
  </si>
  <si>
    <t>N.04 Ayer Hitam</t>
  </si>
  <si>
    <t>HAYAZI BIN AZIZAN</t>
  </si>
  <si>
    <t>AZHAR BIN IBRAHIM</t>
  </si>
  <si>
    <t>CIKGU AZHAR</t>
  </si>
  <si>
    <t>P.006 Kubang Pasu</t>
  </si>
  <si>
    <t>N.05 Bukit Kayu Hitam</t>
  </si>
  <si>
    <t>HALIMATON SHAADIAH BINTI SAAD</t>
  </si>
  <si>
    <t>DATO' HAJAH HALIMATON SHAADIAH SAAD (KAK TON)</t>
  </si>
  <si>
    <t>ZAINOL @ ZAINOL ABIDIN BIN MOHAMAD</t>
  </si>
  <si>
    <t>CIKGU NON</t>
  </si>
  <si>
    <t>N.06 Jitra</t>
  </si>
  <si>
    <t>SABRINA BINTI AHMAD</t>
  </si>
  <si>
    <t>SABRINA AHMAD</t>
  </si>
  <si>
    <t>HAIM HILMAN BIN ABDULLAH</t>
  </si>
  <si>
    <t>DR. HAIM HILMAN ABDULLAH (PROF. HAIM)</t>
  </si>
  <si>
    <t>P.007 Padang Terap</t>
  </si>
  <si>
    <t>N.07 Kuala Nerang</t>
  </si>
  <si>
    <t>RIDZWAN BIN ABU BAKAR</t>
  </si>
  <si>
    <t>RIDZWAN ABU BAKAR</t>
  </si>
  <si>
    <t>MOHAMAD YUSOFF BIN ZAKARIA</t>
  </si>
  <si>
    <t>HJ. MUNIR</t>
  </si>
  <si>
    <t>N.08 Pedu</t>
  </si>
  <si>
    <t>MOHD RADZI BIN MD AMIN</t>
  </si>
  <si>
    <t>MAHDZIR BIN KHALID</t>
  </si>
  <si>
    <t>P.008 Pokok Sena</t>
  </si>
  <si>
    <t>N.09 Bukit Lada</t>
  </si>
  <si>
    <t>SAID ALI BIN SAID RASTAN</t>
  </si>
  <si>
    <t>SAID ALI BIN SYED RASTAN</t>
  </si>
  <si>
    <t>SALIM BIN MAHMOOD</t>
  </si>
  <si>
    <t>USTAZ SALIM MAHMOOD AL-HAFIZ</t>
  </si>
  <si>
    <t>N.10 Bukit Pinang</t>
  </si>
  <si>
    <t>ROMANI BIN WAN SALIN</t>
  </si>
  <si>
    <t>DATO' WAN ROMANI</t>
  </si>
  <si>
    <t>HADZIR BIN MD.ZAIN</t>
  </si>
  <si>
    <t>DATO' HJ. HADZIR</t>
  </si>
  <si>
    <t>N.11 Derga</t>
  </si>
  <si>
    <t>TAN KOK YEW</t>
  </si>
  <si>
    <t>chinese</t>
  </si>
  <si>
    <t>NOOR AZMAN BIN BASHARON @ CHE MAN</t>
  </si>
  <si>
    <t>MAN BASIRON</t>
  </si>
  <si>
    <t>MUHAMAD AMRI BIN WAHAB</t>
  </si>
  <si>
    <t>MUHAMAD AMRI</t>
  </si>
  <si>
    <t>P.009 Alor Setar</t>
  </si>
  <si>
    <t>N.12 Suka Menanti</t>
  </si>
  <si>
    <t>ZAMRI BIN YUSUF</t>
  </si>
  <si>
    <t>DATO' ZAMRI YUSUF</t>
  </si>
  <si>
    <t>DZOWAHIR BIN AB GHANI</t>
  </si>
  <si>
    <t>N.13 Kota Darul Aman</t>
  </si>
  <si>
    <t>CHUAH SEE SENG</t>
  </si>
  <si>
    <t>TEH SWEE LEONG</t>
  </si>
  <si>
    <t>N.14 Alor Mengkudu</t>
  </si>
  <si>
    <t>MUHAMAD RADHI BIN MAT DIN</t>
  </si>
  <si>
    <t>RADHI MAT DIN</t>
  </si>
  <si>
    <t>MAHFUZ BIN OMAR</t>
  </si>
  <si>
    <t>DATO' WIRA MAHFUZ OMAR</t>
  </si>
  <si>
    <t>P.010 Kuala Kedah</t>
  </si>
  <si>
    <t>N.15 Anak Bukit</t>
  </si>
  <si>
    <t>RASHIDI BIN RAZAK</t>
  </si>
  <si>
    <t>NOOR HASITA BINTI MAT ISA</t>
  </si>
  <si>
    <t>DATIN NOOR HASITA</t>
  </si>
  <si>
    <t>N.16 Kubang Rotan</t>
  </si>
  <si>
    <t>MOHD ASMIRUL ANUAR BIN ARIS</t>
  </si>
  <si>
    <t>ASMIRUL ANUAR BIN ARIS</t>
  </si>
  <si>
    <t>MOHD SALLEH BIN SAIDIN</t>
  </si>
  <si>
    <t>DATO' MOHD SALLEH BIN SAIDIN</t>
  </si>
  <si>
    <t>N.17 Pengkalan Kundor</t>
  </si>
  <si>
    <t>MARDHIYYAH BINTI JOHARI</t>
  </si>
  <si>
    <t>MARDHIYYAH JOHARI</t>
  </si>
  <si>
    <t>ISMAIL BIN SALLEH</t>
  </si>
  <si>
    <t>DATO' DR. ISMAIL SALLEH</t>
  </si>
  <si>
    <t>P.011 Pendang</t>
  </si>
  <si>
    <t>N.18 Tokai</t>
  </si>
  <si>
    <t>MOHD HAYATI BIN OTHMAN</t>
  </si>
  <si>
    <t>DATO' DR. MOHD HAYATI</t>
  </si>
  <si>
    <t>ZAINAL ABIDIN BIN SAAD</t>
  </si>
  <si>
    <t>ZAINAL ABIDIN SAAD</t>
  </si>
  <si>
    <t>N.19 Sungai Tiang</t>
  </si>
  <si>
    <t>ABDUL RAZAK BIN KHAMIS</t>
  </si>
  <si>
    <t>RAZAK KHAMIS</t>
  </si>
  <si>
    <t>MOHAMAD FADZIL BIN ZOLKIPLI</t>
  </si>
  <si>
    <t>MOHAMAD FADZIL</t>
  </si>
  <si>
    <t>P.012 Jerai</t>
  </si>
  <si>
    <t>N.20 Sungai Limau</t>
  </si>
  <si>
    <t>MOHD AZAM BIN ABD SAMAT</t>
  </si>
  <si>
    <t>USTAZ MOHD AZAM BIN ABD SAMAT</t>
  </si>
  <si>
    <t>SITI BALKHIS BINTI HUSAIN</t>
  </si>
  <si>
    <t>N.21 Guar Chempedak</t>
  </si>
  <si>
    <t>KU ABDUL HALIM BIN KU ISMAIL</t>
  </si>
  <si>
    <t>CIKGU KU ABDUL HALIM</t>
  </si>
  <si>
    <t>ABDUL PARIS BIN ABDUL HAMID</t>
  </si>
  <si>
    <t>ABDUL PARIS BIN ABDUL HAMID (PARIS)</t>
  </si>
  <si>
    <t>ABDUL GHAFAR BIN SAAD</t>
  </si>
  <si>
    <t>ABDUL GHAFAR SAAD</t>
  </si>
  <si>
    <t>N.22 Gurun</t>
  </si>
  <si>
    <t>MOHAMMED FIRDAUS BIN JOHARI</t>
  </si>
  <si>
    <t>FIRDAUS JOHARI</t>
  </si>
  <si>
    <t>BADDROL BIN BAKHTIAR</t>
  </si>
  <si>
    <t>P.013 Sik</t>
  </si>
  <si>
    <t>N.23 Belantek</t>
  </si>
  <si>
    <t>MAZLI BINTI SAIPI</t>
  </si>
  <si>
    <t>AHMAD BIN SULAIMAN</t>
  </si>
  <si>
    <t>HAJI AHMAD SULAIMAN</t>
  </si>
  <si>
    <t>N.24 Jeneri</t>
  </si>
  <si>
    <t>MUHAMAD KHIZRI BIN ABU KASSIM</t>
  </si>
  <si>
    <t>DATO' MUHAMAD KHIZRI BIN ABU KASSIM</t>
  </si>
  <si>
    <t>MUHAMMAD SANUSI BIN MD NOR</t>
  </si>
  <si>
    <t>P.014 Merbok</t>
  </si>
  <si>
    <t>N.25 Bukit Selambau</t>
  </si>
  <si>
    <t>AZIZAN BIN HAMZAH</t>
  </si>
  <si>
    <t>USTAZ AZIZAN BIN HAMZAH</t>
  </si>
  <si>
    <t>DINESH A/L MUNIANDY</t>
  </si>
  <si>
    <t>indian</t>
  </si>
  <si>
    <t>SUMMUGAM A/L RENGASAMY</t>
  </si>
  <si>
    <t>SUMMUGAM RENGASAMY</t>
  </si>
  <si>
    <t>N.26 Tanjong Dawai</t>
  </si>
  <si>
    <t>SHAIFUL HAZIZY BIN ZAINOL ABIDIN</t>
  </si>
  <si>
    <t>DATO' SHAIFUL HAZIZY (TOK PON)</t>
  </si>
  <si>
    <t>HANIF BIN GHAZALI</t>
  </si>
  <si>
    <t>USTAZ HANIF BIN GHAZALI</t>
  </si>
  <si>
    <t>P.015 Sungai Petani</t>
  </si>
  <si>
    <t>N.27 Pantai Merdeka</t>
  </si>
  <si>
    <t>SHARIR BIN LONG</t>
  </si>
  <si>
    <t>USTAZ SHARIR LONG</t>
  </si>
  <si>
    <t>WAN MOHALINA BINTI WAN MOHAMMAD</t>
  </si>
  <si>
    <t>KAK WAN MOHALINA</t>
  </si>
  <si>
    <t>N.28 Bakar Arang</t>
  </si>
  <si>
    <t>LOH WEI CHAI</t>
  </si>
  <si>
    <t>ADAM LOH</t>
  </si>
  <si>
    <t>TAN KEE CHYE</t>
  </si>
  <si>
    <t>PARTI RAKYAT MALAYSIA</t>
  </si>
  <si>
    <t>PRM</t>
  </si>
  <si>
    <t>TAI KUANG TEE</t>
  </si>
  <si>
    <t>RAYMOND TAI KUANG TEE</t>
  </si>
  <si>
    <t>N.29 Sidam</t>
  </si>
  <si>
    <t>JULIANA BINTI ABDUL GHANI</t>
  </si>
  <si>
    <t>JULIANA ABDUL GHANI</t>
  </si>
  <si>
    <t>BAU WONG A/L BAU EK</t>
  </si>
  <si>
    <t>BAU WONG</t>
  </si>
  <si>
    <t>P.016 Baling</t>
  </si>
  <si>
    <t>N.30 Bayu</t>
  </si>
  <si>
    <t>MOHD TAUFIK BIN YAACOB</t>
  </si>
  <si>
    <t>ISHAK BIN MAT</t>
  </si>
  <si>
    <t>DATO' ISHAK BIN MAT</t>
  </si>
  <si>
    <t>N.31 Kupang</t>
  </si>
  <si>
    <t>MUHAMMAD SUHAIMI BIN HAMZAH</t>
  </si>
  <si>
    <t>SUHAIMI HAMZAH</t>
  </si>
  <si>
    <t>NAJMI BIN HJ AHMAD</t>
  </si>
  <si>
    <t>DATO' NAJMI BIN HAJI AHMAD</t>
  </si>
  <si>
    <t>N.32 Kuala Ketil</t>
  </si>
  <si>
    <t>MANSOR BIN ZAKARIA</t>
  </si>
  <si>
    <t>MEJ (B) MANSOR BIN ZAKARIA</t>
  </si>
  <si>
    <t>SURIATI BINTI CHE MID</t>
  </si>
  <si>
    <t>P.017 Padang Serai</t>
  </si>
  <si>
    <t>N.33 Merbau Pulas</t>
  </si>
  <si>
    <t>ASMADI BIN ABU TALIB</t>
  </si>
  <si>
    <t>DATO' CHEGU MADI</t>
  </si>
  <si>
    <t>SITI ASHAH BINTI GHAZALI</t>
  </si>
  <si>
    <t>DATO' USTAZAH SITI ASHAH</t>
  </si>
  <si>
    <t>N.34 Lunas</t>
  </si>
  <si>
    <t>SHAMSUL ANUAR BIN ABDULLAH</t>
  </si>
  <si>
    <t>CIKGU SHAMSUL</t>
  </si>
  <si>
    <t>KHAIRUL ANUAR BIN RAMLI</t>
  </si>
  <si>
    <t>RAJENDARAN A/L NADARAJAN</t>
  </si>
  <si>
    <t>PANNIR SELVAM A/L S SUPPIAH</t>
  </si>
  <si>
    <t>ARICHINDAREM A/L SINAPPAYEN</t>
  </si>
  <si>
    <t>ARI</t>
  </si>
  <si>
    <t>P.018 Kulim-Bandar Baharu</t>
  </si>
  <si>
    <t>N.35 Kulim</t>
  </si>
  <si>
    <t>TEH LEAN ONG</t>
  </si>
  <si>
    <t>AWANG TEH</t>
  </si>
  <si>
    <t>WONG CHIA ZHEN</t>
  </si>
  <si>
    <t>N.36 Bandar Baharu</t>
  </si>
  <si>
    <t>MOHD SUFFIAN BIN YUSOFF</t>
  </si>
  <si>
    <t>PROF. DR. SUFFIAN HAJI YUSOFF</t>
  </si>
  <si>
    <t>NURAINI BINTI YUSOFF</t>
  </si>
  <si>
    <t>NURAINI BINTI YUSOFF (NONI)</t>
  </si>
  <si>
    <t>Kelantan</t>
  </si>
  <si>
    <t>P.019 Tumpat</t>
  </si>
  <si>
    <t>N.01 Pengkalan Kubor</t>
  </si>
  <si>
    <t>ZULKIFLI BIN ABDULLAH</t>
  </si>
  <si>
    <t>DATUK ZULKIFLI TOK KRAWAT</t>
  </si>
  <si>
    <t>WAN ROSLAN BIN WAN HAMAT</t>
  </si>
  <si>
    <t>USTAZ LAN</t>
  </si>
  <si>
    <t>PARTI ISLAM SE MALAYSIA</t>
  </si>
  <si>
    <t>N.02 Kelaboran</t>
  </si>
  <si>
    <t>MOHD ADANAN BIN HASSAN</t>
  </si>
  <si>
    <t>CIKGU NAN</t>
  </si>
  <si>
    <t>MOHD ROSDI BIN RAZALI</t>
  </si>
  <si>
    <t>ROSDI RAZALI (RR24)</t>
  </si>
  <si>
    <t>N.03 Pasir Pekan</t>
  </si>
  <si>
    <t>MOHAMAD ZAMAKH SARI BIN IBRAHIM</t>
  </si>
  <si>
    <t>ZAMAKH SARI HJ. HIM</t>
  </si>
  <si>
    <t>AHMAD BIN YAKOB</t>
  </si>
  <si>
    <t>DATO' USTAZ MAD</t>
  </si>
  <si>
    <t>N.04 Wakaf Bharu</t>
  </si>
  <si>
    <t>ABDUL MANNAN BIN MD SAID</t>
  </si>
  <si>
    <t>ABE NAN</t>
  </si>
  <si>
    <t>MOHD RUSLI BIN ABDULLAH</t>
  </si>
  <si>
    <t>HJ MOHD RUSLI</t>
  </si>
  <si>
    <t>P.020 Pengkalan Chepa</t>
  </si>
  <si>
    <t>N.05 Kijang</t>
  </si>
  <si>
    <t>IZANI BIN HUSIN</t>
  </si>
  <si>
    <t>DR. IZANI</t>
  </si>
  <si>
    <t>HARIS BIN HUSSIN</t>
  </si>
  <si>
    <t>HARIS HUSSIN</t>
  </si>
  <si>
    <t>N.06 Chempaka</t>
  </si>
  <si>
    <t>NIK NORMI BINTI NIK AYUB</t>
  </si>
  <si>
    <t>NIK NORMI</t>
  </si>
  <si>
    <t>NIK ASMA'BAHRUM BIN NIK ABDULLAH</t>
  </si>
  <si>
    <t>NIK BAHRUM</t>
  </si>
  <si>
    <t>IBRAHIM BIN SULONG</t>
  </si>
  <si>
    <t>TOK GAWA HJ. HIM / ABE LI TOK GAWA</t>
  </si>
  <si>
    <t>N.07 Panchor</t>
  </si>
  <si>
    <t>MOHD AMAR BIN ABDULLAH</t>
  </si>
  <si>
    <t>DATO' NIK AMAR</t>
  </si>
  <si>
    <t>SYED MOHD ALIDUSTUR BIN SYED MOHD ZAIN</t>
  </si>
  <si>
    <t>P.021 Kota Bharu</t>
  </si>
  <si>
    <t>N.08 Tanjong Mas</t>
  </si>
  <si>
    <t>ROHANI BINTI IBRAHIM</t>
  </si>
  <si>
    <t>KAK ANI</t>
  </si>
  <si>
    <t>ZINDA KHALIL SASTRO BIN HASSAN</t>
  </si>
  <si>
    <t>ZINDA KHALIL</t>
  </si>
  <si>
    <t>N.09 Kota Lama</t>
  </si>
  <si>
    <t>HAFIDZAH BINTI HAJI MUSTAKIM</t>
  </si>
  <si>
    <t>DR HAFIDZAH</t>
  </si>
  <si>
    <t>IZAT BUKHARY BIN ISMAIL BUKHARY</t>
  </si>
  <si>
    <t>IZAT BUKHARY</t>
  </si>
  <si>
    <t>TAN BOON KIAN</t>
  </si>
  <si>
    <t>ANDY TAN @ AWANG</t>
  </si>
  <si>
    <t>ZAMRI BIN ISMAIL</t>
  </si>
  <si>
    <t>DATO'  ZAMRI</t>
  </si>
  <si>
    <t>N.10 Bunut Payong</t>
  </si>
  <si>
    <t>MOHAMED HASNAN BIN CHE HUSSIN</t>
  </si>
  <si>
    <t>DATUK MOHAMED HASNAN BIN CHE HUSSIN</t>
  </si>
  <si>
    <t>SHAARI BIN MAT YAMAN</t>
  </si>
  <si>
    <t>SHAARI</t>
  </si>
  <si>
    <t>P.022 Pasir Mas</t>
  </si>
  <si>
    <t>N.11 Tendong</t>
  </si>
  <si>
    <t>SUZAINAL ADNAN BIN SUKRI</t>
  </si>
  <si>
    <t>TOK NAN</t>
  </si>
  <si>
    <t>ROZI BIN MUHAMAD</t>
  </si>
  <si>
    <t>ROZI MUHAMAD</t>
  </si>
  <si>
    <t>NOOR HARIRI BIN MOHAMED NOOR</t>
  </si>
  <si>
    <t>ABE HARIRI</t>
  </si>
  <si>
    <t>N.12 Pengkalan Pasir</t>
  </si>
  <si>
    <t>RUSHDAN BIN MUSTAFA</t>
  </si>
  <si>
    <t>HJ RUSHDAN</t>
  </si>
  <si>
    <t>MOHAMAD NASRIFF BIN DAUD @ DAUD YATIMEE</t>
  </si>
  <si>
    <t>HAJI NASRIFF DAUD YATIMEE</t>
  </si>
  <si>
    <t>N.13 Meranti</t>
  </si>
  <si>
    <t>ZAHRI BIN OMAR</t>
  </si>
  <si>
    <t>TOK GAWA ZAHRI</t>
  </si>
  <si>
    <t>MOHD NASSURUDDIN BIN HAJI DAUD</t>
  </si>
  <si>
    <t>DATO' US. HJ. NASSURUDDIN</t>
  </si>
  <si>
    <t>P.023 Rantau Panjang</t>
  </si>
  <si>
    <t>N.14 Chetok</t>
  </si>
  <si>
    <t>ZURAIDIN BIN ABDULLAH</t>
  </si>
  <si>
    <t>HAJI ZURAIDIN ABDULLAH</t>
  </si>
  <si>
    <t>MOHAMAD EZZAT ZAHRIM BIN MOHD HANUZI</t>
  </si>
  <si>
    <t>EZZAT HANUZI</t>
  </si>
  <si>
    <t>N.15 Gual Periok</t>
  </si>
  <si>
    <t>ANUAR BIN MOHAMAD</t>
  </si>
  <si>
    <t>ABE WA</t>
  </si>
  <si>
    <t>KAMARUZAMAN BIN MOHAMAD</t>
  </si>
  <si>
    <t>KAMARUZAMAN</t>
  </si>
  <si>
    <t>N.16 Apam Putra</t>
  </si>
  <si>
    <t>AKBAR BIN SALIM</t>
  </si>
  <si>
    <t>DATUK AKBAR</t>
  </si>
  <si>
    <t>ZAMAKHSHARI BIN MUHAMAD</t>
  </si>
  <si>
    <t>ABE ZAM</t>
  </si>
  <si>
    <t>P.024 Kubang Kerian</t>
  </si>
  <si>
    <t>N.17 Salor</t>
  </si>
  <si>
    <t>SAIZOL BIN ISMAIL</t>
  </si>
  <si>
    <t>ABE JOE</t>
  </si>
  <si>
    <t>MOHAMAD BIN HUSAIN</t>
  </si>
  <si>
    <t>ADIK MAD</t>
  </si>
  <si>
    <t>N.18 Pasir Tumboh</t>
  </si>
  <si>
    <t>ABD RAHMAN BIN YUNUS</t>
  </si>
  <si>
    <t>USTAZ ABD RAHMAN</t>
  </si>
  <si>
    <t>NAZIRATUL AINI BINTI MUHAMAD SAYUTY</t>
  </si>
  <si>
    <t>AINA SAYUTY</t>
  </si>
  <si>
    <t>N.19 Demit</t>
  </si>
  <si>
    <t>MOHD ASRI BIN MAT DAUD</t>
  </si>
  <si>
    <t>USTAZ ASRI</t>
  </si>
  <si>
    <t>ISMAIL BIN GHANI</t>
  </si>
  <si>
    <t>TOK WEIL</t>
  </si>
  <si>
    <t>P.025 Bachok</t>
  </si>
  <si>
    <t>N.20 Tawang</t>
  </si>
  <si>
    <t>HARUN BIN ISMAIL</t>
  </si>
  <si>
    <t>USTAZ HARUN</t>
  </si>
  <si>
    <t>CHE MAT ISA BIN CHE DIR</t>
  </si>
  <si>
    <t>CHE MAT</t>
  </si>
  <si>
    <t>N.21 Pantai Irama</t>
  </si>
  <si>
    <t>ZAKIAH BINTI MD NOOR</t>
  </si>
  <si>
    <t>KAK YAH</t>
  </si>
  <si>
    <t>MOHD HUZAIMY BIN CHE HUSIN</t>
  </si>
  <si>
    <t>HAJI MIE</t>
  </si>
  <si>
    <t>N.22 Jelawat</t>
  </si>
  <si>
    <t>YUSRI BIN CHE NOH</t>
  </si>
  <si>
    <t>DATO' YUSRI</t>
  </si>
  <si>
    <t>ZAMERI BIN MAT NAWANG</t>
  </si>
  <si>
    <t>LOYAR ZAMERI</t>
  </si>
  <si>
    <t>ZULKARNAIN BIN HARON</t>
  </si>
  <si>
    <t>BABA ZUL</t>
  </si>
  <si>
    <t>P.026 Ketereh</t>
  </si>
  <si>
    <t>N.23 Melor</t>
  </si>
  <si>
    <t>WAN ROHIMI BIN WAN DAUD</t>
  </si>
  <si>
    <t>WAN ROHIMI</t>
  </si>
  <si>
    <t>AZMI BIN ISHAK</t>
  </si>
  <si>
    <t>CIKGU HJ. AZMI</t>
  </si>
  <si>
    <t>N.24 Kadok</t>
  </si>
  <si>
    <t>MOHD AZIZAN BIN ABDUL RAZAK @ RAJAB</t>
  </si>
  <si>
    <t>IR AZIZAN RAZAK</t>
  </si>
  <si>
    <t>AZAMI BIN HJ MOHD NOR</t>
  </si>
  <si>
    <t>DATO' AZAMI</t>
  </si>
  <si>
    <t>N.25 Kok Lanas</t>
  </si>
  <si>
    <t>AHMAD BIN DERAMAN</t>
  </si>
  <si>
    <t>AHMAD DERAMAN (ABE MAT JELIRA)</t>
  </si>
  <si>
    <t>MOHAMED FARID BIN MOHAMED ZAWAWI</t>
  </si>
  <si>
    <t>DATO' FARID</t>
  </si>
  <si>
    <t>P.027 Tanah Merah</t>
  </si>
  <si>
    <t>N.26 Bukit Panau</t>
  </si>
  <si>
    <t>ABDUL FATTAH BIN HAJI MAHMOOD</t>
  </si>
  <si>
    <t>DATO' ABDUL FATTAH</t>
  </si>
  <si>
    <t>SAMSU ADABI BIN MAMAT</t>
  </si>
  <si>
    <t>DATO' DR. SAMSUL ADABI</t>
  </si>
  <si>
    <t>N.27 Gual Ipoh</t>
  </si>
  <si>
    <t>BAHARI BIN MOHAMAD NOR</t>
  </si>
  <si>
    <t>BAHARI</t>
  </si>
  <si>
    <t>ZUHAIRI BIN ZAKARIA</t>
  </si>
  <si>
    <t>ZUHAIRI (JERI)</t>
  </si>
  <si>
    <t>N.28 Kemahang</t>
  </si>
  <si>
    <t>MAZLI BIN MUSTAFA</t>
  </si>
  <si>
    <t>MAZLI (ABE JEK)</t>
  </si>
  <si>
    <t>MD ANIZAM BIN AB RAHMAN</t>
  </si>
  <si>
    <t>DATO' MEJAR(B) NIZAM</t>
  </si>
  <si>
    <t>P.028 Pasir Puteh</t>
  </si>
  <si>
    <t>N.29 Selising</t>
  </si>
  <si>
    <t>HASHIM BIN ISMAIL</t>
  </si>
  <si>
    <t>DATO' CIKGU HASHIM</t>
  </si>
  <si>
    <t>TUAN MOHD SARIPUDIN BIN TUAN ISMAIL</t>
  </si>
  <si>
    <t>UST TUAN SARIPUDIN</t>
  </si>
  <si>
    <t>N.30 Limbongan</t>
  </si>
  <si>
    <t>NOR ASILAH BINTI MOHAMED ZIN</t>
  </si>
  <si>
    <t>USTAZAH ASILAH</t>
  </si>
  <si>
    <t>KAMARUDDIN BIN MAT ZIN</t>
  </si>
  <si>
    <t>CIKGU DIN</t>
  </si>
  <si>
    <t>N.31 Semerak</t>
  </si>
  <si>
    <t>NOR SHAM BIN SULAIMAN</t>
  </si>
  <si>
    <t>NORSHAM CIKGU ABANG</t>
  </si>
  <si>
    <t>MARSHELA BINTI ALI</t>
  </si>
  <si>
    <t>SHELA CIKGU ALI GOLOK</t>
  </si>
  <si>
    <t>N.32 Gaal</t>
  </si>
  <si>
    <t>MOHD RODZI BIN JA'AFAR</t>
  </si>
  <si>
    <t>USTAZ RODZI</t>
  </si>
  <si>
    <t>MOHD ALIFF NASROL BIN MAT NASIN</t>
  </si>
  <si>
    <t>ALIF</t>
  </si>
  <si>
    <t>P.029 Machang</t>
  </si>
  <si>
    <t>N.33 Pulai Chondong</t>
  </si>
  <si>
    <t>AZHAR BIN SALLEH</t>
  </si>
  <si>
    <t>USTAZ AZHAR</t>
  </si>
  <si>
    <t>MUHAMMAD FAKHRAN BIN CHE JUSOH @ YUSOFF</t>
  </si>
  <si>
    <t>FAKHRAN</t>
  </si>
  <si>
    <t>N.34 Temangan</t>
  </si>
  <si>
    <t>FAUZI BIN SEMAN</t>
  </si>
  <si>
    <t>PAK TUA FAUZI</t>
  </si>
  <si>
    <t>ABDUL KADIR BIN HJ OTHMAN</t>
  </si>
  <si>
    <t>CIKGU KADIR</t>
  </si>
  <si>
    <t>MOHAMED FADZLI BIN HASSAN</t>
  </si>
  <si>
    <t>DATO' DR. FADZLI HASSAN</t>
  </si>
  <si>
    <t>N.35 Kemuning</t>
  </si>
  <si>
    <t>MOHD FAKAARUDDIN BIN ISMAIL</t>
  </si>
  <si>
    <t>ABE FAKARUDIN</t>
  </si>
  <si>
    <t>AHMAD ZAKHRAN BIN MAT NOOR</t>
  </si>
  <si>
    <t>LAWYER ZAKHRAN</t>
  </si>
  <si>
    <t>P.030 Jeli</t>
  </si>
  <si>
    <t>N.36 Bukit Bunga</t>
  </si>
  <si>
    <t>MOHD ALMIDI BIN JAAFAR</t>
  </si>
  <si>
    <t>ALMIDI</t>
  </si>
  <si>
    <t>MOHD ADHAN BIN KECHIK</t>
  </si>
  <si>
    <t>DATO ADHAN</t>
  </si>
  <si>
    <t>N.37 Air Lanas</t>
  </si>
  <si>
    <t>KAMARUDIN BIN MD NOR</t>
  </si>
  <si>
    <t>DATUK KAMARUDIN</t>
  </si>
  <si>
    <t>NASRUL HADI BIN KAMARUZAMAN</t>
  </si>
  <si>
    <t>NH NASRUL HADI</t>
  </si>
  <si>
    <t>N.38 Kuala Balah</t>
  </si>
  <si>
    <t>ABDUL HADI BIN AWANG KECHIL</t>
  </si>
  <si>
    <t>DATO ' HADI</t>
  </si>
  <si>
    <t>MUHAMMAD YAMIN ANUAR BIN MAT ZIN</t>
  </si>
  <si>
    <t>YAMIN ANUAR</t>
  </si>
  <si>
    <t>P.031 Kuala Krai</t>
  </si>
  <si>
    <t>N.39 Mengkebang</t>
  </si>
  <si>
    <t>MOHD SHUKRI BIN ISHAK</t>
  </si>
  <si>
    <t>ABE YIE</t>
  </si>
  <si>
    <t>ZUBIR BIN ABU BAKAR</t>
  </si>
  <si>
    <t>HAJI ZUBIR</t>
  </si>
  <si>
    <t>N.40 Guchil</t>
  </si>
  <si>
    <t>ZUBER BIN HASSAN</t>
  </si>
  <si>
    <t>DR ZUBER</t>
  </si>
  <si>
    <t>HILMI BIN ABDULLAH</t>
  </si>
  <si>
    <t>LAWYER MIE</t>
  </si>
  <si>
    <t>N.41 Manek Urai</t>
  </si>
  <si>
    <t>MOHD FAUZI BIN ABDULLAH</t>
  </si>
  <si>
    <t>ABE UJI</t>
  </si>
  <si>
    <t>SUZAINI ADLINA BINTI SUKRI</t>
  </si>
  <si>
    <t>CHE NIE</t>
  </si>
  <si>
    <t>N.42 Dabong</t>
  </si>
  <si>
    <t>KU MOHD ZAKI BIN KU HUSSIN</t>
  </si>
  <si>
    <t>TOK IME KU ZAKI</t>
  </si>
  <si>
    <t>AHMAD FIRDAUS BIN MUHAMMAD</t>
  </si>
  <si>
    <t>ABE FIRDAUS</t>
  </si>
  <si>
    <t>P.032 Gua Musang</t>
  </si>
  <si>
    <t>N.43 Nenggiri</t>
  </si>
  <si>
    <t>AB AZIZ BIN YUSOFF</t>
  </si>
  <si>
    <t>MOHD AZIZI BIN ABU NAIM</t>
  </si>
  <si>
    <t>MOHD AZIZI ABU NAIM</t>
  </si>
  <si>
    <t>N.44 Paloh</t>
  </si>
  <si>
    <t>SHAARI BIN MAT HUSSAIN</t>
  </si>
  <si>
    <t>DATO SHAARI</t>
  </si>
  <si>
    <t>AMRAN BIN ARIFIN</t>
  </si>
  <si>
    <t>AMRAN ARIFIN</t>
  </si>
  <si>
    <t>N.45 Galas</t>
  </si>
  <si>
    <t>MOHD TARMIZI BIN ABD RAHMAN</t>
  </si>
  <si>
    <t>USTAZ JI</t>
  </si>
  <si>
    <t>MOHD SYAHBUDDIN BIN HASHIM</t>
  </si>
  <si>
    <t>ABE DIN</t>
  </si>
  <si>
    <t>Terengganu</t>
  </si>
  <si>
    <t>P.033 Besut</t>
  </si>
  <si>
    <t>N.01 Kuala Besut</t>
  </si>
  <si>
    <t>TENGKU ZAIHAN BIN CHE KU ABD RAHMAN</t>
  </si>
  <si>
    <t>TENGKU ZAIHAN</t>
  </si>
  <si>
    <t>AZBI BIN SALLEH</t>
  </si>
  <si>
    <t>HAJI AZBI</t>
  </si>
  <si>
    <t>N.02 Kota Putera</t>
  </si>
  <si>
    <t>MOHD NURKHUZAINI BIN AB RAHMAN</t>
  </si>
  <si>
    <t>HJ KHUZ</t>
  </si>
  <si>
    <t>MUHAMMAD PEHIMI BIN YUSOF</t>
  </si>
  <si>
    <t>DATO' MUHAMMAD PEHIMI YUSOF</t>
  </si>
  <si>
    <t>N.03 Jertih</t>
  </si>
  <si>
    <t>RIDUAN BIN MOHAMAD NOR</t>
  </si>
  <si>
    <t>DR RIDUAN MOHAMAD NOR</t>
  </si>
  <si>
    <t>MOHD ROZAINI BIN MOHD RASLI</t>
  </si>
  <si>
    <t>ROZAINI @ KOJA</t>
  </si>
  <si>
    <t>N.04 Hulu Besut</t>
  </si>
  <si>
    <t>NAWI BIN MOHAMAD</t>
  </si>
  <si>
    <t>CHE HARUN KAMARIAH BIN ABDULLAH</t>
  </si>
  <si>
    <t>DR. CIKGU CHE HARUN KAMARIAH</t>
  </si>
  <si>
    <t>MOHD HUSAIMI BIN HUSSIN</t>
  </si>
  <si>
    <t>MIE CHE HUSSIN</t>
  </si>
  <si>
    <t>P.034 Setiu</t>
  </si>
  <si>
    <t>N.05 Jabi</t>
  </si>
  <si>
    <t>ROSDI BIN ZAKARIA</t>
  </si>
  <si>
    <t>USTAZ ROSDI ZAKARIA</t>
  </si>
  <si>
    <t>AZMAN BIN IBRAHIM</t>
  </si>
  <si>
    <t>DR. AZMAN</t>
  </si>
  <si>
    <t>N.06 Permaisuri</t>
  </si>
  <si>
    <t>HAMDAN BIN HAMZAH</t>
  </si>
  <si>
    <t>HAMDAN HAMZAH</t>
  </si>
  <si>
    <t>MOHD YUSOP BIN MAJID</t>
  </si>
  <si>
    <t>YUSOP MAJID</t>
  </si>
  <si>
    <t>N.07 Langkap</t>
  </si>
  <si>
    <t>AZMI BIN MAAROF</t>
  </si>
  <si>
    <t>AZMI MAAROF</t>
  </si>
  <si>
    <t>SABRI BIN MOHD NOOR</t>
  </si>
  <si>
    <t>DATO' HAJI SABRI MOHD NOOR</t>
  </si>
  <si>
    <t>N.08 Batu Rakit</t>
  </si>
  <si>
    <t>MOHD SHAFIZI BIN ISMAIL</t>
  </si>
  <si>
    <t>USTAZ MOHD SHAFIZI</t>
  </si>
  <si>
    <t>BAZLAN BIN ABD RAHMAN</t>
  </si>
  <si>
    <t>P.035 Kuala Nerus</t>
  </si>
  <si>
    <t>N.09 Tepuh</t>
  </si>
  <si>
    <t>HISHAMUDDIN BIN ABDUL KARIM</t>
  </si>
  <si>
    <t>USTAZ HISHAMUDDIN</t>
  </si>
  <si>
    <t>MUHAMMAD HANAFI BIN HASSAN</t>
  </si>
  <si>
    <t>MUHAMMAD HANAFI HASSAN</t>
  </si>
  <si>
    <t>N.10 Buluh Gading</t>
  </si>
  <si>
    <t>RIDZUAN BIN HASHIM</t>
  </si>
  <si>
    <t>USTAZ RIDZUAN HASHIM</t>
  </si>
  <si>
    <t>OMAR BIN ADAM</t>
  </si>
  <si>
    <t>N.11 Seberang Takir</t>
  </si>
  <si>
    <t>AHMAD RAZIF BIN ABD RAHMAN</t>
  </si>
  <si>
    <t>CIKGU RAZIF</t>
  </si>
  <si>
    <t>KHAZAN BIN CHE MAT</t>
  </si>
  <si>
    <t>USTAZ HAJI KHAZAN</t>
  </si>
  <si>
    <t>N.12 Bukit Tunggal</t>
  </si>
  <si>
    <t>WAN NOORISLAM BIN WAN HASHIM</t>
  </si>
  <si>
    <t>ZAHARUDIN BIN ZAHID</t>
  </si>
  <si>
    <t>HAJI ZAHARUDIN</t>
  </si>
  <si>
    <t>P.036 Kuala Terengganu</t>
  </si>
  <si>
    <t>N.13 Wakaf Mempelam</t>
  </si>
  <si>
    <t>WAN SUKAIRI BIN WAN ABDULLAH</t>
  </si>
  <si>
    <t>USTAZ WAN SUKAIRI</t>
  </si>
  <si>
    <t>WAN MUHAMAD HAIKAL BIN WAN GHAZALI</t>
  </si>
  <si>
    <t>WAN HAIKAL</t>
  </si>
  <si>
    <t>N.14 Bandar</t>
  </si>
  <si>
    <t>AHMAD SHAH BIN MUHAMED</t>
  </si>
  <si>
    <t>USTAZ AHMAD SHAH</t>
  </si>
  <si>
    <t>ARMI IRZAN BIN MOHD</t>
  </si>
  <si>
    <t>ARMI IRZAN MOHD</t>
  </si>
  <si>
    <t>LUQMAN BIN LONG</t>
  </si>
  <si>
    <t>LUQMAN LONG</t>
  </si>
  <si>
    <t>IKATAN DEMOKRATIK MALAYSIA</t>
  </si>
  <si>
    <t>MUDA</t>
  </si>
  <si>
    <t>N.15 Ladang</t>
  </si>
  <si>
    <t>MOHD SABRI BIN ALWI</t>
  </si>
  <si>
    <t>DATUK MAT</t>
  </si>
  <si>
    <t>ZURAIDA BINTI MD.NOOR</t>
  </si>
  <si>
    <t>ZURAIDA MD NOOR</t>
  </si>
  <si>
    <t>N.16 Batu Buruk</t>
  </si>
  <si>
    <t>MUHAMMAD KHALIL BIN ABDUL HADI</t>
  </si>
  <si>
    <t>USTAZ KHALIL</t>
  </si>
  <si>
    <t>MOHAMAD ZAMIR BIN GHAZALI</t>
  </si>
  <si>
    <t>ZAMIR GHAZALI</t>
  </si>
  <si>
    <t>P.037 Marang</t>
  </si>
  <si>
    <t>N.17 Alur Limbat</t>
  </si>
  <si>
    <t>MOHD YUSERI BIN ISA</t>
  </si>
  <si>
    <t>CIKGU MOHD YUSERI</t>
  </si>
  <si>
    <t>ARIFFIN BIN DERAMAN</t>
  </si>
  <si>
    <t>USTAZ ARIFFIN</t>
  </si>
  <si>
    <t>N.18 Bukit Payung</t>
  </si>
  <si>
    <t>MOHD KHIM @ MOHD KHAN BIN ABD RAHMAN</t>
  </si>
  <si>
    <t>MOHD KHAN</t>
  </si>
  <si>
    <t>MOHD NOR BIN HAMZAH</t>
  </si>
  <si>
    <t>USTAZ MOHD NOR</t>
  </si>
  <si>
    <t>N.19 Ru Rendang</t>
  </si>
  <si>
    <t>SUHAIMI BIN SULAIMAN</t>
  </si>
  <si>
    <t>HAJI SUHAIMI</t>
  </si>
  <si>
    <t>AHMAD SAMSURI BIN MOKHTAR</t>
  </si>
  <si>
    <t>DR SAM</t>
  </si>
  <si>
    <t>N.20 Pengkalan Berangan</t>
  </si>
  <si>
    <t>SULAIMAN BIN SULONG</t>
  </si>
  <si>
    <t>USTAZ SULAIMAN</t>
  </si>
  <si>
    <t>NIK DIR BIN NIK WAN KU</t>
  </si>
  <si>
    <t>DATO' HAJI NIK DIR</t>
  </si>
  <si>
    <t>P.038 Hulu Terengganu</t>
  </si>
  <si>
    <t>N.21 Telemung</t>
  </si>
  <si>
    <t>MOHD ZAWAWI BIN ISMAIL</t>
  </si>
  <si>
    <t>CIKGU AWI</t>
  </si>
  <si>
    <t>ROZI BIN MAMAT</t>
  </si>
  <si>
    <t>DATO' ROZI MAMAT</t>
  </si>
  <si>
    <t>N.22 Manir</t>
  </si>
  <si>
    <t>EKA LISUT</t>
  </si>
  <si>
    <t>HILMI BIN HARUN</t>
  </si>
  <si>
    <t>USTAZ HILMI</t>
  </si>
  <si>
    <t>N.23 Kuala Berang</t>
  </si>
  <si>
    <t>JALALUDIN BIN ISMAIL</t>
  </si>
  <si>
    <t>CG. JALAL</t>
  </si>
  <si>
    <t>MAMAD BIN PUTEH</t>
  </si>
  <si>
    <t>DR.MAMAD</t>
  </si>
  <si>
    <t>N.24 Ajil</t>
  </si>
  <si>
    <t>JAILANI BIN JOHARI</t>
  </si>
  <si>
    <t>JAILANI JOHARI</t>
  </si>
  <si>
    <t>MALIAMAN BIN KASSIM</t>
  </si>
  <si>
    <t>USTAZ MALIAMAN KASSIM</t>
  </si>
  <si>
    <t>P.039 Dungun</t>
  </si>
  <si>
    <t>N.25 Bukit Besi</t>
  </si>
  <si>
    <t>GHAZALI BIN SULAIMAN</t>
  </si>
  <si>
    <t>HAJI GHAZALI</t>
  </si>
  <si>
    <t>DIN BIN ADAM</t>
  </si>
  <si>
    <t>DATO DIN ADAM</t>
  </si>
  <si>
    <t>N.26 Rantau Abang</t>
  </si>
  <si>
    <t>MOHD ASRI BIN MOHAMAD</t>
  </si>
  <si>
    <t>MOHD FADHLI RAHMI BIN ZULKIFLI</t>
  </si>
  <si>
    <t>USTAZ MOHD FADHLI</t>
  </si>
  <si>
    <t>N.27 Sura</t>
  </si>
  <si>
    <t>TENGKU MUHAMMAD FAKHRUDDIN BIN TENGKU MD FAUZI</t>
  </si>
  <si>
    <t>DR DIN</t>
  </si>
  <si>
    <t>OTHMAN BIN OMAR</t>
  </si>
  <si>
    <t>CIKGU OBO OTHMAN BIN OMAR</t>
  </si>
  <si>
    <t>N.28 Paka</t>
  </si>
  <si>
    <t>SATIFUL BAHARI BIN MAMAT</t>
  </si>
  <si>
    <t>DATO' USTAZ SAIFUL BAHRI</t>
  </si>
  <si>
    <t>AHMAD ABDULLAH BIN ABD WAHAB</t>
  </si>
  <si>
    <t>MAD PAKA</t>
  </si>
  <si>
    <t>P.040 Kemaman</t>
  </si>
  <si>
    <t>N.29 Kemasik</t>
  </si>
  <si>
    <t>SAIFUL AZMI BIN SUHAILI</t>
  </si>
  <si>
    <t>IR HJ SAIFUL AZMI</t>
  </si>
  <si>
    <t>MUHAMMAD KHAIRI AFIQ BIN MOHD YUSOF</t>
  </si>
  <si>
    <t>KHAIRI AFIQ</t>
  </si>
  <si>
    <t>N.30 Kijal</t>
  </si>
  <si>
    <t>RAZALI BIN IDRIS</t>
  </si>
  <si>
    <t>TOK LI</t>
  </si>
  <si>
    <t>AHMAD BIN SAID</t>
  </si>
  <si>
    <t>DATO' SERI (DR.) HJ. AHMAD BIN SAID</t>
  </si>
  <si>
    <t>N.31 Cukai</t>
  </si>
  <si>
    <t>MOHAMED RAHIM BIN HUSSIN</t>
  </si>
  <si>
    <t>DATO' SRI HAJI MOHAMED RAHIM BIN HUSSIN</t>
  </si>
  <si>
    <t>HANAFIAH BIN MAT</t>
  </si>
  <si>
    <t>HAJI HANAFIAH MAT</t>
  </si>
  <si>
    <t>N.32 Air Putih</t>
  </si>
  <si>
    <t>MOHD HAFIZ BIN ADAM</t>
  </si>
  <si>
    <t>MOHD HAFIZ</t>
  </si>
  <si>
    <t>MOHD ZAKI BIN SALLEH</t>
  </si>
  <si>
    <t>DR. MOHD ZAKI BIN SALLEH</t>
  </si>
  <si>
    <t>Pulau Pinang</t>
  </si>
  <si>
    <t>P.041 Kepala Batas</t>
  </si>
  <si>
    <t>N.01 Penaga</t>
  </si>
  <si>
    <t>MOHD YUSNI BIN MAT PIAH</t>
  </si>
  <si>
    <t>USTAZ YUSNI</t>
  </si>
  <si>
    <t>MOHD NAIM BIN SALLEH</t>
  </si>
  <si>
    <t>USTAZ MOHD NAIM BIN HJ. SALLEH</t>
  </si>
  <si>
    <t>N.02 Bertam</t>
  </si>
  <si>
    <t>REEZAL MERICAN BIN NAINA MERICAN</t>
  </si>
  <si>
    <t>DATO SRI REEZAL MERICAN BIN NAINA MERICAN</t>
  </si>
  <si>
    <t>KHALIQ MEHTAB BIN MOHD ISHAQ</t>
  </si>
  <si>
    <t>KHALIQ MEHTAB</t>
  </si>
  <si>
    <t>N.03 Pinang Tunggal</t>
  </si>
  <si>
    <t>ZAINUDDIN BIN MOHAMED</t>
  </si>
  <si>
    <t>ZAINUDDIN MOHAMED</t>
  </si>
  <si>
    <t>BUKHORI BIN GHAZALI</t>
  </si>
  <si>
    <t>BUKHORI GHAZALI</t>
  </si>
  <si>
    <t>P.042 Tasek Gelugor</t>
  </si>
  <si>
    <t>N.04 Permatang Berangan</t>
  </si>
  <si>
    <t>NOR HAFIZAH BINTI OTHMAN</t>
  </si>
  <si>
    <t>MOHD SOBRI BIN SALEH</t>
  </si>
  <si>
    <t>PAKCIK SOBRI</t>
  </si>
  <si>
    <t>N.05 Sungai Dua</t>
  </si>
  <si>
    <t>MUHAMMAD FAUZI BIN YUSOFF</t>
  </si>
  <si>
    <t>USTAZ FAUZI</t>
  </si>
  <si>
    <t>SHAIK HUSSEIN BIN MYDIN</t>
  </si>
  <si>
    <t>DATO DR. SHAIK HUSSEIN MYDIN</t>
  </si>
  <si>
    <t>N.06 Telok Ayer Tawar</t>
  </si>
  <si>
    <t>ABDUL MOHSEIN BIN MOHD SHARIFF</t>
  </si>
  <si>
    <t>MOHSEIN SHARIFF</t>
  </si>
  <si>
    <t>AZMI BIN ALANG</t>
  </si>
  <si>
    <t>AZMI ALANG</t>
  </si>
  <si>
    <t>P.043 Bagan</t>
  </si>
  <si>
    <t>N.07 Sungai Puyu</t>
  </si>
  <si>
    <t>PHEE SYN TZE</t>
  </si>
  <si>
    <t>TEOW CHIN SIANG</t>
  </si>
  <si>
    <t>ANDREW TEOW</t>
  </si>
  <si>
    <t>N.08 Bagan Jermal</t>
  </si>
  <si>
    <t>ONG CHUAN JIN</t>
  </si>
  <si>
    <t>CJ ONG</t>
  </si>
  <si>
    <t>CHEE YEEH KEEN</t>
  </si>
  <si>
    <t>N.09 Bagan Dalam</t>
  </si>
  <si>
    <t>RAJASAKANAN A/L SINNAKANNU</t>
  </si>
  <si>
    <t>PENANG FRONT PARTY</t>
  </si>
  <si>
    <t>PFP</t>
  </si>
  <si>
    <t>SATEES A/L MUNIANDY</t>
  </si>
  <si>
    <t>SATEES MUNIANDY</t>
  </si>
  <si>
    <t>JAYARAMAN A/L K KUNCHU KANNU</t>
  </si>
  <si>
    <t>K. JAYARAMAN</t>
  </si>
  <si>
    <t>KUMARAN A/L KRISHNAN</t>
  </si>
  <si>
    <t>KUMARAN KRISHNAN @ CALVIN</t>
  </si>
  <si>
    <t>P.044 Permatang Pauh</t>
  </si>
  <si>
    <t>N.10 Seberang Jaya</t>
  </si>
  <si>
    <t>JOHARI BIN KASSIM</t>
  </si>
  <si>
    <t>JOHARI KASSIM</t>
  </si>
  <si>
    <t>IZHAR SHAH BIN ARIF SHAH</t>
  </si>
  <si>
    <t>IZHAR SHAH DATUK ARIF SHAH</t>
  </si>
  <si>
    <t>N.11 Permatang Pasir</t>
  </si>
  <si>
    <t>AMIR HAMZAH B ABDUL HASHIM @ MD HASHIM</t>
  </si>
  <si>
    <t>HAJI AMIR HAMZAH</t>
  </si>
  <si>
    <t>MUHAMMAD FAIZ BIN FADZIL</t>
  </si>
  <si>
    <t>FAIZ FADZIL</t>
  </si>
  <si>
    <t>N.12 Penanti</t>
  </si>
  <si>
    <t>ROSIDI BIN HUSSAIN</t>
  </si>
  <si>
    <t>USTAZ ROSIDI HUSSAIN</t>
  </si>
  <si>
    <t>ZULKEFLI BIN BAKAR</t>
  </si>
  <si>
    <t>P.045 Bukit Mertajam</t>
  </si>
  <si>
    <t>N.13 Berapit</t>
  </si>
  <si>
    <t>HENG LEE LEE</t>
  </si>
  <si>
    <t>LEE KOK KEONG</t>
  </si>
  <si>
    <t>N.14 Machang Bubuk</t>
  </si>
  <si>
    <t>LEE KHAI LOON</t>
  </si>
  <si>
    <t>TAN HUM WEI</t>
  </si>
  <si>
    <t>ANDY TAN HUM WEI</t>
  </si>
  <si>
    <t>N.15 Padang Lalang</t>
  </si>
  <si>
    <t>SURESH A/L DEVARAJ NAIDU</t>
  </si>
  <si>
    <t>SURESH</t>
  </si>
  <si>
    <t>OOI KHAR GIAP</t>
  </si>
  <si>
    <t>GOOI ZI SEN</t>
  </si>
  <si>
    <t>P.046 Batu Kawan</t>
  </si>
  <si>
    <t>N.16 Perai</t>
  </si>
  <si>
    <t>VIKNESWARY A/P HARIKRISHNAN</t>
  </si>
  <si>
    <t>VIKY</t>
  </si>
  <si>
    <t>SUNDARAJOO A/L SOMU</t>
  </si>
  <si>
    <t>SUNDARAJOO SOMU</t>
  </si>
  <si>
    <t>DAVID MARSHEL A/L PAKIANATHAN</t>
  </si>
  <si>
    <t>DAVID MARSHEL</t>
  </si>
  <si>
    <t>SIVASUNTARAM A/L RAJALINGGAM</t>
  </si>
  <si>
    <t>N.17 Bukit Tengah</t>
  </si>
  <si>
    <t>GOOI HSIAO-LEUNG</t>
  </si>
  <si>
    <t>BALJIT SINGH A/L JIGIRI SINGH</t>
  </si>
  <si>
    <t>BALJIT SINGH</t>
  </si>
  <si>
    <t>N.18 Bukit Tambun</t>
  </si>
  <si>
    <t>GOH CHOON AIK</t>
  </si>
  <si>
    <t>SAMUGANATHAN A/L MUNIANDY</t>
  </si>
  <si>
    <t>TAN GIA WEI</t>
  </si>
  <si>
    <t>P.047 Nibong Tebal</t>
  </si>
  <si>
    <t>N.19 Jawi</t>
  </si>
  <si>
    <t>H'NG MOOI LYE</t>
  </si>
  <si>
    <t>KOH TIEN YEW</t>
  </si>
  <si>
    <t>STEVEN KOH</t>
  </si>
  <si>
    <t>N.20 Sungai Bakap</t>
  </si>
  <si>
    <t>NOR ZAMRI BIN LATIFF</t>
  </si>
  <si>
    <t>ABANG ZAM</t>
  </si>
  <si>
    <t>NURHIDAYAH BINTI CHE ROSE</t>
  </si>
  <si>
    <t>NURHIDAYAH</t>
  </si>
  <si>
    <t>N.21 Sungai Acheh</t>
  </si>
  <si>
    <t>ZULKIFLI BIN IBRAHIM</t>
  </si>
  <si>
    <t>RASHIDI BIN ZINOL</t>
  </si>
  <si>
    <t>P.048 Bukit Bendera</t>
  </si>
  <si>
    <t>N.22 Tanjong Bunga</t>
  </si>
  <si>
    <t>ZAIRIL KHIR JOHARI</t>
  </si>
  <si>
    <t>LEE CHUI WAH</t>
  </si>
  <si>
    <t>HNG CHEE WEY</t>
  </si>
  <si>
    <t>N.23 Air Putih</t>
  </si>
  <si>
    <t>TEH YEE CHEU</t>
  </si>
  <si>
    <t>KONG CHENG ANN</t>
  </si>
  <si>
    <t>IVAN KONG</t>
  </si>
  <si>
    <t>LIM GUAN ENG</t>
  </si>
  <si>
    <t>N.24 Kebun Bunga</t>
  </si>
  <si>
    <t>RAZALIF BIN MOHAMAD ZAIN</t>
  </si>
  <si>
    <t>TAN ZHEN ZUNE</t>
  </si>
  <si>
    <t>LEE BOON HENG</t>
  </si>
  <si>
    <t>N.25 Pulau Tikus</t>
  </si>
  <si>
    <t>GOH CHUIN LOON</t>
  </si>
  <si>
    <t>WOO SZE ZENG</t>
  </si>
  <si>
    <t>JOSHUA WOO SZE ZENG</t>
  </si>
  <si>
    <t>TANG CHING SERN</t>
  </si>
  <si>
    <t>DAVE TANG</t>
  </si>
  <si>
    <t>P.049 Tanjong</t>
  </si>
  <si>
    <t>N.26 Padang Kota</t>
  </si>
  <si>
    <t>H'NG KHOON LENG</t>
  </si>
  <si>
    <t>CHOW KON YEOW</t>
  </si>
  <si>
    <t>N.27 Pengkalan Kota</t>
  </si>
  <si>
    <t>SUTHAKARAN A/L SUBRAMANIAM</t>
  </si>
  <si>
    <t>S. KARAN MAYAN</t>
  </si>
  <si>
    <t>WONG YUEE HARNG</t>
  </si>
  <si>
    <t>N.28 Komtar</t>
  </si>
  <si>
    <t>CHEAH KIM HUAT</t>
  </si>
  <si>
    <t>TEH LAI HENG</t>
  </si>
  <si>
    <t>P.050 Jelutong</t>
  </si>
  <si>
    <t>N.29 Datok Keramat</t>
  </si>
  <si>
    <t>JAGDEEP SINGH DEO A/L KARPAL SINGH</t>
  </si>
  <si>
    <t>HENG SEE LIN</t>
  </si>
  <si>
    <t>N.30 Sungai Pinang</t>
  </si>
  <si>
    <t>ANDREW RAJAH A/L BELLIMIN RAJAH</t>
  </si>
  <si>
    <t>ANDREW RAJAH</t>
  </si>
  <si>
    <t>LIM SIEW KHIM</t>
  </si>
  <si>
    <t>NG FOOK ON</t>
  </si>
  <si>
    <t>ABDUL GHANI BIN HAROON</t>
  </si>
  <si>
    <t>ABDUL GHANI HAROON</t>
  </si>
  <si>
    <t>N.31 Batu Lancang</t>
  </si>
  <si>
    <t>ONG AH TEONG</t>
  </si>
  <si>
    <t>MOHD ASWAAD BIN JAAFAR</t>
  </si>
  <si>
    <t>P.051 Bukit Gelugor</t>
  </si>
  <si>
    <t>N.32 Seri Delima</t>
  </si>
  <si>
    <t>MOHAN A/L APPAROO</t>
  </si>
  <si>
    <t>A MOHAN</t>
  </si>
  <si>
    <t>TAN HOOI PENG</t>
  </si>
  <si>
    <t>CONNIE TAN HOOI PENG</t>
  </si>
  <si>
    <t>N.33 Air Itam</t>
  </si>
  <si>
    <t>JOSEPH NG SOON SIANG</t>
  </si>
  <si>
    <t>CHEANG CHEE GOOI</t>
  </si>
  <si>
    <t>N.34 Paya Terubong</t>
  </si>
  <si>
    <t>WONG HON WAI</t>
  </si>
  <si>
    <t>OOI GHEE OON</t>
  </si>
  <si>
    <t>ANDREW OOI</t>
  </si>
  <si>
    <t>P.052 Bayan Baru</t>
  </si>
  <si>
    <t>N.35 Batu Uban</t>
  </si>
  <si>
    <t>LEE KIM NOOR</t>
  </si>
  <si>
    <t>KN LEE</t>
  </si>
  <si>
    <t>KUMARESAN A/L ARAMUGAM</t>
  </si>
  <si>
    <t>A.KUMARESAN</t>
  </si>
  <si>
    <t>MOK KOK ON</t>
  </si>
  <si>
    <t>N.36 Pantai Jerejak</t>
  </si>
  <si>
    <t>FAHMI BIN ZAINOL</t>
  </si>
  <si>
    <t>FAHMI ZAINOL</t>
  </si>
  <si>
    <t>OH TONG KEONG</t>
  </si>
  <si>
    <t>LOH XIANG PIN</t>
  </si>
  <si>
    <t>PRIYANKAA LOH</t>
  </si>
  <si>
    <t>RAVINDER SINGH A/L MALL SINGH</t>
  </si>
  <si>
    <t>RAVINDER SINGH</t>
  </si>
  <si>
    <t>N.37 Batu Maung</t>
  </si>
  <si>
    <t>AZAHARI BIN ARIS</t>
  </si>
  <si>
    <t>MOHAMAD BIN ABDUL HAMID</t>
  </si>
  <si>
    <t>PROF. DATO' DR. MOHAMAD</t>
  </si>
  <si>
    <t>P.053 Balik Pulau</t>
  </si>
  <si>
    <t>N.38 Bayan Lepas</t>
  </si>
  <si>
    <t>DOMINIC LAU HOE CHAI</t>
  </si>
  <si>
    <t>DR DOMINIC LAU HOE CHAI</t>
  </si>
  <si>
    <t>AZRUL MAHATHIR BIN AZIZ</t>
  </si>
  <si>
    <t>N.39 Pulau Betong</t>
  </si>
  <si>
    <t>MOHD TUAH BIN ISMAIL</t>
  </si>
  <si>
    <t>HJ. TUAH B. ISMAIL</t>
  </si>
  <si>
    <t>MOHAMAD SHUKOR BIN ZAKARIAH</t>
  </si>
  <si>
    <t>HJ. SHUKOR</t>
  </si>
  <si>
    <t>N.40 Telok Bahang</t>
  </si>
  <si>
    <t>AHMAD ZAKI SHAH BIN SHAH HEADAN</t>
  </si>
  <si>
    <t>MUHAMAD BIN KASIM</t>
  </si>
  <si>
    <t>KOLONEL MUHAMAD BIN KASIM (B)</t>
  </si>
  <si>
    <t>P.092 Sabak Bernam</t>
  </si>
  <si>
    <t>N.01 Sungai Air Tawar</t>
  </si>
  <si>
    <t>MOHAMAD ZAIDI BIN SELAMAT</t>
  </si>
  <si>
    <t>CIKGU ZAIDI SELAMAT</t>
  </si>
  <si>
    <t>RIZAM BIN ISMAIL</t>
  </si>
  <si>
    <t>DATUK HAJI RIZAM ISMAIL</t>
  </si>
  <si>
    <t>N.02 Sabak</t>
  </si>
  <si>
    <t>SAMAD BIN HASHIM</t>
  </si>
  <si>
    <t>CIKGU SAMAD BIN HASHIM</t>
  </si>
  <si>
    <t>SALLEHEN BIN MUKHYI</t>
  </si>
  <si>
    <t>USTAZ SALLEHEN MUKHYI</t>
  </si>
  <si>
    <t>P.093 Sungai Besar</t>
  </si>
  <si>
    <t>N.03 Sungai Panjang</t>
  </si>
  <si>
    <t>MOHD IMRAN BIN TAMRIN</t>
  </si>
  <si>
    <t>MOHD RAZALI BIN SAARI</t>
  </si>
  <si>
    <t>USTAZ RAZALI SAARI</t>
  </si>
  <si>
    <t>N.04 Sekinchan</t>
  </si>
  <si>
    <t>GOH GAIK MENG</t>
  </si>
  <si>
    <t>NG SUEE LIM</t>
  </si>
  <si>
    <t>P.094 Hulu Selangor</t>
  </si>
  <si>
    <t>N.05 Hulu Bernam</t>
  </si>
  <si>
    <t>MOHD AMRAN BIN SAKIR</t>
  </si>
  <si>
    <t>HAJI AMRAN SAKIR</t>
  </si>
  <si>
    <t>MU'IZZUDDEEN BIN MAHYUDDIN</t>
  </si>
  <si>
    <t>MUIZ MAHYUDDIN</t>
  </si>
  <si>
    <t>N.06 Kuala Kubu Baharu</t>
  </si>
  <si>
    <t>TEOH KIEN HONG</t>
  </si>
  <si>
    <t>HENRY TEOH</t>
  </si>
  <si>
    <t>CHNG BOON LAI</t>
  </si>
  <si>
    <t>LEE KEE HIONG</t>
  </si>
  <si>
    <t>SIVA PRAKASH A/L RAMASAMY</t>
  </si>
  <si>
    <t>DR SIVA</t>
  </si>
  <si>
    <t>N.07 Batang Kali</t>
  </si>
  <si>
    <t>MUHAMMAD MUHAIMIN HARITH BIN ABDULLAH SANI</t>
  </si>
  <si>
    <t>MUHAIMIN HARITH</t>
  </si>
  <si>
    <t>MOHD ISA BIN ABU KASIM</t>
  </si>
  <si>
    <t>P.095 Tanjong Karang</t>
  </si>
  <si>
    <t>N.08 Sungai Burong</t>
  </si>
  <si>
    <t>MOHD ZAMRI BIN MOHD ZAINULDIN</t>
  </si>
  <si>
    <t>DR ZAMRI MANTOP</t>
  </si>
  <si>
    <t>MOHAMAD KHIR BIN RAMLI</t>
  </si>
  <si>
    <t>USTAZ KHIR</t>
  </si>
  <si>
    <t>N.09 Permatang</t>
  </si>
  <si>
    <t>MOHD YAHYA BIN MAT SAHRI</t>
  </si>
  <si>
    <t>PAKYA</t>
  </si>
  <si>
    <t>NURUL SYAZWANI BINTI NOH</t>
  </si>
  <si>
    <t>NURUL NOH OMAR</t>
  </si>
  <si>
    <t>P.096 Kuala Selangor</t>
  </si>
  <si>
    <t>N.10 Bukit Melawati</t>
  </si>
  <si>
    <t>THIBAN A/L SUBBRAMANIAM</t>
  </si>
  <si>
    <t>NOORAZLEY BIN YAHYA</t>
  </si>
  <si>
    <t>HJ. AZLEY YAHYA</t>
  </si>
  <si>
    <t>N.11 Ijok</t>
  </si>
  <si>
    <t>JEFRI BIN MEJAN</t>
  </si>
  <si>
    <t>AMIDI BIN ABDUL MANAN</t>
  </si>
  <si>
    <t>CIKGU AMIDI</t>
  </si>
  <si>
    <t>TAN CAT KEONG</t>
  </si>
  <si>
    <t>CK TAN</t>
  </si>
  <si>
    <t>N.12 Jeram</t>
  </si>
  <si>
    <t>JAHAYA BIN IBRAHIM</t>
  </si>
  <si>
    <t>JAHAYA IBRAHIM</t>
  </si>
  <si>
    <t>HARRISON BIN HASSAN</t>
  </si>
  <si>
    <t>P.097 Selayang</t>
  </si>
  <si>
    <t>N.13 Kuang</t>
  </si>
  <si>
    <t>HASNAL REZUA MERICAN BIN HABIB MERICAN</t>
  </si>
  <si>
    <t>HASNAL REZUA MERICAN</t>
  </si>
  <si>
    <t>SALLEHUDIN BIN AMIRUDDIN</t>
  </si>
  <si>
    <t>YB. SALLEH AMIRUDDIN</t>
  </si>
  <si>
    <t>MOHD RAFIQ BIN MOHD ABDULLAH</t>
  </si>
  <si>
    <t>MOHD RAFIQ ABDULLAH</t>
  </si>
  <si>
    <t>N.14 Rawang</t>
  </si>
  <si>
    <t>REJEAN KUMAR A/L RATNAM</t>
  </si>
  <si>
    <t>R. REJEAN KUMAR</t>
  </si>
  <si>
    <t>CHUA WEI KIAT</t>
  </si>
  <si>
    <t>N.15 Taman Templer</t>
  </si>
  <si>
    <t>AIDA NAZEERA BINTI ABD RAHMAN</t>
  </si>
  <si>
    <t>AIDA RAHMAN</t>
  </si>
  <si>
    <t>ANFAAL BINTI SAARI</t>
  </si>
  <si>
    <t>ANFAAL SAARI</t>
  </si>
  <si>
    <t>ZAIDY BIN ABDUL TALIB</t>
  </si>
  <si>
    <t>ZAIDY ABDUL TALIB</t>
  </si>
  <si>
    <t>P.098 Gombak</t>
  </si>
  <si>
    <t>N.16 Sungai Tua</t>
  </si>
  <si>
    <t>SUMAN A/L GOPAL</t>
  </si>
  <si>
    <t>SUMAN GOPAL</t>
  </si>
  <si>
    <t>MUHAMMAD HANIF BIN JAMALUDDIN</t>
  </si>
  <si>
    <t>HANIF JAMALUDDIN</t>
  </si>
  <si>
    <t>AMIRUDIN BIN SHARI</t>
  </si>
  <si>
    <t>AMIRUDIN SHARI</t>
  </si>
  <si>
    <t>N.17 Gombak Setia</t>
  </si>
  <si>
    <t>MOHAMED SALIM BIN MOHAMED ALI</t>
  </si>
  <si>
    <t>MUHAMMAD HILMAN BIN IDHAM</t>
  </si>
  <si>
    <t>HILMAN IDHAM</t>
  </si>
  <si>
    <t>MEGAT ZULKARNAIN BIN OMARDIN</t>
  </si>
  <si>
    <t>MEGAT ZULKARNAIN OMARDIN</t>
  </si>
  <si>
    <t>N.18 Hulu Kelang</t>
  </si>
  <si>
    <t>MOHAMED AZMIN BIN ALI</t>
  </si>
  <si>
    <t>AZMIN ALI</t>
  </si>
  <si>
    <t>JUWAIRIYA BINTI ZULKIFLI</t>
  </si>
  <si>
    <t>JUWAIRIYA ZULKIFLI</t>
  </si>
  <si>
    <t>P.099 Ampang</t>
  </si>
  <si>
    <t>N.19 Bukit Antarabangsa</t>
  </si>
  <si>
    <t>MELANIE TING YI-HLIN</t>
  </si>
  <si>
    <t>MELANIE TING</t>
  </si>
  <si>
    <t>SASHA LYNA BINTI ABDUL LATIF</t>
  </si>
  <si>
    <t>SASHA LYNA</t>
  </si>
  <si>
    <t>MOHD.KAMRI BIN KAMARUDDIN</t>
  </si>
  <si>
    <t>KAMRI KAMARUDDIN</t>
  </si>
  <si>
    <t>N.20 Lembah Jaya</t>
  </si>
  <si>
    <t>SYED AHMAD BIN ABDUL RAHMAN ALHADAD</t>
  </si>
  <si>
    <t>SYED AHMAD @ ALTIMET</t>
  </si>
  <si>
    <t>SHARIFAH HASLIZAH BINTI SYED ARIFFIN</t>
  </si>
  <si>
    <t>CIKGU SHARIFAH</t>
  </si>
  <si>
    <t>P.100 Pandan</t>
  </si>
  <si>
    <t>N.21 Pandan Indah</t>
  </si>
  <si>
    <t>NOOR FARALISA BINTI REDZUAN</t>
  </si>
  <si>
    <t>LISA REDZUAN</t>
  </si>
  <si>
    <t>FAZIL BIN MOHAMAD DALI</t>
  </si>
  <si>
    <t>FAZIL MOHAMAD DALI (CIKTON)</t>
  </si>
  <si>
    <t>SIVANESWARAN A/L RAMASUNDRAM</t>
  </si>
  <si>
    <t>IZHAM BIN HASHIM</t>
  </si>
  <si>
    <t>IZHAM HASHIM</t>
  </si>
  <si>
    <t>N.22 Teratai</t>
  </si>
  <si>
    <t>CHEW HAN KEAI</t>
  </si>
  <si>
    <t>YEW JIA HAUR</t>
  </si>
  <si>
    <t>P.101 Hulu Langat</t>
  </si>
  <si>
    <t>N.23 Dusun Tua</t>
  </si>
  <si>
    <t>JOHAN BIN ABD AZIZ</t>
  </si>
  <si>
    <t>JOHAN ABD AZIZ</t>
  </si>
  <si>
    <t>AL HAFIZ IKHWAN BIN MOHAMAD ASAAD</t>
  </si>
  <si>
    <t>AL HAFIZ IKHWAN</t>
  </si>
  <si>
    <t>AZHAR BIN HAMBALI</t>
  </si>
  <si>
    <t>AZHAR HAMBALI</t>
  </si>
  <si>
    <t>N.24 Semenyih</t>
  </si>
  <si>
    <t>WAN ZULAIKA BINTI ANUA</t>
  </si>
  <si>
    <t>WAN ZULAIKA ANUA</t>
  </si>
  <si>
    <t>NUSHI BIN MAHFODZ</t>
  </si>
  <si>
    <t>NUSHI MAHFODZ</t>
  </si>
  <si>
    <t>P.102 Bangi</t>
  </si>
  <si>
    <t>N.25 Kajang</t>
  </si>
  <si>
    <t>CHEONG KIAN YOUNG</t>
  </si>
  <si>
    <t>DAVID CHEONG</t>
  </si>
  <si>
    <t>LIEW SIN KIM</t>
  </si>
  <si>
    <t>ALLAN LIEW SIN KIN</t>
  </si>
  <si>
    <t>ARUTCHELVAN A/L SUBRAMANIAMS</t>
  </si>
  <si>
    <t>ARUL</t>
  </si>
  <si>
    <t>PARTI SOSIALIS MALAYSIA (BARU)</t>
  </si>
  <si>
    <t>PSM</t>
  </si>
  <si>
    <t>N.26 Sungai Ramal</t>
  </si>
  <si>
    <t>MOHD SHAFIE BIN NGAH</t>
  </si>
  <si>
    <t>SHAFIE NGAH</t>
  </si>
  <si>
    <t>MAZWAN BIN JOHAR</t>
  </si>
  <si>
    <t>HAJI MAZWAN JOHAR</t>
  </si>
  <si>
    <t>N.27 Balakong</t>
  </si>
  <si>
    <t>ONG CHUN WEI</t>
  </si>
  <si>
    <t>WAYNE ONG CHUN WEI</t>
  </si>
  <si>
    <t>LAI CHOON WEN</t>
  </si>
  <si>
    <t>STEVEN LAI</t>
  </si>
  <si>
    <t>P.103 Puchong</t>
  </si>
  <si>
    <t>N.28 Seri Kembangan</t>
  </si>
  <si>
    <t>LIAU WEI JIAN</t>
  </si>
  <si>
    <t>KEN LIAU</t>
  </si>
  <si>
    <t>WONG JUNG LIK</t>
  </si>
  <si>
    <t>SERDANG WONG JUNG LIK</t>
  </si>
  <si>
    <t>WONG SIEW KI</t>
  </si>
  <si>
    <t>N.29 Seri Serdang</t>
  </si>
  <si>
    <t>AMIR HARIRI BIN ABD HADI</t>
  </si>
  <si>
    <t>AMIR HADI</t>
  </si>
  <si>
    <t>MOHD SHUKOR BIN MUSTAFFA</t>
  </si>
  <si>
    <t>MOHD SHUKOR</t>
  </si>
  <si>
    <t>ABBAS SALIMMI BIN CHE ADZMI @ AZMI</t>
  </si>
  <si>
    <t>ABBAS AZMI</t>
  </si>
  <si>
    <t>P.104 Subang</t>
  </si>
  <si>
    <t>N.30 Kinrara</t>
  </si>
  <si>
    <t>NG SZE HAN</t>
  </si>
  <si>
    <t>WONG YONG KANG</t>
  </si>
  <si>
    <t>N.31 Subang Jaya</t>
  </si>
  <si>
    <t>MICHELLE NG MEI SZE</t>
  </si>
  <si>
    <t>GANA PRAGASAM A/L SEBASTIAN</t>
  </si>
  <si>
    <t>S.GANA</t>
  </si>
  <si>
    <t>ZAYD BIN SHAUKAT ALI</t>
  </si>
  <si>
    <t>ZAYD SHAUKAT</t>
  </si>
  <si>
    <t>P.105 Petaling Jaya</t>
  </si>
  <si>
    <t>N.32 Seri Setia</t>
  </si>
  <si>
    <t>HARINDRAN A/L KRISHNAN</t>
  </si>
  <si>
    <t>CHEW CHUAN YANG</t>
  </si>
  <si>
    <t>DOBBY CHEW</t>
  </si>
  <si>
    <t>MOHAMMAD FAHMI BIN NGAH</t>
  </si>
  <si>
    <t>DR.FAHMI NGAH</t>
  </si>
  <si>
    <t>MOHD ZUBIR BIN EMBONG</t>
  </si>
  <si>
    <t>MOHD ZUBIR EMBONG</t>
  </si>
  <si>
    <t>N.33 Taman Medan</t>
  </si>
  <si>
    <t>AHMAD AKHIR BIN PAWAN CHIK</t>
  </si>
  <si>
    <t>AHMAD AKHIR PAWAN CHIK</t>
  </si>
  <si>
    <t>AFIF BIN BAHARDIN</t>
  </si>
  <si>
    <t>DR. AFIF BAHARDIN</t>
  </si>
  <si>
    <t>N.34 Bukit Gasing</t>
  </si>
  <si>
    <t>KALYANA RAJASEKARAN A/L TEAGARAJAN</t>
  </si>
  <si>
    <t>VKK RAJA</t>
  </si>
  <si>
    <t>NALLAN A/L DHANABALAN</t>
  </si>
  <si>
    <t>NALLAN DHANABALAN</t>
  </si>
  <si>
    <t>RAJIV A/L RISHYAKARAN</t>
  </si>
  <si>
    <t>RAJIV RISHYAKARAN</t>
  </si>
  <si>
    <t>P.106 Damansara</t>
  </si>
  <si>
    <t>N.35 Kampung Tunku</t>
  </si>
  <si>
    <t>CHIN YOKE KHENG</t>
  </si>
  <si>
    <t>RUBY CHIN</t>
  </si>
  <si>
    <t>LIM YI WEI</t>
  </si>
  <si>
    <t>N.36 Bandar Utama</t>
  </si>
  <si>
    <t>JAMALIAH BINTI JAMALUDDIN</t>
  </si>
  <si>
    <t>LIM HOOI SEAN</t>
  </si>
  <si>
    <t>ABE LIM</t>
  </si>
  <si>
    <t>NUR ALIFF BIN MOHD TAFID</t>
  </si>
  <si>
    <t>ALIFF TAUFID</t>
  </si>
  <si>
    <t>N.37 Bukit Lanjan</t>
  </si>
  <si>
    <t>MUNIRAA BINTI ABU BAKAR</t>
  </si>
  <si>
    <t>MUNIRAA ABU BAKAR</t>
  </si>
  <si>
    <t>PUA PEI LING</t>
  </si>
  <si>
    <t>PEI LING</t>
  </si>
  <si>
    <t>P.107 Sungai Buloh</t>
  </si>
  <si>
    <t>N.38 Paya Jaras</t>
  </si>
  <si>
    <t>AB HALIM BIN TAMURI</t>
  </si>
  <si>
    <t>DATO' DR HALIM TAMURI</t>
  </si>
  <si>
    <t>MOHD KHAIRUDDIN BIN OTHMAN</t>
  </si>
  <si>
    <t>KHAIRUDDIN OTHMAN</t>
  </si>
  <si>
    <t>NURHASLINDA BINTI BASRI</t>
  </si>
  <si>
    <t>SIFU LINDA</t>
  </si>
  <si>
    <t>N.39 Kota Damansara</t>
  </si>
  <si>
    <t>MUHAMMAD IZUAN BIN AHMAD KASIM</t>
  </si>
  <si>
    <t>IZUAN KASIM</t>
  </si>
  <si>
    <t>MOHD RADZLAN BIN JALALUDIN</t>
  </si>
  <si>
    <t>RADZLAN JALALUDIN</t>
  </si>
  <si>
    <t>SIVARAJAN A/L ARUMUGAM</t>
  </si>
  <si>
    <t>SIVARAJAN</t>
  </si>
  <si>
    <t>P.108 Shah Alam</t>
  </si>
  <si>
    <t>N.40 Kota Anggerik</t>
  </si>
  <si>
    <t>MOHAMED SUKRI BIN OMAR</t>
  </si>
  <si>
    <t>SUKRI OMAR</t>
  </si>
  <si>
    <t>MOHD NAJWAN BIN HALIMI</t>
  </si>
  <si>
    <t>NAJWAN HALIMI</t>
  </si>
  <si>
    <t>AZAD BIN AKBAR KHAN</t>
  </si>
  <si>
    <t>AZAD AKBAR</t>
  </si>
  <si>
    <t>N.41 Batu Tiga</t>
  </si>
  <si>
    <t>SAIYIDAH IZZATI NUR BT RAZAK MAIDEEN</t>
  </si>
  <si>
    <t>CHEDA RAZAK</t>
  </si>
  <si>
    <t>DANIAL AL-RASHID BIN HARON AMINAR RASHID</t>
  </si>
  <si>
    <t>DANIAL AL-RASHID</t>
  </si>
  <si>
    <t>RINA BINTI MOHD HARUN</t>
  </si>
  <si>
    <t>RINA HARUN</t>
  </si>
  <si>
    <t>P.109 Kapar</t>
  </si>
  <si>
    <t>N.42 Meru</t>
  </si>
  <si>
    <t>HASNIZAM BIN ADHAM</t>
  </si>
  <si>
    <t>HASNIZAM ADHAM</t>
  </si>
  <si>
    <t>SIVARANJANI A/P MANICKAM</t>
  </si>
  <si>
    <t>SIVARANJANI</t>
  </si>
  <si>
    <t>MARIAM BINTI ABDUL RASHID</t>
  </si>
  <si>
    <t>MARIAM ABDUL RASHID</t>
  </si>
  <si>
    <t>N.43 Sementa</t>
  </si>
  <si>
    <t>ERNY AFRISHAH BINTI AZIZI</t>
  </si>
  <si>
    <t>AFRISHAH AZIZI</t>
  </si>
  <si>
    <t>NOOR NAJHAN BIN MOHAMAD SALLEH</t>
  </si>
  <si>
    <t>USTAZ NAJHAN SALLEH</t>
  </si>
  <si>
    <t>N.44 Selat Klang</t>
  </si>
  <si>
    <t>ABDUL RASHID BIN ASARI</t>
  </si>
  <si>
    <t>DATUK ABDUL RASHID BIN ASARI</t>
  </si>
  <si>
    <t>MOHD ROSLEE BIN ABD HAMID</t>
  </si>
  <si>
    <t>DATUK HJ MOHD ROSLEE BIN ABD HAMID</t>
  </si>
  <si>
    <t>MOHAMAD EZAM BIN MOHD NOR</t>
  </si>
  <si>
    <t>DATUK EZAM MOHD NOR</t>
  </si>
  <si>
    <t>P.110 Klang</t>
  </si>
  <si>
    <t>N.45 Bandar Baru Klang</t>
  </si>
  <si>
    <t>QUAH PERNG FEI</t>
  </si>
  <si>
    <t>DR. QUAH</t>
  </si>
  <si>
    <t>TAN SENG HUAT</t>
  </si>
  <si>
    <t>N.46 Pelabuhan Klang</t>
  </si>
  <si>
    <t>WAN HASRINA BINTI WAN HASSAN</t>
  </si>
  <si>
    <t>WAN HASRINA WAN HASSAN</t>
  </si>
  <si>
    <t>SYED AHMAD PUTRA BIN SYED ISA</t>
  </si>
  <si>
    <t>SYED AHMAD PUTRA</t>
  </si>
  <si>
    <t>AZMIZAM BIN ZAMAN HURI</t>
  </si>
  <si>
    <t>AZMIZAM ZAMAN HURI</t>
  </si>
  <si>
    <t>N.47 Pandamaran</t>
  </si>
  <si>
    <t>LEONG TUCK CHEE</t>
  </si>
  <si>
    <t>TONY LEONG TUCK CHEE</t>
  </si>
  <si>
    <t>GUNALAN A/L BALAKRISHNAN</t>
  </si>
  <si>
    <t>B.GUNALAN</t>
  </si>
  <si>
    <t>TAN KANG YAP</t>
  </si>
  <si>
    <t>P.111 Kota Raja</t>
  </si>
  <si>
    <t>N.48 Sentosa</t>
  </si>
  <si>
    <t>GUNARAJAH A/L R GEORGE</t>
  </si>
  <si>
    <t>GUNARAJ G</t>
  </si>
  <si>
    <t>PARAMESWARAN A/L GANASON</t>
  </si>
  <si>
    <t>THANUSHA A/P RAMANIESWARAN</t>
  </si>
  <si>
    <t>TEACHER THANUSHA</t>
  </si>
  <si>
    <t>JEICHANDRAN A/L WADIVELU</t>
  </si>
  <si>
    <t>N.49 Sungai Kandis</t>
  </si>
  <si>
    <t>MOHD ZAWAWI BIN AHMAD MUGHNI</t>
  </si>
  <si>
    <t>USTAZ ZAWAWI MUGHNI</t>
  </si>
  <si>
    <t>WAN DZAHANURIN BIN AHMAD</t>
  </si>
  <si>
    <t>WAN DZAHANURIN AHMAD</t>
  </si>
  <si>
    <t>AFRIENA SHAQIRA BINTI SARIFF</t>
  </si>
  <si>
    <t>AFRIENA SHAQIRA</t>
  </si>
  <si>
    <t>N.50 Kota Kemuning</t>
  </si>
  <si>
    <t>PREAKAS A/L SAMPUNATHAN</t>
  </si>
  <si>
    <t>PREAKAS SAMPUNATHAN</t>
  </si>
  <si>
    <t>CHEW JYH GANG</t>
  </si>
  <si>
    <t>JIMMY CHEW JYH GANG</t>
  </si>
  <si>
    <t>K GUNASEKARAN A/L KUPPAN</t>
  </si>
  <si>
    <t>CIKGU SEKAR</t>
  </si>
  <si>
    <t>P.112 Kuala Langat</t>
  </si>
  <si>
    <t>N.51 Sijangkang</t>
  </si>
  <si>
    <t>AHMAD YUNUS BIN HAIRI</t>
  </si>
  <si>
    <t>DR AHMAD YUNUS</t>
  </si>
  <si>
    <t>MOHD AL-HAFIZI BIN ABU BAKAR</t>
  </si>
  <si>
    <t>AL-HAFIZI</t>
  </si>
  <si>
    <t>N.52 Banting</t>
  </si>
  <si>
    <t>ANG WEI YANG</t>
  </si>
  <si>
    <t>SARAVANAN A/L MUTTO KRISHNAN</t>
  </si>
  <si>
    <t>PAPPARAIDU A/L VERAMAN</t>
  </si>
  <si>
    <t>PAPPARAIDU VERAMAN</t>
  </si>
  <si>
    <t>N.53 Morib</t>
  </si>
  <si>
    <t>ROSNIZAN BIN AHMAD</t>
  </si>
  <si>
    <t>HASNUL BIN BAHARUDDIN</t>
  </si>
  <si>
    <t>HJ HASNUL BAHARUDDIN</t>
  </si>
  <si>
    <t>P.113 Sepang</t>
  </si>
  <si>
    <t>N.54 Tanjong Sepat</t>
  </si>
  <si>
    <t>SABIRIN BIN MARSONO</t>
  </si>
  <si>
    <t>BORHAN BIN AMAN SHAH</t>
  </si>
  <si>
    <t>N.55 Dengkil</t>
  </si>
  <si>
    <t>DARREN ONG CHUNG LEE</t>
  </si>
  <si>
    <t>PROF DARREN ONG</t>
  </si>
  <si>
    <t>NOORAZLI BIN SAID</t>
  </si>
  <si>
    <t>MOHD DAUD LEONG BIN ABDULLAH</t>
  </si>
  <si>
    <t>MOHD DAUD LEONG</t>
  </si>
  <si>
    <t>PARTI UTAMA RAKYAT</t>
  </si>
  <si>
    <t>PUR</t>
  </si>
  <si>
    <t>JAMIL BIN SALLEH</t>
  </si>
  <si>
    <t>DATUK SERI JAMIL SALLEH</t>
  </si>
  <si>
    <t>N.56 Sungai Pelek</t>
  </si>
  <si>
    <t>SUHAIMI BIN MOHD GHAZALI</t>
  </si>
  <si>
    <t>DATO SUHAIMI GHAZALI</t>
  </si>
  <si>
    <t>LWI KIAN KEONG</t>
  </si>
  <si>
    <t>NAGESWARAN A/L RAVI</t>
  </si>
  <si>
    <t>NAGESWARAN RAVI</t>
  </si>
  <si>
    <t>Negeri Sembilan</t>
  </si>
  <si>
    <t>P.126 Jelebu</t>
  </si>
  <si>
    <t>N.01 Chennah</t>
  </si>
  <si>
    <t>ROSMADI BIN ARIF</t>
  </si>
  <si>
    <t>LOKE SIEW FOOK</t>
  </si>
  <si>
    <t>N.02 Pertang</t>
  </si>
  <si>
    <t>JALALUDDIN BIN ALIAS</t>
  </si>
  <si>
    <t>AMIRUDIN BIN HASSAN</t>
  </si>
  <si>
    <t>CIKGU AMIR</t>
  </si>
  <si>
    <t>N.03 Sungai Lui</t>
  </si>
  <si>
    <t>MOHD.RAZI BIN MOHD.ALI</t>
  </si>
  <si>
    <t>MOHD. RAZI BIN MOHD. ALI</t>
  </si>
  <si>
    <t>MOHD NORDIN BIN HASIM</t>
  </si>
  <si>
    <t>NORDIN HASIM</t>
  </si>
  <si>
    <t>N.04 Klawang</t>
  </si>
  <si>
    <t>SAIFUL BAHRI BIN JAAMAN @ SHARMAN</t>
  </si>
  <si>
    <t>ANGAH SAIFUL</t>
  </si>
  <si>
    <t>DANNI RAIS</t>
  </si>
  <si>
    <t>BAKRI BIN SAWIR</t>
  </si>
  <si>
    <t>BAKRI SAWIR</t>
  </si>
  <si>
    <t>P.127 Jempol</t>
  </si>
  <si>
    <t>N.05 Serting</t>
  </si>
  <si>
    <t>MOHD FAIRUZ BIN MOHD ISA</t>
  </si>
  <si>
    <t>USTAZ FAIRUZ</t>
  </si>
  <si>
    <t>MUHAMAD ZAMRI BIN OMAR</t>
  </si>
  <si>
    <t>MUHAMAD ZAMRI OMAR</t>
  </si>
  <si>
    <t>N.06 Palong</t>
  </si>
  <si>
    <t>NOOR AZUAN BIN PARMIN</t>
  </si>
  <si>
    <t>NOOR AZUAN</t>
  </si>
  <si>
    <t>MUSTAPHA BIN NAGOOR</t>
  </si>
  <si>
    <t>N.07 Jeram Padang</t>
  </si>
  <si>
    <t>MOHD ZAIDY BIN ABDUL KADIR</t>
  </si>
  <si>
    <t>MOHD ZAIDY ABDUL KADIR</t>
  </si>
  <si>
    <t>SURASH A/L SREENIVASAN</t>
  </si>
  <si>
    <t>N.08 Bahau</t>
  </si>
  <si>
    <t>KUMAR A/L S. PARAMASIVAM</t>
  </si>
  <si>
    <t>P. M. KUMAR</t>
  </si>
  <si>
    <t>TEO KOK SEONG</t>
  </si>
  <si>
    <t>P.128 Seremban</t>
  </si>
  <si>
    <t>N.09 Lenggeng</t>
  </si>
  <si>
    <t>ZUL AZKI BIN MAT SULOP</t>
  </si>
  <si>
    <t>ZUL AZKI MAT SULOP</t>
  </si>
  <si>
    <t>MOHD FADLI BIN CHE ME</t>
  </si>
  <si>
    <t>HAJI FADLI CHE ME</t>
  </si>
  <si>
    <t>MOHD ASNA BIN AMIN</t>
  </si>
  <si>
    <t>HJ ASNA</t>
  </si>
  <si>
    <t>N.10 Nilai</t>
  </si>
  <si>
    <t>GAN CHEE BIOW</t>
  </si>
  <si>
    <t>OMAR BIN MOHD ISA</t>
  </si>
  <si>
    <t>YESSU A/L SAMUEL</t>
  </si>
  <si>
    <t>YESSU</t>
  </si>
  <si>
    <t>ARUL KUMAR A/L JAMBUNATHAN</t>
  </si>
  <si>
    <t>J.ARUL KUMAR</t>
  </si>
  <si>
    <t>N.11 Lobak</t>
  </si>
  <si>
    <t>NG SOON LEAN</t>
  </si>
  <si>
    <t>CHEW SEH YONG</t>
  </si>
  <si>
    <t>N.12 Temiang</t>
  </si>
  <si>
    <t>NG CHIN TSAI</t>
  </si>
  <si>
    <t>AHMAD QUSYAIRI BIN ABDULL RAHIM</t>
  </si>
  <si>
    <t>QUSYAIRY AHMAD</t>
  </si>
  <si>
    <t>CHUA ENG PU</t>
  </si>
  <si>
    <t>N.13 Sikamat</t>
  </si>
  <si>
    <t>AHMAD RAIHAN BIN MUHAMAD HILAL</t>
  </si>
  <si>
    <t>RAIHAN HILAL</t>
  </si>
  <si>
    <t>AMINUDDIN BIN HARUN</t>
  </si>
  <si>
    <t>AMINUDDIN HARUN</t>
  </si>
  <si>
    <t>BUJANG BIN ABU</t>
  </si>
  <si>
    <t>MOHAMMED HAFIZ BIN BAHARUDIN</t>
  </si>
  <si>
    <t>MOHAMMED HAFIZ (TOK MERAH)</t>
  </si>
  <si>
    <t>N.14 Ampangan</t>
  </si>
  <si>
    <t>TENGKU ZAMRAH BINTI TENGKU SULAIMAN</t>
  </si>
  <si>
    <t>MUHAMMAD GHAZALI BIN ZAINAL ABIDIN</t>
  </si>
  <si>
    <t>MOHAMAD RAFIE BIN AB MALEK</t>
  </si>
  <si>
    <t>DATO' DR MOHAMAD RAFIE BIN AB MALEK</t>
  </si>
  <si>
    <t>P.129 Kuala Pilah</t>
  </si>
  <si>
    <t>N.15 Juasseh</t>
  </si>
  <si>
    <t>EDDIN SYAZLEE BIN SHITH</t>
  </si>
  <si>
    <t>BIBI SHARLIZA BINTI MOHD KHALID</t>
  </si>
  <si>
    <t>PUAN SRI BIBI SHARLIZA</t>
  </si>
  <si>
    <t>N.16 Seri Menanti</t>
  </si>
  <si>
    <t>MUHAMMAD SUFIAN BIN MARADZI</t>
  </si>
  <si>
    <t>USTAZ SUFIAN MARADZI</t>
  </si>
  <si>
    <t>JAMALI BIN SALAM</t>
  </si>
  <si>
    <t>N.17 Senaling</t>
  </si>
  <si>
    <t>ISMAIL BIN LASIM</t>
  </si>
  <si>
    <t>ISMAIL LASIM</t>
  </si>
  <si>
    <t>AMRINA BINTI MOHD KHALID</t>
  </si>
  <si>
    <t>N.18 Pilah</t>
  </si>
  <si>
    <t>RAFIEI BIN MUSTAPHA</t>
  </si>
  <si>
    <t>CIKGU RAFIEI</t>
  </si>
  <si>
    <t>NOORZUNITA BEGUM BINTI MOHD IBRAHIM</t>
  </si>
  <si>
    <t>NOORZUNITA BEGUM MOHD IBRAHIM</t>
  </si>
  <si>
    <t>N.19 Johol</t>
  </si>
  <si>
    <t>SAIFUL YAZAN BIN SULAIMAN</t>
  </si>
  <si>
    <t>HJ SAIFUL YAZAN SULAIMAN</t>
  </si>
  <si>
    <t>KAMARUDIN BIN MD TAHIR</t>
  </si>
  <si>
    <t>HJ KAMARUDIN TAHIR</t>
  </si>
  <si>
    <t>P.130 Rasah</t>
  </si>
  <si>
    <t>N.20 Labu</t>
  </si>
  <si>
    <t>MOHAMAD HANIFAH BIN ABU BAKER</t>
  </si>
  <si>
    <t>ANIP ABU BAKER</t>
  </si>
  <si>
    <t>ISMAIL BIN AHMAD</t>
  </si>
  <si>
    <t>HJ ISMAIL BIN AHMAD</t>
  </si>
  <si>
    <t>N.21 Bukit Kepayang</t>
  </si>
  <si>
    <t>SUBRAMANIAM A/L PURUSHOTHAMA</t>
  </si>
  <si>
    <t>AHMAD ZAMALI BIN MOHAMAD</t>
  </si>
  <si>
    <t>AHMAD ZAMALI MOHAMAD</t>
  </si>
  <si>
    <t>NICOLE TAN LEE KOON</t>
  </si>
  <si>
    <t>N.22 Rahang</t>
  </si>
  <si>
    <t>SIAU MEOW KONG</t>
  </si>
  <si>
    <t>LEE BOON SHIAN</t>
  </si>
  <si>
    <t>N.23 Mambau</t>
  </si>
  <si>
    <t>YAP YEW WENG</t>
  </si>
  <si>
    <t>KUMARAVEL A/L RAMIAH</t>
  </si>
  <si>
    <t>SATHES KUMAR A/L NILAMEHAM</t>
  </si>
  <si>
    <t>SATHES KUMAR NILAMEHAM</t>
  </si>
  <si>
    <t>N.24 Seremban Jaya</t>
  </si>
  <si>
    <t>GUNASEKAREN A/L PALASAMY</t>
  </si>
  <si>
    <t>P.GUNA</t>
  </si>
  <si>
    <t>LEE BAN FATT</t>
  </si>
  <si>
    <t>GARY LEE</t>
  </si>
  <si>
    <t>P.131 Rembau</t>
  </si>
  <si>
    <t>N.25 Paroi</t>
  </si>
  <si>
    <t>MUHAMMAD SYAKIR FITRI BIN SADRI</t>
  </si>
  <si>
    <t>SYAKIR FITRI</t>
  </si>
  <si>
    <t>NORWANI BINTI AHMAT</t>
  </si>
  <si>
    <t>NORWANI AHMAT</t>
  </si>
  <si>
    <t>KAMAROL RIDZUAN BIN MOHD ZAIN</t>
  </si>
  <si>
    <t>HJ KAMAROL RIDZUAN</t>
  </si>
  <si>
    <t>N.26 Chembong</t>
  </si>
  <si>
    <t>BAKLY BIN BABA</t>
  </si>
  <si>
    <t>ZAIFULBAHRI BIN IDRIS</t>
  </si>
  <si>
    <t>DATO' HAJI ZAIFULBAHRI BIN HAJI IDRIS</t>
  </si>
  <si>
    <t>N.27 Rantau</t>
  </si>
  <si>
    <t>ROZMAL BIN MALAKAN</t>
  </si>
  <si>
    <t>MOHAMAD BIN HAJI HASAN</t>
  </si>
  <si>
    <t>TOK MAT</t>
  </si>
  <si>
    <t>N.28 Kota</t>
  </si>
  <si>
    <t>SUHAIMI BIN AINI</t>
  </si>
  <si>
    <t>AHMAD SHUKRI BIN ABDUL SHUKOR</t>
  </si>
  <si>
    <t>SHUKRI BIN SHUKOR</t>
  </si>
  <si>
    <t>P.132 Port Dickson</t>
  </si>
  <si>
    <t>N.29 Chuah</t>
  </si>
  <si>
    <t>TANG JAY SON</t>
  </si>
  <si>
    <t>YEW BOON LYE</t>
  </si>
  <si>
    <t>N.30 Lukut</t>
  </si>
  <si>
    <t>RAGU A/L SUBRAMANIAM</t>
  </si>
  <si>
    <t>S. RAGU</t>
  </si>
  <si>
    <t>CHOO KEN HWA</t>
  </si>
  <si>
    <t>N.31 Bagan Pinang</t>
  </si>
  <si>
    <t>ABDUL FATAH BIN ZAKARIA</t>
  </si>
  <si>
    <t>USTAZ FATAH</t>
  </si>
  <si>
    <t>MOHD NAJIB BIN MOHD ISA</t>
  </si>
  <si>
    <t>NAJIB TAN SRI ISA</t>
  </si>
  <si>
    <t>N.32 Linggi</t>
  </si>
  <si>
    <t>MOHD FAIZAL BIN RAMLI</t>
  </si>
  <si>
    <t>DATUK MOHD FAIZAL RAMLI</t>
  </si>
  <si>
    <t>ZAMRI BIN MD SAID</t>
  </si>
  <si>
    <t>N.33 Sri Tanjung</t>
  </si>
  <si>
    <t>ZABIDI BIN ARIFFIN</t>
  </si>
  <si>
    <t>RAJASEKARAN A/L GUNNASEKARAN</t>
  </si>
  <si>
    <t>DR.RAJA</t>
  </si>
  <si>
    <t>P.133 Tampin</t>
  </si>
  <si>
    <t>N.34 Gemas</t>
  </si>
  <si>
    <t>RIDZUAN BIN AHMAD</t>
  </si>
  <si>
    <t>HAJI RIDZUAN AHMAD</t>
  </si>
  <si>
    <t>ABD RAZAK BIN AB SAID</t>
  </si>
  <si>
    <t>N.35 Gemencheh</t>
  </si>
  <si>
    <t>TENGKU ABDULLAH BIN TENGKU RAKMAN</t>
  </si>
  <si>
    <t>USTAZ TENGKU</t>
  </si>
  <si>
    <t>SUHAIMIZAN BIN BIZAR</t>
  </si>
  <si>
    <t>SUHAIMIZAN BIZAR (HAI)</t>
  </si>
  <si>
    <t>N.36 Repah</t>
  </si>
  <si>
    <t>YONG LI YI</t>
  </si>
  <si>
    <t>ELAINE YONG LI YI</t>
  </si>
  <si>
    <t>VEERAPAN A/L SUPERAMANIAM</t>
  </si>
  <si>
    <t>Party</t>
  </si>
  <si>
    <t>Ballot Name</t>
  </si>
  <si>
    <t>Age</t>
  </si>
  <si>
    <t>Sex</t>
  </si>
  <si>
    <t>Race</t>
  </si>
  <si>
    <t>Parliament Name</t>
  </si>
  <si>
    <t>DUN Name</t>
  </si>
  <si>
    <t>Candidate Name</t>
  </si>
  <si>
    <t>Parliament</t>
  </si>
  <si>
    <t>DUN</t>
  </si>
  <si>
    <t>Name</t>
  </si>
  <si>
    <t>Party Name</t>
  </si>
  <si>
    <t xml:space="preserve">JUMLAH </t>
  </si>
  <si>
    <t xml:space="preserve">MELAYU </t>
  </si>
  <si>
    <t xml:space="preserve">CINA </t>
  </si>
  <si>
    <t xml:space="preserve">INDIA </t>
  </si>
  <si>
    <t xml:space="preserve">BUMI SABAH </t>
  </si>
  <si>
    <t>BUMI SARAWAK</t>
  </si>
  <si>
    <t>ORANG ASLI</t>
  </si>
  <si>
    <t>LAIN-LAIN</t>
  </si>
  <si>
    <t>M%</t>
  </si>
  <si>
    <t>C%</t>
  </si>
  <si>
    <t>I%</t>
  </si>
  <si>
    <t>O%</t>
  </si>
  <si>
    <t># of Votes</t>
  </si>
  <si>
    <t>GERAKAN</t>
  </si>
  <si>
    <t>Total</t>
  </si>
  <si>
    <t>PH%</t>
  </si>
  <si>
    <t>PN%</t>
  </si>
  <si>
    <t>BN%</t>
  </si>
  <si>
    <t>PEJUANG%</t>
  </si>
  <si>
    <t>Others%</t>
  </si>
  <si>
    <t>GE15</t>
  </si>
  <si>
    <t>Votes</t>
  </si>
  <si>
    <t>Turnout%</t>
  </si>
  <si>
    <t>Siamese</t>
  </si>
  <si>
    <t>Winning Party</t>
  </si>
  <si>
    <t>PN Majority</t>
  </si>
  <si>
    <t>PH / BN Majority</t>
  </si>
  <si>
    <t>IZAT BUKHARY ISMAIL BUKHARY</t>
  </si>
  <si>
    <t>MALE</t>
  </si>
  <si>
    <t>MALAY</t>
  </si>
  <si>
    <t>K'tan</t>
  </si>
  <si>
    <t>T'gganu</t>
  </si>
  <si>
    <t>Penang</t>
  </si>
  <si>
    <t>S'gor</t>
  </si>
  <si>
    <t>NS</t>
  </si>
  <si>
    <t>Turnout</t>
  </si>
  <si>
    <t>PRN2023</t>
  </si>
  <si>
    <t>Change</t>
  </si>
  <si>
    <t>PH%+BN%</t>
  </si>
  <si>
    <t>PH Total</t>
  </si>
  <si>
    <t>PN Total</t>
  </si>
  <si>
    <t>GE14</t>
  </si>
  <si>
    <t>Change (PRN2023 to GE14)</t>
  </si>
  <si>
    <t>Malay</t>
  </si>
  <si>
    <t xml:space="preserve">Chinese </t>
  </si>
  <si>
    <t>Indian</t>
  </si>
  <si>
    <t>Turnout by Race - PRN 2023</t>
  </si>
  <si>
    <t>Turnout by Race - GE15</t>
  </si>
  <si>
    <t>Malay Turnout</t>
  </si>
  <si>
    <t>Chinese Turnout</t>
  </si>
  <si>
    <t>Indian Turnout</t>
  </si>
  <si>
    <t>Turnout Change PRN2023 vs GE15</t>
  </si>
  <si>
    <t>&lt;3%</t>
  </si>
  <si>
    <t>&lt;1%</t>
  </si>
  <si>
    <t>Malay PN</t>
  </si>
  <si>
    <t>Malay PN%</t>
  </si>
  <si>
    <t>NA</t>
  </si>
  <si>
    <t>PRN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</si>
</sst>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2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1" applyNumberFormat="1" applyFont="1"/>
    <xf numFmtId="165" fontId="0" fillId="0" borderId="1" xfId="1" applyNumberFormat="1" applyFont="1" applyBorder="1"/>
    <xf numFmtId="165" fontId="0" fillId="0" borderId="0" xfId="1" applyNumberFormat="1" applyFont="1" applyBorder="1"/>
    <xf numFmtId="165" fontId="0" fillId="0" borderId="1" xfId="1" applyNumberFormat="1" applyFont="1" applyBorder="1" applyAlignment="1">
      <alignment horizontal="left" vertical="top"/>
    </xf>
    <xf numFmtId="165" fontId="0" fillId="4" borderId="1" xfId="1" applyNumberFormat="1" applyFont="1" applyFill="1" applyBorder="1" applyAlignment="1">
      <alignment horizontal="left" vertical="top"/>
    </xf>
    <xf numFmtId="165" fontId="0" fillId="0" borderId="1" xfId="1" applyNumberFormat="1" applyFont="1" applyFill="1" applyBorder="1" applyAlignment="1">
      <alignment horizontal="left" vertical="top"/>
    </xf>
    <xf numFmtId="165" fontId="0" fillId="2" borderId="1" xfId="1" applyNumberFormat="1" applyFont="1" applyFill="1" applyBorder="1" applyAlignment="1">
      <alignment horizontal="left" vertical="top"/>
    </xf>
    <xf numFmtId="165" fontId="0" fillId="5" borderId="1" xfId="1" applyNumberFormat="1" applyFont="1" applyFill="1" applyBorder="1" applyAlignment="1">
      <alignment horizontal="left" vertical="top"/>
    </xf>
    <xf numFmtId="0" fontId="2" fillId="6" borderId="1" xfId="0" applyFont="1" applyFill="1" applyBorder="1"/>
    <xf numFmtId="0" fontId="0" fillId="6" borderId="1" xfId="0" applyFill="1" applyBorder="1"/>
    <xf numFmtId="165" fontId="0" fillId="6" borderId="1" xfId="1" applyNumberFormat="1" applyFont="1" applyFill="1" applyBorder="1"/>
    <xf numFmtId="0" fontId="2" fillId="2" borderId="1" xfId="0" applyFont="1" applyFill="1" applyBorder="1"/>
    <xf numFmtId="165" fontId="0" fillId="2" borderId="1" xfId="1" applyNumberFormat="1" applyFont="1" applyFill="1" applyBorder="1"/>
    <xf numFmtId="1" fontId="2" fillId="0" borderId="1" xfId="0" applyNumberFormat="1" applyFont="1" applyBorder="1"/>
    <xf numFmtId="164" fontId="2" fillId="0" borderId="1" xfId="0" applyNumberFormat="1" applyFont="1" applyBorder="1"/>
    <xf numFmtId="1" fontId="0" fillId="0" borderId="1" xfId="0" applyNumberFormat="1" applyBorder="1"/>
    <xf numFmtId="164" fontId="0" fillId="0" borderId="1" xfId="0" applyNumberFormat="1" applyBorder="1"/>
    <xf numFmtId="1" fontId="0" fillId="2" borderId="1" xfId="0" applyNumberFormat="1" applyFill="1" applyBorder="1"/>
    <xf numFmtId="164" fontId="0" fillId="2" borderId="1" xfId="0" applyNumberFormat="1" applyFill="1" applyBorder="1"/>
    <xf numFmtId="1" fontId="0" fillId="6" borderId="1" xfId="0" applyNumberFormat="1" applyFill="1" applyBorder="1"/>
    <xf numFmtId="164" fontId="0" fillId="6" borderId="1" xfId="0" applyNumberFormat="1" applyFill="1" applyBorder="1"/>
    <xf numFmtId="0" fontId="0" fillId="4" borderId="1" xfId="0" applyFill="1" applyBorder="1"/>
    <xf numFmtId="165" fontId="0" fillId="4" borderId="1" xfId="1" applyNumberFormat="1" applyFont="1" applyFill="1" applyBorder="1"/>
    <xf numFmtId="1" fontId="0" fillId="4" borderId="1" xfId="1" applyNumberFormat="1" applyFont="1" applyFill="1" applyBorder="1"/>
    <xf numFmtId="164" fontId="0" fillId="4" borderId="1" xfId="1" applyNumberFormat="1" applyFont="1" applyFill="1" applyBorder="1"/>
    <xf numFmtId="1" fontId="0" fillId="4" borderId="1" xfId="0" applyNumberFormat="1" applyFill="1" applyBorder="1"/>
    <xf numFmtId="164" fontId="0" fillId="4" borderId="1" xfId="0" applyNumberFormat="1" applyFill="1" applyBorder="1"/>
    <xf numFmtId="0" fontId="0" fillId="7" borderId="1" xfId="0" applyFill="1" applyBorder="1"/>
    <xf numFmtId="165" fontId="0" fillId="7" borderId="1" xfId="1" applyNumberFormat="1" applyFont="1" applyFill="1" applyBorder="1"/>
    <xf numFmtId="1" fontId="0" fillId="7" borderId="1" xfId="0" applyNumberFormat="1" applyFill="1" applyBorder="1"/>
    <xf numFmtId="164" fontId="0" fillId="7" borderId="1" xfId="0" applyNumberFormat="1" applyFill="1" applyBorder="1"/>
    <xf numFmtId="0" fontId="0" fillId="8" borderId="1" xfId="0" applyFill="1" applyBorder="1"/>
    <xf numFmtId="165" fontId="0" fillId="8" borderId="1" xfId="1" applyNumberFormat="1" applyFont="1" applyFill="1" applyBorder="1"/>
    <xf numFmtId="1" fontId="0" fillId="8" borderId="1" xfId="0" applyNumberFormat="1" applyFill="1" applyBorder="1"/>
    <xf numFmtId="164" fontId="0" fillId="8" borderId="1" xfId="0" applyNumberFormat="1" applyFill="1" applyBorder="1"/>
    <xf numFmtId="165" fontId="0" fillId="3" borderId="1" xfId="1" applyNumberFormat="1" applyFont="1" applyFill="1" applyBorder="1"/>
    <xf numFmtId="1" fontId="0" fillId="3" borderId="1" xfId="0" applyNumberFormat="1" applyFill="1" applyBorder="1"/>
    <xf numFmtId="164" fontId="0" fillId="3" borderId="1" xfId="0" applyNumberFormat="1" applyFill="1" applyBorder="1"/>
    <xf numFmtId="164" fontId="2" fillId="0" borderId="0" xfId="0" applyNumberFormat="1" applyFont="1"/>
    <xf numFmtId="164" fontId="0" fillId="0" borderId="1" xfId="1" applyNumberFormat="1" applyFont="1" applyBorder="1"/>
    <xf numFmtId="164" fontId="0" fillId="0" borderId="0" xfId="1" applyNumberFormat="1" applyFont="1" applyBorder="1"/>
    <xf numFmtId="1" fontId="2" fillId="0" borderId="0" xfId="0" applyNumberFormat="1" applyFont="1"/>
    <xf numFmtId="1" fontId="0" fillId="0" borderId="1" xfId="1" applyNumberFormat="1" applyFont="1" applyBorder="1"/>
    <xf numFmtId="1" fontId="0" fillId="0" borderId="0" xfId="1" applyNumberFormat="1" applyFont="1" applyBorder="1"/>
    <xf numFmtId="165" fontId="2" fillId="0" borderId="1" xfId="1" applyNumberFormat="1" applyFont="1" applyBorder="1"/>
    <xf numFmtId="9" fontId="0" fillId="0" borderId="1" xfId="1" applyFont="1" applyBorder="1"/>
    <xf numFmtId="165" fontId="0" fillId="0" borderId="1" xfId="0" applyNumberFormat="1" applyBorder="1"/>
    <xf numFmtId="165" fontId="0" fillId="0" borderId="1" xfId="1" applyNumberFormat="1" applyFont="1" applyFill="1" applyBorder="1"/>
    <xf numFmtId="9" fontId="0" fillId="0" borderId="1" xfId="0" applyNumberFormat="1" applyBorder="1"/>
    <xf numFmtId="10" fontId="2" fillId="0" borderId="0" xfId="1" applyNumberFormat="1" applyFont="1"/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3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Kedah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7566710411198599E-2"/>
                  <c:y val="0.27140237678623508"/>
                </c:manualLayout>
              </c:layout>
              <c:numFmt formatCode="General" sourceLinked="0"/>
              <c:spPr>
                <a:solidFill>
                  <a:schemeClr val="bg1">
                    <a:lumMod val="8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TurnoutWorksheet!$B$3:$B$38</c:f>
              <c:numCache>
                <c:formatCode>0.0%</c:formatCode>
                <c:ptCount val="36"/>
                <c:pt idx="0">
                  <c:v>0.94999396790927737</c:v>
                </c:pt>
                <c:pt idx="1">
                  <c:v>0.84461290136623046</c:v>
                </c:pt>
                <c:pt idx="2">
                  <c:v>0.9156395876011687</c:v>
                </c:pt>
                <c:pt idx="3">
                  <c:v>0.9024035537692694</c:v>
                </c:pt>
                <c:pt idx="4">
                  <c:v>0.892973465931298</c:v>
                </c:pt>
                <c:pt idx="5">
                  <c:v>0.83824672132447386</c:v>
                </c:pt>
                <c:pt idx="6">
                  <c:v>0.96769480003811825</c:v>
                </c:pt>
                <c:pt idx="7">
                  <c:v>0.85953995665245053</c:v>
                </c:pt>
                <c:pt idx="8">
                  <c:v>0.89992388715657146</c:v>
                </c:pt>
                <c:pt idx="9">
                  <c:v>0.93120600146775023</c:v>
                </c:pt>
                <c:pt idx="10">
                  <c:v>0.61256558376172554</c:v>
                </c:pt>
                <c:pt idx="11">
                  <c:v>0.72209643206139618</c:v>
                </c:pt>
                <c:pt idx="12">
                  <c:v>0.35568546982074412</c:v>
                </c:pt>
                <c:pt idx="13">
                  <c:v>0.72573508234493234</c:v>
                </c:pt>
                <c:pt idx="14">
                  <c:v>0.88709544819270503</c:v>
                </c:pt>
                <c:pt idx="15">
                  <c:v>0.70495491011884615</c:v>
                </c:pt>
                <c:pt idx="16">
                  <c:v>0.72066616199848599</c:v>
                </c:pt>
                <c:pt idx="17">
                  <c:v>0.9159430510865253</c:v>
                </c:pt>
                <c:pt idx="18">
                  <c:v>0.85672076739385594</c:v>
                </c:pt>
                <c:pt idx="19">
                  <c:v>0.94067030306565935</c:v>
                </c:pt>
                <c:pt idx="20">
                  <c:v>0.89835466179159051</c:v>
                </c:pt>
                <c:pt idx="21">
                  <c:v>0.62651132116948782</c:v>
                </c:pt>
                <c:pt idx="22">
                  <c:v>0.93016154802059292</c:v>
                </c:pt>
                <c:pt idx="23">
                  <c:v>0.92158873977832867</c:v>
                </c:pt>
                <c:pt idx="24">
                  <c:v>0.61329510299554812</c:v>
                </c:pt>
                <c:pt idx="25">
                  <c:v>0.81156528583719267</c:v>
                </c:pt>
                <c:pt idx="26">
                  <c:v>0.91105199798066094</c:v>
                </c:pt>
                <c:pt idx="27">
                  <c:v>0.47574610745329809</c:v>
                </c:pt>
                <c:pt idx="28">
                  <c:v>0.49274387944181164</c:v>
                </c:pt>
                <c:pt idx="29">
                  <c:v>0.92945204040913199</c:v>
                </c:pt>
                <c:pt idx="30">
                  <c:v>0.92333801498127344</c:v>
                </c:pt>
                <c:pt idx="31">
                  <c:v>0.82358240091029777</c:v>
                </c:pt>
                <c:pt idx="32">
                  <c:v>0.76677981358888281</c:v>
                </c:pt>
                <c:pt idx="33">
                  <c:v>0.53684376976597092</c:v>
                </c:pt>
                <c:pt idx="34">
                  <c:v>0.63388654027211133</c:v>
                </c:pt>
                <c:pt idx="35">
                  <c:v>0.79966264793717512</c:v>
                </c:pt>
              </c:numCache>
            </c:numRef>
          </c:xVal>
          <c:yVal>
            <c:numRef>
              <c:f>TurnoutWorksheet!$H$3:$H$38</c:f>
              <c:numCache>
                <c:formatCode>0.0%</c:formatCode>
                <c:ptCount val="36"/>
                <c:pt idx="0">
                  <c:v>0.68200000000000005</c:v>
                </c:pt>
                <c:pt idx="1">
                  <c:v>0.59899999999999998</c:v>
                </c:pt>
                <c:pt idx="2">
                  <c:v>0.72499999999999998</c:v>
                </c:pt>
                <c:pt idx="3">
                  <c:v>0.745</c:v>
                </c:pt>
                <c:pt idx="4">
                  <c:v>0.73099999999999998</c:v>
                </c:pt>
                <c:pt idx="5">
                  <c:v>0.72199999999999998</c:v>
                </c:pt>
                <c:pt idx="6">
                  <c:v>0.75800000000000001</c:v>
                </c:pt>
                <c:pt idx="7">
                  <c:v>0.78400000000000003</c:v>
                </c:pt>
                <c:pt idx="8">
                  <c:v>0.76</c:v>
                </c:pt>
                <c:pt idx="9">
                  <c:v>0.75599999999999989</c:v>
                </c:pt>
                <c:pt idx="10">
                  <c:v>0.67400000000000004</c:v>
                </c:pt>
                <c:pt idx="11">
                  <c:v>0.68</c:v>
                </c:pt>
                <c:pt idx="12">
                  <c:v>0.64700000000000002</c:v>
                </c:pt>
                <c:pt idx="13">
                  <c:v>0.72699999999999998</c:v>
                </c:pt>
                <c:pt idx="14">
                  <c:v>0.75800000000000001</c:v>
                </c:pt>
                <c:pt idx="15">
                  <c:v>0.69900000000000007</c:v>
                </c:pt>
                <c:pt idx="16">
                  <c:v>0.72799999999999998</c:v>
                </c:pt>
                <c:pt idx="17">
                  <c:v>0.7659999999999999</c:v>
                </c:pt>
                <c:pt idx="18">
                  <c:v>0.753</c:v>
                </c:pt>
                <c:pt idx="19">
                  <c:v>0.79</c:v>
                </c:pt>
                <c:pt idx="20">
                  <c:v>0.75099999999999989</c:v>
                </c:pt>
                <c:pt idx="21">
                  <c:v>0.70700000000000007</c:v>
                </c:pt>
                <c:pt idx="22">
                  <c:v>0.76</c:v>
                </c:pt>
                <c:pt idx="23">
                  <c:v>0.78599999999999992</c:v>
                </c:pt>
                <c:pt idx="24">
                  <c:v>0.70099999999999996</c:v>
                </c:pt>
                <c:pt idx="25">
                  <c:v>0.7609999999999999</c:v>
                </c:pt>
                <c:pt idx="26">
                  <c:v>0.79099999999999993</c:v>
                </c:pt>
                <c:pt idx="27">
                  <c:v>0.69499999999999995</c:v>
                </c:pt>
                <c:pt idx="28">
                  <c:v>0.70099999999999996</c:v>
                </c:pt>
                <c:pt idx="29">
                  <c:v>0.77700000000000002</c:v>
                </c:pt>
                <c:pt idx="30">
                  <c:v>0.78299999999999992</c:v>
                </c:pt>
                <c:pt idx="31">
                  <c:v>0.78700000000000003</c:v>
                </c:pt>
                <c:pt idx="32">
                  <c:v>0.7609999999999999</c:v>
                </c:pt>
                <c:pt idx="33">
                  <c:v>0.72400000000000009</c:v>
                </c:pt>
                <c:pt idx="34">
                  <c:v>0.71700000000000008</c:v>
                </c:pt>
                <c:pt idx="35">
                  <c:v>0.74900000000000011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7F-4AED-8AC7-F08C9C552A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455247"/>
        <c:axId val="980455727"/>
      </c:scatterChart>
      <c:valAx>
        <c:axId val="980455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55727"/>
        <c:crosses val="autoZero"/>
        <c:crossBetween val="midCat"/>
      </c:valAx>
      <c:valAx>
        <c:axId val="9804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5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Kedah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597353455818024"/>
                  <c:y val="0.13846237970253719"/>
                </c:manualLayout>
              </c:layout>
              <c:numFmt formatCode="General" sourceLinked="0"/>
              <c:spPr>
                <a:solidFill>
                  <a:schemeClr val="bg1">
                    <a:lumMod val="8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TurnoutWorksheet!$C$3:$C$38</c:f>
              <c:numCache>
                <c:formatCode>0.0%</c:formatCode>
                <c:ptCount val="36"/>
                <c:pt idx="0">
                  <c:v>1.2516588249487271E-2</c:v>
                </c:pt>
                <c:pt idx="1">
                  <c:v>0.11906957975442439</c:v>
                </c:pt>
                <c:pt idx="2">
                  <c:v>6.8509252107331164E-2</c:v>
                </c:pt>
                <c:pt idx="3">
                  <c:v>6.5839921732462517E-2</c:v>
                </c:pt>
                <c:pt idx="4">
                  <c:v>6.587918530420811E-2</c:v>
                </c:pt>
                <c:pt idx="5">
                  <c:v>0.10084206853898729</c:v>
                </c:pt>
                <c:pt idx="6">
                  <c:v>1.5056700867189734E-2</c:v>
                </c:pt>
                <c:pt idx="7">
                  <c:v>1.0871845067468364E-2</c:v>
                </c:pt>
                <c:pt idx="8">
                  <c:v>7.0907707039210385E-2</c:v>
                </c:pt>
                <c:pt idx="9">
                  <c:v>5.3328259628713542E-2</c:v>
                </c:pt>
                <c:pt idx="10">
                  <c:v>0.32956171498224601</c:v>
                </c:pt>
                <c:pt idx="11">
                  <c:v>0.23183259050933097</c:v>
                </c:pt>
                <c:pt idx="12">
                  <c:v>0.5658368500522668</c:v>
                </c:pt>
                <c:pt idx="13">
                  <c:v>0.23805409368208835</c:v>
                </c:pt>
                <c:pt idx="14">
                  <c:v>9.43246279904634E-2</c:v>
                </c:pt>
                <c:pt idx="15">
                  <c:v>0.27800449903449925</c:v>
                </c:pt>
                <c:pt idx="16">
                  <c:v>0.26155509895101114</c:v>
                </c:pt>
                <c:pt idx="17">
                  <c:v>7.6938334729140037E-2</c:v>
                </c:pt>
                <c:pt idx="18">
                  <c:v>1.9124134860565831E-2</c:v>
                </c:pt>
                <c:pt idx="19">
                  <c:v>5.606277163608786E-2</c:v>
                </c:pt>
                <c:pt idx="20">
                  <c:v>9.1407678244972576E-2</c:v>
                </c:pt>
                <c:pt idx="21">
                  <c:v>0.21609144867003738</c:v>
                </c:pt>
                <c:pt idx="22">
                  <c:v>1.6225812178235398E-2</c:v>
                </c:pt>
                <c:pt idx="23">
                  <c:v>1.2821608684502949E-2</c:v>
                </c:pt>
                <c:pt idx="24">
                  <c:v>0.17422470384063984</c:v>
                </c:pt>
                <c:pt idx="25">
                  <c:v>0.11689761848102656</c:v>
                </c:pt>
                <c:pt idx="26">
                  <c:v>6.0483088035416098E-2</c:v>
                </c:pt>
                <c:pt idx="27">
                  <c:v>0.36989994297267875</c:v>
                </c:pt>
                <c:pt idx="28">
                  <c:v>0.30808585999376875</c:v>
                </c:pt>
                <c:pt idx="29">
                  <c:v>3.5767542477894695E-2</c:v>
                </c:pt>
                <c:pt idx="30">
                  <c:v>3.3520599250936332E-2</c:v>
                </c:pt>
                <c:pt idx="31">
                  <c:v>5.6751374928882992E-2</c:v>
                </c:pt>
                <c:pt idx="32">
                  <c:v>6.741931249179528E-2</c:v>
                </c:pt>
                <c:pt idx="33">
                  <c:v>0.24289641414878607</c:v>
                </c:pt>
                <c:pt idx="34">
                  <c:v>0.19400395059905112</c:v>
                </c:pt>
                <c:pt idx="35">
                  <c:v>0.13297754673155623</c:v>
                </c:pt>
              </c:numCache>
            </c:numRef>
          </c:xVal>
          <c:yVal>
            <c:numRef>
              <c:f>TurnoutWorksheet!$H$3:$H$38</c:f>
              <c:numCache>
                <c:formatCode>0.0%</c:formatCode>
                <c:ptCount val="36"/>
                <c:pt idx="0">
                  <c:v>0.68200000000000005</c:v>
                </c:pt>
                <c:pt idx="1">
                  <c:v>0.59899999999999998</c:v>
                </c:pt>
                <c:pt idx="2">
                  <c:v>0.72499999999999998</c:v>
                </c:pt>
                <c:pt idx="3">
                  <c:v>0.745</c:v>
                </c:pt>
                <c:pt idx="4">
                  <c:v>0.73099999999999998</c:v>
                </c:pt>
                <c:pt idx="5">
                  <c:v>0.72199999999999998</c:v>
                </c:pt>
                <c:pt idx="6">
                  <c:v>0.75800000000000001</c:v>
                </c:pt>
                <c:pt idx="7">
                  <c:v>0.78400000000000003</c:v>
                </c:pt>
                <c:pt idx="8">
                  <c:v>0.76</c:v>
                </c:pt>
                <c:pt idx="9">
                  <c:v>0.75599999999999989</c:v>
                </c:pt>
                <c:pt idx="10">
                  <c:v>0.67400000000000004</c:v>
                </c:pt>
                <c:pt idx="11">
                  <c:v>0.68</c:v>
                </c:pt>
                <c:pt idx="12">
                  <c:v>0.64700000000000002</c:v>
                </c:pt>
                <c:pt idx="13">
                  <c:v>0.72699999999999998</c:v>
                </c:pt>
                <c:pt idx="14">
                  <c:v>0.75800000000000001</c:v>
                </c:pt>
                <c:pt idx="15">
                  <c:v>0.69900000000000007</c:v>
                </c:pt>
                <c:pt idx="16">
                  <c:v>0.72799999999999998</c:v>
                </c:pt>
                <c:pt idx="17">
                  <c:v>0.7659999999999999</c:v>
                </c:pt>
                <c:pt idx="18">
                  <c:v>0.753</c:v>
                </c:pt>
                <c:pt idx="19">
                  <c:v>0.79</c:v>
                </c:pt>
                <c:pt idx="20">
                  <c:v>0.75099999999999989</c:v>
                </c:pt>
                <c:pt idx="21">
                  <c:v>0.70700000000000007</c:v>
                </c:pt>
                <c:pt idx="22">
                  <c:v>0.76</c:v>
                </c:pt>
                <c:pt idx="23">
                  <c:v>0.78599999999999992</c:v>
                </c:pt>
                <c:pt idx="24">
                  <c:v>0.70099999999999996</c:v>
                </c:pt>
                <c:pt idx="25">
                  <c:v>0.7609999999999999</c:v>
                </c:pt>
                <c:pt idx="26">
                  <c:v>0.79099999999999993</c:v>
                </c:pt>
                <c:pt idx="27">
                  <c:v>0.69499999999999995</c:v>
                </c:pt>
                <c:pt idx="28">
                  <c:v>0.70099999999999996</c:v>
                </c:pt>
                <c:pt idx="29">
                  <c:v>0.77700000000000002</c:v>
                </c:pt>
                <c:pt idx="30">
                  <c:v>0.78299999999999992</c:v>
                </c:pt>
                <c:pt idx="31">
                  <c:v>0.78700000000000003</c:v>
                </c:pt>
                <c:pt idx="32">
                  <c:v>0.7609999999999999</c:v>
                </c:pt>
                <c:pt idx="33">
                  <c:v>0.72400000000000009</c:v>
                </c:pt>
                <c:pt idx="34">
                  <c:v>0.71700000000000008</c:v>
                </c:pt>
                <c:pt idx="35">
                  <c:v>0.74900000000000011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8D-46F8-A7E7-CF057D519E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455247"/>
        <c:axId val="980455727"/>
      </c:scatterChart>
      <c:valAx>
        <c:axId val="980455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55727"/>
        <c:crosses val="autoZero"/>
        <c:crossBetween val="midCat"/>
      </c:valAx>
      <c:valAx>
        <c:axId val="9804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5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Kedah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597353455818024"/>
                  <c:y val="0.13846237970253719"/>
                </c:manualLayout>
              </c:layout>
              <c:numFmt formatCode="General" sourceLinked="0"/>
              <c:spPr>
                <a:solidFill>
                  <a:schemeClr val="bg1">
                    <a:lumMod val="8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TurnoutWorksheet!$D$3:$D$38</c:f>
              <c:numCache>
                <c:formatCode>0.0%</c:formatCode>
                <c:ptCount val="36"/>
                <c:pt idx="0">
                  <c:v>2.5968150560984438E-2</c:v>
                </c:pt>
                <c:pt idx="1">
                  <c:v>2.135815991237678E-2</c:v>
                </c:pt>
                <c:pt idx="2">
                  <c:v>1.1754038351747993E-3</c:v>
                </c:pt>
                <c:pt idx="3">
                  <c:v>8.4613554033686773E-4</c:v>
                </c:pt>
                <c:pt idx="4">
                  <c:v>2.1105658574716638E-2</c:v>
                </c:pt>
                <c:pt idx="5">
                  <c:v>4.2658462709526002E-2</c:v>
                </c:pt>
                <c:pt idx="6">
                  <c:v>1.5882595851465964E-3</c:v>
                </c:pt>
                <c:pt idx="7">
                  <c:v>8.7394252953925755E-4</c:v>
                </c:pt>
                <c:pt idx="8">
                  <c:v>1.8659922905055366E-2</c:v>
                </c:pt>
                <c:pt idx="9">
                  <c:v>9.3772933597890788E-3</c:v>
                </c:pt>
                <c:pt idx="10">
                  <c:v>4.5630399067253163E-2</c:v>
                </c:pt>
                <c:pt idx="11">
                  <c:v>4.0040994351359722E-2</c:v>
                </c:pt>
                <c:pt idx="12">
                  <c:v>6.7946881412365948E-2</c:v>
                </c:pt>
                <c:pt idx="13">
                  <c:v>2.7387217552954729E-2</c:v>
                </c:pt>
                <c:pt idx="14">
                  <c:v>1.2934696226466799E-2</c:v>
                </c:pt>
                <c:pt idx="15">
                  <c:v>9.7346365934744099E-3</c:v>
                </c:pt>
                <c:pt idx="16">
                  <c:v>1.2522980426084136E-2</c:v>
                </c:pt>
                <c:pt idx="17">
                  <c:v>2.4242958522501874E-3</c:v>
                </c:pt>
                <c:pt idx="18">
                  <c:v>7.2044359898004616E-3</c:v>
                </c:pt>
                <c:pt idx="19">
                  <c:v>7.0005542105416678E-4</c:v>
                </c:pt>
                <c:pt idx="20">
                  <c:v>6.8472660794415821E-3</c:v>
                </c:pt>
                <c:pt idx="21">
                  <c:v>0.1479201778168584</c:v>
                </c:pt>
                <c:pt idx="22">
                  <c:v>1.8462630924906799E-3</c:v>
                </c:pt>
                <c:pt idx="23">
                  <c:v>1.0827136222469158E-3</c:v>
                </c:pt>
                <c:pt idx="24">
                  <c:v>0.20082245529314119</c:v>
                </c:pt>
                <c:pt idx="25">
                  <c:v>5.6856248512694725E-2</c:v>
                </c:pt>
                <c:pt idx="26">
                  <c:v>2.3610733563745098E-2</c:v>
                </c:pt>
                <c:pt idx="27">
                  <c:v>0.14650837264762301</c:v>
                </c:pt>
                <c:pt idx="28">
                  <c:v>0.18701933325680928</c:v>
                </c:pt>
                <c:pt idx="29">
                  <c:v>6.6158402117068868E-3</c:v>
                </c:pt>
                <c:pt idx="30">
                  <c:v>2.5000000000000001E-2</c:v>
                </c:pt>
                <c:pt idx="31">
                  <c:v>0.11089512611416651</c:v>
                </c:pt>
                <c:pt idx="32">
                  <c:v>0.15873075408360371</c:v>
                </c:pt>
                <c:pt idx="33">
                  <c:v>0.21293728409477936</c:v>
                </c:pt>
                <c:pt idx="34">
                  <c:v>0.16513134818807806</c:v>
                </c:pt>
                <c:pt idx="35">
                  <c:v>6.3626811193452051E-2</c:v>
                </c:pt>
              </c:numCache>
            </c:numRef>
          </c:xVal>
          <c:yVal>
            <c:numRef>
              <c:f>TurnoutWorksheet!$H$3:$H$38</c:f>
              <c:numCache>
                <c:formatCode>0.0%</c:formatCode>
                <c:ptCount val="36"/>
                <c:pt idx="0">
                  <c:v>0.68200000000000005</c:v>
                </c:pt>
                <c:pt idx="1">
                  <c:v>0.59899999999999998</c:v>
                </c:pt>
                <c:pt idx="2">
                  <c:v>0.72499999999999998</c:v>
                </c:pt>
                <c:pt idx="3">
                  <c:v>0.745</c:v>
                </c:pt>
                <c:pt idx="4">
                  <c:v>0.73099999999999998</c:v>
                </c:pt>
                <c:pt idx="5">
                  <c:v>0.72199999999999998</c:v>
                </c:pt>
                <c:pt idx="6">
                  <c:v>0.75800000000000001</c:v>
                </c:pt>
                <c:pt idx="7">
                  <c:v>0.78400000000000003</c:v>
                </c:pt>
                <c:pt idx="8">
                  <c:v>0.76</c:v>
                </c:pt>
                <c:pt idx="9">
                  <c:v>0.75599999999999989</c:v>
                </c:pt>
                <c:pt idx="10">
                  <c:v>0.67400000000000004</c:v>
                </c:pt>
                <c:pt idx="11">
                  <c:v>0.68</c:v>
                </c:pt>
                <c:pt idx="12">
                  <c:v>0.64700000000000002</c:v>
                </c:pt>
                <c:pt idx="13">
                  <c:v>0.72699999999999998</c:v>
                </c:pt>
                <c:pt idx="14">
                  <c:v>0.75800000000000001</c:v>
                </c:pt>
                <c:pt idx="15">
                  <c:v>0.69900000000000007</c:v>
                </c:pt>
                <c:pt idx="16">
                  <c:v>0.72799999999999998</c:v>
                </c:pt>
                <c:pt idx="17">
                  <c:v>0.7659999999999999</c:v>
                </c:pt>
                <c:pt idx="18">
                  <c:v>0.753</c:v>
                </c:pt>
                <c:pt idx="19">
                  <c:v>0.79</c:v>
                </c:pt>
                <c:pt idx="20">
                  <c:v>0.75099999999999989</c:v>
                </c:pt>
                <c:pt idx="21">
                  <c:v>0.70700000000000007</c:v>
                </c:pt>
                <c:pt idx="22">
                  <c:v>0.76</c:v>
                </c:pt>
                <c:pt idx="23">
                  <c:v>0.78599999999999992</c:v>
                </c:pt>
                <c:pt idx="24">
                  <c:v>0.70099999999999996</c:v>
                </c:pt>
                <c:pt idx="25">
                  <c:v>0.7609999999999999</c:v>
                </c:pt>
                <c:pt idx="26">
                  <c:v>0.79099999999999993</c:v>
                </c:pt>
                <c:pt idx="27">
                  <c:v>0.69499999999999995</c:v>
                </c:pt>
                <c:pt idx="28">
                  <c:v>0.70099999999999996</c:v>
                </c:pt>
                <c:pt idx="29">
                  <c:v>0.77700000000000002</c:v>
                </c:pt>
                <c:pt idx="30">
                  <c:v>0.78299999999999992</c:v>
                </c:pt>
                <c:pt idx="31">
                  <c:v>0.78700000000000003</c:v>
                </c:pt>
                <c:pt idx="32">
                  <c:v>0.7609999999999999</c:v>
                </c:pt>
                <c:pt idx="33">
                  <c:v>0.72400000000000009</c:v>
                </c:pt>
                <c:pt idx="34">
                  <c:v>0.71700000000000008</c:v>
                </c:pt>
                <c:pt idx="35">
                  <c:v>0.74900000000000011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3C-48E6-B505-EB8FE80FA9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0455247"/>
        <c:axId val="980455727"/>
      </c:scatterChart>
      <c:valAx>
        <c:axId val="980455247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55727"/>
        <c:crosses val="autoZero"/>
        <c:crossBetween val="midCat"/>
      </c:valAx>
      <c:valAx>
        <c:axId val="980455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04552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Penang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3.3355643044619424E-2"/>
                  <c:y val="0.1292129629629629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TurnoutWorksheet!$B$51:$B$90</c:f>
              <c:numCache>
                <c:formatCode>0.0%</c:formatCode>
                <c:ptCount val="40"/>
                <c:pt idx="0">
                  <c:v>0.92959792681011466</c:v>
                </c:pt>
                <c:pt idx="1">
                  <c:v>0.6887370307096129</c:v>
                </c:pt>
                <c:pt idx="2">
                  <c:v>0.78792155055726754</c:v>
                </c:pt>
                <c:pt idx="3">
                  <c:v>0.86714120410954099</c:v>
                </c:pt>
                <c:pt idx="4">
                  <c:v>0.8111387900355872</c:v>
                </c:pt>
                <c:pt idx="5">
                  <c:v>0.64779696578437707</c:v>
                </c:pt>
                <c:pt idx="6">
                  <c:v>8.4085338680926922E-2</c:v>
                </c:pt>
                <c:pt idx="7">
                  <c:v>0.15967290725199054</c:v>
                </c:pt>
                <c:pt idx="8">
                  <c:v>0.23033787286178786</c:v>
                </c:pt>
                <c:pt idx="9">
                  <c:v>0.68538047343289643</c:v>
                </c:pt>
                <c:pt idx="10">
                  <c:v>0.75380777310924374</c:v>
                </c:pt>
                <c:pt idx="11">
                  <c:v>0.79794107206247777</c:v>
                </c:pt>
                <c:pt idx="12">
                  <c:v>5.0591553171000135E-2</c:v>
                </c:pt>
                <c:pt idx="13">
                  <c:v>0.35163960522126714</c:v>
                </c:pt>
                <c:pt idx="14">
                  <c:v>0.12927418682814365</c:v>
                </c:pt>
                <c:pt idx="15">
                  <c:v>0.13252600224620342</c:v>
                </c:pt>
                <c:pt idx="16">
                  <c:v>0.36064485538169749</c:v>
                </c:pt>
                <c:pt idx="17">
                  <c:v>0.17697887774695967</c:v>
                </c:pt>
                <c:pt idx="18">
                  <c:v>0.21321821808147318</c:v>
                </c:pt>
                <c:pt idx="19">
                  <c:v>0.59363690801635038</c:v>
                </c:pt>
                <c:pt idx="20">
                  <c:v>0.63782333780417699</c:v>
                </c:pt>
                <c:pt idx="21">
                  <c:v>0.25904942836788003</c:v>
                </c:pt>
                <c:pt idx="22">
                  <c:v>9.8757400299264844E-2</c:v>
                </c:pt>
                <c:pt idx="23">
                  <c:v>7.170226642752324E-2</c:v>
                </c:pt>
                <c:pt idx="24">
                  <c:v>0.13712000687964915</c:v>
                </c:pt>
                <c:pt idx="25">
                  <c:v>8.0250576986482025E-2</c:v>
                </c:pt>
                <c:pt idx="26">
                  <c:v>2.0539688427299703E-2</c:v>
                </c:pt>
                <c:pt idx="27">
                  <c:v>0.12219933041462787</c:v>
                </c:pt>
                <c:pt idx="28">
                  <c:v>0.26997872419842484</c:v>
                </c:pt>
                <c:pt idx="29">
                  <c:v>0.30680497443049742</c:v>
                </c:pt>
                <c:pt idx="30">
                  <c:v>6.6241768863650088E-2</c:v>
                </c:pt>
                <c:pt idx="31">
                  <c:v>0.221448026857541</c:v>
                </c:pt>
                <c:pt idx="32">
                  <c:v>0.2325319471518302</c:v>
                </c:pt>
                <c:pt idx="33">
                  <c:v>7.758153473395607E-2</c:v>
                </c:pt>
                <c:pt idx="34">
                  <c:v>0.2544051092375198</c:v>
                </c:pt>
                <c:pt idx="35">
                  <c:v>0.35761124121779858</c:v>
                </c:pt>
                <c:pt idx="36">
                  <c:v>0.53076695040867317</c:v>
                </c:pt>
                <c:pt idx="37">
                  <c:v>0.63223826533179051</c:v>
                </c:pt>
                <c:pt idx="38">
                  <c:v>0.66293313197415893</c:v>
                </c:pt>
                <c:pt idx="39">
                  <c:v>0.68137446310035144</c:v>
                </c:pt>
              </c:numCache>
            </c:numRef>
          </c:xVal>
          <c:yVal>
            <c:numRef>
              <c:f>TurnoutWorksheet!$H$51:$H$90</c:f>
              <c:numCache>
                <c:formatCode>0.0%</c:formatCode>
                <c:ptCount val="40"/>
                <c:pt idx="0">
                  <c:v>0.82099999999999995</c:v>
                </c:pt>
                <c:pt idx="1">
                  <c:v>0.77400000000000002</c:v>
                </c:pt>
                <c:pt idx="2">
                  <c:v>0.78299999999999992</c:v>
                </c:pt>
                <c:pt idx="3">
                  <c:v>0.80500000000000005</c:v>
                </c:pt>
                <c:pt idx="4">
                  <c:v>0.8</c:v>
                </c:pt>
                <c:pt idx="5">
                  <c:v>0.746</c:v>
                </c:pt>
                <c:pt idx="6">
                  <c:v>0.7340000000000001</c:v>
                </c:pt>
                <c:pt idx="7">
                  <c:v>0.71400000000000008</c:v>
                </c:pt>
                <c:pt idx="8">
                  <c:v>0.69299999999999995</c:v>
                </c:pt>
                <c:pt idx="9">
                  <c:v>0.748</c:v>
                </c:pt>
                <c:pt idx="10">
                  <c:v>0.78599999999999992</c:v>
                </c:pt>
                <c:pt idx="11">
                  <c:v>0.76700000000000002</c:v>
                </c:pt>
                <c:pt idx="12">
                  <c:v>0.69900000000000007</c:v>
                </c:pt>
                <c:pt idx="13">
                  <c:v>0.73599999999999999</c:v>
                </c:pt>
                <c:pt idx="14">
                  <c:v>0.70599999999999996</c:v>
                </c:pt>
                <c:pt idx="15">
                  <c:v>0.67900000000000005</c:v>
                </c:pt>
                <c:pt idx="16">
                  <c:v>0.74</c:v>
                </c:pt>
                <c:pt idx="17">
                  <c:v>0.72699999999999998</c:v>
                </c:pt>
                <c:pt idx="18">
                  <c:v>0.70900000000000007</c:v>
                </c:pt>
                <c:pt idx="19">
                  <c:v>0.76300000000000001</c:v>
                </c:pt>
                <c:pt idx="20">
                  <c:v>0.72799999999999998</c:v>
                </c:pt>
                <c:pt idx="21">
                  <c:v>0.61799999999999999</c:v>
                </c:pt>
                <c:pt idx="22">
                  <c:v>0.68299999999999994</c:v>
                </c:pt>
                <c:pt idx="23">
                  <c:v>0.65700000000000003</c:v>
                </c:pt>
                <c:pt idx="24">
                  <c:v>0.58499999999999996</c:v>
                </c:pt>
                <c:pt idx="25">
                  <c:v>0.62</c:v>
                </c:pt>
                <c:pt idx="26">
                  <c:v>0.73099999999999998</c:v>
                </c:pt>
                <c:pt idx="27">
                  <c:v>0.69</c:v>
                </c:pt>
                <c:pt idx="28">
                  <c:v>0.68900000000000006</c:v>
                </c:pt>
                <c:pt idx="29">
                  <c:v>0.71499999999999997</c:v>
                </c:pt>
                <c:pt idx="30">
                  <c:v>0.71499999999999997</c:v>
                </c:pt>
                <c:pt idx="31">
                  <c:v>0.64400000000000002</c:v>
                </c:pt>
                <c:pt idx="32">
                  <c:v>0.68099999999999994</c:v>
                </c:pt>
                <c:pt idx="33">
                  <c:v>0.70499999999999996</c:v>
                </c:pt>
                <c:pt idx="34">
                  <c:v>0.68099999999999994</c:v>
                </c:pt>
                <c:pt idx="35">
                  <c:v>0.67500000000000004</c:v>
                </c:pt>
                <c:pt idx="36">
                  <c:v>0.7340000000000001</c:v>
                </c:pt>
                <c:pt idx="37">
                  <c:v>0.73</c:v>
                </c:pt>
                <c:pt idx="38">
                  <c:v>0.75599999999999989</c:v>
                </c:pt>
                <c:pt idx="39">
                  <c:v>0.75599999999999989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36D-4757-A6EE-EF4B324D46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256271"/>
        <c:axId val="1657254831"/>
      </c:scatterChart>
      <c:valAx>
        <c:axId val="165725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54831"/>
        <c:crosses val="autoZero"/>
        <c:crossBetween val="midCat"/>
      </c:valAx>
      <c:valAx>
        <c:axId val="165725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5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Penang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3115266841644794E-2"/>
                  <c:y val="0.1559204578594342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TurnoutWorksheet!$C$51:$C$90</c:f>
              <c:numCache>
                <c:formatCode>0.0%</c:formatCode>
                <c:ptCount val="40"/>
                <c:pt idx="0">
                  <c:v>6.3059525679283801E-2</c:v>
                </c:pt>
                <c:pt idx="1">
                  <c:v>0.21830076253177216</c:v>
                </c:pt>
                <c:pt idx="2">
                  <c:v>0.17129856291219075</c:v>
                </c:pt>
                <c:pt idx="3">
                  <c:v>6.2730109751393814E-2</c:v>
                </c:pt>
                <c:pt idx="4">
                  <c:v>0.16039145907473309</c:v>
                </c:pt>
                <c:pt idx="5">
                  <c:v>0.23825855390574563</c:v>
                </c:pt>
                <c:pt idx="6">
                  <c:v>0.83110516934046341</c:v>
                </c:pt>
                <c:pt idx="7">
                  <c:v>0.66666666666666663</c:v>
                </c:pt>
                <c:pt idx="8">
                  <c:v>0.49743178926535037</c:v>
                </c:pt>
                <c:pt idx="9">
                  <c:v>0.18252565274814589</c:v>
                </c:pt>
                <c:pt idx="10">
                  <c:v>0.22078518907563024</c:v>
                </c:pt>
                <c:pt idx="11">
                  <c:v>0.17770678026269079</c:v>
                </c:pt>
                <c:pt idx="12">
                  <c:v>0.83584399504746187</c:v>
                </c:pt>
                <c:pt idx="13">
                  <c:v>0.51423821146839299</c:v>
                </c:pt>
                <c:pt idx="14">
                  <c:v>0.78431154690147498</c:v>
                </c:pt>
                <c:pt idx="15">
                  <c:v>0.49870599150349137</c:v>
                </c:pt>
                <c:pt idx="16">
                  <c:v>0.46081871345029241</c:v>
                </c:pt>
                <c:pt idx="17">
                  <c:v>0.62540004267121829</c:v>
                </c:pt>
                <c:pt idx="18">
                  <c:v>0.52588727083959452</c:v>
                </c:pt>
                <c:pt idx="19">
                  <c:v>0.22536384701502252</c:v>
                </c:pt>
                <c:pt idx="20">
                  <c:v>0.27729450086223412</c:v>
                </c:pt>
                <c:pt idx="21">
                  <c:v>0.5945652542660379</c:v>
                </c:pt>
                <c:pt idx="22">
                  <c:v>0.80033829939496459</c:v>
                </c:pt>
                <c:pt idx="23">
                  <c:v>0.74975542149029839</c:v>
                </c:pt>
                <c:pt idx="24">
                  <c:v>0.75237562884292897</c:v>
                </c:pt>
                <c:pt idx="25">
                  <c:v>0.72555225848994398</c:v>
                </c:pt>
                <c:pt idx="26">
                  <c:v>0.89312870919881304</c:v>
                </c:pt>
                <c:pt idx="27">
                  <c:v>0.77749163018284828</c:v>
                </c:pt>
                <c:pt idx="28">
                  <c:v>0.55440259788735025</c:v>
                </c:pt>
                <c:pt idx="29">
                  <c:v>0.48230474198047418</c:v>
                </c:pt>
                <c:pt idx="30">
                  <c:v>0.84320062828490305</c:v>
                </c:pt>
                <c:pt idx="31">
                  <c:v>0.64553113321086975</c:v>
                </c:pt>
                <c:pt idx="32">
                  <c:v>0.64860298895386614</c:v>
                </c:pt>
                <c:pt idx="33">
                  <c:v>0.77559218286734466</c:v>
                </c:pt>
                <c:pt idx="34">
                  <c:v>0.58701095821176685</c:v>
                </c:pt>
                <c:pt idx="35">
                  <c:v>0.50608899297423893</c:v>
                </c:pt>
                <c:pt idx="36">
                  <c:v>0.36149578621945538</c:v>
                </c:pt>
                <c:pt idx="37">
                  <c:v>0.30155456054736629</c:v>
                </c:pt>
                <c:pt idx="38">
                  <c:v>0.28437788405067538</c:v>
                </c:pt>
                <c:pt idx="39">
                  <c:v>0.27578512857700677</c:v>
                </c:pt>
              </c:numCache>
            </c:numRef>
          </c:xVal>
          <c:yVal>
            <c:numRef>
              <c:f>TurnoutWorksheet!$H$51:$H$90</c:f>
              <c:numCache>
                <c:formatCode>0.0%</c:formatCode>
                <c:ptCount val="40"/>
                <c:pt idx="0">
                  <c:v>0.82099999999999995</c:v>
                </c:pt>
                <c:pt idx="1">
                  <c:v>0.77400000000000002</c:v>
                </c:pt>
                <c:pt idx="2">
                  <c:v>0.78299999999999992</c:v>
                </c:pt>
                <c:pt idx="3">
                  <c:v>0.80500000000000005</c:v>
                </c:pt>
                <c:pt idx="4">
                  <c:v>0.8</c:v>
                </c:pt>
                <c:pt idx="5">
                  <c:v>0.746</c:v>
                </c:pt>
                <c:pt idx="6">
                  <c:v>0.7340000000000001</c:v>
                </c:pt>
                <c:pt idx="7">
                  <c:v>0.71400000000000008</c:v>
                </c:pt>
                <c:pt idx="8">
                  <c:v>0.69299999999999995</c:v>
                </c:pt>
                <c:pt idx="9">
                  <c:v>0.748</c:v>
                </c:pt>
                <c:pt idx="10">
                  <c:v>0.78599999999999992</c:v>
                </c:pt>
                <c:pt idx="11">
                  <c:v>0.76700000000000002</c:v>
                </c:pt>
                <c:pt idx="12">
                  <c:v>0.69900000000000007</c:v>
                </c:pt>
                <c:pt idx="13">
                  <c:v>0.73599999999999999</c:v>
                </c:pt>
                <c:pt idx="14">
                  <c:v>0.70599999999999996</c:v>
                </c:pt>
                <c:pt idx="15">
                  <c:v>0.67900000000000005</c:v>
                </c:pt>
                <c:pt idx="16">
                  <c:v>0.74</c:v>
                </c:pt>
                <c:pt idx="17">
                  <c:v>0.72699999999999998</c:v>
                </c:pt>
                <c:pt idx="18">
                  <c:v>0.70900000000000007</c:v>
                </c:pt>
                <c:pt idx="19">
                  <c:v>0.76300000000000001</c:v>
                </c:pt>
                <c:pt idx="20">
                  <c:v>0.72799999999999998</c:v>
                </c:pt>
                <c:pt idx="21">
                  <c:v>0.61799999999999999</c:v>
                </c:pt>
                <c:pt idx="22">
                  <c:v>0.68299999999999994</c:v>
                </c:pt>
                <c:pt idx="23">
                  <c:v>0.65700000000000003</c:v>
                </c:pt>
                <c:pt idx="24">
                  <c:v>0.58499999999999996</c:v>
                </c:pt>
                <c:pt idx="25">
                  <c:v>0.62</c:v>
                </c:pt>
                <c:pt idx="26">
                  <c:v>0.73099999999999998</c:v>
                </c:pt>
                <c:pt idx="27">
                  <c:v>0.69</c:v>
                </c:pt>
                <c:pt idx="28">
                  <c:v>0.68900000000000006</c:v>
                </c:pt>
                <c:pt idx="29">
                  <c:v>0.71499999999999997</c:v>
                </c:pt>
                <c:pt idx="30">
                  <c:v>0.71499999999999997</c:v>
                </c:pt>
                <c:pt idx="31">
                  <c:v>0.64400000000000002</c:v>
                </c:pt>
                <c:pt idx="32">
                  <c:v>0.68099999999999994</c:v>
                </c:pt>
                <c:pt idx="33">
                  <c:v>0.70499999999999996</c:v>
                </c:pt>
                <c:pt idx="34">
                  <c:v>0.68099999999999994</c:v>
                </c:pt>
                <c:pt idx="35">
                  <c:v>0.67500000000000004</c:v>
                </c:pt>
                <c:pt idx="36">
                  <c:v>0.7340000000000001</c:v>
                </c:pt>
                <c:pt idx="37">
                  <c:v>0.73</c:v>
                </c:pt>
                <c:pt idx="38">
                  <c:v>0.75599999999999989</c:v>
                </c:pt>
                <c:pt idx="39">
                  <c:v>0.75599999999999989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4-417C-9DA2-90416DD1D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256271"/>
        <c:axId val="1657254831"/>
      </c:scatterChart>
      <c:valAx>
        <c:axId val="165725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54831"/>
        <c:crosses val="autoZero"/>
        <c:crossBetween val="midCat"/>
      </c:valAx>
      <c:valAx>
        <c:axId val="165725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5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Penang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3182414698162732E-3"/>
                  <c:y val="9.8567002041411486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TurnoutWorksheet!$D$51:$D$90</c:f>
              <c:numCache>
                <c:formatCode>0.0%</c:formatCode>
                <c:ptCount val="40"/>
                <c:pt idx="0">
                  <c:v>4.0835558347730484E-3</c:v>
                </c:pt>
                <c:pt idx="1">
                  <c:v>8.6961956748197844E-2</c:v>
                </c:pt>
                <c:pt idx="2">
                  <c:v>3.6517582006163063E-2</c:v>
                </c:pt>
                <c:pt idx="3">
                  <c:v>6.6306672744486136E-2</c:v>
                </c:pt>
                <c:pt idx="4">
                  <c:v>2.3879003558718862E-2</c:v>
                </c:pt>
                <c:pt idx="5">
                  <c:v>0.10143641058747579</c:v>
                </c:pt>
                <c:pt idx="6">
                  <c:v>8.1105169340463454E-2</c:v>
                </c:pt>
                <c:pt idx="7">
                  <c:v>0.1673276153586031</c:v>
                </c:pt>
                <c:pt idx="8">
                  <c:v>0.26502049856274446</c:v>
                </c:pt>
                <c:pt idx="9">
                  <c:v>0.1210403332317383</c:v>
                </c:pt>
                <c:pt idx="10">
                  <c:v>2.1336659663865547E-2</c:v>
                </c:pt>
                <c:pt idx="11">
                  <c:v>1.6542421015264465E-2</c:v>
                </c:pt>
                <c:pt idx="12">
                  <c:v>0.10754574219287384</c:v>
                </c:pt>
                <c:pt idx="13">
                  <c:v>0.12722416781633591</c:v>
                </c:pt>
                <c:pt idx="14">
                  <c:v>8.1719952223549344E-2</c:v>
                </c:pt>
                <c:pt idx="15">
                  <c:v>0.35641388739684554</c:v>
                </c:pt>
                <c:pt idx="16">
                  <c:v>0.16763078868342027</c:v>
                </c:pt>
                <c:pt idx="17">
                  <c:v>0.19279389801578836</c:v>
                </c:pt>
                <c:pt idx="18">
                  <c:v>0.25556678779268327</c:v>
                </c:pt>
                <c:pt idx="19">
                  <c:v>0.17394360696711708</c:v>
                </c:pt>
                <c:pt idx="20">
                  <c:v>7.5838283196014558E-2</c:v>
                </c:pt>
                <c:pt idx="21">
                  <c:v>0.12083997693116667</c:v>
                </c:pt>
                <c:pt idx="22">
                  <c:v>9.3617851798841981E-2</c:v>
                </c:pt>
                <c:pt idx="23">
                  <c:v>0.16924832871351703</c:v>
                </c:pt>
                <c:pt idx="24">
                  <c:v>8.5952616416562752E-2</c:v>
                </c:pt>
                <c:pt idx="25">
                  <c:v>0.18516320474777448</c:v>
                </c:pt>
                <c:pt idx="26">
                  <c:v>8.206602373887241E-2</c:v>
                </c:pt>
                <c:pt idx="27">
                  <c:v>8.8720061807880501E-2</c:v>
                </c:pt>
                <c:pt idx="28">
                  <c:v>0.16535403680340413</c:v>
                </c:pt>
                <c:pt idx="29">
                  <c:v>0.2015051139005114</c:v>
                </c:pt>
                <c:pt idx="30">
                  <c:v>8.2915483598139314E-2</c:v>
                </c:pt>
                <c:pt idx="31">
                  <c:v>0.12367770950782289</c:v>
                </c:pt>
                <c:pt idx="32">
                  <c:v>0.11098115659519169</c:v>
                </c:pt>
                <c:pt idx="33">
                  <c:v>0.13840979373226639</c:v>
                </c:pt>
                <c:pt idx="34">
                  <c:v>0.14684463231408945</c:v>
                </c:pt>
                <c:pt idx="35">
                  <c:v>0.12448979591836734</c:v>
                </c:pt>
                <c:pt idx="36">
                  <c:v>9.5011222631601236E-2</c:v>
                </c:pt>
                <c:pt idx="37">
                  <c:v>5.6598078180811993E-2</c:v>
                </c:pt>
                <c:pt idx="38">
                  <c:v>4.2662975081802168E-2</c:v>
                </c:pt>
                <c:pt idx="39">
                  <c:v>3.6369721648909469E-2</c:v>
                </c:pt>
              </c:numCache>
            </c:numRef>
          </c:xVal>
          <c:yVal>
            <c:numRef>
              <c:f>TurnoutWorksheet!$H$51:$H$90</c:f>
              <c:numCache>
                <c:formatCode>0.0%</c:formatCode>
                <c:ptCount val="40"/>
                <c:pt idx="0">
                  <c:v>0.82099999999999995</c:v>
                </c:pt>
                <c:pt idx="1">
                  <c:v>0.77400000000000002</c:v>
                </c:pt>
                <c:pt idx="2">
                  <c:v>0.78299999999999992</c:v>
                </c:pt>
                <c:pt idx="3">
                  <c:v>0.80500000000000005</c:v>
                </c:pt>
                <c:pt idx="4">
                  <c:v>0.8</c:v>
                </c:pt>
                <c:pt idx="5">
                  <c:v>0.746</c:v>
                </c:pt>
                <c:pt idx="6">
                  <c:v>0.7340000000000001</c:v>
                </c:pt>
                <c:pt idx="7">
                  <c:v>0.71400000000000008</c:v>
                </c:pt>
                <c:pt idx="8">
                  <c:v>0.69299999999999995</c:v>
                </c:pt>
                <c:pt idx="9">
                  <c:v>0.748</c:v>
                </c:pt>
                <c:pt idx="10">
                  <c:v>0.78599999999999992</c:v>
                </c:pt>
                <c:pt idx="11">
                  <c:v>0.76700000000000002</c:v>
                </c:pt>
                <c:pt idx="12">
                  <c:v>0.69900000000000007</c:v>
                </c:pt>
                <c:pt idx="13">
                  <c:v>0.73599999999999999</c:v>
                </c:pt>
                <c:pt idx="14">
                  <c:v>0.70599999999999996</c:v>
                </c:pt>
                <c:pt idx="15">
                  <c:v>0.67900000000000005</c:v>
                </c:pt>
                <c:pt idx="16">
                  <c:v>0.74</c:v>
                </c:pt>
                <c:pt idx="17">
                  <c:v>0.72699999999999998</c:v>
                </c:pt>
                <c:pt idx="18">
                  <c:v>0.70900000000000007</c:v>
                </c:pt>
                <c:pt idx="19">
                  <c:v>0.76300000000000001</c:v>
                </c:pt>
                <c:pt idx="20">
                  <c:v>0.72799999999999998</c:v>
                </c:pt>
                <c:pt idx="21">
                  <c:v>0.61799999999999999</c:v>
                </c:pt>
                <c:pt idx="22">
                  <c:v>0.68299999999999994</c:v>
                </c:pt>
                <c:pt idx="23">
                  <c:v>0.65700000000000003</c:v>
                </c:pt>
                <c:pt idx="24">
                  <c:v>0.58499999999999996</c:v>
                </c:pt>
                <c:pt idx="25">
                  <c:v>0.62</c:v>
                </c:pt>
                <c:pt idx="26">
                  <c:v>0.73099999999999998</c:v>
                </c:pt>
                <c:pt idx="27">
                  <c:v>0.69</c:v>
                </c:pt>
                <c:pt idx="28">
                  <c:v>0.68900000000000006</c:v>
                </c:pt>
                <c:pt idx="29">
                  <c:v>0.71499999999999997</c:v>
                </c:pt>
                <c:pt idx="30">
                  <c:v>0.71499999999999997</c:v>
                </c:pt>
                <c:pt idx="31">
                  <c:v>0.64400000000000002</c:v>
                </c:pt>
                <c:pt idx="32">
                  <c:v>0.68099999999999994</c:v>
                </c:pt>
                <c:pt idx="33">
                  <c:v>0.70499999999999996</c:v>
                </c:pt>
                <c:pt idx="34">
                  <c:v>0.68099999999999994</c:v>
                </c:pt>
                <c:pt idx="35">
                  <c:v>0.67500000000000004</c:v>
                </c:pt>
                <c:pt idx="36">
                  <c:v>0.7340000000000001</c:v>
                </c:pt>
                <c:pt idx="37">
                  <c:v>0.73</c:v>
                </c:pt>
                <c:pt idx="38">
                  <c:v>0.75599999999999989</c:v>
                </c:pt>
                <c:pt idx="39">
                  <c:v>0.75599999999999989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96C-42ED-A0F7-B4254D7C22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7256271"/>
        <c:axId val="1657254831"/>
      </c:scatterChart>
      <c:valAx>
        <c:axId val="165725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54831"/>
        <c:crosses val="autoZero"/>
        <c:crossBetween val="midCat"/>
      </c:valAx>
      <c:valAx>
        <c:axId val="165725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725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Selangor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701224846894139E-2"/>
                  <c:y val="0.17340624088655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TurnoutWorksheet!$B$100:$B$155</c:f>
              <c:numCache>
                <c:formatCode>0.0%</c:formatCode>
                <c:ptCount val="56"/>
                <c:pt idx="0">
                  <c:v>0.84345351043643269</c:v>
                </c:pt>
                <c:pt idx="1">
                  <c:v>0.79541740005028916</c:v>
                </c:pt>
                <c:pt idx="2">
                  <c:v>0.81260726719952925</c:v>
                </c:pt>
                <c:pt idx="3">
                  <c:v>0.43904578877005346</c:v>
                </c:pt>
                <c:pt idx="4">
                  <c:v>0.70049725030460697</c:v>
                </c:pt>
                <c:pt idx="5">
                  <c:v>0.46360114956891169</c:v>
                </c:pt>
                <c:pt idx="6">
                  <c:v>0.68927470387798151</c:v>
                </c:pt>
                <c:pt idx="7">
                  <c:v>0.83153082137789691</c:v>
                </c:pt>
                <c:pt idx="8">
                  <c:v>0.63222496428107544</c:v>
                </c:pt>
                <c:pt idx="9">
                  <c:v>0.60317209400358307</c:v>
                </c:pt>
                <c:pt idx="10">
                  <c:v>0.61594155632378844</c:v>
                </c:pt>
                <c:pt idx="11">
                  <c:v>0.79946604189936521</c:v>
                </c:pt>
                <c:pt idx="12">
                  <c:v>0.76790334605095822</c:v>
                </c:pt>
                <c:pt idx="13">
                  <c:v>0.31813745266199034</c:v>
                </c:pt>
                <c:pt idx="14">
                  <c:v>0.59047603925180225</c:v>
                </c:pt>
                <c:pt idx="15">
                  <c:v>0.57247986953419627</c:v>
                </c:pt>
                <c:pt idx="16">
                  <c:v>0.67228752260397828</c:v>
                </c:pt>
                <c:pt idx="17">
                  <c:v>0.81855457309419544</c:v>
                </c:pt>
                <c:pt idx="18">
                  <c:v>0.47064071020560855</c:v>
                </c:pt>
                <c:pt idx="19">
                  <c:v>0.56781416603198787</c:v>
                </c:pt>
                <c:pt idx="20">
                  <c:v>0.55044082739911837</c:v>
                </c:pt>
                <c:pt idx="21">
                  <c:v>0.26627627891780498</c:v>
                </c:pt>
                <c:pt idx="22">
                  <c:v>0.57172227522541286</c:v>
                </c:pt>
                <c:pt idx="23">
                  <c:v>0.69012332990750258</c:v>
                </c:pt>
                <c:pt idx="24">
                  <c:v>0.39016259051783031</c:v>
                </c:pt>
                <c:pt idx="25">
                  <c:v>0.76431761022429812</c:v>
                </c:pt>
                <c:pt idx="26">
                  <c:v>0.3336274443986228</c:v>
                </c:pt>
                <c:pt idx="27">
                  <c:v>0.11142593359014358</c:v>
                </c:pt>
                <c:pt idx="28">
                  <c:v>0.55177776586046012</c:v>
                </c:pt>
                <c:pt idx="29">
                  <c:v>0.25204795527621138</c:v>
                </c:pt>
                <c:pt idx="30">
                  <c:v>0.27335893542913281</c:v>
                </c:pt>
                <c:pt idx="31">
                  <c:v>0.52038670664792031</c:v>
                </c:pt>
                <c:pt idx="32">
                  <c:v>0.6504462628512403</c:v>
                </c:pt>
                <c:pt idx="33">
                  <c:v>0.16929090305689737</c:v>
                </c:pt>
                <c:pt idx="34">
                  <c:v>0.1497164007745429</c:v>
                </c:pt>
                <c:pt idx="35">
                  <c:v>0.14999041594786275</c:v>
                </c:pt>
                <c:pt idx="36">
                  <c:v>0.27638063716846167</c:v>
                </c:pt>
                <c:pt idx="37">
                  <c:v>0.66233479872662371</c:v>
                </c:pt>
                <c:pt idx="38">
                  <c:v>0.60453788971485634</c:v>
                </c:pt>
                <c:pt idx="39">
                  <c:v>0.72226194481830419</c:v>
                </c:pt>
                <c:pt idx="40">
                  <c:v>0.74896007206634341</c:v>
                </c:pt>
                <c:pt idx="41">
                  <c:v>0.57123751918663845</c:v>
                </c:pt>
                <c:pt idx="42">
                  <c:v>0.74405892502428628</c:v>
                </c:pt>
                <c:pt idx="43">
                  <c:v>0.7390519500807109</c:v>
                </c:pt>
                <c:pt idx="44">
                  <c:v>0.1597928186801246</c:v>
                </c:pt>
                <c:pt idx="45">
                  <c:v>0.61858708844664501</c:v>
                </c:pt>
                <c:pt idx="46">
                  <c:v>0.15271124483682383</c:v>
                </c:pt>
                <c:pt idx="47">
                  <c:v>0.15013847346848344</c:v>
                </c:pt>
                <c:pt idx="48">
                  <c:v>0.68970167292156992</c:v>
                </c:pt>
                <c:pt idx="49">
                  <c:v>0.39811583237741927</c:v>
                </c:pt>
                <c:pt idx="50">
                  <c:v>0.71162191806953123</c:v>
                </c:pt>
                <c:pt idx="51">
                  <c:v>0.18075691541403541</c:v>
                </c:pt>
                <c:pt idx="52">
                  <c:v>0.71059596604910102</c:v>
                </c:pt>
                <c:pt idx="53">
                  <c:v>0.57783486011388963</c:v>
                </c:pt>
                <c:pt idx="54">
                  <c:v>0.68927191236120133</c:v>
                </c:pt>
                <c:pt idx="55">
                  <c:v>0.56828984894898071</c:v>
                </c:pt>
              </c:numCache>
            </c:numRef>
          </c:xVal>
          <c:yVal>
            <c:numRef>
              <c:f>TurnoutWorksheet!$H$100:$H$155</c:f>
              <c:numCache>
                <c:formatCode>0.0%</c:formatCode>
                <c:ptCount val="56"/>
                <c:pt idx="0">
                  <c:v>0.74400000000000011</c:v>
                </c:pt>
                <c:pt idx="1">
                  <c:v>0.71200000000000008</c:v>
                </c:pt>
                <c:pt idx="2">
                  <c:v>0.745</c:v>
                </c:pt>
                <c:pt idx="3">
                  <c:v>0.68700000000000006</c:v>
                </c:pt>
                <c:pt idx="4">
                  <c:v>0.68400000000000005</c:v>
                </c:pt>
                <c:pt idx="5">
                  <c:v>0.68299999999999994</c:v>
                </c:pt>
                <c:pt idx="6">
                  <c:v>0.71400000000000008</c:v>
                </c:pt>
                <c:pt idx="7">
                  <c:v>0.75800000000000001</c:v>
                </c:pt>
                <c:pt idx="8">
                  <c:v>0.77800000000000002</c:v>
                </c:pt>
                <c:pt idx="9">
                  <c:v>0.75</c:v>
                </c:pt>
                <c:pt idx="10">
                  <c:v>0.77099999999999991</c:v>
                </c:pt>
                <c:pt idx="11">
                  <c:v>0.76500000000000001</c:v>
                </c:pt>
                <c:pt idx="12">
                  <c:v>0.73199999999999998</c:v>
                </c:pt>
                <c:pt idx="13">
                  <c:v>0.68599999999999994</c:v>
                </c:pt>
                <c:pt idx="14">
                  <c:v>0.71099999999999997</c:v>
                </c:pt>
                <c:pt idx="15">
                  <c:v>0.70499999999999996</c:v>
                </c:pt>
                <c:pt idx="16">
                  <c:v>0.69599999999999995</c:v>
                </c:pt>
                <c:pt idx="17">
                  <c:v>0.69099999999999995</c:v>
                </c:pt>
                <c:pt idx="18">
                  <c:v>0.67200000000000004</c:v>
                </c:pt>
                <c:pt idx="19">
                  <c:v>0.69900000000000007</c:v>
                </c:pt>
                <c:pt idx="20">
                  <c:v>0.65700000000000003</c:v>
                </c:pt>
                <c:pt idx="21">
                  <c:v>0.66700000000000004</c:v>
                </c:pt>
                <c:pt idx="22">
                  <c:v>0.72</c:v>
                </c:pt>
                <c:pt idx="23">
                  <c:v>0.74900000000000011</c:v>
                </c:pt>
                <c:pt idx="24">
                  <c:v>0.70900000000000007</c:v>
                </c:pt>
                <c:pt idx="25">
                  <c:v>0.747</c:v>
                </c:pt>
                <c:pt idx="26">
                  <c:v>0.69200000000000006</c:v>
                </c:pt>
                <c:pt idx="27">
                  <c:v>0.70700000000000007</c:v>
                </c:pt>
                <c:pt idx="28">
                  <c:v>0.70700000000000007</c:v>
                </c:pt>
                <c:pt idx="29">
                  <c:v>0.71099999999999997</c:v>
                </c:pt>
                <c:pt idx="30">
                  <c:v>0.66299999999999992</c:v>
                </c:pt>
                <c:pt idx="31">
                  <c:v>0.69</c:v>
                </c:pt>
                <c:pt idx="32">
                  <c:v>0.72</c:v>
                </c:pt>
                <c:pt idx="33">
                  <c:v>0.60599999999999998</c:v>
                </c:pt>
                <c:pt idx="34">
                  <c:v>0.63400000000000001</c:v>
                </c:pt>
                <c:pt idx="35">
                  <c:v>0.64</c:v>
                </c:pt>
                <c:pt idx="36">
                  <c:v>0.65900000000000003</c:v>
                </c:pt>
                <c:pt idx="37">
                  <c:v>0.73499999999999999</c:v>
                </c:pt>
                <c:pt idx="38">
                  <c:v>0.71499999999999997</c:v>
                </c:pt>
                <c:pt idx="39">
                  <c:v>0.72299999999999998</c:v>
                </c:pt>
                <c:pt idx="40">
                  <c:v>0.75099999999999989</c:v>
                </c:pt>
                <c:pt idx="41">
                  <c:v>0.78200000000000003</c:v>
                </c:pt>
                <c:pt idx="42">
                  <c:v>0.79099999999999993</c:v>
                </c:pt>
                <c:pt idx="43">
                  <c:v>0.74099999999999999</c:v>
                </c:pt>
                <c:pt idx="44">
                  <c:v>0.74400000000000011</c:v>
                </c:pt>
                <c:pt idx="45">
                  <c:v>0.748</c:v>
                </c:pt>
                <c:pt idx="46">
                  <c:v>0.71499999999999997</c:v>
                </c:pt>
                <c:pt idx="47">
                  <c:v>0.72400000000000009</c:v>
                </c:pt>
                <c:pt idx="48">
                  <c:v>0.75099999999999989</c:v>
                </c:pt>
                <c:pt idx="49">
                  <c:v>0.71799999999999997</c:v>
                </c:pt>
                <c:pt idx="50">
                  <c:v>0.78700000000000003</c:v>
                </c:pt>
                <c:pt idx="51">
                  <c:v>0.75099999999999989</c:v>
                </c:pt>
                <c:pt idx="52">
                  <c:v>0.77599999999999991</c:v>
                </c:pt>
                <c:pt idx="53">
                  <c:v>0.78</c:v>
                </c:pt>
                <c:pt idx="54">
                  <c:v>0.73599999999999999</c:v>
                </c:pt>
                <c:pt idx="55">
                  <c:v>0.7340000000000001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D81-46AD-A2A2-87F85513FC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22255"/>
        <c:axId val="1123719375"/>
      </c:scatterChart>
      <c:valAx>
        <c:axId val="112372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19375"/>
        <c:crosses val="autoZero"/>
        <c:crossBetween val="midCat"/>
      </c:valAx>
      <c:valAx>
        <c:axId val="112371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2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Selangor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701224846894139E-2"/>
                  <c:y val="0.17340624088655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TurnoutWorksheet!$C$100:$C$155</c:f>
              <c:numCache>
                <c:formatCode>0.0%</c:formatCode>
                <c:ptCount val="56"/>
                <c:pt idx="0">
                  <c:v>0.12184160591231399</c:v>
                </c:pt>
                <c:pt idx="1">
                  <c:v>0.13449207945687705</c:v>
                </c:pt>
                <c:pt idx="2">
                  <c:v>0.16071691266611093</c:v>
                </c:pt>
                <c:pt idx="3">
                  <c:v>0.51641878342245995</c:v>
                </c:pt>
                <c:pt idx="4">
                  <c:v>0.1481213159021306</c:v>
                </c:pt>
                <c:pt idx="5">
                  <c:v>0.30648506809946269</c:v>
                </c:pt>
                <c:pt idx="6">
                  <c:v>0.12797570756357063</c:v>
                </c:pt>
                <c:pt idx="7">
                  <c:v>0.12867728204319723</c:v>
                </c:pt>
                <c:pt idx="8">
                  <c:v>0.2150928692037927</c:v>
                </c:pt>
                <c:pt idx="9">
                  <c:v>0.15420486879544737</c:v>
                </c:pt>
                <c:pt idx="10">
                  <c:v>0.13182440806209642</c:v>
                </c:pt>
                <c:pt idx="11">
                  <c:v>6.7262375023837417E-2</c:v>
                </c:pt>
                <c:pt idx="12">
                  <c:v>9.8978204622198834E-2</c:v>
                </c:pt>
                <c:pt idx="13">
                  <c:v>0.38692885308624303</c:v>
                </c:pt>
                <c:pt idx="14">
                  <c:v>0.22075963034710533</c:v>
                </c:pt>
                <c:pt idx="15">
                  <c:v>0.12439098970543268</c:v>
                </c:pt>
                <c:pt idx="16">
                  <c:v>0.11756329113924051</c:v>
                </c:pt>
                <c:pt idx="17">
                  <c:v>8.6496889905441965E-2</c:v>
                </c:pt>
                <c:pt idx="18">
                  <c:v>0.4057063927137739</c:v>
                </c:pt>
                <c:pt idx="19">
                  <c:v>0.22923076923076924</c:v>
                </c:pt>
                <c:pt idx="20">
                  <c:v>0.30904543913190913</c:v>
                </c:pt>
                <c:pt idx="21">
                  <c:v>0.6162304125460234</c:v>
                </c:pt>
                <c:pt idx="22">
                  <c:v>0.28440317660812425</c:v>
                </c:pt>
                <c:pt idx="23">
                  <c:v>0.14794450154162384</c:v>
                </c:pt>
                <c:pt idx="24">
                  <c:v>0.43437628091269298</c:v>
                </c:pt>
                <c:pt idx="25">
                  <c:v>9.4513165323615464E-2</c:v>
                </c:pt>
                <c:pt idx="26">
                  <c:v>0.55155415319989642</c:v>
                </c:pt>
                <c:pt idx="27">
                  <c:v>0.7861099614784629</c:v>
                </c:pt>
                <c:pt idx="28">
                  <c:v>0.29467474660803344</c:v>
                </c:pt>
                <c:pt idx="29">
                  <c:v>0.53151508296844452</c:v>
                </c:pt>
                <c:pt idx="30">
                  <c:v>0.55229079217647581</c:v>
                </c:pt>
                <c:pt idx="31">
                  <c:v>0.20615644946560327</c:v>
                </c:pt>
                <c:pt idx="32">
                  <c:v>0.1203376426346455</c:v>
                </c:pt>
                <c:pt idx="33">
                  <c:v>0.6209668498100962</c:v>
                </c:pt>
                <c:pt idx="34">
                  <c:v>0.72505440649793518</c:v>
                </c:pt>
                <c:pt idx="35">
                  <c:v>0.72615624743284313</c:v>
                </c:pt>
                <c:pt idx="36">
                  <c:v>0.58242225296835859</c:v>
                </c:pt>
                <c:pt idx="37">
                  <c:v>0.15539600071661866</c:v>
                </c:pt>
                <c:pt idx="38">
                  <c:v>0.2468212581826251</c:v>
                </c:pt>
                <c:pt idx="39">
                  <c:v>0.17294751009421266</c:v>
                </c:pt>
                <c:pt idx="40">
                  <c:v>7.4662851389661652E-2</c:v>
                </c:pt>
                <c:pt idx="41">
                  <c:v>0.16738347441528245</c:v>
                </c:pt>
                <c:pt idx="42">
                  <c:v>0.13333526656903827</c:v>
                </c:pt>
                <c:pt idx="43">
                  <c:v>0.15043479770190757</c:v>
                </c:pt>
                <c:pt idx="44">
                  <c:v>0.67647840050225772</c:v>
                </c:pt>
                <c:pt idx="45">
                  <c:v>0.18076560001541217</c:v>
                </c:pt>
                <c:pt idx="46">
                  <c:v>0.59258086226691475</c:v>
                </c:pt>
                <c:pt idx="47">
                  <c:v>0.41022488091281711</c:v>
                </c:pt>
                <c:pt idx="48">
                  <c:v>0.12976273773932956</c:v>
                </c:pt>
                <c:pt idx="49">
                  <c:v>0.33356112561931028</c:v>
                </c:pt>
                <c:pt idx="50">
                  <c:v>7.9736754256283085E-2</c:v>
                </c:pt>
                <c:pt idx="51">
                  <c:v>0.57395712888019212</c:v>
                </c:pt>
                <c:pt idx="52">
                  <c:v>0.10641598977822396</c:v>
                </c:pt>
                <c:pt idx="53">
                  <c:v>0.26200792275315671</c:v>
                </c:pt>
                <c:pt idx="54">
                  <c:v>0.1458623883488944</c:v>
                </c:pt>
                <c:pt idx="55">
                  <c:v>0.22560473222773847</c:v>
                </c:pt>
              </c:numCache>
            </c:numRef>
          </c:xVal>
          <c:yVal>
            <c:numRef>
              <c:f>TurnoutWorksheet!$H$100:$H$155</c:f>
              <c:numCache>
                <c:formatCode>0.0%</c:formatCode>
                <c:ptCount val="56"/>
                <c:pt idx="0">
                  <c:v>0.74400000000000011</c:v>
                </c:pt>
                <c:pt idx="1">
                  <c:v>0.71200000000000008</c:v>
                </c:pt>
                <c:pt idx="2">
                  <c:v>0.745</c:v>
                </c:pt>
                <c:pt idx="3">
                  <c:v>0.68700000000000006</c:v>
                </c:pt>
                <c:pt idx="4">
                  <c:v>0.68400000000000005</c:v>
                </c:pt>
                <c:pt idx="5">
                  <c:v>0.68299999999999994</c:v>
                </c:pt>
                <c:pt idx="6">
                  <c:v>0.71400000000000008</c:v>
                </c:pt>
                <c:pt idx="7">
                  <c:v>0.75800000000000001</c:v>
                </c:pt>
                <c:pt idx="8">
                  <c:v>0.77800000000000002</c:v>
                </c:pt>
                <c:pt idx="9">
                  <c:v>0.75</c:v>
                </c:pt>
                <c:pt idx="10">
                  <c:v>0.77099999999999991</c:v>
                </c:pt>
                <c:pt idx="11">
                  <c:v>0.76500000000000001</c:v>
                </c:pt>
                <c:pt idx="12">
                  <c:v>0.73199999999999998</c:v>
                </c:pt>
                <c:pt idx="13">
                  <c:v>0.68599999999999994</c:v>
                </c:pt>
                <c:pt idx="14">
                  <c:v>0.71099999999999997</c:v>
                </c:pt>
                <c:pt idx="15">
                  <c:v>0.70499999999999996</c:v>
                </c:pt>
                <c:pt idx="16">
                  <c:v>0.69599999999999995</c:v>
                </c:pt>
                <c:pt idx="17">
                  <c:v>0.69099999999999995</c:v>
                </c:pt>
                <c:pt idx="18">
                  <c:v>0.67200000000000004</c:v>
                </c:pt>
                <c:pt idx="19">
                  <c:v>0.69900000000000007</c:v>
                </c:pt>
                <c:pt idx="20">
                  <c:v>0.65700000000000003</c:v>
                </c:pt>
                <c:pt idx="21">
                  <c:v>0.66700000000000004</c:v>
                </c:pt>
                <c:pt idx="22">
                  <c:v>0.72</c:v>
                </c:pt>
                <c:pt idx="23">
                  <c:v>0.74900000000000011</c:v>
                </c:pt>
                <c:pt idx="24">
                  <c:v>0.70900000000000007</c:v>
                </c:pt>
                <c:pt idx="25">
                  <c:v>0.747</c:v>
                </c:pt>
                <c:pt idx="26">
                  <c:v>0.69200000000000006</c:v>
                </c:pt>
                <c:pt idx="27">
                  <c:v>0.70700000000000007</c:v>
                </c:pt>
                <c:pt idx="28">
                  <c:v>0.70700000000000007</c:v>
                </c:pt>
                <c:pt idx="29">
                  <c:v>0.71099999999999997</c:v>
                </c:pt>
                <c:pt idx="30">
                  <c:v>0.66299999999999992</c:v>
                </c:pt>
                <c:pt idx="31">
                  <c:v>0.69</c:v>
                </c:pt>
                <c:pt idx="32">
                  <c:v>0.72</c:v>
                </c:pt>
                <c:pt idx="33">
                  <c:v>0.60599999999999998</c:v>
                </c:pt>
                <c:pt idx="34">
                  <c:v>0.63400000000000001</c:v>
                </c:pt>
                <c:pt idx="35">
                  <c:v>0.64</c:v>
                </c:pt>
                <c:pt idx="36">
                  <c:v>0.65900000000000003</c:v>
                </c:pt>
                <c:pt idx="37">
                  <c:v>0.73499999999999999</c:v>
                </c:pt>
                <c:pt idx="38">
                  <c:v>0.71499999999999997</c:v>
                </c:pt>
                <c:pt idx="39">
                  <c:v>0.72299999999999998</c:v>
                </c:pt>
                <c:pt idx="40">
                  <c:v>0.75099999999999989</c:v>
                </c:pt>
                <c:pt idx="41">
                  <c:v>0.78200000000000003</c:v>
                </c:pt>
                <c:pt idx="42">
                  <c:v>0.79099999999999993</c:v>
                </c:pt>
                <c:pt idx="43">
                  <c:v>0.74099999999999999</c:v>
                </c:pt>
                <c:pt idx="44">
                  <c:v>0.74400000000000011</c:v>
                </c:pt>
                <c:pt idx="45">
                  <c:v>0.748</c:v>
                </c:pt>
                <c:pt idx="46">
                  <c:v>0.71499999999999997</c:v>
                </c:pt>
                <c:pt idx="47">
                  <c:v>0.72400000000000009</c:v>
                </c:pt>
                <c:pt idx="48">
                  <c:v>0.75099999999999989</c:v>
                </c:pt>
                <c:pt idx="49">
                  <c:v>0.71799999999999997</c:v>
                </c:pt>
                <c:pt idx="50">
                  <c:v>0.78700000000000003</c:v>
                </c:pt>
                <c:pt idx="51">
                  <c:v>0.75099999999999989</c:v>
                </c:pt>
                <c:pt idx="52">
                  <c:v>0.77599999999999991</c:v>
                </c:pt>
                <c:pt idx="53">
                  <c:v>0.78</c:v>
                </c:pt>
                <c:pt idx="54">
                  <c:v>0.73599999999999999</c:v>
                </c:pt>
                <c:pt idx="55">
                  <c:v>0.7340000000000001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E79-4B43-AD9E-61EC8C8943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22255"/>
        <c:axId val="1123719375"/>
      </c:scatterChart>
      <c:valAx>
        <c:axId val="112372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19375"/>
        <c:crosses val="autoZero"/>
        <c:crossBetween val="midCat"/>
      </c:valAx>
      <c:valAx>
        <c:axId val="112371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2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Selangor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1.4701224846894139E-2"/>
                  <c:y val="0.1734062408865558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TurnoutWorksheet!$D$100:$D$155</c:f>
              <c:numCache>
                <c:formatCode>0.0%</c:formatCode>
                <c:ptCount val="56"/>
                <c:pt idx="0">
                  <c:v>2.726455607709977E-2</c:v>
                </c:pt>
                <c:pt idx="1">
                  <c:v>6.2327131003268796E-2</c:v>
                </c:pt>
                <c:pt idx="2">
                  <c:v>1.5789731770705633E-2</c:v>
                </c:pt>
                <c:pt idx="3">
                  <c:v>2.9286430481283422E-2</c:v>
                </c:pt>
                <c:pt idx="4">
                  <c:v>0.13066815951526328</c:v>
                </c:pt>
                <c:pt idx="5">
                  <c:v>0.18015744095964015</c:v>
                </c:pt>
                <c:pt idx="6">
                  <c:v>0.14102593820263787</c:v>
                </c:pt>
                <c:pt idx="7">
                  <c:v>2.5413842030584898E-2</c:v>
                </c:pt>
                <c:pt idx="8">
                  <c:v>0.13810235095466944</c:v>
                </c:pt>
                <c:pt idx="9">
                  <c:v>0.21909579513120456</c:v>
                </c:pt>
                <c:pt idx="10">
                  <c:v>0.24212380144804643</c:v>
                </c:pt>
                <c:pt idx="11">
                  <c:v>0.11711662625657232</c:v>
                </c:pt>
                <c:pt idx="12">
                  <c:v>8.3651273955181335E-2</c:v>
                </c:pt>
                <c:pt idx="13">
                  <c:v>0.25697218932601085</c:v>
                </c:pt>
                <c:pt idx="14">
                  <c:v>0.14579694496490839</c:v>
                </c:pt>
                <c:pt idx="15">
                  <c:v>0.23188258077667923</c:v>
                </c:pt>
                <c:pt idx="16">
                  <c:v>9.360307414104882E-2</c:v>
                </c:pt>
                <c:pt idx="17">
                  <c:v>4.0096510557585563E-2</c:v>
                </c:pt>
                <c:pt idx="18">
                  <c:v>7.2229176558610664E-2</c:v>
                </c:pt>
                <c:pt idx="19">
                  <c:v>0.12106626047220106</c:v>
                </c:pt>
                <c:pt idx="20">
                  <c:v>7.5421046682491236E-2</c:v>
                </c:pt>
                <c:pt idx="21">
                  <c:v>8.1591877254049441E-2</c:v>
                </c:pt>
                <c:pt idx="22">
                  <c:v>7.4698665663338659E-2</c:v>
                </c:pt>
                <c:pt idx="23">
                  <c:v>0.12871531346351489</c:v>
                </c:pt>
                <c:pt idx="24">
                  <c:v>0.1434804390399417</c:v>
                </c:pt>
                <c:pt idx="25">
                  <c:v>9.1803110403941901E-2</c:v>
                </c:pt>
                <c:pt idx="26">
                  <c:v>9.1916101621766777E-2</c:v>
                </c:pt>
                <c:pt idx="27">
                  <c:v>8.8106077488777815E-2</c:v>
                </c:pt>
                <c:pt idx="28">
                  <c:v>0.12265780018233496</c:v>
                </c:pt>
                <c:pt idx="29">
                  <c:v>0.19288749575867251</c:v>
                </c:pt>
                <c:pt idx="30">
                  <c:v>0.13836741984460124</c:v>
                </c:pt>
                <c:pt idx="31">
                  <c:v>0.23397742966990581</c:v>
                </c:pt>
                <c:pt idx="32">
                  <c:v>0.19850223534918252</c:v>
                </c:pt>
                <c:pt idx="33">
                  <c:v>0.17187211917843578</c:v>
                </c:pt>
                <c:pt idx="34">
                  <c:v>0.10055348972702503</c:v>
                </c:pt>
                <c:pt idx="35">
                  <c:v>8.5120074481776609E-2</c:v>
                </c:pt>
                <c:pt idx="36">
                  <c:v>0.10749391859508242</c:v>
                </c:pt>
                <c:pt idx="37">
                  <c:v>9.0996788997147304E-2</c:v>
                </c:pt>
                <c:pt idx="38">
                  <c:v>0.11035171419061356</c:v>
                </c:pt>
                <c:pt idx="39">
                  <c:v>8.4496971736204574E-2</c:v>
                </c:pt>
                <c:pt idx="40">
                  <c:v>0.15449222372360438</c:v>
                </c:pt>
                <c:pt idx="41">
                  <c:v>0.24479871126578623</c:v>
                </c:pt>
                <c:pt idx="42">
                  <c:v>0.10163986718670708</c:v>
                </c:pt>
                <c:pt idx="43">
                  <c:v>6.7710412580493984E-2</c:v>
                </c:pt>
                <c:pt idx="44">
                  <c:v>0.15157076280395046</c:v>
                </c:pt>
                <c:pt idx="45">
                  <c:v>0.1638699982661298</c:v>
                </c:pt>
                <c:pt idx="46">
                  <c:v>0.2266518864563126</c:v>
                </c:pt>
                <c:pt idx="47">
                  <c:v>0.41013625789298769</c:v>
                </c:pt>
                <c:pt idx="48">
                  <c:v>0.15151707906621717</c:v>
                </c:pt>
                <c:pt idx="49">
                  <c:v>0.23071290850071999</c:v>
                </c:pt>
                <c:pt idx="50">
                  <c:v>0.14327499324399509</c:v>
                </c:pt>
                <c:pt idx="51">
                  <c:v>0.22456194965756471</c:v>
                </c:pt>
                <c:pt idx="52">
                  <c:v>0.15442183079310029</c:v>
                </c:pt>
                <c:pt idx="53">
                  <c:v>0.11713914335231493</c:v>
                </c:pt>
                <c:pt idx="54">
                  <c:v>0.10671663242167123</c:v>
                </c:pt>
                <c:pt idx="55">
                  <c:v>0.17593746699059892</c:v>
                </c:pt>
              </c:numCache>
            </c:numRef>
          </c:xVal>
          <c:yVal>
            <c:numRef>
              <c:f>TurnoutWorksheet!$H$100:$H$155</c:f>
              <c:numCache>
                <c:formatCode>0.0%</c:formatCode>
                <c:ptCount val="56"/>
                <c:pt idx="0">
                  <c:v>0.74400000000000011</c:v>
                </c:pt>
                <c:pt idx="1">
                  <c:v>0.71200000000000008</c:v>
                </c:pt>
                <c:pt idx="2">
                  <c:v>0.745</c:v>
                </c:pt>
                <c:pt idx="3">
                  <c:v>0.68700000000000006</c:v>
                </c:pt>
                <c:pt idx="4">
                  <c:v>0.68400000000000005</c:v>
                </c:pt>
                <c:pt idx="5">
                  <c:v>0.68299999999999994</c:v>
                </c:pt>
                <c:pt idx="6">
                  <c:v>0.71400000000000008</c:v>
                </c:pt>
                <c:pt idx="7">
                  <c:v>0.75800000000000001</c:v>
                </c:pt>
                <c:pt idx="8">
                  <c:v>0.77800000000000002</c:v>
                </c:pt>
                <c:pt idx="9">
                  <c:v>0.75</c:v>
                </c:pt>
                <c:pt idx="10">
                  <c:v>0.77099999999999991</c:v>
                </c:pt>
                <c:pt idx="11">
                  <c:v>0.76500000000000001</c:v>
                </c:pt>
                <c:pt idx="12">
                  <c:v>0.73199999999999998</c:v>
                </c:pt>
                <c:pt idx="13">
                  <c:v>0.68599999999999994</c:v>
                </c:pt>
                <c:pt idx="14">
                  <c:v>0.71099999999999997</c:v>
                </c:pt>
                <c:pt idx="15">
                  <c:v>0.70499999999999996</c:v>
                </c:pt>
                <c:pt idx="16">
                  <c:v>0.69599999999999995</c:v>
                </c:pt>
                <c:pt idx="17">
                  <c:v>0.69099999999999995</c:v>
                </c:pt>
                <c:pt idx="18">
                  <c:v>0.67200000000000004</c:v>
                </c:pt>
                <c:pt idx="19">
                  <c:v>0.69900000000000007</c:v>
                </c:pt>
                <c:pt idx="20">
                  <c:v>0.65700000000000003</c:v>
                </c:pt>
                <c:pt idx="21">
                  <c:v>0.66700000000000004</c:v>
                </c:pt>
                <c:pt idx="22">
                  <c:v>0.72</c:v>
                </c:pt>
                <c:pt idx="23">
                  <c:v>0.74900000000000011</c:v>
                </c:pt>
                <c:pt idx="24">
                  <c:v>0.70900000000000007</c:v>
                </c:pt>
                <c:pt idx="25">
                  <c:v>0.747</c:v>
                </c:pt>
                <c:pt idx="26">
                  <c:v>0.69200000000000006</c:v>
                </c:pt>
                <c:pt idx="27">
                  <c:v>0.70700000000000007</c:v>
                </c:pt>
                <c:pt idx="28">
                  <c:v>0.70700000000000007</c:v>
                </c:pt>
                <c:pt idx="29">
                  <c:v>0.71099999999999997</c:v>
                </c:pt>
                <c:pt idx="30">
                  <c:v>0.66299999999999992</c:v>
                </c:pt>
                <c:pt idx="31">
                  <c:v>0.69</c:v>
                </c:pt>
                <c:pt idx="32">
                  <c:v>0.72</c:v>
                </c:pt>
                <c:pt idx="33">
                  <c:v>0.60599999999999998</c:v>
                </c:pt>
                <c:pt idx="34">
                  <c:v>0.63400000000000001</c:v>
                </c:pt>
                <c:pt idx="35">
                  <c:v>0.64</c:v>
                </c:pt>
                <c:pt idx="36">
                  <c:v>0.65900000000000003</c:v>
                </c:pt>
                <c:pt idx="37">
                  <c:v>0.73499999999999999</c:v>
                </c:pt>
                <c:pt idx="38">
                  <c:v>0.71499999999999997</c:v>
                </c:pt>
                <c:pt idx="39">
                  <c:v>0.72299999999999998</c:v>
                </c:pt>
                <c:pt idx="40">
                  <c:v>0.75099999999999989</c:v>
                </c:pt>
                <c:pt idx="41">
                  <c:v>0.78200000000000003</c:v>
                </c:pt>
                <c:pt idx="42">
                  <c:v>0.79099999999999993</c:v>
                </c:pt>
                <c:pt idx="43">
                  <c:v>0.74099999999999999</c:v>
                </c:pt>
                <c:pt idx="44">
                  <c:v>0.74400000000000011</c:v>
                </c:pt>
                <c:pt idx="45">
                  <c:v>0.748</c:v>
                </c:pt>
                <c:pt idx="46">
                  <c:v>0.71499999999999997</c:v>
                </c:pt>
                <c:pt idx="47">
                  <c:v>0.72400000000000009</c:v>
                </c:pt>
                <c:pt idx="48">
                  <c:v>0.75099999999999989</c:v>
                </c:pt>
                <c:pt idx="49">
                  <c:v>0.71799999999999997</c:v>
                </c:pt>
                <c:pt idx="50">
                  <c:v>0.78700000000000003</c:v>
                </c:pt>
                <c:pt idx="51">
                  <c:v>0.75099999999999989</c:v>
                </c:pt>
                <c:pt idx="52">
                  <c:v>0.77599999999999991</c:v>
                </c:pt>
                <c:pt idx="53">
                  <c:v>0.78</c:v>
                </c:pt>
                <c:pt idx="54">
                  <c:v>0.73599999999999999</c:v>
                </c:pt>
                <c:pt idx="55">
                  <c:v>0.7340000000000001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63-4711-9AC3-063A922705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23722255"/>
        <c:axId val="1123719375"/>
      </c:scatterChart>
      <c:valAx>
        <c:axId val="11237222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19375"/>
        <c:crosses val="autoZero"/>
        <c:crossBetween val="midCat"/>
      </c:valAx>
      <c:valAx>
        <c:axId val="1123719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2372225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Malay% NS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958661417322834E-2"/>
                  <c:y val="0.167489428404782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TurnoutWorksheet!$B$158:$B$193</c:f>
              <c:numCache>
                <c:formatCode>0.0%</c:formatCode>
                <c:ptCount val="36"/>
                <c:pt idx="0">
                  <c:v>0.46275937886491686</c:v>
                </c:pt>
                <c:pt idx="1">
                  <c:v>0.65495851748468636</c:v>
                </c:pt>
                <c:pt idx="2">
                  <c:v>0.7902603187172127</c:v>
                </c:pt>
                <c:pt idx="3">
                  <c:v>0.65365038365114336</c:v>
                </c:pt>
                <c:pt idx="4">
                  <c:v>0.77610856142899598</c:v>
                </c:pt>
                <c:pt idx="5">
                  <c:v>0.92095854260662302</c:v>
                </c:pt>
                <c:pt idx="6">
                  <c:v>0.51077638990938035</c:v>
                </c:pt>
                <c:pt idx="7">
                  <c:v>0.29551010904575264</c:v>
                </c:pt>
                <c:pt idx="8">
                  <c:v>0.75589717373840648</c:v>
                </c:pt>
                <c:pt idx="9">
                  <c:v>0.43302978561942707</c:v>
                </c:pt>
                <c:pt idx="10">
                  <c:v>4.2685292976329066E-2</c:v>
                </c:pt>
                <c:pt idx="11">
                  <c:v>0.37638517386320214</c:v>
                </c:pt>
                <c:pt idx="12">
                  <c:v>0.70423275515567507</c:v>
                </c:pt>
                <c:pt idx="13">
                  <c:v>0.72103658536585369</c:v>
                </c:pt>
                <c:pt idx="14">
                  <c:v>0.79437649164677804</c:v>
                </c:pt>
                <c:pt idx="15">
                  <c:v>0.9150821304131409</c:v>
                </c:pt>
                <c:pt idx="16">
                  <c:v>0.80052599635848676</c:v>
                </c:pt>
                <c:pt idx="17">
                  <c:v>0.6523852588740674</c:v>
                </c:pt>
                <c:pt idx="18">
                  <c:v>0.72776740030861686</c:v>
                </c:pt>
                <c:pt idx="19">
                  <c:v>0.74591508629175141</c:v>
                </c:pt>
                <c:pt idx="20">
                  <c:v>0.26528802266975277</c:v>
                </c:pt>
                <c:pt idx="21">
                  <c:v>0.29204241403230602</c:v>
                </c:pt>
                <c:pt idx="22">
                  <c:v>0.13536197844708484</c:v>
                </c:pt>
                <c:pt idx="23">
                  <c:v>0.24032208113967171</c:v>
                </c:pt>
                <c:pt idx="24">
                  <c:v>0.77513837638376382</c:v>
                </c:pt>
                <c:pt idx="25">
                  <c:v>0.81186341463414635</c:v>
                </c:pt>
                <c:pt idx="26">
                  <c:v>0.55077531164487681</c:v>
                </c:pt>
                <c:pt idx="27">
                  <c:v>0.85984251968503933</c:v>
                </c:pt>
                <c:pt idx="28">
                  <c:v>0.23703212984431932</c:v>
                </c:pt>
                <c:pt idx="29">
                  <c:v>0.22953816309781391</c:v>
                </c:pt>
                <c:pt idx="30">
                  <c:v>0.74721122706009357</c:v>
                </c:pt>
                <c:pt idx="31">
                  <c:v>0.60915152686509466</c:v>
                </c:pt>
                <c:pt idx="32">
                  <c:v>0.37399001595388814</c:v>
                </c:pt>
                <c:pt idx="33">
                  <c:v>0.83341203453858603</c:v>
                </c:pt>
                <c:pt idx="34">
                  <c:v>0.61925859686204376</c:v>
                </c:pt>
                <c:pt idx="35">
                  <c:v>0.39492009969212727</c:v>
                </c:pt>
              </c:numCache>
            </c:numRef>
          </c:xVal>
          <c:yVal>
            <c:numRef>
              <c:f>TurnoutWorksheet!$H$158:$H$193</c:f>
              <c:numCache>
                <c:formatCode>0.0%</c:formatCode>
                <c:ptCount val="36"/>
                <c:pt idx="0">
                  <c:v>0.65799999999999992</c:v>
                </c:pt>
                <c:pt idx="1">
                  <c:v>0.65700000000000003</c:v>
                </c:pt>
                <c:pt idx="2">
                  <c:v>0.66</c:v>
                </c:pt>
                <c:pt idx="3">
                  <c:v>0.68200000000000005</c:v>
                </c:pt>
                <c:pt idx="4">
                  <c:v>0.65300000000000002</c:v>
                </c:pt>
                <c:pt idx="5">
                  <c:v>0.65200000000000002</c:v>
                </c:pt>
                <c:pt idx="6">
                  <c:v>0.626</c:v>
                </c:pt>
                <c:pt idx="7">
                  <c:v>0.6</c:v>
                </c:pt>
                <c:pt idx="8">
                  <c:v>0.72299999999999998</c:v>
                </c:pt>
                <c:pt idx="9">
                  <c:v>0.68500000000000005</c:v>
                </c:pt>
                <c:pt idx="10">
                  <c:v>0.65599999999999992</c:v>
                </c:pt>
                <c:pt idx="11">
                  <c:v>0.68700000000000006</c:v>
                </c:pt>
                <c:pt idx="12">
                  <c:v>0.71799999999999997</c:v>
                </c:pt>
                <c:pt idx="13">
                  <c:v>0.70799999999999996</c:v>
                </c:pt>
                <c:pt idx="14">
                  <c:v>0.67299999999999993</c:v>
                </c:pt>
                <c:pt idx="15">
                  <c:v>0.70200000000000007</c:v>
                </c:pt>
                <c:pt idx="16">
                  <c:v>0.68599999999999994</c:v>
                </c:pt>
                <c:pt idx="17">
                  <c:v>0.64200000000000002</c:v>
                </c:pt>
                <c:pt idx="18">
                  <c:v>0.67700000000000005</c:v>
                </c:pt>
                <c:pt idx="19">
                  <c:v>0.71099999999999997</c:v>
                </c:pt>
                <c:pt idx="20">
                  <c:v>0.66</c:v>
                </c:pt>
                <c:pt idx="21">
                  <c:v>0.65900000000000003</c:v>
                </c:pt>
                <c:pt idx="22">
                  <c:v>0.66700000000000004</c:v>
                </c:pt>
                <c:pt idx="23">
                  <c:v>0.66500000000000004</c:v>
                </c:pt>
                <c:pt idx="24">
                  <c:v>0.71</c:v>
                </c:pt>
                <c:pt idx="25">
                  <c:v>0.71</c:v>
                </c:pt>
                <c:pt idx="26">
                  <c:v>0.71900000000000008</c:v>
                </c:pt>
                <c:pt idx="27">
                  <c:v>0.70299999999999996</c:v>
                </c:pt>
                <c:pt idx="28">
                  <c:v>0.66599999999999993</c:v>
                </c:pt>
                <c:pt idx="29">
                  <c:v>0.64400000000000002</c:v>
                </c:pt>
                <c:pt idx="30">
                  <c:v>0.66299999999999992</c:v>
                </c:pt>
                <c:pt idx="31">
                  <c:v>0.68599999999999994</c:v>
                </c:pt>
                <c:pt idx="32">
                  <c:v>0.64200000000000002</c:v>
                </c:pt>
                <c:pt idx="33">
                  <c:v>0.68099999999999994</c:v>
                </c:pt>
                <c:pt idx="34">
                  <c:v>0.625</c:v>
                </c:pt>
                <c:pt idx="35">
                  <c:v>0.625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2FF-47ED-B966-0F7171BE4B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322688"/>
        <c:axId val="286319808"/>
      </c:scatterChart>
      <c:valAx>
        <c:axId val="28632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19808"/>
        <c:crosses val="autoZero"/>
        <c:crossBetween val="midCat"/>
      </c:valAx>
      <c:valAx>
        <c:axId val="28631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2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Chinese% NS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958661417322834E-2"/>
                  <c:y val="0.167489428404782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TurnoutWorksheet!$C$158:$C$193</c:f>
              <c:numCache>
                <c:formatCode>0.0%</c:formatCode>
                <c:ptCount val="36"/>
                <c:pt idx="0">
                  <c:v>0.44255874673629242</c:v>
                </c:pt>
                <c:pt idx="1">
                  <c:v>0.19958129797627355</c:v>
                </c:pt>
                <c:pt idx="2">
                  <c:v>5.7012768484608532E-2</c:v>
                </c:pt>
                <c:pt idx="3">
                  <c:v>0.2804072020056218</c:v>
                </c:pt>
                <c:pt idx="4">
                  <c:v>0.12510317958199887</c:v>
                </c:pt>
                <c:pt idx="5">
                  <c:v>1.6302034562015833E-2</c:v>
                </c:pt>
                <c:pt idx="6">
                  <c:v>9.6926279696301743E-2</c:v>
                </c:pt>
                <c:pt idx="7">
                  <c:v>0.58896348325507397</c:v>
                </c:pt>
                <c:pt idx="8">
                  <c:v>0.14978456145475791</c:v>
                </c:pt>
                <c:pt idx="9">
                  <c:v>0.31915196357427433</c:v>
                </c:pt>
                <c:pt idx="10">
                  <c:v>0.72086405380933904</c:v>
                </c:pt>
                <c:pt idx="11">
                  <c:v>0.44600687810470002</c:v>
                </c:pt>
                <c:pt idx="12">
                  <c:v>0.19698234548433974</c:v>
                </c:pt>
                <c:pt idx="13">
                  <c:v>0.15925114329268292</c:v>
                </c:pt>
                <c:pt idx="14">
                  <c:v>0.11873508353221957</c:v>
                </c:pt>
                <c:pt idx="15">
                  <c:v>2.4489795918367346E-2</c:v>
                </c:pt>
                <c:pt idx="16">
                  <c:v>0.15506777260772811</c:v>
                </c:pt>
                <c:pt idx="17">
                  <c:v>0.24909563644585123</c:v>
                </c:pt>
                <c:pt idx="18">
                  <c:v>0.16283602696337204</c:v>
                </c:pt>
                <c:pt idx="19">
                  <c:v>7.91718616707133E-2</c:v>
                </c:pt>
                <c:pt idx="20">
                  <c:v>0.49250470483895392</c:v>
                </c:pt>
                <c:pt idx="21">
                  <c:v>0.44886532553760777</c:v>
                </c:pt>
                <c:pt idx="22">
                  <c:v>0.58707515888366957</c:v>
                </c:pt>
                <c:pt idx="23">
                  <c:v>0.47138432951378134</c:v>
                </c:pt>
                <c:pt idx="24">
                  <c:v>6.2154059040590404E-2</c:v>
                </c:pt>
                <c:pt idx="25">
                  <c:v>6.3648780487804882E-2</c:v>
                </c:pt>
                <c:pt idx="26">
                  <c:v>0.15725144420796594</c:v>
                </c:pt>
                <c:pt idx="27">
                  <c:v>6.6929133858267723E-2</c:v>
                </c:pt>
                <c:pt idx="28">
                  <c:v>0.54077509108976485</c:v>
                </c:pt>
                <c:pt idx="29">
                  <c:v>0.4921286279191226</c:v>
                </c:pt>
                <c:pt idx="30">
                  <c:v>6.8225980568549838E-2</c:v>
                </c:pt>
                <c:pt idx="31">
                  <c:v>0.17235214534209509</c:v>
                </c:pt>
                <c:pt idx="32">
                  <c:v>0.31398281097215791</c:v>
                </c:pt>
                <c:pt idx="33">
                  <c:v>7.7307069616837559E-2</c:v>
                </c:pt>
                <c:pt idx="34">
                  <c:v>0.2215267051459231</c:v>
                </c:pt>
                <c:pt idx="35">
                  <c:v>0.41390558569124763</c:v>
                </c:pt>
              </c:numCache>
            </c:numRef>
          </c:xVal>
          <c:yVal>
            <c:numRef>
              <c:f>TurnoutWorksheet!$H$158:$H$193</c:f>
              <c:numCache>
                <c:formatCode>0.0%</c:formatCode>
                <c:ptCount val="36"/>
                <c:pt idx="0">
                  <c:v>0.65799999999999992</c:v>
                </c:pt>
                <c:pt idx="1">
                  <c:v>0.65700000000000003</c:v>
                </c:pt>
                <c:pt idx="2">
                  <c:v>0.66</c:v>
                </c:pt>
                <c:pt idx="3">
                  <c:v>0.68200000000000005</c:v>
                </c:pt>
                <c:pt idx="4">
                  <c:v>0.65300000000000002</c:v>
                </c:pt>
                <c:pt idx="5">
                  <c:v>0.65200000000000002</c:v>
                </c:pt>
                <c:pt idx="6">
                  <c:v>0.626</c:v>
                </c:pt>
                <c:pt idx="7">
                  <c:v>0.6</c:v>
                </c:pt>
                <c:pt idx="8">
                  <c:v>0.72299999999999998</c:v>
                </c:pt>
                <c:pt idx="9">
                  <c:v>0.68500000000000005</c:v>
                </c:pt>
                <c:pt idx="10">
                  <c:v>0.65599999999999992</c:v>
                </c:pt>
                <c:pt idx="11">
                  <c:v>0.68700000000000006</c:v>
                </c:pt>
                <c:pt idx="12">
                  <c:v>0.71799999999999997</c:v>
                </c:pt>
                <c:pt idx="13">
                  <c:v>0.70799999999999996</c:v>
                </c:pt>
                <c:pt idx="14">
                  <c:v>0.67299999999999993</c:v>
                </c:pt>
                <c:pt idx="15">
                  <c:v>0.70200000000000007</c:v>
                </c:pt>
                <c:pt idx="16">
                  <c:v>0.68599999999999994</c:v>
                </c:pt>
                <c:pt idx="17">
                  <c:v>0.64200000000000002</c:v>
                </c:pt>
                <c:pt idx="18">
                  <c:v>0.67700000000000005</c:v>
                </c:pt>
                <c:pt idx="19">
                  <c:v>0.71099999999999997</c:v>
                </c:pt>
                <c:pt idx="20">
                  <c:v>0.66</c:v>
                </c:pt>
                <c:pt idx="21">
                  <c:v>0.65900000000000003</c:v>
                </c:pt>
                <c:pt idx="22">
                  <c:v>0.66700000000000004</c:v>
                </c:pt>
                <c:pt idx="23">
                  <c:v>0.66500000000000004</c:v>
                </c:pt>
                <c:pt idx="24">
                  <c:v>0.71</c:v>
                </c:pt>
                <c:pt idx="25">
                  <c:v>0.71</c:v>
                </c:pt>
                <c:pt idx="26">
                  <c:v>0.71900000000000008</c:v>
                </c:pt>
                <c:pt idx="27">
                  <c:v>0.70299999999999996</c:v>
                </c:pt>
                <c:pt idx="28">
                  <c:v>0.66599999999999993</c:v>
                </c:pt>
                <c:pt idx="29">
                  <c:v>0.64400000000000002</c:v>
                </c:pt>
                <c:pt idx="30">
                  <c:v>0.66299999999999992</c:v>
                </c:pt>
                <c:pt idx="31">
                  <c:v>0.68599999999999994</c:v>
                </c:pt>
                <c:pt idx="32">
                  <c:v>0.64200000000000002</c:v>
                </c:pt>
                <c:pt idx="33">
                  <c:v>0.68099999999999994</c:v>
                </c:pt>
                <c:pt idx="34">
                  <c:v>0.625</c:v>
                </c:pt>
                <c:pt idx="35">
                  <c:v>0.625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7A9-4DF9-A309-41B951FEC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322688"/>
        <c:axId val="286319808"/>
      </c:scatterChart>
      <c:valAx>
        <c:axId val="28632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19808"/>
        <c:crosses val="autoZero"/>
        <c:crossBetween val="midCat"/>
      </c:valAx>
      <c:valAx>
        <c:axId val="28631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2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Turnout% vs Indian% NS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958661417322834E-2"/>
                  <c:y val="0.1674894284047827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TurnoutWorksheet!$D$158:$D$193</c:f>
              <c:numCache>
                <c:formatCode>0.0%</c:formatCode>
                <c:ptCount val="36"/>
                <c:pt idx="0">
                  <c:v>2.054418029407723E-2</c:v>
                </c:pt>
                <c:pt idx="1">
                  <c:v>6.6759711560828106E-2</c:v>
                </c:pt>
                <c:pt idx="2">
                  <c:v>8.6162525982381472E-2</c:v>
                </c:pt>
                <c:pt idx="3">
                  <c:v>3.8593025905948493E-2</c:v>
                </c:pt>
                <c:pt idx="4">
                  <c:v>8.6934988608974154E-2</c:v>
                </c:pt>
                <c:pt idx="5">
                  <c:v>5.8440452881586787E-2</c:v>
                </c:pt>
                <c:pt idx="6">
                  <c:v>0.33639480773940728</c:v>
                </c:pt>
                <c:pt idx="7">
                  <c:v>0.10594124723504987</c:v>
                </c:pt>
                <c:pt idx="8">
                  <c:v>5.3238881180165044E-2</c:v>
                </c:pt>
                <c:pt idx="9">
                  <c:v>0.21637260481881995</c:v>
                </c:pt>
                <c:pt idx="10">
                  <c:v>0.21536670547147846</c:v>
                </c:pt>
                <c:pt idx="11">
                  <c:v>0.14841421474971342</c:v>
                </c:pt>
                <c:pt idx="12">
                  <c:v>7.9553535540920761E-2</c:v>
                </c:pt>
                <c:pt idx="13">
                  <c:v>8.479420731707317E-2</c:v>
                </c:pt>
                <c:pt idx="14">
                  <c:v>5.3997613365155128E-2</c:v>
                </c:pt>
                <c:pt idx="15">
                  <c:v>3.5838725734196118E-3</c:v>
                </c:pt>
                <c:pt idx="16">
                  <c:v>3.611167307303257E-2</c:v>
                </c:pt>
                <c:pt idx="17">
                  <c:v>8.7836310196699074E-2</c:v>
                </c:pt>
                <c:pt idx="18">
                  <c:v>5.2058799642654106E-2</c:v>
                </c:pt>
                <c:pt idx="19">
                  <c:v>0.13875582387295754</c:v>
                </c:pt>
                <c:pt idx="20">
                  <c:v>0.22193860996344286</c:v>
                </c:pt>
                <c:pt idx="21">
                  <c:v>0.22589436131206025</c:v>
                </c:pt>
                <c:pt idx="22">
                  <c:v>0.25697706548770377</c:v>
                </c:pt>
                <c:pt idx="23">
                  <c:v>0.27209662434190152</c:v>
                </c:pt>
                <c:pt idx="24">
                  <c:v>0.14947944122298365</c:v>
                </c:pt>
                <c:pt idx="25">
                  <c:v>9.9941463414634141E-2</c:v>
                </c:pt>
                <c:pt idx="26">
                  <c:v>0.27421708726056554</c:v>
                </c:pt>
                <c:pt idx="27">
                  <c:v>5.1665657177468204E-2</c:v>
                </c:pt>
                <c:pt idx="28">
                  <c:v>0.21424312686319974</c:v>
                </c:pt>
                <c:pt idx="29">
                  <c:v>0.2619562784451242</c:v>
                </c:pt>
                <c:pt idx="30">
                  <c:v>9.982007916516733E-2</c:v>
                </c:pt>
                <c:pt idx="31">
                  <c:v>0.17621762659451101</c:v>
                </c:pt>
                <c:pt idx="32">
                  <c:v>0.28083989501312334</c:v>
                </c:pt>
                <c:pt idx="33">
                  <c:v>4.8401241230437132E-2</c:v>
                </c:pt>
                <c:pt idx="34">
                  <c:v>0.15165433704576864</c:v>
                </c:pt>
                <c:pt idx="35">
                  <c:v>0.17600058642427796</c:v>
                </c:pt>
              </c:numCache>
            </c:numRef>
          </c:xVal>
          <c:yVal>
            <c:numRef>
              <c:f>TurnoutWorksheet!$H$158:$H$193</c:f>
              <c:numCache>
                <c:formatCode>0.0%</c:formatCode>
                <c:ptCount val="36"/>
                <c:pt idx="0">
                  <c:v>0.65799999999999992</c:v>
                </c:pt>
                <c:pt idx="1">
                  <c:v>0.65700000000000003</c:v>
                </c:pt>
                <c:pt idx="2">
                  <c:v>0.66</c:v>
                </c:pt>
                <c:pt idx="3">
                  <c:v>0.68200000000000005</c:v>
                </c:pt>
                <c:pt idx="4">
                  <c:v>0.65300000000000002</c:v>
                </c:pt>
                <c:pt idx="5">
                  <c:v>0.65200000000000002</c:v>
                </c:pt>
                <c:pt idx="6">
                  <c:v>0.626</c:v>
                </c:pt>
                <c:pt idx="7">
                  <c:v>0.6</c:v>
                </c:pt>
                <c:pt idx="8">
                  <c:v>0.72299999999999998</c:v>
                </c:pt>
                <c:pt idx="9">
                  <c:v>0.68500000000000005</c:v>
                </c:pt>
                <c:pt idx="10">
                  <c:v>0.65599999999999992</c:v>
                </c:pt>
                <c:pt idx="11">
                  <c:v>0.68700000000000006</c:v>
                </c:pt>
                <c:pt idx="12">
                  <c:v>0.71799999999999997</c:v>
                </c:pt>
                <c:pt idx="13">
                  <c:v>0.70799999999999996</c:v>
                </c:pt>
                <c:pt idx="14">
                  <c:v>0.67299999999999993</c:v>
                </c:pt>
                <c:pt idx="15">
                  <c:v>0.70200000000000007</c:v>
                </c:pt>
                <c:pt idx="16">
                  <c:v>0.68599999999999994</c:v>
                </c:pt>
                <c:pt idx="17">
                  <c:v>0.64200000000000002</c:v>
                </c:pt>
                <c:pt idx="18">
                  <c:v>0.67700000000000005</c:v>
                </c:pt>
                <c:pt idx="19">
                  <c:v>0.71099999999999997</c:v>
                </c:pt>
                <c:pt idx="20">
                  <c:v>0.66</c:v>
                </c:pt>
                <c:pt idx="21">
                  <c:v>0.65900000000000003</c:v>
                </c:pt>
                <c:pt idx="22">
                  <c:v>0.66700000000000004</c:v>
                </c:pt>
                <c:pt idx="23">
                  <c:v>0.66500000000000004</c:v>
                </c:pt>
                <c:pt idx="24">
                  <c:v>0.71</c:v>
                </c:pt>
                <c:pt idx="25">
                  <c:v>0.71</c:v>
                </c:pt>
                <c:pt idx="26">
                  <c:v>0.71900000000000008</c:v>
                </c:pt>
                <c:pt idx="27">
                  <c:v>0.70299999999999996</c:v>
                </c:pt>
                <c:pt idx="28">
                  <c:v>0.66599999999999993</c:v>
                </c:pt>
                <c:pt idx="29">
                  <c:v>0.64400000000000002</c:v>
                </c:pt>
                <c:pt idx="30">
                  <c:v>0.66299999999999992</c:v>
                </c:pt>
                <c:pt idx="31">
                  <c:v>0.68599999999999994</c:v>
                </c:pt>
                <c:pt idx="32">
                  <c:v>0.64200000000000002</c:v>
                </c:pt>
                <c:pt idx="33">
                  <c:v>0.68099999999999994</c:v>
                </c:pt>
                <c:pt idx="34">
                  <c:v>0.625</c:v>
                </c:pt>
                <c:pt idx="35">
                  <c:v>0.625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492-4D3B-A0C3-6CFC91A35B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6322688"/>
        <c:axId val="286319808"/>
      </c:scatterChart>
      <c:valAx>
        <c:axId val="2863226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19808"/>
        <c:crosses val="autoZero"/>
        <c:crossBetween val="midCat"/>
      </c:valAx>
      <c:valAx>
        <c:axId val="2863198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63226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Kedah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1854440069991252"/>
                  <c:y val="4.2129629629629626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VotingWorksheet!$B$3:$B$38</c:f>
              <c:numCache>
                <c:formatCode>0.0%</c:formatCode>
                <c:ptCount val="36"/>
                <c:pt idx="0">
                  <c:v>0.94999396790927737</c:v>
                </c:pt>
                <c:pt idx="1">
                  <c:v>0.84461290136623046</c:v>
                </c:pt>
                <c:pt idx="2">
                  <c:v>0.9156395876011687</c:v>
                </c:pt>
                <c:pt idx="3">
                  <c:v>0.9024035537692694</c:v>
                </c:pt>
                <c:pt idx="4">
                  <c:v>0.892973465931298</c:v>
                </c:pt>
                <c:pt idx="5">
                  <c:v>0.83824672132447386</c:v>
                </c:pt>
                <c:pt idx="6">
                  <c:v>0.96769480003811825</c:v>
                </c:pt>
                <c:pt idx="7">
                  <c:v>0.85953995665245053</c:v>
                </c:pt>
                <c:pt idx="8">
                  <c:v>0.89992388715657146</c:v>
                </c:pt>
                <c:pt idx="9">
                  <c:v>0.93120600146775023</c:v>
                </c:pt>
                <c:pt idx="10">
                  <c:v>0.61256558376172554</c:v>
                </c:pt>
                <c:pt idx="11">
                  <c:v>0.72209643206139618</c:v>
                </c:pt>
                <c:pt idx="12">
                  <c:v>0.35568546982074412</c:v>
                </c:pt>
                <c:pt idx="13">
                  <c:v>0.72573508234493234</c:v>
                </c:pt>
                <c:pt idx="14">
                  <c:v>0.88709544819270503</c:v>
                </c:pt>
                <c:pt idx="15">
                  <c:v>0.70495491011884615</c:v>
                </c:pt>
                <c:pt idx="16">
                  <c:v>0.72066616199848599</c:v>
                </c:pt>
                <c:pt idx="17">
                  <c:v>0.9159430510865253</c:v>
                </c:pt>
                <c:pt idx="18">
                  <c:v>0.85672076739385594</c:v>
                </c:pt>
                <c:pt idx="19">
                  <c:v>0.94067030306565935</c:v>
                </c:pt>
                <c:pt idx="20">
                  <c:v>0.89835466179159051</c:v>
                </c:pt>
                <c:pt idx="21">
                  <c:v>0.62651132116948782</c:v>
                </c:pt>
                <c:pt idx="22">
                  <c:v>0.93016154802059292</c:v>
                </c:pt>
                <c:pt idx="23">
                  <c:v>0.92158873977832867</c:v>
                </c:pt>
                <c:pt idx="24">
                  <c:v>0.61329510299554812</c:v>
                </c:pt>
                <c:pt idx="25">
                  <c:v>0.81156528583719267</c:v>
                </c:pt>
                <c:pt idx="26">
                  <c:v>0.91105199798066094</c:v>
                </c:pt>
                <c:pt idx="27">
                  <c:v>0.47574610745329809</c:v>
                </c:pt>
                <c:pt idx="28">
                  <c:v>0.49274387944181164</c:v>
                </c:pt>
                <c:pt idx="29">
                  <c:v>0.92945204040913199</c:v>
                </c:pt>
                <c:pt idx="30">
                  <c:v>0.92333801498127344</c:v>
                </c:pt>
                <c:pt idx="31">
                  <c:v>0.82358240091029777</c:v>
                </c:pt>
                <c:pt idx="32">
                  <c:v>0.76677981358888281</c:v>
                </c:pt>
                <c:pt idx="33">
                  <c:v>0.53684376976597092</c:v>
                </c:pt>
                <c:pt idx="34">
                  <c:v>0.63388654027211133</c:v>
                </c:pt>
                <c:pt idx="35">
                  <c:v>0.79966264793717512</c:v>
                </c:pt>
              </c:numCache>
            </c:numRef>
          </c:xVal>
          <c:yVal>
            <c:numRef>
              <c:f>VotingWorksheet!$G$3:$G$38</c:f>
              <c:numCache>
                <c:formatCode>0.0%</c:formatCode>
                <c:ptCount val="36"/>
                <c:pt idx="0">
                  <c:v>0.47305600990230318</c:v>
                </c:pt>
                <c:pt idx="1">
                  <c:v>0.64339704395551489</c:v>
                </c:pt>
                <c:pt idx="2">
                  <c:v>0.79603373181354831</c:v>
                </c:pt>
                <c:pt idx="3">
                  <c:v>0.78338005180427916</c:v>
                </c:pt>
                <c:pt idx="4">
                  <c:v>0.72920874420815018</c:v>
                </c:pt>
                <c:pt idx="5">
                  <c:v>0.75457022323782741</c:v>
                </c:pt>
                <c:pt idx="6">
                  <c:v>0.82346289160663433</c:v>
                </c:pt>
                <c:pt idx="7">
                  <c:v>0.64212122563667995</c:v>
                </c:pt>
                <c:pt idx="8">
                  <c:v>0.78123081893070589</c:v>
                </c:pt>
                <c:pt idx="9">
                  <c:v>0.82818734049818488</c:v>
                </c:pt>
                <c:pt idx="10">
                  <c:v>0.56722342306936535</c:v>
                </c:pt>
                <c:pt idx="11">
                  <c:v>0.64441097138053038</c:v>
                </c:pt>
                <c:pt idx="12">
                  <c:v>0.33089907817550579</c:v>
                </c:pt>
                <c:pt idx="13">
                  <c:v>0.68193604148660325</c:v>
                </c:pt>
                <c:pt idx="14">
                  <c:v>0.78632664134563213</c:v>
                </c:pt>
                <c:pt idx="15">
                  <c:v>0.65357671716596422</c:v>
                </c:pt>
                <c:pt idx="16">
                  <c:v>0.66384482861046756</c:v>
                </c:pt>
                <c:pt idx="17">
                  <c:v>0.84426725006476866</c:v>
                </c:pt>
                <c:pt idx="18">
                  <c:v>0.7297696793786449</c:v>
                </c:pt>
                <c:pt idx="19">
                  <c:v>0.84883377620312961</c:v>
                </c:pt>
                <c:pt idx="20">
                  <c:v>0.76401610690738531</c:v>
                </c:pt>
                <c:pt idx="21">
                  <c:v>0.61368188410801849</c:v>
                </c:pt>
                <c:pt idx="22">
                  <c:v>0.83062406576980563</c:v>
                </c:pt>
                <c:pt idx="23">
                  <c:v>0.79080301492969995</c:v>
                </c:pt>
                <c:pt idx="24">
                  <c:v>0.60129921401141295</c:v>
                </c:pt>
                <c:pt idx="25">
                  <c:v>0.7693750450862048</c:v>
                </c:pt>
                <c:pt idx="26">
                  <c:v>0.79062292990505167</c:v>
                </c:pt>
                <c:pt idx="27">
                  <c:v>0.4525141053364154</c:v>
                </c:pt>
                <c:pt idx="28">
                  <c:v>0.48884575811430175</c:v>
                </c:pt>
                <c:pt idx="29">
                  <c:v>0.73764597750865057</c:v>
                </c:pt>
                <c:pt idx="30">
                  <c:v>0.78805631108587137</c:v>
                </c:pt>
                <c:pt idx="31">
                  <c:v>0.74963079056029414</c:v>
                </c:pt>
                <c:pt idx="32">
                  <c:v>0.73777525707099356</c:v>
                </c:pt>
                <c:pt idx="33">
                  <c:v>0.52985551075268822</c:v>
                </c:pt>
                <c:pt idx="34">
                  <c:v>0.59973205544391195</c:v>
                </c:pt>
                <c:pt idx="35">
                  <c:v>0.71377922221811874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6E-441A-BBD4-BE2D8770C5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049503"/>
        <c:axId val="983049983"/>
      </c:scatterChart>
      <c:valAx>
        <c:axId val="9830495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49983"/>
        <c:crosses val="autoZero"/>
        <c:crossBetween val="midCat"/>
      </c:valAx>
      <c:valAx>
        <c:axId val="9830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4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Chinese% Kedah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5.291535433070866E-2"/>
                  <c:y val="7.83326042578011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VotingWorksheet!$C$3:$C$38</c:f>
              <c:numCache>
                <c:formatCode>0.0%</c:formatCode>
                <c:ptCount val="36"/>
                <c:pt idx="0">
                  <c:v>1.2516588249487271E-2</c:v>
                </c:pt>
                <c:pt idx="1">
                  <c:v>0.11906957975442439</c:v>
                </c:pt>
                <c:pt idx="2">
                  <c:v>6.8509252107331164E-2</c:v>
                </c:pt>
                <c:pt idx="3">
                  <c:v>6.5839921732462517E-2</c:v>
                </c:pt>
                <c:pt idx="4">
                  <c:v>6.587918530420811E-2</c:v>
                </c:pt>
                <c:pt idx="5">
                  <c:v>0.10084206853898729</c:v>
                </c:pt>
                <c:pt idx="6">
                  <c:v>1.5056700867189734E-2</c:v>
                </c:pt>
                <c:pt idx="7">
                  <c:v>1.0871845067468364E-2</c:v>
                </c:pt>
                <c:pt idx="8">
                  <c:v>7.0907707039210385E-2</c:v>
                </c:pt>
                <c:pt idx="9">
                  <c:v>5.3328259628713542E-2</c:v>
                </c:pt>
                <c:pt idx="10">
                  <c:v>0.32956171498224601</c:v>
                </c:pt>
                <c:pt idx="11">
                  <c:v>0.23183259050933097</c:v>
                </c:pt>
                <c:pt idx="12">
                  <c:v>0.5658368500522668</c:v>
                </c:pt>
                <c:pt idx="13">
                  <c:v>0.23805409368208835</c:v>
                </c:pt>
                <c:pt idx="14">
                  <c:v>9.43246279904634E-2</c:v>
                </c:pt>
                <c:pt idx="15">
                  <c:v>0.27800449903449925</c:v>
                </c:pt>
                <c:pt idx="16">
                  <c:v>0.26155509895101114</c:v>
                </c:pt>
                <c:pt idx="17">
                  <c:v>7.6938334729140037E-2</c:v>
                </c:pt>
                <c:pt idx="18">
                  <c:v>1.9124134860565831E-2</c:v>
                </c:pt>
                <c:pt idx="19">
                  <c:v>5.606277163608786E-2</c:v>
                </c:pt>
                <c:pt idx="20">
                  <c:v>9.1407678244972576E-2</c:v>
                </c:pt>
                <c:pt idx="21">
                  <c:v>0.21609144867003738</c:v>
                </c:pt>
                <c:pt idx="22">
                  <c:v>1.6225812178235398E-2</c:v>
                </c:pt>
                <c:pt idx="23">
                  <c:v>1.2821608684502949E-2</c:v>
                </c:pt>
                <c:pt idx="24">
                  <c:v>0.17422470384063984</c:v>
                </c:pt>
                <c:pt idx="25">
                  <c:v>0.11689761848102656</c:v>
                </c:pt>
                <c:pt idx="26">
                  <c:v>6.0483088035416098E-2</c:v>
                </c:pt>
                <c:pt idx="27">
                  <c:v>0.36989994297267875</c:v>
                </c:pt>
                <c:pt idx="28">
                  <c:v>0.30808585999376875</c:v>
                </c:pt>
                <c:pt idx="29">
                  <c:v>3.5767542477894695E-2</c:v>
                </c:pt>
                <c:pt idx="30">
                  <c:v>3.3520599250936332E-2</c:v>
                </c:pt>
                <c:pt idx="31">
                  <c:v>5.6751374928882992E-2</c:v>
                </c:pt>
                <c:pt idx="32">
                  <c:v>6.741931249179528E-2</c:v>
                </c:pt>
                <c:pt idx="33">
                  <c:v>0.24289641414878607</c:v>
                </c:pt>
                <c:pt idx="34">
                  <c:v>0.19400395059905112</c:v>
                </c:pt>
                <c:pt idx="35">
                  <c:v>0.13297754673155623</c:v>
                </c:pt>
              </c:numCache>
            </c:numRef>
          </c:xVal>
          <c:yVal>
            <c:numRef>
              <c:f>VotingWorksheet!$G$3:$G$38</c:f>
              <c:numCache>
                <c:formatCode>0.0%</c:formatCode>
                <c:ptCount val="36"/>
                <c:pt idx="0">
                  <c:v>0.47305600990230318</c:v>
                </c:pt>
                <c:pt idx="1">
                  <c:v>0.64339704395551489</c:v>
                </c:pt>
                <c:pt idx="2">
                  <c:v>0.79603373181354831</c:v>
                </c:pt>
                <c:pt idx="3">
                  <c:v>0.78338005180427916</c:v>
                </c:pt>
                <c:pt idx="4">
                  <c:v>0.72920874420815018</c:v>
                </c:pt>
                <c:pt idx="5">
                  <c:v>0.75457022323782741</c:v>
                </c:pt>
                <c:pt idx="6">
                  <c:v>0.82346289160663433</c:v>
                </c:pt>
                <c:pt idx="7">
                  <c:v>0.64212122563667995</c:v>
                </c:pt>
                <c:pt idx="8">
                  <c:v>0.78123081893070589</c:v>
                </c:pt>
                <c:pt idx="9">
                  <c:v>0.82818734049818488</c:v>
                </c:pt>
                <c:pt idx="10">
                  <c:v>0.56722342306936535</c:v>
                </c:pt>
                <c:pt idx="11">
                  <c:v>0.64441097138053038</c:v>
                </c:pt>
                <c:pt idx="12">
                  <c:v>0.33089907817550579</c:v>
                </c:pt>
                <c:pt idx="13">
                  <c:v>0.68193604148660325</c:v>
                </c:pt>
                <c:pt idx="14">
                  <c:v>0.78632664134563213</c:v>
                </c:pt>
                <c:pt idx="15">
                  <c:v>0.65357671716596422</c:v>
                </c:pt>
                <c:pt idx="16">
                  <c:v>0.66384482861046756</c:v>
                </c:pt>
                <c:pt idx="17">
                  <c:v>0.84426725006476866</c:v>
                </c:pt>
                <c:pt idx="18">
                  <c:v>0.7297696793786449</c:v>
                </c:pt>
                <c:pt idx="19">
                  <c:v>0.84883377620312961</c:v>
                </c:pt>
                <c:pt idx="20">
                  <c:v>0.76401610690738531</c:v>
                </c:pt>
                <c:pt idx="21">
                  <c:v>0.61368188410801849</c:v>
                </c:pt>
                <c:pt idx="22">
                  <c:v>0.83062406576980563</c:v>
                </c:pt>
                <c:pt idx="23">
                  <c:v>0.79080301492969995</c:v>
                </c:pt>
                <c:pt idx="24">
                  <c:v>0.60129921401141295</c:v>
                </c:pt>
                <c:pt idx="25">
                  <c:v>0.7693750450862048</c:v>
                </c:pt>
                <c:pt idx="26">
                  <c:v>0.79062292990505167</c:v>
                </c:pt>
                <c:pt idx="27">
                  <c:v>0.4525141053364154</c:v>
                </c:pt>
                <c:pt idx="28">
                  <c:v>0.48884575811430175</c:v>
                </c:pt>
                <c:pt idx="29">
                  <c:v>0.73764597750865057</c:v>
                </c:pt>
                <c:pt idx="30">
                  <c:v>0.78805631108587137</c:v>
                </c:pt>
                <c:pt idx="31">
                  <c:v>0.74963079056029414</c:v>
                </c:pt>
                <c:pt idx="32">
                  <c:v>0.73777525707099356</c:v>
                </c:pt>
                <c:pt idx="33">
                  <c:v>0.52985551075268822</c:v>
                </c:pt>
                <c:pt idx="34">
                  <c:v>0.59973205544391195</c:v>
                </c:pt>
                <c:pt idx="35">
                  <c:v>0.71377922221811874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A4-4B51-99DC-50066D9988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049503"/>
        <c:axId val="983049983"/>
      </c:scatterChart>
      <c:valAx>
        <c:axId val="9830495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49983"/>
        <c:crosses val="autoZero"/>
        <c:crossBetween val="midCat"/>
      </c:valAx>
      <c:valAx>
        <c:axId val="9830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4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Indian% Kedah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3516119860017496"/>
                  <c:y val="3.7909011373578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VotingWorksheet!$D$3:$D$38</c:f>
              <c:numCache>
                <c:formatCode>0.0%</c:formatCode>
                <c:ptCount val="36"/>
                <c:pt idx="0">
                  <c:v>2.5968150560984438E-2</c:v>
                </c:pt>
                <c:pt idx="1">
                  <c:v>2.135815991237678E-2</c:v>
                </c:pt>
                <c:pt idx="2">
                  <c:v>1.1754038351747993E-3</c:v>
                </c:pt>
                <c:pt idx="3">
                  <c:v>8.4613554033686773E-4</c:v>
                </c:pt>
                <c:pt idx="4">
                  <c:v>2.1105658574716638E-2</c:v>
                </c:pt>
                <c:pt idx="5">
                  <c:v>4.2658462709526002E-2</c:v>
                </c:pt>
                <c:pt idx="6">
                  <c:v>1.5882595851465964E-3</c:v>
                </c:pt>
                <c:pt idx="7">
                  <c:v>8.7394252953925755E-4</c:v>
                </c:pt>
                <c:pt idx="8">
                  <c:v>1.8659922905055366E-2</c:v>
                </c:pt>
                <c:pt idx="9">
                  <c:v>9.3772933597890788E-3</c:v>
                </c:pt>
                <c:pt idx="10">
                  <c:v>4.5630399067253163E-2</c:v>
                </c:pt>
                <c:pt idx="11">
                  <c:v>4.0040994351359722E-2</c:v>
                </c:pt>
                <c:pt idx="12">
                  <c:v>6.7946881412365948E-2</c:v>
                </c:pt>
                <c:pt idx="13">
                  <c:v>2.7387217552954729E-2</c:v>
                </c:pt>
                <c:pt idx="14">
                  <c:v>1.2934696226466799E-2</c:v>
                </c:pt>
                <c:pt idx="15">
                  <c:v>9.7346365934744099E-3</c:v>
                </c:pt>
                <c:pt idx="16">
                  <c:v>1.2522980426084136E-2</c:v>
                </c:pt>
                <c:pt idx="17">
                  <c:v>2.4242958522501874E-3</c:v>
                </c:pt>
                <c:pt idx="18">
                  <c:v>7.2044359898004616E-3</c:v>
                </c:pt>
                <c:pt idx="19">
                  <c:v>7.0005542105416678E-4</c:v>
                </c:pt>
                <c:pt idx="20">
                  <c:v>6.8472660794415821E-3</c:v>
                </c:pt>
                <c:pt idx="21">
                  <c:v>0.1479201778168584</c:v>
                </c:pt>
                <c:pt idx="22">
                  <c:v>1.8462630924906799E-3</c:v>
                </c:pt>
                <c:pt idx="23">
                  <c:v>1.0827136222469158E-3</c:v>
                </c:pt>
                <c:pt idx="24">
                  <c:v>0.20082245529314119</c:v>
                </c:pt>
                <c:pt idx="25">
                  <c:v>5.6856248512694725E-2</c:v>
                </c:pt>
                <c:pt idx="26">
                  <c:v>2.3610733563745098E-2</c:v>
                </c:pt>
                <c:pt idx="27">
                  <c:v>0.14650837264762301</c:v>
                </c:pt>
                <c:pt idx="28">
                  <c:v>0.18701933325680928</c:v>
                </c:pt>
                <c:pt idx="29">
                  <c:v>6.6158402117068868E-3</c:v>
                </c:pt>
                <c:pt idx="30">
                  <c:v>2.5000000000000001E-2</c:v>
                </c:pt>
                <c:pt idx="31">
                  <c:v>0.11089512611416651</c:v>
                </c:pt>
                <c:pt idx="32">
                  <c:v>0.15873075408360371</c:v>
                </c:pt>
                <c:pt idx="33">
                  <c:v>0.21293728409477936</c:v>
                </c:pt>
                <c:pt idx="34">
                  <c:v>0.16513134818807806</c:v>
                </c:pt>
                <c:pt idx="35">
                  <c:v>6.3626811193452051E-2</c:v>
                </c:pt>
              </c:numCache>
            </c:numRef>
          </c:xVal>
          <c:yVal>
            <c:numRef>
              <c:f>VotingWorksheet!$G$3:$G$38</c:f>
              <c:numCache>
                <c:formatCode>0.0%</c:formatCode>
                <c:ptCount val="36"/>
                <c:pt idx="0">
                  <c:v>0.47305600990230318</c:v>
                </c:pt>
                <c:pt idx="1">
                  <c:v>0.64339704395551489</c:v>
                </c:pt>
                <c:pt idx="2">
                  <c:v>0.79603373181354831</c:v>
                </c:pt>
                <c:pt idx="3">
                  <c:v>0.78338005180427916</c:v>
                </c:pt>
                <c:pt idx="4">
                  <c:v>0.72920874420815018</c:v>
                </c:pt>
                <c:pt idx="5">
                  <c:v>0.75457022323782741</c:v>
                </c:pt>
                <c:pt idx="6">
                  <c:v>0.82346289160663433</c:v>
                </c:pt>
                <c:pt idx="7">
                  <c:v>0.64212122563667995</c:v>
                </c:pt>
                <c:pt idx="8">
                  <c:v>0.78123081893070589</c:v>
                </c:pt>
                <c:pt idx="9">
                  <c:v>0.82818734049818488</c:v>
                </c:pt>
                <c:pt idx="10">
                  <c:v>0.56722342306936535</c:v>
                </c:pt>
                <c:pt idx="11">
                  <c:v>0.64441097138053038</c:v>
                </c:pt>
                <c:pt idx="12">
                  <c:v>0.33089907817550579</c:v>
                </c:pt>
                <c:pt idx="13">
                  <c:v>0.68193604148660325</c:v>
                </c:pt>
                <c:pt idx="14">
                  <c:v>0.78632664134563213</c:v>
                </c:pt>
                <c:pt idx="15">
                  <c:v>0.65357671716596422</c:v>
                </c:pt>
                <c:pt idx="16">
                  <c:v>0.66384482861046756</c:v>
                </c:pt>
                <c:pt idx="17">
                  <c:v>0.84426725006476866</c:v>
                </c:pt>
                <c:pt idx="18">
                  <c:v>0.7297696793786449</c:v>
                </c:pt>
                <c:pt idx="19">
                  <c:v>0.84883377620312961</c:v>
                </c:pt>
                <c:pt idx="20">
                  <c:v>0.76401610690738531</c:v>
                </c:pt>
                <c:pt idx="21">
                  <c:v>0.61368188410801849</c:v>
                </c:pt>
                <c:pt idx="22">
                  <c:v>0.83062406576980563</c:v>
                </c:pt>
                <c:pt idx="23">
                  <c:v>0.79080301492969995</c:v>
                </c:pt>
                <c:pt idx="24">
                  <c:v>0.60129921401141295</c:v>
                </c:pt>
                <c:pt idx="25">
                  <c:v>0.7693750450862048</c:v>
                </c:pt>
                <c:pt idx="26">
                  <c:v>0.79062292990505167</c:v>
                </c:pt>
                <c:pt idx="27">
                  <c:v>0.4525141053364154</c:v>
                </c:pt>
                <c:pt idx="28">
                  <c:v>0.48884575811430175</c:v>
                </c:pt>
                <c:pt idx="29">
                  <c:v>0.73764597750865057</c:v>
                </c:pt>
                <c:pt idx="30">
                  <c:v>0.78805631108587137</c:v>
                </c:pt>
                <c:pt idx="31">
                  <c:v>0.74963079056029414</c:v>
                </c:pt>
                <c:pt idx="32">
                  <c:v>0.73777525707099356</c:v>
                </c:pt>
                <c:pt idx="33">
                  <c:v>0.52985551075268822</c:v>
                </c:pt>
                <c:pt idx="34">
                  <c:v>0.59973205544391195</c:v>
                </c:pt>
                <c:pt idx="35">
                  <c:v>0.71377922221811874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55D-49BD-99BA-B6A4A2D0FC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83049503"/>
        <c:axId val="983049983"/>
      </c:scatterChart>
      <c:valAx>
        <c:axId val="983049503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49983"/>
        <c:crosses val="autoZero"/>
        <c:crossBetween val="midCat"/>
      </c:valAx>
      <c:valAx>
        <c:axId val="983049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0495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 vs Malay% Penang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16197769028871392"/>
                  <c:y val="-1.252843394575678E-2"/>
                </c:manualLayout>
              </c:layout>
              <c:numFmt formatCode="General" sourceLinked="0"/>
              <c:spPr>
                <a:solidFill>
                  <a:schemeClr val="bg1">
                    <a:lumMod val="8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VotingWorksheet!$B$52:$B$91</c:f>
              <c:numCache>
                <c:formatCode>0.0%</c:formatCode>
                <c:ptCount val="40"/>
                <c:pt idx="0">
                  <c:v>0.92959792681011466</c:v>
                </c:pt>
                <c:pt idx="1">
                  <c:v>0.6887370307096129</c:v>
                </c:pt>
                <c:pt idx="2">
                  <c:v>0.78792155055726754</c:v>
                </c:pt>
                <c:pt idx="3">
                  <c:v>0.86714120410954099</c:v>
                </c:pt>
                <c:pt idx="4">
                  <c:v>0.8111387900355872</c:v>
                </c:pt>
                <c:pt idx="5">
                  <c:v>0.64779696578437707</c:v>
                </c:pt>
                <c:pt idx="6">
                  <c:v>8.4085338680926922E-2</c:v>
                </c:pt>
                <c:pt idx="7">
                  <c:v>0.15967290725199054</c:v>
                </c:pt>
                <c:pt idx="8">
                  <c:v>0.23033787286178786</c:v>
                </c:pt>
                <c:pt idx="9">
                  <c:v>0.68538047343289643</c:v>
                </c:pt>
                <c:pt idx="10">
                  <c:v>0.75380777310924374</c:v>
                </c:pt>
                <c:pt idx="11">
                  <c:v>0.79794107206247777</c:v>
                </c:pt>
                <c:pt idx="12">
                  <c:v>5.0591553171000135E-2</c:v>
                </c:pt>
                <c:pt idx="13">
                  <c:v>0.35163960522126714</c:v>
                </c:pt>
                <c:pt idx="14">
                  <c:v>0.12927418682814365</c:v>
                </c:pt>
                <c:pt idx="15">
                  <c:v>0.13252600224620342</c:v>
                </c:pt>
                <c:pt idx="16">
                  <c:v>0.36064485538169749</c:v>
                </c:pt>
                <c:pt idx="17">
                  <c:v>0.17697887774695967</c:v>
                </c:pt>
                <c:pt idx="18">
                  <c:v>0.21321821808147318</c:v>
                </c:pt>
                <c:pt idx="19">
                  <c:v>0.59363690801635038</c:v>
                </c:pt>
                <c:pt idx="20">
                  <c:v>0.63782333780417699</c:v>
                </c:pt>
                <c:pt idx="21">
                  <c:v>0.25904942836788003</c:v>
                </c:pt>
                <c:pt idx="22">
                  <c:v>9.8757400299264844E-2</c:v>
                </c:pt>
                <c:pt idx="23">
                  <c:v>7.170226642752324E-2</c:v>
                </c:pt>
                <c:pt idx="24">
                  <c:v>0.13712000687964915</c:v>
                </c:pt>
                <c:pt idx="25">
                  <c:v>8.0250576986482025E-2</c:v>
                </c:pt>
                <c:pt idx="26">
                  <c:v>2.0539688427299703E-2</c:v>
                </c:pt>
                <c:pt idx="27">
                  <c:v>0.12219933041462787</c:v>
                </c:pt>
                <c:pt idx="28">
                  <c:v>0.26997872419842484</c:v>
                </c:pt>
                <c:pt idx="29">
                  <c:v>0.30680497443049742</c:v>
                </c:pt>
                <c:pt idx="30">
                  <c:v>6.6241768863650088E-2</c:v>
                </c:pt>
                <c:pt idx="31">
                  <c:v>0.221448026857541</c:v>
                </c:pt>
                <c:pt idx="32">
                  <c:v>0.2325319471518302</c:v>
                </c:pt>
                <c:pt idx="33">
                  <c:v>7.758153473395607E-2</c:v>
                </c:pt>
                <c:pt idx="34">
                  <c:v>0.2544051092375198</c:v>
                </c:pt>
                <c:pt idx="35">
                  <c:v>0.35761124121779858</c:v>
                </c:pt>
                <c:pt idx="36">
                  <c:v>0.53076695040867317</c:v>
                </c:pt>
                <c:pt idx="37">
                  <c:v>0.63223826533179051</c:v>
                </c:pt>
                <c:pt idx="38">
                  <c:v>0.66293313197415893</c:v>
                </c:pt>
                <c:pt idx="39">
                  <c:v>0.68137446310035144</c:v>
                </c:pt>
              </c:numCache>
            </c:numRef>
          </c:xVal>
          <c:yVal>
            <c:numRef>
              <c:f>VotingWorksheet!$F$52:$F$91</c:f>
              <c:numCache>
                <c:formatCode>0.0%</c:formatCode>
                <c:ptCount val="40"/>
                <c:pt idx="0">
                  <c:v>0.63240709742216272</c:v>
                </c:pt>
                <c:pt idx="1">
                  <c:v>0.43755716976055958</c:v>
                </c:pt>
                <c:pt idx="2">
                  <c:v>0.62739040894380704</c:v>
                </c:pt>
                <c:pt idx="3">
                  <c:v>0.69495882532351527</c:v>
                </c:pt>
                <c:pt idx="4">
                  <c:v>0.37739796145457782</c:v>
                </c:pt>
                <c:pt idx="5">
                  <c:v>0.5526244661873615</c:v>
                </c:pt>
                <c:pt idx="6">
                  <c:v>9.5194716465497611E-2</c:v>
                </c:pt>
                <c:pt idx="7">
                  <c:v>0.15233584499461786</c:v>
                </c:pt>
                <c:pt idx="8">
                  <c:v>0.20168753402286335</c:v>
                </c:pt>
                <c:pt idx="9">
                  <c:v>0.56687846203975234</c:v>
                </c:pt>
                <c:pt idx="10">
                  <c:v>0.56490143668559978</c:v>
                </c:pt>
                <c:pt idx="11">
                  <c:v>0.5827661249247581</c:v>
                </c:pt>
                <c:pt idx="12">
                  <c:v>5.5629399891694971E-2</c:v>
                </c:pt>
                <c:pt idx="13">
                  <c:v>0.30877690238278249</c:v>
                </c:pt>
                <c:pt idx="14">
                  <c:v>0.11287401574803149</c:v>
                </c:pt>
                <c:pt idx="15">
                  <c:v>0.11075972112412852</c:v>
                </c:pt>
                <c:pt idx="16">
                  <c:v>0.31419048839892322</c:v>
                </c:pt>
                <c:pt idx="17">
                  <c:v>0.17642959322158236</c:v>
                </c:pt>
                <c:pt idx="18">
                  <c:v>0.20498401571467087</c:v>
                </c:pt>
                <c:pt idx="19">
                  <c:v>0.52666962427055253</c:v>
                </c:pt>
                <c:pt idx="20">
                  <c:v>0.49673477986096481</c:v>
                </c:pt>
                <c:pt idx="21">
                  <c:v>0.24333974182916782</c:v>
                </c:pt>
                <c:pt idx="22">
                  <c:v>0.1021321149819151</c:v>
                </c:pt>
                <c:pt idx="23">
                  <c:v>7.4689826302729523E-2</c:v>
                </c:pt>
                <c:pt idx="24">
                  <c:v>0.13289231900036752</c:v>
                </c:pt>
                <c:pt idx="25">
                  <c:v>0.12173081012119924</c:v>
                </c:pt>
                <c:pt idx="26">
                  <c:v>5.3596346568565267E-2</c:v>
                </c:pt>
                <c:pt idx="27">
                  <c:v>0.13393690498413291</c:v>
                </c:pt>
                <c:pt idx="28">
                  <c:v>0.27389984825493169</c:v>
                </c:pt>
                <c:pt idx="29">
                  <c:v>0.31445058517555269</c:v>
                </c:pt>
                <c:pt idx="30">
                  <c:v>7.8821689700350792E-2</c:v>
                </c:pt>
                <c:pt idx="31">
                  <c:v>0.19425592603521197</c:v>
                </c:pt>
                <c:pt idx="32">
                  <c:v>0.20778477389811104</c:v>
                </c:pt>
                <c:pt idx="33">
                  <c:v>8.4233358940756467E-2</c:v>
                </c:pt>
                <c:pt idx="34">
                  <c:v>0.20461522890590736</c:v>
                </c:pt>
                <c:pt idx="35">
                  <c:v>0.27344795124609822</c:v>
                </c:pt>
                <c:pt idx="36">
                  <c:v>0.4535303113368151</c:v>
                </c:pt>
                <c:pt idx="37">
                  <c:v>0.46747029447218874</c:v>
                </c:pt>
                <c:pt idx="38">
                  <c:v>0.52916689792973304</c:v>
                </c:pt>
                <c:pt idx="39">
                  <c:v>0.53484423446035734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12-4405-9D98-F6EC4B355C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737744"/>
        <c:axId val="282731024"/>
      </c:scatterChart>
      <c:valAx>
        <c:axId val="28273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31024"/>
        <c:crosses val="autoZero"/>
        <c:crossBetween val="midCat"/>
      </c:valAx>
      <c:valAx>
        <c:axId val="2827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3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 vs Chinese% Penang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115266841644793E-2"/>
                  <c:y val="-0.31403579760863226"/>
                </c:manualLayout>
              </c:layout>
              <c:numFmt formatCode="General" sourceLinked="0"/>
              <c:spPr>
                <a:solidFill>
                  <a:schemeClr val="bg1">
                    <a:lumMod val="8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VotingWorksheet!$C$52:$C$91</c:f>
              <c:numCache>
                <c:formatCode>0.0%</c:formatCode>
                <c:ptCount val="40"/>
                <c:pt idx="0">
                  <c:v>6.3059525679283801E-2</c:v>
                </c:pt>
                <c:pt idx="1">
                  <c:v>0.21830076253177216</c:v>
                </c:pt>
                <c:pt idx="2">
                  <c:v>0.17129856291219075</c:v>
                </c:pt>
                <c:pt idx="3">
                  <c:v>6.2730109751393814E-2</c:v>
                </c:pt>
                <c:pt idx="4">
                  <c:v>0.16039145907473309</c:v>
                </c:pt>
                <c:pt idx="5">
                  <c:v>0.23825855390574563</c:v>
                </c:pt>
                <c:pt idx="6">
                  <c:v>0.83110516934046341</c:v>
                </c:pt>
                <c:pt idx="7">
                  <c:v>0.66666666666666663</c:v>
                </c:pt>
                <c:pt idx="8">
                  <c:v>0.49743178926535037</c:v>
                </c:pt>
                <c:pt idx="9">
                  <c:v>0.18252565274814589</c:v>
                </c:pt>
                <c:pt idx="10">
                  <c:v>0.22078518907563024</c:v>
                </c:pt>
                <c:pt idx="11">
                  <c:v>0.17770678026269079</c:v>
                </c:pt>
                <c:pt idx="12">
                  <c:v>0.83584399504746187</c:v>
                </c:pt>
                <c:pt idx="13">
                  <c:v>0.51423821146839299</c:v>
                </c:pt>
                <c:pt idx="14">
                  <c:v>0.78431154690147498</c:v>
                </c:pt>
                <c:pt idx="15">
                  <c:v>0.49870599150349137</c:v>
                </c:pt>
                <c:pt idx="16">
                  <c:v>0.46081871345029241</c:v>
                </c:pt>
                <c:pt idx="17">
                  <c:v>0.62540004267121829</c:v>
                </c:pt>
                <c:pt idx="18">
                  <c:v>0.52588727083959452</c:v>
                </c:pt>
                <c:pt idx="19">
                  <c:v>0.22536384701502252</c:v>
                </c:pt>
                <c:pt idx="20">
                  <c:v>0.27729450086223412</c:v>
                </c:pt>
                <c:pt idx="21">
                  <c:v>0.5945652542660379</c:v>
                </c:pt>
                <c:pt idx="22">
                  <c:v>0.80033829939496459</c:v>
                </c:pt>
                <c:pt idx="23">
                  <c:v>0.74975542149029839</c:v>
                </c:pt>
                <c:pt idx="24">
                  <c:v>0.75237562884292897</c:v>
                </c:pt>
                <c:pt idx="25">
                  <c:v>0.72555225848994398</c:v>
                </c:pt>
                <c:pt idx="26">
                  <c:v>0.89312870919881304</c:v>
                </c:pt>
                <c:pt idx="27">
                  <c:v>0.77749163018284828</c:v>
                </c:pt>
                <c:pt idx="28">
                  <c:v>0.55440259788735025</c:v>
                </c:pt>
                <c:pt idx="29">
                  <c:v>0.48230474198047418</c:v>
                </c:pt>
                <c:pt idx="30">
                  <c:v>0.84320062828490305</c:v>
                </c:pt>
                <c:pt idx="31">
                  <c:v>0.64553113321086975</c:v>
                </c:pt>
                <c:pt idx="32">
                  <c:v>0.64860298895386614</c:v>
                </c:pt>
                <c:pt idx="33">
                  <c:v>0.77559218286734466</c:v>
                </c:pt>
                <c:pt idx="34">
                  <c:v>0.58701095821176685</c:v>
                </c:pt>
                <c:pt idx="35">
                  <c:v>0.50608899297423893</c:v>
                </c:pt>
                <c:pt idx="36">
                  <c:v>0.36149578621945538</c:v>
                </c:pt>
                <c:pt idx="37">
                  <c:v>0.30155456054736629</c:v>
                </c:pt>
                <c:pt idx="38">
                  <c:v>0.28437788405067538</c:v>
                </c:pt>
                <c:pt idx="39">
                  <c:v>0.27578512857700677</c:v>
                </c:pt>
              </c:numCache>
            </c:numRef>
          </c:xVal>
          <c:yVal>
            <c:numRef>
              <c:f>VotingWorksheet!$F$52:$F$91</c:f>
              <c:numCache>
                <c:formatCode>0.0%</c:formatCode>
                <c:ptCount val="40"/>
                <c:pt idx="0">
                  <c:v>0.63240709742216272</c:v>
                </c:pt>
                <c:pt idx="1">
                  <c:v>0.43755716976055958</c:v>
                </c:pt>
                <c:pt idx="2">
                  <c:v>0.62739040894380704</c:v>
                </c:pt>
                <c:pt idx="3">
                  <c:v>0.69495882532351527</c:v>
                </c:pt>
                <c:pt idx="4">
                  <c:v>0.37739796145457782</c:v>
                </c:pt>
                <c:pt idx="5">
                  <c:v>0.5526244661873615</c:v>
                </c:pt>
                <c:pt idx="6">
                  <c:v>9.5194716465497611E-2</c:v>
                </c:pt>
                <c:pt idx="7">
                  <c:v>0.15233584499461786</c:v>
                </c:pt>
                <c:pt idx="8">
                  <c:v>0.20168753402286335</c:v>
                </c:pt>
                <c:pt idx="9">
                  <c:v>0.56687846203975234</c:v>
                </c:pt>
                <c:pt idx="10">
                  <c:v>0.56490143668559978</c:v>
                </c:pt>
                <c:pt idx="11">
                  <c:v>0.5827661249247581</c:v>
                </c:pt>
                <c:pt idx="12">
                  <c:v>5.5629399891694971E-2</c:v>
                </c:pt>
                <c:pt idx="13">
                  <c:v>0.30877690238278249</c:v>
                </c:pt>
                <c:pt idx="14">
                  <c:v>0.11287401574803149</c:v>
                </c:pt>
                <c:pt idx="15">
                  <c:v>0.11075972112412852</c:v>
                </c:pt>
                <c:pt idx="16">
                  <c:v>0.31419048839892322</c:v>
                </c:pt>
                <c:pt idx="17">
                  <c:v>0.17642959322158236</c:v>
                </c:pt>
                <c:pt idx="18">
                  <c:v>0.20498401571467087</c:v>
                </c:pt>
                <c:pt idx="19">
                  <c:v>0.52666962427055253</c:v>
                </c:pt>
                <c:pt idx="20">
                  <c:v>0.49673477986096481</c:v>
                </c:pt>
                <c:pt idx="21">
                  <c:v>0.24333974182916782</c:v>
                </c:pt>
                <c:pt idx="22">
                  <c:v>0.1021321149819151</c:v>
                </c:pt>
                <c:pt idx="23">
                  <c:v>7.4689826302729523E-2</c:v>
                </c:pt>
                <c:pt idx="24">
                  <c:v>0.13289231900036752</c:v>
                </c:pt>
                <c:pt idx="25">
                  <c:v>0.12173081012119924</c:v>
                </c:pt>
                <c:pt idx="26">
                  <c:v>5.3596346568565267E-2</c:v>
                </c:pt>
                <c:pt idx="27">
                  <c:v>0.13393690498413291</c:v>
                </c:pt>
                <c:pt idx="28">
                  <c:v>0.27389984825493169</c:v>
                </c:pt>
                <c:pt idx="29">
                  <c:v>0.31445058517555269</c:v>
                </c:pt>
                <c:pt idx="30">
                  <c:v>7.8821689700350792E-2</c:v>
                </c:pt>
                <c:pt idx="31">
                  <c:v>0.19425592603521197</c:v>
                </c:pt>
                <c:pt idx="32">
                  <c:v>0.20778477389811104</c:v>
                </c:pt>
                <c:pt idx="33">
                  <c:v>8.4233358940756467E-2</c:v>
                </c:pt>
                <c:pt idx="34">
                  <c:v>0.20461522890590736</c:v>
                </c:pt>
                <c:pt idx="35">
                  <c:v>0.27344795124609822</c:v>
                </c:pt>
                <c:pt idx="36">
                  <c:v>0.4535303113368151</c:v>
                </c:pt>
                <c:pt idx="37">
                  <c:v>0.46747029447218874</c:v>
                </c:pt>
                <c:pt idx="38">
                  <c:v>0.52916689792973304</c:v>
                </c:pt>
                <c:pt idx="39">
                  <c:v>0.53484423446035734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B9C-4034-B03E-8E85776F59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737744"/>
        <c:axId val="282731024"/>
      </c:scatterChart>
      <c:valAx>
        <c:axId val="28273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31024"/>
        <c:crosses val="autoZero"/>
        <c:crossBetween val="midCat"/>
      </c:valAx>
      <c:valAx>
        <c:axId val="2827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3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 vs Indian% Penang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6115266841644793E-2"/>
                  <c:y val="-0.31403579760863226"/>
                </c:manualLayout>
              </c:layout>
              <c:numFmt formatCode="General" sourceLinked="0"/>
              <c:spPr>
                <a:solidFill>
                  <a:schemeClr val="bg1">
                    <a:lumMod val="85000"/>
                  </a:schemeClr>
                </a:solidFill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VotingWorksheet!$C$52:$C$91</c:f>
              <c:numCache>
                <c:formatCode>0.0%</c:formatCode>
                <c:ptCount val="40"/>
                <c:pt idx="0">
                  <c:v>6.3059525679283801E-2</c:v>
                </c:pt>
                <c:pt idx="1">
                  <c:v>0.21830076253177216</c:v>
                </c:pt>
                <c:pt idx="2">
                  <c:v>0.17129856291219075</c:v>
                </c:pt>
                <c:pt idx="3">
                  <c:v>6.2730109751393814E-2</c:v>
                </c:pt>
                <c:pt idx="4">
                  <c:v>0.16039145907473309</c:v>
                </c:pt>
                <c:pt idx="5">
                  <c:v>0.23825855390574563</c:v>
                </c:pt>
                <c:pt idx="6">
                  <c:v>0.83110516934046341</c:v>
                </c:pt>
                <c:pt idx="7">
                  <c:v>0.66666666666666663</c:v>
                </c:pt>
                <c:pt idx="8">
                  <c:v>0.49743178926535037</c:v>
                </c:pt>
                <c:pt idx="9">
                  <c:v>0.18252565274814589</c:v>
                </c:pt>
                <c:pt idx="10">
                  <c:v>0.22078518907563024</c:v>
                </c:pt>
                <c:pt idx="11">
                  <c:v>0.17770678026269079</c:v>
                </c:pt>
                <c:pt idx="12">
                  <c:v>0.83584399504746187</c:v>
                </c:pt>
                <c:pt idx="13">
                  <c:v>0.51423821146839299</c:v>
                </c:pt>
                <c:pt idx="14">
                  <c:v>0.78431154690147498</c:v>
                </c:pt>
                <c:pt idx="15">
                  <c:v>0.49870599150349137</c:v>
                </c:pt>
                <c:pt idx="16">
                  <c:v>0.46081871345029241</c:v>
                </c:pt>
                <c:pt idx="17">
                  <c:v>0.62540004267121829</c:v>
                </c:pt>
                <c:pt idx="18">
                  <c:v>0.52588727083959452</c:v>
                </c:pt>
                <c:pt idx="19">
                  <c:v>0.22536384701502252</c:v>
                </c:pt>
                <c:pt idx="20">
                  <c:v>0.27729450086223412</c:v>
                </c:pt>
                <c:pt idx="21">
                  <c:v>0.5945652542660379</c:v>
                </c:pt>
                <c:pt idx="22">
                  <c:v>0.80033829939496459</c:v>
                </c:pt>
                <c:pt idx="23">
                  <c:v>0.74975542149029839</c:v>
                </c:pt>
                <c:pt idx="24">
                  <c:v>0.75237562884292897</c:v>
                </c:pt>
                <c:pt idx="25">
                  <c:v>0.72555225848994398</c:v>
                </c:pt>
                <c:pt idx="26">
                  <c:v>0.89312870919881304</c:v>
                </c:pt>
                <c:pt idx="27">
                  <c:v>0.77749163018284828</c:v>
                </c:pt>
                <c:pt idx="28">
                  <c:v>0.55440259788735025</c:v>
                </c:pt>
                <c:pt idx="29">
                  <c:v>0.48230474198047418</c:v>
                </c:pt>
                <c:pt idx="30">
                  <c:v>0.84320062828490305</c:v>
                </c:pt>
                <c:pt idx="31">
                  <c:v>0.64553113321086975</c:v>
                </c:pt>
                <c:pt idx="32">
                  <c:v>0.64860298895386614</c:v>
                </c:pt>
                <c:pt idx="33">
                  <c:v>0.77559218286734466</c:v>
                </c:pt>
                <c:pt idx="34">
                  <c:v>0.58701095821176685</c:v>
                </c:pt>
                <c:pt idx="35">
                  <c:v>0.50608899297423893</c:v>
                </c:pt>
                <c:pt idx="36">
                  <c:v>0.36149578621945538</c:v>
                </c:pt>
                <c:pt idx="37">
                  <c:v>0.30155456054736629</c:v>
                </c:pt>
                <c:pt idx="38">
                  <c:v>0.28437788405067538</c:v>
                </c:pt>
                <c:pt idx="39">
                  <c:v>0.27578512857700677</c:v>
                </c:pt>
              </c:numCache>
            </c:numRef>
          </c:xVal>
          <c:yVal>
            <c:numRef>
              <c:f>VotingWorksheet!$F$52:$F$91</c:f>
              <c:numCache>
                <c:formatCode>0.0%</c:formatCode>
                <c:ptCount val="40"/>
                <c:pt idx="0">
                  <c:v>0.63240709742216272</c:v>
                </c:pt>
                <c:pt idx="1">
                  <c:v>0.43755716976055958</c:v>
                </c:pt>
                <c:pt idx="2">
                  <c:v>0.62739040894380704</c:v>
                </c:pt>
                <c:pt idx="3">
                  <c:v>0.69495882532351527</c:v>
                </c:pt>
                <c:pt idx="4">
                  <c:v>0.37739796145457782</c:v>
                </c:pt>
                <c:pt idx="5">
                  <c:v>0.5526244661873615</c:v>
                </c:pt>
                <c:pt idx="6">
                  <c:v>9.5194716465497611E-2</c:v>
                </c:pt>
                <c:pt idx="7">
                  <c:v>0.15233584499461786</c:v>
                </c:pt>
                <c:pt idx="8">
                  <c:v>0.20168753402286335</c:v>
                </c:pt>
                <c:pt idx="9">
                  <c:v>0.56687846203975234</c:v>
                </c:pt>
                <c:pt idx="10">
                  <c:v>0.56490143668559978</c:v>
                </c:pt>
                <c:pt idx="11">
                  <c:v>0.5827661249247581</c:v>
                </c:pt>
                <c:pt idx="12">
                  <c:v>5.5629399891694971E-2</c:v>
                </c:pt>
                <c:pt idx="13">
                  <c:v>0.30877690238278249</c:v>
                </c:pt>
                <c:pt idx="14">
                  <c:v>0.11287401574803149</c:v>
                </c:pt>
                <c:pt idx="15">
                  <c:v>0.11075972112412852</c:v>
                </c:pt>
                <c:pt idx="16">
                  <c:v>0.31419048839892322</c:v>
                </c:pt>
                <c:pt idx="17">
                  <c:v>0.17642959322158236</c:v>
                </c:pt>
                <c:pt idx="18">
                  <c:v>0.20498401571467087</c:v>
                </c:pt>
                <c:pt idx="19">
                  <c:v>0.52666962427055253</c:v>
                </c:pt>
                <c:pt idx="20">
                  <c:v>0.49673477986096481</c:v>
                </c:pt>
                <c:pt idx="21">
                  <c:v>0.24333974182916782</c:v>
                </c:pt>
                <c:pt idx="22">
                  <c:v>0.1021321149819151</c:v>
                </c:pt>
                <c:pt idx="23">
                  <c:v>7.4689826302729523E-2</c:v>
                </c:pt>
                <c:pt idx="24">
                  <c:v>0.13289231900036752</c:v>
                </c:pt>
                <c:pt idx="25">
                  <c:v>0.12173081012119924</c:v>
                </c:pt>
                <c:pt idx="26">
                  <c:v>5.3596346568565267E-2</c:v>
                </c:pt>
                <c:pt idx="27">
                  <c:v>0.13393690498413291</c:v>
                </c:pt>
                <c:pt idx="28">
                  <c:v>0.27389984825493169</c:v>
                </c:pt>
                <c:pt idx="29">
                  <c:v>0.31445058517555269</c:v>
                </c:pt>
                <c:pt idx="30">
                  <c:v>7.8821689700350792E-2</c:v>
                </c:pt>
                <c:pt idx="31">
                  <c:v>0.19425592603521197</c:v>
                </c:pt>
                <c:pt idx="32">
                  <c:v>0.20778477389811104</c:v>
                </c:pt>
                <c:pt idx="33">
                  <c:v>8.4233358940756467E-2</c:v>
                </c:pt>
                <c:pt idx="34">
                  <c:v>0.20461522890590736</c:v>
                </c:pt>
                <c:pt idx="35">
                  <c:v>0.27344795124609822</c:v>
                </c:pt>
                <c:pt idx="36">
                  <c:v>0.4535303113368151</c:v>
                </c:pt>
                <c:pt idx="37">
                  <c:v>0.46747029447218874</c:v>
                </c:pt>
                <c:pt idx="38">
                  <c:v>0.52916689792973304</c:v>
                </c:pt>
                <c:pt idx="39">
                  <c:v>0.53484423446035734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C3C-4C02-9884-1764FC2D2B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82737744"/>
        <c:axId val="282731024"/>
      </c:scatterChart>
      <c:valAx>
        <c:axId val="282737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31024"/>
        <c:crosses val="autoZero"/>
        <c:crossBetween val="midCat"/>
      </c:valAx>
      <c:valAx>
        <c:axId val="282731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737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Selangor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25196544181977254"/>
                  <c:y val="1.9081000291630214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VotingWorksheet!$B$101:$B$156</c:f>
              <c:numCache>
                <c:formatCode>0.0%</c:formatCode>
                <c:ptCount val="56"/>
                <c:pt idx="0">
                  <c:v>0.84345351043643269</c:v>
                </c:pt>
                <c:pt idx="1">
                  <c:v>0.79541740005028916</c:v>
                </c:pt>
                <c:pt idx="2">
                  <c:v>0.81260726719952925</c:v>
                </c:pt>
                <c:pt idx="3">
                  <c:v>0.43904578877005346</c:v>
                </c:pt>
                <c:pt idx="4">
                  <c:v>0.70049725030460697</c:v>
                </c:pt>
                <c:pt idx="5">
                  <c:v>0.46360114956891169</c:v>
                </c:pt>
                <c:pt idx="6">
                  <c:v>0.68927470387798151</c:v>
                </c:pt>
                <c:pt idx="7">
                  <c:v>0.83153082137789691</c:v>
                </c:pt>
                <c:pt idx="8">
                  <c:v>0.63222496428107544</c:v>
                </c:pt>
                <c:pt idx="9">
                  <c:v>0.60317209400358307</c:v>
                </c:pt>
                <c:pt idx="10">
                  <c:v>0.61594155632378844</c:v>
                </c:pt>
                <c:pt idx="11">
                  <c:v>0.79946604189936521</c:v>
                </c:pt>
                <c:pt idx="12">
                  <c:v>0.76790334605095822</c:v>
                </c:pt>
                <c:pt idx="13">
                  <c:v>0.31813745266199034</c:v>
                </c:pt>
                <c:pt idx="14">
                  <c:v>0.59047603925180225</c:v>
                </c:pt>
                <c:pt idx="15">
                  <c:v>0.57247986953419627</c:v>
                </c:pt>
                <c:pt idx="16">
                  <c:v>0.67228752260397828</c:v>
                </c:pt>
                <c:pt idx="17">
                  <c:v>0.81855457309419544</c:v>
                </c:pt>
                <c:pt idx="18">
                  <c:v>0.47064071020560855</c:v>
                </c:pt>
                <c:pt idx="19">
                  <c:v>0.56781416603198787</c:v>
                </c:pt>
                <c:pt idx="20">
                  <c:v>0.55044082739911837</c:v>
                </c:pt>
                <c:pt idx="21">
                  <c:v>0.26627627891780498</c:v>
                </c:pt>
                <c:pt idx="22">
                  <c:v>0.57172227522541286</c:v>
                </c:pt>
                <c:pt idx="23">
                  <c:v>0.69012332990750258</c:v>
                </c:pt>
                <c:pt idx="24">
                  <c:v>0.39016259051783031</c:v>
                </c:pt>
                <c:pt idx="25">
                  <c:v>0.76431761022429812</c:v>
                </c:pt>
                <c:pt idx="26">
                  <c:v>0.3336274443986228</c:v>
                </c:pt>
                <c:pt idx="27">
                  <c:v>0.11142593359014358</c:v>
                </c:pt>
                <c:pt idx="28">
                  <c:v>0.55177776586046012</c:v>
                </c:pt>
                <c:pt idx="29">
                  <c:v>0.25204795527621138</c:v>
                </c:pt>
                <c:pt idx="30">
                  <c:v>0.27335893542913281</c:v>
                </c:pt>
                <c:pt idx="31">
                  <c:v>0.52038670664792031</c:v>
                </c:pt>
                <c:pt idx="32">
                  <c:v>0.6504462628512403</c:v>
                </c:pt>
                <c:pt idx="33">
                  <c:v>0.16929090305689737</c:v>
                </c:pt>
                <c:pt idx="34">
                  <c:v>0.1497164007745429</c:v>
                </c:pt>
                <c:pt idx="35">
                  <c:v>0.14999041594786275</c:v>
                </c:pt>
                <c:pt idx="36">
                  <c:v>0.27638063716846167</c:v>
                </c:pt>
                <c:pt idx="37">
                  <c:v>0.66233479872662371</c:v>
                </c:pt>
                <c:pt idx="38">
                  <c:v>0.60453788971485634</c:v>
                </c:pt>
                <c:pt idx="39">
                  <c:v>0.72226194481830419</c:v>
                </c:pt>
                <c:pt idx="40">
                  <c:v>0.74896007206634341</c:v>
                </c:pt>
                <c:pt idx="41">
                  <c:v>0.57123751918663845</c:v>
                </c:pt>
                <c:pt idx="42">
                  <c:v>0.74405892502428628</c:v>
                </c:pt>
                <c:pt idx="43">
                  <c:v>0.7390519500807109</c:v>
                </c:pt>
                <c:pt idx="44">
                  <c:v>0.1597928186801246</c:v>
                </c:pt>
                <c:pt idx="45">
                  <c:v>0.61858708844664501</c:v>
                </c:pt>
                <c:pt idx="46">
                  <c:v>0.15271124483682383</c:v>
                </c:pt>
                <c:pt idx="47">
                  <c:v>0.15013847346848344</c:v>
                </c:pt>
                <c:pt idx="48">
                  <c:v>0.68970167292156992</c:v>
                </c:pt>
                <c:pt idx="49">
                  <c:v>0.39811583237741927</c:v>
                </c:pt>
                <c:pt idx="50">
                  <c:v>0.71162191806953123</c:v>
                </c:pt>
                <c:pt idx="51">
                  <c:v>0.18075691541403541</c:v>
                </c:pt>
                <c:pt idx="52">
                  <c:v>0.71059596604910102</c:v>
                </c:pt>
                <c:pt idx="53">
                  <c:v>0.57783486011388963</c:v>
                </c:pt>
                <c:pt idx="54">
                  <c:v>0.68927191236120133</c:v>
                </c:pt>
                <c:pt idx="55">
                  <c:v>0.56828984894898071</c:v>
                </c:pt>
              </c:numCache>
            </c:numRef>
          </c:xVal>
          <c:yVal>
            <c:numRef>
              <c:f>VotingWorksheet!$F$101:$F$156</c:f>
              <c:numCache>
                <c:formatCode>0.0%</c:formatCode>
                <c:ptCount val="56"/>
                <c:pt idx="0">
                  <c:v>0.47159930173224118</c:v>
                </c:pt>
                <c:pt idx="1">
                  <c:v>0.59305868326930722</c:v>
                </c:pt>
                <c:pt idx="2">
                  <c:v>0.55885838435710056</c:v>
                </c:pt>
                <c:pt idx="3">
                  <c:v>0.37784263650735739</c:v>
                </c:pt>
                <c:pt idx="4">
                  <c:v>0.51610728559734198</c:v>
                </c:pt>
                <c:pt idx="5">
                  <c:v>0.39325719305952117</c:v>
                </c:pt>
                <c:pt idx="6">
                  <c:v>0.52417521756072216</c:v>
                </c:pt>
                <c:pt idx="7">
                  <c:v>0.64223349409612507</c:v>
                </c:pt>
                <c:pt idx="8">
                  <c:v>0.53604204905723341</c:v>
                </c:pt>
                <c:pt idx="9">
                  <c:v>0.51540380089226123</c:v>
                </c:pt>
                <c:pt idx="10">
                  <c:v>0.51518098782138022</c:v>
                </c:pt>
                <c:pt idx="11">
                  <c:v>0.59617303306727476</c:v>
                </c:pt>
                <c:pt idx="12">
                  <c:v>0.55371257485029945</c:v>
                </c:pt>
                <c:pt idx="13">
                  <c:v>0.25646379892934434</c:v>
                </c:pt>
                <c:pt idx="14">
                  <c:v>0.4862475442043222</c:v>
                </c:pt>
                <c:pt idx="15">
                  <c:v>0.4188607265685963</c:v>
                </c:pt>
                <c:pt idx="16">
                  <c:v>0.49173915866008827</c:v>
                </c:pt>
                <c:pt idx="17">
                  <c:v>0.51630796538717549</c:v>
                </c:pt>
                <c:pt idx="18">
                  <c:v>0.3101485254462184</c:v>
                </c:pt>
                <c:pt idx="19">
                  <c:v>0.42728341826734612</c:v>
                </c:pt>
                <c:pt idx="20">
                  <c:v>0.37174745172250656</c:v>
                </c:pt>
                <c:pt idx="21">
                  <c:v>0.19934092834949629</c:v>
                </c:pt>
                <c:pt idx="22">
                  <c:v>0.44287952841099876</c:v>
                </c:pt>
                <c:pt idx="23">
                  <c:v>0.50865878090951511</c:v>
                </c:pt>
                <c:pt idx="24">
                  <c:v>0.26195826645264847</c:v>
                </c:pt>
                <c:pt idx="25">
                  <c:v>0.55338070954351148</c:v>
                </c:pt>
                <c:pt idx="26">
                  <c:v>0.23785304470744756</c:v>
                </c:pt>
                <c:pt idx="27">
                  <c:v>7.9303283299952745E-2</c:v>
                </c:pt>
                <c:pt idx="28">
                  <c:v>0.40451262442340374</c:v>
                </c:pt>
                <c:pt idx="29">
                  <c:v>0.19030041456073599</c:v>
                </c:pt>
                <c:pt idx="30">
                  <c:v>0.12348221737608701</c:v>
                </c:pt>
                <c:pt idx="31">
                  <c:v>0.37934827691919282</c:v>
                </c:pt>
                <c:pt idx="32">
                  <c:v>0.50033630778888838</c:v>
                </c:pt>
                <c:pt idx="33">
                  <c:v>9.9020442930153316E-2</c:v>
                </c:pt>
                <c:pt idx="34">
                  <c:v>9.098278704028967E-2</c:v>
                </c:pt>
                <c:pt idx="35">
                  <c:v>9.4116388532306375E-2</c:v>
                </c:pt>
                <c:pt idx="36">
                  <c:v>0.21713893653516295</c:v>
                </c:pt>
                <c:pt idx="37">
                  <c:v>0.51632810008815866</c:v>
                </c:pt>
                <c:pt idx="38">
                  <c:v>0.44888840622430459</c:v>
                </c:pt>
                <c:pt idx="39">
                  <c:v>0.40205420661361418</c:v>
                </c:pt>
                <c:pt idx="40">
                  <c:v>0.45331309351502103</c:v>
                </c:pt>
                <c:pt idx="41">
                  <c:v>0.45799716157629722</c:v>
                </c:pt>
                <c:pt idx="42">
                  <c:v>0.59199794725169996</c:v>
                </c:pt>
                <c:pt idx="43">
                  <c:v>0.58878767299721335</c:v>
                </c:pt>
                <c:pt idx="44">
                  <c:v>0.12955032119914348</c:v>
                </c:pt>
                <c:pt idx="45">
                  <c:v>0.42915292662819454</c:v>
                </c:pt>
                <c:pt idx="46">
                  <c:v>0.12368260765241144</c:v>
                </c:pt>
                <c:pt idx="47">
                  <c:v>0.12624300094850535</c:v>
                </c:pt>
                <c:pt idx="48">
                  <c:v>0.36799185802429873</c:v>
                </c:pt>
                <c:pt idx="49">
                  <c:v>0.28818943112907885</c:v>
                </c:pt>
                <c:pt idx="50">
                  <c:v>0.61413921188630494</c:v>
                </c:pt>
                <c:pt idx="51">
                  <c:v>0.15158511677470918</c:v>
                </c:pt>
                <c:pt idx="52">
                  <c:v>0.55646654324252842</c:v>
                </c:pt>
                <c:pt idx="53">
                  <c:v>0.44991268455310368</c:v>
                </c:pt>
                <c:pt idx="54">
                  <c:v>0.4852309694209499</c:v>
                </c:pt>
                <c:pt idx="55">
                  <c:v>0.47584221134465882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4AA-490F-8C9A-9521D5392F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65666111"/>
        <c:axId val="565666591"/>
      </c:scatterChart>
      <c:valAx>
        <c:axId val="565666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66591"/>
        <c:crosses val="autoZero"/>
        <c:crossBetween val="midCat"/>
      </c:valAx>
      <c:valAx>
        <c:axId val="5656665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5666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Malay% NS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5.0736439195100611E-2"/>
                  <c:y val="0.2869969378827646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VotingWorksheet!$B$160:$B$195</c:f>
              <c:numCache>
                <c:formatCode>0.0%</c:formatCode>
                <c:ptCount val="36"/>
                <c:pt idx="0">
                  <c:v>0.46275937886491686</c:v>
                </c:pt>
                <c:pt idx="1">
                  <c:v>0.65495851748468636</c:v>
                </c:pt>
                <c:pt idx="2">
                  <c:v>0.7902603187172127</c:v>
                </c:pt>
                <c:pt idx="3">
                  <c:v>0.65365038365114336</c:v>
                </c:pt>
                <c:pt idx="4">
                  <c:v>0.77610856142899598</c:v>
                </c:pt>
                <c:pt idx="5">
                  <c:v>0.92095854260662302</c:v>
                </c:pt>
                <c:pt idx="6">
                  <c:v>0.51077638990938035</c:v>
                </c:pt>
                <c:pt idx="7">
                  <c:v>0.29551010904575264</c:v>
                </c:pt>
                <c:pt idx="8">
                  <c:v>0.75589717373840648</c:v>
                </c:pt>
                <c:pt idx="9">
                  <c:v>0.43302978561942707</c:v>
                </c:pt>
                <c:pt idx="10">
                  <c:v>4.2685292976329066E-2</c:v>
                </c:pt>
                <c:pt idx="11">
                  <c:v>0.37638517386320214</c:v>
                </c:pt>
                <c:pt idx="12">
                  <c:v>0.70423275515567507</c:v>
                </c:pt>
                <c:pt idx="13">
                  <c:v>0.72103658536585369</c:v>
                </c:pt>
                <c:pt idx="14">
                  <c:v>0.79437649164677804</c:v>
                </c:pt>
                <c:pt idx="15">
                  <c:v>0.9150821304131409</c:v>
                </c:pt>
                <c:pt idx="16">
                  <c:v>0.80052599635848676</c:v>
                </c:pt>
                <c:pt idx="17">
                  <c:v>0.6523852588740674</c:v>
                </c:pt>
                <c:pt idx="18">
                  <c:v>0.72776740030861686</c:v>
                </c:pt>
                <c:pt idx="19">
                  <c:v>0.74591508629175141</c:v>
                </c:pt>
                <c:pt idx="20">
                  <c:v>0.26528802266975277</c:v>
                </c:pt>
                <c:pt idx="21">
                  <c:v>0.29204241403230602</c:v>
                </c:pt>
                <c:pt idx="22">
                  <c:v>0.13536197844708484</c:v>
                </c:pt>
                <c:pt idx="23">
                  <c:v>0.24032208113967171</c:v>
                </c:pt>
                <c:pt idx="24">
                  <c:v>0.77513837638376382</c:v>
                </c:pt>
                <c:pt idx="25">
                  <c:v>0.81186341463414635</c:v>
                </c:pt>
                <c:pt idx="26">
                  <c:v>0.55077531164487681</c:v>
                </c:pt>
                <c:pt idx="27">
                  <c:v>0.85984251968503933</c:v>
                </c:pt>
                <c:pt idx="28">
                  <c:v>0.23703212984431932</c:v>
                </c:pt>
                <c:pt idx="29">
                  <c:v>0.22953816309781391</c:v>
                </c:pt>
                <c:pt idx="30">
                  <c:v>0.74721122706009357</c:v>
                </c:pt>
                <c:pt idx="31">
                  <c:v>0.60915152686509466</c:v>
                </c:pt>
                <c:pt idx="32">
                  <c:v>0.37399001595388814</c:v>
                </c:pt>
                <c:pt idx="33">
                  <c:v>0.83341203453858603</c:v>
                </c:pt>
                <c:pt idx="34">
                  <c:v>0.61925859686204376</c:v>
                </c:pt>
                <c:pt idx="35">
                  <c:v>0.39492009969212727</c:v>
                </c:pt>
              </c:numCache>
            </c:numRef>
          </c:xVal>
          <c:yVal>
            <c:numRef>
              <c:f>VotingWorksheet!$F$160:$F$195</c:f>
              <c:numCache>
                <c:formatCode>0.0%</c:formatCode>
                <c:ptCount val="36"/>
                <c:pt idx="0">
                  <c:v>0.38512949039264827</c:v>
                </c:pt>
                <c:pt idx="1">
                  <c:v>0.3354564755838641</c:v>
                </c:pt>
                <c:pt idx="2">
                  <c:v>0.47995203477478826</c:v>
                </c:pt>
                <c:pt idx="3">
                  <c:v>0.44762328843370813</c:v>
                </c:pt>
                <c:pt idx="4">
                  <c:v>0.52130832617157874</c:v>
                </c:pt>
                <c:pt idx="5">
                  <c:v>0.48158788195351265</c:v>
                </c:pt>
                <c:pt idx="6">
                  <c:v>0.46613234287948391</c:v>
                </c:pt>
                <c:pt idx="7">
                  <c:v>0.22824822236586942</c:v>
                </c:pt>
                <c:pt idx="8">
                  <c:v>0.47249861104096169</c:v>
                </c:pt>
                <c:pt idx="9">
                  <c:v>0.28561529933481156</c:v>
                </c:pt>
                <c:pt idx="10">
                  <c:v>5.6081525312294545E-2</c:v>
                </c:pt>
                <c:pt idx="11">
                  <c:v>0.29381672597864766</c:v>
                </c:pt>
                <c:pt idx="12">
                  <c:v>0.43359173126614986</c:v>
                </c:pt>
                <c:pt idx="13">
                  <c:v>0.38531430878987749</c:v>
                </c:pt>
                <c:pt idx="14">
                  <c:v>0.49567627494456762</c:v>
                </c:pt>
                <c:pt idx="15">
                  <c:v>0.47376630743051618</c:v>
                </c:pt>
                <c:pt idx="16">
                  <c:v>0.45122310639552021</c:v>
                </c:pt>
                <c:pt idx="17">
                  <c:v>0.45252969643642765</c:v>
                </c:pt>
                <c:pt idx="18">
                  <c:v>0.373066314905864</c:v>
                </c:pt>
                <c:pt idx="19">
                  <c:v>0.53781938935522555</c:v>
                </c:pt>
                <c:pt idx="20">
                  <c:v>0.16209124602315589</c:v>
                </c:pt>
                <c:pt idx="21">
                  <c:v>0.25826819001803969</c:v>
                </c:pt>
                <c:pt idx="22">
                  <c:v>0.10875084192528885</c:v>
                </c:pt>
                <c:pt idx="23">
                  <c:v>0.20398937409703127</c:v>
                </c:pt>
                <c:pt idx="24">
                  <c:v>0.55332482302425434</c:v>
                </c:pt>
                <c:pt idx="25">
                  <c:v>0.38082146588222354</c:v>
                </c:pt>
                <c:pt idx="26">
                  <c:v>0.2825167132097825</c:v>
                </c:pt>
                <c:pt idx="27">
                  <c:v>0.49418253899853487</c:v>
                </c:pt>
                <c:pt idx="28">
                  <c:v>0.18654190722675693</c:v>
                </c:pt>
                <c:pt idx="29">
                  <c:v>0.20635104595236717</c:v>
                </c:pt>
                <c:pt idx="30">
                  <c:v>0.59301694178974806</c:v>
                </c:pt>
                <c:pt idx="31">
                  <c:v>0.44856720411180734</c:v>
                </c:pt>
                <c:pt idx="32">
                  <c:v>0.33992949847780807</c:v>
                </c:pt>
                <c:pt idx="33">
                  <c:v>0.42271871594174182</c:v>
                </c:pt>
                <c:pt idx="34">
                  <c:v>0.4208506763787721</c:v>
                </c:pt>
                <c:pt idx="35">
                  <c:v>0.32565635255508674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F9-429A-80FF-62F2121C3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8815"/>
        <c:axId val="53519295"/>
      </c:scatterChart>
      <c:valAx>
        <c:axId val="5351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9295"/>
        <c:crosses val="autoZero"/>
        <c:crossBetween val="midCat"/>
      </c:valAx>
      <c:valAx>
        <c:axId val="5351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Chinese% NS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8.0264435695538053E-2"/>
                  <c:y val="-0.416639326334208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VotingWorksheet!$C$160:$C$195</c:f>
              <c:numCache>
                <c:formatCode>0.0%</c:formatCode>
                <c:ptCount val="36"/>
                <c:pt idx="0">
                  <c:v>0.44255874673629242</c:v>
                </c:pt>
                <c:pt idx="1">
                  <c:v>0.19958129797627355</c:v>
                </c:pt>
                <c:pt idx="2">
                  <c:v>5.7012768484608532E-2</c:v>
                </c:pt>
                <c:pt idx="3">
                  <c:v>0.2804072020056218</c:v>
                </c:pt>
                <c:pt idx="4">
                  <c:v>0.12510317958199887</c:v>
                </c:pt>
                <c:pt idx="5">
                  <c:v>1.6302034562015833E-2</c:v>
                </c:pt>
                <c:pt idx="6">
                  <c:v>9.6926279696301743E-2</c:v>
                </c:pt>
                <c:pt idx="7">
                  <c:v>0.58896348325507397</c:v>
                </c:pt>
                <c:pt idx="8">
                  <c:v>0.14978456145475791</c:v>
                </c:pt>
                <c:pt idx="9">
                  <c:v>0.31915196357427433</c:v>
                </c:pt>
                <c:pt idx="10">
                  <c:v>0.72086405380933904</c:v>
                </c:pt>
                <c:pt idx="11">
                  <c:v>0.44600687810470002</c:v>
                </c:pt>
                <c:pt idx="12">
                  <c:v>0.19698234548433974</c:v>
                </c:pt>
                <c:pt idx="13">
                  <c:v>0.15925114329268292</c:v>
                </c:pt>
                <c:pt idx="14">
                  <c:v>0.11873508353221957</c:v>
                </c:pt>
                <c:pt idx="15">
                  <c:v>2.4489795918367346E-2</c:v>
                </c:pt>
                <c:pt idx="16">
                  <c:v>0.15506777260772811</c:v>
                </c:pt>
                <c:pt idx="17">
                  <c:v>0.24909563644585123</c:v>
                </c:pt>
                <c:pt idx="18">
                  <c:v>0.16283602696337204</c:v>
                </c:pt>
                <c:pt idx="19">
                  <c:v>7.91718616707133E-2</c:v>
                </c:pt>
                <c:pt idx="20">
                  <c:v>0.49250470483895392</c:v>
                </c:pt>
                <c:pt idx="21">
                  <c:v>0.44886532553760777</c:v>
                </c:pt>
                <c:pt idx="22">
                  <c:v>0.58707515888366957</c:v>
                </c:pt>
                <c:pt idx="23">
                  <c:v>0.47138432951378134</c:v>
                </c:pt>
                <c:pt idx="24">
                  <c:v>6.2154059040590404E-2</c:v>
                </c:pt>
                <c:pt idx="25">
                  <c:v>6.3648780487804882E-2</c:v>
                </c:pt>
                <c:pt idx="26">
                  <c:v>0.15725144420796594</c:v>
                </c:pt>
                <c:pt idx="27">
                  <c:v>6.6929133858267723E-2</c:v>
                </c:pt>
                <c:pt idx="28">
                  <c:v>0.54077509108976485</c:v>
                </c:pt>
                <c:pt idx="29">
                  <c:v>0.4921286279191226</c:v>
                </c:pt>
                <c:pt idx="30">
                  <c:v>6.8225980568549838E-2</c:v>
                </c:pt>
                <c:pt idx="31">
                  <c:v>0.17235214534209509</c:v>
                </c:pt>
                <c:pt idx="32">
                  <c:v>0.31398281097215791</c:v>
                </c:pt>
                <c:pt idx="33">
                  <c:v>7.7307069616837559E-2</c:v>
                </c:pt>
                <c:pt idx="34">
                  <c:v>0.2215267051459231</c:v>
                </c:pt>
                <c:pt idx="35">
                  <c:v>0.41390558569124763</c:v>
                </c:pt>
              </c:numCache>
            </c:numRef>
          </c:xVal>
          <c:yVal>
            <c:numRef>
              <c:f>VotingWorksheet!$F$160:$F$195</c:f>
              <c:numCache>
                <c:formatCode>0.0%</c:formatCode>
                <c:ptCount val="36"/>
                <c:pt idx="0">
                  <c:v>0.38512949039264827</c:v>
                </c:pt>
                <c:pt idx="1">
                  <c:v>0.3354564755838641</c:v>
                </c:pt>
                <c:pt idx="2">
                  <c:v>0.47995203477478826</c:v>
                </c:pt>
                <c:pt idx="3">
                  <c:v>0.44762328843370813</c:v>
                </c:pt>
                <c:pt idx="4">
                  <c:v>0.52130832617157874</c:v>
                </c:pt>
                <c:pt idx="5">
                  <c:v>0.48158788195351265</c:v>
                </c:pt>
                <c:pt idx="6">
                  <c:v>0.46613234287948391</c:v>
                </c:pt>
                <c:pt idx="7">
                  <c:v>0.22824822236586942</c:v>
                </c:pt>
                <c:pt idx="8">
                  <c:v>0.47249861104096169</c:v>
                </c:pt>
                <c:pt idx="9">
                  <c:v>0.28561529933481156</c:v>
                </c:pt>
                <c:pt idx="10">
                  <c:v>5.6081525312294545E-2</c:v>
                </c:pt>
                <c:pt idx="11">
                  <c:v>0.29381672597864766</c:v>
                </c:pt>
                <c:pt idx="12">
                  <c:v>0.43359173126614986</c:v>
                </c:pt>
                <c:pt idx="13">
                  <c:v>0.38531430878987749</c:v>
                </c:pt>
                <c:pt idx="14">
                  <c:v>0.49567627494456762</c:v>
                </c:pt>
                <c:pt idx="15">
                  <c:v>0.47376630743051618</c:v>
                </c:pt>
                <c:pt idx="16">
                  <c:v>0.45122310639552021</c:v>
                </c:pt>
                <c:pt idx="17">
                  <c:v>0.45252969643642765</c:v>
                </c:pt>
                <c:pt idx="18">
                  <c:v>0.373066314905864</c:v>
                </c:pt>
                <c:pt idx="19">
                  <c:v>0.53781938935522555</c:v>
                </c:pt>
                <c:pt idx="20">
                  <c:v>0.16209124602315589</c:v>
                </c:pt>
                <c:pt idx="21">
                  <c:v>0.25826819001803969</c:v>
                </c:pt>
                <c:pt idx="22">
                  <c:v>0.10875084192528885</c:v>
                </c:pt>
                <c:pt idx="23">
                  <c:v>0.20398937409703127</c:v>
                </c:pt>
                <c:pt idx="24">
                  <c:v>0.55332482302425434</c:v>
                </c:pt>
                <c:pt idx="25">
                  <c:v>0.38082146588222354</c:v>
                </c:pt>
                <c:pt idx="26">
                  <c:v>0.2825167132097825</c:v>
                </c:pt>
                <c:pt idx="27">
                  <c:v>0.49418253899853487</c:v>
                </c:pt>
                <c:pt idx="28">
                  <c:v>0.18654190722675693</c:v>
                </c:pt>
                <c:pt idx="29">
                  <c:v>0.20635104595236717</c:v>
                </c:pt>
                <c:pt idx="30">
                  <c:v>0.59301694178974806</c:v>
                </c:pt>
                <c:pt idx="31">
                  <c:v>0.44856720411180734</c:v>
                </c:pt>
                <c:pt idx="32">
                  <c:v>0.33992949847780807</c:v>
                </c:pt>
                <c:pt idx="33">
                  <c:v>0.42271871594174182</c:v>
                </c:pt>
                <c:pt idx="34">
                  <c:v>0.4208506763787721</c:v>
                </c:pt>
                <c:pt idx="35">
                  <c:v>0.32565635255508674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616-4E2C-9343-A71B79994B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8815"/>
        <c:axId val="53519295"/>
      </c:scatterChart>
      <c:valAx>
        <c:axId val="5351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9295"/>
        <c:crosses val="autoZero"/>
        <c:crossBetween val="midCat"/>
      </c:valAx>
      <c:valAx>
        <c:axId val="5351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PN% vs Indian% NS PRN2023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1932655293088364"/>
                  <c:y val="-0.3242355643044619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VotingWorksheet!$D$160:$D$195</c:f>
              <c:numCache>
                <c:formatCode>0.0%</c:formatCode>
                <c:ptCount val="36"/>
                <c:pt idx="0">
                  <c:v>2.054418029407723E-2</c:v>
                </c:pt>
                <c:pt idx="1">
                  <c:v>6.6759711560828106E-2</c:v>
                </c:pt>
                <c:pt idx="2">
                  <c:v>8.6162525982381472E-2</c:v>
                </c:pt>
                <c:pt idx="3">
                  <c:v>3.8593025905948493E-2</c:v>
                </c:pt>
                <c:pt idx="4">
                  <c:v>8.6934988608974154E-2</c:v>
                </c:pt>
                <c:pt idx="5">
                  <c:v>5.8440452881586787E-2</c:v>
                </c:pt>
                <c:pt idx="6">
                  <c:v>0.33639480773940728</c:v>
                </c:pt>
                <c:pt idx="7">
                  <c:v>0.10594124723504987</c:v>
                </c:pt>
                <c:pt idx="8">
                  <c:v>5.3238881180165044E-2</c:v>
                </c:pt>
                <c:pt idx="9">
                  <c:v>0.21637260481881995</c:v>
                </c:pt>
                <c:pt idx="10">
                  <c:v>0.21536670547147846</c:v>
                </c:pt>
                <c:pt idx="11">
                  <c:v>0.14841421474971342</c:v>
                </c:pt>
                <c:pt idx="12">
                  <c:v>7.9553535540920761E-2</c:v>
                </c:pt>
                <c:pt idx="13">
                  <c:v>8.479420731707317E-2</c:v>
                </c:pt>
                <c:pt idx="14">
                  <c:v>5.3997613365155128E-2</c:v>
                </c:pt>
                <c:pt idx="15">
                  <c:v>3.5838725734196118E-3</c:v>
                </c:pt>
                <c:pt idx="16">
                  <c:v>3.611167307303257E-2</c:v>
                </c:pt>
                <c:pt idx="17">
                  <c:v>8.7836310196699074E-2</c:v>
                </c:pt>
                <c:pt idx="18">
                  <c:v>5.2058799642654106E-2</c:v>
                </c:pt>
                <c:pt idx="19">
                  <c:v>0.13875582387295754</c:v>
                </c:pt>
                <c:pt idx="20">
                  <c:v>0.22193860996344286</c:v>
                </c:pt>
                <c:pt idx="21">
                  <c:v>0.22589436131206025</c:v>
                </c:pt>
                <c:pt idx="22">
                  <c:v>0.25697706548770377</c:v>
                </c:pt>
                <c:pt idx="23">
                  <c:v>0.27209662434190152</c:v>
                </c:pt>
                <c:pt idx="24">
                  <c:v>0.14947944122298365</c:v>
                </c:pt>
                <c:pt idx="25">
                  <c:v>9.9941463414634141E-2</c:v>
                </c:pt>
                <c:pt idx="26">
                  <c:v>0.27421708726056554</c:v>
                </c:pt>
                <c:pt idx="27">
                  <c:v>5.1665657177468204E-2</c:v>
                </c:pt>
                <c:pt idx="28">
                  <c:v>0.21424312686319974</c:v>
                </c:pt>
                <c:pt idx="29">
                  <c:v>0.2619562784451242</c:v>
                </c:pt>
                <c:pt idx="30">
                  <c:v>9.982007916516733E-2</c:v>
                </c:pt>
                <c:pt idx="31">
                  <c:v>0.17621762659451101</c:v>
                </c:pt>
                <c:pt idx="32">
                  <c:v>0.28083989501312334</c:v>
                </c:pt>
                <c:pt idx="33">
                  <c:v>4.8401241230437132E-2</c:v>
                </c:pt>
                <c:pt idx="34">
                  <c:v>0.15165433704576864</c:v>
                </c:pt>
                <c:pt idx="35">
                  <c:v>0.17600058642427796</c:v>
                </c:pt>
              </c:numCache>
            </c:numRef>
          </c:xVal>
          <c:yVal>
            <c:numRef>
              <c:f>VotingWorksheet!$F$160:$F$195</c:f>
              <c:numCache>
                <c:formatCode>0.0%</c:formatCode>
                <c:ptCount val="36"/>
                <c:pt idx="0">
                  <c:v>0.38512949039264827</c:v>
                </c:pt>
                <c:pt idx="1">
                  <c:v>0.3354564755838641</c:v>
                </c:pt>
                <c:pt idx="2">
                  <c:v>0.47995203477478826</c:v>
                </c:pt>
                <c:pt idx="3">
                  <c:v>0.44762328843370813</c:v>
                </c:pt>
                <c:pt idx="4">
                  <c:v>0.52130832617157874</c:v>
                </c:pt>
                <c:pt idx="5">
                  <c:v>0.48158788195351265</c:v>
                </c:pt>
                <c:pt idx="6">
                  <c:v>0.46613234287948391</c:v>
                </c:pt>
                <c:pt idx="7">
                  <c:v>0.22824822236586942</c:v>
                </c:pt>
                <c:pt idx="8">
                  <c:v>0.47249861104096169</c:v>
                </c:pt>
                <c:pt idx="9">
                  <c:v>0.28561529933481156</c:v>
                </c:pt>
                <c:pt idx="10">
                  <c:v>5.6081525312294545E-2</c:v>
                </c:pt>
                <c:pt idx="11">
                  <c:v>0.29381672597864766</c:v>
                </c:pt>
                <c:pt idx="12">
                  <c:v>0.43359173126614986</c:v>
                </c:pt>
                <c:pt idx="13">
                  <c:v>0.38531430878987749</c:v>
                </c:pt>
                <c:pt idx="14">
                  <c:v>0.49567627494456762</c:v>
                </c:pt>
                <c:pt idx="15">
                  <c:v>0.47376630743051618</c:v>
                </c:pt>
                <c:pt idx="16">
                  <c:v>0.45122310639552021</c:v>
                </c:pt>
                <c:pt idx="17">
                  <c:v>0.45252969643642765</c:v>
                </c:pt>
                <c:pt idx="18">
                  <c:v>0.373066314905864</c:v>
                </c:pt>
                <c:pt idx="19">
                  <c:v>0.53781938935522555</c:v>
                </c:pt>
                <c:pt idx="20">
                  <c:v>0.16209124602315589</c:v>
                </c:pt>
                <c:pt idx="21">
                  <c:v>0.25826819001803969</c:v>
                </c:pt>
                <c:pt idx="22">
                  <c:v>0.10875084192528885</c:v>
                </c:pt>
                <c:pt idx="23">
                  <c:v>0.20398937409703127</c:v>
                </c:pt>
                <c:pt idx="24">
                  <c:v>0.55332482302425434</c:v>
                </c:pt>
                <c:pt idx="25">
                  <c:v>0.38082146588222354</c:v>
                </c:pt>
                <c:pt idx="26">
                  <c:v>0.2825167132097825</c:v>
                </c:pt>
                <c:pt idx="27">
                  <c:v>0.49418253899853487</c:v>
                </c:pt>
                <c:pt idx="28">
                  <c:v>0.18654190722675693</c:v>
                </c:pt>
                <c:pt idx="29">
                  <c:v>0.20635104595236717</c:v>
                </c:pt>
                <c:pt idx="30">
                  <c:v>0.59301694178974806</c:v>
                </c:pt>
                <c:pt idx="31">
                  <c:v>0.44856720411180734</c:v>
                </c:pt>
                <c:pt idx="32">
                  <c:v>0.33992949847780807</c:v>
                </c:pt>
                <c:pt idx="33">
                  <c:v>0.42271871594174182</c:v>
                </c:pt>
                <c:pt idx="34">
                  <c:v>0.4208506763787721</c:v>
                </c:pt>
                <c:pt idx="35">
                  <c:v>0.32565635255508674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74F-4687-A075-C1B0B42E3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518815"/>
        <c:axId val="53519295"/>
      </c:scatterChart>
      <c:valAx>
        <c:axId val="535188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9295"/>
        <c:crosses val="autoZero"/>
        <c:crossBetween val="midCat"/>
      </c:valAx>
      <c:valAx>
        <c:axId val="53519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51881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0.xml"/><Relationship Id="rId3" Type="http://schemas.openxmlformats.org/officeDocument/2006/relationships/chart" Target="../charts/chart15.xml"/><Relationship Id="rId7" Type="http://schemas.openxmlformats.org/officeDocument/2006/relationships/chart" Target="../charts/chart19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10" Type="http://schemas.openxmlformats.org/officeDocument/2006/relationships/chart" Target="../charts/chart22.xml"/><Relationship Id="rId4" Type="http://schemas.openxmlformats.org/officeDocument/2006/relationships/chart" Target="../charts/chart16.xml"/><Relationship Id="rId9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38100</xdr:colOff>
      <xdr:row>1</xdr:row>
      <xdr:rowOff>19050</xdr:rowOff>
    </xdr:from>
    <xdr:to>
      <xdr:col>16</xdr:col>
      <xdr:colOff>342900</xdr:colOff>
      <xdr:row>16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B27D75-3DEE-B95F-10E3-6A94F0E8F9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76200</xdr:colOff>
      <xdr:row>16</xdr:row>
      <xdr:rowOff>121920</xdr:rowOff>
    </xdr:from>
    <xdr:to>
      <xdr:col>16</xdr:col>
      <xdr:colOff>381000</xdr:colOff>
      <xdr:row>31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16F9530-A0DD-4FA9-B548-02D1B74EC65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0</xdr:colOff>
      <xdr:row>33</xdr:row>
      <xdr:rowOff>0</xdr:rowOff>
    </xdr:from>
    <xdr:to>
      <xdr:col>16</xdr:col>
      <xdr:colOff>304800</xdr:colOff>
      <xdr:row>48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A48043-5264-4B2A-9489-6CCC2C35EC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563880</xdr:colOff>
      <xdr:row>50</xdr:row>
      <xdr:rowOff>19050</xdr:rowOff>
    </xdr:from>
    <xdr:to>
      <xdr:col>16</xdr:col>
      <xdr:colOff>259080</xdr:colOff>
      <xdr:row>65</xdr:row>
      <xdr:rowOff>19050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89C0DA8-DCDF-6769-EB17-F3F0669058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0</xdr:colOff>
      <xdr:row>66</xdr:row>
      <xdr:rowOff>0</xdr:rowOff>
    </xdr:from>
    <xdr:to>
      <xdr:col>16</xdr:col>
      <xdr:colOff>304800</xdr:colOff>
      <xdr:row>81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89405D5-318C-43CD-B30D-6C12B8ED5C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0</xdr:colOff>
      <xdr:row>82</xdr:row>
      <xdr:rowOff>0</xdr:rowOff>
    </xdr:from>
    <xdr:to>
      <xdr:col>16</xdr:col>
      <xdr:colOff>304800</xdr:colOff>
      <xdr:row>97</xdr:row>
      <xdr:rowOff>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CE256B2-2972-4835-840A-BBFC76403D2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9</xdr:col>
      <xdr:colOff>7620</xdr:colOff>
      <xdr:row>98</xdr:row>
      <xdr:rowOff>49530</xdr:rowOff>
    </xdr:from>
    <xdr:to>
      <xdr:col>16</xdr:col>
      <xdr:colOff>312420</xdr:colOff>
      <xdr:row>113</xdr:row>
      <xdr:rowOff>49530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5E4BB638-9367-1485-FA6B-3A5CCD11D1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9</xdr:col>
      <xdr:colOff>0</xdr:colOff>
      <xdr:row>114</xdr:row>
      <xdr:rowOff>0</xdr:rowOff>
    </xdr:from>
    <xdr:to>
      <xdr:col>16</xdr:col>
      <xdr:colOff>304800</xdr:colOff>
      <xdr:row>129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6390B5F5-2BA4-4476-8D76-FEF67CE7B7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9</xdr:col>
      <xdr:colOff>0</xdr:colOff>
      <xdr:row>130</xdr:row>
      <xdr:rowOff>0</xdr:rowOff>
    </xdr:from>
    <xdr:to>
      <xdr:col>16</xdr:col>
      <xdr:colOff>304800</xdr:colOff>
      <xdr:row>145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2FEEB819-447B-404C-8CC2-D276E07C73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8</xdr:col>
      <xdr:colOff>373380</xdr:colOff>
      <xdr:row>155</xdr:row>
      <xdr:rowOff>102870</xdr:rowOff>
    </xdr:from>
    <xdr:to>
      <xdr:col>16</xdr:col>
      <xdr:colOff>68580</xdr:colOff>
      <xdr:row>170</xdr:row>
      <xdr:rowOff>102870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F71B3044-DA20-D415-77CC-D99F7E116F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8</xdr:col>
      <xdr:colOff>381000</xdr:colOff>
      <xdr:row>172</xdr:row>
      <xdr:rowOff>0</xdr:rowOff>
    </xdr:from>
    <xdr:to>
      <xdr:col>16</xdr:col>
      <xdr:colOff>76200</xdr:colOff>
      <xdr:row>187</xdr:row>
      <xdr:rowOff>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B4D7B14-B223-4FA9-BEB9-E849FA2327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8</xdr:col>
      <xdr:colOff>381000</xdr:colOff>
      <xdr:row>189</xdr:row>
      <xdr:rowOff>7620</xdr:rowOff>
    </xdr:from>
    <xdr:to>
      <xdr:col>16</xdr:col>
      <xdr:colOff>76200</xdr:colOff>
      <xdr:row>204</xdr:row>
      <xdr:rowOff>7620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242794F3-9E8E-4296-B789-1B2B5516D8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502920</xdr:colOff>
      <xdr:row>1</xdr:row>
      <xdr:rowOff>80010</xdr:rowOff>
    </xdr:from>
    <xdr:to>
      <xdr:col>15</xdr:col>
      <xdr:colOff>198120</xdr:colOff>
      <xdr:row>16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86FB18-E7BC-3469-05DB-394070F7E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18</xdr:row>
      <xdr:rowOff>0</xdr:rowOff>
    </xdr:from>
    <xdr:to>
      <xdr:col>15</xdr:col>
      <xdr:colOff>304800</xdr:colOff>
      <xdr:row>33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C44E53E-6434-4C54-BFA4-86FACD4B4F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0</xdr:colOff>
      <xdr:row>34</xdr:row>
      <xdr:rowOff>0</xdr:rowOff>
    </xdr:from>
    <xdr:to>
      <xdr:col>15</xdr:col>
      <xdr:colOff>304800</xdr:colOff>
      <xdr:row>49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C897B6-EC0C-4242-B198-FC948CA1FEA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358140</xdr:colOff>
      <xdr:row>50</xdr:row>
      <xdr:rowOff>26670</xdr:rowOff>
    </xdr:from>
    <xdr:to>
      <xdr:col>15</xdr:col>
      <xdr:colOff>53340</xdr:colOff>
      <xdr:row>65</xdr:row>
      <xdr:rowOff>26670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8E4804F-0725-A4C9-82AC-F45CC1EFD3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426720</xdr:colOff>
      <xdr:row>67</xdr:row>
      <xdr:rowOff>0</xdr:rowOff>
    </xdr:from>
    <xdr:to>
      <xdr:col>15</xdr:col>
      <xdr:colOff>121920</xdr:colOff>
      <xdr:row>82</xdr:row>
      <xdr:rowOff>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2EC7AF6-37F4-48DE-A676-76194F3FCA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441960</xdr:colOff>
      <xdr:row>83</xdr:row>
      <xdr:rowOff>15240</xdr:rowOff>
    </xdr:from>
    <xdr:to>
      <xdr:col>15</xdr:col>
      <xdr:colOff>137160</xdr:colOff>
      <xdr:row>98</xdr:row>
      <xdr:rowOff>15240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36DFFB8F-9538-4C37-9794-7A1070DF04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373380</xdr:colOff>
      <xdr:row>99</xdr:row>
      <xdr:rowOff>102870</xdr:rowOff>
    </xdr:from>
    <xdr:to>
      <xdr:col>15</xdr:col>
      <xdr:colOff>68580</xdr:colOff>
      <xdr:row>114</xdr:row>
      <xdr:rowOff>102870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EB300AB5-CAEC-182D-AE88-9A308A7079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152400</xdr:colOff>
      <xdr:row>160</xdr:row>
      <xdr:rowOff>11430</xdr:rowOff>
    </xdr:from>
    <xdr:to>
      <xdr:col>14</xdr:col>
      <xdr:colOff>457200</xdr:colOff>
      <xdr:row>175</xdr:row>
      <xdr:rowOff>11430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DE83F2A-4046-5DAD-E926-E60F8CB133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7</xdr:col>
      <xdr:colOff>0</xdr:colOff>
      <xdr:row>176</xdr:row>
      <xdr:rowOff>0</xdr:rowOff>
    </xdr:from>
    <xdr:to>
      <xdr:col>14</xdr:col>
      <xdr:colOff>304800</xdr:colOff>
      <xdr:row>191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BB206ACF-01C9-43F8-87D3-D4702051F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7</xdr:col>
      <xdr:colOff>0</xdr:colOff>
      <xdr:row>193</xdr:row>
      <xdr:rowOff>0</xdr:rowOff>
    </xdr:from>
    <xdr:to>
      <xdr:col>14</xdr:col>
      <xdr:colOff>304800</xdr:colOff>
      <xdr:row>208</xdr:row>
      <xdr:rowOff>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2CE95368-0D26-4CC0-9B65-7406A6D3B9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DB9DB-EB94-454F-8951-C7C0793FBB26}">
  <dimension ref="A1:K571"/>
  <sheetViews>
    <sheetView workbookViewId="0">
      <pane xSplit="3" ySplit="1" topLeftCell="F400" activePane="bottomRight" state="frozen"/>
      <selection pane="topRight" activeCell="D1" sqref="D1"/>
      <selection pane="bottomLeft" activeCell="A2" sqref="A2"/>
      <selection pane="bottomRight" activeCell="F410" sqref="F410"/>
    </sheetView>
  </sheetViews>
  <sheetFormatPr defaultColWidth="8.90625" defaultRowHeight="13" x14ac:dyDescent="0.3"/>
  <cols>
    <col min="1" max="1" width="14.1796875" style="5" bestFit="1" customWidth="1"/>
    <col min="2" max="2" width="23.453125" style="5" bestFit="1" customWidth="1"/>
    <col min="3" max="3" width="22.54296875" style="5" bestFit="1" customWidth="1"/>
    <col min="4" max="4" width="11.08984375" style="5" bestFit="1" customWidth="1"/>
    <col min="5" max="5" width="51.1796875" style="5" bestFit="1" customWidth="1"/>
    <col min="6" max="6" width="46" style="5" bestFit="1" customWidth="1"/>
    <col min="7" max="7" width="29.08984375" style="5" bestFit="1" customWidth="1"/>
    <col min="8" max="8" width="8.08984375" style="5" bestFit="1" customWidth="1"/>
    <col min="9" max="9" width="3.90625" style="5" bestFit="1" customWidth="1"/>
    <col min="10" max="10" width="6.6328125" style="5" bestFit="1" customWidth="1"/>
    <col min="11" max="11" width="8" style="5" bestFit="1" customWidth="1"/>
    <col min="12" max="16384" width="8.90625" style="5"/>
  </cols>
  <sheetData>
    <row r="1" spans="1:11" x14ac:dyDescent="0.3">
      <c r="A1" s="4" t="s">
        <v>0</v>
      </c>
      <c r="B1" s="4" t="s">
        <v>1408</v>
      </c>
      <c r="C1" s="4" t="s">
        <v>1409</v>
      </c>
      <c r="D1" s="4" t="s">
        <v>53</v>
      </c>
      <c r="E1" s="4" t="s">
        <v>1410</v>
      </c>
      <c r="F1" s="4" t="s">
        <v>1401</v>
      </c>
      <c r="G1" s="4" t="s">
        <v>1411</v>
      </c>
      <c r="H1" s="4" t="s">
        <v>1400</v>
      </c>
      <c r="I1" s="4" t="s">
        <v>1402</v>
      </c>
      <c r="J1" s="4" t="s">
        <v>1403</v>
      </c>
      <c r="K1" s="4" t="s">
        <v>1404</v>
      </c>
    </row>
    <row r="2" spans="1:11" x14ac:dyDescent="0.3">
      <c r="A2" s="4" t="s">
        <v>54</v>
      </c>
      <c r="B2" s="4" t="s">
        <v>55</v>
      </c>
      <c r="C2" s="4" t="s">
        <v>56</v>
      </c>
      <c r="D2" s="4">
        <v>1</v>
      </c>
      <c r="E2" s="4" t="s">
        <v>57</v>
      </c>
      <c r="F2" s="4" t="s">
        <v>57</v>
      </c>
      <c r="G2" s="4" t="s">
        <v>58</v>
      </c>
      <c r="H2" s="4" t="s">
        <v>59</v>
      </c>
      <c r="I2" s="4">
        <v>50</v>
      </c>
      <c r="J2" s="4" t="s">
        <v>60</v>
      </c>
      <c r="K2" s="4" t="s">
        <v>61</v>
      </c>
    </row>
    <row r="3" spans="1:11" x14ac:dyDescent="0.3">
      <c r="A3" s="4" t="s">
        <v>54</v>
      </c>
      <c r="B3" s="4" t="s">
        <v>55</v>
      </c>
      <c r="C3" s="4" t="s">
        <v>56</v>
      </c>
      <c r="D3" s="4">
        <v>2</v>
      </c>
      <c r="E3" s="4" t="s">
        <v>62</v>
      </c>
      <c r="F3" s="4" t="s">
        <v>63</v>
      </c>
      <c r="G3" s="4" t="s">
        <v>64</v>
      </c>
      <c r="H3" s="4" t="s">
        <v>64</v>
      </c>
      <c r="I3" s="4">
        <v>35</v>
      </c>
      <c r="J3" s="4" t="s">
        <v>65</v>
      </c>
      <c r="K3" s="4" t="s">
        <v>61</v>
      </c>
    </row>
    <row r="4" spans="1:11" x14ac:dyDescent="0.3">
      <c r="A4" s="4" t="s">
        <v>54</v>
      </c>
      <c r="B4" s="4" t="s">
        <v>55</v>
      </c>
      <c r="C4" s="4" t="s">
        <v>56</v>
      </c>
      <c r="D4" s="4">
        <v>3</v>
      </c>
      <c r="E4" s="4" t="s">
        <v>66</v>
      </c>
      <c r="F4" s="4" t="s">
        <v>66</v>
      </c>
      <c r="G4" s="4" t="s">
        <v>67</v>
      </c>
      <c r="H4" s="4" t="s">
        <v>68</v>
      </c>
      <c r="I4" s="4">
        <v>47</v>
      </c>
      <c r="J4" s="4" t="s">
        <v>60</v>
      </c>
      <c r="K4" s="4" t="s">
        <v>61</v>
      </c>
    </row>
    <row r="5" spans="1:11" x14ac:dyDescent="0.3">
      <c r="A5" s="4" t="s">
        <v>54</v>
      </c>
      <c r="B5" s="4" t="s">
        <v>55</v>
      </c>
      <c r="C5" s="4" t="s">
        <v>56</v>
      </c>
      <c r="D5" s="4">
        <v>4</v>
      </c>
      <c r="E5" s="4" t="s">
        <v>69</v>
      </c>
      <c r="F5" s="4" t="s">
        <v>69</v>
      </c>
      <c r="G5" s="4" t="s">
        <v>64</v>
      </c>
      <c r="H5" s="4" t="s">
        <v>64</v>
      </c>
      <c r="I5" s="4">
        <v>39</v>
      </c>
      <c r="J5" s="4" t="s">
        <v>65</v>
      </c>
      <c r="K5" s="4" t="s">
        <v>61</v>
      </c>
    </row>
    <row r="6" spans="1:11" x14ac:dyDescent="0.3">
      <c r="A6" s="4" t="s">
        <v>54</v>
      </c>
      <c r="B6" s="4" t="s">
        <v>55</v>
      </c>
      <c r="C6" s="4" t="s">
        <v>70</v>
      </c>
      <c r="D6" s="4">
        <v>1</v>
      </c>
      <c r="E6" s="4" t="s">
        <v>71</v>
      </c>
      <c r="F6" s="4" t="s">
        <v>71</v>
      </c>
      <c r="G6" s="4" t="s">
        <v>58</v>
      </c>
      <c r="H6" s="4" t="s">
        <v>59</v>
      </c>
      <c r="I6" s="4">
        <v>33</v>
      </c>
      <c r="J6" s="4" t="s">
        <v>65</v>
      </c>
      <c r="K6" s="4" t="s">
        <v>61</v>
      </c>
    </row>
    <row r="7" spans="1:11" x14ac:dyDescent="0.3">
      <c r="A7" s="4" t="s">
        <v>54</v>
      </c>
      <c r="B7" s="4" t="s">
        <v>55</v>
      </c>
      <c r="C7" s="4" t="s">
        <v>70</v>
      </c>
      <c r="D7" s="4">
        <v>2</v>
      </c>
      <c r="E7" s="4" t="s">
        <v>72</v>
      </c>
      <c r="F7" s="4" t="s">
        <v>72</v>
      </c>
      <c r="G7" s="4" t="s">
        <v>73</v>
      </c>
      <c r="H7" s="4" t="s">
        <v>74</v>
      </c>
      <c r="I7" s="4">
        <v>64</v>
      </c>
      <c r="J7" s="4" t="s">
        <v>65</v>
      </c>
      <c r="K7" s="4" t="s">
        <v>61</v>
      </c>
    </row>
    <row r="8" spans="1:11" x14ac:dyDescent="0.3">
      <c r="A8" s="4" t="s">
        <v>54</v>
      </c>
      <c r="B8" s="4" t="s">
        <v>55</v>
      </c>
      <c r="C8" s="4" t="s">
        <v>70</v>
      </c>
      <c r="D8" s="4">
        <v>3</v>
      </c>
      <c r="E8" s="4" t="s">
        <v>75</v>
      </c>
      <c r="F8" s="4" t="s">
        <v>75</v>
      </c>
      <c r="G8" s="4" t="s">
        <v>64</v>
      </c>
      <c r="H8" s="4" t="s">
        <v>64</v>
      </c>
      <c r="I8" s="4">
        <v>68</v>
      </c>
      <c r="J8" s="4" t="s">
        <v>65</v>
      </c>
      <c r="K8" s="4" t="s">
        <v>61</v>
      </c>
    </row>
    <row r="9" spans="1:11" x14ac:dyDescent="0.3">
      <c r="A9" s="4" t="s">
        <v>54</v>
      </c>
      <c r="B9" s="4" t="s">
        <v>76</v>
      </c>
      <c r="C9" s="4" t="s">
        <v>77</v>
      </c>
      <c r="D9" s="4">
        <v>1</v>
      </c>
      <c r="E9" s="4" t="s">
        <v>78</v>
      </c>
      <c r="F9" s="4" t="s">
        <v>79</v>
      </c>
      <c r="G9" s="4" t="s">
        <v>58</v>
      </c>
      <c r="H9" s="4" t="s">
        <v>59</v>
      </c>
      <c r="I9" s="4">
        <v>38</v>
      </c>
      <c r="J9" s="4" t="s">
        <v>65</v>
      </c>
      <c r="K9" s="4" t="s">
        <v>61</v>
      </c>
    </row>
    <row r="10" spans="1:11" x14ac:dyDescent="0.3">
      <c r="A10" s="4" t="s">
        <v>54</v>
      </c>
      <c r="B10" s="4" t="s">
        <v>76</v>
      </c>
      <c r="C10" s="4" t="s">
        <v>77</v>
      </c>
      <c r="D10" s="4">
        <v>2</v>
      </c>
      <c r="E10" s="4" t="s">
        <v>80</v>
      </c>
      <c r="F10" s="4" t="s">
        <v>81</v>
      </c>
      <c r="G10" s="4" t="s">
        <v>73</v>
      </c>
      <c r="H10" s="4" t="s">
        <v>74</v>
      </c>
      <c r="I10" s="4">
        <v>58</v>
      </c>
      <c r="J10" s="4" t="s">
        <v>60</v>
      </c>
      <c r="K10" s="4" t="s">
        <v>61</v>
      </c>
    </row>
    <row r="11" spans="1:11" x14ac:dyDescent="0.3">
      <c r="A11" s="4" t="s">
        <v>54</v>
      </c>
      <c r="B11" s="4" t="s">
        <v>76</v>
      </c>
      <c r="C11" s="4" t="s">
        <v>77</v>
      </c>
      <c r="D11" s="4">
        <v>3</v>
      </c>
      <c r="E11" s="4" t="s">
        <v>82</v>
      </c>
      <c r="F11" s="4" t="s">
        <v>83</v>
      </c>
      <c r="G11" s="4" t="s">
        <v>64</v>
      </c>
      <c r="H11" s="4" t="s">
        <v>64</v>
      </c>
      <c r="I11" s="4">
        <v>54</v>
      </c>
      <c r="J11" s="4" t="s">
        <v>65</v>
      </c>
      <c r="K11" s="4" t="s">
        <v>61</v>
      </c>
    </row>
    <row r="12" spans="1:11" x14ac:dyDescent="0.3">
      <c r="A12" s="4" t="s">
        <v>54</v>
      </c>
      <c r="B12" s="4" t="s">
        <v>76</v>
      </c>
      <c r="C12" s="4" t="s">
        <v>84</v>
      </c>
      <c r="D12" s="4">
        <v>1</v>
      </c>
      <c r="E12" s="4" t="s">
        <v>85</v>
      </c>
      <c r="F12" s="4" t="s">
        <v>85</v>
      </c>
      <c r="G12" s="4" t="s">
        <v>67</v>
      </c>
      <c r="H12" s="4" t="s">
        <v>68</v>
      </c>
      <c r="I12" s="4">
        <v>45</v>
      </c>
      <c r="J12" s="4" t="s">
        <v>65</v>
      </c>
      <c r="K12" s="4" t="s">
        <v>61</v>
      </c>
    </row>
    <row r="13" spans="1:11" x14ac:dyDescent="0.3">
      <c r="A13" s="4" t="s">
        <v>54</v>
      </c>
      <c r="B13" s="4" t="s">
        <v>76</v>
      </c>
      <c r="C13" s="4" t="s">
        <v>84</v>
      </c>
      <c r="D13" s="4">
        <v>2</v>
      </c>
      <c r="E13" s="4" t="s">
        <v>86</v>
      </c>
      <c r="F13" s="4" t="s">
        <v>87</v>
      </c>
      <c r="G13" s="4" t="s">
        <v>58</v>
      </c>
      <c r="H13" s="4" t="s">
        <v>59</v>
      </c>
      <c r="I13" s="4">
        <v>61</v>
      </c>
      <c r="J13" s="4" t="s">
        <v>65</v>
      </c>
      <c r="K13" s="4" t="s">
        <v>61</v>
      </c>
    </row>
    <row r="14" spans="1:11" x14ac:dyDescent="0.3">
      <c r="A14" s="4" t="s">
        <v>54</v>
      </c>
      <c r="B14" s="4" t="s">
        <v>88</v>
      </c>
      <c r="C14" s="4" t="s">
        <v>89</v>
      </c>
      <c r="D14" s="4">
        <v>1</v>
      </c>
      <c r="E14" s="4" t="s">
        <v>90</v>
      </c>
      <c r="F14" s="4" t="s">
        <v>91</v>
      </c>
      <c r="G14" s="4" t="s">
        <v>58</v>
      </c>
      <c r="H14" s="4" t="s">
        <v>59</v>
      </c>
      <c r="I14" s="4">
        <v>55</v>
      </c>
      <c r="J14" s="4" t="s">
        <v>60</v>
      </c>
      <c r="K14" s="4" t="s">
        <v>61</v>
      </c>
    </row>
    <row r="15" spans="1:11" x14ac:dyDescent="0.3">
      <c r="A15" s="4" t="s">
        <v>54</v>
      </c>
      <c r="B15" s="4" t="s">
        <v>88</v>
      </c>
      <c r="C15" s="4" t="s">
        <v>89</v>
      </c>
      <c r="D15" s="4">
        <v>2</v>
      </c>
      <c r="E15" s="4" t="s">
        <v>92</v>
      </c>
      <c r="F15" s="4" t="s">
        <v>93</v>
      </c>
      <c r="G15" s="4" t="s">
        <v>67</v>
      </c>
      <c r="H15" s="4" t="s">
        <v>68</v>
      </c>
      <c r="I15" s="4">
        <v>66</v>
      </c>
      <c r="J15" s="4" t="s">
        <v>65</v>
      </c>
      <c r="K15" s="4" t="s">
        <v>61</v>
      </c>
    </row>
    <row r="16" spans="1:11" x14ac:dyDescent="0.3">
      <c r="A16" s="4" t="s">
        <v>54</v>
      </c>
      <c r="B16" s="4" t="s">
        <v>88</v>
      </c>
      <c r="C16" s="4" t="s">
        <v>94</v>
      </c>
      <c r="D16" s="4">
        <v>1</v>
      </c>
      <c r="E16" s="4" t="s">
        <v>95</v>
      </c>
      <c r="F16" s="4" t="s">
        <v>96</v>
      </c>
      <c r="G16" s="4" t="s">
        <v>73</v>
      </c>
      <c r="H16" s="4" t="s">
        <v>74</v>
      </c>
      <c r="I16" s="4">
        <v>46</v>
      </c>
      <c r="J16" s="4" t="s">
        <v>60</v>
      </c>
      <c r="K16" s="4" t="s">
        <v>61</v>
      </c>
    </row>
    <row r="17" spans="1:11" x14ac:dyDescent="0.3">
      <c r="A17" s="4" t="s">
        <v>54</v>
      </c>
      <c r="B17" s="4" t="s">
        <v>88</v>
      </c>
      <c r="C17" s="4" t="s">
        <v>94</v>
      </c>
      <c r="D17" s="4">
        <v>2</v>
      </c>
      <c r="E17" s="4" t="s">
        <v>97</v>
      </c>
      <c r="F17" s="4" t="s">
        <v>98</v>
      </c>
      <c r="G17" s="4" t="s">
        <v>58</v>
      </c>
      <c r="H17" s="4" t="s">
        <v>59</v>
      </c>
      <c r="I17" s="4">
        <v>51</v>
      </c>
      <c r="J17" s="4" t="s">
        <v>65</v>
      </c>
      <c r="K17" s="4" t="s">
        <v>61</v>
      </c>
    </row>
    <row r="18" spans="1:11" x14ac:dyDescent="0.3">
      <c r="A18" s="4" t="s">
        <v>54</v>
      </c>
      <c r="B18" s="4" t="s">
        <v>99</v>
      </c>
      <c r="C18" s="4" t="s">
        <v>100</v>
      </c>
      <c r="D18" s="4">
        <v>1</v>
      </c>
      <c r="E18" s="4" t="s">
        <v>101</v>
      </c>
      <c r="F18" s="4" t="s">
        <v>102</v>
      </c>
      <c r="G18" s="4" t="s">
        <v>73</v>
      </c>
      <c r="H18" s="4" t="s">
        <v>74</v>
      </c>
      <c r="I18" s="4">
        <v>48</v>
      </c>
      <c r="J18" s="4" t="s">
        <v>65</v>
      </c>
      <c r="K18" s="4" t="s">
        <v>61</v>
      </c>
    </row>
    <row r="19" spans="1:11" x14ac:dyDescent="0.3">
      <c r="A19" s="4" t="s">
        <v>54</v>
      </c>
      <c r="B19" s="4" t="s">
        <v>99</v>
      </c>
      <c r="C19" s="4" t="s">
        <v>100</v>
      </c>
      <c r="D19" s="4">
        <v>2</v>
      </c>
      <c r="E19" s="4" t="s">
        <v>103</v>
      </c>
      <c r="F19" s="4" t="s">
        <v>104</v>
      </c>
      <c r="G19" s="4" t="s">
        <v>58</v>
      </c>
      <c r="H19" s="4" t="s">
        <v>59</v>
      </c>
      <c r="I19" s="4">
        <v>60</v>
      </c>
      <c r="J19" s="4" t="s">
        <v>65</v>
      </c>
      <c r="K19" s="4" t="s">
        <v>61</v>
      </c>
    </row>
    <row r="20" spans="1:11" x14ac:dyDescent="0.3">
      <c r="A20" s="4" t="s">
        <v>54</v>
      </c>
      <c r="B20" s="4" t="s">
        <v>99</v>
      </c>
      <c r="C20" s="4" t="s">
        <v>105</v>
      </c>
      <c r="D20" s="4">
        <v>1</v>
      </c>
      <c r="E20" s="4" t="s">
        <v>106</v>
      </c>
      <c r="F20" s="4" t="s">
        <v>106</v>
      </c>
      <c r="G20" s="4" t="s">
        <v>58</v>
      </c>
      <c r="H20" s="4" t="s">
        <v>59</v>
      </c>
      <c r="I20" s="4">
        <v>54</v>
      </c>
      <c r="J20" s="4" t="s">
        <v>65</v>
      </c>
      <c r="K20" s="4" t="s">
        <v>61</v>
      </c>
    </row>
    <row r="21" spans="1:11" x14ac:dyDescent="0.3">
      <c r="A21" s="4" t="s">
        <v>54</v>
      </c>
      <c r="B21" s="4" t="s">
        <v>99</v>
      </c>
      <c r="C21" s="4" t="s">
        <v>105</v>
      </c>
      <c r="D21" s="4">
        <v>2</v>
      </c>
      <c r="E21" s="4" t="s">
        <v>107</v>
      </c>
      <c r="F21" s="4" t="s">
        <v>107</v>
      </c>
      <c r="G21" s="4" t="s">
        <v>67</v>
      </c>
      <c r="H21" s="4" t="s">
        <v>68</v>
      </c>
      <c r="I21" s="4">
        <v>64</v>
      </c>
      <c r="J21" s="4" t="s">
        <v>65</v>
      </c>
      <c r="K21" s="4" t="s">
        <v>61</v>
      </c>
    </row>
    <row r="22" spans="1:11" x14ac:dyDescent="0.3">
      <c r="A22" s="4" t="s">
        <v>54</v>
      </c>
      <c r="B22" s="4" t="s">
        <v>108</v>
      </c>
      <c r="C22" s="4" t="s">
        <v>109</v>
      </c>
      <c r="D22" s="4">
        <v>1</v>
      </c>
      <c r="E22" s="4" t="s">
        <v>110</v>
      </c>
      <c r="F22" s="4" t="s">
        <v>111</v>
      </c>
      <c r="G22" s="4" t="s">
        <v>67</v>
      </c>
      <c r="H22" s="4" t="s">
        <v>68</v>
      </c>
      <c r="I22" s="4">
        <v>68</v>
      </c>
      <c r="J22" s="4" t="s">
        <v>65</v>
      </c>
      <c r="K22" s="4" t="s">
        <v>61</v>
      </c>
    </row>
    <row r="23" spans="1:11" x14ac:dyDescent="0.3">
      <c r="A23" s="4" t="s">
        <v>54</v>
      </c>
      <c r="B23" s="4" t="s">
        <v>108</v>
      </c>
      <c r="C23" s="4" t="s">
        <v>109</v>
      </c>
      <c r="D23" s="4">
        <v>2</v>
      </c>
      <c r="E23" s="4" t="s">
        <v>112</v>
      </c>
      <c r="F23" s="4" t="s">
        <v>113</v>
      </c>
      <c r="G23" s="4" t="s">
        <v>58</v>
      </c>
      <c r="H23" s="4" t="s">
        <v>59</v>
      </c>
      <c r="I23" s="4">
        <v>46</v>
      </c>
      <c r="J23" s="4" t="s">
        <v>65</v>
      </c>
      <c r="K23" s="4" t="s">
        <v>61</v>
      </c>
    </row>
    <row r="24" spans="1:11" x14ac:dyDescent="0.3">
      <c r="A24" s="4" t="s">
        <v>54</v>
      </c>
      <c r="B24" s="4" t="s">
        <v>108</v>
      </c>
      <c r="C24" s="4" t="s">
        <v>114</v>
      </c>
      <c r="D24" s="4">
        <v>1</v>
      </c>
      <c r="E24" s="4" t="s">
        <v>115</v>
      </c>
      <c r="F24" s="4" t="s">
        <v>116</v>
      </c>
      <c r="G24" s="4" t="s">
        <v>58</v>
      </c>
      <c r="H24" s="4" t="s">
        <v>59</v>
      </c>
      <c r="I24" s="4">
        <v>68</v>
      </c>
      <c r="J24" s="4" t="s">
        <v>65</v>
      </c>
      <c r="K24" s="4" t="s">
        <v>61</v>
      </c>
    </row>
    <row r="25" spans="1:11" x14ac:dyDescent="0.3">
      <c r="A25" s="4" t="s">
        <v>54</v>
      </c>
      <c r="B25" s="4" t="s">
        <v>108</v>
      </c>
      <c r="C25" s="4" t="s">
        <v>114</v>
      </c>
      <c r="D25" s="4">
        <v>2</v>
      </c>
      <c r="E25" s="4" t="s">
        <v>117</v>
      </c>
      <c r="F25" s="4" t="s">
        <v>118</v>
      </c>
      <c r="G25" s="4" t="s">
        <v>73</v>
      </c>
      <c r="H25" s="4" t="s">
        <v>74</v>
      </c>
      <c r="I25" s="4">
        <v>67</v>
      </c>
      <c r="J25" s="4" t="s">
        <v>65</v>
      </c>
      <c r="K25" s="4" t="s">
        <v>61</v>
      </c>
    </row>
    <row r="26" spans="1:11" x14ac:dyDescent="0.3">
      <c r="A26" s="4" t="s">
        <v>54</v>
      </c>
      <c r="B26" s="4" t="s">
        <v>108</v>
      </c>
      <c r="C26" s="4" t="s">
        <v>119</v>
      </c>
      <c r="D26" s="4">
        <v>1</v>
      </c>
      <c r="E26" s="4" t="s">
        <v>120</v>
      </c>
      <c r="F26" s="4" t="s">
        <v>120</v>
      </c>
      <c r="G26" s="4" t="s">
        <v>73</v>
      </c>
      <c r="H26" s="4" t="s">
        <v>74</v>
      </c>
      <c r="I26" s="4">
        <v>57</v>
      </c>
      <c r="J26" s="4" t="s">
        <v>65</v>
      </c>
      <c r="K26" s="4" t="s">
        <v>121</v>
      </c>
    </row>
    <row r="27" spans="1:11" x14ac:dyDescent="0.3">
      <c r="A27" s="4" t="s">
        <v>54</v>
      </c>
      <c r="B27" s="4" t="s">
        <v>108</v>
      </c>
      <c r="C27" s="4" t="s">
        <v>119</v>
      </c>
      <c r="D27" s="4">
        <v>2</v>
      </c>
      <c r="E27" s="4" t="s">
        <v>122</v>
      </c>
      <c r="F27" s="4" t="s">
        <v>123</v>
      </c>
      <c r="G27" s="4" t="s">
        <v>64</v>
      </c>
      <c r="H27" s="4" t="s">
        <v>64</v>
      </c>
      <c r="I27" s="4">
        <v>59</v>
      </c>
      <c r="J27" s="4" t="s">
        <v>65</v>
      </c>
      <c r="K27" s="4" t="s">
        <v>61</v>
      </c>
    </row>
    <row r="28" spans="1:11" x14ac:dyDescent="0.3">
      <c r="A28" s="4" t="s">
        <v>54</v>
      </c>
      <c r="B28" s="4" t="s">
        <v>108</v>
      </c>
      <c r="C28" s="4" t="s">
        <v>119</v>
      </c>
      <c r="D28" s="4">
        <v>3</v>
      </c>
      <c r="E28" s="4" t="s">
        <v>124</v>
      </c>
      <c r="F28" s="4" t="s">
        <v>125</v>
      </c>
      <c r="G28" s="4" t="s">
        <v>58</v>
      </c>
      <c r="H28" s="4" t="s">
        <v>59</v>
      </c>
      <c r="I28" s="4">
        <v>41</v>
      </c>
      <c r="J28" s="4" t="s">
        <v>65</v>
      </c>
      <c r="K28" s="4" t="s">
        <v>61</v>
      </c>
    </row>
    <row r="29" spans="1:11" x14ac:dyDescent="0.3">
      <c r="A29" s="4" t="s">
        <v>54</v>
      </c>
      <c r="B29" s="4" t="s">
        <v>126</v>
      </c>
      <c r="C29" s="4" t="s">
        <v>127</v>
      </c>
      <c r="D29" s="4">
        <v>1</v>
      </c>
      <c r="E29" s="4" t="s">
        <v>128</v>
      </c>
      <c r="F29" s="4" t="s">
        <v>129</v>
      </c>
      <c r="G29" s="4" t="s">
        <v>73</v>
      </c>
      <c r="H29" s="4" t="s">
        <v>74</v>
      </c>
      <c r="I29" s="4">
        <v>58</v>
      </c>
      <c r="J29" s="4" t="s">
        <v>65</v>
      </c>
      <c r="K29" s="4" t="s">
        <v>61</v>
      </c>
    </row>
    <row r="30" spans="1:11" x14ac:dyDescent="0.3">
      <c r="A30" s="4" t="s">
        <v>54</v>
      </c>
      <c r="B30" s="4" t="s">
        <v>126</v>
      </c>
      <c r="C30" s="4" t="s">
        <v>127</v>
      </c>
      <c r="D30" s="4">
        <v>2</v>
      </c>
      <c r="E30" s="4" t="s">
        <v>130</v>
      </c>
      <c r="F30" s="4" t="s">
        <v>130</v>
      </c>
      <c r="G30" s="4" t="s">
        <v>58</v>
      </c>
      <c r="H30" s="4" t="s">
        <v>59</v>
      </c>
      <c r="I30" s="4">
        <v>67</v>
      </c>
      <c r="J30" s="4" t="s">
        <v>65</v>
      </c>
      <c r="K30" s="4" t="s">
        <v>61</v>
      </c>
    </row>
    <row r="31" spans="1:11" x14ac:dyDescent="0.3">
      <c r="A31" s="4" t="s">
        <v>54</v>
      </c>
      <c r="B31" s="4" t="s">
        <v>126</v>
      </c>
      <c r="C31" s="4" t="s">
        <v>131</v>
      </c>
      <c r="D31" s="4">
        <v>1</v>
      </c>
      <c r="E31" s="4" t="s">
        <v>132</v>
      </c>
      <c r="F31" s="4" t="s">
        <v>132</v>
      </c>
      <c r="G31" s="4" t="s">
        <v>58</v>
      </c>
      <c r="H31" s="4" t="s">
        <v>59</v>
      </c>
      <c r="I31" s="4">
        <v>50</v>
      </c>
      <c r="J31" s="4" t="s">
        <v>65</v>
      </c>
      <c r="K31" s="4" t="s">
        <v>121</v>
      </c>
    </row>
    <row r="32" spans="1:11" x14ac:dyDescent="0.3">
      <c r="A32" s="4" t="s">
        <v>54</v>
      </c>
      <c r="B32" s="4" t="s">
        <v>126</v>
      </c>
      <c r="C32" s="4" t="s">
        <v>131</v>
      </c>
      <c r="D32" s="4">
        <v>2</v>
      </c>
      <c r="E32" s="4" t="s">
        <v>133</v>
      </c>
      <c r="F32" s="4" t="s">
        <v>133</v>
      </c>
      <c r="G32" s="4" t="s">
        <v>73</v>
      </c>
      <c r="H32" s="4" t="s">
        <v>74</v>
      </c>
      <c r="I32" s="4">
        <v>35</v>
      </c>
      <c r="J32" s="4" t="s">
        <v>65</v>
      </c>
      <c r="K32" s="4" t="s">
        <v>121</v>
      </c>
    </row>
    <row r="33" spans="1:11" x14ac:dyDescent="0.3">
      <c r="A33" s="4" t="s">
        <v>54</v>
      </c>
      <c r="B33" s="4" t="s">
        <v>126</v>
      </c>
      <c r="C33" s="4" t="s">
        <v>134</v>
      </c>
      <c r="D33" s="4">
        <v>1</v>
      </c>
      <c r="E33" s="4" t="s">
        <v>135</v>
      </c>
      <c r="F33" s="4" t="s">
        <v>136</v>
      </c>
      <c r="G33" s="4" t="s">
        <v>58</v>
      </c>
      <c r="H33" s="4" t="s">
        <v>59</v>
      </c>
      <c r="I33" s="4">
        <v>59</v>
      </c>
      <c r="J33" s="4" t="s">
        <v>65</v>
      </c>
      <c r="K33" s="4" t="s">
        <v>61</v>
      </c>
    </row>
    <row r="34" spans="1:11" x14ac:dyDescent="0.3">
      <c r="A34" s="4" t="s">
        <v>54</v>
      </c>
      <c r="B34" s="4" t="s">
        <v>126</v>
      </c>
      <c r="C34" s="4" t="s">
        <v>134</v>
      </c>
      <c r="D34" s="4">
        <v>2</v>
      </c>
      <c r="E34" s="4" t="s">
        <v>137</v>
      </c>
      <c r="F34" s="4" t="s">
        <v>138</v>
      </c>
      <c r="G34" s="4" t="s">
        <v>73</v>
      </c>
      <c r="H34" s="4" t="s">
        <v>74</v>
      </c>
      <c r="I34" s="4">
        <v>67</v>
      </c>
      <c r="J34" s="4" t="s">
        <v>65</v>
      </c>
      <c r="K34" s="4" t="s">
        <v>61</v>
      </c>
    </row>
    <row r="35" spans="1:11" x14ac:dyDescent="0.3">
      <c r="A35" s="4" t="s">
        <v>54</v>
      </c>
      <c r="B35" s="4" t="s">
        <v>139</v>
      </c>
      <c r="C35" s="4" t="s">
        <v>140</v>
      </c>
      <c r="D35" s="4">
        <v>1</v>
      </c>
      <c r="E35" s="4" t="s">
        <v>141</v>
      </c>
      <c r="F35" s="4" t="s">
        <v>141</v>
      </c>
      <c r="G35" s="4" t="s">
        <v>58</v>
      </c>
      <c r="H35" s="4" t="s">
        <v>59</v>
      </c>
      <c r="I35" s="4">
        <v>60</v>
      </c>
      <c r="J35" s="4" t="s">
        <v>65</v>
      </c>
      <c r="K35" s="4" t="s">
        <v>61</v>
      </c>
    </row>
    <row r="36" spans="1:11" x14ac:dyDescent="0.3">
      <c r="A36" s="4" t="s">
        <v>54</v>
      </c>
      <c r="B36" s="4" t="s">
        <v>139</v>
      </c>
      <c r="C36" s="4" t="s">
        <v>140</v>
      </c>
      <c r="D36" s="4">
        <v>2</v>
      </c>
      <c r="E36" s="4" t="s">
        <v>142</v>
      </c>
      <c r="F36" s="4" t="s">
        <v>143</v>
      </c>
      <c r="G36" s="4" t="s">
        <v>67</v>
      </c>
      <c r="H36" s="4" t="s">
        <v>68</v>
      </c>
      <c r="I36" s="4">
        <v>56</v>
      </c>
      <c r="J36" s="4" t="s">
        <v>60</v>
      </c>
      <c r="K36" s="4" t="s">
        <v>61</v>
      </c>
    </row>
    <row r="37" spans="1:11" x14ac:dyDescent="0.3">
      <c r="A37" s="4" t="s">
        <v>54</v>
      </c>
      <c r="B37" s="4" t="s">
        <v>139</v>
      </c>
      <c r="C37" s="4" t="s">
        <v>144</v>
      </c>
      <c r="D37" s="4">
        <v>1</v>
      </c>
      <c r="E37" s="4" t="s">
        <v>145</v>
      </c>
      <c r="F37" s="4" t="s">
        <v>146</v>
      </c>
      <c r="G37" s="4" t="s">
        <v>73</v>
      </c>
      <c r="H37" s="4" t="s">
        <v>74</v>
      </c>
      <c r="I37" s="4">
        <v>47</v>
      </c>
      <c r="J37" s="4" t="s">
        <v>65</v>
      </c>
      <c r="K37" s="4" t="s">
        <v>61</v>
      </c>
    </row>
    <row r="38" spans="1:11" x14ac:dyDescent="0.3">
      <c r="A38" s="4" t="s">
        <v>54</v>
      </c>
      <c r="B38" s="4" t="s">
        <v>139</v>
      </c>
      <c r="C38" s="4" t="s">
        <v>144</v>
      </c>
      <c r="D38" s="4">
        <v>2</v>
      </c>
      <c r="E38" s="4" t="s">
        <v>147</v>
      </c>
      <c r="F38" s="4" t="s">
        <v>148</v>
      </c>
      <c r="G38" s="4" t="s">
        <v>58</v>
      </c>
      <c r="H38" s="4" t="s">
        <v>59</v>
      </c>
      <c r="I38" s="4">
        <v>46</v>
      </c>
      <c r="J38" s="4" t="s">
        <v>65</v>
      </c>
      <c r="K38" s="4" t="s">
        <v>61</v>
      </c>
    </row>
    <row r="39" spans="1:11" x14ac:dyDescent="0.3">
      <c r="A39" s="4" t="s">
        <v>54</v>
      </c>
      <c r="B39" s="4" t="s">
        <v>139</v>
      </c>
      <c r="C39" s="4" t="s">
        <v>149</v>
      </c>
      <c r="D39" s="4">
        <v>1</v>
      </c>
      <c r="E39" s="4" t="s">
        <v>150</v>
      </c>
      <c r="F39" s="4" t="s">
        <v>151</v>
      </c>
      <c r="G39" s="4" t="s">
        <v>58</v>
      </c>
      <c r="H39" s="4" t="s">
        <v>59</v>
      </c>
      <c r="I39" s="4">
        <v>36</v>
      </c>
      <c r="J39" s="4" t="s">
        <v>60</v>
      </c>
      <c r="K39" s="4" t="s">
        <v>61</v>
      </c>
    </row>
    <row r="40" spans="1:11" x14ac:dyDescent="0.3">
      <c r="A40" s="4" t="s">
        <v>54</v>
      </c>
      <c r="B40" s="4" t="s">
        <v>139</v>
      </c>
      <c r="C40" s="4" t="s">
        <v>149</v>
      </c>
      <c r="D40" s="4">
        <v>2</v>
      </c>
      <c r="E40" s="4" t="s">
        <v>152</v>
      </c>
      <c r="F40" s="4" t="s">
        <v>153</v>
      </c>
      <c r="G40" s="4" t="s">
        <v>73</v>
      </c>
      <c r="H40" s="4" t="s">
        <v>74</v>
      </c>
      <c r="I40" s="4">
        <v>61</v>
      </c>
      <c r="J40" s="4" t="s">
        <v>65</v>
      </c>
      <c r="K40" s="4" t="s">
        <v>61</v>
      </c>
    </row>
    <row r="41" spans="1:11" x14ac:dyDescent="0.3">
      <c r="A41" s="4" t="s">
        <v>54</v>
      </c>
      <c r="B41" s="4" t="s">
        <v>154</v>
      </c>
      <c r="C41" s="4" t="s">
        <v>155</v>
      </c>
      <c r="D41" s="4">
        <v>1</v>
      </c>
      <c r="E41" s="4" t="s">
        <v>156</v>
      </c>
      <c r="F41" s="4" t="s">
        <v>157</v>
      </c>
      <c r="G41" s="4" t="s">
        <v>58</v>
      </c>
      <c r="H41" s="4" t="s">
        <v>59</v>
      </c>
      <c r="I41" s="4">
        <v>67</v>
      </c>
      <c r="J41" s="4" t="s">
        <v>65</v>
      </c>
      <c r="K41" s="4" t="s">
        <v>61</v>
      </c>
    </row>
    <row r="42" spans="1:11" x14ac:dyDescent="0.3">
      <c r="A42" s="4" t="s">
        <v>54</v>
      </c>
      <c r="B42" s="4" t="s">
        <v>154</v>
      </c>
      <c r="C42" s="4" t="s">
        <v>155</v>
      </c>
      <c r="D42" s="4">
        <v>2</v>
      </c>
      <c r="E42" s="4" t="s">
        <v>158</v>
      </c>
      <c r="F42" s="4" t="s">
        <v>159</v>
      </c>
      <c r="G42" s="4" t="s">
        <v>73</v>
      </c>
      <c r="H42" s="4" t="s">
        <v>74</v>
      </c>
      <c r="I42" s="4">
        <v>62</v>
      </c>
      <c r="J42" s="4" t="s">
        <v>65</v>
      </c>
      <c r="K42" s="4" t="s">
        <v>61</v>
      </c>
    </row>
    <row r="43" spans="1:11" x14ac:dyDescent="0.3">
      <c r="A43" s="4" t="s">
        <v>54</v>
      </c>
      <c r="B43" s="4" t="s">
        <v>154</v>
      </c>
      <c r="C43" s="4" t="s">
        <v>160</v>
      </c>
      <c r="D43" s="4">
        <v>1</v>
      </c>
      <c r="E43" s="4" t="s">
        <v>161</v>
      </c>
      <c r="F43" s="4" t="s">
        <v>162</v>
      </c>
      <c r="G43" s="4" t="s">
        <v>58</v>
      </c>
      <c r="H43" s="4" t="s">
        <v>59</v>
      </c>
      <c r="I43" s="4">
        <v>64</v>
      </c>
      <c r="J43" s="4" t="s">
        <v>65</v>
      </c>
      <c r="K43" s="4" t="s">
        <v>61</v>
      </c>
    </row>
    <row r="44" spans="1:11" x14ac:dyDescent="0.3">
      <c r="A44" s="4" t="s">
        <v>54</v>
      </c>
      <c r="B44" s="4" t="s">
        <v>154</v>
      </c>
      <c r="C44" s="4" t="s">
        <v>160</v>
      </c>
      <c r="D44" s="4">
        <v>2</v>
      </c>
      <c r="E44" s="4" t="s">
        <v>163</v>
      </c>
      <c r="F44" s="4" t="s">
        <v>164</v>
      </c>
      <c r="G44" s="4" t="s">
        <v>67</v>
      </c>
      <c r="H44" s="4" t="s">
        <v>68</v>
      </c>
      <c r="I44" s="4">
        <v>46</v>
      </c>
      <c r="J44" s="4" t="s">
        <v>65</v>
      </c>
      <c r="K44" s="4" t="s">
        <v>61</v>
      </c>
    </row>
    <row r="45" spans="1:11" x14ac:dyDescent="0.3">
      <c r="A45" s="4" t="s">
        <v>54</v>
      </c>
      <c r="B45" s="4" t="s">
        <v>165</v>
      </c>
      <c r="C45" s="4" t="s">
        <v>166</v>
      </c>
      <c r="D45" s="4">
        <v>1</v>
      </c>
      <c r="E45" s="4" t="s">
        <v>167</v>
      </c>
      <c r="F45" s="4" t="s">
        <v>168</v>
      </c>
      <c r="G45" s="4" t="s">
        <v>58</v>
      </c>
      <c r="H45" s="4" t="s">
        <v>59</v>
      </c>
      <c r="I45" s="4">
        <v>48</v>
      </c>
      <c r="J45" s="4" t="s">
        <v>65</v>
      </c>
      <c r="K45" s="4" t="s">
        <v>61</v>
      </c>
    </row>
    <row r="46" spans="1:11" x14ac:dyDescent="0.3">
      <c r="A46" s="4" t="s">
        <v>54</v>
      </c>
      <c r="B46" s="4" t="s">
        <v>165</v>
      </c>
      <c r="C46" s="4" t="s">
        <v>166</v>
      </c>
      <c r="D46" s="4">
        <v>2</v>
      </c>
      <c r="E46" s="4" t="s">
        <v>169</v>
      </c>
      <c r="F46" s="4" t="s">
        <v>169</v>
      </c>
      <c r="G46" s="4" t="s">
        <v>73</v>
      </c>
      <c r="H46" s="4" t="s">
        <v>74</v>
      </c>
      <c r="I46" s="4">
        <v>48</v>
      </c>
      <c r="J46" s="4" t="s">
        <v>60</v>
      </c>
      <c r="K46" s="4" t="s">
        <v>61</v>
      </c>
    </row>
    <row r="47" spans="1:11" x14ac:dyDescent="0.3">
      <c r="A47" s="4" t="s">
        <v>54</v>
      </c>
      <c r="B47" s="4" t="s">
        <v>165</v>
      </c>
      <c r="C47" s="4" t="s">
        <v>170</v>
      </c>
      <c r="D47" s="4">
        <v>1</v>
      </c>
      <c r="E47" s="4" t="s">
        <v>171</v>
      </c>
      <c r="F47" s="4" t="s">
        <v>172</v>
      </c>
      <c r="G47" s="4" t="s">
        <v>64</v>
      </c>
      <c r="H47" s="4" t="s">
        <v>64</v>
      </c>
      <c r="I47" s="4">
        <v>66</v>
      </c>
      <c r="J47" s="4" t="s">
        <v>65</v>
      </c>
      <c r="K47" s="4" t="s">
        <v>61</v>
      </c>
    </row>
    <row r="48" spans="1:11" x14ac:dyDescent="0.3">
      <c r="A48" s="4" t="s">
        <v>54</v>
      </c>
      <c r="B48" s="4" t="s">
        <v>165</v>
      </c>
      <c r="C48" s="4" t="s">
        <v>170</v>
      </c>
      <c r="D48" s="4">
        <v>2</v>
      </c>
      <c r="E48" s="4" t="s">
        <v>173</v>
      </c>
      <c r="F48" s="4" t="s">
        <v>174</v>
      </c>
      <c r="G48" s="4" t="s">
        <v>67</v>
      </c>
      <c r="H48" s="4" t="s">
        <v>68</v>
      </c>
      <c r="I48" s="4">
        <v>57</v>
      </c>
      <c r="J48" s="4" t="s">
        <v>65</v>
      </c>
      <c r="K48" s="4" t="s">
        <v>61</v>
      </c>
    </row>
    <row r="49" spans="1:11" x14ac:dyDescent="0.3">
      <c r="A49" s="4" t="s">
        <v>54</v>
      </c>
      <c r="B49" s="4" t="s">
        <v>165</v>
      </c>
      <c r="C49" s="4" t="s">
        <v>170</v>
      </c>
      <c r="D49" s="4">
        <v>3</v>
      </c>
      <c r="E49" s="4" t="s">
        <v>175</v>
      </c>
      <c r="F49" s="4" t="s">
        <v>176</v>
      </c>
      <c r="G49" s="4" t="s">
        <v>58</v>
      </c>
      <c r="H49" s="4" t="s">
        <v>59</v>
      </c>
      <c r="I49" s="4">
        <v>60</v>
      </c>
      <c r="J49" s="4" t="s">
        <v>65</v>
      </c>
      <c r="K49" s="4" t="s">
        <v>61</v>
      </c>
    </row>
    <row r="50" spans="1:11" x14ac:dyDescent="0.3">
      <c r="A50" s="4" t="s">
        <v>54</v>
      </c>
      <c r="B50" s="4" t="s">
        <v>165</v>
      </c>
      <c r="C50" s="4" t="s">
        <v>177</v>
      </c>
      <c r="D50" s="4">
        <v>1</v>
      </c>
      <c r="E50" s="4" t="s">
        <v>178</v>
      </c>
      <c r="F50" s="4" t="s">
        <v>179</v>
      </c>
      <c r="G50" s="4" t="s">
        <v>73</v>
      </c>
      <c r="H50" s="4" t="s">
        <v>74</v>
      </c>
      <c r="I50" s="4">
        <v>40</v>
      </c>
      <c r="J50" s="4" t="s">
        <v>65</v>
      </c>
      <c r="K50" s="4" t="s">
        <v>61</v>
      </c>
    </row>
    <row r="51" spans="1:11" x14ac:dyDescent="0.3">
      <c r="A51" s="4" t="s">
        <v>54</v>
      </c>
      <c r="B51" s="4" t="s">
        <v>165</v>
      </c>
      <c r="C51" s="4" t="s">
        <v>177</v>
      </c>
      <c r="D51" s="4">
        <v>2</v>
      </c>
      <c r="E51" s="4" t="s">
        <v>180</v>
      </c>
      <c r="F51" s="4" t="s">
        <v>180</v>
      </c>
      <c r="G51" s="4" t="s">
        <v>58</v>
      </c>
      <c r="H51" s="4" t="s">
        <v>59</v>
      </c>
      <c r="I51" s="4">
        <v>36</v>
      </c>
      <c r="J51" s="4" t="s">
        <v>65</v>
      </c>
      <c r="K51" s="4" t="s">
        <v>61</v>
      </c>
    </row>
    <row r="52" spans="1:11" x14ac:dyDescent="0.3">
      <c r="A52" s="4" t="s">
        <v>54</v>
      </c>
      <c r="B52" s="4" t="s">
        <v>181</v>
      </c>
      <c r="C52" s="4" t="s">
        <v>182</v>
      </c>
      <c r="D52" s="4">
        <v>1</v>
      </c>
      <c r="E52" s="4" t="s">
        <v>183</v>
      </c>
      <c r="F52" s="4" t="s">
        <v>183</v>
      </c>
      <c r="G52" s="4" t="s">
        <v>73</v>
      </c>
      <c r="H52" s="4" t="s">
        <v>74</v>
      </c>
      <c r="I52" s="4">
        <v>60</v>
      </c>
      <c r="J52" s="4" t="s">
        <v>60</v>
      </c>
      <c r="K52" s="4" t="s">
        <v>61</v>
      </c>
    </row>
    <row r="53" spans="1:11" x14ac:dyDescent="0.3">
      <c r="A53" s="4" t="s">
        <v>54</v>
      </c>
      <c r="B53" s="4" t="s">
        <v>181</v>
      </c>
      <c r="C53" s="4" t="s">
        <v>182</v>
      </c>
      <c r="D53" s="4">
        <v>2</v>
      </c>
      <c r="E53" s="4" t="s">
        <v>184</v>
      </c>
      <c r="F53" s="4" t="s">
        <v>185</v>
      </c>
      <c r="G53" s="4" t="s">
        <v>58</v>
      </c>
      <c r="H53" s="4" t="s">
        <v>59</v>
      </c>
      <c r="I53" s="4">
        <v>64</v>
      </c>
      <c r="J53" s="4" t="s">
        <v>65</v>
      </c>
      <c r="K53" s="4" t="s">
        <v>61</v>
      </c>
    </row>
    <row r="54" spans="1:11" x14ac:dyDescent="0.3">
      <c r="A54" s="4" t="s">
        <v>54</v>
      </c>
      <c r="B54" s="4" t="s">
        <v>181</v>
      </c>
      <c r="C54" s="4" t="s">
        <v>186</v>
      </c>
      <c r="D54" s="4">
        <v>1</v>
      </c>
      <c r="E54" s="4" t="s">
        <v>187</v>
      </c>
      <c r="F54" s="4" t="s">
        <v>188</v>
      </c>
      <c r="G54" s="4" t="s">
        <v>67</v>
      </c>
      <c r="H54" s="4" t="s">
        <v>68</v>
      </c>
      <c r="I54" s="4">
        <v>46</v>
      </c>
      <c r="J54" s="4" t="s">
        <v>65</v>
      </c>
      <c r="K54" s="4" t="s">
        <v>61</v>
      </c>
    </row>
    <row r="55" spans="1:11" x14ac:dyDescent="0.3">
      <c r="A55" s="4" t="s">
        <v>54</v>
      </c>
      <c r="B55" s="4" t="s">
        <v>181</v>
      </c>
      <c r="C55" s="4" t="s">
        <v>186</v>
      </c>
      <c r="D55" s="4">
        <v>2</v>
      </c>
      <c r="E55" s="4" t="s">
        <v>189</v>
      </c>
      <c r="F55" s="4" t="s">
        <v>189</v>
      </c>
      <c r="G55" s="4" t="s">
        <v>58</v>
      </c>
      <c r="H55" s="4" t="s">
        <v>59</v>
      </c>
      <c r="I55" s="4">
        <v>50</v>
      </c>
      <c r="J55" s="4" t="s">
        <v>65</v>
      </c>
      <c r="K55" s="4" t="s">
        <v>61</v>
      </c>
    </row>
    <row r="56" spans="1:11" x14ac:dyDescent="0.3">
      <c r="A56" s="4" t="s">
        <v>54</v>
      </c>
      <c r="B56" s="4" t="s">
        <v>190</v>
      </c>
      <c r="C56" s="4" t="s">
        <v>191</v>
      </c>
      <c r="D56" s="4">
        <v>1</v>
      </c>
      <c r="E56" s="4" t="s">
        <v>192</v>
      </c>
      <c r="F56" s="4" t="s">
        <v>193</v>
      </c>
      <c r="G56" s="4" t="s">
        <v>58</v>
      </c>
      <c r="H56" s="4" t="s">
        <v>59</v>
      </c>
      <c r="I56" s="4">
        <v>69</v>
      </c>
      <c r="J56" s="4" t="s">
        <v>65</v>
      </c>
      <c r="K56" s="4" t="s">
        <v>61</v>
      </c>
    </row>
    <row r="57" spans="1:11" x14ac:dyDescent="0.3">
      <c r="A57" s="4" t="s">
        <v>54</v>
      </c>
      <c r="B57" s="4" t="s">
        <v>190</v>
      </c>
      <c r="C57" s="4" t="s">
        <v>191</v>
      </c>
      <c r="D57" s="4">
        <v>2</v>
      </c>
      <c r="E57" s="4" t="s">
        <v>194</v>
      </c>
      <c r="F57" s="4" t="s">
        <v>194</v>
      </c>
      <c r="G57" s="4" t="s">
        <v>64</v>
      </c>
      <c r="H57" s="4" t="s">
        <v>64</v>
      </c>
      <c r="I57" s="4">
        <v>31</v>
      </c>
      <c r="J57" s="4" t="s">
        <v>65</v>
      </c>
      <c r="K57" s="4" t="s">
        <v>195</v>
      </c>
    </row>
    <row r="58" spans="1:11" x14ac:dyDescent="0.3">
      <c r="A58" s="4" t="s">
        <v>54</v>
      </c>
      <c r="B58" s="4" t="s">
        <v>190</v>
      </c>
      <c r="C58" s="4" t="s">
        <v>191</v>
      </c>
      <c r="D58" s="4">
        <v>3</v>
      </c>
      <c r="E58" s="4" t="s">
        <v>196</v>
      </c>
      <c r="F58" s="4" t="s">
        <v>197</v>
      </c>
      <c r="G58" s="4" t="s">
        <v>73</v>
      </c>
      <c r="H58" s="4" t="s">
        <v>74</v>
      </c>
      <c r="I58" s="4">
        <v>64</v>
      </c>
      <c r="J58" s="4" t="s">
        <v>65</v>
      </c>
      <c r="K58" s="4" t="s">
        <v>195</v>
      </c>
    </row>
    <row r="59" spans="1:11" x14ac:dyDescent="0.3">
      <c r="A59" s="4" t="s">
        <v>54</v>
      </c>
      <c r="B59" s="4" t="s">
        <v>190</v>
      </c>
      <c r="C59" s="4" t="s">
        <v>198</v>
      </c>
      <c r="D59" s="4">
        <v>1</v>
      </c>
      <c r="E59" s="4" t="s">
        <v>199</v>
      </c>
      <c r="F59" s="4" t="s">
        <v>200</v>
      </c>
      <c r="G59" s="4" t="s">
        <v>67</v>
      </c>
      <c r="H59" s="4" t="s">
        <v>68</v>
      </c>
      <c r="I59" s="4">
        <v>48</v>
      </c>
      <c r="J59" s="4" t="s">
        <v>65</v>
      </c>
      <c r="K59" s="4" t="s">
        <v>61</v>
      </c>
    </row>
    <row r="60" spans="1:11" x14ac:dyDescent="0.3">
      <c r="A60" s="4" t="s">
        <v>54</v>
      </c>
      <c r="B60" s="4" t="s">
        <v>190</v>
      </c>
      <c r="C60" s="4" t="s">
        <v>198</v>
      </c>
      <c r="D60" s="4">
        <v>2</v>
      </c>
      <c r="E60" s="4" t="s">
        <v>201</v>
      </c>
      <c r="F60" s="4" t="s">
        <v>202</v>
      </c>
      <c r="G60" s="4" t="s">
        <v>58</v>
      </c>
      <c r="H60" s="4" t="s">
        <v>59</v>
      </c>
      <c r="I60" s="4">
        <v>51</v>
      </c>
      <c r="J60" s="4" t="s">
        <v>65</v>
      </c>
      <c r="K60" s="4" t="s">
        <v>61</v>
      </c>
    </row>
    <row r="61" spans="1:11" x14ac:dyDescent="0.3">
      <c r="A61" s="4" t="s">
        <v>54</v>
      </c>
      <c r="B61" s="4" t="s">
        <v>203</v>
      </c>
      <c r="C61" s="4" t="s">
        <v>204</v>
      </c>
      <c r="D61" s="4">
        <v>1</v>
      </c>
      <c r="E61" s="4" t="s">
        <v>205</v>
      </c>
      <c r="F61" s="4" t="s">
        <v>206</v>
      </c>
      <c r="G61" s="4" t="s">
        <v>58</v>
      </c>
      <c r="H61" s="4" t="s">
        <v>59</v>
      </c>
      <c r="I61" s="4">
        <v>70</v>
      </c>
      <c r="J61" s="4" t="s">
        <v>65</v>
      </c>
      <c r="K61" s="4" t="s">
        <v>61</v>
      </c>
    </row>
    <row r="62" spans="1:11" x14ac:dyDescent="0.3">
      <c r="A62" s="4" t="s">
        <v>54</v>
      </c>
      <c r="B62" s="4" t="s">
        <v>203</v>
      </c>
      <c r="C62" s="4" t="s">
        <v>204</v>
      </c>
      <c r="D62" s="4">
        <v>2</v>
      </c>
      <c r="E62" s="4" t="s">
        <v>207</v>
      </c>
      <c r="F62" s="4" t="s">
        <v>208</v>
      </c>
      <c r="G62" s="4" t="s">
        <v>67</v>
      </c>
      <c r="H62" s="4" t="s">
        <v>68</v>
      </c>
      <c r="I62" s="4">
        <v>55</v>
      </c>
      <c r="J62" s="4" t="s">
        <v>60</v>
      </c>
      <c r="K62" s="4" t="s">
        <v>61</v>
      </c>
    </row>
    <row r="63" spans="1:11" x14ac:dyDescent="0.3">
      <c r="A63" s="4" t="s">
        <v>54</v>
      </c>
      <c r="B63" s="4" t="s">
        <v>203</v>
      </c>
      <c r="C63" s="4" t="s">
        <v>209</v>
      </c>
      <c r="D63" s="4">
        <v>1</v>
      </c>
      <c r="E63" s="4" t="s">
        <v>210</v>
      </c>
      <c r="F63" s="4" t="s">
        <v>211</v>
      </c>
      <c r="G63" s="4" t="s">
        <v>73</v>
      </c>
      <c r="H63" s="4" t="s">
        <v>74</v>
      </c>
      <c r="I63" s="4">
        <v>37</v>
      </c>
      <c r="J63" s="4" t="s">
        <v>65</v>
      </c>
      <c r="K63" s="4" t="s">
        <v>121</v>
      </c>
    </row>
    <row r="64" spans="1:11" x14ac:dyDescent="0.3">
      <c r="A64" s="4" t="s">
        <v>54</v>
      </c>
      <c r="B64" s="4" t="s">
        <v>203</v>
      </c>
      <c r="C64" s="4" t="s">
        <v>209</v>
      </c>
      <c r="D64" s="4">
        <v>2</v>
      </c>
      <c r="E64" s="4" t="s">
        <v>212</v>
      </c>
      <c r="F64" s="4" t="s">
        <v>212</v>
      </c>
      <c r="G64" s="4" t="s">
        <v>213</v>
      </c>
      <c r="H64" s="4" t="s">
        <v>214</v>
      </c>
      <c r="I64" s="4">
        <v>68</v>
      </c>
      <c r="J64" s="4" t="s">
        <v>65</v>
      </c>
      <c r="K64" s="4" t="s">
        <v>121</v>
      </c>
    </row>
    <row r="65" spans="1:11" x14ac:dyDescent="0.3">
      <c r="A65" s="4" t="s">
        <v>54</v>
      </c>
      <c r="B65" s="4" t="s">
        <v>203</v>
      </c>
      <c r="C65" s="4" t="s">
        <v>209</v>
      </c>
      <c r="D65" s="4">
        <v>3</v>
      </c>
      <c r="E65" s="4" t="s">
        <v>215</v>
      </c>
      <c r="F65" s="4" t="s">
        <v>216</v>
      </c>
      <c r="G65" s="4" t="s">
        <v>58</v>
      </c>
      <c r="H65" s="4" t="s">
        <v>59</v>
      </c>
      <c r="I65" s="4">
        <v>45</v>
      </c>
      <c r="J65" s="4" t="s">
        <v>65</v>
      </c>
      <c r="K65" s="4" t="s">
        <v>121</v>
      </c>
    </row>
    <row r="66" spans="1:11" x14ac:dyDescent="0.3">
      <c r="A66" s="4" t="s">
        <v>54</v>
      </c>
      <c r="B66" s="4" t="s">
        <v>203</v>
      </c>
      <c r="C66" s="4" t="s">
        <v>217</v>
      </c>
      <c r="D66" s="4">
        <v>1</v>
      </c>
      <c r="E66" s="4" t="s">
        <v>218</v>
      </c>
      <c r="F66" s="4" t="s">
        <v>219</v>
      </c>
      <c r="G66" s="4" t="s">
        <v>58</v>
      </c>
      <c r="H66" s="4" t="s">
        <v>59</v>
      </c>
      <c r="I66" s="4">
        <v>49</v>
      </c>
      <c r="J66" s="4" t="s">
        <v>60</v>
      </c>
      <c r="K66" s="4" t="s">
        <v>61</v>
      </c>
    </row>
    <row r="67" spans="1:11" x14ac:dyDescent="0.3">
      <c r="A67" s="4" t="s">
        <v>54</v>
      </c>
      <c r="B67" s="4" t="s">
        <v>203</v>
      </c>
      <c r="C67" s="4" t="s">
        <v>217</v>
      </c>
      <c r="D67" s="4">
        <v>2</v>
      </c>
      <c r="E67" s="4" t="s">
        <v>220</v>
      </c>
      <c r="F67" s="4" t="s">
        <v>221</v>
      </c>
      <c r="G67" s="4" t="s">
        <v>73</v>
      </c>
      <c r="H67" s="4" t="s">
        <v>74</v>
      </c>
      <c r="I67" s="4">
        <v>57</v>
      </c>
      <c r="J67" s="4" t="s">
        <v>65</v>
      </c>
      <c r="K67" s="4" t="s">
        <v>195</v>
      </c>
    </row>
    <row r="68" spans="1:11" x14ac:dyDescent="0.3">
      <c r="A68" s="4" t="s">
        <v>54</v>
      </c>
      <c r="B68" s="4" t="s">
        <v>222</v>
      </c>
      <c r="C68" s="4" t="s">
        <v>223</v>
      </c>
      <c r="D68" s="4">
        <v>1</v>
      </c>
      <c r="E68" s="4" t="s">
        <v>224</v>
      </c>
      <c r="F68" s="4" t="s">
        <v>224</v>
      </c>
      <c r="G68" s="4" t="s">
        <v>58</v>
      </c>
      <c r="H68" s="4" t="s">
        <v>59</v>
      </c>
      <c r="I68" s="4">
        <v>55</v>
      </c>
      <c r="J68" s="4" t="s">
        <v>65</v>
      </c>
      <c r="K68" s="4" t="s">
        <v>61</v>
      </c>
    </row>
    <row r="69" spans="1:11" x14ac:dyDescent="0.3">
      <c r="A69" s="4" t="s">
        <v>54</v>
      </c>
      <c r="B69" s="4" t="s">
        <v>222</v>
      </c>
      <c r="C69" s="4" t="s">
        <v>223</v>
      </c>
      <c r="D69" s="4">
        <v>2</v>
      </c>
      <c r="E69" s="4" t="s">
        <v>225</v>
      </c>
      <c r="F69" s="4" t="s">
        <v>226</v>
      </c>
      <c r="G69" s="4" t="s">
        <v>67</v>
      </c>
      <c r="H69" s="4" t="s">
        <v>68</v>
      </c>
      <c r="I69" s="4">
        <v>62</v>
      </c>
      <c r="J69" s="4" t="s">
        <v>65</v>
      </c>
      <c r="K69" s="4" t="s">
        <v>61</v>
      </c>
    </row>
    <row r="70" spans="1:11" x14ac:dyDescent="0.3">
      <c r="A70" s="4" t="s">
        <v>54</v>
      </c>
      <c r="B70" s="4" t="s">
        <v>222</v>
      </c>
      <c r="C70" s="4" t="s">
        <v>227</v>
      </c>
      <c r="D70" s="4">
        <v>1</v>
      </c>
      <c r="E70" s="4" t="s">
        <v>228</v>
      </c>
      <c r="F70" s="4" t="s">
        <v>229</v>
      </c>
      <c r="G70" s="4" t="s">
        <v>73</v>
      </c>
      <c r="H70" s="4" t="s">
        <v>74</v>
      </c>
      <c r="I70" s="4">
        <v>43</v>
      </c>
      <c r="J70" s="4" t="s">
        <v>65</v>
      </c>
      <c r="K70" s="4" t="s">
        <v>61</v>
      </c>
    </row>
    <row r="71" spans="1:11" x14ac:dyDescent="0.3">
      <c r="A71" s="4" t="s">
        <v>54</v>
      </c>
      <c r="B71" s="4" t="s">
        <v>222</v>
      </c>
      <c r="C71" s="4" t="s">
        <v>227</v>
      </c>
      <c r="D71" s="4">
        <v>2</v>
      </c>
      <c r="E71" s="4" t="s">
        <v>230</v>
      </c>
      <c r="F71" s="4" t="s">
        <v>231</v>
      </c>
      <c r="G71" s="4" t="s">
        <v>58</v>
      </c>
      <c r="H71" s="4" t="s">
        <v>59</v>
      </c>
      <c r="I71" s="4">
        <v>73</v>
      </c>
      <c r="J71" s="4" t="s">
        <v>65</v>
      </c>
      <c r="K71" s="4" t="s">
        <v>61</v>
      </c>
    </row>
    <row r="72" spans="1:11" x14ac:dyDescent="0.3">
      <c r="A72" s="4" t="s">
        <v>54</v>
      </c>
      <c r="B72" s="4" t="s">
        <v>222</v>
      </c>
      <c r="C72" s="4" t="s">
        <v>232</v>
      </c>
      <c r="D72" s="4">
        <v>1</v>
      </c>
      <c r="E72" s="4" t="s">
        <v>233</v>
      </c>
      <c r="F72" s="4" t="s">
        <v>234</v>
      </c>
      <c r="G72" s="4" t="s">
        <v>58</v>
      </c>
      <c r="H72" s="4" t="s">
        <v>59</v>
      </c>
      <c r="I72" s="4">
        <v>55</v>
      </c>
      <c r="J72" s="4" t="s">
        <v>65</v>
      </c>
      <c r="K72" s="4" t="s">
        <v>61</v>
      </c>
    </row>
    <row r="73" spans="1:11" x14ac:dyDescent="0.3">
      <c r="A73" s="4" t="s">
        <v>54</v>
      </c>
      <c r="B73" s="4" t="s">
        <v>222</v>
      </c>
      <c r="C73" s="4" t="s">
        <v>232</v>
      </c>
      <c r="D73" s="4">
        <v>2</v>
      </c>
      <c r="E73" s="4" t="s">
        <v>235</v>
      </c>
      <c r="F73" s="4" t="s">
        <v>235</v>
      </c>
      <c r="G73" s="4" t="s">
        <v>67</v>
      </c>
      <c r="H73" s="4" t="s">
        <v>68</v>
      </c>
      <c r="I73" s="4">
        <v>45</v>
      </c>
      <c r="J73" s="4" t="s">
        <v>60</v>
      </c>
      <c r="K73" s="4" t="s">
        <v>61</v>
      </c>
    </row>
    <row r="74" spans="1:11" x14ac:dyDescent="0.3">
      <c r="A74" s="4" t="s">
        <v>54</v>
      </c>
      <c r="B74" s="4" t="s">
        <v>236</v>
      </c>
      <c r="C74" s="4" t="s">
        <v>237</v>
      </c>
      <c r="D74" s="4">
        <v>1</v>
      </c>
      <c r="E74" s="4" t="s">
        <v>238</v>
      </c>
      <c r="F74" s="4" t="s">
        <v>239</v>
      </c>
      <c r="G74" s="4" t="s">
        <v>67</v>
      </c>
      <c r="H74" s="4" t="s">
        <v>68</v>
      </c>
      <c r="I74" s="4">
        <v>55</v>
      </c>
      <c r="J74" s="4" t="s">
        <v>65</v>
      </c>
      <c r="K74" s="4" t="s">
        <v>61</v>
      </c>
    </row>
    <row r="75" spans="1:11" x14ac:dyDescent="0.3">
      <c r="A75" s="4" t="s">
        <v>54</v>
      </c>
      <c r="B75" s="4" t="s">
        <v>236</v>
      </c>
      <c r="C75" s="4" t="s">
        <v>237</v>
      </c>
      <c r="D75" s="4">
        <v>2</v>
      </c>
      <c r="E75" s="4" t="s">
        <v>240</v>
      </c>
      <c r="F75" s="4" t="s">
        <v>241</v>
      </c>
      <c r="G75" s="4" t="s">
        <v>58</v>
      </c>
      <c r="H75" s="4" t="s">
        <v>59</v>
      </c>
      <c r="I75" s="4">
        <v>62</v>
      </c>
      <c r="J75" s="4" t="s">
        <v>60</v>
      </c>
      <c r="K75" s="4" t="s">
        <v>61</v>
      </c>
    </row>
    <row r="76" spans="1:11" x14ac:dyDescent="0.3">
      <c r="A76" s="4" t="s">
        <v>54</v>
      </c>
      <c r="B76" s="4" t="s">
        <v>236</v>
      </c>
      <c r="C76" s="4" t="s">
        <v>242</v>
      </c>
      <c r="D76" s="4">
        <v>1</v>
      </c>
      <c r="E76" s="4" t="s">
        <v>243</v>
      </c>
      <c r="F76" s="4" t="s">
        <v>244</v>
      </c>
      <c r="G76" s="4" t="s">
        <v>73</v>
      </c>
      <c r="H76" s="4" t="s">
        <v>74</v>
      </c>
      <c r="I76" s="4">
        <v>64</v>
      </c>
      <c r="J76" s="4" t="s">
        <v>65</v>
      </c>
      <c r="K76" s="4" t="s">
        <v>61</v>
      </c>
    </row>
    <row r="77" spans="1:11" x14ac:dyDescent="0.3">
      <c r="A77" s="4" t="s">
        <v>54</v>
      </c>
      <c r="B77" s="4" t="s">
        <v>236</v>
      </c>
      <c r="C77" s="4" t="s">
        <v>242</v>
      </c>
      <c r="D77" s="4">
        <v>2</v>
      </c>
      <c r="E77" s="4" t="s">
        <v>245</v>
      </c>
      <c r="F77" s="4" t="s">
        <v>245</v>
      </c>
      <c r="G77" s="4" t="s">
        <v>58</v>
      </c>
      <c r="H77" s="4" t="s">
        <v>59</v>
      </c>
      <c r="I77" s="4">
        <v>43</v>
      </c>
      <c r="J77" s="4" t="s">
        <v>65</v>
      </c>
      <c r="K77" s="4" t="s">
        <v>61</v>
      </c>
    </row>
    <row r="78" spans="1:11" x14ac:dyDescent="0.3">
      <c r="A78" s="4" t="s">
        <v>54</v>
      </c>
      <c r="B78" s="4" t="s">
        <v>236</v>
      </c>
      <c r="C78" s="4" t="s">
        <v>242</v>
      </c>
      <c r="D78" s="4">
        <v>3</v>
      </c>
      <c r="E78" s="4" t="s">
        <v>246</v>
      </c>
      <c r="F78" s="4" t="s">
        <v>246</v>
      </c>
      <c r="G78" s="4" t="s">
        <v>64</v>
      </c>
      <c r="H78" s="4" t="s">
        <v>64</v>
      </c>
      <c r="I78" s="4">
        <v>63</v>
      </c>
      <c r="J78" s="4" t="s">
        <v>65</v>
      </c>
      <c r="K78" s="4" t="s">
        <v>195</v>
      </c>
    </row>
    <row r="79" spans="1:11" x14ac:dyDescent="0.3">
      <c r="A79" s="4" t="s">
        <v>54</v>
      </c>
      <c r="B79" s="4" t="s">
        <v>236</v>
      </c>
      <c r="C79" s="4" t="s">
        <v>242</v>
      </c>
      <c r="D79" s="4">
        <v>4</v>
      </c>
      <c r="E79" s="4" t="s">
        <v>247</v>
      </c>
      <c r="F79" s="4" t="s">
        <v>247</v>
      </c>
      <c r="G79" s="4" t="s">
        <v>64</v>
      </c>
      <c r="H79" s="4" t="s">
        <v>64</v>
      </c>
      <c r="I79" s="4">
        <v>57</v>
      </c>
      <c r="J79" s="4" t="s">
        <v>65</v>
      </c>
      <c r="K79" s="4" t="s">
        <v>195</v>
      </c>
    </row>
    <row r="80" spans="1:11" x14ac:dyDescent="0.3">
      <c r="A80" s="4" t="s">
        <v>54</v>
      </c>
      <c r="B80" s="4" t="s">
        <v>236</v>
      </c>
      <c r="C80" s="4" t="s">
        <v>242</v>
      </c>
      <c r="D80" s="4">
        <v>5</v>
      </c>
      <c r="E80" s="4" t="s">
        <v>248</v>
      </c>
      <c r="F80" s="4" t="s">
        <v>249</v>
      </c>
      <c r="G80" s="4" t="s">
        <v>64</v>
      </c>
      <c r="H80" s="4" t="s">
        <v>64</v>
      </c>
      <c r="I80" s="4">
        <v>64</v>
      </c>
      <c r="J80" s="4" t="s">
        <v>65</v>
      </c>
      <c r="K80" s="4" t="s">
        <v>195</v>
      </c>
    </row>
    <row r="81" spans="1:11" x14ac:dyDescent="0.3">
      <c r="A81" s="4" t="s">
        <v>54</v>
      </c>
      <c r="B81" s="4" t="s">
        <v>250</v>
      </c>
      <c r="C81" s="4" t="s">
        <v>251</v>
      </c>
      <c r="D81" s="4">
        <v>1</v>
      </c>
      <c r="E81" s="4" t="s">
        <v>252</v>
      </c>
      <c r="F81" s="4" t="s">
        <v>253</v>
      </c>
      <c r="G81" s="4" t="s">
        <v>73</v>
      </c>
      <c r="H81" s="4" t="s">
        <v>74</v>
      </c>
      <c r="I81" s="4">
        <v>48</v>
      </c>
      <c r="J81" s="4" t="s">
        <v>65</v>
      </c>
      <c r="K81" s="4" t="s">
        <v>121</v>
      </c>
    </row>
    <row r="82" spans="1:11" x14ac:dyDescent="0.3">
      <c r="A82" s="4" t="s">
        <v>54</v>
      </c>
      <c r="B82" s="4" t="s">
        <v>250</v>
      </c>
      <c r="C82" s="4" t="s">
        <v>251</v>
      </c>
      <c r="D82" s="4">
        <v>2</v>
      </c>
      <c r="E82" s="4" t="s">
        <v>254</v>
      </c>
      <c r="F82" s="4" t="s">
        <v>254</v>
      </c>
      <c r="G82" s="4" t="s">
        <v>58</v>
      </c>
      <c r="H82" s="4" t="s">
        <v>59</v>
      </c>
      <c r="I82" s="4">
        <v>39</v>
      </c>
      <c r="J82" s="4" t="s">
        <v>65</v>
      </c>
      <c r="K82" s="4" t="s">
        <v>121</v>
      </c>
    </row>
    <row r="83" spans="1:11" x14ac:dyDescent="0.3">
      <c r="A83" s="4" t="s">
        <v>54</v>
      </c>
      <c r="B83" s="4" t="s">
        <v>250</v>
      </c>
      <c r="C83" s="4" t="s">
        <v>255</v>
      </c>
      <c r="D83" s="4">
        <v>1</v>
      </c>
      <c r="E83" s="4" t="s">
        <v>256</v>
      </c>
      <c r="F83" s="4" t="s">
        <v>257</v>
      </c>
      <c r="G83" s="4" t="s">
        <v>58</v>
      </c>
      <c r="H83" s="4" t="s">
        <v>59</v>
      </c>
      <c r="I83" s="4">
        <v>55</v>
      </c>
      <c r="J83" s="4" t="s">
        <v>65</v>
      </c>
      <c r="K83" s="4" t="s">
        <v>61</v>
      </c>
    </row>
    <row r="84" spans="1:11" x14ac:dyDescent="0.3">
      <c r="A84" s="4" t="s">
        <v>54</v>
      </c>
      <c r="B84" s="4" t="s">
        <v>250</v>
      </c>
      <c r="C84" s="4" t="s">
        <v>255</v>
      </c>
      <c r="D84" s="4">
        <v>2</v>
      </c>
      <c r="E84" s="4" t="s">
        <v>258</v>
      </c>
      <c r="F84" s="4" t="s">
        <v>259</v>
      </c>
      <c r="G84" s="4" t="s">
        <v>67</v>
      </c>
      <c r="H84" s="4" t="s">
        <v>68</v>
      </c>
      <c r="I84" s="4">
        <v>36</v>
      </c>
      <c r="J84" s="4" t="s">
        <v>60</v>
      </c>
      <c r="K84" s="4" t="s">
        <v>61</v>
      </c>
    </row>
    <row r="85" spans="1:11" customFormat="1" ht="14.5" x14ac:dyDescent="0.35">
      <c r="A85" s="1" t="s">
        <v>260</v>
      </c>
      <c r="B85" s="1" t="s">
        <v>261</v>
      </c>
      <c r="C85" s="1" t="s">
        <v>262</v>
      </c>
      <c r="D85" s="1">
        <v>1</v>
      </c>
      <c r="E85" s="1" t="s">
        <v>263</v>
      </c>
      <c r="F85" s="1" t="s">
        <v>264</v>
      </c>
      <c r="G85" s="1" t="s">
        <v>67</v>
      </c>
      <c r="H85" s="1" t="s">
        <v>68</v>
      </c>
      <c r="I85" s="1">
        <v>60</v>
      </c>
      <c r="J85" s="1" t="s">
        <v>65</v>
      </c>
      <c r="K85" s="1" t="s">
        <v>61</v>
      </c>
    </row>
    <row r="86" spans="1:11" customFormat="1" ht="14.5" x14ac:dyDescent="0.35">
      <c r="A86" s="1" t="s">
        <v>260</v>
      </c>
      <c r="B86" s="1" t="s">
        <v>261</v>
      </c>
      <c r="C86" s="1" t="s">
        <v>262</v>
      </c>
      <c r="D86" s="1">
        <v>2</v>
      </c>
      <c r="E86" s="1" t="s">
        <v>265</v>
      </c>
      <c r="F86" s="1" t="s">
        <v>266</v>
      </c>
      <c r="G86" s="1" t="s">
        <v>267</v>
      </c>
      <c r="H86" s="1" t="s">
        <v>52</v>
      </c>
      <c r="I86" s="1">
        <v>58</v>
      </c>
      <c r="J86" s="1" t="s">
        <v>65</v>
      </c>
      <c r="K86" s="1" t="s">
        <v>61</v>
      </c>
    </row>
    <row r="87" spans="1:11" customFormat="1" ht="14.5" x14ac:dyDescent="0.35">
      <c r="A87" s="1" t="s">
        <v>260</v>
      </c>
      <c r="B87" s="1" t="s">
        <v>261</v>
      </c>
      <c r="C87" s="1" t="s">
        <v>268</v>
      </c>
      <c r="D87" s="1">
        <v>1</v>
      </c>
      <c r="E87" s="1" t="s">
        <v>269</v>
      </c>
      <c r="F87" s="1" t="s">
        <v>270</v>
      </c>
      <c r="G87" s="1" t="s">
        <v>267</v>
      </c>
      <c r="H87" s="1" t="s">
        <v>52</v>
      </c>
      <c r="I87" s="1">
        <v>69</v>
      </c>
      <c r="J87" s="1" t="s">
        <v>65</v>
      </c>
      <c r="K87" s="1" t="s">
        <v>61</v>
      </c>
    </row>
    <row r="88" spans="1:11" customFormat="1" ht="14.5" x14ac:dyDescent="0.35">
      <c r="A88" s="1" t="s">
        <v>260</v>
      </c>
      <c r="B88" s="1" t="s">
        <v>261</v>
      </c>
      <c r="C88" s="1" t="s">
        <v>268</v>
      </c>
      <c r="D88" s="1">
        <v>2</v>
      </c>
      <c r="E88" s="1" t="s">
        <v>271</v>
      </c>
      <c r="F88" s="1" t="s">
        <v>272</v>
      </c>
      <c r="G88" s="1" t="s">
        <v>67</v>
      </c>
      <c r="H88" s="1" t="s">
        <v>68</v>
      </c>
      <c r="I88" s="1">
        <v>41</v>
      </c>
      <c r="J88" s="1" t="s">
        <v>65</v>
      </c>
      <c r="K88" s="1" t="s">
        <v>61</v>
      </c>
    </row>
    <row r="89" spans="1:11" customFormat="1" ht="14.5" x14ac:dyDescent="0.35">
      <c r="A89" s="1" t="s">
        <v>260</v>
      </c>
      <c r="B89" s="1" t="s">
        <v>261</v>
      </c>
      <c r="C89" s="1" t="s">
        <v>273</v>
      </c>
      <c r="D89" s="1">
        <v>1</v>
      </c>
      <c r="E89" s="1" t="s">
        <v>274</v>
      </c>
      <c r="F89" s="1" t="s">
        <v>275</v>
      </c>
      <c r="G89" s="1" t="s">
        <v>73</v>
      </c>
      <c r="H89" s="1" t="s">
        <v>74</v>
      </c>
      <c r="I89" s="1">
        <v>52</v>
      </c>
      <c r="J89" s="1" t="s">
        <v>65</v>
      </c>
      <c r="K89" s="1" t="s">
        <v>61</v>
      </c>
    </row>
    <row r="90" spans="1:11" customFormat="1" ht="14.5" x14ac:dyDescent="0.35">
      <c r="A90" s="1" t="s">
        <v>260</v>
      </c>
      <c r="B90" s="1" t="s">
        <v>261</v>
      </c>
      <c r="C90" s="1" t="s">
        <v>273</v>
      </c>
      <c r="D90" s="1">
        <v>2</v>
      </c>
      <c r="E90" s="1" t="s">
        <v>276</v>
      </c>
      <c r="F90" s="1" t="s">
        <v>277</v>
      </c>
      <c r="G90" s="1" t="s">
        <v>267</v>
      </c>
      <c r="H90" s="1" t="s">
        <v>52</v>
      </c>
      <c r="I90" s="1">
        <v>74</v>
      </c>
      <c r="J90" s="1" t="s">
        <v>65</v>
      </c>
      <c r="K90" s="1" t="s">
        <v>61</v>
      </c>
    </row>
    <row r="91" spans="1:11" customFormat="1" ht="14.5" x14ac:dyDescent="0.35">
      <c r="A91" s="1" t="s">
        <v>260</v>
      </c>
      <c r="B91" s="1" t="s">
        <v>261</v>
      </c>
      <c r="C91" s="1" t="s">
        <v>278</v>
      </c>
      <c r="D91" s="1">
        <v>1</v>
      </c>
      <c r="E91" s="1" t="s">
        <v>279</v>
      </c>
      <c r="F91" s="1" t="s">
        <v>280</v>
      </c>
      <c r="G91" s="1" t="s">
        <v>67</v>
      </c>
      <c r="H91" s="1" t="s">
        <v>68</v>
      </c>
      <c r="I91" s="1">
        <v>45</v>
      </c>
      <c r="J91" s="1" t="s">
        <v>65</v>
      </c>
      <c r="K91" s="1" t="s">
        <v>61</v>
      </c>
    </row>
    <row r="92" spans="1:11" customFormat="1" ht="14.5" x14ac:dyDescent="0.35">
      <c r="A92" s="1" t="s">
        <v>260</v>
      </c>
      <c r="B92" s="1" t="s">
        <v>261</v>
      </c>
      <c r="C92" s="1" t="s">
        <v>278</v>
      </c>
      <c r="D92" s="1">
        <v>2</v>
      </c>
      <c r="E92" s="1" t="s">
        <v>281</v>
      </c>
      <c r="F92" s="1" t="s">
        <v>282</v>
      </c>
      <c r="G92" s="1" t="s">
        <v>267</v>
      </c>
      <c r="H92" s="1" t="s">
        <v>52</v>
      </c>
      <c r="I92" s="1">
        <v>53</v>
      </c>
      <c r="J92" s="1" t="s">
        <v>65</v>
      </c>
      <c r="K92" s="1" t="s">
        <v>61</v>
      </c>
    </row>
    <row r="93" spans="1:11" customFormat="1" ht="14.5" x14ac:dyDescent="0.35">
      <c r="A93" s="1" t="s">
        <v>260</v>
      </c>
      <c r="B93" s="1" t="s">
        <v>283</v>
      </c>
      <c r="C93" s="1" t="s">
        <v>284</v>
      </c>
      <c r="D93" s="1">
        <v>1</v>
      </c>
      <c r="E93" s="1" t="s">
        <v>285</v>
      </c>
      <c r="F93" s="1" t="s">
        <v>286</v>
      </c>
      <c r="G93" s="1" t="s">
        <v>267</v>
      </c>
      <c r="H93" s="1" t="s">
        <v>52</v>
      </c>
      <c r="I93" s="1">
        <v>61</v>
      </c>
      <c r="J93" s="1" t="s">
        <v>65</v>
      </c>
      <c r="K93" s="1" t="s">
        <v>61</v>
      </c>
    </row>
    <row r="94" spans="1:11" customFormat="1" ht="14.5" x14ac:dyDescent="0.35">
      <c r="A94" s="1" t="s">
        <v>260</v>
      </c>
      <c r="B94" s="1" t="s">
        <v>283</v>
      </c>
      <c r="C94" s="1" t="s">
        <v>284</v>
      </c>
      <c r="D94" s="1">
        <v>2</v>
      </c>
      <c r="E94" s="1" t="s">
        <v>287</v>
      </c>
      <c r="F94" s="1" t="s">
        <v>288</v>
      </c>
      <c r="G94" s="1" t="s">
        <v>67</v>
      </c>
      <c r="H94" s="1" t="s">
        <v>68</v>
      </c>
      <c r="I94" s="1">
        <v>49</v>
      </c>
      <c r="J94" s="1" t="s">
        <v>65</v>
      </c>
      <c r="K94" s="1" t="s">
        <v>61</v>
      </c>
    </row>
    <row r="95" spans="1:11" customFormat="1" ht="14.5" x14ac:dyDescent="0.35">
      <c r="A95" s="1" t="s">
        <v>260</v>
      </c>
      <c r="B95" s="1" t="s">
        <v>283</v>
      </c>
      <c r="C95" s="1" t="s">
        <v>289</v>
      </c>
      <c r="D95" s="1">
        <v>1</v>
      </c>
      <c r="E95" s="1" t="s">
        <v>290</v>
      </c>
      <c r="F95" s="1" t="s">
        <v>291</v>
      </c>
      <c r="G95" s="1" t="s">
        <v>67</v>
      </c>
      <c r="H95" s="1" t="s">
        <v>68</v>
      </c>
      <c r="I95" s="1">
        <v>51</v>
      </c>
      <c r="J95" s="1" t="s">
        <v>60</v>
      </c>
      <c r="K95" s="1" t="s">
        <v>61</v>
      </c>
    </row>
    <row r="96" spans="1:11" customFormat="1" ht="14.5" x14ac:dyDescent="0.35">
      <c r="A96" s="1" t="s">
        <v>260</v>
      </c>
      <c r="B96" s="1" t="s">
        <v>283</v>
      </c>
      <c r="C96" s="1" t="s">
        <v>289</v>
      </c>
      <c r="D96" s="1">
        <v>2</v>
      </c>
      <c r="E96" s="1" t="s">
        <v>292</v>
      </c>
      <c r="F96" s="1" t="s">
        <v>293</v>
      </c>
      <c r="G96" s="1" t="s">
        <v>267</v>
      </c>
      <c r="H96" s="1" t="s">
        <v>52</v>
      </c>
      <c r="I96" s="1">
        <v>52</v>
      </c>
      <c r="J96" s="1" t="s">
        <v>65</v>
      </c>
      <c r="K96" s="1" t="s">
        <v>61</v>
      </c>
    </row>
    <row r="97" spans="1:11" customFormat="1" ht="14.5" x14ac:dyDescent="0.35">
      <c r="A97" s="1" t="s">
        <v>260</v>
      </c>
      <c r="B97" s="1" t="s">
        <v>283</v>
      </c>
      <c r="C97" s="1" t="s">
        <v>289</v>
      </c>
      <c r="D97" s="1">
        <v>3</v>
      </c>
      <c r="E97" s="1" t="s">
        <v>294</v>
      </c>
      <c r="F97" s="1" t="s">
        <v>295</v>
      </c>
      <c r="G97" s="1" t="s">
        <v>64</v>
      </c>
      <c r="H97" s="1" t="s">
        <v>64</v>
      </c>
      <c r="I97" s="1">
        <v>71</v>
      </c>
      <c r="J97" s="1" t="s">
        <v>65</v>
      </c>
      <c r="K97" s="1" t="s">
        <v>61</v>
      </c>
    </row>
    <row r="98" spans="1:11" customFormat="1" ht="14.5" x14ac:dyDescent="0.35">
      <c r="A98" s="1" t="s">
        <v>260</v>
      </c>
      <c r="B98" s="1" t="s">
        <v>283</v>
      </c>
      <c r="C98" s="1" t="s">
        <v>296</v>
      </c>
      <c r="D98" s="1">
        <v>1</v>
      </c>
      <c r="E98" s="1" t="s">
        <v>297</v>
      </c>
      <c r="F98" s="1" t="s">
        <v>298</v>
      </c>
      <c r="G98" s="1" t="s">
        <v>267</v>
      </c>
      <c r="H98" s="1" t="s">
        <v>52</v>
      </c>
      <c r="I98" s="1">
        <v>65</v>
      </c>
      <c r="J98" s="1" t="s">
        <v>65</v>
      </c>
      <c r="K98" s="1" t="s">
        <v>61</v>
      </c>
    </row>
    <row r="99" spans="1:11" customFormat="1" ht="14.5" x14ac:dyDescent="0.35">
      <c r="A99" s="1" t="s">
        <v>260</v>
      </c>
      <c r="B99" s="1" t="s">
        <v>283</v>
      </c>
      <c r="C99" s="1" t="s">
        <v>296</v>
      </c>
      <c r="D99" s="1">
        <v>2</v>
      </c>
      <c r="E99" s="1" t="s">
        <v>299</v>
      </c>
      <c r="F99" s="1" t="s">
        <v>299</v>
      </c>
      <c r="G99" s="1" t="s">
        <v>73</v>
      </c>
      <c r="H99" s="1" t="s">
        <v>74</v>
      </c>
      <c r="I99" s="1">
        <v>51</v>
      </c>
      <c r="J99" s="1" t="s">
        <v>65</v>
      </c>
      <c r="K99" s="1" t="s">
        <v>61</v>
      </c>
    </row>
    <row r="100" spans="1:11" customFormat="1" ht="14.5" x14ac:dyDescent="0.35">
      <c r="A100" s="1" t="s">
        <v>260</v>
      </c>
      <c r="B100" s="1" t="s">
        <v>300</v>
      </c>
      <c r="C100" s="1" t="s">
        <v>301</v>
      </c>
      <c r="D100" s="1">
        <v>1</v>
      </c>
      <c r="E100" s="1" t="s">
        <v>302</v>
      </c>
      <c r="F100" s="1" t="s">
        <v>303</v>
      </c>
      <c r="G100" s="1" t="s">
        <v>267</v>
      </c>
      <c r="H100" s="1" t="s">
        <v>52</v>
      </c>
      <c r="I100" s="1">
        <v>59</v>
      </c>
      <c r="J100" s="1" t="s">
        <v>60</v>
      </c>
      <c r="K100" s="1" t="s">
        <v>61</v>
      </c>
    </row>
    <row r="101" spans="1:11" customFormat="1" ht="14.5" x14ac:dyDescent="0.35">
      <c r="A101" s="1" t="s">
        <v>260</v>
      </c>
      <c r="B101" s="1" t="s">
        <v>300</v>
      </c>
      <c r="C101" s="1" t="s">
        <v>301</v>
      </c>
      <c r="D101" s="1">
        <v>2</v>
      </c>
      <c r="E101" s="1" t="s">
        <v>304</v>
      </c>
      <c r="F101" s="1" t="s">
        <v>305</v>
      </c>
      <c r="G101" s="1" t="s">
        <v>73</v>
      </c>
      <c r="H101" s="1" t="s">
        <v>74</v>
      </c>
      <c r="I101" s="1">
        <v>48</v>
      </c>
      <c r="J101" s="1" t="s">
        <v>65</v>
      </c>
      <c r="K101" s="1" t="s">
        <v>61</v>
      </c>
    </row>
    <row r="102" spans="1:11" customFormat="1" ht="14.5" x14ac:dyDescent="0.35">
      <c r="A102" s="1" t="s">
        <v>260</v>
      </c>
      <c r="B102" s="1" t="s">
        <v>300</v>
      </c>
      <c r="C102" s="1" t="s">
        <v>306</v>
      </c>
      <c r="D102" s="1">
        <v>1</v>
      </c>
      <c r="E102" s="1" t="s">
        <v>307</v>
      </c>
      <c r="F102" s="1" t="s">
        <v>308</v>
      </c>
      <c r="G102" s="1" t="s">
        <v>73</v>
      </c>
      <c r="H102" s="1" t="s">
        <v>74</v>
      </c>
      <c r="I102" s="1">
        <v>60</v>
      </c>
      <c r="J102" s="1" t="s">
        <v>60</v>
      </c>
      <c r="K102" s="1" t="s">
        <v>61</v>
      </c>
    </row>
    <row r="103" spans="1:11" customFormat="1" ht="14.5" x14ac:dyDescent="0.35">
      <c r="A103" s="1" t="s">
        <v>260</v>
      </c>
      <c r="B103" s="1" t="s">
        <v>300</v>
      </c>
      <c r="C103" s="1" t="s">
        <v>306</v>
      </c>
      <c r="D103" s="1">
        <v>2</v>
      </c>
      <c r="E103" s="1" t="s">
        <v>309</v>
      </c>
      <c r="F103" s="1" t="s">
        <v>310</v>
      </c>
      <c r="G103" s="1" t="s">
        <v>64</v>
      </c>
      <c r="H103" s="1" t="s">
        <v>64</v>
      </c>
      <c r="I103" s="1">
        <v>57</v>
      </c>
      <c r="J103" s="1" t="s">
        <v>65</v>
      </c>
      <c r="K103" s="1" t="s">
        <v>61</v>
      </c>
    </row>
    <row r="104" spans="1:11" customFormat="1" ht="14.5" x14ac:dyDescent="0.35">
      <c r="A104" s="1" t="s">
        <v>260</v>
      </c>
      <c r="B104" s="1" t="s">
        <v>300</v>
      </c>
      <c r="C104" s="1" t="s">
        <v>306</v>
      </c>
      <c r="D104" s="1">
        <v>3</v>
      </c>
      <c r="E104" s="1" t="s">
        <v>311</v>
      </c>
      <c r="F104" s="1" t="s">
        <v>312</v>
      </c>
      <c r="G104" s="1" t="s">
        <v>213</v>
      </c>
      <c r="H104" s="1" t="s">
        <v>214</v>
      </c>
      <c r="I104" s="1">
        <v>56</v>
      </c>
      <c r="J104" s="1" t="s">
        <v>65</v>
      </c>
      <c r="K104" s="1" t="s">
        <v>121</v>
      </c>
    </row>
    <row r="105" spans="1:11" customFormat="1" ht="14.5" x14ac:dyDescent="0.35">
      <c r="A105" s="1" t="s">
        <v>260</v>
      </c>
      <c r="B105" s="1" t="s">
        <v>300</v>
      </c>
      <c r="C105" s="1" t="s">
        <v>306</v>
      </c>
      <c r="D105" s="1">
        <v>4</v>
      </c>
      <c r="E105" s="1" t="s">
        <v>313</v>
      </c>
      <c r="F105" s="1" t="s">
        <v>314</v>
      </c>
      <c r="G105" s="1" t="s">
        <v>267</v>
      </c>
      <c r="H105" s="1" t="s">
        <v>52</v>
      </c>
      <c r="I105" s="1">
        <v>62</v>
      </c>
      <c r="J105" s="1" t="s">
        <v>65</v>
      </c>
      <c r="K105" s="1" t="s">
        <v>61</v>
      </c>
    </row>
    <row r="106" spans="1:11" customFormat="1" ht="14.5" x14ac:dyDescent="0.35">
      <c r="A106" s="1" t="s">
        <v>260</v>
      </c>
      <c r="B106" s="1" t="s">
        <v>300</v>
      </c>
      <c r="C106" s="1" t="s">
        <v>315</v>
      </c>
      <c r="D106" s="1">
        <v>1</v>
      </c>
      <c r="E106" s="1" t="s">
        <v>316</v>
      </c>
      <c r="F106" s="1" t="s">
        <v>317</v>
      </c>
      <c r="G106" s="1" t="s">
        <v>67</v>
      </c>
      <c r="H106" s="1" t="s">
        <v>68</v>
      </c>
      <c r="I106" s="1">
        <v>66</v>
      </c>
      <c r="J106" s="1" t="s">
        <v>65</v>
      </c>
      <c r="K106" s="1" t="s">
        <v>61</v>
      </c>
    </row>
    <row r="107" spans="1:11" customFormat="1" ht="14.5" x14ac:dyDescent="0.35">
      <c r="A107" s="1" t="s">
        <v>260</v>
      </c>
      <c r="B107" s="1" t="s">
        <v>300</v>
      </c>
      <c r="C107" s="1" t="s">
        <v>315</v>
      </c>
      <c r="D107" s="1">
        <v>2</v>
      </c>
      <c r="E107" s="1" t="s">
        <v>318</v>
      </c>
      <c r="F107" s="1" t="s">
        <v>319</v>
      </c>
      <c r="G107" s="1" t="s">
        <v>267</v>
      </c>
      <c r="H107" s="1" t="s">
        <v>52</v>
      </c>
      <c r="I107" s="1">
        <v>59</v>
      </c>
      <c r="J107" s="1" t="s">
        <v>65</v>
      </c>
      <c r="K107" s="1" t="s">
        <v>61</v>
      </c>
    </row>
    <row r="108" spans="1:11" customFormat="1" ht="14.5" x14ac:dyDescent="0.35">
      <c r="A108" s="1" t="s">
        <v>260</v>
      </c>
      <c r="B108" s="1" t="s">
        <v>320</v>
      </c>
      <c r="C108" s="1" t="s">
        <v>321</v>
      </c>
      <c r="D108" s="1">
        <v>1</v>
      </c>
      <c r="E108" s="1" t="s">
        <v>322</v>
      </c>
      <c r="F108" s="1" t="s">
        <v>323</v>
      </c>
      <c r="G108" s="1" t="s">
        <v>64</v>
      </c>
      <c r="H108" s="1" t="s">
        <v>64</v>
      </c>
      <c r="I108" s="1">
        <v>45</v>
      </c>
      <c r="J108" s="1" t="s">
        <v>65</v>
      </c>
      <c r="K108" s="1" t="s">
        <v>61</v>
      </c>
    </row>
    <row r="109" spans="1:11" customFormat="1" ht="14.5" x14ac:dyDescent="0.35">
      <c r="A109" s="1" t="s">
        <v>260</v>
      </c>
      <c r="B109" s="1" t="s">
        <v>320</v>
      </c>
      <c r="C109" s="1" t="s">
        <v>321</v>
      </c>
      <c r="D109" s="1">
        <v>2</v>
      </c>
      <c r="E109" s="1" t="s">
        <v>324</v>
      </c>
      <c r="F109" s="1" t="s">
        <v>325</v>
      </c>
      <c r="G109" s="1" t="s">
        <v>267</v>
      </c>
      <c r="H109" s="1" t="s">
        <v>52</v>
      </c>
      <c r="I109" s="1">
        <v>52</v>
      </c>
      <c r="J109" s="1" t="s">
        <v>65</v>
      </c>
      <c r="K109" s="1" t="s">
        <v>61</v>
      </c>
    </row>
    <row r="110" spans="1:11" customFormat="1" ht="14.5" x14ac:dyDescent="0.35">
      <c r="A110" s="1" t="s">
        <v>260</v>
      </c>
      <c r="B110" s="1" t="s">
        <v>320</v>
      </c>
      <c r="C110" s="1" t="s">
        <v>321</v>
      </c>
      <c r="D110" s="1">
        <v>3</v>
      </c>
      <c r="E110" s="1" t="s">
        <v>326</v>
      </c>
      <c r="F110" s="1" t="s">
        <v>327</v>
      </c>
      <c r="G110" s="1" t="s">
        <v>67</v>
      </c>
      <c r="H110" s="1" t="s">
        <v>68</v>
      </c>
      <c r="I110" s="1">
        <v>45</v>
      </c>
      <c r="J110" s="1" t="s">
        <v>65</v>
      </c>
      <c r="K110" s="1" t="s">
        <v>61</v>
      </c>
    </row>
    <row r="111" spans="1:11" customFormat="1" ht="14.5" x14ac:dyDescent="0.35">
      <c r="A111" s="1" t="s">
        <v>260</v>
      </c>
      <c r="B111" s="1" t="s">
        <v>320</v>
      </c>
      <c r="C111" s="1" t="s">
        <v>328</v>
      </c>
      <c r="D111" s="1">
        <v>1</v>
      </c>
      <c r="E111" s="1" t="s">
        <v>329</v>
      </c>
      <c r="F111" s="1" t="s">
        <v>330</v>
      </c>
      <c r="G111" s="1" t="s">
        <v>73</v>
      </c>
      <c r="H111" s="1" t="s">
        <v>74</v>
      </c>
      <c r="I111" s="1">
        <v>61</v>
      </c>
      <c r="J111" s="1" t="s">
        <v>65</v>
      </c>
      <c r="K111" s="1" t="s">
        <v>61</v>
      </c>
    </row>
    <row r="112" spans="1:11" customFormat="1" ht="14.5" x14ac:dyDescent="0.35">
      <c r="A112" s="1" t="s">
        <v>260</v>
      </c>
      <c r="B112" s="1" t="s">
        <v>320</v>
      </c>
      <c r="C112" s="1" t="s">
        <v>328</v>
      </c>
      <c r="D112" s="1">
        <v>2</v>
      </c>
      <c r="E112" s="1" t="s">
        <v>331</v>
      </c>
      <c r="F112" s="1" t="s">
        <v>332</v>
      </c>
      <c r="G112" s="1" t="s">
        <v>267</v>
      </c>
      <c r="H112" s="1" t="s">
        <v>52</v>
      </c>
      <c r="I112" s="1">
        <v>58</v>
      </c>
      <c r="J112" s="1" t="s">
        <v>65</v>
      </c>
      <c r="K112" s="1" t="s">
        <v>61</v>
      </c>
    </row>
    <row r="113" spans="1:11" customFormat="1" ht="14.5" x14ac:dyDescent="0.35">
      <c r="A113" s="1" t="s">
        <v>260</v>
      </c>
      <c r="B113" s="1" t="s">
        <v>320</v>
      </c>
      <c r="C113" s="1" t="s">
        <v>333</v>
      </c>
      <c r="D113" s="1">
        <v>1</v>
      </c>
      <c r="E113" s="1" t="s">
        <v>334</v>
      </c>
      <c r="F113" s="1" t="s">
        <v>335</v>
      </c>
      <c r="G113" s="1" t="s">
        <v>67</v>
      </c>
      <c r="H113" s="1" t="s">
        <v>68</v>
      </c>
      <c r="I113" s="1">
        <v>58</v>
      </c>
      <c r="J113" s="1" t="s">
        <v>65</v>
      </c>
      <c r="K113" s="1" t="s">
        <v>61</v>
      </c>
    </row>
    <row r="114" spans="1:11" customFormat="1" ht="14.5" x14ac:dyDescent="0.35">
      <c r="A114" s="1" t="s">
        <v>260</v>
      </c>
      <c r="B114" s="1" t="s">
        <v>320</v>
      </c>
      <c r="C114" s="1" t="s">
        <v>333</v>
      </c>
      <c r="D114" s="1">
        <v>2</v>
      </c>
      <c r="E114" s="1" t="s">
        <v>336</v>
      </c>
      <c r="F114" s="1" t="s">
        <v>337</v>
      </c>
      <c r="G114" s="1" t="s">
        <v>267</v>
      </c>
      <c r="H114" s="1" t="s">
        <v>52</v>
      </c>
      <c r="I114" s="1">
        <v>59</v>
      </c>
      <c r="J114" s="1" t="s">
        <v>65</v>
      </c>
      <c r="K114" s="1" t="s">
        <v>61</v>
      </c>
    </row>
    <row r="115" spans="1:11" customFormat="1" ht="14.5" x14ac:dyDescent="0.35">
      <c r="A115" s="1" t="s">
        <v>260</v>
      </c>
      <c r="B115" s="1" t="s">
        <v>338</v>
      </c>
      <c r="C115" s="1" t="s">
        <v>339</v>
      </c>
      <c r="D115" s="1">
        <v>1</v>
      </c>
      <c r="E115" s="1" t="s">
        <v>340</v>
      </c>
      <c r="F115" s="1" t="s">
        <v>341</v>
      </c>
      <c r="G115" s="1" t="s">
        <v>267</v>
      </c>
      <c r="H115" s="1" t="s">
        <v>52</v>
      </c>
      <c r="I115" s="1">
        <v>55</v>
      </c>
      <c r="J115" s="1" t="s">
        <v>65</v>
      </c>
      <c r="K115" s="1" t="s">
        <v>61</v>
      </c>
    </row>
    <row r="116" spans="1:11" customFormat="1" ht="14.5" x14ac:dyDescent="0.35">
      <c r="A116" s="1" t="s">
        <v>260</v>
      </c>
      <c r="B116" s="1" t="s">
        <v>338</v>
      </c>
      <c r="C116" s="1" t="s">
        <v>339</v>
      </c>
      <c r="D116" s="1">
        <v>2</v>
      </c>
      <c r="E116" s="1" t="s">
        <v>342</v>
      </c>
      <c r="F116" s="1" t="s">
        <v>343</v>
      </c>
      <c r="G116" s="1" t="s">
        <v>73</v>
      </c>
      <c r="H116" s="1" t="s">
        <v>74</v>
      </c>
      <c r="I116" s="1">
        <v>34</v>
      </c>
      <c r="J116" s="1" t="s">
        <v>65</v>
      </c>
      <c r="K116" s="1" t="s">
        <v>61</v>
      </c>
    </row>
    <row r="117" spans="1:11" customFormat="1" ht="14.5" x14ac:dyDescent="0.35">
      <c r="A117" s="1" t="s">
        <v>260</v>
      </c>
      <c r="B117" s="1" t="s">
        <v>338</v>
      </c>
      <c r="C117" s="1" t="s">
        <v>344</v>
      </c>
      <c r="D117" s="1">
        <v>1</v>
      </c>
      <c r="E117" s="1" t="s">
        <v>345</v>
      </c>
      <c r="F117" s="1" t="s">
        <v>346</v>
      </c>
      <c r="G117" s="1" t="s">
        <v>67</v>
      </c>
      <c r="H117" s="1" t="s">
        <v>68</v>
      </c>
      <c r="I117" s="1">
        <v>45</v>
      </c>
      <c r="J117" s="1" t="s">
        <v>65</v>
      </c>
      <c r="K117" s="1" t="s">
        <v>61</v>
      </c>
    </row>
    <row r="118" spans="1:11" customFormat="1" ht="14.5" x14ac:dyDescent="0.35">
      <c r="A118" s="1" t="s">
        <v>260</v>
      </c>
      <c r="B118" s="1" t="s">
        <v>338</v>
      </c>
      <c r="C118" s="1" t="s">
        <v>344</v>
      </c>
      <c r="D118" s="1">
        <v>2</v>
      </c>
      <c r="E118" s="1" t="s">
        <v>347</v>
      </c>
      <c r="F118" s="1" t="s">
        <v>348</v>
      </c>
      <c r="G118" s="1" t="s">
        <v>267</v>
      </c>
      <c r="H118" s="1" t="s">
        <v>52</v>
      </c>
      <c r="I118" s="1">
        <v>51</v>
      </c>
      <c r="J118" s="1" t="s">
        <v>65</v>
      </c>
      <c r="K118" s="1" t="s">
        <v>61</v>
      </c>
    </row>
    <row r="119" spans="1:11" customFormat="1" ht="14.5" x14ac:dyDescent="0.35">
      <c r="A119" s="1" t="s">
        <v>260</v>
      </c>
      <c r="B119" s="1" t="s">
        <v>338</v>
      </c>
      <c r="C119" s="1" t="s">
        <v>349</v>
      </c>
      <c r="D119" s="1">
        <v>1</v>
      </c>
      <c r="E119" s="1" t="s">
        <v>350</v>
      </c>
      <c r="F119" s="1" t="s">
        <v>351</v>
      </c>
      <c r="G119" s="1" t="s">
        <v>67</v>
      </c>
      <c r="H119" s="1" t="s">
        <v>68</v>
      </c>
      <c r="I119" s="1">
        <v>48</v>
      </c>
      <c r="J119" s="1" t="s">
        <v>65</v>
      </c>
      <c r="K119" s="1" t="s">
        <v>61</v>
      </c>
    </row>
    <row r="120" spans="1:11" customFormat="1" ht="14.5" x14ac:dyDescent="0.35">
      <c r="A120" s="1" t="s">
        <v>260</v>
      </c>
      <c r="B120" s="1" t="s">
        <v>338</v>
      </c>
      <c r="C120" s="1" t="s">
        <v>349</v>
      </c>
      <c r="D120" s="1">
        <v>2</v>
      </c>
      <c r="E120" s="1" t="s">
        <v>352</v>
      </c>
      <c r="F120" s="1" t="s">
        <v>353</v>
      </c>
      <c r="G120" s="1" t="s">
        <v>267</v>
      </c>
      <c r="H120" s="1" t="s">
        <v>52</v>
      </c>
      <c r="I120" s="1">
        <v>53</v>
      </c>
      <c r="J120" s="1" t="s">
        <v>65</v>
      </c>
      <c r="K120" s="1" t="s">
        <v>61</v>
      </c>
    </row>
    <row r="121" spans="1:11" customFormat="1" ht="14.5" x14ac:dyDescent="0.35">
      <c r="A121" s="1" t="s">
        <v>260</v>
      </c>
      <c r="B121" s="1" t="s">
        <v>354</v>
      </c>
      <c r="C121" s="1" t="s">
        <v>355</v>
      </c>
      <c r="D121" s="1">
        <v>1</v>
      </c>
      <c r="E121" s="1" t="s">
        <v>356</v>
      </c>
      <c r="F121" s="1" t="s">
        <v>357</v>
      </c>
      <c r="G121" s="1" t="s">
        <v>267</v>
      </c>
      <c r="H121" s="1" t="s">
        <v>52</v>
      </c>
      <c r="I121" s="1">
        <v>44</v>
      </c>
      <c r="J121" s="1" t="s">
        <v>65</v>
      </c>
      <c r="K121" s="1" t="s">
        <v>61</v>
      </c>
    </row>
    <row r="122" spans="1:11" customFormat="1" ht="14.5" x14ac:dyDescent="0.35">
      <c r="A122" s="1" t="s">
        <v>260</v>
      </c>
      <c r="B122" s="1" t="s">
        <v>354</v>
      </c>
      <c r="C122" s="1" t="s">
        <v>355</v>
      </c>
      <c r="D122" s="1">
        <v>2</v>
      </c>
      <c r="E122" s="1" t="s">
        <v>358</v>
      </c>
      <c r="F122" s="1" t="s">
        <v>359</v>
      </c>
      <c r="G122" s="1" t="s">
        <v>67</v>
      </c>
      <c r="H122" s="1" t="s">
        <v>68</v>
      </c>
      <c r="I122" s="1">
        <v>41</v>
      </c>
      <c r="J122" s="1" t="s">
        <v>65</v>
      </c>
      <c r="K122" s="1" t="s">
        <v>61</v>
      </c>
    </row>
    <row r="123" spans="1:11" customFormat="1" ht="14.5" x14ac:dyDescent="0.35">
      <c r="A123" s="1" t="s">
        <v>260</v>
      </c>
      <c r="B123" s="1" t="s">
        <v>354</v>
      </c>
      <c r="C123" s="1" t="s">
        <v>360</v>
      </c>
      <c r="D123" s="1">
        <v>1</v>
      </c>
      <c r="E123" s="1" t="s">
        <v>361</v>
      </c>
      <c r="F123" s="1" t="s">
        <v>362</v>
      </c>
      <c r="G123" s="1" t="s">
        <v>267</v>
      </c>
      <c r="H123" s="1" t="s">
        <v>52</v>
      </c>
      <c r="I123" s="1">
        <v>61</v>
      </c>
      <c r="J123" s="1" t="s">
        <v>65</v>
      </c>
      <c r="K123" s="1" t="s">
        <v>61</v>
      </c>
    </row>
    <row r="124" spans="1:11" customFormat="1" ht="14.5" x14ac:dyDescent="0.35">
      <c r="A124" s="1" t="s">
        <v>260</v>
      </c>
      <c r="B124" s="1" t="s">
        <v>354</v>
      </c>
      <c r="C124" s="1" t="s">
        <v>360</v>
      </c>
      <c r="D124" s="1">
        <v>2</v>
      </c>
      <c r="E124" s="1" t="s">
        <v>363</v>
      </c>
      <c r="F124" s="1" t="s">
        <v>364</v>
      </c>
      <c r="G124" s="1" t="s">
        <v>73</v>
      </c>
      <c r="H124" s="1" t="s">
        <v>74</v>
      </c>
      <c r="I124" s="1">
        <v>38</v>
      </c>
      <c r="J124" s="1" t="s">
        <v>60</v>
      </c>
      <c r="K124" s="1" t="s">
        <v>61</v>
      </c>
    </row>
    <row r="125" spans="1:11" customFormat="1" ht="14.5" x14ac:dyDescent="0.35">
      <c r="A125" s="1" t="s">
        <v>260</v>
      </c>
      <c r="B125" s="1" t="s">
        <v>354</v>
      </c>
      <c r="C125" s="1" t="s">
        <v>365</v>
      </c>
      <c r="D125" s="1">
        <v>1</v>
      </c>
      <c r="E125" s="1" t="s">
        <v>366</v>
      </c>
      <c r="F125" s="1" t="s">
        <v>367</v>
      </c>
      <c r="G125" s="1" t="s">
        <v>267</v>
      </c>
      <c r="H125" s="1" t="s">
        <v>52</v>
      </c>
      <c r="I125" s="1">
        <v>47</v>
      </c>
      <c r="J125" s="1" t="s">
        <v>65</v>
      </c>
      <c r="K125" s="1" t="s">
        <v>61</v>
      </c>
    </row>
    <row r="126" spans="1:11" customFormat="1" ht="14.5" x14ac:dyDescent="0.35">
      <c r="A126" s="1" t="s">
        <v>260</v>
      </c>
      <c r="B126" s="1" t="s">
        <v>354</v>
      </c>
      <c r="C126" s="1" t="s">
        <v>365</v>
      </c>
      <c r="D126" s="1">
        <v>2</v>
      </c>
      <c r="E126" s="1" t="s">
        <v>368</v>
      </c>
      <c r="F126" s="1" t="s">
        <v>369</v>
      </c>
      <c r="G126" s="1" t="s">
        <v>73</v>
      </c>
      <c r="H126" s="1" t="s">
        <v>74</v>
      </c>
      <c r="I126" s="1">
        <v>70</v>
      </c>
      <c r="J126" s="1" t="s">
        <v>65</v>
      </c>
      <c r="K126" s="1" t="s">
        <v>61</v>
      </c>
    </row>
    <row r="127" spans="1:11" customFormat="1" ht="14.5" x14ac:dyDescent="0.35">
      <c r="A127" s="1" t="s">
        <v>260</v>
      </c>
      <c r="B127" s="1" t="s">
        <v>370</v>
      </c>
      <c r="C127" s="1" t="s">
        <v>371</v>
      </c>
      <c r="D127" s="1">
        <v>1</v>
      </c>
      <c r="E127" s="1" t="s">
        <v>372</v>
      </c>
      <c r="F127" s="1" t="s">
        <v>373</v>
      </c>
      <c r="G127" s="1" t="s">
        <v>267</v>
      </c>
      <c r="H127" s="1" t="s">
        <v>52</v>
      </c>
      <c r="I127" s="1">
        <v>53</v>
      </c>
      <c r="J127" s="1" t="s">
        <v>65</v>
      </c>
      <c r="K127" s="1" t="s">
        <v>61</v>
      </c>
    </row>
    <row r="128" spans="1:11" customFormat="1" ht="14.5" x14ac:dyDescent="0.35">
      <c r="A128" s="1" t="s">
        <v>260</v>
      </c>
      <c r="B128" s="1" t="s">
        <v>370</v>
      </c>
      <c r="C128" s="1" t="s">
        <v>371</v>
      </c>
      <c r="D128" s="1">
        <v>2</v>
      </c>
      <c r="E128" s="1" t="s">
        <v>374</v>
      </c>
      <c r="F128" s="1" t="s">
        <v>375</v>
      </c>
      <c r="G128" s="1" t="s">
        <v>73</v>
      </c>
      <c r="H128" s="1" t="s">
        <v>74</v>
      </c>
      <c r="I128" s="1">
        <v>73</v>
      </c>
      <c r="J128" s="1" t="s">
        <v>65</v>
      </c>
      <c r="K128" s="1" t="s">
        <v>61</v>
      </c>
    </row>
    <row r="129" spans="1:11" customFormat="1" ht="14.5" x14ac:dyDescent="0.35">
      <c r="A129" s="1" t="s">
        <v>260</v>
      </c>
      <c r="B129" s="1" t="s">
        <v>370</v>
      </c>
      <c r="C129" s="1" t="s">
        <v>376</v>
      </c>
      <c r="D129" s="1">
        <v>1</v>
      </c>
      <c r="E129" s="1" t="s">
        <v>377</v>
      </c>
      <c r="F129" s="1" t="s">
        <v>378</v>
      </c>
      <c r="G129" s="1" t="s">
        <v>67</v>
      </c>
      <c r="H129" s="1" t="s">
        <v>68</v>
      </c>
      <c r="I129" s="1">
        <v>64</v>
      </c>
      <c r="J129" s="1" t="s">
        <v>60</v>
      </c>
      <c r="K129" s="1" t="s">
        <v>61</v>
      </c>
    </row>
    <row r="130" spans="1:11" customFormat="1" ht="14.5" x14ac:dyDescent="0.35">
      <c r="A130" s="1" t="s">
        <v>260</v>
      </c>
      <c r="B130" s="1" t="s">
        <v>370</v>
      </c>
      <c r="C130" s="1" t="s">
        <v>376</v>
      </c>
      <c r="D130" s="1">
        <v>2</v>
      </c>
      <c r="E130" s="1" t="s">
        <v>379</v>
      </c>
      <c r="F130" s="1" t="s">
        <v>380</v>
      </c>
      <c r="G130" s="1" t="s">
        <v>267</v>
      </c>
      <c r="H130" s="1" t="s">
        <v>52</v>
      </c>
      <c r="I130" s="1">
        <v>59</v>
      </c>
      <c r="J130" s="1" t="s">
        <v>65</v>
      </c>
      <c r="K130" s="1" t="s">
        <v>61</v>
      </c>
    </row>
    <row r="131" spans="1:11" customFormat="1" ht="14.5" x14ac:dyDescent="0.35">
      <c r="A131" s="1" t="s">
        <v>260</v>
      </c>
      <c r="B131" s="1" t="s">
        <v>370</v>
      </c>
      <c r="C131" s="1" t="s">
        <v>381</v>
      </c>
      <c r="D131" s="1">
        <v>1</v>
      </c>
      <c r="E131" s="1" t="s">
        <v>382</v>
      </c>
      <c r="F131" s="1" t="s">
        <v>383</v>
      </c>
      <c r="G131" s="1" t="s">
        <v>67</v>
      </c>
      <c r="H131" s="1" t="s">
        <v>68</v>
      </c>
      <c r="I131" s="1">
        <v>53</v>
      </c>
      <c r="J131" s="1" t="s">
        <v>65</v>
      </c>
      <c r="K131" s="1" t="s">
        <v>61</v>
      </c>
    </row>
    <row r="132" spans="1:11" customFormat="1" ht="14.5" x14ac:dyDescent="0.35">
      <c r="A132" s="1" t="s">
        <v>260</v>
      </c>
      <c r="B132" s="1" t="s">
        <v>370</v>
      </c>
      <c r="C132" s="1" t="s">
        <v>381</v>
      </c>
      <c r="D132" s="1">
        <v>2</v>
      </c>
      <c r="E132" s="1" t="s">
        <v>384</v>
      </c>
      <c r="F132" s="1" t="s">
        <v>385</v>
      </c>
      <c r="G132" s="1" t="s">
        <v>267</v>
      </c>
      <c r="H132" s="1" t="s">
        <v>52</v>
      </c>
      <c r="I132" s="1">
        <v>55</v>
      </c>
      <c r="J132" s="1" t="s">
        <v>65</v>
      </c>
      <c r="K132" s="1" t="s">
        <v>61</v>
      </c>
    </row>
    <row r="133" spans="1:11" customFormat="1" ht="14.5" x14ac:dyDescent="0.35">
      <c r="A133" s="1" t="s">
        <v>260</v>
      </c>
      <c r="B133" s="1" t="s">
        <v>370</v>
      </c>
      <c r="C133" s="1" t="s">
        <v>381</v>
      </c>
      <c r="D133" s="1">
        <v>3</v>
      </c>
      <c r="E133" s="1" t="s">
        <v>386</v>
      </c>
      <c r="F133" s="1" t="s">
        <v>387</v>
      </c>
      <c r="G133" s="1" t="s">
        <v>64</v>
      </c>
      <c r="H133" s="1" t="s">
        <v>64</v>
      </c>
      <c r="I133" s="1">
        <v>63</v>
      </c>
      <c r="J133" s="1" t="s">
        <v>65</v>
      </c>
      <c r="K133" s="1" t="s">
        <v>61</v>
      </c>
    </row>
    <row r="134" spans="1:11" customFormat="1" ht="14.5" x14ac:dyDescent="0.35">
      <c r="A134" s="1" t="s">
        <v>260</v>
      </c>
      <c r="B134" s="1" t="s">
        <v>388</v>
      </c>
      <c r="C134" s="1" t="s">
        <v>389</v>
      </c>
      <c r="D134" s="1">
        <v>1</v>
      </c>
      <c r="E134" s="1" t="s">
        <v>390</v>
      </c>
      <c r="F134" s="1" t="s">
        <v>391</v>
      </c>
      <c r="G134" s="1" t="s">
        <v>267</v>
      </c>
      <c r="H134" s="1" t="s">
        <v>52</v>
      </c>
      <c r="I134" s="1">
        <v>49</v>
      </c>
      <c r="J134" s="1" t="s">
        <v>65</v>
      </c>
      <c r="K134" s="1" t="s">
        <v>61</v>
      </c>
    </row>
    <row r="135" spans="1:11" customFormat="1" ht="14.5" x14ac:dyDescent="0.35">
      <c r="A135" s="1" t="s">
        <v>260</v>
      </c>
      <c r="B135" s="1" t="s">
        <v>388</v>
      </c>
      <c r="C135" s="1" t="s">
        <v>389</v>
      </c>
      <c r="D135" s="1">
        <v>2</v>
      </c>
      <c r="E135" s="1" t="s">
        <v>392</v>
      </c>
      <c r="F135" s="1" t="s">
        <v>393</v>
      </c>
      <c r="G135" s="1" t="s">
        <v>67</v>
      </c>
      <c r="H135" s="1" t="s">
        <v>68</v>
      </c>
      <c r="I135" s="1">
        <v>63</v>
      </c>
      <c r="J135" s="1" t="s">
        <v>65</v>
      </c>
      <c r="K135" s="1" t="s">
        <v>61</v>
      </c>
    </row>
    <row r="136" spans="1:11" customFormat="1" ht="14.5" x14ac:dyDescent="0.35">
      <c r="A136" s="1" t="s">
        <v>260</v>
      </c>
      <c r="B136" s="1" t="s">
        <v>388</v>
      </c>
      <c r="C136" s="1" t="s">
        <v>394</v>
      </c>
      <c r="D136" s="1">
        <v>1</v>
      </c>
      <c r="E136" s="1" t="s">
        <v>395</v>
      </c>
      <c r="F136" s="1" t="s">
        <v>396</v>
      </c>
      <c r="G136" s="1" t="s">
        <v>73</v>
      </c>
      <c r="H136" s="1" t="s">
        <v>74</v>
      </c>
      <c r="I136" s="1">
        <v>52</v>
      </c>
      <c r="J136" s="1" t="s">
        <v>65</v>
      </c>
      <c r="K136" s="1" t="s">
        <v>61</v>
      </c>
    </row>
    <row r="137" spans="1:11" customFormat="1" ht="14.5" x14ac:dyDescent="0.35">
      <c r="A137" s="1" t="s">
        <v>260</v>
      </c>
      <c r="B137" s="1" t="s">
        <v>388</v>
      </c>
      <c r="C137" s="1" t="s">
        <v>394</v>
      </c>
      <c r="D137" s="1">
        <v>2</v>
      </c>
      <c r="E137" s="1" t="s">
        <v>397</v>
      </c>
      <c r="F137" s="1" t="s">
        <v>398</v>
      </c>
      <c r="G137" s="1" t="s">
        <v>267</v>
      </c>
      <c r="H137" s="1" t="s">
        <v>52</v>
      </c>
      <c r="I137" s="1">
        <v>67</v>
      </c>
      <c r="J137" s="1" t="s">
        <v>65</v>
      </c>
      <c r="K137" s="1" t="s">
        <v>61</v>
      </c>
    </row>
    <row r="138" spans="1:11" customFormat="1" ht="14.5" x14ac:dyDescent="0.35">
      <c r="A138" s="1" t="s">
        <v>260</v>
      </c>
      <c r="B138" s="1" t="s">
        <v>388</v>
      </c>
      <c r="C138" s="1" t="s">
        <v>399</v>
      </c>
      <c r="D138" s="1">
        <v>1</v>
      </c>
      <c r="E138" s="1" t="s">
        <v>400</v>
      </c>
      <c r="F138" s="1" t="s">
        <v>401</v>
      </c>
      <c r="G138" s="1" t="s">
        <v>67</v>
      </c>
      <c r="H138" s="1" t="s">
        <v>68</v>
      </c>
      <c r="I138" s="1">
        <v>57</v>
      </c>
      <c r="J138" s="1" t="s">
        <v>65</v>
      </c>
      <c r="K138" s="1" t="s">
        <v>61</v>
      </c>
    </row>
    <row r="139" spans="1:11" customFormat="1" ht="14.5" x14ac:dyDescent="0.35">
      <c r="A139" s="1" t="s">
        <v>260</v>
      </c>
      <c r="B139" s="1" t="s">
        <v>388</v>
      </c>
      <c r="C139" s="1" t="s">
        <v>399</v>
      </c>
      <c r="D139" s="1">
        <v>2</v>
      </c>
      <c r="E139" s="1" t="s">
        <v>402</v>
      </c>
      <c r="F139" s="1" t="s">
        <v>403</v>
      </c>
      <c r="G139" s="1" t="s">
        <v>267</v>
      </c>
      <c r="H139" s="1" t="s">
        <v>52</v>
      </c>
      <c r="I139" s="1">
        <v>57</v>
      </c>
      <c r="J139" s="1" t="s">
        <v>65</v>
      </c>
      <c r="K139" s="1" t="s">
        <v>61</v>
      </c>
    </row>
    <row r="140" spans="1:11" customFormat="1" ht="14.5" x14ac:dyDescent="0.35">
      <c r="A140" s="1" t="s">
        <v>260</v>
      </c>
      <c r="B140" s="1" t="s">
        <v>404</v>
      </c>
      <c r="C140" s="1" t="s">
        <v>405</v>
      </c>
      <c r="D140" s="1">
        <v>1</v>
      </c>
      <c r="E140" s="1" t="s">
        <v>406</v>
      </c>
      <c r="F140" s="1" t="s">
        <v>407</v>
      </c>
      <c r="G140" s="1" t="s">
        <v>267</v>
      </c>
      <c r="H140" s="1" t="s">
        <v>52</v>
      </c>
      <c r="I140" s="1">
        <v>61</v>
      </c>
      <c r="J140" s="1" t="s">
        <v>65</v>
      </c>
      <c r="K140" s="1" t="s">
        <v>61</v>
      </c>
    </row>
    <row r="141" spans="1:11" customFormat="1" ht="14.5" x14ac:dyDescent="0.35">
      <c r="A141" s="1" t="s">
        <v>260</v>
      </c>
      <c r="B141" s="1" t="s">
        <v>404</v>
      </c>
      <c r="C141" s="1" t="s">
        <v>405</v>
      </c>
      <c r="D141" s="1">
        <v>2</v>
      </c>
      <c r="E141" s="1" t="s">
        <v>408</v>
      </c>
      <c r="F141" s="1" t="s">
        <v>409</v>
      </c>
      <c r="G141" s="1" t="s">
        <v>73</v>
      </c>
      <c r="H141" s="1" t="s">
        <v>74</v>
      </c>
      <c r="I141" s="1">
        <v>55</v>
      </c>
      <c r="J141" s="1" t="s">
        <v>65</v>
      </c>
      <c r="K141" s="1" t="s">
        <v>61</v>
      </c>
    </row>
    <row r="142" spans="1:11" customFormat="1" ht="14.5" x14ac:dyDescent="0.35">
      <c r="A142" s="1" t="s">
        <v>260</v>
      </c>
      <c r="B142" s="1" t="s">
        <v>404</v>
      </c>
      <c r="C142" s="1" t="s">
        <v>410</v>
      </c>
      <c r="D142" s="1">
        <v>1</v>
      </c>
      <c r="E142" s="1" t="s">
        <v>411</v>
      </c>
      <c r="F142" s="1" t="s">
        <v>412</v>
      </c>
      <c r="G142" s="1" t="s">
        <v>267</v>
      </c>
      <c r="H142" s="1" t="s">
        <v>52</v>
      </c>
      <c r="I142" s="1">
        <v>56</v>
      </c>
      <c r="J142" s="1" t="s">
        <v>65</v>
      </c>
      <c r="K142" s="1" t="s">
        <v>61</v>
      </c>
    </row>
    <row r="143" spans="1:11" customFormat="1" ht="14.5" x14ac:dyDescent="0.35">
      <c r="A143" s="1" t="s">
        <v>260</v>
      </c>
      <c r="B143" s="1" t="s">
        <v>404</v>
      </c>
      <c r="C143" s="1" t="s">
        <v>410</v>
      </c>
      <c r="D143" s="1">
        <v>2</v>
      </c>
      <c r="E143" s="1" t="s">
        <v>413</v>
      </c>
      <c r="F143" s="1" t="s">
        <v>414</v>
      </c>
      <c r="G143" s="1" t="s">
        <v>67</v>
      </c>
      <c r="H143" s="1" t="s">
        <v>68</v>
      </c>
      <c r="I143" s="1">
        <v>33</v>
      </c>
      <c r="J143" s="1" t="s">
        <v>65</v>
      </c>
      <c r="K143" s="1" t="s">
        <v>61</v>
      </c>
    </row>
    <row r="144" spans="1:11" customFormat="1" ht="14.5" x14ac:dyDescent="0.35">
      <c r="A144" s="1" t="s">
        <v>260</v>
      </c>
      <c r="B144" s="1" t="s">
        <v>404</v>
      </c>
      <c r="C144" s="1" t="s">
        <v>415</v>
      </c>
      <c r="D144" s="1">
        <v>1</v>
      </c>
      <c r="E144" s="1" t="s">
        <v>416</v>
      </c>
      <c r="F144" s="1" t="s">
        <v>417</v>
      </c>
      <c r="G144" s="1" t="s">
        <v>67</v>
      </c>
      <c r="H144" s="1" t="s">
        <v>68</v>
      </c>
      <c r="I144" s="1">
        <v>57</v>
      </c>
      <c r="J144" s="1" t="s">
        <v>65</v>
      </c>
      <c r="K144" s="1" t="s">
        <v>61</v>
      </c>
    </row>
    <row r="145" spans="1:11" customFormat="1" ht="14.5" x14ac:dyDescent="0.35">
      <c r="A145" s="1" t="s">
        <v>260</v>
      </c>
      <c r="B145" s="1" t="s">
        <v>404</v>
      </c>
      <c r="C145" s="1" t="s">
        <v>415</v>
      </c>
      <c r="D145" s="1">
        <v>2</v>
      </c>
      <c r="E145" s="1" t="s">
        <v>418</v>
      </c>
      <c r="F145" s="1" t="s">
        <v>419</v>
      </c>
      <c r="G145" s="1" t="s">
        <v>267</v>
      </c>
      <c r="H145" s="1" t="s">
        <v>52</v>
      </c>
      <c r="I145" s="1">
        <v>70</v>
      </c>
      <c r="J145" s="1" t="s">
        <v>65</v>
      </c>
      <c r="K145" s="1" t="s">
        <v>61</v>
      </c>
    </row>
    <row r="146" spans="1:11" customFormat="1" ht="14.5" x14ac:dyDescent="0.35">
      <c r="A146" s="1" t="s">
        <v>260</v>
      </c>
      <c r="B146" s="1" t="s">
        <v>420</v>
      </c>
      <c r="C146" s="1" t="s">
        <v>421</v>
      </c>
      <c r="D146" s="1">
        <v>1</v>
      </c>
      <c r="E146" s="1" t="s">
        <v>422</v>
      </c>
      <c r="F146" s="1" t="s">
        <v>423</v>
      </c>
      <c r="G146" s="1" t="s">
        <v>67</v>
      </c>
      <c r="H146" s="1" t="s">
        <v>68</v>
      </c>
      <c r="I146" s="1">
        <v>58</v>
      </c>
      <c r="J146" s="1" t="s">
        <v>65</v>
      </c>
      <c r="K146" s="1" t="s">
        <v>61</v>
      </c>
    </row>
    <row r="147" spans="1:11" customFormat="1" ht="14.5" x14ac:dyDescent="0.35">
      <c r="A147" s="1" t="s">
        <v>260</v>
      </c>
      <c r="B147" s="1" t="s">
        <v>420</v>
      </c>
      <c r="C147" s="1" t="s">
        <v>421</v>
      </c>
      <c r="D147" s="1">
        <v>2</v>
      </c>
      <c r="E147" s="1" t="s">
        <v>424</v>
      </c>
      <c r="F147" s="1" t="s">
        <v>425</v>
      </c>
      <c r="G147" s="1" t="s">
        <v>267</v>
      </c>
      <c r="H147" s="1" t="s">
        <v>52</v>
      </c>
      <c r="I147" s="1">
        <v>52</v>
      </c>
      <c r="J147" s="1" t="s">
        <v>65</v>
      </c>
      <c r="K147" s="1" t="s">
        <v>61</v>
      </c>
    </row>
    <row r="148" spans="1:11" customFormat="1" ht="14.5" x14ac:dyDescent="0.35">
      <c r="A148" s="1" t="s">
        <v>260</v>
      </c>
      <c r="B148" s="1" t="s">
        <v>420</v>
      </c>
      <c r="C148" s="1" t="s">
        <v>426</v>
      </c>
      <c r="D148" s="1">
        <v>1</v>
      </c>
      <c r="E148" s="1" t="s">
        <v>427</v>
      </c>
      <c r="F148" s="1" t="s">
        <v>428</v>
      </c>
      <c r="G148" s="1" t="s">
        <v>267</v>
      </c>
      <c r="H148" s="1" t="s">
        <v>52</v>
      </c>
      <c r="I148" s="1">
        <v>51</v>
      </c>
      <c r="J148" s="1" t="s">
        <v>60</v>
      </c>
      <c r="K148" s="1" t="s">
        <v>61</v>
      </c>
    </row>
    <row r="149" spans="1:11" customFormat="1" ht="14.5" x14ac:dyDescent="0.35">
      <c r="A149" s="1" t="s">
        <v>260</v>
      </c>
      <c r="B149" s="1" t="s">
        <v>420</v>
      </c>
      <c r="C149" s="1" t="s">
        <v>426</v>
      </c>
      <c r="D149" s="1">
        <v>2</v>
      </c>
      <c r="E149" s="1" t="s">
        <v>429</v>
      </c>
      <c r="F149" s="1" t="s">
        <v>430</v>
      </c>
      <c r="G149" s="1" t="s">
        <v>73</v>
      </c>
      <c r="H149" s="1" t="s">
        <v>74</v>
      </c>
      <c r="I149" s="1">
        <v>58</v>
      </c>
      <c r="J149" s="1" t="s">
        <v>65</v>
      </c>
      <c r="K149" s="1" t="s">
        <v>61</v>
      </c>
    </row>
    <row r="150" spans="1:11" customFormat="1" ht="14.5" x14ac:dyDescent="0.35">
      <c r="A150" s="1" t="s">
        <v>260</v>
      </c>
      <c r="B150" s="1" t="s">
        <v>420</v>
      </c>
      <c r="C150" s="1" t="s">
        <v>431</v>
      </c>
      <c r="D150" s="1">
        <v>1</v>
      </c>
      <c r="E150" s="1" t="s">
        <v>432</v>
      </c>
      <c r="F150" s="1" t="s">
        <v>433</v>
      </c>
      <c r="G150" s="1" t="s">
        <v>267</v>
      </c>
      <c r="H150" s="1" t="s">
        <v>52</v>
      </c>
      <c r="I150" s="1">
        <v>59</v>
      </c>
      <c r="J150" s="1" t="s">
        <v>65</v>
      </c>
      <c r="K150" s="1" t="s">
        <v>61</v>
      </c>
    </row>
    <row r="151" spans="1:11" customFormat="1" ht="14.5" x14ac:dyDescent="0.35">
      <c r="A151" s="1" t="s">
        <v>260</v>
      </c>
      <c r="B151" s="1" t="s">
        <v>420</v>
      </c>
      <c r="C151" s="1" t="s">
        <v>431</v>
      </c>
      <c r="D151" s="1">
        <v>2</v>
      </c>
      <c r="E151" s="1" t="s">
        <v>434</v>
      </c>
      <c r="F151" s="1" t="s">
        <v>435</v>
      </c>
      <c r="G151" s="1" t="s">
        <v>67</v>
      </c>
      <c r="H151" s="1" t="s">
        <v>68</v>
      </c>
      <c r="I151" s="1">
        <v>42</v>
      </c>
      <c r="J151" s="1" t="s">
        <v>60</v>
      </c>
      <c r="K151" s="1" t="s">
        <v>61</v>
      </c>
    </row>
    <row r="152" spans="1:11" customFormat="1" ht="14.5" x14ac:dyDescent="0.35">
      <c r="A152" s="1" t="s">
        <v>260</v>
      </c>
      <c r="B152" s="1" t="s">
        <v>420</v>
      </c>
      <c r="C152" s="1" t="s">
        <v>436</v>
      </c>
      <c r="D152" s="1">
        <v>1</v>
      </c>
      <c r="E152" s="1" t="s">
        <v>437</v>
      </c>
      <c r="F152" s="1" t="s">
        <v>438</v>
      </c>
      <c r="G152" s="1" t="s">
        <v>267</v>
      </c>
      <c r="H152" s="1" t="s">
        <v>52</v>
      </c>
      <c r="I152" s="1">
        <v>56</v>
      </c>
      <c r="J152" s="1" t="s">
        <v>65</v>
      </c>
      <c r="K152" s="1" t="s">
        <v>61</v>
      </c>
    </row>
    <row r="153" spans="1:11" customFormat="1" ht="14.5" x14ac:dyDescent="0.35">
      <c r="A153" s="1" t="s">
        <v>260</v>
      </c>
      <c r="B153" s="1" t="s">
        <v>420</v>
      </c>
      <c r="C153" s="1" t="s">
        <v>436</v>
      </c>
      <c r="D153" s="1">
        <v>2</v>
      </c>
      <c r="E153" s="1" t="s">
        <v>439</v>
      </c>
      <c r="F153" s="1" t="s">
        <v>440</v>
      </c>
      <c r="G153" s="1" t="s">
        <v>67</v>
      </c>
      <c r="H153" s="1" t="s">
        <v>68</v>
      </c>
      <c r="I153" s="1">
        <v>37</v>
      </c>
      <c r="J153" s="1" t="s">
        <v>65</v>
      </c>
      <c r="K153" s="1" t="s">
        <v>61</v>
      </c>
    </row>
    <row r="154" spans="1:11" customFormat="1" ht="14.5" x14ac:dyDescent="0.35">
      <c r="A154" s="1" t="s">
        <v>260</v>
      </c>
      <c r="B154" s="1" t="s">
        <v>441</v>
      </c>
      <c r="C154" s="1" t="s">
        <v>442</v>
      </c>
      <c r="D154" s="1">
        <v>1</v>
      </c>
      <c r="E154" s="1" t="s">
        <v>443</v>
      </c>
      <c r="F154" s="1" t="s">
        <v>444</v>
      </c>
      <c r="G154" s="1" t="s">
        <v>267</v>
      </c>
      <c r="H154" s="1" t="s">
        <v>52</v>
      </c>
      <c r="I154" s="1">
        <v>57</v>
      </c>
      <c r="J154" s="1" t="s">
        <v>65</v>
      </c>
      <c r="K154" s="1" t="s">
        <v>61</v>
      </c>
    </row>
    <row r="155" spans="1:11" customFormat="1" ht="14.5" x14ac:dyDescent="0.35">
      <c r="A155" s="1" t="s">
        <v>260</v>
      </c>
      <c r="B155" s="1" t="s">
        <v>441</v>
      </c>
      <c r="C155" s="1" t="s">
        <v>442</v>
      </c>
      <c r="D155" s="1">
        <v>2</v>
      </c>
      <c r="E155" s="1" t="s">
        <v>445</v>
      </c>
      <c r="F155" s="1" t="s">
        <v>446</v>
      </c>
      <c r="G155" s="1" t="s">
        <v>67</v>
      </c>
      <c r="H155" s="1" t="s">
        <v>68</v>
      </c>
      <c r="I155" s="1">
        <v>27</v>
      </c>
      <c r="J155" s="1" t="s">
        <v>65</v>
      </c>
      <c r="K155" s="1" t="s">
        <v>61</v>
      </c>
    </row>
    <row r="156" spans="1:11" customFormat="1" ht="14.5" x14ac:dyDescent="0.35">
      <c r="A156" s="1" t="s">
        <v>260</v>
      </c>
      <c r="B156" s="1" t="s">
        <v>441</v>
      </c>
      <c r="C156" s="1" t="s">
        <v>447</v>
      </c>
      <c r="D156" s="1">
        <v>1</v>
      </c>
      <c r="E156" s="1" t="s">
        <v>448</v>
      </c>
      <c r="F156" s="1" t="s">
        <v>449</v>
      </c>
      <c r="G156" s="1" t="s">
        <v>64</v>
      </c>
      <c r="H156" s="1" t="s">
        <v>64</v>
      </c>
      <c r="I156" s="1">
        <v>61</v>
      </c>
      <c r="J156" s="1" t="s">
        <v>65</v>
      </c>
      <c r="K156" s="1" t="s">
        <v>61</v>
      </c>
    </row>
    <row r="157" spans="1:11" customFormat="1" ht="14.5" x14ac:dyDescent="0.35">
      <c r="A157" s="1" t="s">
        <v>260</v>
      </c>
      <c r="B157" s="1" t="s">
        <v>441</v>
      </c>
      <c r="C157" s="1" t="s">
        <v>447</v>
      </c>
      <c r="D157" s="1">
        <v>2</v>
      </c>
      <c r="E157" s="1" t="s">
        <v>450</v>
      </c>
      <c r="F157" s="1" t="s">
        <v>451</v>
      </c>
      <c r="G157" s="1" t="s">
        <v>73</v>
      </c>
      <c r="H157" s="1" t="s">
        <v>74</v>
      </c>
      <c r="I157" s="1">
        <v>62</v>
      </c>
      <c r="J157" s="1" t="s">
        <v>65</v>
      </c>
      <c r="K157" s="1" t="s">
        <v>61</v>
      </c>
    </row>
    <row r="158" spans="1:11" customFormat="1" ht="14.5" x14ac:dyDescent="0.35">
      <c r="A158" s="1" t="s">
        <v>260</v>
      </c>
      <c r="B158" s="1" t="s">
        <v>441</v>
      </c>
      <c r="C158" s="1" t="s">
        <v>447</v>
      </c>
      <c r="D158" s="1">
        <v>3</v>
      </c>
      <c r="E158" s="1" t="s">
        <v>452</v>
      </c>
      <c r="F158" s="1" t="s">
        <v>453</v>
      </c>
      <c r="G158" s="1" t="s">
        <v>267</v>
      </c>
      <c r="H158" s="1" t="s">
        <v>52</v>
      </c>
      <c r="I158" s="1">
        <v>56</v>
      </c>
      <c r="J158" s="1" t="s">
        <v>65</v>
      </c>
      <c r="K158" s="1" t="s">
        <v>61</v>
      </c>
    </row>
    <row r="159" spans="1:11" customFormat="1" ht="14.5" x14ac:dyDescent="0.35">
      <c r="A159" s="1" t="s">
        <v>260</v>
      </c>
      <c r="B159" s="1" t="s">
        <v>441</v>
      </c>
      <c r="C159" s="1" t="s">
        <v>454</v>
      </c>
      <c r="D159" s="1">
        <v>1</v>
      </c>
      <c r="E159" s="1" t="s">
        <v>455</v>
      </c>
      <c r="F159" s="1" t="s">
        <v>456</v>
      </c>
      <c r="G159" s="1" t="s">
        <v>67</v>
      </c>
      <c r="H159" s="1" t="s">
        <v>68</v>
      </c>
      <c r="I159" s="1">
        <v>45</v>
      </c>
      <c r="J159" s="1" t="s">
        <v>65</v>
      </c>
      <c r="K159" s="1" t="s">
        <v>61</v>
      </c>
    </row>
    <row r="160" spans="1:11" customFormat="1" ht="14.5" x14ac:dyDescent="0.35">
      <c r="A160" s="1" t="s">
        <v>260</v>
      </c>
      <c r="B160" s="1" t="s">
        <v>441</v>
      </c>
      <c r="C160" s="1" t="s">
        <v>454</v>
      </c>
      <c r="D160" s="1">
        <v>2</v>
      </c>
      <c r="E160" s="1" t="s">
        <v>457</v>
      </c>
      <c r="F160" s="1" t="s">
        <v>458</v>
      </c>
      <c r="G160" s="1" t="s">
        <v>267</v>
      </c>
      <c r="H160" s="1" t="s">
        <v>52</v>
      </c>
      <c r="I160" s="1">
        <v>42</v>
      </c>
      <c r="J160" s="1" t="s">
        <v>65</v>
      </c>
      <c r="K160" s="1" t="s">
        <v>61</v>
      </c>
    </row>
    <row r="161" spans="1:11" customFormat="1" ht="14.5" x14ac:dyDescent="0.35">
      <c r="A161" s="1" t="s">
        <v>260</v>
      </c>
      <c r="B161" s="1" t="s">
        <v>459</v>
      </c>
      <c r="C161" s="1" t="s">
        <v>460</v>
      </c>
      <c r="D161" s="1">
        <v>1</v>
      </c>
      <c r="E161" s="1" t="s">
        <v>461</v>
      </c>
      <c r="F161" s="1" t="s">
        <v>462</v>
      </c>
      <c r="G161" s="1" t="s">
        <v>267</v>
      </c>
      <c r="H161" s="1" t="s">
        <v>52</v>
      </c>
      <c r="I161" s="1">
        <v>49</v>
      </c>
      <c r="J161" s="1" t="s">
        <v>65</v>
      </c>
      <c r="K161" s="1" t="s">
        <v>61</v>
      </c>
    </row>
    <row r="162" spans="1:11" customFormat="1" ht="14.5" x14ac:dyDescent="0.35">
      <c r="A162" s="1" t="s">
        <v>260</v>
      </c>
      <c r="B162" s="1" t="s">
        <v>459</v>
      </c>
      <c r="C162" s="1" t="s">
        <v>460</v>
      </c>
      <c r="D162" s="1">
        <v>2</v>
      </c>
      <c r="E162" s="1" t="s">
        <v>463</v>
      </c>
      <c r="F162" s="1" t="s">
        <v>464</v>
      </c>
      <c r="G162" s="1" t="s">
        <v>67</v>
      </c>
      <c r="H162" s="1" t="s">
        <v>68</v>
      </c>
      <c r="I162" s="1">
        <v>69</v>
      </c>
      <c r="J162" s="1" t="s">
        <v>65</v>
      </c>
      <c r="K162" s="1" t="s">
        <v>61</v>
      </c>
    </row>
    <row r="163" spans="1:11" customFormat="1" ht="14.5" x14ac:dyDescent="0.35">
      <c r="A163" s="1" t="s">
        <v>260</v>
      </c>
      <c r="B163" s="1" t="s">
        <v>459</v>
      </c>
      <c r="C163" s="1" t="s">
        <v>465</v>
      </c>
      <c r="D163" s="1">
        <v>1</v>
      </c>
      <c r="E163" s="1" t="s">
        <v>466</v>
      </c>
      <c r="F163" s="1" t="s">
        <v>467</v>
      </c>
      <c r="G163" s="1" t="s">
        <v>267</v>
      </c>
      <c r="H163" s="1" t="s">
        <v>52</v>
      </c>
      <c r="I163" s="1">
        <v>77</v>
      </c>
      <c r="J163" s="1" t="s">
        <v>65</v>
      </c>
      <c r="K163" s="1" t="s">
        <v>61</v>
      </c>
    </row>
    <row r="164" spans="1:11" customFormat="1" ht="14.5" x14ac:dyDescent="0.35">
      <c r="A164" s="1" t="s">
        <v>260</v>
      </c>
      <c r="B164" s="1" t="s">
        <v>459</v>
      </c>
      <c r="C164" s="1" t="s">
        <v>465</v>
      </c>
      <c r="D164" s="1">
        <v>2</v>
      </c>
      <c r="E164" s="1" t="s">
        <v>468</v>
      </c>
      <c r="F164" s="1" t="s">
        <v>469</v>
      </c>
      <c r="G164" s="1" t="s">
        <v>67</v>
      </c>
      <c r="H164" s="1" t="s">
        <v>68</v>
      </c>
      <c r="I164" s="1">
        <v>43</v>
      </c>
      <c r="J164" s="1" t="s">
        <v>65</v>
      </c>
      <c r="K164" s="1" t="s">
        <v>61</v>
      </c>
    </row>
    <row r="165" spans="1:11" customFormat="1" ht="14.5" x14ac:dyDescent="0.35">
      <c r="A165" s="1" t="s">
        <v>260</v>
      </c>
      <c r="B165" s="1" t="s">
        <v>459</v>
      </c>
      <c r="C165" s="1" t="s">
        <v>470</v>
      </c>
      <c r="D165" s="1">
        <v>1</v>
      </c>
      <c r="E165" s="1" t="s">
        <v>471</v>
      </c>
      <c r="F165" s="1" t="s">
        <v>472</v>
      </c>
      <c r="G165" s="1" t="s">
        <v>267</v>
      </c>
      <c r="H165" s="1" t="s">
        <v>52</v>
      </c>
      <c r="I165" s="1">
        <v>71</v>
      </c>
      <c r="J165" s="1" t="s">
        <v>65</v>
      </c>
      <c r="K165" s="1" t="s">
        <v>61</v>
      </c>
    </row>
    <row r="166" spans="1:11" customFormat="1" ht="14.5" x14ac:dyDescent="0.35">
      <c r="A166" s="1" t="s">
        <v>260</v>
      </c>
      <c r="B166" s="1" t="s">
        <v>459</v>
      </c>
      <c r="C166" s="1" t="s">
        <v>470</v>
      </c>
      <c r="D166" s="1">
        <v>2</v>
      </c>
      <c r="E166" s="1" t="s">
        <v>473</v>
      </c>
      <c r="F166" s="1" t="s">
        <v>474</v>
      </c>
      <c r="G166" s="1" t="s">
        <v>67</v>
      </c>
      <c r="H166" s="1" t="s">
        <v>68</v>
      </c>
      <c r="I166" s="1">
        <v>38</v>
      </c>
      <c r="J166" s="1" t="s">
        <v>65</v>
      </c>
      <c r="K166" s="1" t="s">
        <v>61</v>
      </c>
    </row>
    <row r="167" spans="1:11" customFormat="1" ht="14.5" x14ac:dyDescent="0.35">
      <c r="A167" s="1" t="s">
        <v>260</v>
      </c>
      <c r="B167" s="1" t="s">
        <v>475</v>
      </c>
      <c r="C167" s="1" t="s">
        <v>476</v>
      </c>
      <c r="D167" s="1">
        <v>1</v>
      </c>
      <c r="E167" s="1" t="s">
        <v>477</v>
      </c>
      <c r="F167" s="1" t="s">
        <v>478</v>
      </c>
      <c r="G167" s="1" t="s">
        <v>73</v>
      </c>
      <c r="H167" s="1" t="s">
        <v>74</v>
      </c>
      <c r="I167" s="1">
        <v>65</v>
      </c>
      <c r="J167" s="1" t="s">
        <v>65</v>
      </c>
      <c r="K167" s="1" t="s">
        <v>61</v>
      </c>
    </row>
    <row r="168" spans="1:11" customFormat="1" ht="14.5" x14ac:dyDescent="0.35">
      <c r="A168" s="1" t="s">
        <v>260</v>
      </c>
      <c r="B168" s="1" t="s">
        <v>475</v>
      </c>
      <c r="C168" s="1" t="s">
        <v>476</v>
      </c>
      <c r="D168" s="1">
        <v>2</v>
      </c>
      <c r="E168" s="1" t="s">
        <v>479</v>
      </c>
      <c r="F168" s="1" t="s">
        <v>480</v>
      </c>
      <c r="G168" s="1" t="s">
        <v>267</v>
      </c>
      <c r="H168" s="1" t="s">
        <v>52</v>
      </c>
      <c r="I168" s="1">
        <v>51</v>
      </c>
      <c r="J168" s="1" t="s">
        <v>65</v>
      </c>
      <c r="K168" s="1" t="s">
        <v>61</v>
      </c>
    </row>
    <row r="169" spans="1:11" customFormat="1" ht="14.5" x14ac:dyDescent="0.35">
      <c r="A169" s="1" t="s">
        <v>260</v>
      </c>
      <c r="B169" s="1" t="s">
        <v>475</v>
      </c>
      <c r="C169" s="1" t="s">
        <v>481</v>
      </c>
      <c r="D169" s="1">
        <v>1</v>
      </c>
      <c r="E169" s="1" t="s">
        <v>482</v>
      </c>
      <c r="F169" s="1" t="s">
        <v>483</v>
      </c>
      <c r="G169" s="1" t="s">
        <v>67</v>
      </c>
      <c r="H169" s="1" t="s">
        <v>68</v>
      </c>
      <c r="I169" s="1">
        <v>62</v>
      </c>
      <c r="J169" s="1" t="s">
        <v>65</v>
      </c>
      <c r="K169" s="1" t="s">
        <v>61</v>
      </c>
    </row>
    <row r="170" spans="1:11" customFormat="1" ht="14.5" x14ac:dyDescent="0.35">
      <c r="A170" s="1" t="s">
        <v>260</v>
      </c>
      <c r="B170" s="1" t="s">
        <v>475</v>
      </c>
      <c r="C170" s="1" t="s">
        <v>481</v>
      </c>
      <c r="D170" s="1">
        <v>2</v>
      </c>
      <c r="E170" s="1" t="s">
        <v>484</v>
      </c>
      <c r="F170" s="1" t="s">
        <v>485</v>
      </c>
      <c r="G170" s="1" t="s">
        <v>267</v>
      </c>
      <c r="H170" s="1" t="s">
        <v>52</v>
      </c>
      <c r="I170" s="1">
        <v>47</v>
      </c>
      <c r="J170" s="1" t="s">
        <v>65</v>
      </c>
      <c r="K170" s="1" t="s">
        <v>61</v>
      </c>
    </row>
    <row r="171" spans="1:11" customFormat="1" ht="14.5" x14ac:dyDescent="0.35">
      <c r="A171" s="1" t="s">
        <v>260</v>
      </c>
      <c r="B171" s="1" t="s">
        <v>475</v>
      </c>
      <c r="C171" s="1" t="s">
        <v>486</v>
      </c>
      <c r="D171" s="1">
        <v>1</v>
      </c>
      <c r="E171" s="1" t="s">
        <v>487</v>
      </c>
      <c r="F171" s="1" t="s">
        <v>488</v>
      </c>
      <c r="G171" s="1" t="s">
        <v>267</v>
      </c>
      <c r="H171" s="1" t="s">
        <v>52</v>
      </c>
      <c r="I171" s="1">
        <v>65</v>
      </c>
      <c r="J171" s="1" t="s">
        <v>65</v>
      </c>
      <c r="K171" s="1" t="s">
        <v>61</v>
      </c>
    </row>
    <row r="172" spans="1:11" customFormat="1" ht="14.5" x14ac:dyDescent="0.35">
      <c r="A172" s="1" t="s">
        <v>260</v>
      </c>
      <c r="B172" s="1" t="s">
        <v>475</v>
      </c>
      <c r="C172" s="1" t="s">
        <v>486</v>
      </c>
      <c r="D172" s="1">
        <v>2</v>
      </c>
      <c r="E172" s="1" t="s">
        <v>489</v>
      </c>
      <c r="F172" s="1" t="s">
        <v>490</v>
      </c>
      <c r="G172" s="1" t="s">
        <v>67</v>
      </c>
      <c r="H172" s="1" t="s">
        <v>68</v>
      </c>
      <c r="I172" s="1">
        <v>51</v>
      </c>
      <c r="J172" s="1" t="s">
        <v>60</v>
      </c>
      <c r="K172" s="1" t="s">
        <v>61</v>
      </c>
    </row>
    <row r="173" spans="1:11" customFormat="1" ht="14.5" x14ac:dyDescent="0.35">
      <c r="A173" s="1" t="s">
        <v>260</v>
      </c>
      <c r="B173" s="1" t="s">
        <v>475</v>
      </c>
      <c r="C173" s="1" t="s">
        <v>491</v>
      </c>
      <c r="D173" s="1">
        <v>1</v>
      </c>
      <c r="E173" s="1" t="s">
        <v>492</v>
      </c>
      <c r="F173" s="1" t="s">
        <v>493</v>
      </c>
      <c r="G173" s="1" t="s">
        <v>267</v>
      </c>
      <c r="H173" s="1" t="s">
        <v>52</v>
      </c>
      <c r="I173" s="1">
        <v>52</v>
      </c>
      <c r="J173" s="1" t="s">
        <v>65</v>
      </c>
      <c r="K173" s="1" t="s">
        <v>61</v>
      </c>
    </row>
    <row r="174" spans="1:11" customFormat="1" ht="14.5" x14ac:dyDescent="0.35">
      <c r="A174" s="1" t="s">
        <v>260</v>
      </c>
      <c r="B174" s="1" t="s">
        <v>475</v>
      </c>
      <c r="C174" s="1" t="s">
        <v>491</v>
      </c>
      <c r="D174" s="1">
        <v>2</v>
      </c>
      <c r="E174" s="1" t="s">
        <v>494</v>
      </c>
      <c r="F174" s="1" t="s">
        <v>495</v>
      </c>
      <c r="G174" s="1" t="s">
        <v>67</v>
      </c>
      <c r="H174" s="1" t="s">
        <v>68</v>
      </c>
      <c r="I174" s="1">
        <v>42</v>
      </c>
      <c r="J174" s="1" t="s">
        <v>65</v>
      </c>
      <c r="K174" s="1" t="s">
        <v>61</v>
      </c>
    </row>
    <row r="175" spans="1:11" customFormat="1" ht="14.5" x14ac:dyDescent="0.35">
      <c r="A175" s="1" t="s">
        <v>260</v>
      </c>
      <c r="B175" s="1" t="s">
        <v>496</v>
      </c>
      <c r="C175" s="1" t="s">
        <v>497</v>
      </c>
      <c r="D175" s="1">
        <v>1</v>
      </c>
      <c r="E175" s="1" t="s">
        <v>498</v>
      </c>
      <c r="F175" s="1" t="s">
        <v>498</v>
      </c>
      <c r="G175" s="1" t="s">
        <v>67</v>
      </c>
      <c r="H175" s="1" t="s">
        <v>68</v>
      </c>
      <c r="I175" s="1">
        <v>63</v>
      </c>
      <c r="J175" s="1" t="s">
        <v>65</v>
      </c>
      <c r="K175" s="1" t="s">
        <v>61</v>
      </c>
    </row>
    <row r="176" spans="1:11" customFormat="1" ht="14.5" x14ac:dyDescent="0.35">
      <c r="A176" s="1" t="s">
        <v>260</v>
      </c>
      <c r="B176" s="1" t="s">
        <v>496</v>
      </c>
      <c r="C176" s="1" t="s">
        <v>497</v>
      </c>
      <c r="D176" s="1">
        <v>2</v>
      </c>
      <c r="E176" s="1" t="s">
        <v>499</v>
      </c>
      <c r="F176" s="1" t="s">
        <v>500</v>
      </c>
      <c r="G176" s="1" t="s">
        <v>267</v>
      </c>
      <c r="H176" s="1" t="s">
        <v>52</v>
      </c>
      <c r="I176" s="1">
        <v>52</v>
      </c>
      <c r="J176" s="1" t="s">
        <v>65</v>
      </c>
      <c r="K176" s="1" t="s">
        <v>61</v>
      </c>
    </row>
    <row r="177" spans="1:11" customFormat="1" ht="14.5" x14ac:dyDescent="0.35">
      <c r="A177" s="1" t="s">
        <v>260</v>
      </c>
      <c r="B177" s="1" t="s">
        <v>496</v>
      </c>
      <c r="C177" s="1" t="s">
        <v>501</v>
      </c>
      <c r="D177" s="1">
        <v>1</v>
      </c>
      <c r="E177" s="1" t="s">
        <v>502</v>
      </c>
      <c r="F177" s="1" t="s">
        <v>503</v>
      </c>
      <c r="G177" s="1" t="s">
        <v>267</v>
      </c>
      <c r="H177" s="1" t="s">
        <v>52</v>
      </c>
      <c r="I177" s="1">
        <v>62</v>
      </c>
      <c r="J177" s="1" t="s">
        <v>65</v>
      </c>
      <c r="K177" s="1" t="s">
        <v>61</v>
      </c>
    </row>
    <row r="178" spans="1:11" customFormat="1" ht="14.5" x14ac:dyDescent="0.35">
      <c r="A178" s="1" t="s">
        <v>260</v>
      </c>
      <c r="B178" s="1" t="s">
        <v>496</v>
      </c>
      <c r="C178" s="1" t="s">
        <v>501</v>
      </c>
      <c r="D178" s="1">
        <v>2</v>
      </c>
      <c r="E178" s="1" t="s">
        <v>504</v>
      </c>
      <c r="F178" s="1" t="s">
        <v>505</v>
      </c>
      <c r="G178" s="1" t="s">
        <v>67</v>
      </c>
      <c r="H178" s="1" t="s">
        <v>68</v>
      </c>
      <c r="I178" s="1">
        <v>47</v>
      </c>
      <c r="J178" s="1" t="s">
        <v>65</v>
      </c>
      <c r="K178" s="1" t="s">
        <v>61</v>
      </c>
    </row>
    <row r="179" spans="1:11" customFormat="1" ht="14.5" x14ac:dyDescent="0.35">
      <c r="A179" s="1" t="s">
        <v>260</v>
      </c>
      <c r="B179" s="1" t="s">
        <v>496</v>
      </c>
      <c r="C179" s="1" t="s">
        <v>506</v>
      </c>
      <c r="D179" s="1">
        <v>1</v>
      </c>
      <c r="E179" s="1" t="s">
        <v>507</v>
      </c>
      <c r="F179" s="1" t="s">
        <v>508</v>
      </c>
      <c r="G179" s="1" t="s">
        <v>267</v>
      </c>
      <c r="H179" s="1" t="s">
        <v>52</v>
      </c>
      <c r="I179" s="1">
        <v>47</v>
      </c>
      <c r="J179" s="1" t="s">
        <v>65</v>
      </c>
      <c r="K179" s="1" t="s">
        <v>61</v>
      </c>
    </row>
    <row r="180" spans="1:11" customFormat="1" ht="14.5" x14ac:dyDescent="0.35">
      <c r="A180" s="1" t="s">
        <v>260</v>
      </c>
      <c r="B180" s="1" t="s">
        <v>496</v>
      </c>
      <c r="C180" s="1" t="s">
        <v>506</v>
      </c>
      <c r="D180" s="1">
        <v>2</v>
      </c>
      <c r="E180" s="1" t="s">
        <v>509</v>
      </c>
      <c r="F180" s="1" t="s">
        <v>510</v>
      </c>
      <c r="G180" s="1" t="s">
        <v>67</v>
      </c>
      <c r="H180" s="1" t="s">
        <v>68</v>
      </c>
      <c r="I180" s="1">
        <v>44</v>
      </c>
      <c r="J180" s="1" t="s">
        <v>65</v>
      </c>
      <c r="K180" s="1" t="s">
        <v>61</v>
      </c>
    </row>
    <row r="181" spans="1:11" customFormat="1" ht="14.5" x14ac:dyDescent="0.35">
      <c r="A181" s="1" t="s">
        <v>511</v>
      </c>
      <c r="B181" s="1" t="s">
        <v>512</v>
      </c>
      <c r="C181" s="1" t="s">
        <v>513</v>
      </c>
      <c r="D181" s="1">
        <v>1</v>
      </c>
      <c r="E181" s="1" t="s">
        <v>514</v>
      </c>
      <c r="F181" s="1" t="s">
        <v>515</v>
      </c>
      <c r="G181" s="1" t="s">
        <v>67</v>
      </c>
      <c r="H181" s="1" t="s">
        <v>68</v>
      </c>
      <c r="I181" s="1">
        <v>48</v>
      </c>
      <c r="J181" s="1" t="s">
        <v>65</v>
      </c>
      <c r="K181" s="1" t="s">
        <v>61</v>
      </c>
    </row>
    <row r="182" spans="1:11" customFormat="1" ht="14.5" x14ac:dyDescent="0.35">
      <c r="A182" s="1" t="s">
        <v>511</v>
      </c>
      <c r="B182" s="1" t="s">
        <v>512</v>
      </c>
      <c r="C182" s="1" t="s">
        <v>513</v>
      </c>
      <c r="D182" s="1">
        <v>2</v>
      </c>
      <c r="E182" s="1" t="s">
        <v>516</v>
      </c>
      <c r="F182" s="1" t="s">
        <v>517</v>
      </c>
      <c r="G182" s="1" t="s">
        <v>267</v>
      </c>
      <c r="H182" s="1" t="s">
        <v>52</v>
      </c>
      <c r="I182" s="1">
        <v>55</v>
      </c>
      <c r="J182" s="1" t="s">
        <v>65</v>
      </c>
      <c r="K182" s="1" t="s">
        <v>61</v>
      </c>
    </row>
    <row r="183" spans="1:11" customFormat="1" ht="14.5" x14ac:dyDescent="0.35">
      <c r="A183" s="1" t="s">
        <v>511</v>
      </c>
      <c r="B183" s="1" t="s">
        <v>512</v>
      </c>
      <c r="C183" s="1" t="s">
        <v>518</v>
      </c>
      <c r="D183" s="1">
        <v>1</v>
      </c>
      <c r="E183" s="1" t="s">
        <v>519</v>
      </c>
      <c r="F183" s="1" t="s">
        <v>520</v>
      </c>
      <c r="G183" s="1" t="s">
        <v>267</v>
      </c>
      <c r="H183" s="1" t="s">
        <v>52</v>
      </c>
      <c r="I183" s="1">
        <v>53</v>
      </c>
      <c r="J183" s="1" t="s">
        <v>65</v>
      </c>
      <c r="K183" s="1" t="s">
        <v>61</v>
      </c>
    </row>
    <row r="184" spans="1:11" customFormat="1" ht="14.5" x14ac:dyDescent="0.35">
      <c r="A184" s="1" t="s">
        <v>511</v>
      </c>
      <c r="B184" s="1" t="s">
        <v>512</v>
      </c>
      <c r="C184" s="1" t="s">
        <v>518</v>
      </c>
      <c r="D184" s="1">
        <v>2</v>
      </c>
      <c r="E184" s="1" t="s">
        <v>521</v>
      </c>
      <c r="F184" s="1" t="s">
        <v>522</v>
      </c>
      <c r="G184" s="1" t="s">
        <v>67</v>
      </c>
      <c r="H184" s="1" t="s">
        <v>68</v>
      </c>
      <c r="I184" s="1">
        <v>62</v>
      </c>
      <c r="J184" s="1" t="s">
        <v>65</v>
      </c>
      <c r="K184" s="1" t="s">
        <v>61</v>
      </c>
    </row>
    <row r="185" spans="1:11" customFormat="1" ht="14.5" x14ac:dyDescent="0.35">
      <c r="A185" s="1" t="s">
        <v>511</v>
      </c>
      <c r="B185" s="1" t="s">
        <v>512</v>
      </c>
      <c r="C185" s="1" t="s">
        <v>523</v>
      </c>
      <c r="D185" s="1">
        <v>1</v>
      </c>
      <c r="E185" s="1" t="s">
        <v>524</v>
      </c>
      <c r="F185" s="1" t="s">
        <v>525</v>
      </c>
      <c r="G185" s="1" t="s">
        <v>267</v>
      </c>
      <c r="H185" s="1" t="s">
        <v>52</v>
      </c>
      <c r="I185" s="1">
        <v>53</v>
      </c>
      <c r="J185" s="1" t="s">
        <v>65</v>
      </c>
      <c r="K185" s="1" t="s">
        <v>61</v>
      </c>
    </row>
    <row r="186" spans="1:11" customFormat="1" ht="14.5" x14ac:dyDescent="0.35">
      <c r="A186" s="1" t="s">
        <v>511</v>
      </c>
      <c r="B186" s="1" t="s">
        <v>512</v>
      </c>
      <c r="C186" s="1" t="s">
        <v>523</v>
      </c>
      <c r="D186" s="1">
        <v>2</v>
      </c>
      <c r="E186" s="1" t="s">
        <v>526</v>
      </c>
      <c r="F186" s="1" t="s">
        <v>527</v>
      </c>
      <c r="G186" s="1" t="s">
        <v>67</v>
      </c>
      <c r="H186" s="1" t="s">
        <v>68</v>
      </c>
      <c r="I186" s="1">
        <v>36</v>
      </c>
      <c r="J186" s="1" t="s">
        <v>65</v>
      </c>
      <c r="K186" s="1" t="s">
        <v>61</v>
      </c>
    </row>
    <row r="187" spans="1:11" customFormat="1" ht="14.5" x14ac:dyDescent="0.35">
      <c r="A187" s="1" t="s">
        <v>511</v>
      </c>
      <c r="B187" s="1" t="s">
        <v>512</v>
      </c>
      <c r="C187" s="1" t="s">
        <v>528</v>
      </c>
      <c r="D187" s="1">
        <v>1</v>
      </c>
      <c r="E187" s="1" t="s">
        <v>529</v>
      </c>
      <c r="F187" s="1" t="s">
        <v>529</v>
      </c>
      <c r="G187" s="1" t="s">
        <v>67</v>
      </c>
      <c r="H187" s="1" t="s">
        <v>68</v>
      </c>
      <c r="I187" s="1">
        <v>61</v>
      </c>
      <c r="J187" s="1" t="s">
        <v>65</v>
      </c>
      <c r="K187" s="1" t="s">
        <v>61</v>
      </c>
    </row>
    <row r="188" spans="1:11" customFormat="1" ht="14.5" x14ac:dyDescent="0.35">
      <c r="A188" s="1" t="s">
        <v>511</v>
      </c>
      <c r="B188" s="1" t="s">
        <v>512</v>
      </c>
      <c r="C188" s="1" t="s">
        <v>528</v>
      </c>
      <c r="D188" s="1">
        <v>2</v>
      </c>
      <c r="E188" s="1" t="s">
        <v>530</v>
      </c>
      <c r="F188" s="1" t="s">
        <v>531</v>
      </c>
      <c r="G188" s="1" t="s">
        <v>64</v>
      </c>
      <c r="H188" s="1" t="s">
        <v>64</v>
      </c>
      <c r="I188" s="1">
        <v>62</v>
      </c>
      <c r="J188" s="1" t="s">
        <v>65</v>
      </c>
      <c r="K188" s="1" t="s">
        <v>61</v>
      </c>
    </row>
    <row r="189" spans="1:11" customFormat="1" ht="14.5" x14ac:dyDescent="0.35">
      <c r="A189" s="1" t="s">
        <v>511</v>
      </c>
      <c r="B189" s="1" t="s">
        <v>512</v>
      </c>
      <c r="C189" s="1" t="s">
        <v>528</v>
      </c>
      <c r="D189" s="1">
        <v>3</v>
      </c>
      <c r="E189" s="1" t="s">
        <v>532</v>
      </c>
      <c r="F189" s="1" t="s">
        <v>533</v>
      </c>
      <c r="G189" s="1" t="s">
        <v>267</v>
      </c>
      <c r="H189" s="1" t="s">
        <v>52</v>
      </c>
      <c r="I189" s="1">
        <v>50</v>
      </c>
      <c r="J189" s="1" t="s">
        <v>65</v>
      </c>
      <c r="K189" s="1" t="s">
        <v>61</v>
      </c>
    </row>
    <row r="190" spans="1:11" customFormat="1" ht="14.5" x14ac:dyDescent="0.35">
      <c r="A190" s="1" t="s">
        <v>511</v>
      </c>
      <c r="B190" s="1" t="s">
        <v>534</v>
      </c>
      <c r="C190" s="1" t="s">
        <v>535</v>
      </c>
      <c r="D190" s="1">
        <v>1</v>
      </c>
      <c r="E190" s="1" t="s">
        <v>536</v>
      </c>
      <c r="F190" s="1" t="s">
        <v>537</v>
      </c>
      <c r="G190" s="1" t="s">
        <v>67</v>
      </c>
      <c r="H190" s="1" t="s">
        <v>68</v>
      </c>
      <c r="I190" s="1">
        <v>50</v>
      </c>
      <c r="J190" s="1" t="s">
        <v>65</v>
      </c>
      <c r="K190" s="1" t="s">
        <v>61</v>
      </c>
    </row>
    <row r="191" spans="1:11" customFormat="1" ht="14.5" x14ac:dyDescent="0.35">
      <c r="A191" s="1" t="s">
        <v>511</v>
      </c>
      <c r="B191" s="1" t="s">
        <v>534</v>
      </c>
      <c r="C191" s="1" t="s">
        <v>535</v>
      </c>
      <c r="D191" s="1">
        <v>2</v>
      </c>
      <c r="E191" s="1" t="s">
        <v>538</v>
      </c>
      <c r="F191" s="1" t="s">
        <v>539</v>
      </c>
      <c r="G191" s="1" t="s">
        <v>267</v>
      </c>
      <c r="H191" s="1" t="s">
        <v>52</v>
      </c>
      <c r="I191" s="1">
        <v>50</v>
      </c>
      <c r="J191" s="1" t="s">
        <v>65</v>
      </c>
      <c r="K191" s="1" t="s">
        <v>61</v>
      </c>
    </row>
    <row r="192" spans="1:11" customFormat="1" ht="14.5" x14ac:dyDescent="0.35">
      <c r="A192" s="1" t="s">
        <v>511</v>
      </c>
      <c r="B192" s="1" t="s">
        <v>534</v>
      </c>
      <c r="C192" s="1" t="s">
        <v>540</v>
      </c>
      <c r="D192" s="1">
        <v>1</v>
      </c>
      <c r="E192" s="1" t="s">
        <v>541</v>
      </c>
      <c r="F192" s="1" t="s">
        <v>542</v>
      </c>
      <c r="G192" s="1" t="s">
        <v>67</v>
      </c>
      <c r="H192" s="1" t="s">
        <v>68</v>
      </c>
      <c r="I192" s="1">
        <v>54</v>
      </c>
      <c r="J192" s="1" t="s">
        <v>65</v>
      </c>
      <c r="K192" s="1" t="s">
        <v>61</v>
      </c>
    </row>
    <row r="193" spans="1:11" customFormat="1" ht="14.5" x14ac:dyDescent="0.35">
      <c r="A193" s="1" t="s">
        <v>511</v>
      </c>
      <c r="B193" s="1" t="s">
        <v>534</v>
      </c>
      <c r="C193" s="1" t="s">
        <v>540</v>
      </c>
      <c r="D193" s="1">
        <v>2</v>
      </c>
      <c r="E193" s="1" t="s">
        <v>543</v>
      </c>
      <c r="F193" s="1" t="s">
        <v>544</v>
      </c>
      <c r="G193" s="1" t="s">
        <v>267</v>
      </c>
      <c r="H193" s="1" t="s">
        <v>52</v>
      </c>
      <c r="I193" s="1">
        <v>61</v>
      </c>
      <c r="J193" s="1" t="s">
        <v>65</v>
      </c>
      <c r="K193" s="1" t="s">
        <v>61</v>
      </c>
    </row>
    <row r="194" spans="1:11" customFormat="1" ht="14.5" x14ac:dyDescent="0.35">
      <c r="A194" s="1" t="s">
        <v>511</v>
      </c>
      <c r="B194" s="1" t="s">
        <v>534</v>
      </c>
      <c r="C194" s="1" t="s">
        <v>545</v>
      </c>
      <c r="D194" s="1">
        <v>1</v>
      </c>
      <c r="E194" s="1" t="s">
        <v>546</v>
      </c>
      <c r="F194" s="1" t="s">
        <v>547</v>
      </c>
      <c r="G194" s="1" t="s">
        <v>267</v>
      </c>
      <c r="H194" s="1" t="s">
        <v>52</v>
      </c>
      <c r="I194" s="1">
        <v>63</v>
      </c>
      <c r="J194" s="1" t="s">
        <v>65</v>
      </c>
      <c r="K194" s="1" t="s">
        <v>61</v>
      </c>
    </row>
    <row r="195" spans="1:11" customFormat="1" ht="14.5" x14ac:dyDescent="0.35">
      <c r="A195" s="1" t="s">
        <v>511</v>
      </c>
      <c r="B195" s="1" t="s">
        <v>534</v>
      </c>
      <c r="C195" s="1" t="s">
        <v>545</v>
      </c>
      <c r="D195" s="1">
        <v>2</v>
      </c>
      <c r="E195" s="1" t="s">
        <v>548</v>
      </c>
      <c r="F195" s="1" t="s">
        <v>549</v>
      </c>
      <c r="G195" s="1" t="s">
        <v>67</v>
      </c>
      <c r="H195" s="1" t="s">
        <v>68</v>
      </c>
      <c r="I195" s="1">
        <v>61</v>
      </c>
      <c r="J195" s="1" t="s">
        <v>65</v>
      </c>
      <c r="K195" s="1" t="s">
        <v>61</v>
      </c>
    </row>
    <row r="196" spans="1:11" customFormat="1" ht="14.5" x14ac:dyDescent="0.35">
      <c r="A196" s="1" t="s">
        <v>511</v>
      </c>
      <c r="B196" s="1" t="s">
        <v>534</v>
      </c>
      <c r="C196" s="1" t="s">
        <v>550</v>
      </c>
      <c r="D196" s="1">
        <v>1</v>
      </c>
      <c r="E196" s="1" t="s">
        <v>551</v>
      </c>
      <c r="F196" s="1" t="s">
        <v>552</v>
      </c>
      <c r="G196" s="1" t="s">
        <v>267</v>
      </c>
      <c r="H196" s="1" t="s">
        <v>52</v>
      </c>
      <c r="I196" s="1">
        <v>40</v>
      </c>
      <c r="J196" s="1" t="s">
        <v>65</v>
      </c>
      <c r="K196" s="1" t="s">
        <v>61</v>
      </c>
    </row>
    <row r="197" spans="1:11" customFormat="1" ht="14.5" x14ac:dyDescent="0.35">
      <c r="A197" s="1" t="s">
        <v>511</v>
      </c>
      <c r="B197" s="1" t="s">
        <v>534</v>
      </c>
      <c r="C197" s="1" t="s">
        <v>550</v>
      </c>
      <c r="D197" s="1">
        <v>2</v>
      </c>
      <c r="E197" s="1" t="s">
        <v>553</v>
      </c>
      <c r="F197" s="1" t="s">
        <v>553</v>
      </c>
      <c r="G197" s="1" t="s">
        <v>67</v>
      </c>
      <c r="H197" s="1" t="s">
        <v>68</v>
      </c>
      <c r="I197" s="1">
        <v>60</v>
      </c>
      <c r="J197" s="1" t="s">
        <v>65</v>
      </c>
      <c r="K197" s="1" t="s">
        <v>61</v>
      </c>
    </row>
    <row r="198" spans="1:11" customFormat="1" ht="14.5" x14ac:dyDescent="0.35">
      <c r="A198" s="1" t="s">
        <v>511</v>
      </c>
      <c r="B198" s="1" t="s">
        <v>554</v>
      </c>
      <c r="C198" s="1" t="s">
        <v>555</v>
      </c>
      <c r="D198" s="1">
        <v>1</v>
      </c>
      <c r="E198" s="1" t="s">
        <v>556</v>
      </c>
      <c r="F198" s="1" t="s">
        <v>557</v>
      </c>
      <c r="G198" s="1" t="s">
        <v>267</v>
      </c>
      <c r="H198" s="1" t="s">
        <v>52</v>
      </c>
      <c r="I198" s="1">
        <v>46</v>
      </c>
      <c r="J198" s="1" t="s">
        <v>65</v>
      </c>
      <c r="K198" s="1" t="s">
        <v>61</v>
      </c>
    </row>
    <row r="199" spans="1:11" customFormat="1" ht="14.5" x14ac:dyDescent="0.35">
      <c r="A199" s="1" t="s">
        <v>511</v>
      </c>
      <c r="B199" s="1" t="s">
        <v>554</v>
      </c>
      <c r="C199" s="1" t="s">
        <v>555</v>
      </c>
      <c r="D199" s="1">
        <v>2</v>
      </c>
      <c r="E199" s="1" t="s">
        <v>558</v>
      </c>
      <c r="F199" s="1" t="s">
        <v>559</v>
      </c>
      <c r="G199" s="1" t="s">
        <v>67</v>
      </c>
      <c r="H199" s="1" t="s">
        <v>68</v>
      </c>
      <c r="I199" s="1">
        <v>45</v>
      </c>
      <c r="J199" s="1" t="s">
        <v>65</v>
      </c>
      <c r="K199" s="1" t="s">
        <v>61</v>
      </c>
    </row>
    <row r="200" spans="1:11" customFormat="1" ht="14.5" x14ac:dyDescent="0.35">
      <c r="A200" s="1" t="s">
        <v>511</v>
      </c>
      <c r="B200" s="1" t="s">
        <v>554</v>
      </c>
      <c r="C200" s="1" t="s">
        <v>560</v>
      </c>
      <c r="D200" s="1">
        <v>1</v>
      </c>
      <c r="E200" s="1" t="s">
        <v>561</v>
      </c>
      <c r="F200" s="1" t="s">
        <v>562</v>
      </c>
      <c r="G200" s="1" t="s">
        <v>267</v>
      </c>
      <c r="H200" s="1" t="s">
        <v>52</v>
      </c>
      <c r="I200" s="1">
        <v>52</v>
      </c>
      <c r="J200" s="1" t="s">
        <v>65</v>
      </c>
      <c r="K200" s="1" t="s">
        <v>61</v>
      </c>
    </row>
    <row r="201" spans="1:11" customFormat="1" ht="14.5" x14ac:dyDescent="0.35">
      <c r="A201" s="1" t="s">
        <v>511</v>
      </c>
      <c r="B201" s="1" t="s">
        <v>554</v>
      </c>
      <c r="C201" s="1" t="s">
        <v>560</v>
      </c>
      <c r="D201" s="1">
        <v>2</v>
      </c>
      <c r="E201" s="1" t="s">
        <v>563</v>
      </c>
      <c r="F201" s="1" t="s">
        <v>563</v>
      </c>
      <c r="G201" s="1" t="s">
        <v>67</v>
      </c>
      <c r="H201" s="1" t="s">
        <v>68</v>
      </c>
      <c r="I201" s="1">
        <v>50</v>
      </c>
      <c r="J201" s="1" t="s">
        <v>65</v>
      </c>
      <c r="K201" s="1" t="s">
        <v>61</v>
      </c>
    </row>
    <row r="202" spans="1:11" customFormat="1" ht="14.5" x14ac:dyDescent="0.35">
      <c r="A202" s="1" t="s">
        <v>511</v>
      </c>
      <c r="B202" s="1" t="s">
        <v>554</v>
      </c>
      <c r="C202" s="1" t="s">
        <v>564</v>
      </c>
      <c r="D202" s="1">
        <v>1</v>
      </c>
      <c r="E202" s="1" t="s">
        <v>565</v>
      </c>
      <c r="F202" s="1" t="s">
        <v>566</v>
      </c>
      <c r="G202" s="1" t="s">
        <v>67</v>
      </c>
      <c r="H202" s="1" t="s">
        <v>68</v>
      </c>
      <c r="I202" s="1">
        <v>59</v>
      </c>
      <c r="J202" s="1" t="s">
        <v>65</v>
      </c>
      <c r="K202" s="1" t="s">
        <v>61</v>
      </c>
    </row>
    <row r="203" spans="1:11" customFormat="1" ht="14.5" x14ac:dyDescent="0.35">
      <c r="A203" s="1" t="s">
        <v>511</v>
      </c>
      <c r="B203" s="1" t="s">
        <v>554</v>
      </c>
      <c r="C203" s="1" t="s">
        <v>564</v>
      </c>
      <c r="D203" s="1">
        <v>2</v>
      </c>
      <c r="E203" s="1" t="s">
        <v>567</v>
      </c>
      <c r="F203" s="1" t="s">
        <v>568</v>
      </c>
      <c r="G203" s="1" t="s">
        <v>267</v>
      </c>
      <c r="H203" s="1" t="s">
        <v>52</v>
      </c>
      <c r="I203" s="1">
        <v>55</v>
      </c>
      <c r="J203" s="1" t="s">
        <v>65</v>
      </c>
      <c r="K203" s="1" t="s">
        <v>61</v>
      </c>
    </row>
    <row r="204" spans="1:11" customFormat="1" ht="14.5" x14ac:dyDescent="0.35">
      <c r="A204" s="1" t="s">
        <v>511</v>
      </c>
      <c r="B204" s="1" t="s">
        <v>554</v>
      </c>
      <c r="C204" s="1" t="s">
        <v>569</v>
      </c>
      <c r="D204" s="1">
        <v>1</v>
      </c>
      <c r="E204" s="1" t="s">
        <v>570</v>
      </c>
      <c r="F204" s="1" t="s">
        <v>570</v>
      </c>
      <c r="G204" s="1" t="s">
        <v>67</v>
      </c>
      <c r="H204" s="1" t="s">
        <v>68</v>
      </c>
      <c r="I204" s="1">
        <v>64</v>
      </c>
      <c r="J204" s="1" t="s">
        <v>65</v>
      </c>
      <c r="K204" s="1" t="s">
        <v>61</v>
      </c>
    </row>
    <row r="205" spans="1:11" customFormat="1" ht="14.5" x14ac:dyDescent="0.35">
      <c r="A205" s="1" t="s">
        <v>511</v>
      </c>
      <c r="B205" s="1" t="s">
        <v>554</v>
      </c>
      <c r="C205" s="1" t="s">
        <v>569</v>
      </c>
      <c r="D205" s="1">
        <v>2</v>
      </c>
      <c r="E205" s="1" t="s">
        <v>571</v>
      </c>
      <c r="F205" s="1" t="s">
        <v>572</v>
      </c>
      <c r="G205" s="1" t="s">
        <v>267</v>
      </c>
      <c r="H205" s="1" t="s">
        <v>52</v>
      </c>
      <c r="I205" s="1">
        <v>56</v>
      </c>
      <c r="J205" s="1" t="s">
        <v>65</v>
      </c>
      <c r="K205" s="1" t="s">
        <v>61</v>
      </c>
    </row>
    <row r="206" spans="1:11" customFormat="1" ht="14.5" x14ac:dyDescent="0.35">
      <c r="A206" s="1" t="s">
        <v>511</v>
      </c>
      <c r="B206" s="1" t="s">
        <v>573</v>
      </c>
      <c r="C206" s="1" t="s">
        <v>574</v>
      </c>
      <c r="D206" s="1">
        <v>1</v>
      </c>
      <c r="E206" s="1" t="s">
        <v>575</v>
      </c>
      <c r="F206" s="1" t="s">
        <v>576</v>
      </c>
      <c r="G206" s="1" t="s">
        <v>267</v>
      </c>
      <c r="H206" s="1" t="s">
        <v>52</v>
      </c>
      <c r="I206" s="1">
        <v>53</v>
      </c>
      <c r="J206" s="1" t="s">
        <v>65</v>
      </c>
      <c r="K206" s="1" t="s">
        <v>61</v>
      </c>
    </row>
    <row r="207" spans="1:11" customFormat="1" ht="14.5" x14ac:dyDescent="0.35">
      <c r="A207" s="1" t="s">
        <v>511</v>
      </c>
      <c r="B207" s="1" t="s">
        <v>573</v>
      </c>
      <c r="C207" s="1" t="s">
        <v>574</v>
      </c>
      <c r="D207" s="1">
        <v>2</v>
      </c>
      <c r="E207" s="1" t="s">
        <v>577</v>
      </c>
      <c r="F207" s="1" t="s">
        <v>578</v>
      </c>
      <c r="G207" s="1" t="s">
        <v>73</v>
      </c>
      <c r="H207" s="1" t="s">
        <v>74</v>
      </c>
      <c r="I207" s="1">
        <v>27</v>
      </c>
      <c r="J207" s="1" t="s">
        <v>65</v>
      </c>
      <c r="K207" s="1" t="s">
        <v>61</v>
      </c>
    </row>
    <row r="208" spans="1:11" customFormat="1" ht="14.5" x14ac:dyDescent="0.35">
      <c r="A208" s="1" t="s">
        <v>511</v>
      </c>
      <c r="B208" s="1" t="s">
        <v>573</v>
      </c>
      <c r="C208" s="1" t="s">
        <v>579</v>
      </c>
      <c r="D208" s="1">
        <v>1</v>
      </c>
      <c r="E208" s="1" t="s">
        <v>580</v>
      </c>
      <c r="F208" s="1" t="s">
        <v>581</v>
      </c>
      <c r="G208" s="1" t="s">
        <v>267</v>
      </c>
      <c r="H208" s="1" t="s">
        <v>52</v>
      </c>
      <c r="I208" s="1">
        <v>56</v>
      </c>
      <c r="J208" s="1" t="s">
        <v>65</v>
      </c>
      <c r="K208" s="1" t="s">
        <v>61</v>
      </c>
    </row>
    <row r="209" spans="1:11" customFormat="1" ht="14.5" x14ac:dyDescent="0.35">
      <c r="A209" s="1" t="s">
        <v>511</v>
      </c>
      <c r="B209" s="1" t="s">
        <v>573</v>
      </c>
      <c r="C209" s="1" t="s">
        <v>579</v>
      </c>
      <c r="D209" s="1">
        <v>2</v>
      </c>
      <c r="E209" s="1" t="s">
        <v>582</v>
      </c>
      <c r="F209" s="1" t="s">
        <v>583</v>
      </c>
      <c r="G209" s="1" t="s">
        <v>67</v>
      </c>
      <c r="H209" s="1" t="s">
        <v>68</v>
      </c>
      <c r="I209" s="1">
        <v>44</v>
      </c>
      <c r="J209" s="1" t="s">
        <v>65</v>
      </c>
      <c r="K209" s="1" t="s">
        <v>61</v>
      </c>
    </row>
    <row r="210" spans="1:11" customFormat="1" ht="14.5" x14ac:dyDescent="0.35">
      <c r="A210" s="1" t="s">
        <v>511</v>
      </c>
      <c r="B210" s="1" t="s">
        <v>573</v>
      </c>
      <c r="C210" s="1" t="s">
        <v>579</v>
      </c>
      <c r="D210" s="1">
        <v>3</v>
      </c>
      <c r="E210" s="1" t="s">
        <v>584</v>
      </c>
      <c r="F210" s="1" t="s">
        <v>585</v>
      </c>
      <c r="G210" s="1" t="s">
        <v>586</v>
      </c>
      <c r="H210" s="1" t="s">
        <v>587</v>
      </c>
      <c r="I210" s="1">
        <v>31</v>
      </c>
      <c r="J210" s="1" t="s">
        <v>65</v>
      </c>
      <c r="K210" s="1" t="s">
        <v>61</v>
      </c>
    </row>
    <row r="211" spans="1:11" customFormat="1" ht="14.5" x14ac:dyDescent="0.35">
      <c r="A211" s="1" t="s">
        <v>511</v>
      </c>
      <c r="B211" s="1" t="s">
        <v>573</v>
      </c>
      <c r="C211" s="1" t="s">
        <v>588</v>
      </c>
      <c r="D211" s="1">
        <v>1</v>
      </c>
      <c r="E211" s="1" t="s">
        <v>589</v>
      </c>
      <c r="F211" s="1" t="s">
        <v>590</v>
      </c>
      <c r="G211" s="1" t="s">
        <v>67</v>
      </c>
      <c r="H211" s="1" t="s">
        <v>68</v>
      </c>
      <c r="I211" s="1">
        <v>60</v>
      </c>
      <c r="J211" s="1" t="s">
        <v>65</v>
      </c>
      <c r="K211" s="1" t="s">
        <v>61</v>
      </c>
    </row>
    <row r="212" spans="1:11" customFormat="1" ht="14.5" x14ac:dyDescent="0.35">
      <c r="A212" s="1" t="s">
        <v>511</v>
      </c>
      <c r="B212" s="1" t="s">
        <v>573</v>
      </c>
      <c r="C212" s="1" t="s">
        <v>588</v>
      </c>
      <c r="D212" s="1">
        <v>2</v>
      </c>
      <c r="E212" s="1" t="s">
        <v>591</v>
      </c>
      <c r="F212" s="1" t="s">
        <v>592</v>
      </c>
      <c r="G212" s="1" t="s">
        <v>267</v>
      </c>
      <c r="H212" s="1" t="s">
        <v>52</v>
      </c>
      <c r="I212" s="1">
        <v>44</v>
      </c>
      <c r="J212" s="1" t="s">
        <v>60</v>
      </c>
      <c r="K212" s="1" t="s">
        <v>61</v>
      </c>
    </row>
    <row r="213" spans="1:11" customFormat="1" ht="14.5" x14ac:dyDescent="0.35">
      <c r="A213" s="1" t="s">
        <v>511</v>
      </c>
      <c r="B213" s="1" t="s">
        <v>573</v>
      </c>
      <c r="C213" s="1" t="s">
        <v>593</v>
      </c>
      <c r="D213" s="1">
        <v>1</v>
      </c>
      <c r="E213" s="1" t="s">
        <v>594</v>
      </c>
      <c r="F213" s="1" t="s">
        <v>595</v>
      </c>
      <c r="G213" s="1" t="s">
        <v>267</v>
      </c>
      <c r="H213" s="1" t="s">
        <v>52</v>
      </c>
      <c r="I213" s="1">
        <v>47</v>
      </c>
      <c r="J213" s="1" t="s">
        <v>65</v>
      </c>
      <c r="K213" s="1" t="s">
        <v>61</v>
      </c>
    </row>
    <row r="214" spans="1:11" customFormat="1" ht="14.5" x14ac:dyDescent="0.35">
      <c r="A214" s="1" t="s">
        <v>511</v>
      </c>
      <c r="B214" s="1" t="s">
        <v>573</v>
      </c>
      <c r="C214" s="1" t="s">
        <v>593</v>
      </c>
      <c r="D214" s="1">
        <v>2</v>
      </c>
      <c r="E214" s="1" t="s">
        <v>596</v>
      </c>
      <c r="F214" s="1" t="s">
        <v>597</v>
      </c>
      <c r="G214" s="1" t="s">
        <v>73</v>
      </c>
      <c r="H214" s="1" t="s">
        <v>74</v>
      </c>
      <c r="I214" s="1">
        <v>42</v>
      </c>
      <c r="J214" s="1" t="s">
        <v>65</v>
      </c>
      <c r="K214" s="1" t="s">
        <v>61</v>
      </c>
    </row>
    <row r="215" spans="1:11" customFormat="1" ht="14.5" x14ac:dyDescent="0.35">
      <c r="A215" s="1" t="s">
        <v>511</v>
      </c>
      <c r="B215" s="1" t="s">
        <v>598</v>
      </c>
      <c r="C215" s="1" t="s">
        <v>599</v>
      </c>
      <c r="D215" s="1">
        <v>1</v>
      </c>
      <c r="E215" s="1" t="s">
        <v>600</v>
      </c>
      <c r="F215" s="1" t="s">
        <v>601</v>
      </c>
      <c r="G215" s="1" t="s">
        <v>67</v>
      </c>
      <c r="H215" s="1" t="s">
        <v>68</v>
      </c>
      <c r="I215" s="1">
        <v>57</v>
      </c>
      <c r="J215" s="1" t="s">
        <v>65</v>
      </c>
      <c r="K215" s="1" t="s">
        <v>61</v>
      </c>
    </row>
    <row r="216" spans="1:11" customFormat="1" ht="14.5" x14ac:dyDescent="0.35">
      <c r="A216" s="1" t="s">
        <v>511</v>
      </c>
      <c r="B216" s="1" t="s">
        <v>598</v>
      </c>
      <c r="C216" s="1" t="s">
        <v>599</v>
      </c>
      <c r="D216" s="1">
        <v>2</v>
      </c>
      <c r="E216" s="1" t="s">
        <v>602</v>
      </c>
      <c r="F216" s="1" t="s">
        <v>603</v>
      </c>
      <c r="G216" s="1" t="s">
        <v>267</v>
      </c>
      <c r="H216" s="1" t="s">
        <v>52</v>
      </c>
      <c r="I216" s="1">
        <v>56</v>
      </c>
      <c r="J216" s="1" t="s">
        <v>65</v>
      </c>
      <c r="K216" s="1" t="s">
        <v>61</v>
      </c>
    </row>
    <row r="217" spans="1:11" customFormat="1" ht="14.5" x14ac:dyDescent="0.35">
      <c r="A217" s="1" t="s">
        <v>511</v>
      </c>
      <c r="B217" s="1" t="s">
        <v>598</v>
      </c>
      <c r="C217" s="1" t="s">
        <v>604</v>
      </c>
      <c r="D217" s="1">
        <v>1</v>
      </c>
      <c r="E217" s="1" t="s">
        <v>605</v>
      </c>
      <c r="F217" s="1" t="s">
        <v>606</v>
      </c>
      <c r="G217" s="1" t="s">
        <v>67</v>
      </c>
      <c r="H217" s="1" t="s">
        <v>68</v>
      </c>
      <c r="I217" s="1">
        <v>63</v>
      </c>
      <c r="J217" s="1" t="s">
        <v>65</v>
      </c>
      <c r="K217" s="1" t="s">
        <v>61</v>
      </c>
    </row>
    <row r="218" spans="1:11" customFormat="1" ht="14.5" x14ac:dyDescent="0.35">
      <c r="A218" s="1" t="s">
        <v>511</v>
      </c>
      <c r="B218" s="1" t="s">
        <v>598</v>
      </c>
      <c r="C218" s="1" t="s">
        <v>604</v>
      </c>
      <c r="D218" s="1">
        <v>2</v>
      </c>
      <c r="E218" s="1" t="s">
        <v>607</v>
      </c>
      <c r="F218" s="1" t="s">
        <v>608</v>
      </c>
      <c r="G218" s="1" t="s">
        <v>267</v>
      </c>
      <c r="H218" s="1" t="s">
        <v>52</v>
      </c>
      <c r="I218" s="1">
        <v>52</v>
      </c>
      <c r="J218" s="1" t="s">
        <v>65</v>
      </c>
      <c r="K218" s="1" t="s">
        <v>61</v>
      </c>
    </row>
    <row r="219" spans="1:11" customFormat="1" ht="14.5" x14ac:dyDescent="0.35">
      <c r="A219" s="1" t="s">
        <v>511</v>
      </c>
      <c r="B219" s="1" t="s">
        <v>598</v>
      </c>
      <c r="C219" s="1" t="s">
        <v>609</v>
      </c>
      <c r="D219" s="1">
        <v>1</v>
      </c>
      <c r="E219" s="1" t="s">
        <v>610</v>
      </c>
      <c r="F219" s="1" t="s">
        <v>611</v>
      </c>
      <c r="G219" s="1" t="s">
        <v>73</v>
      </c>
      <c r="H219" s="1" t="s">
        <v>74</v>
      </c>
      <c r="I219" s="1">
        <v>60</v>
      </c>
      <c r="J219" s="1" t="s">
        <v>65</v>
      </c>
      <c r="K219" s="1" t="s">
        <v>61</v>
      </c>
    </row>
    <row r="220" spans="1:11" customFormat="1" ht="14.5" x14ac:dyDescent="0.35">
      <c r="A220" s="1" t="s">
        <v>511</v>
      </c>
      <c r="B220" s="1" t="s">
        <v>598</v>
      </c>
      <c r="C220" s="1" t="s">
        <v>609</v>
      </c>
      <c r="D220" s="1">
        <v>2</v>
      </c>
      <c r="E220" s="1" t="s">
        <v>612</v>
      </c>
      <c r="F220" s="1" t="s">
        <v>613</v>
      </c>
      <c r="G220" s="1" t="s">
        <v>267</v>
      </c>
      <c r="H220" s="1" t="s">
        <v>52</v>
      </c>
      <c r="I220" s="1">
        <v>54</v>
      </c>
      <c r="J220" s="1" t="s">
        <v>65</v>
      </c>
      <c r="K220" s="1" t="s">
        <v>61</v>
      </c>
    </row>
    <row r="221" spans="1:11" customFormat="1" ht="14.5" x14ac:dyDescent="0.35">
      <c r="A221" s="1" t="s">
        <v>511</v>
      </c>
      <c r="B221" s="1" t="s">
        <v>598</v>
      </c>
      <c r="C221" s="1" t="s">
        <v>614</v>
      </c>
      <c r="D221" s="1">
        <v>1</v>
      </c>
      <c r="E221" s="1" t="s">
        <v>615</v>
      </c>
      <c r="F221" s="1" t="s">
        <v>616</v>
      </c>
      <c r="G221" s="1" t="s">
        <v>267</v>
      </c>
      <c r="H221" s="1" t="s">
        <v>52</v>
      </c>
      <c r="I221" s="1">
        <v>48</v>
      </c>
      <c r="J221" s="1" t="s">
        <v>65</v>
      </c>
      <c r="K221" s="1" t="s">
        <v>61</v>
      </c>
    </row>
    <row r="222" spans="1:11" customFormat="1" ht="14.5" x14ac:dyDescent="0.35">
      <c r="A222" s="1" t="s">
        <v>511</v>
      </c>
      <c r="B222" s="1" t="s">
        <v>598</v>
      </c>
      <c r="C222" s="1" t="s">
        <v>614</v>
      </c>
      <c r="D222" s="1">
        <v>2</v>
      </c>
      <c r="E222" s="1" t="s">
        <v>617</v>
      </c>
      <c r="F222" s="1" t="s">
        <v>618</v>
      </c>
      <c r="G222" s="1" t="s">
        <v>67</v>
      </c>
      <c r="H222" s="1" t="s">
        <v>68</v>
      </c>
      <c r="I222" s="1">
        <v>67</v>
      </c>
      <c r="J222" s="1" t="s">
        <v>65</v>
      </c>
      <c r="K222" s="1" t="s">
        <v>61</v>
      </c>
    </row>
    <row r="223" spans="1:11" customFormat="1" ht="14.5" x14ac:dyDescent="0.35">
      <c r="A223" s="1" t="s">
        <v>511</v>
      </c>
      <c r="B223" s="1" t="s">
        <v>619</v>
      </c>
      <c r="C223" s="1" t="s">
        <v>620</v>
      </c>
      <c r="D223" s="1">
        <v>1</v>
      </c>
      <c r="E223" s="1" t="s">
        <v>621</v>
      </c>
      <c r="F223" s="1" t="s">
        <v>622</v>
      </c>
      <c r="G223" s="1" t="s">
        <v>267</v>
      </c>
      <c r="H223" s="1" t="s">
        <v>52</v>
      </c>
      <c r="I223" s="1">
        <v>65</v>
      </c>
      <c r="J223" s="1" t="s">
        <v>65</v>
      </c>
      <c r="K223" s="1" t="s">
        <v>61</v>
      </c>
    </row>
    <row r="224" spans="1:11" customFormat="1" ht="14.5" x14ac:dyDescent="0.35">
      <c r="A224" s="1" t="s">
        <v>511</v>
      </c>
      <c r="B224" s="1" t="s">
        <v>619</v>
      </c>
      <c r="C224" s="1" t="s">
        <v>620</v>
      </c>
      <c r="D224" s="1">
        <v>2</v>
      </c>
      <c r="E224" s="1" t="s">
        <v>623</v>
      </c>
      <c r="F224" s="1" t="s">
        <v>624</v>
      </c>
      <c r="G224" s="1" t="s">
        <v>67</v>
      </c>
      <c r="H224" s="1" t="s">
        <v>68</v>
      </c>
      <c r="I224" s="1">
        <v>53</v>
      </c>
      <c r="J224" s="1" t="s">
        <v>65</v>
      </c>
      <c r="K224" s="1" t="s">
        <v>61</v>
      </c>
    </row>
    <row r="225" spans="1:11" customFormat="1" ht="14.5" x14ac:dyDescent="0.35">
      <c r="A225" s="1" t="s">
        <v>511</v>
      </c>
      <c r="B225" s="1" t="s">
        <v>619</v>
      </c>
      <c r="C225" s="1" t="s">
        <v>625</v>
      </c>
      <c r="D225" s="1">
        <v>1</v>
      </c>
      <c r="E225" s="1" t="s">
        <v>626</v>
      </c>
      <c r="F225" s="1" t="s">
        <v>626</v>
      </c>
      <c r="G225" s="1" t="s">
        <v>73</v>
      </c>
      <c r="H225" s="1" t="s">
        <v>74</v>
      </c>
      <c r="I225" s="1">
        <v>62</v>
      </c>
      <c r="J225" s="1" t="s">
        <v>60</v>
      </c>
      <c r="K225" s="1" t="s">
        <v>61</v>
      </c>
    </row>
    <row r="226" spans="1:11" customFormat="1" ht="14.5" x14ac:dyDescent="0.35">
      <c r="A226" s="1" t="s">
        <v>511</v>
      </c>
      <c r="B226" s="1" t="s">
        <v>619</v>
      </c>
      <c r="C226" s="1" t="s">
        <v>625</v>
      </c>
      <c r="D226" s="1">
        <v>2</v>
      </c>
      <c r="E226" s="1" t="s">
        <v>627</v>
      </c>
      <c r="F226" s="1" t="s">
        <v>628</v>
      </c>
      <c r="G226" s="1" t="s">
        <v>267</v>
      </c>
      <c r="H226" s="1" t="s">
        <v>52</v>
      </c>
      <c r="I226" s="1">
        <v>47</v>
      </c>
      <c r="J226" s="1" t="s">
        <v>65</v>
      </c>
      <c r="K226" s="1" t="s">
        <v>61</v>
      </c>
    </row>
    <row r="227" spans="1:11" customFormat="1" ht="14.5" x14ac:dyDescent="0.35">
      <c r="A227" s="1" t="s">
        <v>511</v>
      </c>
      <c r="B227" s="1" t="s">
        <v>619</v>
      </c>
      <c r="C227" s="1" t="s">
        <v>629</v>
      </c>
      <c r="D227" s="1">
        <v>1</v>
      </c>
      <c r="E227" s="1" t="s">
        <v>630</v>
      </c>
      <c r="F227" s="1" t="s">
        <v>631</v>
      </c>
      <c r="G227" s="1" t="s">
        <v>67</v>
      </c>
      <c r="H227" s="1" t="s">
        <v>68</v>
      </c>
      <c r="I227" s="1">
        <v>59</v>
      </c>
      <c r="J227" s="1" t="s">
        <v>65</v>
      </c>
      <c r="K227" s="1" t="s">
        <v>61</v>
      </c>
    </row>
    <row r="228" spans="1:11" customFormat="1" ht="14.5" x14ac:dyDescent="0.35">
      <c r="A228" s="1" t="s">
        <v>511</v>
      </c>
      <c r="B228" s="1" t="s">
        <v>619</v>
      </c>
      <c r="C228" s="1" t="s">
        <v>629</v>
      </c>
      <c r="D228" s="1">
        <v>2</v>
      </c>
      <c r="E228" s="1" t="s">
        <v>632</v>
      </c>
      <c r="F228" s="1" t="s">
        <v>633</v>
      </c>
      <c r="G228" s="1" t="s">
        <v>267</v>
      </c>
      <c r="H228" s="1" t="s">
        <v>52</v>
      </c>
      <c r="I228" s="1">
        <v>68</v>
      </c>
      <c r="J228" s="1" t="s">
        <v>65</v>
      </c>
      <c r="K228" s="1" t="s">
        <v>61</v>
      </c>
    </row>
    <row r="229" spans="1:11" customFormat="1" ht="14.5" x14ac:dyDescent="0.35">
      <c r="A229" s="1" t="s">
        <v>511</v>
      </c>
      <c r="B229" s="1" t="s">
        <v>619</v>
      </c>
      <c r="C229" s="1" t="s">
        <v>634</v>
      </c>
      <c r="D229" s="1">
        <v>1</v>
      </c>
      <c r="E229" s="1" t="s">
        <v>635</v>
      </c>
      <c r="F229" s="1" t="s">
        <v>636</v>
      </c>
      <c r="G229" s="1" t="s">
        <v>67</v>
      </c>
      <c r="H229" s="1" t="s">
        <v>68</v>
      </c>
      <c r="I229" s="1">
        <v>59</v>
      </c>
      <c r="J229" s="1" t="s">
        <v>65</v>
      </c>
      <c r="K229" s="1" t="s">
        <v>61</v>
      </c>
    </row>
    <row r="230" spans="1:11" customFormat="1" ht="14.5" x14ac:dyDescent="0.35">
      <c r="A230" s="1" t="s">
        <v>511</v>
      </c>
      <c r="B230" s="1" t="s">
        <v>619</v>
      </c>
      <c r="C230" s="1" t="s">
        <v>634</v>
      </c>
      <c r="D230" s="1">
        <v>2</v>
      </c>
      <c r="E230" s="1" t="s">
        <v>637</v>
      </c>
      <c r="F230" s="1" t="s">
        <v>638</v>
      </c>
      <c r="G230" s="1" t="s">
        <v>267</v>
      </c>
      <c r="H230" s="1" t="s">
        <v>52</v>
      </c>
      <c r="I230" s="1">
        <v>61</v>
      </c>
      <c r="J230" s="1" t="s">
        <v>65</v>
      </c>
      <c r="K230" s="1" t="s">
        <v>61</v>
      </c>
    </row>
    <row r="231" spans="1:11" customFormat="1" ht="14.5" x14ac:dyDescent="0.35">
      <c r="A231" s="1" t="s">
        <v>511</v>
      </c>
      <c r="B231" s="1" t="s">
        <v>639</v>
      </c>
      <c r="C231" s="1" t="s">
        <v>640</v>
      </c>
      <c r="D231" s="1">
        <v>1</v>
      </c>
      <c r="E231" s="1" t="s">
        <v>641</v>
      </c>
      <c r="F231" s="1" t="s">
        <v>642</v>
      </c>
      <c r="G231" s="1" t="s">
        <v>267</v>
      </c>
      <c r="H231" s="1" t="s">
        <v>52</v>
      </c>
      <c r="I231" s="1">
        <v>60</v>
      </c>
      <c r="J231" s="1" t="s">
        <v>65</v>
      </c>
      <c r="K231" s="1" t="s">
        <v>61</v>
      </c>
    </row>
    <row r="232" spans="1:11" customFormat="1" ht="14.5" x14ac:dyDescent="0.35">
      <c r="A232" s="1" t="s">
        <v>511</v>
      </c>
      <c r="B232" s="1" t="s">
        <v>639</v>
      </c>
      <c r="C232" s="1" t="s">
        <v>640</v>
      </c>
      <c r="D232" s="1">
        <v>2</v>
      </c>
      <c r="E232" s="1" t="s">
        <v>643</v>
      </c>
      <c r="F232" s="1" t="s">
        <v>644</v>
      </c>
      <c r="G232" s="1" t="s">
        <v>67</v>
      </c>
      <c r="H232" s="1" t="s">
        <v>68</v>
      </c>
      <c r="I232" s="1">
        <v>63</v>
      </c>
      <c r="J232" s="1" t="s">
        <v>65</v>
      </c>
      <c r="K232" s="1" t="s">
        <v>61</v>
      </c>
    </row>
    <row r="233" spans="1:11" customFormat="1" ht="14.5" x14ac:dyDescent="0.35">
      <c r="A233" s="1" t="s">
        <v>511</v>
      </c>
      <c r="B233" s="1" t="s">
        <v>639</v>
      </c>
      <c r="C233" s="1" t="s">
        <v>645</v>
      </c>
      <c r="D233" s="1">
        <v>1</v>
      </c>
      <c r="E233" s="1" t="s">
        <v>646</v>
      </c>
      <c r="F233" s="1" t="s">
        <v>646</v>
      </c>
      <c r="G233" s="1" t="s">
        <v>67</v>
      </c>
      <c r="H233" s="1" t="s">
        <v>68</v>
      </c>
      <c r="I233" s="1">
        <v>49</v>
      </c>
      <c r="J233" s="1" t="s">
        <v>65</v>
      </c>
      <c r="K233" s="1" t="s">
        <v>61</v>
      </c>
    </row>
    <row r="234" spans="1:11" customFormat="1" ht="14.5" x14ac:dyDescent="0.35">
      <c r="A234" s="1" t="s">
        <v>511</v>
      </c>
      <c r="B234" s="1" t="s">
        <v>639</v>
      </c>
      <c r="C234" s="1" t="s">
        <v>645</v>
      </c>
      <c r="D234" s="1">
        <v>2</v>
      </c>
      <c r="E234" s="1" t="s">
        <v>647</v>
      </c>
      <c r="F234" s="1" t="s">
        <v>648</v>
      </c>
      <c r="G234" s="1" t="s">
        <v>267</v>
      </c>
      <c r="H234" s="1" t="s">
        <v>52</v>
      </c>
      <c r="I234" s="1">
        <v>37</v>
      </c>
      <c r="J234" s="1" t="s">
        <v>65</v>
      </c>
      <c r="K234" s="1" t="s">
        <v>61</v>
      </c>
    </row>
    <row r="235" spans="1:11" customFormat="1" ht="14.5" x14ac:dyDescent="0.35">
      <c r="A235" s="1" t="s">
        <v>511</v>
      </c>
      <c r="B235" s="1" t="s">
        <v>639</v>
      </c>
      <c r="C235" s="1" t="s">
        <v>649</v>
      </c>
      <c r="D235" s="1">
        <v>1</v>
      </c>
      <c r="E235" s="1" t="s">
        <v>650</v>
      </c>
      <c r="F235" s="1" t="s">
        <v>651</v>
      </c>
      <c r="G235" s="1" t="s">
        <v>267</v>
      </c>
      <c r="H235" s="1" t="s">
        <v>52</v>
      </c>
      <c r="I235" s="1">
        <v>36</v>
      </c>
      <c r="J235" s="1" t="s">
        <v>65</v>
      </c>
      <c r="K235" s="1" t="s">
        <v>61</v>
      </c>
    </row>
    <row r="236" spans="1:11" customFormat="1" ht="14.5" x14ac:dyDescent="0.35">
      <c r="A236" s="1" t="s">
        <v>511</v>
      </c>
      <c r="B236" s="1" t="s">
        <v>639</v>
      </c>
      <c r="C236" s="1" t="s">
        <v>649</v>
      </c>
      <c r="D236" s="1">
        <v>2</v>
      </c>
      <c r="E236" s="1" t="s">
        <v>652</v>
      </c>
      <c r="F236" s="1" t="s">
        <v>653</v>
      </c>
      <c r="G236" s="1" t="s">
        <v>73</v>
      </c>
      <c r="H236" s="1" t="s">
        <v>74</v>
      </c>
      <c r="I236" s="1">
        <v>64</v>
      </c>
      <c r="J236" s="1" t="s">
        <v>65</v>
      </c>
      <c r="K236" s="1" t="s">
        <v>61</v>
      </c>
    </row>
    <row r="237" spans="1:11" customFormat="1" ht="14.5" x14ac:dyDescent="0.35">
      <c r="A237" s="1" t="s">
        <v>511</v>
      </c>
      <c r="B237" s="1" t="s">
        <v>639</v>
      </c>
      <c r="C237" s="1" t="s">
        <v>654</v>
      </c>
      <c r="D237" s="1">
        <v>1</v>
      </c>
      <c r="E237" s="1" t="s">
        <v>655</v>
      </c>
      <c r="F237" s="1" t="s">
        <v>656</v>
      </c>
      <c r="G237" s="1" t="s">
        <v>267</v>
      </c>
      <c r="H237" s="1" t="s">
        <v>52</v>
      </c>
      <c r="I237" s="1">
        <v>57</v>
      </c>
      <c r="J237" s="1" t="s">
        <v>65</v>
      </c>
      <c r="K237" s="1" t="s">
        <v>61</v>
      </c>
    </row>
    <row r="238" spans="1:11" customFormat="1" ht="14.5" x14ac:dyDescent="0.35">
      <c r="A238" s="1" t="s">
        <v>511</v>
      </c>
      <c r="B238" s="1" t="s">
        <v>639</v>
      </c>
      <c r="C238" s="1" t="s">
        <v>654</v>
      </c>
      <c r="D238" s="1">
        <v>2</v>
      </c>
      <c r="E238" s="1" t="s">
        <v>657</v>
      </c>
      <c r="F238" s="1" t="s">
        <v>658</v>
      </c>
      <c r="G238" s="1" t="s">
        <v>67</v>
      </c>
      <c r="H238" s="1" t="s">
        <v>68</v>
      </c>
      <c r="I238" s="1">
        <v>40</v>
      </c>
      <c r="J238" s="1" t="s">
        <v>65</v>
      </c>
      <c r="K238" s="1" t="s">
        <v>61</v>
      </c>
    </row>
    <row r="239" spans="1:11" customFormat="1" ht="14.5" x14ac:dyDescent="0.35">
      <c r="A239" s="1" t="s">
        <v>511</v>
      </c>
      <c r="B239" s="1" t="s">
        <v>659</v>
      </c>
      <c r="C239" s="1" t="s">
        <v>660</v>
      </c>
      <c r="D239" s="1">
        <v>1</v>
      </c>
      <c r="E239" s="1" t="s">
        <v>661</v>
      </c>
      <c r="F239" s="1" t="s">
        <v>662</v>
      </c>
      <c r="G239" s="1" t="s">
        <v>267</v>
      </c>
      <c r="H239" s="1" t="s">
        <v>52</v>
      </c>
      <c r="I239" s="1">
        <v>47</v>
      </c>
      <c r="J239" s="1" t="s">
        <v>65</v>
      </c>
      <c r="K239" s="1" t="s">
        <v>61</v>
      </c>
    </row>
    <row r="240" spans="1:11" customFormat="1" ht="14.5" x14ac:dyDescent="0.35">
      <c r="A240" s="1" t="s">
        <v>511</v>
      </c>
      <c r="B240" s="1" t="s">
        <v>659</v>
      </c>
      <c r="C240" s="1" t="s">
        <v>660</v>
      </c>
      <c r="D240" s="1">
        <v>2</v>
      </c>
      <c r="E240" s="1" t="s">
        <v>663</v>
      </c>
      <c r="F240" s="1" t="s">
        <v>664</v>
      </c>
      <c r="G240" s="1" t="s">
        <v>67</v>
      </c>
      <c r="H240" s="1" t="s">
        <v>68</v>
      </c>
      <c r="I240" s="1">
        <v>38</v>
      </c>
      <c r="J240" s="1" t="s">
        <v>65</v>
      </c>
      <c r="K240" s="1" t="s">
        <v>61</v>
      </c>
    </row>
    <row r="241" spans="1:11" customFormat="1" ht="14.5" x14ac:dyDescent="0.35">
      <c r="A241" s="1" t="s">
        <v>511</v>
      </c>
      <c r="B241" s="1" t="s">
        <v>659</v>
      </c>
      <c r="C241" s="1" t="s">
        <v>665</v>
      </c>
      <c r="D241" s="1">
        <v>1</v>
      </c>
      <c r="E241" s="1" t="s">
        <v>666</v>
      </c>
      <c r="F241" s="1" t="s">
        <v>667</v>
      </c>
      <c r="G241" s="1" t="s">
        <v>267</v>
      </c>
      <c r="H241" s="1" t="s">
        <v>52</v>
      </c>
      <c r="I241" s="1">
        <v>58</v>
      </c>
      <c r="J241" s="1" t="s">
        <v>65</v>
      </c>
      <c r="K241" s="1" t="s">
        <v>61</v>
      </c>
    </row>
    <row r="242" spans="1:11" customFormat="1" ht="14.5" x14ac:dyDescent="0.35">
      <c r="A242" s="1" t="s">
        <v>511</v>
      </c>
      <c r="B242" s="1" t="s">
        <v>659</v>
      </c>
      <c r="C242" s="1" t="s">
        <v>665</v>
      </c>
      <c r="D242" s="1">
        <v>2</v>
      </c>
      <c r="E242" s="1" t="s">
        <v>668</v>
      </c>
      <c r="F242" s="1" t="s">
        <v>669</v>
      </c>
      <c r="G242" s="1" t="s">
        <v>67</v>
      </c>
      <c r="H242" s="1" t="s">
        <v>68</v>
      </c>
      <c r="I242" s="1">
        <v>67</v>
      </c>
      <c r="J242" s="1" t="s">
        <v>65</v>
      </c>
      <c r="K242" s="1" t="s">
        <v>61</v>
      </c>
    </row>
    <row r="243" spans="1:11" customFormat="1" ht="14.5" x14ac:dyDescent="0.35">
      <c r="A243" s="1" t="s">
        <v>511</v>
      </c>
      <c r="B243" s="1" t="s">
        <v>659</v>
      </c>
      <c r="C243" s="1" t="s">
        <v>670</v>
      </c>
      <c r="D243" s="1">
        <v>1</v>
      </c>
      <c r="E243" s="1" t="s">
        <v>671</v>
      </c>
      <c r="F243" s="1" t="s">
        <v>672</v>
      </c>
      <c r="G243" s="1" t="s">
        <v>67</v>
      </c>
      <c r="H243" s="1" t="s">
        <v>68</v>
      </c>
      <c r="I243" s="1">
        <v>65</v>
      </c>
      <c r="J243" s="1" t="s">
        <v>65</v>
      </c>
      <c r="K243" s="1" t="s">
        <v>61</v>
      </c>
    </row>
    <row r="244" spans="1:11" customFormat="1" ht="14.5" x14ac:dyDescent="0.35">
      <c r="A244" s="1" t="s">
        <v>511</v>
      </c>
      <c r="B244" s="1" t="s">
        <v>659</v>
      </c>
      <c r="C244" s="1" t="s">
        <v>670</v>
      </c>
      <c r="D244" s="1">
        <v>2</v>
      </c>
      <c r="E244" s="1" t="s">
        <v>673</v>
      </c>
      <c r="F244" s="1" t="s">
        <v>674</v>
      </c>
      <c r="G244" s="1" t="s">
        <v>267</v>
      </c>
      <c r="H244" s="1" t="s">
        <v>52</v>
      </c>
      <c r="I244" s="1">
        <v>64</v>
      </c>
      <c r="J244" s="1" t="s">
        <v>65</v>
      </c>
      <c r="K244" s="1" t="s">
        <v>61</v>
      </c>
    </row>
    <row r="245" spans="1:11" customFormat="1" ht="14.5" x14ac:dyDescent="0.35">
      <c r="A245" s="1" t="s">
        <v>511</v>
      </c>
      <c r="B245" s="1" t="s">
        <v>659</v>
      </c>
      <c r="C245" s="1" t="s">
        <v>675</v>
      </c>
      <c r="D245" s="1">
        <v>1</v>
      </c>
      <c r="E245" s="1" t="s">
        <v>676</v>
      </c>
      <c r="F245" s="1" t="s">
        <v>677</v>
      </c>
      <c r="G245" s="1" t="s">
        <v>267</v>
      </c>
      <c r="H245" s="1" t="s">
        <v>52</v>
      </c>
      <c r="I245" s="1">
        <v>47</v>
      </c>
      <c r="J245" s="1" t="s">
        <v>65</v>
      </c>
      <c r="K245" s="1" t="s">
        <v>61</v>
      </c>
    </row>
    <row r="246" spans="1:11" customFormat="1" ht="14.5" x14ac:dyDescent="0.35">
      <c r="A246" s="1" t="s">
        <v>511</v>
      </c>
      <c r="B246" s="1" t="s">
        <v>659</v>
      </c>
      <c r="C246" s="1" t="s">
        <v>675</v>
      </c>
      <c r="D246" s="1">
        <v>2</v>
      </c>
      <c r="E246" s="1" t="s">
        <v>678</v>
      </c>
      <c r="F246" s="1" t="s">
        <v>679</v>
      </c>
      <c r="G246" s="1" t="s">
        <v>67</v>
      </c>
      <c r="H246" s="1" t="s">
        <v>68</v>
      </c>
      <c r="I246" s="1">
        <v>55</v>
      </c>
      <c r="J246" s="1" t="s">
        <v>65</v>
      </c>
      <c r="K246" s="1" t="s">
        <v>61</v>
      </c>
    </row>
    <row r="247" spans="1:11" customFormat="1" ht="14.5" x14ac:dyDescent="0.35">
      <c r="A247" s="1" t="s">
        <v>680</v>
      </c>
      <c r="B247" s="1" t="s">
        <v>681</v>
      </c>
      <c r="C247" s="1" t="s">
        <v>682</v>
      </c>
      <c r="D247" s="1">
        <v>1</v>
      </c>
      <c r="E247" s="1" t="s">
        <v>683</v>
      </c>
      <c r="F247" s="1" t="s">
        <v>684</v>
      </c>
      <c r="G247" s="1" t="s">
        <v>58</v>
      </c>
      <c r="H247" s="1" t="s">
        <v>59</v>
      </c>
      <c r="I247" s="1">
        <v>50</v>
      </c>
      <c r="J247" s="1" t="s">
        <v>65</v>
      </c>
      <c r="K247" s="1" t="s">
        <v>61</v>
      </c>
    </row>
    <row r="248" spans="1:11" customFormat="1" ht="14.5" x14ac:dyDescent="0.35">
      <c r="A248" s="1" t="s">
        <v>680</v>
      </c>
      <c r="B248" s="1" t="s">
        <v>681</v>
      </c>
      <c r="C248" s="1" t="s">
        <v>682</v>
      </c>
      <c r="D248" s="1">
        <v>2</v>
      </c>
      <c r="E248" s="1" t="s">
        <v>685</v>
      </c>
      <c r="F248" s="1" t="s">
        <v>686</v>
      </c>
      <c r="G248" s="1" t="s">
        <v>67</v>
      </c>
      <c r="H248" s="1" t="s">
        <v>68</v>
      </c>
      <c r="I248" s="1">
        <v>44</v>
      </c>
      <c r="J248" s="1" t="s">
        <v>65</v>
      </c>
      <c r="K248" s="1" t="s">
        <v>61</v>
      </c>
    </row>
    <row r="249" spans="1:11" customFormat="1" ht="14.5" x14ac:dyDescent="0.35">
      <c r="A249" s="1" t="s">
        <v>680</v>
      </c>
      <c r="B249" s="1" t="s">
        <v>681</v>
      </c>
      <c r="C249" s="1" t="s">
        <v>687</v>
      </c>
      <c r="D249" s="1">
        <v>1</v>
      </c>
      <c r="E249" s="1" t="s">
        <v>688</v>
      </c>
      <c r="F249" s="1" t="s">
        <v>689</v>
      </c>
      <c r="G249" s="1" t="s">
        <v>67</v>
      </c>
      <c r="H249" s="1" t="s">
        <v>68</v>
      </c>
      <c r="I249" s="1">
        <v>52</v>
      </c>
      <c r="J249" s="1" t="s">
        <v>65</v>
      </c>
      <c r="K249" s="1" t="s">
        <v>61</v>
      </c>
    </row>
    <row r="250" spans="1:11" customFormat="1" ht="14.5" x14ac:dyDescent="0.35">
      <c r="A250" s="1" t="s">
        <v>680</v>
      </c>
      <c r="B250" s="1" t="s">
        <v>681</v>
      </c>
      <c r="C250" s="1" t="s">
        <v>687</v>
      </c>
      <c r="D250" s="1">
        <v>2</v>
      </c>
      <c r="E250" s="1" t="s">
        <v>690</v>
      </c>
      <c r="F250" s="1" t="s">
        <v>691</v>
      </c>
      <c r="G250" s="1" t="s">
        <v>58</v>
      </c>
      <c r="H250" s="1" t="s">
        <v>59</v>
      </c>
      <c r="I250" s="1">
        <v>48</v>
      </c>
      <c r="J250" s="1" t="s">
        <v>65</v>
      </c>
      <c r="K250" s="1" t="s">
        <v>61</v>
      </c>
    </row>
    <row r="251" spans="1:11" customFormat="1" ht="14.5" x14ac:dyDescent="0.35">
      <c r="A251" s="1" t="s">
        <v>680</v>
      </c>
      <c r="B251" s="1" t="s">
        <v>681</v>
      </c>
      <c r="C251" s="1" t="s">
        <v>692</v>
      </c>
      <c r="D251" s="1">
        <v>1</v>
      </c>
      <c r="E251" s="1" t="s">
        <v>693</v>
      </c>
      <c r="F251" s="1" t="s">
        <v>694</v>
      </c>
      <c r="G251" s="1" t="s">
        <v>73</v>
      </c>
      <c r="H251" s="1" t="s">
        <v>74</v>
      </c>
      <c r="I251" s="1">
        <v>39</v>
      </c>
      <c r="J251" s="1" t="s">
        <v>65</v>
      </c>
      <c r="K251" s="1" t="s">
        <v>61</v>
      </c>
    </row>
    <row r="252" spans="1:11" customFormat="1" ht="14.5" x14ac:dyDescent="0.35">
      <c r="A252" s="1" t="s">
        <v>680</v>
      </c>
      <c r="B252" s="1" t="s">
        <v>681</v>
      </c>
      <c r="C252" s="1" t="s">
        <v>692</v>
      </c>
      <c r="D252" s="1">
        <v>2</v>
      </c>
      <c r="E252" s="1" t="s">
        <v>695</v>
      </c>
      <c r="F252" s="1" t="s">
        <v>696</v>
      </c>
      <c r="G252" s="1" t="s">
        <v>58</v>
      </c>
      <c r="H252" s="1" t="s">
        <v>59</v>
      </c>
      <c r="I252" s="1">
        <v>62</v>
      </c>
      <c r="J252" s="1" t="s">
        <v>65</v>
      </c>
      <c r="K252" s="1" t="s">
        <v>61</v>
      </c>
    </row>
    <row r="253" spans="1:11" customFormat="1" ht="14.5" x14ac:dyDescent="0.35">
      <c r="A253" s="1" t="s">
        <v>680</v>
      </c>
      <c r="B253" s="1" t="s">
        <v>697</v>
      </c>
      <c r="C253" s="1" t="s">
        <v>698</v>
      </c>
      <c r="D253" s="1">
        <v>1</v>
      </c>
      <c r="E253" s="1" t="s">
        <v>699</v>
      </c>
      <c r="F253" s="1" t="s">
        <v>699</v>
      </c>
      <c r="G253" s="1" t="s">
        <v>67</v>
      </c>
      <c r="H253" s="1" t="s">
        <v>68</v>
      </c>
      <c r="I253" s="1">
        <v>48</v>
      </c>
      <c r="J253" s="1" t="s">
        <v>60</v>
      </c>
      <c r="K253" s="1" t="s">
        <v>61</v>
      </c>
    </row>
    <row r="254" spans="1:11" customFormat="1" ht="14.5" x14ac:dyDescent="0.35">
      <c r="A254" s="1" t="s">
        <v>680</v>
      </c>
      <c r="B254" s="1" t="s">
        <v>697</v>
      </c>
      <c r="C254" s="1" t="s">
        <v>698</v>
      </c>
      <c r="D254" s="1">
        <v>2</v>
      </c>
      <c r="E254" s="1" t="s">
        <v>700</v>
      </c>
      <c r="F254" s="1" t="s">
        <v>701</v>
      </c>
      <c r="G254" s="1" t="s">
        <v>58</v>
      </c>
      <c r="H254" s="1" t="s">
        <v>59</v>
      </c>
      <c r="I254" s="1">
        <v>59</v>
      </c>
      <c r="J254" s="1" t="s">
        <v>65</v>
      </c>
      <c r="K254" s="1" t="s">
        <v>61</v>
      </c>
    </row>
    <row r="255" spans="1:11" customFormat="1" ht="14.5" x14ac:dyDescent="0.35">
      <c r="A255" s="1" t="s">
        <v>680</v>
      </c>
      <c r="B255" s="1" t="s">
        <v>697</v>
      </c>
      <c r="C255" s="1" t="s">
        <v>702</v>
      </c>
      <c r="D255" s="1">
        <v>1</v>
      </c>
      <c r="E255" s="1" t="s">
        <v>703</v>
      </c>
      <c r="F255" s="1" t="s">
        <v>704</v>
      </c>
      <c r="G255" s="1" t="s">
        <v>58</v>
      </c>
      <c r="H255" s="1" t="s">
        <v>59</v>
      </c>
      <c r="I255" s="1">
        <v>53</v>
      </c>
      <c r="J255" s="1" t="s">
        <v>65</v>
      </c>
      <c r="K255" s="1" t="s">
        <v>61</v>
      </c>
    </row>
    <row r="256" spans="1:11" customFormat="1" ht="14.5" x14ac:dyDescent="0.35">
      <c r="A256" s="1" t="s">
        <v>680</v>
      </c>
      <c r="B256" s="1" t="s">
        <v>697</v>
      </c>
      <c r="C256" s="1" t="s">
        <v>702</v>
      </c>
      <c r="D256" s="1">
        <v>2</v>
      </c>
      <c r="E256" s="1" t="s">
        <v>705</v>
      </c>
      <c r="F256" s="1" t="s">
        <v>706</v>
      </c>
      <c r="G256" s="1" t="s">
        <v>67</v>
      </c>
      <c r="H256" s="1" t="s">
        <v>68</v>
      </c>
      <c r="I256" s="1">
        <v>51</v>
      </c>
      <c r="J256" s="1" t="s">
        <v>65</v>
      </c>
      <c r="K256" s="1" t="s">
        <v>61</v>
      </c>
    </row>
    <row r="257" spans="1:11" customFormat="1" ht="14.5" x14ac:dyDescent="0.35">
      <c r="A257" s="1" t="s">
        <v>680</v>
      </c>
      <c r="B257" s="1" t="s">
        <v>697</v>
      </c>
      <c r="C257" s="1" t="s">
        <v>707</v>
      </c>
      <c r="D257" s="1">
        <v>1</v>
      </c>
      <c r="E257" s="1" t="s">
        <v>708</v>
      </c>
      <c r="F257" s="1" t="s">
        <v>709</v>
      </c>
      <c r="G257" s="1" t="s">
        <v>73</v>
      </c>
      <c r="H257" s="1" t="s">
        <v>74</v>
      </c>
      <c r="I257" s="1">
        <v>45</v>
      </c>
      <c r="J257" s="1" t="s">
        <v>65</v>
      </c>
      <c r="K257" s="1" t="s">
        <v>61</v>
      </c>
    </row>
    <row r="258" spans="1:11" customFormat="1" ht="14.5" x14ac:dyDescent="0.35">
      <c r="A258" s="1" t="s">
        <v>680</v>
      </c>
      <c r="B258" s="1" t="s">
        <v>697</v>
      </c>
      <c r="C258" s="1" t="s">
        <v>707</v>
      </c>
      <c r="D258" s="1">
        <v>2</v>
      </c>
      <c r="E258" s="1" t="s">
        <v>710</v>
      </c>
      <c r="F258" s="1" t="s">
        <v>711</v>
      </c>
      <c r="G258" s="1" t="s">
        <v>58</v>
      </c>
      <c r="H258" s="1" t="s">
        <v>59</v>
      </c>
      <c r="I258" s="1">
        <v>59</v>
      </c>
      <c r="J258" s="1" t="s">
        <v>65</v>
      </c>
      <c r="K258" s="1" t="s">
        <v>61</v>
      </c>
    </row>
    <row r="259" spans="1:11" customFormat="1" ht="14.5" x14ac:dyDescent="0.35">
      <c r="A259" s="1" t="s">
        <v>680</v>
      </c>
      <c r="B259" s="1" t="s">
        <v>712</v>
      </c>
      <c r="C259" s="1" t="s">
        <v>713</v>
      </c>
      <c r="D259" s="1">
        <v>1</v>
      </c>
      <c r="E259" s="1" t="s">
        <v>714</v>
      </c>
      <c r="F259" s="1" t="s">
        <v>714</v>
      </c>
      <c r="G259" s="1" t="s">
        <v>73</v>
      </c>
      <c r="H259" s="1" t="s">
        <v>74</v>
      </c>
      <c r="I259" s="1">
        <v>39</v>
      </c>
      <c r="J259" s="1" t="s">
        <v>60</v>
      </c>
      <c r="K259" s="1" t="s">
        <v>121</v>
      </c>
    </row>
    <row r="260" spans="1:11" customFormat="1" ht="14.5" x14ac:dyDescent="0.35">
      <c r="A260" s="1" t="s">
        <v>680</v>
      </c>
      <c r="B260" s="1" t="s">
        <v>712</v>
      </c>
      <c r="C260" s="1" t="s">
        <v>713</v>
      </c>
      <c r="D260" s="1">
        <v>2</v>
      </c>
      <c r="E260" s="1" t="s">
        <v>715</v>
      </c>
      <c r="F260" s="1" t="s">
        <v>716</v>
      </c>
      <c r="G260" s="1" t="s">
        <v>58</v>
      </c>
      <c r="H260" s="1" t="s">
        <v>59</v>
      </c>
      <c r="I260" s="1">
        <v>41</v>
      </c>
      <c r="J260" s="1" t="s">
        <v>65</v>
      </c>
      <c r="K260" s="1" t="s">
        <v>121</v>
      </c>
    </row>
    <row r="261" spans="1:11" customFormat="1" ht="14.5" x14ac:dyDescent="0.35">
      <c r="A261" s="1" t="s">
        <v>680</v>
      </c>
      <c r="B261" s="1" t="s">
        <v>712</v>
      </c>
      <c r="C261" s="1" t="s">
        <v>717</v>
      </c>
      <c r="D261" s="1">
        <v>1</v>
      </c>
      <c r="E261" s="1" t="s">
        <v>718</v>
      </c>
      <c r="F261" s="1" t="s">
        <v>719</v>
      </c>
      <c r="G261" s="1" t="s">
        <v>58</v>
      </c>
      <c r="H261" s="1" t="s">
        <v>59</v>
      </c>
      <c r="I261" s="1">
        <v>62</v>
      </c>
      <c r="J261" s="1" t="s">
        <v>65</v>
      </c>
      <c r="K261" s="1" t="s">
        <v>121</v>
      </c>
    </row>
    <row r="262" spans="1:11" customFormat="1" ht="14.5" x14ac:dyDescent="0.35">
      <c r="A262" s="1" t="s">
        <v>680</v>
      </c>
      <c r="B262" s="1" t="s">
        <v>712</v>
      </c>
      <c r="C262" s="1" t="s">
        <v>717</v>
      </c>
      <c r="D262" s="1">
        <v>2</v>
      </c>
      <c r="E262" s="1" t="s">
        <v>720</v>
      </c>
      <c r="F262" s="1" t="s">
        <v>720</v>
      </c>
      <c r="G262" s="1" t="s">
        <v>73</v>
      </c>
      <c r="H262" s="1" t="s">
        <v>74</v>
      </c>
      <c r="I262" s="1">
        <v>42</v>
      </c>
      <c r="J262" s="1" t="s">
        <v>65</v>
      </c>
      <c r="K262" s="1" t="s">
        <v>121</v>
      </c>
    </row>
    <row r="263" spans="1:11" customFormat="1" ht="14.5" x14ac:dyDescent="0.35">
      <c r="A263" s="1" t="s">
        <v>680</v>
      </c>
      <c r="B263" s="1" t="s">
        <v>712</v>
      </c>
      <c r="C263" s="1" t="s">
        <v>721</v>
      </c>
      <c r="D263" s="1">
        <v>1</v>
      </c>
      <c r="E263" s="1" t="s">
        <v>722</v>
      </c>
      <c r="F263" s="1" t="s">
        <v>722</v>
      </c>
      <c r="G263" s="1" t="s">
        <v>723</v>
      </c>
      <c r="H263" s="1" t="s">
        <v>724</v>
      </c>
      <c r="I263" s="1">
        <v>67</v>
      </c>
      <c r="J263" s="1" t="s">
        <v>65</v>
      </c>
      <c r="K263" s="1" t="s">
        <v>195</v>
      </c>
    </row>
    <row r="264" spans="1:11" customFormat="1" ht="14.5" x14ac:dyDescent="0.35">
      <c r="A264" s="1" t="s">
        <v>680</v>
      </c>
      <c r="B264" s="1" t="s">
        <v>712</v>
      </c>
      <c r="C264" s="1" t="s">
        <v>721</v>
      </c>
      <c r="D264" s="1">
        <v>2</v>
      </c>
      <c r="E264" s="1" t="s">
        <v>725</v>
      </c>
      <c r="F264" s="1" t="s">
        <v>726</v>
      </c>
      <c r="G264" s="1" t="s">
        <v>64</v>
      </c>
      <c r="H264" s="1" t="s">
        <v>64</v>
      </c>
      <c r="I264" s="1">
        <v>39</v>
      </c>
      <c r="J264" s="1" t="s">
        <v>65</v>
      </c>
      <c r="K264" s="1" t="s">
        <v>195</v>
      </c>
    </row>
    <row r="265" spans="1:11" customFormat="1" ht="14.5" x14ac:dyDescent="0.35">
      <c r="A265" s="1" t="s">
        <v>680</v>
      </c>
      <c r="B265" s="1" t="s">
        <v>712</v>
      </c>
      <c r="C265" s="1" t="s">
        <v>721</v>
      </c>
      <c r="D265" s="1">
        <v>3</v>
      </c>
      <c r="E265" s="1" t="s">
        <v>727</v>
      </c>
      <c r="F265" s="1" t="s">
        <v>728</v>
      </c>
      <c r="G265" s="1" t="s">
        <v>58</v>
      </c>
      <c r="H265" s="1" t="s">
        <v>59</v>
      </c>
      <c r="I265" s="1">
        <v>57</v>
      </c>
      <c r="J265" s="1" t="s">
        <v>65</v>
      </c>
      <c r="K265" s="1" t="s">
        <v>195</v>
      </c>
    </row>
    <row r="266" spans="1:11" customFormat="1" ht="14.5" x14ac:dyDescent="0.35">
      <c r="A266" s="1" t="s">
        <v>680</v>
      </c>
      <c r="B266" s="1" t="s">
        <v>712</v>
      </c>
      <c r="C266" s="1" t="s">
        <v>721</v>
      </c>
      <c r="D266" s="1">
        <v>4</v>
      </c>
      <c r="E266" s="1" t="s">
        <v>729</v>
      </c>
      <c r="F266" s="1" t="s">
        <v>730</v>
      </c>
      <c r="G266" s="1" t="s">
        <v>73</v>
      </c>
      <c r="H266" s="1" t="s">
        <v>74</v>
      </c>
      <c r="I266" s="1">
        <v>46</v>
      </c>
      <c r="J266" s="1" t="s">
        <v>65</v>
      </c>
      <c r="K266" s="1" t="s">
        <v>195</v>
      </c>
    </row>
    <row r="267" spans="1:11" customFormat="1" ht="14.5" x14ac:dyDescent="0.35">
      <c r="A267" s="1" t="s">
        <v>680</v>
      </c>
      <c r="B267" s="1" t="s">
        <v>731</v>
      </c>
      <c r="C267" s="1" t="s">
        <v>732</v>
      </c>
      <c r="D267" s="1">
        <v>1</v>
      </c>
      <c r="E267" s="1" t="s">
        <v>733</v>
      </c>
      <c r="F267" s="1" t="s">
        <v>734</v>
      </c>
      <c r="G267" s="1" t="s">
        <v>73</v>
      </c>
      <c r="H267" s="1" t="s">
        <v>74</v>
      </c>
      <c r="I267" s="1">
        <v>63</v>
      </c>
      <c r="J267" s="1" t="s">
        <v>65</v>
      </c>
      <c r="K267" s="1" t="s">
        <v>61</v>
      </c>
    </row>
    <row r="268" spans="1:11" customFormat="1" ht="14.5" x14ac:dyDescent="0.35">
      <c r="A268" s="1" t="s">
        <v>680</v>
      </c>
      <c r="B268" s="1" t="s">
        <v>731</v>
      </c>
      <c r="C268" s="1" t="s">
        <v>732</v>
      </c>
      <c r="D268" s="1">
        <v>2</v>
      </c>
      <c r="E268" s="1" t="s">
        <v>735</v>
      </c>
      <c r="F268" s="1" t="s">
        <v>736</v>
      </c>
      <c r="G268" s="1" t="s">
        <v>58</v>
      </c>
      <c r="H268" s="1" t="s">
        <v>59</v>
      </c>
      <c r="I268" s="1">
        <v>31</v>
      </c>
      <c r="J268" s="1" t="s">
        <v>65</v>
      </c>
      <c r="K268" s="1" t="s">
        <v>61</v>
      </c>
    </row>
    <row r="269" spans="1:11" customFormat="1" ht="14.5" x14ac:dyDescent="0.35">
      <c r="A269" s="1" t="s">
        <v>680</v>
      </c>
      <c r="B269" s="1" t="s">
        <v>731</v>
      </c>
      <c r="C269" s="1" t="s">
        <v>737</v>
      </c>
      <c r="D269" s="1">
        <v>1</v>
      </c>
      <c r="E269" s="1" t="s">
        <v>738</v>
      </c>
      <c r="F269" s="1" t="s">
        <v>739</v>
      </c>
      <c r="G269" s="1" t="s">
        <v>58</v>
      </c>
      <c r="H269" s="1" t="s">
        <v>59</v>
      </c>
      <c r="I269" s="1">
        <v>60</v>
      </c>
      <c r="J269" s="1" t="s">
        <v>65</v>
      </c>
      <c r="K269" s="1" t="s">
        <v>61</v>
      </c>
    </row>
    <row r="270" spans="1:11" customFormat="1" ht="14.5" x14ac:dyDescent="0.35">
      <c r="A270" s="1" t="s">
        <v>680</v>
      </c>
      <c r="B270" s="1" t="s">
        <v>731</v>
      </c>
      <c r="C270" s="1" t="s">
        <v>737</v>
      </c>
      <c r="D270" s="1">
        <v>2</v>
      </c>
      <c r="E270" s="1" t="s">
        <v>740</v>
      </c>
      <c r="F270" s="1" t="s">
        <v>741</v>
      </c>
      <c r="G270" s="1" t="s">
        <v>73</v>
      </c>
      <c r="H270" s="1" t="s">
        <v>74</v>
      </c>
      <c r="I270" s="1">
        <v>47</v>
      </c>
      <c r="J270" s="1" t="s">
        <v>65</v>
      </c>
      <c r="K270" s="1" t="s">
        <v>61</v>
      </c>
    </row>
    <row r="271" spans="1:11" customFormat="1" ht="14.5" x14ac:dyDescent="0.35">
      <c r="A271" s="1" t="s">
        <v>680</v>
      </c>
      <c r="B271" s="1" t="s">
        <v>731</v>
      </c>
      <c r="C271" s="1" t="s">
        <v>742</v>
      </c>
      <c r="D271" s="1">
        <v>1</v>
      </c>
      <c r="E271" s="1" t="s">
        <v>743</v>
      </c>
      <c r="F271" s="1" t="s">
        <v>744</v>
      </c>
      <c r="G271" s="1" t="s">
        <v>73</v>
      </c>
      <c r="H271" s="1" t="s">
        <v>74</v>
      </c>
      <c r="I271" s="1">
        <v>53</v>
      </c>
      <c r="J271" s="1" t="s">
        <v>65</v>
      </c>
      <c r="K271" s="1" t="s">
        <v>61</v>
      </c>
    </row>
    <row r="272" spans="1:11" customFormat="1" ht="14.5" x14ac:dyDescent="0.35">
      <c r="A272" s="1" t="s">
        <v>680</v>
      </c>
      <c r="B272" s="1" t="s">
        <v>731</v>
      </c>
      <c r="C272" s="1" t="s">
        <v>742</v>
      </c>
      <c r="D272" s="1">
        <v>2</v>
      </c>
      <c r="E272" s="1" t="s">
        <v>745</v>
      </c>
      <c r="F272" s="1" t="s">
        <v>745</v>
      </c>
      <c r="G272" s="1" t="s">
        <v>58</v>
      </c>
      <c r="H272" s="1" t="s">
        <v>59</v>
      </c>
      <c r="I272" s="1">
        <v>64</v>
      </c>
      <c r="J272" s="1" t="s">
        <v>65</v>
      </c>
      <c r="K272" s="1" t="s">
        <v>61</v>
      </c>
    </row>
    <row r="273" spans="1:11" customFormat="1" ht="14.5" x14ac:dyDescent="0.35">
      <c r="A273" s="1" t="s">
        <v>680</v>
      </c>
      <c r="B273" s="1" t="s">
        <v>746</v>
      </c>
      <c r="C273" s="1" t="s">
        <v>747</v>
      </c>
      <c r="D273" s="1">
        <v>1</v>
      </c>
      <c r="E273" s="1" t="s">
        <v>748</v>
      </c>
      <c r="F273" s="1" t="s">
        <v>748</v>
      </c>
      <c r="G273" s="1" t="s">
        <v>73</v>
      </c>
      <c r="H273" s="1" t="s">
        <v>74</v>
      </c>
      <c r="I273" s="1">
        <v>45</v>
      </c>
      <c r="J273" s="1" t="s">
        <v>60</v>
      </c>
      <c r="K273" s="1" t="s">
        <v>121</v>
      </c>
    </row>
    <row r="274" spans="1:11" customFormat="1" ht="14.5" x14ac:dyDescent="0.35">
      <c r="A274" s="1" t="s">
        <v>680</v>
      </c>
      <c r="B274" s="1" t="s">
        <v>746</v>
      </c>
      <c r="C274" s="1" t="s">
        <v>747</v>
      </c>
      <c r="D274" s="1">
        <v>2</v>
      </c>
      <c r="E274" s="1" t="s">
        <v>749</v>
      </c>
      <c r="F274" s="1" t="s">
        <v>749</v>
      </c>
      <c r="G274" s="1" t="s">
        <v>58</v>
      </c>
      <c r="H274" s="1" t="s">
        <v>59</v>
      </c>
      <c r="I274" s="1">
        <v>40</v>
      </c>
      <c r="J274" s="1" t="s">
        <v>65</v>
      </c>
      <c r="K274" s="1" t="s">
        <v>121</v>
      </c>
    </row>
    <row r="275" spans="1:11" customFormat="1" ht="14.5" x14ac:dyDescent="0.35">
      <c r="A275" s="1" t="s">
        <v>680</v>
      </c>
      <c r="B275" s="1" t="s">
        <v>746</v>
      </c>
      <c r="C275" s="1" t="s">
        <v>750</v>
      </c>
      <c r="D275" s="1">
        <v>1</v>
      </c>
      <c r="E275" s="1" t="s">
        <v>751</v>
      </c>
      <c r="F275" s="1" t="s">
        <v>751</v>
      </c>
      <c r="G275" s="1" t="s">
        <v>73</v>
      </c>
      <c r="H275" s="1" t="s">
        <v>74</v>
      </c>
      <c r="I275" s="1">
        <v>46</v>
      </c>
      <c r="J275" s="1" t="s">
        <v>65</v>
      </c>
      <c r="K275" s="1" t="s">
        <v>121</v>
      </c>
    </row>
    <row r="276" spans="1:11" customFormat="1" ht="14.5" x14ac:dyDescent="0.35">
      <c r="A276" s="1" t="s">
        <v>680</v>
      </c>
      <c r="B276" s="1" t="s">
        <v>746</v>
      </c>
      <c r="C276" s="1" t="s">
        <v>750</v>
      </c>
      <c r="D276" s="1">
        <v>2</v>
      </c>
      <c r="E276" s="1" t="s">
        <v>752</v>
      </c>
      <c r="F276" s="1" t="s">
        <v>753</v>
      </c>
      <c r="G276" s="1" t="s">
        <v>58</v>
      </c>
      <c r="H276" s="1" t="s">
        <v>59</v>
      </c>
      <c r="I276" s="1">
        <v>41</v>
      </c>
      <c r="J276" s="1" t="s">
        <v>65</v>
      </c>
      <c r="K276" s="1" t="s">
        <v>121</v>
      </c>
    </row>
    <row r="277" spans="1:11" customFormat="1" ht="14.5" x14ac:dyDescent="0.35">
      <c r="A277" s="1" t="s">
        <v>680</v>
      </c>
      <c r="B277" s="1" t="s">
        <v>746</v>
      </c>
      <c r="C277" s="1" t="s">
        <v>754</v>
      </c>
      <c r="D277" s="1">
        <v>1</v>
      </c>
      <c r="E277" s="1" t="s">
        <v>755</v>
      </c>
      <c r="F277" s="1" t="s">
        <v>756</v>
      </c>
      <c r="G277" s="1" t="s">
        <v>58</v>
      </c>
      <c r="H277" s="1" t="s">
        <v>59</v>
      </c>
      <c r="I277" s="1">
        <v>50</v>
      </c>
      <c r="J277" s="1" t="s">
        <v>65</v>
      </c>
      <c r="K277" s="1" t="s">
        <v>195</v>
      </c>
    </row>
    <row r="278" spans="1:11" customFormat="1" ht="14.5" x14ac:dyDescent="0.35">
      <c r="A278" s="1" t="s">
        <v>680</v>
      </c>
      <c r="B278" s="1" t="s">
        <v>746</v>
      </c>
      <c r="C278" s="1" t="s">
        <v>754</v>
      </c>
      <c r="D278" s="1">
        <v>2</v>
      </c>
      <c r="E278" s="1" t="s">
        <v>757</v>
      </c>
      <c r="F278" s="1" t="s">
        <v>757</v>
      </c>
      <c r="G278" s="1" t="s">
        <v>723</v>
      </c>
      <c r="H278" s="1" t="s">
        <v>724</v>
      </c>
      <c r="I278" s="1">
        <v>57</v>
      </c>
      <c r="J278" s="1" t="s">
        <v>65</v>
      </c>
      <c r="K278" s="1" t="s">
        <v>121</v>
      </c>
    </row>
    <row r="279" spans="1:11" customFormat="1" ht="14.5" x14ac:dyDescent="0.35">
      <c r="A279" s="1" t="s">
        <v>680</v>
      </c>
      <c r="B279" s="1" t="s">
        <v>746</v>
      </c>
      <c r="C279" s="1" t="s">
        <v>754</v>
      </c>
      <c r="D279" s="1">
        <v>3</v>
      </c>
      <c r="E279" s="1" t="s">
        <v>758</v>
      </c>
      <c r="F279" s="1" t="s">
        <v>758</v>
      </c>
      <c r="G279" s="1" t="s">
        <v>73</v>
      </c>
      <c r="H279" s="1" t="s">
        <v>74</v>
      </c>
      <c r="I279" s="1">
        <v>37</v>
      </c>
      <c r="J279" s="1" t="s">
        <v>65</v>
      </c>
      <c r="K279" s="1" t="s">
        <v>121</v>
      </c>
    </row>
    <row r="280" spans="1:11" customFormat="1" ht="14.5" x14ac:dyDescent="0.35">
      <c r="A280" s="1" t="s">
        <v>680</v>
      </c>
      <c r="B280" s="1" t="s">
        <v>759</v>
      </c>
      <c r="C280" s="1" t="s">
        <v>760</v>
      </c>
      <c r="D280" s="1">
        <v>1</v>
      </c>
      <c r="E280" s="1" t="s">
        <v>761</v>
      </c>
      <c r="F280" s="1" t="s">
        <v>762</v>
      </c>
      <c r="G280" s="1" t="s">
        <v>586</v>
      </c>
      <c r="H280" s="1" t="s">
        <v>587</v>
      </c>
      <c r="I280" s="1">
        <v>37</v>
      </c>
      <c r="J280" s="1" t="s">
        <v>60</v>
      </c>
      <c r="K280" s="1" t="s">
        <v>195</v>
      </c>
    </row>
    <row r="281" spans="1:11" customFormat="1" ht="14.5" x14ac:dyDescent="0.35">
      <c r="A281" s="1" t="s">
        <v>680</v>
      </c>
      <c r="B281" s="1" t="s">
        <v>759</v>
      </c>
      <c r="C281" s="1" t="s">
        <v>760</v>
      </c>
      <c r="D281" s="1">
        <v>2</v>
      </c>
      <c r="E281" s="1" t="s">
        <v>763</v>
      </c>
      <c r="F281" s="1" t="s">
        <v>764</v>
      </c>
      <c r="G281" s="1" t="s">
        <v>73</v>
      </c>
      <c r="H281" s="1" t="s">
        <v>74</v>
      </c>
      <c r="I281" s="1">
        <v>62</v>
      </c>
      <c r="J281" s="1" t="s">
        <v>65</v>
      </c>
      <c r="K281" s="1" t="s">
        <v>195</v>
      </c>
    </row>
    <row r="282" spans="1:11" customFormat="1" ht="14.5" x14ac:dyDescent="0.35">
      <c r="A282" s="1" t="s">
        <v>680</v>
      </c>
      <c r="B282" s="1" t="s">
        <v>759</v>
      </c>
      <c r="C282" s="1" t="s">
        <v>760</v>
      </c>
      <c r="D282" s="1">
        <v>3</v>
      </c>
      <c r="E282" s="1" t="s">
        <v>765</v>
      </c>
      <c r="F282" s="1" t="s">
        <v>766</v>
      </c>
      <c r="G282" s="1" t="s">
        <v>64</v>
      </c>
      <c r="H282" s="1" t="s">
        <v>64</v>
      </c>
      <c r="I282" s="1">
        <v>49</v>
      </c>
      <c r="J282" s="1" t="s">
        <v>65</v>
      </c>
      <c r="K282" s="1" t="s">
        <v>195</v>
      </c>
    </row>
    <row r="283" spans="1:11" customFormat="1" ht="14.5" x14ac:dyDescent="0.35">
      <c r="A283" s="1" t="s">
        <v>680</v>
      </c>
      <c r="B283" s="1" t="s">
        <v>759</v>
      </c>
      <c r="C283" s="1" t="s">
        <v>760</v>
      </c>
      <c r="D283" s="1">
        <v>4</v>
      </c>
      <c r="E283" s="1" t="s">
        <v>767</v>
      </c>
      <c r="F283" s="1" t="s">
        <v>767</v>
      </c>
      <c r="G283" s="1" t="s">
        <v>58</v>
      </c>
      <c r="H283" s="1" t="s">
        <v>59</v>
      </c>
      <c r="I283" s="1">
        <v>54</v>
      </c>
      <c r="J283" s="1" t="s">
        <v>65</v>
      </c>
      <c r="K283" s="1" t="s">
        <v>195</v>
      </c>
    </row>
    <row r="284" spans="1:11" customFormat="1" ht="14.5" x14ac:dyDescent="0.35">
      <c r="A284" s="1" t="s">
        <v>680</v>
      </c>
      <c r="B284" s="1" t="s">
        <v>759</v>
      </c>
      <c r="C284" s="1" t="s">
        <v>768</v>
      </c>
      <c r="D284" s="1">
        <v>1</v>
      </c>
      <c r="E284" s="1" t="s">
        <v>769</v>
      </c>
      <c r="F284" s="1" t="s">
        <v>769</v>
      </c>
      <c r="G284" s="1" t="s">
        <v>73</v>
      </c>
      <c r="H284" s="1" t="s">
        <v>74</v>
      </c>
      <c r="I284" s="1">
        <v>52</v>
      </c>
      <c r="J284" s="1" t="s">
        <v>65</v>
      </c>
      <c r="K284" s="1" t="s">
        <v>121</v>
      </c>
    </row>
    <row r="285" spans="1:11" customFormat="1" ht="14.5" x14ac:dyDescent="0.35">
      <c r="A285" s="1" t="s">
        <v>680</v>
      </c>
      <c r="B285" s="1" t="s">
        <v>759</v>
      </c>
      <c r="C285" s="1" t="s">
        <v>768</v>
      </c>
      <c r="D285" s="1">
        <v>2</v>
      </c>
      <c r="E285" s="1" t="s">
        <v>770</v>
      </c>
      <c r="F285" s="1" t="s">
        <v>771</v>
      </c>
      <c r="G285" s="1" t="s">
        <v>58</v>
      </c>
      <c r="H285" s="1" t="s">
        <v>59</v>
      </c>
      <c r="I285" s="1">
        <v>58</v>
      </c>
      <c r="J285" s="1" t="s">
        <v>65</v>
      </c>
      <c r="K285" s="1" t="s">
        <v>195</v>
      </c>
    </row>
    <row r="286" spans="1:11" customFormat="1" ht="14.5" x14ac:dyDescent="0.35">
      <c r="A286" s="1" t="s">
        <v>680</v>
      </c>
      <c r="B286" s="1" t="s">
        <v>759</v>
      </c>
      <c r="C286" s="1" t="s">
        <v>772</v>
      </c>
      <c r="D286" s="1">
        <v>1</v>
      </c>
      <c r="E286" s="1" t="s">
        <v>773</v>
      </c>
      <c r="F286" s="1" t="s">
        <v>773</v>
      </c>
      <c r="G286" s="1" t="s">
        <v>73</v>
      </c>
      <c r="H286" s="1" t="s">
        <v>74</v>
      </c>
      <c r="I286" s="1">
        <v>50</v>
      </c>
      <c r="J286" s="1" t="s">
        <v>65</v>
      </c>
      <c r="K286" s="1" t="s">
        <v>121</v>
      </c>
    </row>
    <row r="287" spans="1:11" customFormat="1" ht="14.5" x14ac:dyDescent="0.35">
      <c r="A287" s="1" t="s">
        <v>680</v>
      </c>
      <c r="B287" s="1" t="s">
        <v>759</v>
      </c>
      <c r="C287" s="1" t="s">
        <v>772</v>
      </c>
      <c r="D287" s="1">
        <v>2</v>
      </c>
      <c r="E287" s="1" t="s">
        <v>774</v>
      </c>
      <c r="F287" s="1" t="s">
        <v>774</v>
      </c>
      <c r="G287" s="1" t="s">
        <v>64</v>
      </c>
      <c r="H287" s="1" t="s">
        <v>64</v>
      </c>
      <c r="I287" s="1">
        <v>59</v>
      </c>
      <c r="J287" s="1" t="s">
        <v>65</v>
      </c>
      <c r="K287" s="1" t="s">
        <v>195</v>
      </c>
    </row>
    <row r="288" spans="1:11" customFormat="1" ht="14.5" x14ac:dyDescent="0.35">
      <c r="A288" s="1" t="s">
        <v>680</v>
      </c>
      <c r="B288" s="1" t="s">
        <v>759</v>
      </c>
      <c r="C288" s="1" t="s">
        <v>772</v>
      </c>
      <c r="D288" s="1">
        <v>3</v>
      </c>
      <c r="E288" s="1" t="s">
        <v>775</v>
      </c>
      <c r="F288" s="1" t="s">
        <v>775</v>
      </c>
      <c r="G288" s="1" t="s">
        <v>58</v>
      </c>
      <c r="H288" s="1" t="s">
        <v>59</v>
      </c>
      <c r="I288" s="1">
        <v>44</v>
      </c>
      <c r="J288" s="1" t="s">
        <v>65</v>
      </c>
      <c r="K288" s="1" t="s">
        <v>121</v>
      </c>
    </row>
    <row r="289" spans="1:11" customFormat="1" ht="14.5" x14ac:dyDescent="0.35">
      <c r="A289" s="1" t="s">
        <v>680</v>
      </c>
      <c r="B289" s="1" t="s">
        <v>776</v>
      </c>
      <c r="C289" s="1" t="s">
        <v>777</v>
      </c>
      <c r="D289" s="1">
        <v>1</v>
      </c>
      <c r="E289" s="1" t="s">
        <v>778</v>
      </c>
      <c r="F289" s="1" t="s">
        <v>778</v>
      </c>
      <c r="G289" s="1" t="s">
        <v>73</v>
      </c>
      <c r="H289" s="1" t="s">
        <v>74</v>
      </c>
      <c r="I289" s="1">
        <v>46</v>
      </c>
      <c r="J289" s="1" t="s">
        <v>65</v>
      </c>
      <c r="K289" s="1" t="s">
        <v>121</v>
      </c>
    </row>
    <row r="290" spans="1:11" customFormat="1" ht="14.5" x14ac:dyDescent="0.35">
      <c r="A290" s="1" t="s">
        <v>680</v>
      </c>
      <c r="B290" s="1" t="s">
        <v>776</v>
      </c>
      <c r="C290" s="1" t="s">
        <v>777</v>
      </c>
      <c r="D290" s="1">
        <v>2</v>
      </c>
      <c r="E290" s="1" t="s">
        <v>779</v>
      </c>
      <c r="F290" s="1" t="s">
        <v>780</v>
      </c>
      <c r="G290" s="1" t="s">
        <v>58</v>
      </c>
      <c r="H290" s="1" t="s">
        <v>59</v>
      </c>
      <c r="I290" s="1">
        <v>43</v>
      </c>
      <c r="J290" s="1" t="s">
        <v>65</v>
      </c>
      <c r="K290" s="1" t="s">
        <v>121</v>
      </c>
    </row>
    <row r="291" spans="1:11" customFormat="1" ht="14.5" x14ac:dyDescent="0.35">
      <c r="A291" s="1" t="s">
        <v>680</v>
      </c>
      <c r="B291" s="1" t="s">
        <v>776</v>
      </c>
      <c r="C291" s="1" t="s">
        <v>781</v>
      </c>
      <c r="D291" s="1">
        <v>1</v>
      </c>
      <c r="E291" s="1" t="s">
        <v>782</v>
      </c>
      <c r="F291" s="1" t="s">
        <v>783</v>
      </c>
      <c r="G291" s="1" t="s">
        <v>58</v>
      </c>
      <c r="H291" s="1" t="s">
        <v>59</v>
      </c>
      <c r="I291" s="1">
        <v>56</v>
      </c>
      <c r="J291" s="1" t="s">
        <v>65</v>
      </c>
      <c r="K291" s="1" t="s">
        <v>61</v>
      </c>
    </row>
    <row r="292" spans="1:11" customFormat="1" ht="14.5" x14ac:dyDescent="0.35">
      <c r="A292" s="1" t="s">
        <v>680</v>
      </c>
      <c r="B292" s="1" t="s">
        <v>776</v>
      </c>
      <c r="C292" s="1" t="s">
        <v>781</v>
      </c>
      <c r="D292" s="1">
        <v>2</v>
      </c>
      <c r="E292" s="1" t="s">
        <v>784</v>
      </c>
      <c r="F292" s="1" t="s">
        <v>785</v>
      </c>
      <c r="G292" s="1" t="s">
        <v>73</v>
      </c>
      <c r="H292" s="1" t="s">
        <v>74</v>
      </c>
      <c r="I292" s="1">
        <v>33</v>
      </c>
      <c r="J292" s="1" t="s">
        <v>60</v>
      </c>
      <c r="K292" s="1" t="s">
        <v>61</v>
      </c>
    </row>
    <row r="293" spans="1:11" customFormat="1" ht="14.5" x14ac:dyDescent="0.35">
      <c r="A293" s="1" t="s">
        <v>680</v>
      </c>
      <c r="B293" s="1" t="s">
        <v>776</v>
      </c>
      <c r="C293" s="1" t="s">
        <v>786</v>
      </c>
      <c r="D293" s="1">
        <v>1</v>
      </c>
      <c r="E293" s="1" t="s">
        <v>787</v>
      </c>
      <c r="F293" s="1" t="s">
        <v>787</v>
      </c>
      <c r="G293" s="1" t="s">
        <v>58</v>
      </c>
      <c r="H293" s="1" t="s">
        <v>59</v>
      </c>
      <c r="I293" s="1">
        <v>45</v>
      </c>
      <c r="J293" s="1" t="s">
        <v>65</v>
      </c>
      <c r="K293" s="1" t="s">
        <v>61</v>
      </c>
    </row>
    <row r="294" spans="1:11" customFormat="1" ht="14.5" x14ac:dyDescent="0.35">
      <c r="A294" s="1" t="s">
        <v>680</v>
      </c>
      <c r="B294" s="1" t="s">
        <v>776</v>
      </c>
      <c r="C294" s="1" t="s">
        <v>786</v>
      </c>
      <c r="D294" s="1">
        <v>2</v>
      </c>
      <c r="E294" s="1" t="s">
        <v>788</v>
      </c>
      <c r="F294" s="1" t="s">
        <v>788</v>
      </c>
      <c r="G294" s="1" t="s">
        <v>67</v>
      </c>
      <c r="H294" s="1" t="s">
        <v>68</v>
      </c>
      <c r="I294" s="1">
        <v>54</v>
      </c>
      <c r="J294" s="1" t="s">
        <v>65</v>
      </c>
      <c r="K294" s="1" t="s">
        <v>61</v>
      </c>
    </row>
    <row r="295" spans="1:11" customFormat="1" ht="14.5" x14ac:dyDescent="0.35">
      <c r="A295" s="1" t="s">
        <v>680</v>
      </c>
      <c r="B295" s="1" t="s">
        <v>789</v>
      </c>
      <c r="C295" s="1" t="s">
        <v>790</v>
      </c>
      <c r="D295" s="1">
        <v>1</v>
      </c>
      <c r="E295" s="1" t="s">
        <v>791</v>
      </c>
      <c r="F295" s="1" t="s">
        <v>791</v>
      </c>
      <c r="G295" s="1" t="s">
        <v>73</v>
      </c>
      <c r="H295" s="1" t="s">
        <v>74</v>
      </c>
      <c r="I295" s="1">
        <v>42</v>
      </c>
      <c r="J295" s="1" t="s">
        <v>65</v>
      </c>
      <c r="K295" s="1" t="s">
        <v>61</v>
      </c>
    </row>
    <row r="296" spans="1:11" customFormat="1" ht="14.5" x14ac:dyDescent="0.35">
      <c r="A296" s="1" t="s">
        <v>680</v>
      </c>
      <c r="B296" s="1" t="s">
        <v>789</v>
      </c>
      <c r="C296" s="1" t="s">
        <v>790</v>
      </c>
      <c r="D296" s="1">
        <v>2</v>
      </c>
      <c r="E296" s="1" t="s">
        <v>792</v>
      </c>
      <c r="F296" s="1" t="s">
        <v>792</v>
      </c>
      <c r="G296" s="1" t="s">
        <v>213</v>
      </c>
      <c r="H296" s="1" t="s">
        <v>214</v>
      </c>
      <c r="I296" s="1">
        <v>65</v>
      </c>
      <c r="J296" s="1" t="s">
        <v>60</v>
      </c>
      <c r="K296" s="1" t="s">
        <v>121</v>
      </c>
    </row>
    <row r="297" spans="1:11" customFormat="1" ht="14.5" x14ac:dyDescent="0.35">
      <c r="A297" s="1" t="s">
        <v>680</v>
      </c>
      <c r="B297" s="1" t="s">
        <v>789</v>
      </c>
      <c r="C297" s="1" t="s">
        <v>790</v>
      </c>
      <c r="D297" s="1">
        <v>3</v>
      </c>
      <c r="E297" s="1" t="s">
        <v>793</v>
      </c>
      <c r="F297" s="1" t="s">
        <v>793</v>
      </c>
      <c r="G297" s="1" t="s">
        <v>58</v>
      </c>
      <c r="H297" s="1" t="s">
        <v>59</v>
      </c>
      <c r="I297" s="1">
        <v>47</v>
      </c>
      <c r="J297" s="1" t="s">
        <v>65</v>
      </c>
      <c r="K297" s="1" t="s">
        <v>121</v>
      </c>
    </row>
    <row r="298" spans="1:11" customFormat="1" ht="14.5" x14ac:dyDescent="0.35">
      <c r="A298" s="1" t="s">
        <v>680</v>
      </c>
      <c r="B298" s="1" t="s">
        <v>789</v>
      </c>
      <c r="C298" s="1" t="s">
        <v>794</v>
      </c>
      <c r="D298" s="1">
        <v>1</v>
      </c>
      <c r="E298" s="1" t="s">
        <v>795</v>
      </c>
      <c r="F298" s="1" t="s">
        <v>795</v>
      </c>
      <c r="G298" s="1" t="s">
        <v>213</v>
      </c>
      <c r="H298" s="1" t="s">
        <v>214</v>
      </c>
      <c r="I298" s="1">
        <v>66</v>
      </c>
      <c r="J298" s="1" t="s">
        <v>65</v>
      </c>
      <c r="K298" s="1" t="s">
        <v>121</v>
      </c>
    </row>
    <row r="299" spans="1:11" customFormat="1" ht="14.5" x14ac:dyDescent="0.35">
      <c r="A299" s="1" t="s">
        <v>680</v>
      </c>
      <c r="B299" s="1" t="s">
        <v>789</v>
      </c>
      <c r="C299" s="1" t="s">
        <v>794</v>
      </c>
      <c r="D299" s="1">
        <v>2</v>
      </c>
      <c r="E299" s="1" t="s">
        <v>796</v>
      </c>
      <c r="F299" s="1" t="s">
        <v>797</v>
      </c>
      <c r="G299" s="1" t="s">
        <v>58</v>
      </c>
      <c r="H299" s="1" t="s">
        <v>59</v>
      </c>
      <c r="I299" s="1">
        <v>29</v>
      </c>
      <c r="J299" s="1" t="s">
        <v>65</v>
      </c>
      <c r="K299" s="1" t="s">
        <v>121</v>
      </c>
    </row>
    <row r="300" spans="1:11" customFormat="1" ht="14.5" x14ac:dyDescent="0.35">
      <c r="A300" s="1" t="s">
        <v>680</v>
      </c>
      <c r="B300" s="1" t="s">
        <v>789</v>
      </c>
      <c r="C300" s="1" t="s">
        <v>794</v>
      </c>
      <c r="D300" s="1">
        <v>3</v>
      </c>
      <c r="E300" s="1" t="s">
        <v>798</v>
      </c>
      <c r="F300" s="1" t="s">
        <v>798</v>
      </c>
      <c r="G300" s="1" t="s">
        <v>73</v>
      </c>
      <c r="H300" s="1" t="s">
        <v>74</v>
      </c>
      <c r="I300" s="1">
        <v>64</v>
      </c>
      <c r="J300" s="1" t="s">
        <v>65</v>
      </c>
      <c r="K300" s="1" t="s">
        <v>121</v>
      </c>
    </row>
    <row r="301" spans="1:11" customFormat="1" ht="14.5" x14ac:dyDescent="0.35">
      <c r="A301" s="1" t="s">
        <v>680</v>
      </c>
      <c r="B301" s="1" t="s">
        <v>789</v>
      </c>
      <c r="C301" s="1" t="s">
        <v>799</v>
      </c>
      <c r="D301" s="1">
        <v>1</v>
      </c>
      <c r="E301" s="1" t="s">
        <v>800</v>
      </c>
      <c r="F301" s="1" t="s">
        <v>800</v>
      </c>
      <c r="G301" s="1" t="s">
        <v>64</v>
      </c>
      <c r="H301" s="1" t="s">
        <v>64</v>
      </c>
      <c r="I301" s="1">
        <v>34</v>
      </c>
      <c r="J301" s="1" t="s">
        <v>65</v>
      </c>
      <c r="K301" s="1" t="s">
        <v>61</v>
      </c>
    </row>
    <row r="302" spans="1:11" customFormat="1" ht="14.5" x14ac:dyDescent="0.35">
      <c r="A302" s="1" t="s">
        <v>680</v>
      </c>
      <c r="B302" s="1" t="s">
        <v>789</v>
      </c>
      <c r="C302" s="1" t="s">
        <v>799</v>
      </c>
      <c r="D302" s="1">
        <v>2</v>
      </c>
      <c r="E302" s="1" t="s">
        <v>801</v>
      </c>
      <c r="F302" s="1" t="s">
        <v>801</v>
      </c>
      <c r="G302" s="1" t="s">
        <v>58</v>
      </c>
      <c r="H302" s="1" t="s">
        <v>59</v>
      </c>
      <c r="I302" s="1">
        <v>28</v>
      </c>
      <c r="J302" s="1" t="s">
        <v>65</v>
      </c>
      <c r="K302" s="1" t="s">
        <v>121</v>
      </c>
    </row>
    <row r="303" spans="1:11" customFormat="1" ht="14.5" x14ac:dyDescent="0.35">
      <c r="A303" s="1" t="s">
        <v>680</v>
      </c>
      <c r="B303" s="1" t="s">
        <v>789</v>
      </c>
      <c r="C303" s="1" t="s">
        <v>799</v>
      </c>
      <c r="D303" s="1">
        <v>3</v>
      </c>
      <c r="E303" s="1" t="s">
        <v>802</v>
      </c>
      <c r="F303" s="1" t="s">
        <v>802</v>
      </c>
      <c r="G303" s="1" t="s">
        <v>73</v>
      </c>
      <c r="H303" s="1" t="s">
        <v>74</v>
      </c>
      <c r="I303" s="1">
        <v>38</v>
      </c>
      <c r="J303" s="1" t="s">
        <v>65</v>
      </c>
      <c r="K303" s="1" t="s">
        <v>121</v>
      </c>
    </row>
    <row r="304" spans="1:11" customFormat="1" ht="14.5" x14ac:dyDescent="0.35">
      <c r="A304" s="1" t="s">
        <v>680</v>
      </c>
      <c r="B304" s="1" t="s">
        <v>789</v>
      </c>
      <c r="C304" s="1" t="s">
        <v>803</v>
      </c>
      <c r="D304" s="1">
        <v>1</v>
      </c>
      <c r="E304" s="1" t="s">
        <v>804</v>
      </c>
      <c r="F304" s="1" t="s">
        <v>804</v>
      </c>
      <c r="G304" s="1" t="s">
        <v>213</v>
      </c>
      <c r="H304" s="1" t="s">
        <v>214</v>
      </c>
      <c r="I304" s="1">
        <v>58</v>
      </c>
      <c r="J304" s="1" t="s">
        <v>60</v>
      </c>
      <c r="K304" s="1" t="s">
        <v>121</v>
      </c>
    </row>
    <row r="305" spans="1:11" customFormat="1" ht="14.5" x14ac:dyDescent="0.35">
      <c r="A305" s="1" t="s">
        <v>680</v>
      </c>
      <c r="B305" s="1" t="s">
        <v>789</v>
      </c>
      <c r="C305" s="1" t="s">
        <v>803</v>
      </c>
      <c r="D305" s="1">
        <v>2</v>
      </c>
      <c r="E305" s="1" t="s">
        <v>805</v>
      </c>
      <c r="F305" s="1" t="s">
        <v>806</v>
      </c>
      <c r="G305" s="1" t="s">
        <v>73</v>
      </c>
      <c r="H305" s="1" t="s">
        <v>74</v>
      </c>
      <c r="I305" s="1">
        <v>42</v>
      </c>
      <c r="J305" s="1" t="s">
        <v>65</v>
      </c>
      <c r="K305" s="1" t="s">
        <v>121</v>
      </c>
    </row>
    <row r="306" spans="1:11" customFormat="1" ht="14.5" x14ac:dyDescent="0.35">
      <c r="A306" s="1" t="s">
        <v>680</v>
      </c>
      <c r="B306" s="1" t="s">
        <v>789</v>
      </c>
      <c r="C306" s="1" t="s">
        <v>803</v>
      </c>
      <c r="D306" s="1">
        <v>3</v>
      </c>
      <c r="E306" s="1" t="s">
        <v>807</v>
      </c>
      <c r="F306" s="1" t="s">
        <v>808</v>
      </c>
      <c r="G306" s="1" t="s">
        <v>58</v>
      </c>
      <c r="H306" s="1" t="s">
        <v>59</v>
      </c>
      <c r="I306" s="1">
        <v>44</v>
      </c>
      <c r="J306" s="1" t="s">
        <v>65</v>
      </c>
      <c r="K306" s="1" t="s">
        <v>121</v>
      </c>
    </row>
    <row r="307" spans="1:11" customFormat="1" ht="14.5" x14ac:dyDescent="0.35">
      <c r="A307" s="1" t="s">
        <v>680</v>
      </c>
      <c r="B307" s="1" t="s">
        <v>809</v>
      </c>
      <c r="C307" s="1" t="s">
        <v>810</v>
      </c>
      <c r="D307" s="1">
        <v>1</v>
      </c>
      <c r="E307" s="1" t="s">
        <v>811</v>
      </c>
      <c r="F307" s="1" t="s">
        <v>811</v>
      </c>
      <c r="G307" s="1" t="s">
        <v>58</v>
      </c>
      <c r="H307" s="1" t="s">
        <v>59</v>
      </c>
      <c r="I307" s="1">
        <v>60</v>
      </c>
      <c r="J307" s="1" t="s">
        <v>65</v>
      </c>
      <c r="K307" s="1" t="s">
        <v>121</v>
      </c>
    </row>
    <row r="308" spans="1:11" customFormat="1" ht="14.5" x14ac:dyDescent="0.35">
      <c r="A308" s="1" t="s">
        <v>680</v>
      </c>
      <c r="B308" s="1" t="s">
        <v>809</v>
      </c>
      <c r="C308" s="1" t="s">
        <v>810</v>
      </c>
      <c r="D308" s="1">
        <v>2</v>
      </c>
      <c r="E308" s="1" t="s">
        <v>812</v>
      </c>
      <c r="F308" s="1" t="s">
        <v>812</v>
      </c>
      <c r="G308" s="1" t="s">
        <v>73</v>
      </c>
      <c r="H308" s="1" t="s">
        <v>74</v>
      </c>
      <c r="I308" s="1">
        <v>66</v>
      </c>
      <c r="J308" s="1" t="s">
        <v>65</v>
      </c>
      <c r="K308" s="1" t="s">
        <v>121</v>
      </c>
    </row>
    <row r="309" spans="1:11" customFormat="1" ht="14.5" x14ac:dyDescent="0.35">
      <c r="A309" s="1" t="s">
        <v>680</v>
      </c>
      <c r="B309" s="1" t="s">
        <v>809</v>
      </c>
      <c r="C309" s="1" t="s">
        <v>813</v>
      </c>
      <c r="D309" s="1">
        <v>1</v>
      </c>
      <c r="E309" s="1" t="s">
        <v>814</v>
      </c>
      <c r="F309" s="1" t="s">
        <v>815</v>
      </c>
      <c r="G309" s="1" t="s">
        <v>58</v>
      </c>
      <c r="H309" s="1" t="s">
        <v>59</v>
      </c>
      <c r="I309" s="1">
        <v>57</v>
      </c>
      <c r="J309" s="1" t="s">
        <v>65</v>
      </c>
      <c r="K309" s="1" t="s">
        <v>195</v>
      </c>
    </row>
    <row r="310" spans="1:11" customFormat="1" ht="14.5" x14ac:dyDescent="0.35">
      <c r="A310" s="1" t="s">
        <v>680</v>
      </c>
      <c r="B310" s="1" t="s">
        <v>809</v>
      </c>
      <c r="C310" s="1" t="s">
        <v>813</v>
      </c>
      <c r="D310" s="1">
        <v>2</v>
      </c>
      <c r="E310" s="1" t="s">
        <v>816</v>
      </c>
      <c r="F310" s="1" t="s">
        <v>816</v>
      </c>
      <c r="G310" s="1" t="s">
        <v>73</v>
      </c>
      <c r="H310" s="1" t="s">
        <v>74</v>
      </c>
      <c r="I310" s="1">
        <v>36</v>
      </c>
      <c r="J310" s="1" t="s">
        <v>65</v>
      </c>
      <c r="K310" s="1" t="s">
        <v>121</v>
      </c>
    </row>
    <row r="311" spans="1:11" customFormat="1" ht="14.5" x14ac:dyDescent="0.35">
      <c r="A311" s="1" t="s">
        <v>680</v>
      </c>
      <c r="B311" s="1" t="s">
        <v>809</v>
      </c>
      <c r="C311" s="1" t="s">
        <v>817</v>
      </c>
      <c r="D311" s="1">
        <v>1</v>
      </c>
      <c r="E311" s="1" t="s">
        <v>818</v>
      </c>
      <c r="F311" s="1" t="s">
        <v>818</v>
      </c>
      <c r="G311" s="1" t="s">
        <v>58</v>
      </c>
      <c r="H311" s="1" t="s">
        <v>59</v>
      </c>
      <c r="I311" s="1">
        <v>47</v>
      </c>
      <c r="J311" s="1" t="s">
        <v>65</v>
      </c>
      <c r="K311" s="1" t="s">
        <v>121</v>
      </c>
    </row>
    <row r="312" spans="1:11" customFormat="1" ht="14.5" x14ac:dyDescent="0.35">
      <c r="A312" s="1" t="s">
        <v>680</v>
      </c>
      <c r="B312" s="1" t="s">
        <v>809</v>
      </c>
      <c r="C312" s="1" t="s">
        <v>817</v>
      </c>
      <c r="D312" s="1">
        <v>2</v>
      </c>
      <c r="E312" s="1" t="s">
        <v>819</v>
      </c>
      <c r="F312" s="1" t="s">
        <v>819</v>
      </c>
      <c r="G312" s="1" t="s">
        <v>73</v>
      </c>
      <c r="H312" s="1" t="s">
        <v>74</v>
      </c>
      <c r="I312" s="1">
        <v>44</v>
      </c>
      <c r="J312" s="1" t="s">
        <v>65</v>
      </c>
      <c r="K312" s="1" t="s">
        <v>121</v>
      </c>
    </row>
    <row r="313" spans="1:11" customFormat="1" ht="14.5" x14ac:dyDescent="0.35">
      <c r="A313" s="1" t="s">
        <v>680</v>
      </c>
      <c r="B313" s="1" t="s">
        <v>820</v>
      </c>
      <c r="C313" s="1" t="s">
        <v>821</v>
      </c>
      <c r="D313" s="1">
        <v>1</v>
      </c>
      <c r="E313" s="1" t="s">
        <v>822</v>
      </c>
      <c r="F313" s="1" t="s">
        <v>822</v>
      </c>
      <c r="G313" s="1" t="s">
        <v>73</v>
      </c>
      <c r="H313" s="1" t="s">
        <v>74</v>
      </c>
      <c r="I313" s="1">
        <v>53</v>
      </c>
      <c r="J313" s="1" t="s">
        <v>65</v>
      </c>
      <c r="K313" s="1" t="s">
        <v>195</v>
      </c>
    </row>
    <row r="314" spans="1:11" customFormat="1" ht="14.5" x14ac:dyDescent="0.35">
      <c r="A314" s="1" t="s">
        <v>680</v>
      </c>
      <c r="B314" s="1" t="s">
        <v>820</v>
      </c>
      <c r="C314" s="1" t="s">
        <v>821</v>
      </c>
      <c r="D314" s="1">
        <v>2</v>
      </c>
      <c r="E314" s="1" t="s">
        <v>823</v>
      </c>
      <c r="F314" s="1" t="s">
        <v>823</v>
      </c>
      <c r="G314" s="1" t="s">
        <v>58</v>
      </c>
      <c r="H314" s="1" t="s">
        <v>59</v>
      </c>
      <c r="I314" s="1">
        <v>43</v>
      </c>
      <c r="J314" s="1" t="s">
        <v>60</v>
      </c>
      <c r="K314" s="1" t="s">
        <v>121</v>
      </c>
    </row>
    <row r="315" spans="1:11" customFormat="1" ht="14.5" x14ac:dyDescent="0.35">
      <c r="A315" s="1" t="s">
        <v>680</v>
      </c>
      <c r="B315" s="1" t="s">
        <v>820</v>
      </c>
      <c r="C315" s="1" t="s">
        <v>824</v>
      </c>
      <c r="D315" s="1">
        <v>1</v>
      </c>
      <c r="E315" s="1" t="s">
        <v>825</v>
      </c>
      <c r="F315" s="1" t="s">
        <v>826</v>
      </c>
      <c r="G315" s="1" t="s">
        <v>64</v>
      </c>
      <c r="H315" s="1" t="s">
        <v>64</v>
      </c>
      <c r="I315" s="1">
        <v>53</v>
      </c>
      <c r="J315" s="1" t="s">
        <v>65</v>
      </c>
      <c r="K315" s="1" t="s">
        <v>195</v>
      </c>
    </row>
    <row r="316" spans="1:11" customFormat="1" ht="14.5" x14ac:dyDescent="0.35">
      <c r="A316" s="1" t="s">
        <v>680</v>
      </c>
      <c r="B316" s="1" t="s">
        <v>820</v>
      </c>
      <c r="C316" s="1" t="s">
        <v>824</v>
      </c>
      <c r="D316" s="1">
        <v>2</v>
      </c>
      <c r="E316" s="1" t="s">
        <v>827</v>
      </c>
      <c r="F316" s="1" t="s">
        <v>827</v>
      </c>
      <c r="G316" s="1" t="s">
        <v>73</v>
      </c>
      <c r="H316" s="1" t="s">
        <v>74</v>
      </c>
      <c r="I316" s="1">
        <v>54</v>
      </c>
      <c r="J316" s="1" t="s">
        <v>60</v>
      </c>
      <c r="K316" s="1" t="s">
        <v>121</v>
      </c>
    </row>
    <row r="317" spans="1:11" customFormat="1" ht="14.5" x14ac:dyDescent="0.35">
      <c r="A317" s="1" t="s">
        <v>680</v>
      </c>
      <c r="B317" s="1" t="s">
        <v>820</v>
      </c>
      <c r="C317" s="1" t="s">
        <v>824</v>
      </c>
      <c r="D317" s="1">
        <v>3</v>
      </c>
      <c r="E317" s="1" t="s">
        <v>828</v>
      </c>
      <c r="F317" s="1" t="s">
        <v>828</v>
      </c>
      <c r="G317" s="1" t="s">
        <v>58</v>
      </c>
      <c r="H317" s="1" t="s">
        <v>59</v>
      </c>
      <c r="I317" s="1">
        <v>64</v>
      </c>
      <c r="J317" s="1" t="s">
        <v>65</v>
      </c>
      <c r="K317" s="1" t="s">
        <v>121</v>
      </c>
    </row>
    <row r="318" spans="1:11" customFormat="1" ht="14.5" x14ac:dyDescent="0.35">
      <c r="A318" s="1" t="s">
        <v>680</v>
      </c>
      <c r="B318" s="1" t="s">
        <v>820</v>
      </c>
      <c r="C318" s="1" t="s">
        <v>824</v>
      </c>
      <c r="D318" s="1">
        <v>4</v>
      </c>
      <c r="E318" s="1" t="s">
        <v>829</v>
      </c>
      <c r="F318" s="1" t="s">
        <v>830</v>
      </c>
      <c r="G318" s="1" t="s">
        <v>213</v>
      </c>
      <c r="H318" s="1" t="s">
        <v>214</v>
      </c>
      <c r="I318" s="1">
        <v>59</v>
      </c>
      <c r="J318" s="1" t="s">
        <v>65</v>
      </c>
      <c r="K318" s="1" t="s">
        <v>61</v>
      </c>
    </row>
    <row r="319" spans="1:11" customFormat="1" ht="14.5" x14ac:dyDescent="0.35">
      <c r="A319" s="1" t="s">
        <v>680</v>
      </c>
      <c r="B319" s="1" t="s">
        <v>820</v>
      </c>
      <c r="C319" s="1" t="s">
        <v>831</v>
      </c>
      <c r="D319" s="1">
        <v>1</v>
      </c>
      <c r="E319" s="1" t="s">
        <v>832</v>
      </c>
      <c r="F319" s="1" t="s">
        <v>832</v>
      </c>
      <c r="G319" s="1" t="s">
        <v>73</v>
      </c>
      <c r="H319" s="1" t="s">
        <v>74</v>
      </c>
      <c r="I319" s="1">
        <v>54</v>
      </c>
      <c r="J319" s="1" t="s">
        <v>65</v>
      </c>
      <c r="K319" s="1" t="s">
        <v>121</v>
      </c>
    </row>
    <row r="320" spans="1:11" customFormat="1" ht="14.5" x14ac:dyDescent="0.35">
      <c r="A320" s="1" t="s">
        <v>680</v>
      </c>
      <c r="B320" s="1" t="s">
        <v>820</v>
      </c>
      <c r="C320" s="1" t="s">
        <v>831</v>
      </c>
      <c r="D320" s="1">
        <v>2</v>
      </c>
      <c r="E320" s="1" t="s">
        <v>833</v>
      </c>
      <c r="F320" s="1" t="s">
        <v>833</v>
      </c>
      <c r="G320" s="1" t="s">
        <v>58</v>
      </c>
      <c r="H320" s="1" t="s">
        <v>59</v>
      </c>
      <c r="I320" s="1">
        <v>41</v>
      </c>
      <c r="J320" s="1" t="s">
        <v>65</v>
      </c>
      <c r="K320" s="1" t="s">
        <v>61</v>
      </c>
    </row>
    <row r="321" spans="1:11" customFormat="1" ht="14.5" x14ac:dyDescent="0.35">
      <c r="A321" s="1" t="s">
        <v>680</v>
      </c>
      <c r="B321" s="1" t="s">
        <v>834</v>
      </c>
      <c r="C321" s="1" t="s">
        <v>835</v>
      </c>
      <c r="D321" s="1">
        <v>1</v>
      </c>
      <c r="E321" s="1" t="s">
        <v>836</v>
      </c>
      <c r="F321" s="1" t="s">
        <v>837</v>
      </c>
      <c r="G321" s="1" t="s">
        <v>58</v>
      </c>
      <c r="H321" s="1" t="s">
        <v>59</v>
      </c>
      <c r="I321" s="1">
        <v>64</v>
      </c>
      <c r="J321" s="1" t="s">
        <v>65</v>
      </c>
      <c r="K321" s="1" t="s">
        <v>195</v>
      </c>
    </row>
    <row r="322" spans="1:11" customFormat="1" ht="14.5" x14ac:dyDescent="0.35">
      <c r="A322" s="1" t="s">
        <v>680</v>
      </c>
      <c r="B322" s="1" t="s">
        <v>834</v>
      </c>
      <c r="C322" s="1" t="s">
        <v>835</v>
      </c>
      <c r="D322" s="1">
        <v>2</v>
      </c>
      <c r="E322" s="1" t="s">
        <v>838</v>
      </c>
      <c r="F322" s="1" t="s">
        <v>839</v>
      </c>
      <c r="G322" s="1" t="s">
        <v>73</v>
      </c>
      <c r="H322" s="1" t="s">
        <v>74</v>
      </c>
      <c r="I322" s="1">
        <v>34</v>
      </c>
      <c r="J322" s="1" t="s">
        <v>60</v>
      </c>
      <c r="K322" s="1" t="s">
        <v>121</v>
      </c>
    </row>
    <row r="323" spans="1:11" customFormat="1" ht="14.5" x14ac:dyDescent="0.35">
      <c r="A323" s="1" t="s">
        <v>680</v>
      </c>
      <c r="B323" s="1" t="s">
        <v>834</v>
      </c>
      <c r="C323" s="1" t="s">
        <v>840</v>
      </c>
      <c r="D323" s="1">
        <v>1</v>
      </c>
      <c r="E323" s="1" t="s">
        <v>841</v>
      </c>
      <c r="F323" s="1" t="s">
        <v>841</v>
      </c>
      <c r="G323" s="1" t="s">
        <v>73</v>
      </c>
      <c r="H323" s="1" t="s">
        <v>74</v>
      </c>
      <c r="I323" s="1">
        <v>45</v>
      </c>
      <c r="J323" s="1" t="s">
        <v>65</v>
      </c>
      <c r="K323" s="1" t="s">
        <v>121</v>
      </c>
    </row>
    <row r="324" spans="1:11" customFormat="1" ht="14.5" x14ac:dyDescent="0.35">
      <c r="A324" s="1" t="s">
        <v>680</v>
      </c>
      <c r="B324" s="1" t="s">
        <v>834</v>
      </c>
      <c r="C324" s="1" t="s">
        <v>840</v>
      </c>
      <c r="D324" s="1">
        <v>2</v>
      </c>
      <c r="E324" s="1" t="s">
        <v>842</v>
      </c>
      <c r="F324" s="1" t="s">
        <v>842</v>
      </c>
      <c r="G324" s="1" t="s">
        <v>58</v>
      </c>
      <c r="H324" s="1" t="s">
        <v>59</v>
      </c>
      <c r="I324" s="1">
        <v>75</v>
      </c>
      <c r="J324" s="1" t="s">
        <v>65</v>
      </c>
      <c r="K324" s="1" t="s">
        <v>121</v>
      </c>
    </row>
    <row r="325" spans="1:11" customFormat="1" ht="14.5" x14ac:dyDescent="0.35">
      <c r="A325" s="1" t="s">
        <v>680</v>
      </c>
      <c r="B325" s="1" t="s">
        <v>834</v>
      </c>
      <c r="C325" s="1" t="s">
        <v>843</v>
      </c>
      <c r="D325" s="1">
        <v>1</v>
      </c>
      <c r="E325" s="1" t="s">
        <v>844</v>
      </c>
      <c r="F325" s="1" t="s">
        <v>844</v>
      </c>
      <c r="G325" s="1" t="s">
        <v>73</v>
      </c>
      <c r="H325" s="1" t="s">
        <v>74</v>
      </c>
      <c r="I325" s="1">
        <v>51</v>
      </c>
      <c r="J325" s="1" t="s">
        <v>65</v>
      </c>
      <c r="K325" s="1" t="s">
        <v>121</v>
      </c>
    </row>
    <row r="326" spans="1:11" customFormat="1" ht="14.5" x14ac:dyDescent="0.35">
      <c r="A326" s="1" t="s">
        <v>680</v>
      </c>
      <c r="B326" s="1" t="s">
        <v>834</v>
      </c>
      <c r="C326" s="1" t="s">
        <v>843</v>
      </c>
      <c r="D326" s="1">
        <v>2</v>
      </c>
      <c r="E326" s="1" t="s">
        <v>845</v>
      </c>
      <c r="F326" s="1" t="s">
        <v>846</v>
      </c>
      <c r="G326" s="1" t="s">
        <v>58</v>
      </c>
      <c r="H326" s="1" t="s">
        <v>59</v>
      </c>
      <c r="I326" s="1">
        <v>40</v>
      </c>
      <c r="J326" s="1" t="s">
        <v>65</v>
      </c>
      <c r="K326" s="1" t="s">
        <v>121</v>
      </c>
    </row>
    <row r="327" spans="1:11" customFormat="1" ht="14.5" x14ac:dyDescent="0.35">
      <c r="A327" s="1" t="s">
        <v>680</v>
      </c>
      <c r="B327" s="1" t="s">
        <v>847</v>
      </c>
      <c r="C327" s="1" t="s">
        <v>848</v>
      </c>
      <c r="D327" s="1">
        <v>1</v>
      </c>
      <c r="E327" s="1" t="s">
        <v>849</v>
      </c>
      <c r="F327" s="1" t="s">
        <v>850</v>
      </c>
      <c r="G327" s="1" t="s">
        <v>586</v>
      </c>
      <c r="H327" s="1" t="s">
        <v>587</v>
      </c>
      <c r="I327" s="1">
        <v>61</v>
      </c>
      <c r="J327" s="1" t="s">
        <v>60</v>
      </c>
      <c r="K327" s="1" t="s">
        <v>121</v>
      </c>
    </row>
    <row r="328" spans="1:11" customFormat="1" ht="14.5" x14ac:dyDescent="0.35">
      <c r="A328" s="1" t="s">
        <v>680</v>
      </c>
      <c r="B328" s="1" t="s">
        <v>847</v>
      </c>
      <c r="C328" s="1" t="s">
        <v>848</v>
      </c>
      <c r="D328" s="1">
        <v>2</v>
      </c>
      <c r="E328" s="1" t="s">
        <v>851</v>
      </c>
      <c r="F328" s="1" t="s">
        <v>852</v>
      </c>
      <c r="G328" s="1" t="s">
        <v>73</v>
      </c>
      <c r="H328" s="1" t="s">
        <v>74</v>
      </c>
      <c r="I328" s="1">
        <v>37</v>
      </c>
      <c r="J328" s="1" t="s">
        <v>65</v>
      </c>
      <c r="K328" s="1" t="s">
        <v>195</v>
      </c>
    </row>
    <row r="329" spans="1:11" customFormat="1" ht="14.5" x14ac:dyDescent="0.35">
      <c r="A329" s="1" t="s">
        <v>680</v>
      </c>
      <c r="B329" s="1" t="s">
        <v>847</v>
      </c>
      <c r="C329" s="1" t="s">
        <v>848</v>
      </c>
      <c r="D329" s="1">
        <v>3</v>
      </c>
      <c r="E329" s="1" t="s">
        <v>853</v>
      </c>
      <c r="F329" s="1" t="s">
        <v>853</v>
      </c>
      <c r="G329" s="1" t="s">
        <v>58</v>
      </c>
      <c r="H329" s="1" t="s">
        <v>59</v>
      </c>
      <c r="I329" s="1">
        <v>54</v>
      </c>
      <c r="J329" s="1" t="s">
        <v>65</v>
      </c>
      <c r="K329" s="1" t="s">
        <v>121</v>
      </c>
    </row>
    <row r="330" spans="1:11" customFormat="1" ht="14.5" x14ac:dyDescent="0.35">
      <c r="A330" s="1" t="s">
        <v>680</v>
      </c>
      <c r="B330" s="1" t="s">
        <v>847</v>
      </c>
      <c r="C330" s="1" t="s">
        <v>854</v>
      </c>
      <c r="D330" s="1">
        <v>1</v>
      </c>
      <c r="E330" s="1" t="s">
        <v>855</v>
      </c>
      <c r="F330" s="1" t="s">
        <v>856</v>
      </c>
      <c r="G330" s="1" t="s">
        <v>73</v>
      </c>
      <c r="H330" s="1" t="s">
        <v>74</v>
      </c>
      <c r="I330" s="1">
        <v>33</v>
      </c>
      <c r="J330" s="1" t="s">
        <v>65</v>
      </c>
      <c r="K330" s="1" t="s">
        <v>61</v>
      </c>
    </row>
    <row r="331" spans="1:11" customFormat="1" ht="14.5" x14ac:dyDescent="0.35">
      <c r="A331" s="1" t="s">
        <v>680</v>
      </c>
      <c r="B331" s="1" t="s">
        <v>847</v>
      </c>
      <c r="C331" s="1" t="s">
        <v>854</v>
      </c>
      <c r="D331" s="1">
        <v>2</v>
      </c>
      <c r="E331" s="1" t="s">
        <v>857</v>
      </c>
      <c r="F331" s="1" t="s">
        <v>857</v>
      </c>
      <c r="G331" s="1" t="s">
        <v>58</v>
      </c>
      <c r="H331" s="1" t="s">
        <v>59</v>
      </c>
      <c r="I331" s="1">
        <v>56</v>
      </c>
      <c r="J331" s="1" t="s">
        <v>65</v>
      </c>
      <c r="K331" s="1" t="s">
        <v>121</v>
      </c>
    </row>
    <row r="332" spans="1:11" customFormat="1" ht="14.5" x14ac:dyDescent="0.35">
      <c r="A332" s="1" t="s">
        <v>680</v>
      </c>
      <c r="B332" s="1" t="s">
        <v>847</v>
      </c>
      <c r="C332" s="1" t="s">
        <v>854</v>
      </c>
      <c r="D332" s="1">
        <v>3</v>
      </c>
      <c r="E332" s="1" t="s">
        <v>858</v>
      </c>
      <c r="F332" s="1" t="s">
        <v>859</v>
      </c>
      <c r="G332" s="1" t="s">
        <v>586</v>
      </c>
      <c r="H332" s="1" t="s">
        <v>587</v>
      </c>
      <c r="I332" s="1">
        <v>28</v>
      </c>
      <c r="J332" s="1" t="s">
        <v>60</v>
      </c>
      <c r="K332" s="1" t="s">
        <v>121</v>
      </c>
    </row>
    <row r="333" spans="1:11" customFormat="1" ht="14.5" x14ac:dyDescent="0.35">
      <c r="A333" s="1" t="s">
        <v>680</v>
      </c>
      <c r="B333" s="1" t="s">
        <v>847</v>
      </c>
      <c r="C333" s="1" t="s">
        <v>854</v>
      </c>
      <c r="D333" s="1">
        <v>4</v>
      </c>
      <c r="E333" s="1" t="s">
        <v>860</v>
      </c>
      <c r="F333" s="1" t="s">
        <v>861</v>
      </c>
      <c r="G333" s="1" t="s">
        <v>213</v>
      </c>
      <c r="H333" s="1" t="s">
        <v>214</v>
      </c>
      <c r="I333" s="1">
        <v>82</v>
      </c>
      <c r="J333" s="1" t="s">
        <v>65</v>
      </c>
      <c r="K333" s="1" t="s">
        <v>195</v>
      </c>
    </row>
    <row r="334" spans="1:11" customFormat="1" ht="14.5" x14ac:dyDescent="0.35">
      <c r="A334" s="1" t="s">
        <v>680</v>
      </c>
      <c r="B334" s="1" t="s">
        <v>847</v>
      </c>
      <c r="C334" s="1" t="s">
        <v>862</v>
      </c>
      <c r="D334" s="1">
        <v>1</v>
      </c>
      <c r="E334" s="1" t="s">
        <v>863</v>
      </c>
      <c r="F334" s="1" t="s">
        <v>863</v>
      </c>
      <c r="G334" s="1" t="s">
        <v>58</v>
      </c>
      <c r="H334" s="1" t="s">
        <v>59</v>
      </c>
      <c r="I334" s="1">
        <v>59</v>
      </c>
      <c r="J334" s="1" t="s">
        <v>65</v>
      </c>
      <c r="K334" s="1" t="s">
        <v>61</v>
      </c>
    </row>
    <row r="335" spans="1:11" customFormat="1" ht="14.5" x14ac:dyDescent="0.35">
      <c r="A335" s="1" t="s">
        <v>680</v>
      </c>
      <c r="B335" s="1" t="s">
        <v>847</v>
      </c>
      <c r="C335" s="1" t="s">
        <v>862</v>
      </c>
      <c r="D335" s="1">
        <v>2</v>
      </c>
      <c r="E335" s="1" t="s">
        <v>864</v>
      </c>
      <c r="F335" s="1" t="s">
        <v>865</v>
      </c>
      <c r="G335" s="1" t="s">
        <v>73</v>
      </c>
      <c r="H335" s="1" t="s">
        <v>74</v>
      </c>
      <c r="I335" s="1">
        <v>50</v>
      </c>
      <c r="J335" s="1" t="s">
        <v>65</v>
      </c>
      <c r="K335" s="1" t="s">
        <v>61</v>
      </c>
    </row>
    <row r="336" spans="1:11" customFormat="1" ht="14.5" x14ac:dyDescent="0.35">
      <c r="A336" s="1" t="s">
        <v>680</v>
      </c>
      <c r="B336" s="1" t="s">
        <v>866</v>
      </c>
      <c r="C336" s="1" t="s">
        <v>867</v>
      </c>
      <c r="D336" s="1">
        <v>1</v>
      </c>
      <c r="E336" s="1" t="s">
        <v>868</v>
      </c>
      <c r="F336" s="1" t="s">
        <v>869</v>
      </c>
      <c r="G336" s="1" t="s">
        <v>58</v>
      </c>
      <c r="H336" s="1" t="s">
        <v>59</v>
      </c>
      <c r="I336" s="1">
        <v>57</v>
      </c>
      <c r="J336" s="1" t="s">
        <v>65</v>
      </c>
      <c r="K336" s="1" t="s">
        <v>121</v>
      </c>
    </row>
    <row r="337" spans="1:11" customFormat="1" ht="14.5" x14ac:dyDescent="0.35">
      <c r="A337" s="1" t="s">
        <v>680</v>
      </c>
      <c r="B337" s="1" t="s">
        <v>866</v>
      </c>
      <c r="C337" s="1" t="s">
        <v>867</v>
      </c>
      <c r="D337" s="1">
        <v>2</v>
      </c>
      <c r="E337" s="1" t="s">
        <v>870</v>
      </c>
      <c r="F337" s="1" t="s">
        <v>870</v>
      </c>
      <c r="G337" s="1" t="s">
        <v>73</v>
      </c>
      <c r="H337" s="1" t="s">
        <v>74</v>
      </c>
      <c r="I337" s="1">
        <v>48</v>
      </c>
      <c r="J337" s="1" t="s">
        <v>65</v>
      </c>
      <c r="K337" s="1" t="s">
        <v>61</v>
      </c>
    </row>
    <row r="338" spans="1:11" customFormat="1" ht="14.5" x14ac:dyDescent="0.35">
      <c r="A338" s="1" t="s">
        <v>680</v>
      </c>
      <c r="B338" s="1" t="s">
        <v>866</v>
      </c>
      <c r="C338" s="1" t="s">
        <v>871</v>
      </c>
      <c r="D338" s="1">
        <v>1</v>
      </c>
      <c r="E338" s="1" t="s">
        <v>872</v>
      </c>
      <c r="F338" s="1" t="s">
        <v>873</v>
      </c>
      <c r="G338" s="1" t="s">
        <v>73</v>
      </c>
      <c r="H338" s="1" t="s">
        <v>74</v>
      </c>
      <c r="I338" s="1">
        <v>58</v>
      </c>
      <c r="J338" s="1" t="s">
        <v>65</v>
      </c>
      <c r="K338" s="1" t="s">
        <v>61</v>
      </c>
    </row>
    <row r="339" spans="1:11" customFormat="1" ht="14.5" x14ac:dyDescent="0.35">
      <c r="A339" s="1" t="s">
        <v>680</v>
      </c>
      <c r="B339" s="1" t="s">
        <v>866</v>
      </c>
      <c r="C339" s="1" t="s">
        <v>871</v>
      </c>
      <c r="D339" s="1">
        <v>2</v>
      </c>
      <c r="E339" s="1" t="s">
        <v>874</v>
      </c>
      <c r="F339" s="1" t="s">
        <v>875</v>
      </c>
      <c r="G339" s="1" t="s">
        <v>58</v>
      </c>
      <c r="H339" s="1" t="s">
        <v>59</v>
      </c>
      <c r="I339" s="1">
        <v>61</v>
      </c>
      <c r="J339" s="1" t="s">
        <v>65</v>
      </c>
      <c r="K339" s="1" t="s">
        <v>61</v>
      </c>
    </row>
    <row r="340" spans="1:11" customFormat="1" ht="14.5" x14ac:dyDescent="0.35">
      <c r="A340" s="1" t="s">
        <v>680</v>
      </c>
      <c r="B340" s="1" t="s">
        <v>866</v>
      </c>
      <c r="C340" s="1" t="s">
        <v>876</v>
      </c>
      <c r="D340" s="1">
        <v>1</v>
      </c>
      <c r="E340" s="1" t="s">
        <v>877</v>
      </c>
      <c r="F340" s="1" t="s">
        <v>877</v>
      </c>
      <c r="G340" s="1" t="s">
        <v>67</v>
      </c>
      <c r="H340" s="1" t="s">
        <v>68</v>
      </c>
      <c r="I340" s="1">
        <v>35</v>
      </c>
      <c r="J340" s="1" t="s">
        <v>65</v>
      </c>
      <c r="K340" s="1" t="s">
        <v>61</v>
      </c>
    </row>
    <row r="341" spans="1:11" customFormat="1" ht="14.5" x14ac:dyDescent="0.35">
      <c r="A341" s="1" t="s">
        <v>680</v>
      </c>
      <c r="B341" s="1" t="s">
        <v>866</v>
      </c>
      <c r="C341" s="1" t="s">
        <v>876</v>
      </c>
      <c r="D341" s="1">
        <v>2</v>
      </c>
      <c r="E341" s="1" t="s">
        <v>878</v>
      </c>
      <c r="F341" s="1" t="s">
        <v>879</v>
      </c>
      <c r="G341" s="1" t="s">
        <v>58</v>
      </c>
      <c r="H341" s="1" t="s">
        <v>59</v>
      </c>
      <c r="I341" s="1">
        <v>63</v>
      </c>
      <c r="J341" s="1" t="s">
        <v>65</v>
      </c>
      <c r="K341" s="1" t="s">
        <v>61</v>
      </c>
    </row>
    <row r="342" spans="1:11" customFormat="1" ht="14.5" x14ac:dyDescent="0.35">
      <c r="A342" s="1" t="s">
        <v>3</v>
      </c>
      <c r="B342" s="1" t="s">
        <v>880</v>
      </c>
      <c r="C342" s="1" t="s">
        <v>881</v>
      </c>
      <c r="D342" s="1">
        <v>1</v>
      </c>
      <c r="E342" s="1" t="s">
        <v>882</v>
      </c>
      <c r="F342" s="1" t="s">
        <v>883</v>
      </c>
      <c r="G342" s="1" t="s">
        <v>58</v>
      </c>
      <c r="H342" s="1" t="s">
        <v>59</v>
      </c>
      <c r="I342" s="1">
        <v>55</v>
      </c>
      <c r="J342" s="1" t="s">
        <v>65</v>
      </c>
      <c r="K342" s="1" t="s">
        <v>61</v>
      </c>
    </row>
    <row r="343" spans="1:11" customFormat="1" ht="14.5" x14ac:dyDescent="0.35">
      <c r="A343" s="1" t="s">
        <v>3</v>
      </c>
      <c r="B343" s="1" t="s">
        <v>880</v>
      </c>
      <c r="C343" s="1" t="s">
        <v>881</v>
      </c>
      <c r="D343" s="1">
        <v>2</v>
      </c>
      <c r="E343" s="1" t="s">
        <v>884</v>
      </c>
      <c r="F343" s="1" t="s">
        <v>885</v>
      </c>
      <c r="G343" s="1" t="s">
        <v>67</v>
      </c>
      <c r="H343" s="1" t="s">
        <v>68</v>
      </c>
      <c r="I343" s="1">
        <v>43</v>
      </c>
      <c r="J343" s="1" t="s">
        <v>65</v>
      </c>
      <c r="K343" s="1" t="s">
        <v>61</v>
      </c>
    </row>
    <row r="344" spans="1:11" customFormat="1" ht="14.5" x14ac:dyDescent="0.35">
      <c r="A344" s="1" t="s">
        <v>3</v>
      </c>
      <c r="B344" s="1" t="s">
        <v>880</v>
      </c>
      <c r="C344" s="1" t="s">
        <v>886</v>
      </c>
      <c r="D344" s="1">
        <v>1</v>
      </c>
      <c r="E344" s="1" t="s">
        <v>887</v>
      </c>
      <c r="F344" s="1" t="s">
        <v>888</v>
      </c>
      <c r="G344" s="1" t="s">
        <v>73</v>
      </c>
      <c r="H344" s="1" t="s">
        <v>74</v>
      </c>
      <c r="I344" s="1">
        <v>54</v>
      </c>
      <c r="J344" s="1" t="s">
        <v>65</v>
      </c>
      <c r="K344" s="1" t="s">
        <v>61</v>
      </c>
    </row>
    <row r="345" spans="1:11" customFormat="1" ht="14.5" x14ac:dyDescent="0.35">
      <c r="A345" s="1" t="s">
        <v>3</v>
      </c>
      <c r="B345" s="1" t="s">
        <v>880</v>
      </c>
      <c r="C345" s="1" t="s">
        <v>886</v>
      </c>
      <c r="D345" s="1">
        <v>2</v>
      </c>
      <c r="E345" s="1" t="s">
        <v>889</v>
      </c>
      <c r="F345" s="1" t="s">
        <v>890</v>
      </c>
      <c r="G345" s="1" t="s">
        <v>58</v>
      </c>
      <c r="H345" s="1" t="s">
        <v>59</v>
      </c>
      <c r="I345" s="1">
        <v>57</v>
      </c>
      <c r="J345" s="1" t="s">
        <v>65</v>
      </c>
      <c r="K345" s="1" t="s">
        <v>61</v>
      </c>
    </row>
    <row r="346" spans="1:11" customFormat="1" ht="14.5" x14ac:dyDescent="0.35">
      <c r="A346" s="1" t="s">
        <v>3</v>
      </c>
      <c r="B346" s="1" t="s">
        <v>891</v>
      </c>
      <c r="C346" s="1" t="s">
        <v>892</v>
      </c>
      <c r="D346" s="1">
        <v>1</v>
      </c>
      <c r="E346" s="1" t="s">
        <v>893</v>
      </c>
      <c r="F346" s="1" t="s">
        <v>893</v>
      </c>
      <c r="G346" s="1" t="s">
        <v>67</v>
      </c>
      <c r="H346" s="1" t="s">
        <v>68</v>
      </c>
      <c r="I346" s="1">
        <v>38</v>
      </c>
      <c r="J346" s="1" t="s">
        <v>65</v>
      </c>
      <c r="K346" s="1" t="s">
        <v>61</v>
      </c>
    </row>
    <row r="347" spans="1:11" customFormat="1" ht="14.5" x14ac:dyDescent="0.35">
      <c r="A347" s="1" t="s">
        <v>3</v>
      </c>
      <c r="B347" s="1" t="s">
        <v>891</v>
      </c>
      <c r="C347" s="1" t="s">
        <v>892</v>
      </c>
      <c r="D347" s="1">
        <v>2</v>
      </c>
      <c r="E347" s="1" t="s">
        <v>894</v>
      </c>
      <c r="F347" s="1" t="s">
        <v>895</v>
      </c>
      <c r="G347" s="1" t="s">
        <v>58</v>
      </c>
      <c r="H347" s="1" t="s">
        <v>59</v>
      </c>
      <c r="I347" s="1">
        <v>42</v>
      </c>
      <c r="J347" s="1" t="s">
        <v>65</v>
      </c>
      <c r="K347" s="1" t="s">
        <v>61</v>
      </c>
    </row>
    <row r="348" spans="1:11" customFormat="1" ht="14.5" x14ac:dyDescent="0.35">
      <c r="A348" s="1" t="s">
        <v>3</v>
      </c>
      <c r="B348" s="1" t="s">
        <v>891</v>
      </c>
      <c r="C348" s="1" t="s">
        <v>896</v>
      </c>
      <c r="D348" s="1">
        <v>1</v>
      </c>
      <c r="E348" s="1" t="s">
        <v>897</v>
      </c>
      <c r="F348" s="1" t="s">
        <v>897</v>
      </c>
      <c r="G348" s="1" t="s">
        <v>58</v>
      </c>
      <c r="H348" s="1" t="s">
        <v>59</v>
      </c>
      <c r="I348" s="1">
        <v>51</v>
      </c>
      <c r="J348" s="1" t="s">
        <v>65</v>
      </c>
      <c r="K348" s="1" t="s">
        <v>121</v>
      </c>
    </row>
    <row r="349" spans="1:11" customFormat="1" ht="14.5" x14ac:dyDescent="0.35">
      <c r="A349" s="1" t="s">
        <v>3</v>
      </c>
      <c r="B349" s="1" t="s">
        <v>891</v>
      </c>
      <c r="C349" s="1" t="s">
        <v>896</v>
      </c>
      <c r="D349" s="1">
        <v>2</v>
      </c>
      <c r="E349" s="1" t="s">
        <v>898</v>
      </c>
      <c r="F349" s="1" t="s">
        <v>898</v>
      </c>
      <c r="G349" s="1" t="s">
        <v>73</v>
      </c>
      <c r="H349" s="1" t="s">
        <v>74</v>
      </c>
      <c r="I349" s="1">
        <v>54</v>
      </c>
      <c r="J349" s="1" t="s">
        <v>65</v>
      </c>
      <c r="K349" s="1" t="s">
        <v>121</v>
      </c>
    </row>
    <row r="350" spans="1:11" customFormat="1" ht="14.5" x14ac:dyDescent="0.35">
      <c r="A350" s="1" t="s">
        <v>3</v>
      </c>
      <c r="B350" s="1" t="s">
        <v>899</v>
      </c>
      <c r="C350" s="1" t="s">
        <v>900</v>
      </c>
      <c r="D350" s="1">
        <v>1</v>
      </c>
      <c r="E350" s="1" t="s">
        <v>901</v>
      </c>
      <c r="F350" s="1" t="s">
        <v>902</v>
      </c>
      <c r="G350" s="1" t="s">
        <v>73</v>
      </c>
      <c r="H350" s="1" t="s">
        <v>74</v>
      </c>
      <c r="I350" s="1">
        <v>60</v>
      </c>
      <c r="J350" s="1" t="s">
        <v>65</v>
      </c>
      <c r="K350" s="1" t="s">
        <v>61</v>
      </c>
    </row>
    <row r="351" spans="1:11" customFormat="1" ht="14.5" x14ac:dyDescent="0.35">
      <c r="A351" s="1" t="s">
        <v>3</v>
      </c>
      <c r="B351" s="1" t="s">
        <v>899</v>
      </c>
      <c r="C351" s="1" t="s">
        <v>900</v>
      </c>
      <c r="D351" s="1">
        <v>2</v>
      </c>
      <c r="E351" s="1" t="s">
        <v>903</v>
      </c>
      <c r="F351" s="1" t="s">
        <v>904</v>
      </c>
      <c r="G351" s="1" t="s">
        <v>58</v>
      </c>
      <c r="H351" s="1" t="s">
        <v>59</v>
      </c>
      <c r="I351" s="1">
        <v>36</v>
      </c>
      <c r="J351" s="1" t="s">
        <v>65</v>
      </c>
      <c r="K351" s="1" t="s">
        <v>61</v>
      </c>
    </row>
    <row r="352" spans="1:11" customFormat="1" ht="14.5" x14ac:dyDescent="0.35">
      <c r="A352" s="1" t="s">
        <v>3</v>
      </c>
      <c r="B352" s="1" t="s">
        <v>899</v>
      </c>
      <c r="C352" s="1" t="s">
        <v>905</v>
      </c>
      <c r="D352" s="1">
        <v>1</v>
      </c>
      <c r="E352" s="1" t="s">
        <v>906</v>
      </c>
      <c r="F352" s="1" t="s">
        <v>907</v>
      </c>
      <c r="G352" s="1" t="s">
        <v>58</v>
      </c>
      <c r="H352" s="1" t="s">
        <v>59</v>
      </c>
      <c r="I352" s="1">
        <v>44</v>
      </c>
      <c r="J352" s="1" t="s">
        <v>65</v>
      </c>
      <c r="K352" s="1" t="s">
        <v>121</v>
      </c>
    </row>
    <row r="353" spans="1:11" customFormat="1" ht="14.5" x14ac:dyDescent="0.35">
      <c r="A353" s="1" t="s">
        <v>3</v>
      </c>
      <c r="B353" s="1" t="s">
        <v>899</v>
      </c>
      <c r="C353" s="1" t="s">
        <v>905</v>
      </c>
      <c r="D353" s="1">
        <v>2</v>
      </c>
      <c r="E353" s="1" t="s">
        <v>908</v>
      </c>
      <c r="F353" s="1" t="s">
        <v>908</v>
      </c>
      <c r="G353" s="1" t="s">
        <v>213</v>
      </c>
      <c r="H353" s="1" t="s">
        <v>214</v>
      </c>
      <c r="I353" s="1">
        <v>65</v>
      </c>
      <c r="J353" s="1" t="s">
        <v>65</v>
      </c>
      <c r="K353" s="1" t="s">
        <v>121</v>
      </c>
    </row>
    <row r="354" spans="1:11" customFormat="1" ht="14.5" x14ac:dyDescent="0.35">
      <c r="A354" s="1" t="s">
        <v>3</v>
      </c>
      <c r="B354" s="1" t="s">
        <v>899</v>
      </c>
      <c r="C354" s="1" t="s">
        <v>905</v>
      </c>
      <c r="D354" s="1">
        <v>3</v>
      </c>
      <c r="E354" s="1" t="s">
        <v>909</v>
      </c>
      <c r="F354" s="1" t="s">
        <v>909</v>
      </c>
      <c r="G354" s="1" t="s">
        <v>73</v>
      </c>
      <c r="H354" s="1" t="s">
        <v>74</v>
      </c>
      <c r="I354" s="1">
        <v>58</v>
      </c>
      <c r="J354" s="1" t="s">
        <v>60</v>
      </c>
      <c r="K354" s="1" t="s">
        <v>121</v>
      </c>
    </row>
    <row r="355" spans="1:11" customFormat="1" ht="14.5" x14ac:dyDescent="0.35">
      <c r="A355" s="1" t="s">
        <v>3</v>
      </c>
      <c r="B355" s="1" t="s">
        <v>899</v>
      </c>
      <c r="C355" s="1" t="s">
        <v>905</v>
      </c>
      <c r="D355" s="1">
        <v>4</v>
      </c>
      <c r="E355" s="1" t="s">
        <v>910</v>
      </c>
      <c r="F355" s="1" t="s">
        <v>911</v>
      </c>
      <c r="G355" s="1" t="s">
        <v>586</v>
      </c>
      <c r="H355" s="1" t="s">
        <v>587</v>
      </c>
      <c r="I355" s="1">
        <v>41</v>
      </c>
      <c r="J355" s="1" t="s">
        <v>65</v>
      </c>
      <c r="K355" s="1" t="s">
        <v>195</v>
      </c>
    </row>
    <row r="356" spans="1:11" customFormat="1" ht="14.5" x14ac:dyDescent="0.35">
      <c r="A356" s="1" t="s">
        <v>3</v>
      </c>
      <c r="B356" s="1" t="s">
        <v>899</v>
      </c>
      <c r="C356" s="1" t="s">
        <v>912</v>
      </c>
      <c r="D356" s="1">
        <v>1</v>
      </c>
      <c r="E356" s="1" t="s">
        <v>913</v>
      </c>
      <c r="F356" s="1" t="s">
        <v>914</v>
      </c>
      <c r="G356" s="1" t="s">
        <v>58</v>
      </c>
      <c r="H356" s="1" t="s">
        <v>59</v>
      </c>
      <c r="I356" s="1">
        <v>41</v>
      </c>
      <c r="J356" s="1" t="s">
        <v>65</v>
      </c>
      <c r="K356" s="1" t="s">
        <v>61</v>
      </c>
    </row>
    <row r="357" spans="1:11" customFormat="1" ht="14.5" x14ac:dyDescent="0.35">
      <c r="A357" s="1" t="s">
        <v>3</v>
      </c>
      <c r="B357" s="1" t="s">
        <v>899</v>
      </c>
      <c r="C357" s="1" t="s">
        <v>912</v>
      </c>
      <c r="D357" s="1">
        <v>2</v>
      </c>
      <c r="E357" s="1" t="s">
        <v>915</v>
      </c>
      <c r="F357" s="1" t="s">
        <v>915</v>
      </c>
      <c r="G357" s="1" t="s">
        <v>67</v>
      </c>
      <c r="H357" s="1" t="s">
        <v>68</v>
      </c>
      <c r="I357" s="1">
        <v>59</v>
      </c>
      <c r="J357" s="1" t="s">
        <v>65</v>
      </c>
      <c r="K357" s="1" t="s">
        <v>61</v>
      </c>
    </row>
    <row r="358" spans="1:11" customFormat="1" ht="14.5" x14ac:dyDescent="0.35">
      <c r="A358" s="1" t="s">
        <v>3</v>
      </c>
      <c r="B358" s="1" t="s">
        <v>916</v>
      </c>
      <c r="C358" s="1" t="s">
        <v>917</v>
      </c>
      <c r="D358" s="1">
        <v>1</v>
      </c>
      <c r="E358" s="1" t="s">
        <v>918</v>
      </c>
      <c r="F358" s="1" t="s">
        <v>919</v>
      </c>
      <c r="G358" s="1" t="s">
        <v>58</v>
      </c>
      <c r="H358" s="1" t="s">
        <v>59</v>
      </c>
      <c r="I358" s="1">
        <v>45</v>
      </c>
      <c r="J358" s="1" t="s">
        <v>65</v>
      </c>
      <c r="K358" s="1" t="s">
        <v>61</v>
      </c>
    </row>
    <row r="359" spans="1:11" customFormat="1" ht="14.5" x14ac:dyDescent="0.35">
      <c r="A359" s="1" t="s">
        <v>3</v>
      </c>
      <c r="B359" s="1" t="s">
        <v>916</v>
      </c>
      <c r="C359" s="1" t="s">
        <v>917</v>
      </c>
      <c r="D359" s="1">
        <v>2</v>
      </c>
      <c r="E359" s="1" t="s">
        <v>920</v>
      </c>
      <c r="F359" s="1" t="s">
        <v>921</v>
      </c>
      <c r="G359" s="1" t="s">
        <v>67</v>
      </c>
      <c r="H359" s="1" t="s">
        <v>68</v>
      </c>
      <c r="I359" s="1">
        <v>54</v>
      </c>
      <c r="J359" s="1" t="s">
        <v>65</v>
      </c>
      <c r="K359" s="1" t="s">
        <v>61</v>
      </c>
    </row>
    <row r="360" spans="1:11" customFormat="1" ht="14.5" x14ac:dyDescent="0.35">
      <c r="A360" s="1" t="s">
        <v>3</v>
      </c>
      <c r="B360" s="1" t="s">
        <v>916</v>
      </c>
      <c r="C360" s="1" t="s">
        <v>922</v>
      </c>
      <c r="D360" s="1">
        <v>1</v>
      </c>
      <c r="E360" s="1" t="s">
        <v>923</v>
      </c>
      <c r="F360" s="1" t="s">
        <v>924</v>
      </c>
      <c r="G360" s="1" t="s">
        <v>73</v>
      </c>
      <c r="H360" s="1" t="s">
        <v>74</v>
      </c>
      <c r="I360" s="1">
        <v>58</v>
      </c>
      <c r="J360" s="1" t="s">
        <v>65</v>
      </c>
      <c r="K360" s="1" t="s">
        <v>61</v>
      </c>
    </row>
    <row r="361" spans="1:11" customFormat="1" ht="14.5" x14ac:dyDescent="0.35">
      <c r="A361" s="1" t="s">
        <v>3</v>
      </c>
      <c r="B361" s="1" t="s">
        <v>916</v>
      </c>
      <c r="C361" s="1" t="s">
        <v>922</v>
      </c>
      <c r="D361" s="1">
        <v>2</v>
      </c>
      <c r="E361" s="1" t="s">
        <v>925</v>
      </c>
      <c r="F361" s="1" t="s">
        <v>926</v>
      </c>
      <c r="G361" s="1" t="s">
        <v>58</v>
      </c>
      <c r="H361" s="1" t="s">
        <v>59</v>
      </c>
      <c r="I361" s="1">
        <v>36</v>
      </c>
      <c r="J361" s="1" t="s">
        <v>60</v>
      </c>
      <c r="K361" s="1" t="s">
        <v>61</v>
      </c>
    </row>
    <row r="362" spans="1:11" customFormat="1" ht="14.5" x14ac:dyDescent="0.35">
      <c r="A362" s="1" t="s">
        <v>3</v>
      </c>
      <c r="B362" s="1" t="s">
        <v>927</v>
      </c>
      <c r="C362" s="1" t="s">
        <v>928</v>
      </c>
      <c r="D362" s="1">
        <v>1</v>
      </c>
      <c r="E362" s="1" t="s">
        <v>929</v>
      </c>
      <c r="F362" s="1" t="s">
        <v>929</v>
      </c>
      <c r="G362" s="1" t="s">
        <v>73</v>
      </c>
      <c r="H362" s="1" t="s">
        <v>74</v>
      </c>
      <c r="I362" s="1">
        <v>36</v>
      </c>
      <c r="J362" s="1" t="s">
        <v>65</v>
      </c>
      <c r="K362" s="1" t="s">
        <v>195</v>
      </c>
    </row>
    <row r="363" spans="1:11" customFormat="1" ht="14.5" x14ac:dyDescent="0.35">
      <c r="A363" s="1" t="s">
        <v>3</v>
      </c>
      <c r="B363" s="1" t="s">
        <v>927</v>
      </c>
      <c r="C363" s="1" t="s">
        <v>928</v>
      </c>
      <c r="D363" s="1">
        <v>2</v>
      </c>
      <c r="E363" s="1" t="s">
        <v>930</v>
      </c>
      <c r="F363" s="1" t="s">
        <v>931</v>
      </c>
      <c r="G363" s="1" t="s">
        <v>58</v>
      </c>
      <c r="H363" s="1" t="s">
        <v>59</v>
      </c>
      <c r="I363" s="1">
        <v>42</v>
      </c>
      <c r="J363" s="1" t="s">
        <v>65</v>
      </c>
      <c r="K363" s="1" t="s">
        <v>61</v>
      </c>
    </row>
    <row r="364" spans="1:11" customFormat="1" ht="14.5" x14ac:dyDescent="0.35">
      <c r="A364" s="1" t="s">
        <v>3</v>
      </c>
      <c r="B364" s="1" t="s">
        <v>927</v>
      </c>
      <c r="C364" s="1" t="s">
        <v>932</v>
      </c>
      <c r="D364" s="1">
        <v>1</v>
      </c>
      <c r="E364" s="1" t="s">
        <v>933</v>
      </c>
      <c r="F364" s="1" t="s">
        <v>933</v>
      </c>
      <c r="G364" s="1" t="s">
        <v>58</v>
      </c>
      <c r="H364" s="1" t="s">
        <v>59</v>
      </c>
      <c r="I364" s="1">
        <v>45</v>
      </c>
      <c r="J364" s="1" t="s">
        <v>65</v>
      </c>
      <c r="K364" s="1" t="s">
        <v>61</v>
      </c>
    </row>
    <row r="365" spans="1:11" customFormat="1" ht="14.5" x14ac:dyDescent="0.35">
      <c r="A365" s="1" t="s">
        <v>3</v>
      </c>
      <c r="B365" s="1" t="s">
        <v>927</v>
      </c>
      <c r="C365" s="1" t="s">
        <v>932</v>
      </c>
      <c r="D365" s="1">
        <v>2</v>
      </c>
      <c r="E365" s="1" t="s">
        <v>934</v>
      </c>
      <c r="F365" s="1" t="s">
        <v>935</v>
      </c>
      <c r="G365" s="1" t="s">
        <v>73</v>
      </c>
      <c r="H365" s="1" t="s">
        <v>74</v>
      </c>
      <c r="I365" s="1">
        <v>51</v>
      </c>
      <c r="J365" s="1" t="s">
        <v>65</v>
      </c>
      <c r="K365" s="1" t="s">
        <v>61</v>
      </c>
    </row>
    <row r="366" spans="1:11" customFormat="1" ht="14.5" x14ac:dyDescent="0.35">
      <c r="A366" s="1" t="s">
        <v>3</v>
      </c>
      <c r="B366" s="1" t="s">
        <v>927</v>
      </c>
      <c r="C366" s="1" t="s">
        <v>932</v>
      </c>
      <c r="D366" s="1">
        <v>3</v>
      </c>
      <c r="E366" s="1" t="s">
        <v>936</v>
      </c>
      <c r="F366" s="1" t="s">
        <v>937</v>
      </c>
      <c r="G366" s="1" t="s">
        <v>64</v>
      </c>
      <c r="H366" s="1" t="s">
        <v>64</v>
      </c>
      <c r="I366" s="1">
        <v>60</v>
      </c>
      <c r="J366" s="1" t="s">
        <v>65</v>
      </c>
      <c r="K366" s="1" t="s">
        <v>121</v>
      </c>
    </row>
    <row r="367" spans="1:11" customFormat="1" ht="14.5" x14ac:dyDescent="0.35">
      <c r="A367" s="1" t="s">
        <v>3</v>
      </c>
      <c r="B367" s="1" t="s">
        <v>927</v>
      </c>
      <c r="C367" s="1" t="s">
        <v>938</v>
      </c>
      <c r="D367" s="1">
        <v>1</v>
      </c>
      <c r="E367" s="1" t="s">
        <v>939</v>
      </c>
      <c r="F367" s="1" t="s">
        <v>940</v>
      </c>
      <c r="G367" s="1" t="s">
        <v>67</v>
      </c>
      <c r="H367" s="1" t="s">
        <v>68</v>
      </c>
      <c r="I367" s="1">
        <v>71</v>
      </c>
      <c r="J367" s="1" t="s">
        <v>65</v>
      </c>
      <c r="K367" s="1" t="s">
        <v>61</v>
      </c>
    </row>
    <row r="368" spans="1:11" customFormat="1" ht="14.5" x14ac:dyDescent="0.35">
      <c r="A368" s="1" t="s">
        <v>3</v>
      </c>
      <c r="B368" s="1" t="s">
        <v>927</v>
      </c>
      <c r="C368" s="1" t="s">
        <v>938</v>
      </c>
      <c r="D368" s="1">
        <v>2</v>
      </c>
      <c r="E368" s="1" t="s">
        <v>941</v>
      </c>
      <c r="F368" s="1" t="s">
        <v>941</v>
      </c>
      <c r="G368" s="1" t="s">
        <v>58</v>
      </c>
      <c r="H368" s="1" t="s">
        <v>59</v>
      </c>
      <c r="I368" s="1">
        <v>50</v>
      </c>
      <c r="J368" s="1" t="s">
        <v>65</v>
      </c>
      <c r="K368" s="1" t="s">
        <v>61</v>
      </c>
    </row>
    <row r="369" spans="1:11" customFormat="1" ht="14.5" x14ac:dyDescent="0.35">
      <c r="A369" s="1" t="s">
        <v>3</v>
      </c>
      <c r="B369" s="1" t="s">
        <v>942</v>
      </c>
      <c r="C369" s="1" t="s">
        <v>943</v>
      </c>
      <c r="D369" s="1">
        <v>1</v>
      </c>
      <c r="E369" s="1" t="s">
        <v>944</v>
      </c>
      <c r="F369" s="1" t="s">
        <v>945</v>
      </c>
      <c r="G369" s="1" t="s">
        <v>67</v>
      </c>
      <c r="H369" s="1" t="s">
        <v>68</v>
      </c>
      <c r="I369" s="1">
        <v>54</v>
      </c>
      <c r="J369" s="1" t="s">
        <v>65</v>
      </c>
      <c r="K369" s="1" t="s">
        <v>61</v>
      </c>
    </row>
    <row r="370" spans="1:11" customFormat="1" ht="14.5" x14ac:dyDescent="0.35">
      <c r="A370" s="1" t="s">
        <v>3</v>
      </c>
      <c r="B370" s="1" t="s">
        <v>942</v>
      </c>
      <c r="C370" s="1" t="s">
        <v>943</v>
      </c>
      <c r="D370" s="1">
        <v>2</v>
      </c>
      <c r="E370" s="1" t="s">
        <v>946</v>
      </c>
      <c r="F370" s="1" t="s">
        <v>947</v>
      </c>
      <c r="G370" s="1" t="s">
        <v>64</v>
      </c>
      <c r="H370" s="1" t="s">
        <v>64</v>
      </c>
      <c r="I370" s="1">
        <v>61</v>
      </c>
      <c r="J370" s="1" t="s">
        <v>65</v>
      </c>
      <c r="K370" s="1" t="s">
        <v>61</v>
      </c>
    </row>
    <row r="371" spans="1:11" customFormat="1" ht="14.5" x14ac:dyDescent="0.35">
      <c r="A371" s="1" t="s">
        <v>3</v>
      </c>
      <c r="B371" s="1" t="s">
        <v>942</v>
      </c>
      <c r="C371" s="1" t="s">
        <v>943</v>
      </c>
      <c r="D371" s="1">
        <v>3</v>
      </c>
      <c r="E371" s="1" t="s">
        <v>948</v>
      </c>
      <c r="F371" s="1" t="s">
        <v>949</v>
      </c>
      <c r="G371" s="1" t="s">
        <v>58</v>
      </c>
      <c r="H371" s="1" t="s">
        <v>59</v>
      </c>
      <c r="I371" s="1">
        <v>49</v>
      </c>
      <c r="J371" s="1" t="s">
        <v>65</v>
      </c>
      <c r="K371" s="1" t="s">
        <v>61</v>
      </c>
    </row>
    <row r="372" spans="1:11" customFormat="1" ht="14.5" x14ac:dyDescent="0.35">
      <c r="A372" s="1" t="s">
        <v>3</v>
      </c>
      <c r="B372" s="1" t="s">
        <v>942</v>
      </c>
      <c r="C372" s="1" t="s">
        <v>950</v>
      </c>
      <c r="D372" s="1">
        <v>1</v>
      </c>
      <c r="E372" s="1" t="s">
        <v>951</v>
      </c>
      <c r="F372" s="1" t="s">
        <v>952</v>
      </c>
      <c r="G372" s="1" t="s">
        <v>58</v>
      </c>
      <c r="H372" s="1" t="s">
        <v>59</v>
      </c>
      <c r="I372" s="1">
        <v>27</v>
      </c>
      <c r="J372" s="1" t="s">
        <v>65</v>
      </c>
      <c r="K372" s="1" t="s">
        <v>195</v>
      </c>
    </row>
    <row r="373" spans="1:11" customFormat="1" ht="14.5" x14ac:dyDescent="0.35">
      <c r="A373" s="1" t="s">
        <v>3</v>
      </c>
      <c r="B373" s="1" t="s">
        <v>942</v>
      </c>
      <c r="C373" s="1" t="s">
        <v>950</v>
      </c>
      <c r="D373" s="1">
        <v>2</v>
      </c>
      <c r="E373" s="1" t="s">
        <v>953</v>
      </c>
      <c r="F373" s="1" t="s">
        <v>953</v>
      </c>
      <c r="G373" s="1" t="s">
        <v>73</v>
      </c>
      <c r="H373" s="1" t="s">
        <v>74</v>
      </c>
      <c r="I373" s="1">
        <v>35</v>
      </c>
      <c r="J373" s="1" t="s">
        <v>65</v>
      </c>
      <c r="K373" s="1" t="s">
        <v>121</v>
      </c>
    </row>
    <row r="374" spans="1:11" customFormat="1" ht="14.5" x14ac:dyDescent="0.35">
      <c r="A374" s="1" t="s">
        <v>3</v>
      </c>
      <c r="B374" s="1" t="s">
        <v>942</v>
      </c>
      <c r="C374" s="1" t="s">
        <v>954</v>
      </c>
      <c r="D374" s="1">
        <v>1</v>
      </c>
      <c r="E374" s="1" t="s">
        <v>955</v>
      </c>
      <c r="F374" s="1" t="s">
        <v>956</v>
      </c>
      <c r="G374" s="1" t="s">
        <v>586</v>
      </c>
      <c r="H374" s="1" t="s">
        <v>587</v>
      </c>
      <c r="I374" s="1">
        <v>31</v>
      </c>
      <c r="J374" s="1" t="s">
        <v>60</v>
      </c>
      <c r="K374" s="1" t="s">
        <v>61</v>
      </c>
    </row>
    <row r="375" spans="1:11" customFormat="1" ht="14.5" x14ac:dyDescent="0.35">
      <c r="A375" s="1" t="s">
        <v>3</v>
      </c>
      <c r="B375" s="1" t="s">
        <v>942</v>
      </c>
      <c r="C375" s="1" t="s">
        <v>954</v>
      </c>
      <c r="D375" s="1">
        <v>2</v>
      </c>
      <c r="E375" s="1" t="s">
        <v>957</v>
      </c>
      <c r="F375" s="1" t="s">
        <v>958</v>
      </c>
      <c r="G375" s="1" t="s">
        <v>73</v>
      </c>
      <c r="H375" s="1" t="s">
        <v>74</v>
      </c>
      <c r="I375" s="1">
        <v>45</v>
      </c>
      <c r="J375" s="1" t="s">
        <v>60</v>
      </c>
      <c r="K375" s="1" t="s">
        <v>61</v>
      </c>
    </row>
    <row r="376" spans="1:11" customFormat="1" ht="14.5" x14ac:dyDescent="0.35">
      <c r="A376" s="1" t="s">
        <v>3</v>
      </c>
      <c r="B376" s="1" t="s">
        <v>942</v>
      </c>
      <c r="C376" s="1" t="s">
        <v>954</v>
      </c>
      <c r="D376" s="1">
        <v>3</v>
      </c>
      <c r="E376" s="1" t="s">
        <v>959</v>
      </c>
      <c r="F376" s="1" t="s">
        <v>960</v>
      </c>
      <c r="G376" s="1" t="s">
        <v>58</v>
      </c>
      <c r="H376" s="1" t="s">
        <v>59</v>
      </c>
      <c r="I376" s="1">
        <v>52</v>
      </c>
      <c r="J376" s="1" t="s">
        <v>65</v>
      </c>
      <c r="K376" s="1" t="s">
        <v>61</v>
      </c>
    </row>
    <row r="377" spans="1:11" customFormat="1" ht="14.5" x14ac:dyDescent="0.35">
      <c r="A377" s="1" t="s">
        <v>3</v>
      </c>
      <c r="B377" s="1" t="s">
        <v>961</v>
      </c>
      <c r="C377" s="1" t="s">
        <v>962</v>
      </c>
      <c r="D377" s="1">
        <v>1</v>
      </c>
      <c r="E377" s="1" t="s">
        <v>963</v>
      </c>
      <c r="F377" s="1" t="s">
        <v>964</v>
      </c>
      <c r="G377" s="1" t="s">
        <v>64</v>
      </c>
      <c r="H377" s="1" t="s">
        <v>64</v>
      </c>
      <c r="I377" s="1">
        <v>37</v>
      </c>
      <c r="J377" s="1" t="s">
        <v>65</v>
      </c>
      <c r="K377" s="1" t="s">
        <v>195</v>
      </c>
    </row>
    <row r="378" spans="1:11" customFormat="1" ht="14.5" x14ac:dyDescent="0.35">
      <c r="A378" s="1" t="s">
        <v>3</v>
      </c>
      <c r="B378" s="1" t="s">
        <v>961</v>
      </c>
      <c r="C378" s="1" t="s">
        <v>962</v>
      </c>
      <c r="D378" s="1">
        <v>2</v>
      </c>
      <c r="E378" s="1" t="s">
        <v>965</v>
      </c>
      <c r="F378" s="1" t="s">
        <v>966</v>
      </c>
      <c r="G378" s="1" t="s">
        <v>58</v>
      </c>
      <c r="H378" s="1" t="s">
        <v>59</v>
      </c>
      <c r="I378" s="1">
        <v>37</v>
      </c>
      <c r="J378" s="1" t="s">
        <v>65</v>
      </c>
      <c r="K378" s="1" t="s">
        <v>61</v>
      </c>
    </row>
    <row r="379" spans="1:11" customFormat="1" ht="14.5" x14ac:dyDescent="0.35">
      <c r="A379" s="1" t="s">
        <v>3</v>
      </c>
      <c r="B379" s="1" t="s">
        <v>961</v>
      </c>
      <c r="C379" s="1" t="s">
        <v>962</v>
      </c>
      <c r="D379" s="1">
        <v>3</v>
      </c>
      <c r="E379" s="1" t="s">
        <v>967</v>
      </c>
      <c r="F379" s="1" t="s">
        <v>968</v>
      </c>
      <c r="G379" s="1" t="s">
        <v>73</v>
      </c>
      <c r="H379" s="1" t="s">
        <v>74</v>
      </c>
      <c r="I379" s="1">
        <v>44</v>
      </c>
      <c r="J379" s="1" t="s">
        <v>65</v>
      </c>
      <c r="K379" s="1" t="s">
        <v>61</v>
      </c>
    </row>
    <row r="380" spans="1:11" customFormat="1" ht="14.5" x14ac:dyDescent="0.35">
      <c r="A380" s="1" t="s">
        <v>3</v>
      </c>
      <c r="B380" s="1" t="s">
        <v>961</v>
      </c>
      <c r="C380" s="1" t="s">
        <v>969</v>
      </c>
      <c r="D380" s="1">
        <v>1</v>
      </c>
      <c r="E380" s="1" t="s">
        <v>970</v>
      </c>
      <c r="F380" s="1" t="s">
        <v>970</v>
      </c>
      <c r="G380" s="1" t="s">
        <v>64</v>
      </c>
      <c r="H380" s="1" t="s">
        <v>64</v>
      </c>
      <c r="I380" s="1">
        <v>55</v>
      </c>
      <c r="J380" s="1" t="s">
        <v>65</v>
      </c>
      <c r="K380" s="1" t="s">
        <v>61</v>
      </c>
    </row>
    <row r="381" spans="1:11" customFormat="1" ht="14.5" x14ac:dyDescent="0.35">
      <c r="A381" s="1" t="s">
        <v>3</v>
      </c>
      <c r="B381" s="1" t="s">
        <v>961</v>
      </c>
      <c r="C381" s="1" t="s">
        <v>969</v>
      </c>
      <c r="D381" s="1">
        <v>2</v>
      </c>
      <c r="E381" s="1" t="s">
        <v>971</v>
      </c>
      <c r="F381" s="1" t="s">
        <v>972</v>
      </c>
      <c r="G381" s="1" t="s">
        <v>58</v>
      </c>
      <c r="H381" s="1" t="s">
        <v>59</v>
      </c>
      <c r="I381" s="1">
        <v>35</v>
      </c>
      <c r="J381" s="1" t="s">
        <v>65</v>
      </c>
      <c r="K381" s="1" t="s">
        <v>61</v>
      </c>
    </row>
    <row r="382" spans="1:11" customFormat="1" ht="14.5" x14ac:dyDescent="0.35">
      <c r="A382" s="1" t="s">
        <v>3</v>
      </c>
      <c r="B382" s="1" t="s">
        <v>961</v>
      </c>
      <c r="C382" s="1" t="s">
        <v>969</v>
      </c>
      <c r="D382" s="1">
        <v>3</v>
      </c>
      <c r="E382" s="1" t="s">
        <v>973</v>
      </c>
      <c r="F382" s="1" t="s">
        <v>974</v>
      </c>
      <c r="G382" s="1" t="s">
        <v>67</v>
      </c>
      <c r="H382" s="1" t="s">
        <v>68</v>
      </c>
      <c r="I382" s="1">
        <v>55</v>
      </c>
      <c r="J382" s="1" t="s">
        <v>65</v>
      </c>
      <c r="K382" s="1" t="s">
        <v>61</v>
      </c>
    </row>
    <row r="383" spans="1:11" customFormat="1" ht="14.5" x14ac:dyDescent="0.35">
      <c r="A383" s="1" t="s">
        <v>3</v>
      </c>
      <c r="B383" s="1" t="s">
        <v>961</v>
      </c>
      <c r="C383" s="1" t="s">
        <v>975</v>
      </c>
      <c r="D383" s="1">
        <v>1</v>
      </c>
      <c r="E383" s="1" t="s">
        <v>976</v>
      </c>
      <c r="F383" s="1" t="s">
        <v>977</v>
      </c>
      <c r="G383" s="1" t="s">
        <v>58</v>
      </c>
      <c r="H383" s="1" t="s">
        <v>59</v>
      </c>
      <c r="I383" s="1">
        <v>60</v>
      </c>
      <c r="J383" s="1" t="s">
        <v>65</v>
      </c>
      <c r="K383" s="1" t="s">
        <v>61</v>
      </c>
    </row>
    <row r="384" spans="1:11" customFormat="1" ht="14.5" x14ac:dyDescent="0.35">
      <c r="A384" s="1" t="s">
        <v>3</v>
      </c>
      <c r="B384" s="1" t="s">
        <v>961</v>
      </c>
      <c r="C384" s="1" t="s">
        <v>975</v>
      </c>
      <c r="D384" s="1">
        <v>2</v>
      </c>
      <c r="E384" s="1" t="s">
        <v>978</v>
      </c>
      <c r="F384" s="1" t="s">
        <v>979</v>
      </c>
      <c r="G384" s="1" t="s">
        <v>73</v>
      </c>
      <c r="H384" s="1" t="s">
        <v>74</v>
      </c>
      <c r="I384" s="1">
        <v>39</v>
      </c>
      <c r="J384" s="1" t="s">
        <v>60</v>
      </c>
      <c r="K384" s="1" t="s">
        <v>61</v>
      </c>
    </row>
    <row r="385" spans="1:11" customFormat="1" ht="14.5" x14ac:dyDescent="0.35">
      <c r="A385" s="1" t="s">
        <v>3</v>
      </c>
      <c r="B385" s="1" t="s">
        <v>980</v>
      </c>
      <c r="C385" s="1" t="s">
        <v>981</v>
      </c>
      <c r="D385" s="1">
        <v>1</v>
      </c>
      <c r="E385" s="1" t="s">
        <v>982</v>
      </c>
      <c r="F385" s="1" t="s">
        <v>983</v>
      </c>
      <c r="G385" s="1" t="s">
        <v>586</v>
      </c>
      <c r="H385" s="1" t="s">
        <v>587</v>
      </c>
      <c r="I385" s="1">
        <v>24</v>
      </c>
      <c r="J385" s="1" t="s">
        <v>60</v>
      </c>
      <c r="K385" s="1" t="s">
        <v>121</v>
      </c>
    </row>
    <row r="386" spans="1:11" customFormat="1" ht="14.5" x14ac:dyDescent="0.35">
      <c r="A386" s="1" t="s">
        <v>3</v>
      </c>
      <c r="B386" s="1" t="s">
        <v>980</v>
      </c>
      <c r="C386" s="1" t="s">
        <v>981</v>
      </c>
      <c r="D386" s="1">
        <v>2</v>
      </c>
      <c r="E386" s="1" t="s">
        <v>984</v>
      </c>
      <c r="F386" s="1" t="s">
        <v>985</v>
      </c>
      <c r="G386" s="1" t="s">
        <v>58</v>
      </c>
      <c r="H386" s="1" t="s">
        <v>59</v>
      </c>
      <c r="I386" s="1">
        <v>41</v>
      </c>
      <c r="J386" s="1" t="s">
        <v>60</v>
      </c>
      <c r="K386" s="1" t="s">
        <v>61</v>
      </c>
    </row>
    <row r="387" spans="1:11" customFormat="1" ht="14.5" x14ac:dyDescent="0.35">
      <c r="A387" s="1" t="s">
        <v>3</v>
      </c>
      <c r="B387" s="1" t="s">
        <v>980</v>
      </c>
      <c r="C387" s="1" t="s">
        <v>981</v>
      </c>
      <c r="D387" s="1">
        <v>3</v>
      </c>
      <c r="E387" s="1" t="s">
        <v>986</v>
      </c>
      <c r="F387" s="1" t="s">
        <v>987</v>
      </c>
      <c r="G387" s="1" t="s">
        <v>73</v>
      </c>
      <c r="H387" s="1" t="s">
        <v>74</v>
      </c>
      <c r="I387" s="1">
        <v>55</v>
      </c>
      <c r="J387" s="1" t="s">
        <v>65</v>
      </c>
      <c r="K387" s="1" t="s">
        <v>61</v>
      </c>
    </row>
    <row r="388" spans="1:11" customFormat="1" ht="14.5" x14ac:dyDescent="0.35">
      <c r="A388" s="1" t="s">
        <v>3</v>
      </c>
      <c r="B388" s="1" t="s">
        <v>980</v>
      </c>
      <c r="C388" s="1" t="s">
        <v>988</v>
      </c>
      <c r="D388" s="1">
        <v>1</v>
      </c>
      <c r="E388" s="1" t="s">
        <v>989</v>
      </c>
      <c r="F388" s="1" t="s">
        <v>990</v>
      </c>
      <c r="G388" s="1" t="s">
        <v>73</v>
      </c>
      <c r="H388" s="1" t="s">
        <v>74</v>
      </c>
      <c r="I388" s="1">
        <v>46</v>
      </c>
      <c r="J388" s="1" t="s">
        <v>65</v>
      </c>
      <c r="K388" s="1" t="s">
        <v>61</v>
      </c>
    </row>
    <row r="389" spans="1:11" customFormat="1" ht="14.5" x14ac:dyDescent="0.35">
      <c r="A389" s="1" t="s">
        <v>3</v>
      </c>
      <c r="B389" s="1" t="s">
        <v>980</v>
      </c>
      <c r="C389" s="1" t="s">
        <v>988</v>
      </c>
      <c r="D389" s="1">
        <v>2</v>
      </c>
      <c r="E389" s="1" t="s">
        <v>991</v>
      </c>
      <c r="F389" s="1" t="s">
        <v>992</v>
      </c>
      <c r="G389" s="1" t="s">
        <v>58</v>
      </c>
      <c r="H389" s="1" t="s">
        <v>59</v>
      </c>
      <c r="I389" s="1">
        <v>47</v>
      </c>
      <c r="J389" s="1" t="s">
        <v>60</v>
      </c>
      <c r="K389" s="1" t="s">
        <v>61</v>
      </c>
    </row>
    <row r="390" spans="1:11" customFormat="1" ht="14.5" x14ac:dyDescent="0.35">
      <c r="A390" s="1" t="s">
        <v>3</v>
      </c>
      <c r="B390" s="1" t="s">
        <v>993</v>
      </c>
      <c r="C390" s="1" t="s">
        <v>994</v>
      </c>
      <c r="D390" s="1">
        <v>1</v>
      </c>
      <c r="E390" s="1" t="s">
        <v>995</v>
      </c>
      <c r="F390" s="1" t="s">
        <v>996</v>
      </c>
      <c r="G390" s="1" t="s">
        <v>586</v>
      </c>
      <c r="H390" s="1" t="s">
        <v>587</v>
      </c>
      <c r="I390" s="1">
        <v>42</v>
      </c>
      <c r="J390" s="1" t="s">
        <v>60</v>
      </c>
      <c r="K390" s="1" t="s">
        <v>61</v>
      </c>
    </row>
    <row r="391" spans="1:11" customFormat="1" ht="14.5" x14ac:dyDescent="0.35">
      <c r="A391" s="1" t="s">
        <v>3</v>
      </c>
      <c r="B391" s="1" t="s">
        <v>993</v>
      </c>
      <c r="C391" s="1" t="s">
        <v>994</v>
      </c>
      <c r="D391" s="1">
        <v>2</v>
      </c>
      <c r="E391" s="1" t="s">
        <v>997</v>
      </c>
      <c r="F391" s="1" t="s">
        <v>998</v>
      </c>
      <c r="G391" s="1" t="s">
        <v>58</v>
      </c>
      <c r="H391" s="1" t="s">
        <v>59</v>
      </c>
      <c r="I391" s="1">
        <v>49</v>
      </c>
      <c r="J391" s="1" t="s">
        <v>65</v>
      </c>
      <c r="K391" s="1" t="s">
        <v>61</v>
      </c>
    </row>
    <row r="392" spans="1:11" customFormat="1" ht="14.5" x14ac:dyDescent="0.35">
      <c r="A392" s="1" t="s">
        <v>3</v>
      </c>
      <c r="B392" s="1" t="s">
        <v>993</v>
      </c>
      <c r="C392" s="1" t="s">
        <v>994</v>
      </c>
      <c r="D392" s="1">
        <v>3</v>
      </c>
      <c r="E392" s="1" t="s">
        <v>999</v>
      </c>
      <c r="F392" s="1" t="s">
        <v>999</v>
      </c>
      <c r="G392" s="1" t="s">
        <v>64</v>
      </c>
      <c r="H392" s="1" t="s">
        <v>64</v>
      </c>
      <c r="I392" s="1">
        <v>49</v>
      </c>
      <c r="J392" s="1" t="s">
        <v>65</v>
      </c>
      <c r="K392" s="1" t="s">
        <v>195</v>
      </c>
    </row>
    <row r="393" spans="1:11" customFormat="1" ht="14.5" x14ac:dyDescent="0.35">
      <c r="A393" s="1" t="s">
        <v>3</v>
      </c>
      <c r="B393" s="1" t="s">
        <v>993</v>
      </c>
      <c r="C393" s="1" t="s">
        <v>994</v>
      </c>
      <c r="D393" s="1">
        <v>4</v>
      </c>
      <c r="E393" s="1" t="s">
        <v>1000</v>
      </c>
      <c r="F393" s="1" t="s">
        <v>1001</v>
      </c>
      <c r="G393" s="1" t="s">
        <v>73</v>
      </c>
      <c r="H393" s="1" t="s">
        <v>74</v>
      </c>
      <c r="I393" s="1">
        <v>62</v>
      </c>
      <c r="J393" s="1" t="s">
        <v>65</v>
      </c>
      <c r="K393" s="1" t="s">
        <v>61</v>
      </c>
    </row>
    <row r="394" spans="1:11" customFormat="1" ht="14.5" x14ac:dyDescent="0.35">
      <c r="A394" s="1" t="s">
        <v>3</v>
      </c>
      <c r="B394" s="1" t="s">
        <v>993</v>
      </c>
      <c r="C394" s="1" t="s">
        <v>1002</v>
      </c>
      <c r="D394" s="1">
        <v>1</v>
      </c>
      <c r="E394" s="1" t="s">
        <v>1003</v>
      </c>
      <c r="F394" s="1" t="s">
        <v>1003</v>
      </c>
      <c r="G394" s="1" t="s">
        <v>58</v>
      </c>
      <c r="H394" s="1" t="s">
        <v>59</v>
      </c>
      <c r="I394" s="1">
        <v>45</v>
      </c>
      <c r="J394" s="1" t="s">
        <v>65</v>
      </c>
      <c r="K394" s="1" t="s">
        <v>121</v>
      </c>
    </row>
    <row r="395" spans="1:11" customFormat="1" ht="14.5" x14ac:dyDescent="0.35">
      <c r="A395" s="1" t="s">
        <v>3</v>
      </c>
      <c r="B395" s="1" t="s">
        <v>993</v>
      </c>
      <c r="C395" s="1" t="s">
        <v>1002</v>
      </c>
      <c r="D395" s="1">
        <v>2</v>
      </c>
      <c r="E395" s="1" t="s">
        <v>1004</v>
      </c>
      <c r="F395" s="1" t="s">
        <v>1004</v>
      </c>
      <c r="G395" s="1" t="s">
        <v>73</v>
      </c>
      <c r="H395" s="1" t="s">
        <v>74</v>
      </c>
      <c r="I395" s="1">
        <v>46</v>
      </c>
      <c r="J395" s="1" t="s">
        <v>65</v>
      </c>
      <c r="K395" s="1" t="s">
        <v>121</v>
      </c>
    </row>
    <row r="396" spans="1:11" customFormat="1" ht="14.5" x14ac:dyDescent="0.35">
      <c r="A396" s="1" t="s">
        <v>3</v>
      </c>
      <c r="B396" s="1" t="s">
        <v>1005</v>
      </c>
      <c r="C396" s="1" t="s">
        <v>1006</v>
      </c>
      <c r="D396" s="1">
        <v>1</v>
      </c>
      <c r="E396" s="1" t="s">
        <v>1007</v>
      </c>
      <c r="F396" s="1" t="s">
        <v>1008</v>
      </c>
      <c r="G396" s="1" t="s">
        <v>67</v>
      </c>
      <c r="H396" s="1" t="s">
        <v>68</v>
      </c>
      <c r="I396" s="1">
        <v>58</v>
      </c>
      <c r="J396" s="1" t="s">
        <v>65</v>
      </c>
      <c r="K396" s="1" t="s">
        <v>61</v>
      </c>
    </row>
    <row r="397" spans="1:11" customFormat="1" ht="14.5" x14ac:dyDescent="0.35">
      <c r="A397" s="1" t="s">
        <v>3</v>
      </c>
      <c r="B397" s="1" t="s">
        <v>1005</v>
      </c>
      <c r="C397" s="1" t="s">
        <v>1006</v>
      </c>
      <c r="D397" s="1">
        <v>2</v>
      </c>
      <c r="E397" s="1" t="s">
        <v>1009</v>
      </c>
      <c r="F397" s="1" t="s">
        <v>1010</v>
      </c>
      <c r="G397" s="1" t="s">
        <v>586</v>
      </c>
      <c r="H397" s="1" t="s">
        <v>587</v>
      </c>
      <c r="I397" s="1">
        <v>34</v>
      </c>
      <c r="J397" s="1" t="s">
        <v>65</v>
      </c>
      <c r="K397" s="1" t="s">
        <v>61</v>
      </c>
    </row>
    <row r="398" spans="1:11" customFormat="1" ht="14.5" x14ac:dyDescent="0.35">
      <c r="A398" s="1" t="s">
        <v>3</v>
      </c>
      <c r="B398" s="1" t="s">
        <v>1005</v>
      </c>
      <c r="C398" s="1" t="s">
        <v>1006</v>
      </c>
      <c r="D398" s="1">
        <v>3</v>
      </c>
      <c r="E398" s="1" t="s">
        <v>1011</v>
      </c>
      <c r="F398" s="1" t="s">
        <v>1012</v>
      </c>
      <c r="G398" s="1" t="s">
        <v>58</v>
      </c>
      <c r="H398" s="1" t="s">
        <v>59</v>
      </c>
      <c r="I398" s="1">
        <v>55</v>
      </c>
      <c r="J398" s="1" t="s">
        <v>65</v>
      </c>
      <c r="K398" s="1" t="s">
        <v>61</v>
      </c>
    </row>
    <row r="399" spans="1:11" customFormat="1" ht="14.5" x14ac:dyDescent="0.35">
      <c r="A399" s="1" t="s">
        <v>3</v>
      </c>
      <c r="B399" s="1" t="s">
        <v>1005</v>
      </c>
      <c r="C399" s="1" t="s">
        <v>1013</v>
      </c>
      <c r="D399" s="1">
        <v>1</v>
      </c>
      <c r="E399" s="1" t="s">
        <v>1014</v>
      </c>
      <c r="F399" s="1" t="s">
        <v>1015</v>
      </c>
      <c r="G399" s="1" t="s">
        <v>67</v>
      </c>
      <c r="H399" s="1" t="s">
        <v>68</v>
      </c>
      <c r="I399" s="1">
        <v>50</v>
      </c>
      <c r="J399" s="1" t="s">
        <v>60</v>
      </c>
      <c r="K399" s="1" t="s">
        <v>61</v>
      </c>
    </row>
    <row r="400" spans="1:11" customFormat="1" ht="14.5" x14ac:dyDescent="0.35">
      <c r="A400" s="1" t="s">
        <v>3</v>
      </c>
      <c r="B400" s="1" t="s">
        <v>1005</v>
      </c>
      <c r="C400" s="1" t="s">
        <v>1013</v>
      </c>
      <c r="D400" s="1">
        <v>2</v>
      </c>
      <c r="E400" s="1" t="s">
        <v>1016</v>
      </c>
      <c r="F400" s="1" t="s">
        <v>1017</v>
      </c>
      <c r="G400" s="1" t="s">
        <v>58</v>
      </c>
      <c r="H400" s="1" t="s">
        <v>59</v>
      </c>
      <c r="I400" s="1">
        <v>49</v>
      </c>
      <c r="J400" s="1" t="s">
        <v>65</v>
      </c>
      <c r="K400" s="1" t="s">
        <v>61</v>
      </c>
    </row>
    <row r="401" spans="1:11" customFormat="1" ht="14.5" x14ac:dyDescent="0.35">
      <c r="A401" s="1" t="s">
        <v>3</v>
      </c>
      <c r="B401" s="1" t="s">
        <v>1018</v>
      </c>
      <c r="C401" s="1" t="s">
        <v>1019</v>
      </c>
      <c r="D401" s="1">
        <v>1</v>
      </c>
      <c r="E401" s="1" t="s">
        <v>1020</v>
      </c>
      <c r="F401" s="1" t="s">
        <v>1021</v>
      </c>
      <c r="G401" s="1" t="s">
        <v>73</v>
      </c>
      <c r="H401" s="1" t="s">
        <v>74</v>
      </c>
      <c r="I401" s="1">
        <v>59</v>
      </c>
      <c r="J401" s="1" t="s">
        <v>65</v>
      </c>
      <c r="K401" s="1" t="s">
        <v>121</v>
      </c>
    </row>
    <row r="402" spans="1:11" customFormat="1" ht="14.5" x14ac:dyDescent="0.35">
      <c r="A402" s="1" t="s">
        <v>3</v>
      </c>
      <c r="B402" s="1" t="s">
        <v>1018</v>
      </c>
      <c r="C402" s="1" t="s">
        <v>1019</v>
      </c>
      <c r="D402" s="1">
        <v>2</v>
      </c>
      <c r="E402" s="1" t="s">
        <v>1022</v>
      </c>
      <c r="F402" s="1" t="s">
        <v>1023</v>
      </c>
      <c r="G402" s="1" t="s">
        <v>58</v>
      </c>
      <c r="H402" s="1" t="s">
        <v>59</v>
      </c>
      <c r="I402" s="1">
        <v>66</v>
      </c>
      <c r="J402" s="1" t="s">
        <v>65</v>
      </c>
      <c r="K402" s="1" t="s">
        <v>121</v>
      </c>
    </row>
    <row r="403" spans="1:11" customFormat="1" ht="14.5" x14ac:dyDescent="0.35">
      <c r="A403" s="1" t="s">
        <v>3</v>
      </c>
      <c r="B403" s="1" t="s">
        <v>1018</v>
      </c>
      <c r="C403" s="1" t="s">
        <v>1019</v>
      </c>
      <c r="D403" s="1">
        <v>3</v>
      </c>
      <c r="E403" s="1" t="s">
        <v>1024</v>
      </c>
      <c r="F403" s="1" t="s">
        <v>1025</v>
      </c>
      <c r="G403" s="1" t="s">
        <v>1026</v>
      </c>
      <c r="H403" s="1" t="s">
        <v>1027</v>
      </c>
      <c r="I403" s="1">
        <v>57</v>
      </c>
      <c r="J403" s="1" t="s">
        <v>65</v>
      </c>
      <c r="K403" s="1" t="s">
        <v>195</v>
      </c>
    </row>
    <row r="404" spans="1:11" customFormat="1" ht="14.5" x14ac:dyDescent="0.35">
      <c r="A404" s="1" t="s">
        <v>3</v>
      </c>
      <c r="B404" s="1" t="s">
        <v>1018</v>
      </c>
      <c r="C404" s="1" t="s">
        <v>1028</v>
      </c>
      <c r="D404" s="1">
        <v>1</v>
      </c>
      <c r="E404" s="1" t="s">
        <v>1029</v>
      </c>
      <c r="F404" s="1" t="s">
        <v>1030</v>
      </c>
      <c r="G404" s="1" t="s">
        <v>58</v>
      </c>
      <c r="H404" s="1" t="s">
        <v>59</v>
      </c>
      <c r="I404" s="1">
        <v>58</v>
      </c>
      <c r="J404" s="1" t="s">
        <v>65</v>
      </c>
      <c r="K404" s="1" t="s">
        <v>61</v>
      </c>
    </row>
    <row r="405" spans="1:11" customFormat="1" ht="14.5" x14ac:dyDescent="0.35">
      <c r="A405" s="1" t="s">
        <v>3</v>
      </c>
      <c r="B405" s="1" t="s">
        <v>1018</v>
      </c>
      <c r="C405" s="1" t="s">
        <v>1028</v>
      </c>
      <c r="D405" s="1">
        <v>2</v>
      </c>
      <c r="E405" s="1" t="s">
        <v>1031</v>
      </c>
      <c r="F405" s="1" t="s">
        <v>1032</v>
      </c>
      <c r="G405" s="1" t="s">
        <v>73</v>
      </c>
      <c r="H405" s="1" t="s">
        <v>74</v>
      </c>
      <c r="I405" s="1">
        <v>56</v>
      </c>
      <c r="J405" s="1" t="s">
        <v>65</v>
      </c>
      <c r="K405" s="1" t="s">
        <v>61</v>
      </c>
    </row>
    <row r="406" spans="1:11" customFormat="1" ht="14.5" x14ac:dyDescent="0.35">
      <c r="A406" s="1" t="s">
        <v>3</v>
      </c>
      <c r="B406" s="1" t="s">
        <v>1018</v>
      </c>
      <c r="C406" s="1" t="s">
        <v>1033</v>
      </c>
      <c r="D406" s="1">
        <v>1</v>
      </c>
      <c r="E406" s="1" t="s">
        <v>1034</v>
      </c>
      <c r="F406" s="1" t="s">
        <v>1035</v>
      </c>
      <c r="G406" s="1" t="s">
        <v>73</v>
      </c>
      <c r="H406" s="1" t="s">
        <v>74</v>
      </c>
      <c r="I406" s="1">
        <v>35</v>
      </c>
      <c r="J406" s="1" t="s">
        <v>65</v>
      </c>
      <c r="K406" s="1" t="s">
        <v>121</v>
      </c>
    </row>
    <row r="407" spans="1:11" customFormat="1" ht="14.5" x14ac:dyDescent="0.35">
      <c r="A407" s="1" t="s">
        <v>3</v>
      </c>
      <c r="B407" s="1" t="s">
        <v>1018</v>
      </c>
      <c r="C407" s="1" t="s">
        <v>1033</v>
      </c>
      <c r="D407" s="1">
        <v>2</v>
      </c>
      <c r="E407" s="1" t="s">
        <v>1036</v>
      </c>
      <c r="F407" s="1" t="s">
        <v>1037</v>
      </c>
      <c r="G407" s="1" t="s">
        <v>58</v>
      </c>
      <c r="H407" s="1" t="s">
        <v>59</v>
      </c>
      <c r="I407" s="1">
        <v>45</v>
      </c>
      <c r="J407" s="1" t="s">
        <v>65</v>
      </c>
      <c r="K407" s="1" t="s">
        <v>121</v>
      </c>
    </row>
    <row r="408" spans="1:11" customFormat="1" ht="14.5" x14ac:dyDescent="0.35">
      <c r="A408" s="1" t="s">
        <v>3</v>
      </c>
      <c r="B408" s="1" t="s">
        <v>1038</v>
      </c>
      <c r="C408" s="1" t="s">
        <v>1039</v>
      </c>
      <c r="D408" s="1">
        <v>1</v>
      </c>
      <c r="E408" s="1" t="s">
        <v>1040</v>
      </c>
      <c r="F408" s="1" t="s">
        <v>1041</v>
      </c>
      <c r="G408" s="1" t="s">
        <v>58</v>
      </c>
      <c r="H408" s="1" t="s">
        <v>59</v>
      </c>
      <c r="I408" s="1">
        <v>31</v>
      </c>
      <c r="J408" s="1" t="s">
        <v>65</v>
      </c>
      <c r="K408" s="1" t="s">
        <v>121</v>
      </c>
    </row>
    <row r="409" spans="1:11" customFormat="1" ht="14.5" x14ac:dyDescent="0.35">
      <c r="A409" s="1" t="s">
        <v>3</v>
      </c>
      <c r="B409" s="1" t="s">
        <v>1038</v>
      </c>
      <c r="C409" s="1" t="s">
        <v>1039</v>
      </c>
      <c r="D409" s="1">
        <v>2</v>
      </c>
      <c r="E409" s="1" t="s">
        <v>1042</v>
      </c>
      <c r="F409" s="1" t="s">
        <v>1043</v>
      </c>
      <c r="G409" s="1" t="s">
        <v>64</v>
      </c>
      <c r="H409" s="1" t="s">
        <v>64</v>
      </c>
      <c r="I409" s="1">
        <v>42</v>
      </c>
      <c r="J409" s="1" t="s">
        <v>65</v>
      </c>
      <c r="K409" s="1" t="s">
        <v>121</v>
      </c>
    </row>
    <row r="410" spans="1:11" customFormat="1" ht="14.5" x14ac:dyDescent="0.35">
      <c r="A410" s="1" t="s">
        <v>3</v>
      </c>
      <c r="B410" s="1" t="s">
        <v>1038</v>
      </c>
      <c r="C410" s="1" t="s">
        <v>1039</v>
      </c>
      <c r="D410" s="1">
        <v>3</v>
      </c>
      <c r="E410" s="1" t="s">
        <v>1044</v>
      </c>
      <c r="F410" s="1" t="s">
        <v>1044</v>
      </c>
      <c r="G410" s="1" t="s">
        <v>73</v>
      </c>
      <c r="H410" s="1" t="s">
        <v>74</v>
      </c>
      <c r="I410" s="1">
        <v>38</v>
      </c>
      <c r="J410" s="1" t="s">
        <v>60</v>
      </c>
      <c r="K410" s="1" t="s">
        <v>121</v>
      </c>
    </row>
    <row r="411" spans="1:11" customFormat="1" ht="14.5" x14ac:dyDescent="0.35">
      <c r="A411" s="1" t="s">
        <v>3</v>
      </c>
      <c r="B411" s="1" t="s">
        <v>1038</v>
      </c>
      <c r="C411" s="1" t="s">
        <v>1045</v>
      </c>
      <c r="D411" s="1">
        <v>1</v>
      </c>
      <c r="E411" s="1" t="s">
        <v>1046</v>
      </c>
      <c r="F411" s="1" t="s">
        <v>1047</v>
      </c>
      <c r="G411" s="1" t="s">
        <v>586</v>
      </c>
      <c r="H411" s="1" t="s">
        <v>587</v>
      </c>
      <c r="I411" s="1">
        <v>33</v>
      </c>
      <c r="J411" s="1" t="s">
        <v>65</v>
      </c>
      <c r="K411" s="1" t="s">
        <v>61</v>
      </c>
    </row>
    <row r="412" spans="1:11" customFormat="1" ht="14.5" x14ac:dyDescent="0.35">
      <c r="A412" s="1" t="s">
        <v>3</v>
      </c>
      <c r="B412" s="1" t="s">
        <v>1038</v>
      </c>
      <c r="C412" s="1" t="s">
        <v>1045</v>
      </c>
      <c r="D412" s="1">
        <v>2</v>
      </c>
      <c r="E412" s="1" t="s">
        <v>1048</v>
      </c>
      <c r="F412" s="1" t="s">
        <v>1049</v>
      </c>
      <c r="G412" s="1" t="s">
        <v>58</v>
      </c>
      <c r="H412" s="1" t="s">
        <v>59</v>
      </c>
      <c r="I412" s="1">
        <v>55</v>
      </c>
      <c r="J412" s="1" t="s">
        <v>65</v>
      </c>
      <c r="K412" s="1" t="s">
        <v>61</v>
      </c>
    </row>
    <row r="413" spans="1:11" customFormat="1" ht="14.5" x14ac:dyDescent="0.35">
      <c r="A413" s="1" t="s">
        <v>3</v>
      </c>
      <c r="B413" s="1" t="s">
        <v>1038</v>
      </c>
      <c r="C413" s="1" t="s">
        <v>1045</v>
      </c>
      <c r="D413" s="1">
        <v>3</v>
      </c>
      <c r="E413" s="1" t="s">
        <v>1050</v>
      </c>
      <c r="F413" s="1" t="s">
        <v>1051</v>
      </c>
      <c r="G413" s="1" t="s">
        <v>73</v>
      </c>
      <c r="H413" s="1" t="s">
        <v>74</v>
      </c>
      <c r="I413" s="1">
        <v>44</v>
      </c>
      <c r="J413" s="1" t="s">
        <v>65</v>
      </c>
      <c r="K413" s="1" t="s">
        <v>61</v>
      </c>
    </row>
    <row r="414" spans="1:11" customFormat="1" ht="14.5" x14ac:dyDescent="0.35">
      <c r="A414" s="1" t="s">
        <v>3</v>
      </c>
      <c r="B414" s="1" t="s">
        <v>1052</v>
      </c>
      <c r="C414" s="1" t="s">
        <v>1053</v>
      </c>
      <c r="D414" s="1">
        <v>1</v>
      </c>
      <c r="E414" s="1" t="s">
        <v>1054</v>
      </c>
      <c r="F414" s="1" t="s">
        <v>1054</v>
      </c>
      <c r="G414" s="1" t="s">
        <v>73</v>
      </c>
      <c r="H414" s="1" t="s">
        <v>74</v>
      </c>
      <c r="I414" s="1">
        <v>53</v>
      </c>
      <c r="J414" s="1" t="s">
        <v>65</v>
      </c>
      <c r="K414" s="1" t="s">
        <v>121</v>
      </c>
    </row>
    <row r="415" spans="1:11" customFormat="1" ht="14.5" x14ac:dyDescent="0.35">
      <c r="A415" s="1" t="s">
        <v>3</v>
      </c>
      <c r="B415" s="1" t="s">
        <v>1052</v>
      </c>
      <c r="C415" s="1" t="s">
        <v>1053</v>
      </c>
      <c r="D415" s="1">
        <v>2</v>
      </c>
      <c r="E415" s="1" t="s">
        <v>1055</v>
      </c>
      <c r="F415" s="1" t="s">
        <v>1055</v>
      </c>
      <c r="G415" s="1" t="s">
        <v>58</v>
      </c>
      <c r="H415" s="1" t="s">
        <v>59</v>
      </c>
      <c r="I415" s="1">
        <v>50</v>
      </c>
      <c r="J415" s="1" t="s">
        <v>65</v>
      </c>
      <c r="K415" s="1" t="s">
        <v>121</v>
      </c>
    </row>
    <row r="416" spans="1:11" customFormat="1" ht="14.5" x14ac:dyDescent="0.35">
      <c r="A416" s="1" t="s">
        <v>3</v>
      </c>
      <c r="B416" s="1" t="s">
        <v>1052</v>
      </c>
      <c r="C416" s="1" t="s">
        <v>1056</v>
      </c>
      <c r="D416" s="1">
        <v>1</v>
      </c>
      <c r="E416" s="1" t="s">
        <v>1057</v>
      </c>
      <c r="F416" s="1" t="s">
        <v>1057</v>
      </c>
      <c r="G416" s="1" t="s">
        <v>73</v>
      </c>
      <c r="H416" s="1" t="s">
        <v>74</v>
      </c>
      <c r="I416" s="1">
        <v>34</v>
      </c>
      <c r="J416" s="1" t="s">
        <v>60</v>
      </c>
      <c r="K416" s="1" t="s">
        <v>121</v>
      </c>
    </row>
    <row r="417" spans="1:11" customFormat="1" ht="14.5" x14ac:dyDescent="0.35">
      <c r="A417" s="1" t="s">
        <v>3</v>
      </c>
      <c r="B417" s="1" t="s">
        <v>1052</v>
      </c>
      <c r="C417" s="1" t="s">
        <v>1056</v>
      </c>
      <c r="D417" s="1">
        <v>2</v>
      </c>
      <c r="E417" s="1" t="s">
        <v>1058</v>
      </c>
      <c r="F417" s="1" t="s">
        <v>1059</v>
      </c>
      <c r="G417" s="1" t="s">
        <v>58</v>
      </c>
      <c r="H417" s="1" t="s">
        <v>59</v>
      </c>
      <c r="I417" s="1">
        <v>56</v>
      </c>
      <c r="J417" s="1" t="s">
        <v>65</v>
      </c>
      <c r="K417" s="1" t="s">
        <v>195</v>
      </c>
    </row>
    <row r="418" spans="1:11" customFormat="1" ht="14.5" x14ac:dyDescent="0.35">
      <c r="A418" s="1" t="s">
        <v>3</v>
      </c>
      <c r="B418" s="1" t="s">
        <v>1052</v>
      </c>
      <c r="C418" s="1" t="s">
        <v>1056</v>
      </c>
      <c r="D418" s="1">
        <v>3</v>
      </c>
      <c r="E418" s="1" t="s">
        <v>1060</v>
      </c>
      <c r="F418" s="1" t="s">
        <v>1061</v>
      </c>
      <c r="G418" s="1" t="s">
        <v>586</v>
      </c>
      <c r="H418" s="1" t="s">
        <v>587</v>
      </c>
      <c r="I418" s="1">
        <v>28</v>
      </c>
      <c r="J418" s="1" t="s">
        <v>65</v>
      </c>
      <c r="K418" s="1" t="s">
        <v>61</v>
      </c>
    </row>
    <row r="419" spans="1:11" customFormat="1" ht="14.5" x14ac:dyDescent="0.35">
      <c r="A419" s="1" t="s">
        <v>3</v>
      </c>
      <c r="B419" s="1" t="s">
        <v>1062</v>
      </c>
      <c r="C419" s="1" t="s">
        <v>1063</v>
      </c>
      <c r="D419" s="1">
        <v>1</v>
      </c>
      <c r="E419" s="1" t="s">
        <v>1064</v>
      </c>
      <c r="F419" s="1" t="s">
        <v>1064</v>
      </c>
      <c r="G419" s="1" t="s">
        <v>64</v>
      </c>
      <c r="H419" s="1" t="s">
        <v>64</v>
      </c>
      <c r="I419" s="1">
        <v>30</v>
      </c>
      <c r="J419" s="1" t="s">
        <v>65</v>
      </c>
      <c r="K419" s="1" t="s">
        <v>195</v>
      </c>
    </row>
    <row r="420" spans="1:11" customFormat="1" ht="14.5" x14ac:dyDescent="0.35">
      <c r="A420" s="1" t="s">
        <v>3</v>
      </c>
      <c r="B420" s="1" t="s">
        <v>1062</v>
      </c>
      <c r="C420" s="1" t="s">
        <v>1063</v>
      </c>
      <c r="D420" s="1">
        <v>2</v>
      </c>
      <c r="E420" s="1" t="s">
        <v>1065</v>
      </c>
      <c r="F420" s="1" t="s">
        <v>1066</v>
      </c>
      <c r="G420" s="1" t="s">
        <v>586</v>
      </c>
      <c r="H420" s="1" t="s">
        <v>587</v>
      </c>
      <c r="I420" s="1">
        <v>34</v>
      </c>
      <c r="J420" s="1" t="s">
        <v>65</v>
      </c>
      <c r="K420" s="1" t="s">
        <v>121</v>
      </c>
    </row>
    <row r="421" spans="1:11" customFormat="1" ht="14.5" x14ac:dyDescent="0.35">
      <c r="A421" s="1" t="s">
        <v>3</v>
      </c>
      <c r="B421" s="1" t="s">
        <v>1062</v>
      </c>
      <c r="C421" s="1" t="s">
        <v>1063</v>
      </c>
      <c r="D421" s="1">
        <v>3</v>
      </c>
      <c r="E421" s="1" t="s">
        <v>1067</v>
      </c>
      <c r="F421" s="1" t="s">
        <v>1068</v>
      </c>
      <c r="G421" s="1" t="s">
        <v>73</v>
      </c>
      <c r="H421" s="1" t="s">
        <v>74</v>
      </c>
      <c r="I421" s="1">
        <v>50</v>
      </c>
      <c r="J421" s="1" t="s">
        <v>65</v>
      </c>
      <c r="K421" s="1" t="s">
        <v>61</v>
      </c>
    </row>
    <row r="422" spans="1:11" customFormat="1" ht="14.5" x14ac:dyDescent="0.35">
      <c r="A422" s="1" t="s">
        <v>3</v>
      </c>
      <c r="B422" s="1" t="s">
        <v>1062</v>
      </c>
      <c r="C422" s="1" t="s">
        <v>1063</v>
      </c>
      <c r="D422" s="1">
        <v>4</v>
      </c>
      <c r="E422" s="1" t="s">
        <v>1069</v>
      </c>
      <c r="F422" s="1" t="s">
        <v>1070</v>
      </c>
      <c r="G422" s="1" t="s">
        <v>58</v>
      </c>
      <c r="H422" s="1" t="s">
        <v>59</v>
      </c>
      <c r="I422" s="1">
        <v>52</v>
      </c>
      <c r="J422" s="1" t="s">
        <v>65</v>
      </c>
      <c r="K422" s="1" t="s">
        <v>61</v>
      </c>
    </row>
    <row r="423" spans="1:11" customFormat="1" ht="14.5" x14ac:dyDescent="0.35">
      <c r="A423" s="1" t="s">
        <v>3</v>
      </c>
      <c r="B423" s="1" t="s">
        <v>1062</v>
      </c>
      <c r="C423" s="1" t="s">
        <v>1071</v>
      </c>
      <c r="D423" s="1">
        <v>1</v>
      </c>
      <c r="E423" s="1" t="s">
        <v>1072</v>
      </c>
      <c r="F423" s="1" t="s">
        <v>1073</v>
      </c>
      <c r="G423" s="1" t="s">
        <v>73</v>
      </c>
      <c r="H423" s="1" t="s">
        <v>74</v>
      </c>
      <c r="I423" s="1">
        <v>57</v>
      </c>
      <c r="J423" s="1" t="s">
        <v>65</v>
      </c>
      <c r="K423" s="1" t="s">
        <v>61</v>
      </c>
    </row>
    <row r="424" spans="1:11" customFormat="1" ht="14.5" x14ac:dyDescent="0.35">
      <c r="A424" s="1" t="s">
        <v>3</v>
      </c>
      <c r="B424" s="1" t="s">
        <v>1062</v>
      </c>
      <c r="C424" s="1" t="s">
        <v>1071</v>
      </c>
      <c r="D424" s="1">
        <v>2</v>
      </c>
      <c r="E424" s="1" t="s">
        <v>1074</v>
      </c>
      <c r="F424" s="1" t="s">
        <v>1075</v>
      </c>
      <c r="G424" s="1" t="s">
        <v>58</v>
      </c>
      <c r="H424" s="1" t="s">
        <v>59</v>
      </c>
      <c r="I424" s="1">
        <v>39</v>
      </c>
      <c r="J424" s="1" t="s">
        <v>65</v>
      </c>
      <c r="K424" s="1" t="s">
        <v>61</v>
      </c>
    </row>
    <row r="425" spans="1:11" customFormat="1" ht="14.5" x14ac:dyDescent="0.35">
      <c r="A425" s="1" t="s">
        <v>3</v>
      </c>
      <c r="B425" s="1" t="s">
        <v>1062</v>
      </c>
      <c r="C425" s="1" t="s">
        <v>1076</v>
      </c>
      <c r="D425" s="1">
        <v>1</v>
      </c>
      <c r="E425" s="1" t="s">
        <v>1077</v>
      </c>
      <c r="F425" s="1" t="s">
        <v>1078</v>
      </c>
      <c r="G425" s="1" t="s">
        <v>586</v>
      </c>
      <c r="H425" s="1" t="s">
        <v>587</v>
      </c>
      <c r="I425" s="1">
        <v>46</v>
      </c>
      <c r="J425" s="1" t="s">
        <v>65</v>
      </c>
      <c r="K425" s="1" t="s">
        <v>195</v>
      </c>
    </row>
    <row r="426" spans="1:11" customFormat="1" ht="14.5" x14ac:dyDescent="0.35">
      <c r="A426" s="1" t="s">
        <v>3</v>
      </c>
      <c r="B426" s="1" t="s">
        <v>1062</v>
      </c>
      <c r="C426" s="1" t="s">
        <v>1076</v>
      </c>
      <c r="D426" s="1">
        <v>2</v>
      </c>
      <c r="E426" s="1" t="s">
        <v>1079</v>
      </c>
      <c r="F426" s="1" t="s">
        <v>1080</v>
      </c>
      <c r="G426" s="1" t="s">
        <v>58</v>
      </c>
      <c r="H426" s="1" t="s">
        <v>59</v>
      </c>
      <c r="I426" s="1">
        <v>51</v>
      </c>
      <c r="J426" s="1" t="s">
        <v>65</v>
      </c>
      <c r="K426" s="1" t="s">
        <v>195</v>
      </c>
    </row>
    <row r="427" spans="1:11" customFormat="1" ht="14.5" x14ac:dyDescent="0.35">
      <c r="A427" s="1" t="s">
        <v>3</v>
      </c>
      <c r="B427" s="1" t="s">
        <v>1062</v>
      </c>
      <c r="C427" s="1" t="s">
        <v>1076</v>
      </c>
      <c r="D427" s="1">
        <v>3</v>
      </c>
      <c r="E427" s="1" t="s">
        <v>1081</v>
      </c>
      <c r="F427" s="1" t="s">
        <v>1082</v>
      </c>
      <c r="G427" s="1" t="s">
        <v>73</v>
      </c>
      <c r="H427" s="1" t="s">
        <v>74</v>
      </c>
      <c r="I427" s="1">
        <v>43</v>
      </c>
      <c r="J427" s="1" t="s">
        <v>65</v>
      </c>
      <c r="K427" s="1" t="s">
        <v>195</v>
      </c>
    </row>
    <row r="428" spans="1:11" customFormat="1" ht="14.5" x14ac:dyDescent="0.35">
      <c r="A428" s="1" t="s">
        <v>3</v>
      </c>
      <c r="B428" s="1" t="s">
        <v>1083</v>
      </c>
      <c r="C428" s="1" t="s">
        <v>1084</v>
      </c>
      <c r="D428" s="1">
        <v>1</v>
      </c>
      <c r="E428" s="1" t="s">
        <v>1085</v>
      </c>
      <c r="F428" s="1" t="s">
        <v>1086</v>
      </c>
      <c r="G428" s="1" t="s">
        <v>58</v>
      </c>
      <c r="H428" s="1" t="s">
        <v>59</v>
      </c>
      <c r="I428" s="1">
        <v>43</v>
      </c>
      <c r="J428" s="1" t="s">
        <v>60</v>
      </c>
      <c r="K428" s="1" t="s">
        <v>121</v>
      </c>
    </row>
    <row r="429" spans="1:11" customFormat="1" ht="14.5" x14ac:dyDescent="0.35">
      <c r="A429" s="1" t="s">
        <v>3</v>
      </c>
      <c r="B429" s="1" t="s">
        <v>1083</v>
      </c>
      <c r="C429" s="1" t="s">
        <v>1084</v>
      </c>
      <c r="D429" s="1">
        <v>2</v>
      </c>
      <c r="E429" s="1" t="s">
        <v>1087</v>
      </c>
      <c r="F429" s="1" t="s">
        <v>1087</v>
      </c>
      <c r="G429" s="1" t="s">
        <v>73</v>
      </c>
      <c r="H429" s="1" t="s">
        <v>74</v>
      </c>
      <c r="I429" s="1">
        <v>35</v>
      </c>
      <c r="J429" s="1" t="s">
        <v>60</v>
      </c>
      <c r="K429" s="1" t="s">
        <v>121</v>
      </c>
    </row>
    <row r="430" spans="1:11" customFormat="1" ht="14.5" x14ac:dyDescent="0.35">
      <c r="A430" s="1" t="s">
        <v>3</v>
      </c>
      <c r="B430" s="1" t="s">
        <v>1083</v>
      </c>
      <c r="C430" s="1" t="s">
        <v>1088</v>
      </c>
      <c r="D430" s="1">
        <v>1</v>
      </c>
      <c r="E430" s="1" t="s">
        <v>1089</v>
      </c>
      <c r="F430" s="1" t="s">
        <v>1089</v>
      </c>
      <c r="G430" s="1" t="s">
        <v>73</v>
      </c>
      <c r="H430" s="1" t="s">
        <v>74</v>
      </c>
      <c r="I430" s="1">
        <v>35</v>
      </c>
      <c r="J430" s="1" t="s">
        <v>60</v>
      </c>
      <c r="K430" s="1" t="s">
        <v>61</v>
      </c>
    </row>
    <row r="431" spans="1:11" customFormat="1" ht="14.5" x14ac:dyDescent="0.35">
      <c r="A431" s="1" t="s">
        <v>3</v>
      </c>
      <c r="B431" s="1" t="s">
        <v>1083</v>
      </c>
      <c r="C431" s="1" t="s">
        <v>1088</v>
      </c>
      <c r="D431" s="1">
        <v>2</v>
      </c>
      <c r="E431" s="1" t="s">
        <v>1090</v>
      </c>
      <c r="F431" s="1" t="s">
        <v>1091</v>
      </c>
      <c r="G431" s="1" t="s">
        <v>586</v>
      </c>
      <c r="H431" s="1" t="s">
        <v>587</v>
      </c>
      <c r="I431" s="1">
        <v>28</v>
      </c>
      <c r="J431" s="1" t="s">
        <v>60</v>
      </c>
      <c r="K431" s="1" t="s">
        <v>121</v>
      </c>
    </row>
    <row r="432" spans="1:11" customFormat="1" ht="14.5" x14ac:dyDescent="0.35">
      <c r="A432" s="1" t="s">
        <v>3</v>
      </c>
      <c r="B432" s="1" t="s">
        <v>1083</v>
      </c>
      <c r="C432" s="1" t="s">
        <v>1088</v>
      </c>
      <c r="D432" s="1">
        <v>3</v>
      </c>
      <c r="E432" s="1" t="s">
        <v>1092</v>
      </c>
      <c r="F432" s="1" t="s">
        <v>1093</v>
      </c>
      <c r="G432" s="1" t="s">
        <v>58</v>
      </c>
      <c r="H432" s="1" t="s">
        <v>59</v>
      </c>
      <c r="I432" s="1">
        <v>30</v>
      </c>
      <c r="J432" s="1" t="s">
        <v>65</v>
      </c>
      <c r="K432" s="1" t="s">
        <v>61</v>
      </c>
    </row>
    <row r="433" spans="1:11" customFormat="1" ht="14.5" x14ac:dyDescent="0.35">
      <c r="A433" s="1" t="s">
        <v>3</v>
      </c>
      <c r="B433" s="1" t="s">
        <v>1083</v>
      </c>
      <c r="C433" s="1" t="s">
        <v>1094</v>
      </c>
      <c r="D433" s="1">
        <v>1</v>
      </c>
      <c r="E433" s="1" t="s">
        <v>1095</v>
      </c>
      <c r="F433" s="1" t="s">
        <v>1096</v>
      </c>
      <c r="G433" s="1" t="s">
        <v>58</v>
      </c>
      <c r="H433" s="1" t="s">
        <v>59</v>
      </c>
      <c r="I433" s="1">
        <v>38</v>
      </c>
      <c r="J433" s="1" t="s">
        <v>60</v>
      </c>
      <c r="K433" s="1" t="s">
        <v>61</v>
      </c>
    </row>
    <row r="434" spans="1:11" customFormat="1" ht="14.5" x14ac:dyDescent="0.35">
      <c r="A434" s="1" t="s">
        <v>3</v>
      </c>
      <c r="B434" s="1" t="s">
        <v>1083</v>
      </c>
      <c r="C434" s="1" t="s">
        <v>1094</v>
      </c>
      <c r="D434" s="1">
        <v>2</v>
      </c>
      <c r="E434" s="1" t="s">
        <v>1097</v>
      </c>
      <c r="F434" s="1" t="s">
        <v>1098</v>
      </c>
      <c r="G434" s="1" t="s">
        <v>73</v>
      </c>
      <c r="H434" s="1" t="s">
        <v>74</v>
      </c>
      <c r="I434" s="1">
        <v>33</v>
      </c>
      <c r="J434" s="1" t="s">
        <v>60</v>
      </c>
      <c r="K434" s="1" t="s">
        <v>121</v>
      </c>
    </row>
    <row r="435" spans="1:11" customFormat="1" ht="14.5" x14ac:dyDescent="0.35">
      <c r="A435" s="1" t="s">
        <v>3</v>
      </c>
      <c r="B435" s="1" t="s">
        <v>1099</v>
      </c>
      <c r="C435" s="1" t="s">
        <v>1100</v>
      </c>
      <c r="D435" s="1">
        <v>1</v>
      </c>
      <c r="E435" s="1" t="s">
        <v>1101</v>
      </c>
      <c r="F435" s="1" t="s">
        <v>1102</v>
      </c>
      <c r="G435" s="1" t="s">
        <v>58</v>
      </c>
      <c r="H435" s="1" t="s">
        <v>59</v>
      </c>
      <c r="I435" s="1">
        <v>57</v>
      </c>
      <c r="J435" s="1" t="s">
        <v>65</v>
      </c>
      <c r="K435" s="1" t="s">
        <v>61</v>
      </c>
    </row>
    <row r="436" spans="1:11" customFormat="1" ht="14.5" x14ac:dyDescent="0.35">
      <c r="A436" s="1" t="s">
        <v>3</v>
      </c>
      <c r="B436" s="1" t="s">
        <v>1099</v>
      </c>
      <c r="C436" s="1" t="s">
        <v>1100</v>
      </c>
      <c r="D436" s="1">
        <v>2</v>
      </c>
      <c r="E436" s="1" t="s">
        <v>1103</v>
      </c>
      <c r="F436" s="1" t="s">
        <v>1104</v>
      </c>
      <c r="G436" s="1" t="s">
        <v>73</v>
      </c>
      <c r="H436" s="1" t="s">
        <v>74</v>
      </c>
      <c r="I436" s="1">
        <v>53</v>
      </c>
      <c r="J436" s="1" t="s">
        <v>65</v>
      </c>
      <c r="K436" s="1" t="s">
        <v>61</v>
      </c>
    </row>
    <row r="437" spans="1:11" customFormat="1" ht="14.5" x14ac:dyDescent="0.35">
      <c r="A437" s="1" t="s">
        <v>3</v>
      </c>
      <c r="B437" s="1" t="s">
        <v>1099</v>
      </c>
      <c r="C437" s="1" t="s">
        <v>1100</v>
      </c>
      <c r="D437" s="1">
        <v>3</v>
      </c>
      <c r="E437" s="1" t="s">
        <v>1105</v>
      </c>
      <c r="F437" s="1" t="s">
        <v>1106</v>
      </c>
      <c r="G437" s="1" t="s">
        <v>64</v>
      </c>
      <c r="H437" s="1" t="s">
        <v>64</v>
      </c>
      <c r="I437" s="1">
        <v>35</v>
      </c>
      <c r="J437" s="1" t="s">
        <v>60</v>
      </c>
      <c r="K437" s="1" t="s">
        <v>61</v>
      </c>
    </row>
    <row r="438" spans="1:11" customFormat="1" ht="14.5" x14ac:dyDescent="0.35">
      <c r="A438" s="1" t="s">
        <v>3</v>
      </c>
      <c r="B438" s="1" t="s">
        <v>1099</v>
      </c>
      <c r="C438" s="1" t="s">
        <v>1107</v>
      </c>
      <c r="D438" s="1">
        <v>1</v>
      </c>
      <c r="E438" s="1" t="s">
        <v>1108</v>
      </c>
      <c r="F438" s="1" t="s">
        <v>1109</v>
      </c>
      <c r="G438" s="1" t="s">
        <v>73</v>
      </c>
      <c r="H438" s="1" t="s">
        <v>74</v>
      </c>
      <c r="I438" s="1">
        <v>33</v>
      </c>
      <c r="J438" s="1" t="s">
        <v>65</v>
      </c>
      <c r="K438" s="1" t="s">
        <v>61</v>
      </c>
    </row>
    <row r="439" spans="1:11" customFormat="1" ht="14.5" x14ac:dyDescent="0.35">
      <c r="A439" s="1" t="s">
        <v>3</v>
      </c>
      <c r="B439" s="1" t="s">
        <v>1099</v>
      </c>
      <c r="C439" s="1" t="s">
        <v>1107</v>
      </c>
      <c r="D439" s="1">
        <v>2</v>
      </c>
      <c r="E439" s="1" t="s">
        <v>1110</v>
      </c>
      <c r="F439" s="1" t="s">
        <v>1111</v>
      </c>
      <c r="G439" s="1" t="s">
        <v>58</v>
      </c>
      <c r="H439" s="1" t="s">
        <v>59</v>
      </c>
      <c r="I439" s="1">
        <v>44</v>
      </c>
      <c r="J439" s="1" t="s">
        <v>65</v>
      </c>
      <c r="K439" s="1" t="s">
        <v>61</v>
      </c>
    </row>
    <row r="440" spans="1:11" customFormat="1" ht="14.5" x14ac:dyDescent="0.35">
      <c r="A440" s="1" t="s">
        <v>3</v>
      </c>
      <c r="B440" s="1" t="s">
        <v>1099</v>
      </c>
      <c r="C440" s="1" t="s">
        <v>1107</v>
      </c>
      <c r="D440" s="1">
        <v>3</v>
      </c>
      <c r="E440" s="1" t="s">
        <v>1112</v>
      </c>
      <c r="F440" s="1" t="s">
        <v>1113</v>
      </c>
      <c r="G440" s="1" t="s">
        <v>1026</v>
      </c>
      <c r="H440" s="1" t="s">
        <v>1027</v>
      </c>
      <c r="I440" s="1">
        <v>55</v>
      </c>
      <c r="J440" s="1" t="s">
        <v>65</v>
      </c>
      <c r="K440" s="1" t="s">
        <v>195</v>
      </c>
    </row>
    <row r="441" spans="1:11" customFormat="1" ht="14.5" x14ac:dyDescent="0.35">
      <c r="A441" s="1" t="s">
        <v>3</v>
      </c>
      <c r="B441" s="1" t="s">
        <v>1114</v>
      </c>
      <c r="C441" s="1" t="s">
        <v>1115</v>
      </c>
      <c r="D441" s="1">
        <v>1</v>
      </c>
      <c r="E441" s="1" t="s">
        <v>1116</v>
      </c>
      <c r="F441" s="1" t="s">
        <v>1117</v>
      </c>
      <c r="G441" s="1" t="s">
        <v>58</v>
      </c>
      <c r="H441" s="1" t="s">
        <v>59</v>
      </c>
      <c r="I441" s="1">
        <v>38</v>
      </c>
      <c r="J441" s="1" t="s">
        <v>65</v>
      </c>
      <c r="K441" s="1" t="s">
        <v>61</v>
      </c>
    </row>
    <row r="442" spans="1:11" customFormat="1" ht="14.5" x14ac:dyDescent="0.35">
      <c r="A442" s="1" t="s">
        <v>3</v>
      </c>
      <c r="B442" s="1" t="s">
        <v>1114</v>
      </c>
      <c r="C442" s="1" t="s">
        <v>1115</v>
      </c>
      <c r="D442" s="1">
        <v>2</v>
      </c>
      <c r="E442" s="1" t="s">
        <v>1118</v>
      </c>
      <c r="F442" s="1" t="s">
        <v>1119</v>
      </c>
      <c r="G442" s="1" t="s">
        <v>73</v>
      </c>
      <c r="H442" s="1" t="s">
        <v>74</v>
      </c>
      <c r="I442" s="1">
        <v>39</v>
      </c>
      <c r="J442" s="1" t="s">
        <v>65</v>
      </c>
      <c r="K442" s="1" t="s">
        <v>61</v>
      </c>
    </row>
    <row r="443" spans="1:11" customFormat="1" ht="14.5" x14ac:dyDescent="0.35">
      <c r="A443" s="1" t="s">
        <v>3</v>
      </c>
      <c r="B443" s="1" t="s">
        <v>1114</v>
      </c>
      <c r="C443" s="1" t="s">
        <v>1115</v>
      </c>
      <c r="D443" s="1">
        <v>3</v>
      </c>
      <c r="E443" s="1" t="s">
        <v>1120</v>
      </c>
      <c r="F443" s="1" t="s">
        <v>1121</v>
      </c>
      <c r="G443" s="1" t="s">
        <v>586</v>
      </c>
      <c r="H443" s="1" t="s">
        <v>587</v>
      </c>
      <c r="I443" s="1">
        <v>36</v>
      </c>
      <c r="J443" s="1" t="s">
        <v>65</v>
      </c>
      <c r="K443" s="1" t="s">
        <v>61</v>
      </c>
    </row>
    <row r="444" spans="1:11" customFormat="1" ht="14.5" x14ac:dyDescent="0.35">
      <c r="A444" s="1" t="s">
        <v>3</v>
      </c>
      <c r="B444" s="1" t="s">
        <v>1114</v>
      </c>
      <c r="C444" s="1" t="s">
        <v>1122</v>
      </c>
      <c r="D444" s="1">
        <v>1</v>
      </c>
      <c r="E444" s="1" t="s">
        <v>1123</v>
      </c>
      <c r="F444" s="1" t="s">
        <v>1124</v>
      </c>
      <c r="G444" s="1" t="s">
        <v>586</v>
      </c>
      <c r="H444" s="1" t="s">
        <v>587</v>
      </c>
      <c r="I444" s="1">
        <v>36</v>
      </c>
      <c r="J444" s="1" t="s">
        <v>60</v>
      </c>
      <c r="K444" s="1" t="s">
        <v>61</v>
      </c>
    </row>
    <row r="445" spans="1:11" customFormat="1" ht="14.5" x14ac:dyDescent="0.35">
      <c r="A445" s="1" t="s">
        <v>3</v>
      </c>
      <c r="B445" s="1" t="s">
        <v>1114</v>
      </c>
      <c r="C445" s="1" t="s">
        <v>1122</v>
      </c>
      <c r="D445" s="1">
        <v>2</v>
      </c>
      <c r="E445" s="1" t="s">
        <v>1125</v>
      </c>
      <c r="F445" s="1" t="s">
        <v>1126</v>
      </c>
      <c r="G445" s="1" t="s">
        <v>73</v>
      </c>
      <c r="H445" s="1" t="s">
        <v>74</v>
      </c>
      <c r="I445" s="1">
        <v>38</v>
      </c>
      <c r="J445" s="1" t="s">
        <v>65</v>
      </c>
      <c r="K445" s="1" t="s">
        <v>61</v>
      </c>
    </row>
    <row r="446" spans="1:11" customFormat="1" ht="14.5" x14ac:dyDescent="0.35">
      <c r="A446" s="1" t="s">
        <v>3</v>
      </c>
      <c r="B446" s="1" t="s">
        <v>1114</v>
      </c>
      <c r="C446" s="1" t="s">
        <v>1122</v>
      </c>
      <c r="D446" s="1">
        <v>3</v>
      </c>
      <c r="E446" s="1" t="s">
        <v>1127</v>
      </c>
      <c r="F446" s="1" t="s">
        <v>1128</v>
      </c>
      <c r="G446" s="1" t="s">
        <v>58</v>
      </c>
      <c r="H446" s="1" t="s">
        <v>59</v>
      </c>
      <c r="I446" s="1">
        <v>51</v>
      </c>
      <c r="J446" s="1" t="s">
        <v>60</v>
      </c>
      <c r="K446" s="1" t="s">
        <v>61</v>
      </c>
    </row>
    <row r="447" spans="1:11" customFormat="1" ht="14.5" x14ac:dyDescent="0.35">
      <c r="A447" s="1" t="s">
        <v>3</v>
      </c>
      <c r="B447" s="1" t="s">
        <v>1129</v>
      </c>
      <c r="C447" s="1" t="s">
        <v>1130</v>
      </c>
      <c r="D447" s="1">
        <v>1</v>
      </c>
      <c r="E447" s="1" t="s">
        <v>1131</v>
      </c>
      <c r="F447" s="1" t="s">
        <v>1132</v>
      </c>
      <c r="G447" s="1" t="s">
        <v>58</v>
      </c>
      <c r="H447" s="1" t="s">
        <v>59</v>
      </c>
      <c r="I447" s="1">
        <v>50</v>
      </c>
      <c r="J447" s="1" t="s">
        <v>65</v>
      </c>
      <c r="K447" s="1" t="s">
        <v>61</v>
      </c>
    </row>
    <row r="448" spans="1:11" customFormat="1" ht="14.5" x14ac:dyDescent="0.35">
      <c r="A448" s="1" t="s">
        <v>3</v>
      </c>
      <c r="B448" s="1" t="s">
        <v>1129</v>
      </c>
      <c r="C448" s="1" t="s">
        <v>1130</v>
      </c>
      <c r="D448" s="1">
        <v>2</v>
      </c>
      <c r="E448" s="1" t="s">
        <v>1133</v>
      </c>
      <c r="F448" s="1" t="s">
        <v>1134</v>
      </c>
      <c r="G448" s="1" t="s">
        <v>1026</v>
      </c>
      <c r="H448" s="1" t="s">
        <v>1027</v>
      </c>
      <c r="I448" s="1">
        <v>43</v>
      </c>
      <c r="J448" s="1" t="s">
        <v>60</v>
      </c>
      <c r="K448" s="1" t="s">
        <v>195</v>
      </c>
    </row>
    <row r="449" spans="1:11" customFormat="1" ht="14.5" x14ac:dyDescent="0.35">
      <c r="A449" s="1" t="s">
        <v>3</v>
      </c>
      <c r="B449" s="1" t="s">
        <v>1129</v>
      </c>
      <c r="C449" s="1" t="s">
        <v>1130</v>
      </c>
      <c r="D449" s="1">
        <v>3</v>
      </c>
      <c r="E449" s="1" t="s">
        <v>1135</v>
      </c>
      <c r="F449" s="1" t="s">
        <v>1136</v>
      </c>
      <c r="G449" s="1" t="s">
        <v>73</v>
      </c>
      <c r="H449" s="1" t="s">
        <v>74</v>
      </c>
      <c r="I449" s="1">
        <v>63</v>
      </c>
      <c r="J449" s="1" t="s">
        <v>60</v>
      </c>
      <c r="K449" s="1" t="s">
        <v>61</v>
      </c>
    </row>
    <row r="450" spans="1:11" customFormat="1" ht="14.5" x14ac:dyDescent="0.35">
      <c r="A450" s="1" t="s">
        <v>3</v>
      </c>
      <c r="B450" s="1" t="s">
        <v>1129</v>
      </c>
      <c r="C450" s="1" t="s">
        <v>1137</v>
      </c>
      <c r="D450" s="1">
        <v>1</v>
      </c>
      <c r="E450" s="1" t="s">
        <v>1138</v>
      </c>
      <c r="F450" s="1" t="s">
        <v>1139</v>
      </c>
      <c r="G450" s="1" t="s">
        <v>73</v>
      </c>
      <c r="H450" s="1" t="s">
        <v>74</v>
      </c>
      <c r="I450" s="1">
        <v>27</v>
      </c>
      <c r="J450" s="1" t="s">
        <v>60</v>
      </c>
      <c r="K450" s="1" t="s">
        <v>61</v>
      </c>
    </row>
    <row r="451" spans="1:11" customFormat="1" ht="14.5" x14ac:dyDescent="0.35">
      <c r="A451" s="1" t="s">
        <v>3</v>
      </c>
      <c r="B451" s="1" t="s">
        <v>1129</v>
      </c>
      <c r="C451" s="1" t="s">
        <v>1137</v>
      </c>
      <c r="D451" s="1">
        <v>2</v>
      </c>
      <c r="E451" s="1" t="s">
        <v>1140</v>
      </c>
      <c r="F451" s="1" t="s">
        <v>1141</v>
      </c>
      <c r="G451" s="1" t="s">
        <v>58</v>
      </c>
      <c r="H451" s="1" t="s">
        <v>59</v>
      </c>
      <c r="I451" s="1">
        <v>53</v>
      </c>
      <c r="J451" s="1" t="s">
        <v>65</v>
      </c>
      <c r="K451" s="1" t="s">
        <v>61</v>
      </c>
    </row>
    <row r="452" spans="1:11" customFormat="1" ht="14.5" x14ac:dyDescent="0.35">
      <c r="A452" s="1" t="s">
        <v>3</v>
      </c>
      <c r="B452" s="1" t="s">
        <v>1129</v>
      </c>
      <c r="C452" s="1" t="s">
        <v>1142</v>
      </c>
      <c r="D452" s="1">
        <v>1</v>
      </c>
      <c r="E452" s="1" t="s">
        <v>1143</v>
      </c>
      <c r="F452" s="1" t="s">
        <v>1144</v>
      </c>
      <c r="G452" s="1" t="s">
        <v>58</v>
      </c>
      <c r="H452" s="1" t="s">
        <v>59</v>
      </c>
      <c r="I452" s="1">
        <v>73</v>
      </c>
      <c r="J452" s="1" t="s">
        <v>65</v>
      </c>
      <c r="K452" s="1" t="s">
        <v>61</v>
      </c>
    </row>
    <row r="453" spans="1:11" customFormat="1" ht="14.5" x14ac:dyDescent="0.35">
      <c r="A453" s="1" t="s">
        <v>3</v>
      </c>
      <c r="B453" s="1" t="s">
        <v>1129</v>
      </c>
      <c r="C453" s="1" t="s">
        <v>1142</v>
      </c>
      <c r="D453" s="1">
        <v>2</v>
      </c>
      <c r="E453" s="1" t="s">
        <v>1145</v>
      </c>
      <c r="F453" s="1" t="s">
        <v>1146</v>
      </c>
      <c r="G453" s="1" t="s">
        <v>67</v>
      </c>
      <c r="H453" s="1" t="s">
        <v>68</v>
      </c>
      <c r="I453" s="1">
        <v>56</v>
      </c>
      <c r="J453" s="1" t="s">
        <v>65</v>
      </c>
      <c r="K453" s="1" t="s">
        <v>61</v>
      </c>
    </row>
    <row r="454" spans="1:11" customFormat="1" ht="14.5" x14ac:dyDescent="0.35">
      <c r="A454" s="1" t="s">
        <v>3</v>
      </c>
      <c r="B454" s="1" t="s">
        <v>1129</v>
      </c>
      <c r="C454" s="1" t="s">
        <v>1142</v>
      </c>
      <c r="D454" s="1">
        <v>3</v>
      </c>
      <c r="E454" s="1" t="s">
        <v>1147</v>
      </c>
      <c r="F454" s="1" t="s">
        <v>1148</v>
      </c>
      <c r="G454" s="1" t="s">
        <v>213</v>
      </c>
      <c r="H454" s="1" t="s">
        <v>214</v>
      </c>
      <c r="I454" s="1">
        <v>57</v>
      </c>
      <c r="J454" s="1" t="s">
        <v>65</v>
      </c>
      <c r="K454" s="1" t="s">
        <v>61</v>
      </c>
    </row>
    <row r="455" spans="1:11" customFormat="1" ht="14.5" x14ac:dyDescent="0.35">
      <c r="A455" s="1" t="s">
        <v>3</v>
      </c>
      <c r="B455" s="1" t="s">
        <v>1149</v>
      </c>
      <c r="C455" s="1" t="s">
        <v>1150</v>
      </c>
      <c r="D455" s="1">
        <v>1</v>
      </c>
      <c r="E455" s="1" t="s">
        <v>1151</v>
      </c>
      <c r="F455" s="1" t="s">
        <v>1152</v>
      </c>
      <c r="G455" s="1" t="s">
        <v>73</v>
      </c>
      <c r="H455" s="1" t="s">
        <v>74</v>
      </c>
      <c r="I455" s="1">
        <v>50</v>
      </c>
      <c r="J455" s="1" t="s">
        <v>65</v>
      </c>
      <c r="K455" s="1" t="s">
        <v>121</v>
      </c>
    </row>
    <row r="456" spans="1:11" customFormat="1" ht="14.5" x14ac:dyDescent="0.35">
      <c r="A456" s="1" t="s">
        <v>3</v>
      </c>
      <c r="B456" s="1" t="s">
        <v>1149</v>
      </c>
      <c r="C456" s="1" t="s">
        <v>1150</v>
      </c>
      <c r="D456" s="1">
        <v>2</v>
      </c>
      <c r="E456" s="1" t="s">
        <v>1153</v>
      </c>
      <c r="F456" s="1" t="s">
        <v>1153</v>
      </c>
      <c r="G456" s="1" t="s">
        <v>58</v>
      </c>
      <c r="H456" s="1" t="s">
        <v>59</v>
      </c>
      <c r="I456" s="1">
        <v>46</v>
      </c>
      <c r="J456" s="1" t="s">
        <v>65</v>
      </c>
      <c r="K456" s="1" t="s">
        <v>121</v>
      </c>
    </row>
    <row r="457" spans="1:11" customFormat="1" ht="14.5" x14ac:dyDescent="0.35">
      <c r="A457" s="1" t="s">
        <v>3</v>
      </c>
      <c r="B457" s="1" t="s">
        <v>1149</v>
      </c>
      <c r="C457" s="1" t="s">
        <v>1154</v>
      </c>
      <c r="D457" s="1">
        <v>1</v>
      </c>
      <c r="E457" s="1" t="s">
        <v>1155</v>
      </c>
      <c r="F457" s="1" t="s">
        <v>1156</v>
      </c>
      <c r="G457" s="1" t="s">
        <v>58</v>
      </c>
      <c r="H457" s="1" t="s">
        <v>59</v>
      </c>
      <c r="I457" s="1">
        <v>59</v>
      </c>
      <c r="J457" s="1" t="s">
        <v>60</v>
      </c>
      <c r="K457" s="1" t="s">
        <v>61</v>
      </c>
    </row>
    <row r="458" spans="1:11" customFormat="1" ht="14.5" x14ac:dyDescent="0.35">
      <c r="A458" s="1" t="s">
        <v>3</v>
      </c>
      <c r="B458" s="1" t="s">
        <v>1149</v>
      </c>
      <c r="C458" s="1" t="s">
        <v>1154</v>
      </c>
      <c r="D458" s="1">
        <v>2</v>
      </c>
      <c r="E458" s="1" t="s">
        <v>1157</v>
      </c>
      <c r="F458" s="1" t="s">
        <v>1158</v>
      </c>
      <c r="G458" s="1" t="s">
        <v>213</v>
      </c>
      <c r="H458" s="1" t="s">
        <v>214</v>
      </c>
      <c r="I458" s="1">
        <v>58</v>
      </c>
      <c r="J458" s="1" t="s">
        <v>65</v>
      </c>
      <c r="K458" s="1" t="s">
        <v>61</v>
      </c>
    </row>
    <row r="459" spans="1:11" customFormat="1" ht="14.5" x14ac:dyDescent="0.35">
      <c r="A459" s="1" t="s">
        <v>3</v>
      </c>
      <c r="B459" s="1" t="s">
        <v>1149</v>
      </c>
      <c r="C459" s="1" t="s">
        <v>1154</v>
      </c>
      <c r="D459" s="1">
        <v>3</v>
      </c>
      <c r="E459" s="1" t="s">
        <v>1159</v>
      </c>
      <c r="F459" s="1" t="s">
        <v>1160</v>
      </c>
      <c r="G459" s="1" t="s">
        <v>73</v>
      </c>
      <c r="H459" s="1" t="s">
        <v>74</v>
      </c>
      <c r="I459" s="1">
        <v>51</v>
      </c>
      <c r="J459" s="1" t="s">
        <v>65</v>
      </c>
      <c r="K459" s="1" t="s">
        <v>61</v>
      </c>
    </row>
    <row r="460" spans="1:11" customFormat="1" ht="14.5" x14ac:dyDescent="0.35">
      <c r="A460" s="1" t="s">
        <v>3</v>
      </c>
      <c r="B460" s="1" t="s">
        <v>1149</v>
      </c>
      <c r="C460" s="1" t="s">
        <v>1161</v>
      </c>
      <c r="D460" s="1">
        <v>1</v>
      </c>
      <c r="E460" s="1" t="s">
        <v>1162</v>
      </c>
      <c r="F460" s="1" t="s">
        <v>1163</v>
      </c>
      <c r="G460" s="1" t="s">
        <v>73</v>
      </c>
      <c r="H460" s="1" t="s">
        <v>74</v>
      </c>
      <c r="I460" s="1">
        <v>48</v>
      </c>
      <c r="J460" s="1" t="s">
        <v>65</v>
      </c>
      <c r="K460" s="1" t="s">
        <v>121</v>
      </c>
    </row>
    <row r="461" spans="1:11" customFormat="1" ht="14.5" x14ac:dyDescent="0.35">
      <c r="A461" s="1" t="s">
        <v>3</v>
      </c>
      <c r="B461" s="1" t="s">
        <v>1149</v>
      </c>
      <c r="C461" s="1" t="s">
        <v>1161</v>
      </c>
      <c r="D461" s="1">
        <v>2</v>
      </c>
      <c r="E461" s="1" t="s">
        <v>1164</v>
      </c>
      <c r="F461" s="1" t="s">
        <v>1165</v>
      </c>
      <c r="G461" s="1" t="s">
        <v>58</v>
      </c>
      <c r="H461" s="1" t="s">
        <v>59</v>
      </c>
      <c r="I461" s="1">
        <v>49</v>
      </c>
      <c r="J461" s="1" t="s">
        <v>65</v>
      </c>
      <c r="K461" s="1" t="s">
        <v>195</v>
      </c>
    </row>
    <row r="462" spans="1:11" customFormat="1" ht="14.5" x14ac:dyDescent="0.35">
      <c r="A462" s="1" t="s">
        <v>3</v>
      </c>
      <c r="B462" s="1" t="s">
        <v>1149</v>
      </c>
      <c r="C462" s="1" t="s">
        <v>1161</v>
      </c>
      <c r="D462" s="1">
        <v>3</v>
      </c>
      <c r="E462" s="1" t="s">
        <v>1166</v>
      </c>
      <c r="F462" s="1" t="s">
        <v>1166</v>
      </c>
      <c r="G462" s="1" t="s">
        <v>213</v>
      </c>
      <c r="H462" s="1" t="s">
        <v>214</v>
      </c>
      <c r="I462" s="1">
        <v>61</v>
      </c>
      <c r="J462" s="1" t="s">
        <v>65</v>
      </c>
      <c r="K462" s="1" t="s">
        <v>121</v>
      </c>
    </row>
    <row r="463" spans="1:11" customFormat="1" ht="14.5" x14ac:dyDescent="0.35">
      <c r="A463" s="1" t="s">
        <v>3</v>
      </c>
      <c r="B463" s="1" t="s">
        <v>1167</v>
      </c>
      <c r="C463" s="1" t="s">
        <v>1168</v>
      </c>
      <c r="D463" s="1">
        <v>1</v>
      </c>
      <c r="E463" s="1" t="s">
        <v>1169</v>
      </c>
      <c r="F463" s="1" t="s">
        <v>1170</v>
      </c>
      <c r="G463" s="1" t="s">
        <v>73</v>
      </c>
      <c r="H463" s="1" t="s">
        <v>74</v>
      </c>
      <c r="I463" s="1">
        <v>61</v>
      </c>
      <c r="J463" s="1" t="s">
        <v>65</v>
      </c>
      <c r="K463" s="1" t="s">
        <v>195</v>
      </c>
    </row>
    <row r="464" spans="1:11" customFormat="1" ht="14.5" x14ac:dyDescent="0.35">
      <c r="A464" s="1" t="s">
        <v>3</v>
      </c>
      <c r="B464" s="1" t="s">
        <v>1167</v>
      </c>
      <c r="C464" s="1" t="s">
        <v>1168</v>
      </c>
      <c r="D464" s="1">
        <v>2</v>
      </c>
      <c r="E464" s="1" t="s">
        <v>1171</v>
      </c>
      <c r="F464" s="1" t="s">
        <v>1171</v>
      </c>
      <c r="G464" s="1" t="s">
        <v>58</v>
      </c>
      <c r="H464" s="1" t="s">
        <v>59</v>
      </c>
      <c r="I464" s="1">
        <v>67</v>
      </c>
      <c r="J464" s="1" t="s">
        <v>65</v>
      </c>
      <c r="K464" s="1" t="s">
        <v>195</v>
      </c>
    </row>
    <row r="465" spans="1:11" customFormat="1" ht="14.5" x14ac:dyDescent="0.35">
      <c r="A465" s="1" t="s">
        <v>3</v>
      </c>
      <c r="B465" s="1" t="s">
        <v>1167</v>
      </c>
      <c r="C465" s="1" t="s">
        <v>1168</v>
      </c>
      <c r="D465" s="1">
        <v>3</v>
      </c>
      <c r="E465" s="1" t="s">
        <v>1172</v>
      </c>
      <c r="F465" s="1" t="s">
        <v>1173</v>
      </c>
      <c r="G465" s="1" t="s">
        <v>586</v>
      </c>
      <c r="H465" s="1" t="s">
        <v>587</v>
      </c>
      <c r="I465" s="1">
        <v>26</v>
      </c>
      <c r="J465" s="1" t="s">
        <v>60</v>
      </c>
      <c r="K465" s="1" t="s">
        <v>195</v>
      </c>
    </row>
    <row r="466" spans="1:11" customFormat="1" ht="14.5" x14ac:dyDescent="0.35">
      <c r="A466" s="1" t="s">
        <v>3</v>
      </c>
      <c r="B466" s="1" t="s">
        <v>1167</v>
      </c>
      <c r="C466" s="1" t="s">
        <v>1168</v>
      </c>
      <c r="D466" s="1">
        <v>4</v>
      </c>
      <c r="E466" s="1" t="s">
        <v>1174</v>
      </c>
      <c r="F466" s="1" t="s">
        <v>1174</v>
      </c>
      <c r="G466" s="1" t="s">
        <v>213</v>
      </c>
      <c r="H466" s="1" t="s">
        <v>214</v>
      </c>
      <c r="I466" s="1">
        <v>44</v>
      </c>
      <c r="J466" s="1" t="s">
        <v>65</v>
      </c>
      <c r="K466" s="1" t="s">
        <v>195</v>
      </c>
    </row>
    <row r="467" spans="1:11" customFormat="1" ht="14.5" x14ac:dyDescent="0.35">
      <c r="A467" s="1" t="s">
        <v>3</v>
      </c>
      <c r="B467" s="1" t="s">
        <v>1167</v>
      </c>
      <c r="C467" s="1" t="s">
        <v>1175</v>
      </c>
      <c r="D467" s="1">
        <v>1</v>
      </c>
      <c r="E467" s="1" t="s">
        <v>1176</v>
      </c>
      <c r="F467" s="1" t="s">
        <v>1177</v>
      </c>
      <c r="G467" s="1" t="s">
        <v>73</v>
      </c>
      <c r="H467" s="1" t="s">
        <v>74</v>
      </c>
      <c r="I467" s="1">
        <v>54</v>
      </c>
      <c r="J467" s="1" t="s">
        <v>65</v>
      </c>
      <c r="K467" s="1" t="s">
        <v>61</v>
      </c>
    </row>
    <row r="468" spans="1:11" customFormat="1" ht="14.5" x14ac:dyDescent="0.35">
      <c r="A468" s="1" t="s">
        <v>3</v>
      </c>
      <c r="B468" s="1" t="s">
        <v>1167</v>
      </c>
      <c r="C468" s="1" t="s">
        <v>1175</v>
      </c>
      <c r="D468" s="1">
        <v>2</v>
      </c>
      <c r="E468" s="1" t="s">
        <v>1178</v>
      </c>
      <c r="F468" s="1" t="s">
        <v>1179</v>
      </c>
      <c r="G468" s="1" t="s">
        <v>58</v>
      </c>
      <c r="H468" s="1" t="s">
        <v>59</v>
      </c>
      <c r="I468" s="1">
        <v>61</v>
      </c>
      <c r="J468" s="1" t="s">
        <v>65</v>
      </c>
      <c r="K468" s="1" t="s">
        <v>61</v>
      </c>
    </row>
    <row r="469" spans="1:11" customFormat="1" ht="14.5" x14ac:dyDescent="0.35">
      <c r="A469" s="1" t="s">
        <v>3</v>
      </c>
      <c r="B469" s="1" t="s">
        <v>1167</v>
      </c>
      <c r="C469" s="1" t="s">
        <v>1175</v>
      </c>
      <c r="D469" s="1">
        <v>3</v>
      </c>
      <c r="E469" s="1" t="s">
        <v>1180</v>
      </c>
      <c r="F469" s="1" t="s">
        <v>1181</v>
      </c>
      <c r="G469" s="1" t="s">
        <v>586</v>
      </c>
      <c r="H469" s="1" t="s">
        <v>587</v>
      </c>
      <c r="I469" s="1">
        <v>27</v>
      </c>
      <c r="J469" s="1" t="s">
        <v>60</v>
      </c>
      <c r="K469" s="1" t="s">
        <v>61</v>
      </c>
    </row>
    <row r="470" spans="1:11" customFormat="1" ht="14.5" x14ac:dyDescent="0.35">
      <c r="A470" s="1" t="s">
        <v>3</v>
      </c>
      <c r="B470" s="1" t="s">
        <v>1167</v>
      </c>
      <c r="C470" s="1" t="s">
        <v>1182</v>
      </c>
      <c r="D470" s="1">
        <v>1</v>
      </c>
      <c r="E470" s="1" t="s">
        <v>1183</v>
      </c>
      <c r="F470" s="1" t="s">
        <v>1184</v>
      </c>
      <c r="G470" s="1" t="s">
        <v>73</v>
      </c>
      <c r="H470" s="1" t="s">
        <v>74</v>
      </c>
      <c r="I470" s="1">
        <v>42</v>
      </c>
      <c r="J470" s="1" t="s">
        <v>65</v>
      </c>
      <c r="K470" s="1" t="s">
        <v>195</v>
      </c>
    </row>
    <row r="471" spans="1:11" customFormat="1" ht="14.5" x14ac:dyDescent="0.35">
      <c r="A471" s="1" t="s">
        <v>3</v>
      </c>
      <c r="B471" s="1" t="s">
        <v>1167</v>
      </c>
      <c r="C471" s="1" t="s">
        <v>1182</v>
      </c>
      <c r="D471" s="1">
        <v>2</v>
      </c>
      <c r="E471" s="1" t="s">
        <v>1185</v>
      </c>
      <c r="F471" s="1" t="s">
        <v>1186</v>
      </c>
      <c r="G471" s="1" t="s">
        <v>58</v>
      </c>
      <c r="H471" s="1" t="s">
        <v>59</v>
      </c>
      <c r="I471" s="1">
        <v>55</v>
      </c>
      <c r="J471" s="1" t="s">
        <v>65</v>
      </c>
      <c r="K471" s="1" t="s">
        <v>121</v>
      </c>
    </row>
    <row r="472" spans="1:11" customFormat="1" ht="14.5" x14ac:dyDescent="0.35">
      <c r="A472" s="1" t="s">
        <v>3</v>
      </c>
      <c r="B472" s="1" t="s">
        <v>1167</v>
      </c>
      <c r="C472" s="1" t="s">
        <v>1182</v>
      </c>
      <c r="D472" s="1">
        <v>3</v>
      </c>
      <c r="E472" s="1" t="s">
        <v>1187</v>
      </c>
      <c r="F472" s="1" t="s">
        <v>1188</v>
      </c>
      <c r="G472" s="1" t="s">
        <v>213</v>
      </c>
      <c r="H472" s="1" t="s">
        <v>214</v>
      </c>
      <c r="I472" s="1">
        <v>54</v>
      </c>
      <c r="J472" s="1" t="s">
        <v>65</v>
      </c>
      <c r="K472" s="1" t="s">
        <v>195</v>
      </c>
    </row>
    <row r="473" spans="1:11" customFormat="1" ht="14.5" x14ac:dyDescent="0.35">
      <c r="A473" s="1" t="s">
        <v>3</v>
      </c>
      <c r="B473" s="1" t="s">
        <v>1189</v>
      </c>
      <c r="C473" s="1" t="s">
        <v>1190</v>
      </c>
      <c r="D473" s="1">
        <v>1</v>
      </c>
      <c r="E473" s="1" t="s">
        <v>1191</v>
      </c>
      <c r="F473" s="1" t="s">
        <v>1192</v>
      </c>
      <c r="G473" s="1" t="s">
        <v>58</v>
      </c>
      <c r="H473" s="1" t="s">
        <v>59</v>
      </c>
      <c r="I473" s="1">
        <v>59</v>
      </c>
      <c r="J473" s="1" t="s">
        <v>65</v>
      </c>
      <c r="K473" s="1" t="s">
        <v>61</v>
      </c>
    </row>
    <row r="474" spans="1:11" customFormat="1" ht="14.5" x14ac:dyDescent="0.35">
      <c r="A474" s="1" t="s">
        <v>3</v>
      </c>
      <c r="B474" s="1" t="s">
        <v>1189</v>
      </c>
      <c r="C474" s="1" t="s">
        <v>1190</v>
      </c>
      <c r="D474" s="1">
        <v>2</v>
      </c>
      <c r="E474" s="1" t="s">
        <v>1193</v>
      </c>
      <c r="F474" s="1" t="s">
        <v>1194</v>
      </c>
      <c r="G474" s="1" t="s">
        <v>67</v>
      </c>
      <c r="H474" s="1" t="s">
        <v>68</v>
      </c>
      <c r="I474" s="1">
        <v>39</v>
      </c>
      <c r="J474" s="1" t="s">
        <v>65</v>
      </c>
      <c r="K474" s="1" t="s">
        <v>61</v>
      </c>
    </row>
    <row r="475" spans="1:11" customFormat="1" ht="14.5" x14ac:dyDescent="0.35">
      <c r="A475" s="1" t="s">
        <v>3</v>
      </c>
      <c r="B475" s="1" t="s">
        <v>1189</v>
      </c>
      <c r="C475" s="1" t="s">
        <v>1195</v>
      </c>
      <c r="D475" s="1">
        <v>1</v>
      </c>
      <c r="E475" s="1" t="s">
        <v>1196</v>
      </c>
      <c r="F475" s="1" t="s">
        <v>1196</v>
      </c>
      <c r="G475" s="1" t="s">
        <v>64</v>
      </c>
      <c r="H475" s="1" t="s">
        <v>64</v>
      </c>
      <c r="I475" s="1">
        <v>24</v>
      </c>
      <c r="J475" s="1" t="s">
        <v>65</v>
      </c>
      <c r="K475" s="1" t="s">
        <v>121</v>
      </c>
    </row>
    <row r="476" spans="1:11" customFormat="1" ht="14.5" x14ac:dyDescent="0.35">
      <c r="A476" s="1" t="s">
        <v>3</v>
      </c>
      <c r="B476" s="1" t="s">
        <v>1189</v>
      </c>
      <c r="C476" s="1" t="s">
        <v>1195</v>
      </c>
      <c r="D476" s="1">
        <v>2</v>
      </c>
      <c r="E476" s="1" t="s">
        <v>1197</v>
      </c>
      <c r="F476" s="1" t="s">
        <v>1197</v>
      </c>
      <c r="G476" s="1" t="s">
        <v>58</v>
      </c>
      <c r="H476" s="1" t="s">
        <v>59</v>
      </c>
      <c r="I476" s="1">
        <v>49</v>
      </c>
      <c r="J476" s="1" t="s">
        <v>65</v>
      </c>
      <c r="K476" s="1" t="s">
        <v>195</v>
      </c>
    </row>
    <row r="477" spans="1:11" customFormat="1" ht="14.5" x14ac:dyDescent="0.35">
      <c r="A477" s="1" t="s">
        <v>3</v>
      </c>
      <c r="B477" s="1" t="s">
        <v>1189</v>
      </c>
      <c r="C477" s="1" t="s">
        <v>1195</v>
      </c>
      <c r="D477" s="1">
        <v>3</v>
      </c>
      <c r="E477" s="1" t="s">
        <v>1198</v>
      </c>
      <c r="F477" s="1" t="s">
        <v>1199</v>
      </c>
      <c r="G477" s="1" t="s">
        <v>73</v>
      </c>
      <c r="H477" s="1" t="s">
        <v>74</v>
      </c>
      <c r="I477" s="1">
        <v>49</v>
      </c>
      <c r="J477" s="1" t="s">
        <v>65</v>
      </c>
      <c r="K477" s="1" t="s">
        <v>195</v>
      </c>
    </row>
    <row r="478" spans="1:11" customFormat="1" ht="14.5" x14ac:dyDescent="0.35">
      <c r="A478" s="1" t="s">
        <v>3</v>
      </c>
      <c r="B478" s="1" t="s">
        <v>1189</v>
      </c>
      <c r="C478" s="1" t="s">
        <v>1200</v>
      </c>
      <c r="D478" s="1">
        <v>1</v>
      </c>
      <c r="E478" s="1" t="s">
        <v>1201</v>
      </c>
      <c r="F478" s="1" t="s">
        <v>1201</v>
      </c>
      <c r="G478" s="1" t="s">
        <v>58</v>
      </c>
      <c r="H478" s="1" t="s">
        <v>59</v>
      </c>
      <c r="I478" s="1">
        <v>52</v>
      </c>
      <c r="J478" s="1" t="s">
        <v>65</v>
      </c>
      <c r="K478" s="1" t="s">
        <v>61</v>
      </c>
    </row>
    <row r="479" spans="1:11" customFormat="1" ht="14.5" x14ac:dyDescent="0.35">
      <c r="A479" s="1" t="s">
        <v>3</v>
      </c>
      <c r="B479" s="1" t="s">
        <v>1189</v>
      </c>
      <c r="C479" s="1" t="s">
        <v>1200</v>
      </c>
      <c r="D479" s="1">
        <v>2</v>
      </c>
      <c r="E479" s="1" t="s">
        <v>1202</v>
      </c>
      <c r="F479" s="1" t="s">
        <v>1203</v>
      </c>
      <c r="G479" s="1" t="s">
        <v>73</v>
      </c>
      <c r="H479" s="1" t="s">
        <v>74</v>
      </c>
      <c r="I479" s="1">
        <v>57</v>
      </c>
      <c r="J479" s="1" t="s">
        <v>65</v>
      </c>
      <c r="K479" s="1" t="s">
        <v>61</v>
      </c>
    </row>
    <row r="480" spans="1:11" customFormat="1" ht="14.5" x14ac:dyDescent="0.35">
      <c r="A480" s="1" t="s">
        <v>3</v>
      </c>
      <c r="B480" s="1" t="s">
        <v>1204</v>
      </c>
      <c r="C480" s="1" t="s">
        <v>1205</v>
      </c>
      <c r="D480" s="1">
        <v>1</v>
      </c>
      <c r="E480" s="1" t="s">
        <v>1206</v>
      </c>
      <c r="F480" s="1" t="s">
        <v>1206</v>
      </c>
      <c r="G480" s="1" t="s">
        <v>58</v>
      </c>
      <c r="H480" s="1" t="s">
        <v>59</v>
      </c>
      <c r="I480" s="1">
        <v>57</v>
      </c>
      <c r="J480" s="1" t="s">
        <v>65</v>
      </c>
      <c r="K480" s="1" t="s">
        <v>61</v>
      </c>
    </row>
    <row r="481" spans="1:11" customFormat="1" ht="14.5" x14ac:dyDescent="0.35">
      <c r="A481" s="1" t="s">
        <v>3</v>
      </c>
      <c r="B481" s="1" t="s">
        <v>1204</v>
      </c>
      <c r="C481" s="1" t="s">
        <v>1205</v>
      </c>
      <c r="D481" s="1">
        <v>2</v>
      </c>
      <c r="E481" s="1" t="s">
        <v>1207</v>
      </c>
      <c r="F481" s="1" t="s">
        <v>1207</v>
      </c>
      <c r="G481" s="1" t="s">
        <v>73</v>
      </c>
      <c r="H481" s="1" t="s">
        <v>74</v>
      </c>
      <c r="I481" s="1">
        <v>62</v>
      </c>
      <c r="J481" s="1" t="s">
        <v>65</v>
      </c>
      <c r="K481" s="1" t="s">
        <v>61</v>
      </c>
    </row>
    <row r="482" spans="1:11" customFormat="1" ht="14.5" x14ac:dyDescent="0.35">
      <c r="A482" s="1" t="s">
        <v>3</v>
      </c>
      <c r="B482" s="1" t="s">
        <v>1204</v>
      </c>
      <c r="C482" s="1" t="s">
        <v>1208</v>
      </c>
      <c r="D482" s="1">
        <v>1</v>
      </c>
      <c r="E482" s="1" t="s">
        <v>1209</v>
      </c>
      <c r="F482" s="1" t="s">
        <v>1210</v>
      </c>
      <c r="G482" s="1" t="s">
        <v>1026</v>
      </c>
      <c r="H482" s="1" t="s">
        <v>1027</v>
      </c>
      <c r="I482" s="1">
        <v>37</v>
      </c>
      <c r="J482" s="1" t="s">
        <v>65</v>
      </c>
      <c r="K482" s="1" t="s">
        <v>121</v>
      </c>
    </row>
    <row r="483" spans="1:11" customFormat="1" ht="14.5" x14ac:dyDescent="0.35">
      <c r="A483" s="1" t="s">
        <v>3</v>
      </c>
      <c r="B483" s="1" t="s">
        <v>1204</v>
      </c>
      <c r="C483" s="1" t="s">
        <v>1208</v>
      </c>
      <c r="D483" s="1">
        <v>2</v>
      </c>
      <c r="E483" s="1" t="s">
        <v>1211</v>
      </c>
      <c r="F483" s="1" t="s">
        <v>1211</v>
      </c>
      <c r="G483" s="1" t="s">
        <v>67</v>
      </c>
      <c r="H483" s="1" t="s">
        <v>68</v>
      </c>
      <c r="I483" s="1">
        <v>46</v>
      </c>
      <c r="J483" s="1" t="s">
        <v>65</v>
      </c>
      <c r="K483" s="1" t="s">
        <v>61</v>
      </c>
    </row>
    <row r="484" spans="1:11" customFormat="1" ht="14.5" x14ac:dyDescent="0.35">
      <c r="A484" s="1" t="s">
        <v>3</v>
      </c>
      <c r="B484" s="1" t="s">
        <v>1204</v>
      </c>
      <c r="C484" s="1" t="s">
        <v>1208</v>
      </c>
      <c r="D484" s="1">
        <v>3</v>
      </c>
      <c r="E484" s="1" t="s">
        <v>1212</v>
      </c>
      <c r="F484" s="1" t="s">
        <v>1213</v>
      </c>
      <c r="G484" s="1" t="s">
        <v>1214</v>
      </c>
      <c r="H484" s="1" t="s">
        <v>1215</v>
      </c>
      <c r="I484" s="1">
        <v>59</v>
      </c>
      <c r="J484" s="1" t="s">
        <v>65</v>
      </c>
      <c r="K484" s="1" t="s">
        <v>61</v>
      </c>
    </row>
    <row r="485" spans="1:11" customFormat="1" ht="14.5" x14ac:dyDescent="0.35">
      <c r="A485" s="1" t="s">
        <v>3</v>
      </c>
      <c r="B485" s="1" t="s">
        <v>1204</v>
      </c>
      <c r="C485" s="1" t="s">
        <v>1208</v>
      </c>
      <c r="D485" s="1">
        <v>4</v>
      </c>
      <c r="E485" s="1" t="s">
        <v>1216</v>
      </c>
      <c r="F485" s="1" t="s">
        <v>1217</v>
      </c>
      <c r="G485" s="1" t="s">
        <v>58</v>
      </c>
      <c r="H485" s="1" t="s">
        <v>59</v>
      </c>
      <c r="I485" s="1">
        <v>65</v>
      </c>
      <c r="J485" s="1" t="s">
        <v>65</v>
      </c>
      <c r="K485" s="1" t="s">
        <v>61</v>
      </c>
    </row>
    <row r="486" spans="1:11" customFormat="1" ht="14.5" x14ac:dyDescent="0.35">
      <c r="A486" s="1" t="s">
        <v>3</v>
      </c>
      <c r="B486" s="1" t="s">
        <v>1204</v>
      </c>
      <c r="C486" s="1" t="s">
        <v>1218</v>
      </c>
      <c r="D486" s="1">
        <v>1</v>
      </c>
      <c r="E486" s="1" t="s">
        <v>1219</v>
      </c>
      <c r="F486" s="1" t="s">
        <v>1220</v>
      </c>
      <c r="G486" s="1" t="s">
        <v>58</v>
      </c>
      <c r="H486" s="1" t="s">
        <v>59</v>
      </c>
      <c r="I486" s="1">
        <v>56</v>
      </c>
      <c r="J486" s="1" t="s">
        <v>65</v>
      </c>
      <c r="K486" s="1" t="s">
        <v>61</v>
      </c>
    </row>
    <row r="487" spans="1:11" customFormat="1" ht="14.5" x14ac:dyDescent="0.35">
      <c r="A487" s="1" t="s">
        <v>3</v>
      </c>
      <c r="B487" s="1" t="s">
        <v>1204</v>
      </c>
      <c r="C487" s="1" t="s">
        <v>1218</v>
      </c>
      <c r="D487" s="1">
        <v>2</v>
      </c>
      <c r="E487" s="1" t="s">
        <v>1221</v>
      </c>
      <c r="F487" s="1" t="s">
        <v>1221</v>
      </c>
      <c r="G487" s="1" t="s">
        <v>73</v>
      </c>
      <c r="H487" s="1" t="s">
        <v>74</v>
      </c>
      <c r="I487" s="1">
        <v>49</v>
      </c>
      <c r="J487" s="1" t="s">
        <v>65</v>
      </c>
      <c r="K487" s="1" t="s">
        <v>121</v>
      </c>
    </row>
    <row r="488" spans="1:11" customFormat="1" ht="14.5" x14ac:dyDescent="0.35">
      <c r="A488" s="1" t="s">
        <v>3</v>
      </c>
      <c r="B488" s="1" t="s">
        <v>1204</v>
      </c>
      <c r="C488" s="1" t="s">
        <v>1218</v>
      </c>
      <c r="D488" s="1">
        <v>3</v>
      </c>
      <c r="E488" s="1" t="s">
        <v>1222</v>
      </c>
      <c r="F488" s="1" t="s">
        <v>1223</v>
      </c>
      <c r="G488" s="1" t="s">
        <v>64</v>
      </c>
      <c r="H488" s="1" t="s">
        <v>64</v>
      </c>
      <c r="I488" s="1">
        <v>35</v>
      </c>
      <c r="J488" s="1" t="s">
        <v>65</v>
      </c>
      <c r="K488" s="1" t="s">
        <v>195</v>
      </c>
    </row>
    <row r="489" spans="1:11" customFormat="1" ht="14.5" x14ac:dyDescent="0.35">
      <c r="A489" s="1" t="s">
        <v>1224</v>
      </c>
      <c r="B489" s="1" t="s">
        <v>1225</v>
      </c>
      <c r="C489" s="1" t="s">
        <v>1226</v>
      </c>
      <c r="D489" s="1">
        <v>1</v>
      </c>
      <c r="E489" s="1" t="s">
        <v>1227</v>
      </c>
      <c r="F489" s="1" t="s">
        <v>1227</v>
      </c>
      <c r="G489" s="1" t="s">
        <v>58</v>
      </c>
      <c r="H489" s="1" t="s">
        <v>59</v>
      </c>
      <c r="I489" s="1">
        <v>53</v>
      </c>
      <c r="J489" s="1" t="s">
        <v>65</v>
      </c>
      <c r="K489" s="1" t="s">
        <v>61</v>
      </c>
    </row>
    <row r="490" spans="1:11" customFormat="1" ht="14.5" x14ac:dyDescent="0.35">
      <c r="A490" s="1" t="s">
        <v>1224</v>
      </c>
      <c r="B490" s="1" t="s">
        <v>1225</v>
      </c>
      <c r="C490" s="1" t="s">
        <v>1226</v>
      </c>
      <c r="D490" s="1">
        <v>2</v>
      </c>
      <c r="E490" s="1" t="s">
        <v>1228</v>
      </c>
      <c r="F490" s="1" t="s">
        <v>1228</v>
      </c>
      <c r="G490" s="1" t="s">
        <v>73</v>
      </c>
      <c r="H490" s="1" t="s">
        <v>74</v>
      </c>
      <c r="I490" s="1">
        <v>47</v>
      </c>
      <c r="J490" s="1" t="s">
        <v>65</v>
      </c>
      <c r="K490" s="1" t="s">
        <v>121</v>
      </c>
    </row>
    <row r="491" spans="1:11" customFormat="1" ht="14.5" x14ac:dyDescent="0.35">
      <c r="A491" s="1" t="s">
        <v>1224</v>
      </c>
      <c r="B491" s="1" t="s">
        <v>1225</v>
      </c>
      <c r="C491" s="1" t="s">
        <v>1229</v>
      </c>
      <c r="D491" s="1">
        <v>1</v>
      </c>
      <c r="E491" s="1" t="s">
        <v>1230</v>
      </c>
      <c r="F491" s="1" t="s">
        <v>1230</v>
      </c>
      <c r="G491" s="1" t="s">
        <v>67</v>
      </c>
      <c r="H491" s="1" t="s">
        <v>68</v>
      </c>
      <c r="I491" s="1">
        <v>61</v>
      </c>
      <c r="J491" s="1" t="s">
        <v>65</v>
      </c>
      <c r="K491" s="1" t="s">
        <v>61</v>
      </c>
    </row>
    <row r="492" spans="1:11" customFormat="1" ht="14.5" x14ac:dyDescent="0.35">
      <c r="A492" s="1" t="s">
        <v>1224</v>
      </c>
      <c r="B492" s="1" t="s">
        <v>1225</v>
      </c>
      <c r="C492" s="1" t="s">
        <v>1229</v>
      </c>
      <c r="D492" s="1">
        <v>2</v>
      </c>
      <c r="E492" s="1" t="s">
        <v>1231</v>
      </c>
      <c r="F492" s="1" t="s">
        <v>1232</v>
      </c>
      <c r="G492" s="1" t="s">
        <v>58</v>
      </c>
      <c r="H492" s="1" t="s">
        <v>59</v>
      </c>
      <c r="I492" s="1">
        <v>65</v>
      </c>
      <c r="J492" s="1" t="s">
        <v>65</v>
      </c>
      <c r="K492" s="1" t="s">
        <v>61</v>
      </c>
    </row>
    <row r="493" spans="1:11" customFormat="1" ht="14.5" x14ac:dyDescent="0.35">
      <c r="A493" s="1" t="s">
        <v>1224</v>
      </c>
      <c r="B493" s="1" t="s">
        <v>1225</v>
      </c>
      <c r="C493" s="1" t="s">
        <v>1233</v>
      </c>
      <c r="D493" s="1">
        <v>1</v>
      </c>
      <c r="E493" s="1" t="s">
        <v>1234</v>
      </c>
      <c r="F493" s="1" t="s">
        <v>1235</v>
      </c>
      <c r="G493" s="1" t="s">
        <v>67</v>
      </c>
      <c r="H493" s="1" t="s">
        <v>68</v>
      </c>
      <c r="I493" s="1">
        <v>51</v>
      </c>
      <c r="J493" s="1" t="s">
        <v>65</v>
      </c>
      <c r="K493" s="1" t="s">
        <v>61</v>
      </c>
    </row>
    <row r="494" spans="1:11" customFormat="1" ht="14.5" x14ac:dyDescent="0.35">
      <c r="A494" s="1" t="s">
        <v>1224</v>
      </c>
      <c r="B494" s="1" t="s">
        <v>1225</v>
      </c>
      <c r="C494" s="1" t="s">
        <v>1233</v>
      </c>
      <c r="D494" s="1">
        <v>2</v>
      </c>
      <c r="E494" s="1" t="s">
        <v>1236</v>
      </c>
      <c r="F494" s="1" t="s">
        <v>1237</v>
      </c>
      <c r="G494" s="1" t="s">
        <v>58</v>
      </c>
      <c r="H494" s="1" t="s">
        <v>59</v>
      </c>
      <c r="I494" s="1">
        <v>45</v>
      </c>
      <c r="J494" s="1" t="s">
        <v>65</v>
      </c>
      <c r="K494" s="1" t="s">
        <v>61</v>
      </c>
    </row>
    <row r="495" spans="1:11" customFormat="1" ht="14.5" x14ac:dyDescent="0.35">
      <c r="A495" s="1" t="s">
        <v>1224</v>
      </c>
      <c r="B495" s="1" t="s">
        <v>1225</v>
      </c>
      <c r="C495" s="1" t="s">
        <v>1238</v>
      </c>
      <c r="D495" s="1">
        <v>1</v>
      </c>
      <c r="E495" s="1" t="s">
        <v>1239</v>
      </c>
      <c r="F495" s="1" t="s">
        <v>1240</v>
      </c>
      <c r="G495" s="1" t="s">
        <v>64</v>
      </c>
      <c r="H495" s="1" t="s">
        <v>64</v>
      </c>
      <c r="I495" s="1">
        <v>58</v>
      </c>
      <c r="J495" s="1" t="s">
        <v>65</v>
      </c>
      <c r="K495" s="1" t="s">
        <v>61</v>
      </c>
    </row>
    <row r="496" spans="1:11" customFormat="1" ht="14.5" x14ac:dyDescent="0.35">
      <c r="A496" s="1" t="s">
        <v>1224</v>
      </c>
      <c r="B496" s="1" t="s">
        <v>1225</v>
      </c>
      <c r="C496" s="1" t="s">
        <v>1238</v>
      </c>
      <c r="D496" s="1">
        <v>2</v>
      </c>
      <c r="E496" s="1" t="s">
        <v>1241</v>
      </c>
      <c r="F496" s="1" t="s">
        <v>1241</v>
      </c>
      <c r="G496" s="1" t="s">
        <v>58</v>
      </c>
      <c r="H496" s="1" t="s">
        <v>59</v>
      </c>
      <c r="I496" s="1">
        <v>37</v>
      </c>
      <c r="J496" s="1" t="s">
        <v>65</v>
      </c>
      <c r="K496" s="1" t="s">
        <v>61</v>
      </c>
    </row>
    <row r="497" spans="1:11" customFormat="1" ht="14.5" x14ac:dyDescent="0.35">
      <c r="A497" s="1" t="s">
        <v>1224</v>
      </c>
      <c r="B497" s="1" t="s">
        <v>1225</v>
      </c>
      <c r="C497" s="1" t="s">
        <v>1238</v>
      </c>
      <c r="D497" s="1">
        <v>3</v>
      </c>
      <c r="E497" s="1" t="s">
        <v>1242</v>
      </c>
      <c r="F497" s="1" t="s">
        <v>1243</v>
      </c>
      <c r="G497" s="1" t="s">
        <v>73</v>
      </c>
      <c r="H497" s="1" t="s">
        <v>74</v>
      </c>
      <c r="I497" s="1">
        <v>65</v>
      </c>
      <c r="J497" s="1" t="s">
        <v>65</v>
      </c>
      <c r="K497" s="1" t="s">
        <v>61</v>
      </c>
    </row>
    <row r="498" spans="1:11" customFormat="1" ht="14.5" x14ac:dyDescent="0.35">
      <c r="A498" s="1" t="s">
        <v>1224</v>
      </c>
      <c r="B498" s="1" t="s">
        <v>1244</v>
      </c>
      <c r="C498" s="1" t="s">
        <v>1245</v>
      </c>
      <c r="D498" s="1">
        <v>1</v>
      </c>
      <c r="E498" s="1" t="s">
        <v>1246</v>
      </c>
      <c r="F498" s="1" t="s">
        <v>1247</v>
      </c>
      <c r="G498" s="1" t="s">
        <v>58</v>
      </c>
      <c r="H498" s="1" t="s">
        <v>59</v>
      </c>
      <c r="I498" s="1">
        <v>48</v>
      </c>
      <c r="J498" s="1" t="s">
        <v>65</v>
      </c>
      <c r="K498" s="1" t="s">
        <v>61</v>
      </c>
    </row>
    <row r="499" spans="1:11" customFormat="1" ht="14.5" x14ac:dyDescent="0.35">
      <c r="A499" s="1" t="s">
        <v>1224</v>
      </c>
      <c r="B499" s="1" t="s">
        <v>1244</v>
      </c>
      <c r="C499" s="1" t="s">
        <v>1245</v>
      </c>
      <c r="D499" s="1">
        <v>2</v>
      </c>
      <c r="E499" s="1" t="s">
        <v>1248</v>
      </c>
      <c r="F499" s="1" t="s">
        <v>1249</v>
      </c>
      <c r="G499" s="1" t="s">
        <v>67</v>
      </c>
      <c r="H499" s="1" t="s">
        <v>68</v>
      </c>
      <c r="I499" s="1">
        <v>57</v>
      </c>
      <c r="J499" s="1" t="s">
        <v>65</v>
      </c>
      <c r="K499" s="1" t="s">
        <v>61</v>
      </c>
    </row>
    <row r="500" spans="1:11" customFormat="1" ht="14.5" x14ac:dyDescent="0.35">
      <c r="A500" s="1" t="s">
        <v>1224</v>
      </c>
      <c r="B500" s="1" t="s">
        <v>1244</v>
      </c>
      <c r="C500" s="1" t="s">
        <v>1250</v>
      </c>
      <c r="D500" s="1">
        <v>1</v>
      </c>
      <c r="E500" s="1" t="s">
        <v>1251</v>
      </c>
      <c r="F500" s="1" t="s">
        <v>1252</v>
      </c>
      <c r="G500" s="1" t="s">
        <v>58</v>
      </c>
      <c r="H500" s="1" t="s">
        <v>59</v>
      </c>
      <c r="I500" s="1">
        <v>54</v>
      </c>
      <c r="J500" s="1" t="s">
        <v>65</v>
      </c>
      <c r="K500" s="1" t="s">
        <v>61</v>
      </c>
    </row>
    <row r="501" spans="1:11" customFormat="1" ht="14.5" x14ac:dyDescent="0.35">
      <c r="A501" s="1" t="s">
        <v>1224</v>
      </c>
      <c r="B501" s="1" t="s">
        <v>1244</v>
      </c>
      <c r="C501" s="1" t="s">
        <v>1250</v>
      </c>
      <c r="D501" s="1">
        <v>2</v>
      </c>
      <c r="E501" s="1" t="s">
        <v>1253</v>
      </c>
      <c r="F501" s="1" t="s">
        <v>1253</v>
      </c>
      <c r="G501" s="1" t="s">
        <v>67</v>
      </c>
      <c r="H501" s="1" t="s">
        <v>68</v>
      </c>
      <c r="I501" s="1">
        <v>57</v>
      </c>
      <c r="J501" s="1" t="s">
        <v>65</v>
      </c>
      <c r="K501" s="1" t="s">
        <v>61</v>
      </c>
    </row>
    <row r="502" spans="1:11" customFormat="1" ht="14.5" x14ac:dyDescent="0.35">
      <c r="A502" s="1" t="s">
        <v>1224</v>
      </c>
      <c r="B502" s="1" t="s">
        <v>1244</v>
      </c>
      <c r="C502" s="1" t="s">
        <v>1254</v>
      </c>
      <c r="D502" s="1">
        <v>1</v>
      </c>
      <c r="E502" s="1" t="s">
        <v>1255</v>
      </c>
      <c r="F502" s="1" t="s">
        <v>1256</v>
      </c>
      <c r="G502" s="1" t="s">
        <v>67</v>
      </c>
      <c r="H502" s="1" t="s">
        <v>68</v>
      </c>
      <c r="I502" s="1">
        <v>42</v>
      </c>
      <c r="J502" s="1" t="s">
        <v>65</v>
      </c>
      <c r="K502" s="1" t="s">
        <v>61</v>
      </c>
    </row>
    <row r="503" spans="1:11" customFormat="1" ht="14.5" x14ac:dyDescent="0.35">
      <c r="A503" s="1" t="s">
        <v>1224</v>
      </c>
      <c r="B503" s="1" t="s">
        <v>1244</v>
      </c>
      <c r="C503" s="1" t="s">
        <v>1254</v>
      </c>
      <c r="D503" s="1">
        <v>2</v>
      </c>
      <c r="E503" s="1" t="s">
        <v>1257</v>
      </c>
      <c r="F503" s="1" t="s">
        <v>1257</v>
      </c>
      <c r="G503" s="1" t="s">
        <v>58</v>
      </c>
      <c r="H503" s="1" t="s">
        <v>59</v>
      </c>
      <c r="I503" s="1">
        <v>50</v>
      </c>
      <c r="J503" s="1" t="s">
        <v>65</v>
      </c>
      <c r="K503" s="1" t="s">
        <v>195</v>
      </c>
    </row>
    <row r="504" spans="1:11" customFormat="1" ht="14.5" x14ac:dyDescent="0.35">
      <c r="A504" s="1" t="s">
        <v>1224</v>
      </c>
      <c r="B504" s="1" t="s">
        <v>1244</v>
      </c>
      <c r="C504" s="1" t="s">
        <v>1258</v>
      </c>
      <c r="D504" s="1">
        <v>1</v>
      </c>
      <c r="E504" s="1" t="s">
        <v>1259</v>
      </c>
      <c r="F504" s="1" t="s">
        <v>1260</v>
      </c>
      <c r="G504" s="1" t="s">
        <v>58</v>
      </c>
      <c r="H504" s="1" t="s">
        <v>59</v>
      </c>
      <c r="I504" s="1">
        <v>55</v>
      </c>
      <c r="J504" s="1" t="s">
        <v>65</v>
      </c>
      <c r="K504" s="1" t="s">
        <v>195</v>
      </c>
    </row>
    <row r="505" spans="1:11" customFormat="1" ht="14.5" x14ac:dyDescent="0.35">
      <c r="A505" s="1" t="s">
        <v>1224</v>
      </c>
      <c r="B505" s="1" t="s">
        <v>1244</v>
      </c>
      <c r="C505" s="1" t="s">
        <v>1258</v>
      </c>
      <c r="D505" s="1">
        <v>2</v>
      </c>
      <c r="E505" s="1" t="s">
        <v>1261</v>
      </c>
      <c r="F505" s="1" t="s">
        <v>1261</v>
      </c>
      <c r="G505" s="1" t="s">
        <v>73</v>
      </c>
      <c r="H505" s="1" t="s">
        <v>74</v>
      </c>
      <c r="I505" s="1">
        <v>45</v>
      </c>
      <c r="J505" s="1" t="s">
        <v>65</v>
      </c>
      <c r="K505" s="1" t="s">
        <v>121</v>
      </c>
    </row>
    <row r="506" spans="1:11" customFormat="1" ht="14.5" x14ac:dyDescent="0.35">
      <c r="A506" s="1" t="s">
        <v>1224</v>
      </c>
      <c r="B506" s="1" t="s">
        <v>1262</v>
      </c>
      <c r="C506" s="1" t="s">
        <v>1263</v>
      </c>
      <c r="D506" s="1">
        <v>1</v>
      </c>
      <c r="E506" s="1" t="s">
        <v>1264</v>
      </c>
      <c r="F506" s="1" t="s">
        <v>1265</v>
      </c>
      <c r="G506" s="1" t="s">
        <v>64</v>
      </c>
      <c r="H506" s="1" t="s">
        <v>64</v>
      </c>
      <c r="I506" s="1">
        <v>58</v>
      </c>
      <c r="J506" s="1" t="s">
        <v>65</v>
      </c>
      <c r="K506" s="1" t="s">
        <v>61</v>
      </c>
    </row>
    <row r="507" spans="1:11" customFormat="1" ht="14.5" x14ac:dyDescent="0.35">
      <c r="A507" s="1" t="s">
        <v>1224</v>
      </c>
      <c r="B507" s="1" t="s">
        <v>1262</v>
      </c>
      <c r="C507" s="1" t="s">
        <v>1263</v>
      </c>
      <c r="D507" s="1">
        <v>2</v>
      </c>
      <c r="E507" s="1" t="s">
        <v>1266</v>
      </c>
      <c r="F507" s="1" t="s">
        <v>1267</v>
      </c>
      <c r="G507" s="1" t="s">
        <v>58</v>
      </c>
      <c r="H507" s="1" t="s">
        <v>59</v>
      </c>
      <c r="I507" s="1">
        <v>52</v>
      </c>
      <c r="J507" s="1" t="s">
        <v>65</v>
      </c>
      <c r="K507" s="1" t="s">
        <v>61</v>
      </c>
    </row>
    <row r="508" spans="1:11" customFormat="1" ht="14.5" x14ac:dyDescent="0.35">
      <c r="A508" s="1" t="s">
        <v>1224</v>
      </c>
      <c r="B508" s="1" t="s">
        <v>1262</v>
      </c>
      <c r="C508" s="1" t="s">
        <v>1263</v>
      </c>
      <c r="D508" s="1">
        <v>3</v>
      </c>
      <c r="E508" s="1" t="s">
        <v>1268</v>
      </c>
      <c r="F508" s="1" t="s">
        <v>1269</v>
      </c>
      <c r="G508" s="1" t="s">
        <v>67</v>
      </c>
      <c r="H508" s="1" t="s">
        <v>68</v>
      </c>
      <c r="I508" s="1">
        <v>45</v>
      </c>
      <c r="J508" s="1" t="s">
        <v>65</v>
      </c>
      <c r="K508" s="1" t="s">
        <v>61</v>
      </c>
    </row>
    <row r="509" spans="1:11" customFormat="1" ht="14.5" x14ac:dyDescent="0.35">
      <c r="A509" s="1" t="s">
        <v>1224</v>
      </c>
      <c r="B509" s="1" t="s">
        <v>1262</v>
      </c>
      <c r="C509" s="1" t="s">
        <v>1270</v>
      </c>
      <c r="D509" s="1">
        <v>1</v>
      </c>
      <c r="E509" s="1" t="s">
        <v>1271</v>
      </c>
      <c r="F509" s="1" t="s">
        <v>1271</v>
      </c>
      <c r="G509" s="1" t="s">
        <v>58</v>
      </c>
      <c r="H509" s="1" t="s">
        <v>59</v>
      </c>
      <c r="I509" s="1">
        <v>58</v>
      </c>
      <c r="J509" s="1" t="s">
        <v>65</v>
      </c>
      <c r="K509" s="1" t="s">
        <v>121</v>
      </c>
    </row>
    <row r="510" spans="1:11" customFormat="1" ht="14.5" x14ac:dyDescent="0.35">
      <c r="A510" s="1" t="s">
        <v>1224</v>
      </c>
      <c r="B510" s="1" t="s">
        <v>1262</v>
      </c>
      <c r="C510" s="1" t="s">
        <v>1270</v>
      </c>
      <c r="D510" s="1">
        <v>2</v>
      </c>
      <c r="E510" s="1" t="s">
        <v>1272</v>
      </c>
      <c r="F510" s="1" t="s">
        <v>1272</v>
      </c>
      <c r="G510" s="1" t="s">
        <v>64</v>
      </c>
      <c r="H510" s="1" t="s">
        <v>64</v>
      </c>
      <c r="I510" s="1">
        <v>59</v>
      </c>
      <c r="J510" s="1" t="s">
        <v>65</v>
      </c>
      <c r="K510" s="1" t="s">
        <v>61</v>
      </c>
    </row>
    <row r="511" spans="1:11" customFormat="1" ht="14.5" x14ac:dyDescent="0.35">
      <c r="A511" s="1" t="s">
        <v>1224</v>
      </c>
      <c r="B511" s="1" t="s">
        <v>1262</v>
      </c>
      <c r="C511" s="1" t="s">
        <v>1270</v>
      </c>
      <c r="D511" s="1">
        <v>3</v>
      </c>
      <c r="E511" s="1" t="s">
        <v>1273</v>
      </c>
      <c r="F511" s="1" t="s">
        <v>1274</v>
      </c>
      <c r="G511" s="1" t="s">
        <v>64</v>
      </c>
      <c r="H511" s="1" t="s">
        <v>64</v>
      </c>
      <c r="I511" s="1">
        <v>49</v>
      </c>
      <c r="J511" s="1" t="s">
        <v>65</v>
      </c>
      <c r="K511" s="1" t="s">
        <v>195</v>
      </c>
    </row>
    <row r="512" spans="1:11" customFormat="1" ht="14.5" x14ac:dyDescent="0.35">
      <c r="A512" s="1" t="s">
        <v>1224</v>
      </c>
      <c r="B512" s="1" t="s">
        <v>1262</v>
      </c>
      <c r="C512" s="1" t="s">
        <v>1270</v>
      </c>
      <c r="D512" s="1">
        <v>4</v>
      </c>
      <c r="E512" s="1" t="s">
        <v>1275</v>
      </c>
      <c r="F512" s="1" t="s">
        <v>1276</v>
      </c>
      <c r="G512" s="1" t="s">
        <v>73</v>
      </c>
      <c r="H512" s="1" t="s">
        <v>74</v>
      </c>
      <c r="I512" s="1">
        <v>39</v>
      </c>
      <c r="J512" s="1" t="s">
        <v>65</v>
      </c>
      <c r="K512" s="1" t="s">
        <v>195</v>
      </c>
    </row>
    <row r="513" spans="1:11" customFormat="1" ht="14.5" x14ac:dyDescent="0.35">
      <c r="A513" s="1" t="s">
        <v>1224</v>
      </c>
      <c r="B513" s="1" t="s">
        <v>1262</v>
      </c>
      <c r="C513" s="1" t="s">
        <v>1277</v>
      </c>
      <c r="D513" s="1">
        <v>1</v>
      </c>
      <c r="E513" s="1" t="s">
        <v>1278</v>
      </c>
      <c r="F513" s="1" t="s">
        <v>1278</v>
      </c>
      <c r="G513" s="1" t="s">
        <v>58</v>
      </c>
      <c r="H513" s="1" t="s">
        <v>59</v>
      </c>
      <c r="I513" s="1">
        <v>59</v>
      </c>
      <c r="J513" s="1" t="s">
        <v>60</v>
      </c>
      <c r="K513" s="1" t="s">
        <v>121</v>
      </c>
    </row>
    <row r="514" spans="1:11" customFormat="1" ht="14.5" x14ac:dyDescent="0.35">
      <c r="A514" s="1" t="s">
        <v>1224</v>
      </c>
      <c r="B514" s="1" t="s">
        <v>1262</v>
      </c>
      <c r="C514" s="1" t="s">
        <v>1277</v>
      </c>
      <c r="D514" s="1">
        <v>2</v>
      </c>
      <c r="E514" s="1" t="s">
        <v>1279</v>
      </c>
      <c r="F514" s="1" t="s">
        <v>1279</v>
      </c>
      <c r="G514" s="1" t="s">
        <v>73</v>
      </c>
      <c r="H514" s="1" t="s">
        <v>74</v>
      </c>
      <c r="I514" s="1">
        <v>62</v>
      </c>
      <c r="J514" s="1" t="s">
        <v>65</v>
      </c>
      <c r="K514" s="1" t="s">
        <v>121</v>
      </c>
    </row>
    <row r="515" spans="1:11" customFormat="1" ht="14.5" x14ac:dyDescent="0.35">
      <c r="A515" s="1" t="s">
        <v>1224</v>
      </c>
      <c r="B515" s="1" t="s">
        <v>1262</v>
      </c>
      <c r="C515" s="1" t="s">
        <v>1280</v>
      </c>
      <c r="D515" s="1">
        <v>1</v>
      </c>
      <c r="E515" s="1" t="s">
        <v>1281</v>
      </c>
      <c r="F515" s="1" t="s">
        <v>1281</v>
      </c>
      <c r="G515" s="1" t="s">
        <v>73</v>
      </c>
      <c r="H515" s="1" t="s">
        <v>74</v>
      </c>
      <c r="I515" s="1">
        <v>46</v>
      </c>
      <c r="J515" s="1" t="s">
        <v>65</v>
      </c>
      <c r="K515" s="1" t="s">
        <v>121</v>
      </c>
    </row>
    <row r="516" spans="1:11" customFormat="1" ht="14.5" x14ac:dyDescent="0.35">
      <c r="A516" s="1" t="s">
        <v>1224</v>
      </c>
      <c r="B516" s="1" t="s">
        <v>1262</v>
      </c>
      <c r="C516" s="1" t="s">
        <v>1280</v>
      </c>
      <c r="D516" s="1">
        <v>2</v>
      </c>
      <c r="E516" s="1" t="s">
        <v>1282</v>
      </c>
      <c r="F516" s="1" t="s">
        <v>1283</v>
      </c>
      <c r="G516" s="1" t="s">
        <v>586</v>
      </c>
      <c r="H516" s="1" t="s">
        <v>587</v>
      </c>
      <c r="I516" s="1">
        <v>35</v>
      </c>
      <c r="J516" s="1" t="s">
        <v>65</v>
      </c>
      <c r="K516" s="1" t="s">
        <v>61</v>
      </c>
    </row>
    <row r="517" spans="1:11" customFormat="1" ht="14.5" x14ac:dyDescent="0.35">
      <c r="A517" s="1" t="s">
        <v>1224</v>
      </c>
      <c r="B517" s="1" t="s">
        <v>1262</v>
      </c>
      <c r="C517" s="1" t="s">
        <v>1280</v>
      </c>
      <c r="D517" s="1">
        <v>3</v>
      </c>
      <c r="E517" s="1" t="s">
        <v>1284</v>
      </c>
      <c r="F517" s="1" t="s">
        <v>1284</v>
      </c>
      <c r="G517" s="1" t="s">
        <v>58</v>
      </c>
      <c r="H517" s="1" t="s">
        <v>59</v>
      </c>
      <c r="I517" s="1">
        <v>55</v>
      </c>
      <c r="J517" s="1" t="s">
        <v>65</v>
      </c>
      <c r="K517" s="1" t="s">
        <v>121</v>
      </c>
    </row>
    <row r="518" spans="1:11" customFormat="1" ht="14.5" x14ac:dyDescent="0.35">
      <c r="A518" s="1" t="s">
        <v>1224</v>
      </c>
      <c r="B518" s="1" t="s">
        <v>1262</v>
      </c>
      <c r="C518" s="1" t="s">
        <v>1285</v>
      </c>
      <c r="D518" s="1">
        <v>1</v>
      </c>
      <c r="E518" s="1" t="s">
        <v>1286</v>
      </c>
      <c r="F518" s="1" t="s">
        <v>1287</v>
      </c>
      <c r="G518" s="1" t="s">
        <v>58</v>
      </c>
      <c r="H518" s="1" t="s">
        <v>59</v>
      </c>
      <c r="I518" s="1">
        <v>35</v>
      </c>
      <c r="J518" s="1" t="s">
        <v>65</v>
      </c>
      <c r="K518" s="1" t="s">
        <v>61</v>
      </c>
    </row>
    <row r="519" spans="1:11" customFormat="1" ht="14.5" x14ac:dyDescent="0.35">
      <c r="A519" s="1" t="s">
        <v>1224</v>
      </c>
      <c r="B519" s="1" t="s">
        <v>1262</v>
      </c>
      <c r="C519" s="1" t="s">
        <v>1285</v>
      </c>
      <c r="D519" s="1">
        <v>2</v>
      </c>
      <c r="E519" s="1" t="s">
        <v>1288</v>
      </c>
      <c r="F519" s="1" t="s">
        <v>1289</v>
      </c>
      <c r="G519" s="1" t="s">
        <v>73</v>
      </c>
      <c r="H519" s="1" t="s">
        <v>74</v>
      </c>
      <c r="I519" s="1">
        <v>57</v>
      </c>
      <c r="J519" s="1" t="s">
        <v>65</v>
      </c>
      <c r="K519" s="1" t="s">
        <v>61</v>
      </c>
    </row>
    <row r="520" spans="1:11" customFormat="1" ht="14.5" x14ac:dyDescent="0.35">
      <c r="A520" s="1" t="s">
        <v>1224</v>
      </c>
      <c r="B520" s="1" t="s">
        <v>1262</v>
      </c>
      <c r="C520" s="1" t="s">
        <v>1285</v>
      </c>
      <c r="D520" s="1">
        <v>3</v>
      </c>
      <c r="E520" s="1" t="s">
        <v>1290</v>
      </c>
      <c r="F520" s="1" t="s">
        <v>1290</v>
      </c>
      <c r="G520" s="1" t="s">
        <v>64</v>
      </c>
      <c r="H520" s="1" t="s">
        <v>64</v>
      </c>
      <c r="I520" s="1">
        <v>73</v>
      </c>
      <c r="J520" s="1" t="s">
        <v>65</v>
      </c>
      <c r="K520" s="1" t="s">
        <v>61</v>
      </c>
    </row>
    <row r="521" spans="1:11" customFormat="1" ht="14.5" x14ac:dyDescent="0.35">
      <c r="A521" s="1" t="s">
        <v>1224</v>
      </c>
      <c r="B521" s="1" t="s">
        <v>1262</v>
      </c>
      <c r="C521" s="1" t="s">
        <v>1285</v>
      </c>
      <c r="D521" s="1">
        <v>4</v>
      </c>
      <c r="E521" s="1" t="s">
        <v>1291</v>
      </c>
      <c r="F521" s="1" t="s">
        <v>1292</v>
      </c>
      <c r="G521" s="1" t="s">
        <v>64</v>
      </c>
      <c r="H521" s="1" t="s">
        <v>64</v>
      </c>
      <c r="I521" s="1">
        <v>48</v>
      </c>
      <c r="J521" s="1" t="s">
        <v>65</v>
      </c>
      <c r="K521" s="1" t="s">
        <v>61</v>
      </c>
    </row>
    <row r="522" spans="1:11" customFormat="1" ht="14.5" x14ac:dyDescent="0.35">
      <c r="A522" s="1" t="s">
        <v>1224</v>
      </c>
      <c r="B522" s="1" t="s">
        <v>1262</v>
      </c>
      <c r="C522" s="1" t="s">
        <v>1293</v>
      </c>
      <c r="D522" s="1">
        <v>1</v>
      </c>
      <c r="E522" s="1" t="s">
        <v>1294</v>
      </c>
      <c r="F522" s="1" t="s">
        <v>1294</v>
      </c>
      <c r="G522" s="1" t="s">
        <v>73</v>
      </c>
      <c r="H522" s="1" t="s">
        <v>74</v>
      </c>
      <c r="I522" s="1">
        <v>66</v>
      </c>
      <c r="J522" s="1" t="s">
        <v>60</v>
      </c>
      <c r="K522" s="1" t="s">
        <v>61</v>
      </c>
    </row>
    <row r="523" spans="1:11" customFormat="1" ht="14.5" x14ac:dyDescent="0.35">
      <c r="A523" s="1" t="s">
        <v>1224</v>
      </c>
      <c r="B523" s="1" t="s">
        <v>1262</v>
      </c>
      <c r="C523" s="1" t="s">
        <v>1293</v>
      </c>
      <c r="D523" s="1">
        <v>2</v>
      </c>
      <c r="E523" s="1" t="s">
        <v>1295</v>
      </c>
      <c r="F523" s="1" t="s">
        <v>1295</v>
      </c>
      <c r="G523" s="1" t="s">
        <v>58</v>
      </c>
      <c r="H523" s="1" t="s">
        <v>59</v>
      </c>
      <c r="I523" s="1">
        <v>38</v>
      </c>
      <c r="J523" s="1" t="s">
        <v>65</v>
      </c>
      <c r="K523" s="1" t="s">
        <v>61</v>
      </c>
    </row>
    <row r="524" spans="1:11" customFormat="1" ht="14.5" x14ac:dyDescent="0.35">
      <c r="A524" s="1" t="s">
        <v>1224</v>
      </c>
      <c r="B524" s="1" t="s">
        <v>1262</v>
      </c>
      <c r="C524" s="1" t="s">
        <v>1293</v>
      </c>
      <c r="D524" s="1">
        <v>3</v>
      </c>
      <c r="E524" s="1" t="s">
        <v>1296</v>
      </c>
      <c r="F524" s="1" t="s">
        <v>1297</v>
      </c>
      <c r="G524" s="1" t="s">
        <v>64</v>
      </c>
      <c r="H524" s="1" t="s">
        <v>64</v>
      </c>
      <c r="I524" s="1">
        <v>60</v>
      </c>
      <c r="J524" s="1" t="s">
        <v>65</v>
      </c>
      <c r="K524" s="1" t="s">
        <v>61</v>
      </c>
    </row>
    <row r="525" spans="1:11" customFormat="1" ht="14.5" x14ac:dyDescent="0.35">
      <c r="A525" s="1" t="s">
        <v>1224</v>
      </c>
      <c r="B525" s="1" t="s">
        <v>1298</v>
      </c>
      <c r="C525" s="1" t="s">
        <v>1299</v>
      </c>
      <c r="D525" s="1">
        <v>1</v>
      </c>
      <c r="E525" s="1" t="s">
        <v>1300</v>
      </c>
      <c r="F525" s="1" t="s">
        <v>1300</v>
      </c>
      <c r="G525" s="1" t="s">
        <v>58</v>
      </c>
      <c r="H525" s="1" t="s">
        <v>59</v>
      </c>
      <c r="I525" s="1">
        <v>50</v>
      </c>
      <c r="J525" s="1" t="s">
        <v>65</v>
      </c>
      <c r="K525" s="1" t="s">
        <v>61</v>
      </c>
    </row>
    <row r="526" spans="1:11" customFormat="1" ht="14.5" x14ac:dyDescent="0.35">
      <c r="A526" s="1" t="s">
        <v>1224</v>
      </c>
      <c r="B526" s="1" t="s">
        <v>1298</v>
      </c>
      <c r="C526" s="1" t="s">
        <v>1299</v>
      </c>
      <c r="D526" s="1">
        <v>2</v>
      </c>
      <c r="E526" s="1" t="s">
        <v>1301</v>
      </c>
      <c r="F526" s="1" t="s">
        <v>1302</v>
      </c>
      <c r="G526" s="1" t="s">
        <v>67</v>
      </c>
      <c r="H526" s="1" t="s">
        <v>68</v>
      </c>
      <c r="I526" s="1">
        <v>54</v>
      </c>
      <c r="J526" s="1" t="s">
        <v>60</v>
      </c>
      <c r="K526" s="1" t="s">
        <v>61</v>
      </c>
    </row>
    <row r="527" spans="1:11" customFormat="1" ht="14.5" x14ac:dyDescent="0.35">
      <c r="A527" s="1" t="s">
        <v>1224</v>
      </c>
      <c r="B527" s="1" t="s">
        <v>1298</v>
      </c>
      <c r="C527" s="1" t="s">
        <v>1303</v>
      </c>
      <c r="D527" s="1">
        <v>1</v>
      </c>
      <c r="E527" s="1" t="s">
        <v>1304</v>
      </c>
      <c r="F527" s="1" t="s">
        <v>1305</v>
      </c>
      <c r="G527" s="1" t="s">
        <v>67</v>
      </c>
      <c r="H527" s="1" t="s">
        <v>68</v>
      </c>
      <c r="I527" s="1">
        <v>42</v>
      </c>
      <c r="J527" s="1" t="s">
        <v>65</v>
      </c>
      <c r="K527" s="1" t="s">
        <v>61</v>
      </c>
    </row>
    <row r="528" spans="1:11" customFormat="1" ht="14.5" x14ac:dyDescent="0.35">
      <c r="A528" s="1" t="s">
        <v>1224</v>
      </c>
      <c r="B528" s="1" t="s">
        <v>1298</v>
      </c>
      <c r="C528" s="1" t="s">
        <v>1303</v>
      </c>
      <c r="D528" s="1">
        <v>2</v>
      </c>
      <c r="E528" s="1" t="s">
        <v>1306</v>
      </c>
      <c r="F528" s="1" t="s">
        <v>1306</v>
      </c>
      <c r="G528" s="1" t="s">
        <v>58</v>
      </c>
      <c r="H528" s="1" t="s">
        <v>59</v>
      </c>
      <c r="I528" s="1">
        <v>71</v>
      </c>
      <c r="J528" s="1" t="s">
        <v>65</v>
      </c>
      <c r="K528" s="1" t="s">
        <v>61</v>
      </c>
    </row>
    <row r="529" spans="1:11" customFormat="1" ht="14.5" x14ac:dyDescent="0.35">
      <c r="A529" s="1" t="s">
        <v>1224</v>
      </c>
      <c r="B529" s="1" t="s">
        <v>1298</v>
      </c>
      <c r="C529" s="1" t="s">
        <v>1307</v>
      </c>
      <c r="D529" s="1">
        <v>1</v>
      </c>
      <c r="E529" s="1" t="s">
        <v>1308</v>
      </c>
      <c r="F529" s="1" t="s">
        <v>1309</v>
      </c>
      <c r="G529" s="1" t="s">
        <v>67</v>
      </c>
      <c r="H529" s="1" t="s">
        <v>68</v>
      </c>
      <c r="I529" s="1">
        <v>65</v>
      </c>
      <c r="J529" s="1" t="s">
        <v>65</v>
      </c>
      <c r="K529" s="1" t="s">
        <v>61</v>
      </c>
    </row>
    <row r="530" spans="1:11" customFormat="1" ht="14.5" x14ac:dyDescent="0.35">
      <c r="A530" s="1" t="s">
        <v>1224</v>
      </c>
      <c r="B530" s="1" t="s">
        <v>1298</v>
      </c>
      <c r="C530" s="1" t="s">
        <v>1307</v>
      </c>
      <c r="D530" s="1">
        <v>2</v>
      </c>
      <c r="E530" s="1" t="s">
        <v>1310</v>
      </c>
      <c r="F530" s="1" t="s">
        <v>1310</v>
      </c>
      <c r="G530" s="1" t="s">
        <v>58</v>
      </c>
      <c r="H530" s="1" t="s">
        <v>59</v>
      </c>
      <c r="I530" s="1">
        <v>53</v>
      </c>
      <c r="J530" s="1" t="s">
        <v>60</v>
      </c>
      <c r="K530" s="1" t="s">
        <v>61</v>
      </c>
    </row>
    <row r="531" spans="1:11" customFormat="1" ht="14.5" x14ac:dyDescent="0.35">
      <c r="A531" s="1" t="s">
        <v>1224</v>
      </c>
      <c r="B531" s="1" t="s">
        <v>1298</v>
      </c>
      <c r="C531" s="1" t="s">
        <v>1311</v>
      </c>
      <c r="D531" s="1">
        <v>1</v>
      </c>
      <c r="E531" s="1" t="s">
        <v>1312</v>
      </c>
      <c r="F531" s="1" t="s">
        <v>1313</v>
      </c>
      <c r="G531" s="1" t="s">
        <v>58</v>
      </c>
      <c r="H531" s="1" t="s">
        <v>59</v>
      </c>
      <c r="I531" s="1">
        <v>71</v>
      </c>
      <c r="J531" s="1" t="s">
        <v>65</v>
      </c>
      <c r="K531" s="1" t="s">
        <v>61</v>
      </c>
    </row>
    <row r="532" spans="1:11" customFormat="1" ht="14.5" x14ac:dyDescent="0.35">
      <c r="A532" s="1" t="s">
        <v>1224</v>
      </c>
      <c r="B532" s="1" t="s">
        <v>1298</v>
      </c>
      <c r="C532" s="1" t="s">
        <v>1311</v>
      </c>
      <c r="D532" s="1">
        <v>2</v>
      </c>
      <c r="E532" s="1" t="s">
        <v>1314</v>
      </c>
      <c r="F532" s="1" t="s">
        <v>1315</v>
      </c>
      <c r="G532" s="1" t="s">
        <v>73</v>
      </c>
      <c r="H532" s="1" t="s">
        <v>74</v>
      </c>
      <c r="I532" s="1">
        <v>44</v>
      </c>
      <c r="J532" s="1" t="s">
        <v>60</v>
      </c>
      <c r="K532" s="1" t="s">
        <v>61</v>
      </c>
    </row>
    <row r="533" spans="1:11" customFormat="1" ht="14.5" x14ac:dyDescent="0.35">
      <c r="A533" s="1" t="s">
        <v>1224</v>
      </c>
      <c r="B533" s="1" t="s">
        <v>1298</v>
      </c>
      <c r="C533" s="1" t="s">
        <v>1316</v>
      </c>
      <c r="D533" s="1">
        <v>1</v>
      </c>
      <c r="E533" s="1" t="s">
        <v>1317</v>
      </c>
      <c r="F533" s="1" t="s">
        <v>1318</v>
      </c>
      <c r="G533" s="1" t="s">
        <v>67</v>
      </c>
      <c r="H533" s="1" t="s">
        <v>68</v>
      </c>
      <c r="I533" s="1">
        <v>58</v>
      </c>
      <c r="J533" s="1" t="s">
        <v>65</v>
      </c>
      <c r="K533" s="1" t="s">
        <v>61</v>
      </c>
    </row>
    <row r="534" spans="1:11" customFormat="1" ht="14.5" x14ac:dyDescent="0.35">
      <c r="A534" s="1" t="s">
        <v>1224</v>
      </c>
      <c r="B534" s="1" t="s">
        <v>1298</v>
      </c>
      <c r="C534" s="1" t="s">
        <v>1316</v>
      </c>
      <c r="D534" s="1">
        <v>2</v>
      </c>
      <c r="E534" s="1" t="s">
        <v>1319</v>
      </c>
      <c r="F534" s="1" t="s">
        <v>1320</v>
      </c>
      <c r="G534" s="1" t="s">
        <v>58</v>
      </c>
      <c r="H534" s="1" t="s">
        <v>59</v>
      </c>
      <c r="I534" s="1">
        <v>76</v>
      </c>
      <c r="J534" s="1" t="s">
        <v>65</v>
      </c>
      <c r="K534" s="1" t="s">
        <v>61</v>
      </c>
    </row>
    <row r="535" spans="1:11" customFormat="1" ht="14.5" x14ac:dyDescent="0.35">
      <c r="A535" s="1" t="s">
        <v>1224</v>
      </c>
      <c r="B535" s="1" t="s">
        <v>1321</v>
      </c>
      <c r="C535" s="1" t="s">
        <v>1322</v>
      </c>
      <c r="D535" s="1">
        <v>1</v>
      </c>
      <c r="E535" s="1" t="s">
        <v>1323</v>
      </c>
      <c r="F535" s="1" t="s">
        <v>1324</v>
      </c>
      <c r="G535" s="1" t="s">
        <v>58</v>
      </c>
      <c r="H535" s="1" t="s">
        <v>59</v>
      </c>
      <c r="I535" s="1">
        <v>44</v>
      </c>
      <c r="J535" s="1" t="s">
        <v>65</v>
      </c>
      <c r="K535" s="1" t="s">
        <v>61</v>
      </c>
    </row>
    <row r="536" spans="1:11" customFormat="1" ht="14.5" x14ac:dyDescent="0.35">
      <c r="A536" s="1" t="s">
        <v>1224</v>
      </c>
      <c r="B536" s="1" t="s">
        <v>1321</v>
      </c>
      <c r="C536" s="1" t="s">
        <v>1322</v>
      </c>
      <c r="D536" s="1">
        <v>2</v>
      </c>
      <c r="E536" s="1" t="s">
        <v>1325</v>
      </c>
      <c r="F536" s="1" t="s">
        <v>1326</v>
      </c>
      <c r="G536" s="1" t="s">
        <v>73</v>
      </c>
      <c r="H536" s="1" t="s">
        <v>74</v>
      </c>
      <c r="I536" s="1">
        <v>68</v>
      </c>
      <c r="J536" s="1" t="s">
        <v>65</v>
      </c>
      <c r="K536" s="1" t="s">
        <v>61</v>
      </c>
    </row>
    <row r="537" spans="1:11" customFormat="1" ht="14.5" x14ac:dyDescent="0.35">
      <c r="A537" s="1" t="s">
        <v>1224</v>
      </c>
      <c r="B537" s="1" t="s">
        <v>1321</v>
      </c>
      <c r="C537" s="1" t="s">
        <v>1327</v>
      </c>
      <c r="D537" s="1">
        <v>1</v>
      </c>
      <c r="E537" s="1" t="s">
        <v>1328</v>
      </c>
      <c r="F537" s="1" t="s">
        <v>1328</v>
      </c>
      <c r="G537" s="1" t="s">
        <v>58</v>
      </c>
      <c r="H537" s="1" t="s">
        <v>59</v>
      </c>
      <c r="I537" s="1">
        <v>64</v>
      </c>
      <c r="J537" s="1" t="s">
        <v>65</v>
      </c>
      <c r="K537" s="1" t="s">
        <v>195</v>
      </c>
    </row>
    <row r="538" spans="1:11" customFormat="1" ht="14.5" x14ac:dyDescent="0.35">
      <c r="A538" s="1" t="s">
        <v>1224</v>
      </c>
      <c r="B538" s="1" t="s">
        <v>1321</v>
      </c>
      <c r="C538" s="1" t="s">
        <v>1327</v>
      </c>
      <c r="D538" s="1">
        <v>2</v>
      </c>
      <c r="E538" s="1" t="s">
        <v>1329</v>
      </c>
      <c r="F538" s="1" t="s">
        <v>1330</v>
      </c>
      <c r="G538" s="1" t="s">
        <v>64</v>
      </c>
      <c r="H538" s="1" t="s">
        <v>64</v>
      </c>
      <c r="I538" s="1">
        <v>51</v>
      </c>
      <c r="J538" s="1" t="s">
        <v>65</v>
      </c>
      <c r="K538" s="1" t="s">
        <v>61</v>
      </c>
    </row>
    <row r="539" spans="1:11" customFormat="1" ht="14.5" x14ac:dyDescent="0.35">
      <c r="A539" s="1" t="s">
        <v>1224</v>
      </c>
      <c r="B539" s="1" t="s">
        <v>1321</v>
      </c>
      <c r="C539" s="1" t="s">
        <v>1327</v>
      </c>
      <c r="D539" s="1">
        <v>3</v>
      </c>
      <c r="E539" s="1" t="s">
        <v>1331</v>
      </c>
      <c r="F539" s="1" t="s">
        <v>1331</v>
      </c>
      <c r="G539" s="1" t="s">
        <v>73</v>
      </c>
      <c r="H539" s="1" t="s">
        <v>74</v>
      </c>
      <c r="I539" s="1">
        <v>53</v>
      </c>
      <c r="J539" s="1" t="s">
        <v>60</v>
      </c>
      <c r="K539" s="1" t="s">
        <v>121</v>
      </c>
    </row>
    <row r="540" spans="1:11" customFormat="1" ht="14.5" x14ac:dyDescent="0.35">
      <c r="A540" s="1" t="s">
        <v>1224</v>
      </c>
      <c r="B540" s="1" t="s">
        <v>1321</v>
      </c>
      <c r="C540" s="1" t="s">
        <v>1332</v>
      </c>
      <c r="D540" s="1">
        <v>1</v>
      </c>
      <c r="E540" s="1" t="s">
        <v>1333</v>
      </c>
      <c r="F540" s="1" t="s">
        <v>1333</v>
      </c>
      <c r="G540" s="1" t="s">
        <v>73</v>
      </c>
      <c r="H540" s="1" t="s">
        <v>74</v>
      </c>
      <c r="I540" s="1">
        <v>52</v>
      </c>
      <c r="J540" s="1" t="s">
        <v>65</v>
      </c>
      <c r="K540" s="1" t="s">
        <v>121</v>
      </c>
    </row>
    <row r="541" spans="1:11" customFormat="1" ht="14.5" x14ac:dyDescent="0.35">
      <c r="A541" s="1" t="s">
        <v>1224</v>
      </c>
      <c r="B541" s="1" t="s">
        <v>1321</v>
      </c>
      <c r="C541" s="1" t="s">
        <v>1332</v>
      </c>
      <c r="D541" s="1">
        <v>2</v>
      </c>
      <c r="E541" s="1" t="s">
        <v>1334</v>
      </c>
      <c r="F541" s="1" t="s">
        <v>1334</v>
      </c>
      <c r="G541" s="1" t="s">
        <v>58</v>
      </c>
      <c r="H541" s="1" t="s">
        <v>59</v>
      </c>
      <c r="I541" s="1">
        <v>39</v>
      </c>
      <c r="J541" s="1" t="s">
        <v>65</v>
      </c>
      <c r="K541" s="1" t="s">
        <v>121</v>
      </c>
    </row>
    <row r="542" spans="1:11" customFormat="1" ht="14.5" x14ac:dyDescent="0.35">
      <c r="A542" s="1" t="s">
        <v>1224</v>
      </c>
      <c r="B542" s="1" t="s">
        <v>1321</v>
      </c>
      <c r="C542" s="1" t="s">
        <v>1335</v>
      </c>
      <c r="D542" s="1">
        <v>1</v>
      </c>
      <c r="E542" s="1" t="s">
        <v>1336</v>
      </c>
      <c r="F542" s="1" t="s">
        <v>1336</v>
      </c>
      <c r="G542" s="1" t="s">
        <v>73</v>
      </c>
      <c r="H542" s="1" t="s">
        <v>74</v>
      </c>
      <c r="I542" s="1">
        <v>61</v>
      </c>
      <c r="J542" s="1" t="s">
        <v>65</v>
      </c>
      <c r="K542" s="1" t="s">
        <v>121</v>
      </c>
    </row>
    <row r="543" spans="1:11" customFormat="1" ht="14.5" x14ac:dyDescent="0.35">
      <c r="A543" s="1" t="s">
        <v>1224</v>
      </c>
      <c r="B543" s="1" t="s">
        <v>1321</v>
      </c>
      <c r="C543" s="1" t="s">
        <v>1335</v>
      </c>
      <c r="D543" s="1">
        <v>2</v>
      </c>
      <c r="E543" s="1" t="s">
        <v>1337</v>
      </c>
      <c r="F543" s="1" t="s">
        <v>1337</v>
      </c>
      <c r="G543" s="1" t="s">
        <v>64</v>
      </c>
      <c r="H543" s="1" t="s">
        <v>64</v>
      </c>
      <c r="I543" s="1">
        <v>52</v>
      </c>
      <c r="J543" s="1" t="s">
        <v>65</v>
      </c>
      <c r="K543" s="1" t="s">
        <v>195</v>
      </c>
    </row>
    <row r="544" spans="1:11" customFormat="1" ht="14.5" x14ac:dyDescent="0.35">
      <c r="A544" s="1" t="s">
        <v>1224</v>
      </c>
      <c r="B544" s="1" t="s">
        <v>1321</v>
      </c>
      <c r="C544" s="1" t="s">
        <v>1335</v>
      </c>
      <c r="D544" s="1">
        <v>3</v>
      </c>
      <c r="E544" s="1" t="s">
        <v>1338</v>
      </c>
      <c r="F544" s="1" t="s">
        <v>1339</v>
      </c>
      <c r="G544" s="1" t="s">
        <v>58</v>
      </c>
      <c r="H544" s="1" t="s">
        <v>59</v>
      </c>
      <c r="I544" s="1">
        <v>44</v>
      </c>
      <c r="J544" s="1" t="s">
        <v>65</v>
      </c>
      <c r="K544" s="1" t="s">
        <v>195</v>
      </c>
    </row>
    <row r="545" spans="1:11" customFormat="1" ht="14.5" x14ac:dyDescent="0.35">
      <c r="A545" s="1" t="s">
        <v>1224</v>
      </c>
      <c r="B545" s="1" t="s">
        <v>1321</v>
      </c>
      <c r="C545" s="1" t="s">
        <v>1340</v>
      </c>
      <c r="D545" s="1">
        <v>1</v>
      </c>
      <c r="E545" s="1" t="s">
        <v>1341</v>
      </c>
      <c r="F545" s="1" t="s">
        <v>1342</v>
      </c>
      <c r="G545" s="1" t="s">
        <v>73</v>
      </c>
      <c r="H545" s="1" t="s">
        <v>74</v>
      </c>
      <c r="I545" s="1">
        <v>65</v>
      </c>
      <c r="J545" s="1" t="s">
        <v>65</v>
      </c>
      <c r="K545" s="1" t="s">
        <v>195</v>
      </c>
    </row>
    <row r="546" spans="1:11" customFormat="1" ht="14.5" x14ac:dyDescent="0.35">
      <c r="A546" s="1" t="s">
        <v>1224</v>
      </c>
      <c r="B546" s="1" t="s">
        <v>1321</v>
      </c>
      <c r="C546" s="1" t="s">
        <v>1340</v>
      </c>
      <c r="D546" s="1">
        <v>2</v>
      </c>
      <c r="E546" s="1" t="s">
        <v>1343</v>
      </c>
      <c r="F546" s="1" t="s">
        <v>1344</v>
      </c>
      <c r="G546" s="1" t="s">
        <v>58</v>
      </c>
      <c r="H546" s="1" t="s">
        <v>59</v>
      </c>
      <c r="I546" s="1">
        <v>49</v>
      </c>
      <c r="J546" s="1" t="s">
        <v>65</v>
      </c>
      <c r="K546" s="1" t="s">
        <v>121</v>
      </c>
    </row>
    <row r="547" spans="1:11" customFormat="1" ht="14.5" x14ac:dyDescent="0.35">
      <c r="A547" s="1" t="s">
        <v>1224</v>
      </c>
      <c r="B547" s="1" t="s">
        <v>1345</v>
      </c>
      <c r="C547" s="1" t="s">
        <v>1346</v>
      </c>
      <c r="D547" s="1">
        <v>1</v>
      </c>
      <c r="E547" s="1" t="s">
        <v>1347</v>
      </c>
      <c r="F547" s="1" t="s">
        <v>1348</v>
      </c>
      <c r="G547" s="1" t="s">
        <v>64</v>
      </c>
      <c r="H547" s="1" t="s">
        <v>64</v>
      </c>
      <c r="I547" s="1">
        <v>26</v>
      </c>
      <c r="J547" s="1" t="s">
        <v>65</v>
      </c>
      <c r="K547" s="1" t="s">
        <v>61</v>
      </c>
    </row>
    <row r="548" spans="1:11" customFormat="1" ht="14.5" x14ac:dyDescent="0.35">
      <c r="A548" s="1" t="s">
        <v>1224</v>
      </c>
      <c r="B548" s="1" t="s">
        <v>1345</v>
      </c>
      <c r="C548" s="1" t="s">
        <v>1346</v>
      </c>
      <c r="D548" s="1">
        <v>2</v>
      </c>
      <c r="E548" s="1" t="s">
        <v>1349</v>
      </c>
      <c r="F548" s="1" t="s">
        <v>1350</v>
      </c>
      <c r="G548" s="1" t="s">
        <v>73</v>
      </c>
      <c r="H548" s="1" t="s">
        <v>74</v>
      </c>
      <c r="I548" s="1">
        <v>48</v>
      </c>
      <c r="J548" s="1" t="s">
        <v>60</v>
      </c>
      <c r="K548" s="1" t="s">
        <v>61</v>
      </c>
    </row>
    <row r="549" spans="1:11" customFormat="1" ht="14.5" x14ac:dyDescent="0.35">
      <c r="A549" s="1" t="s">
        <v>1224</v>
      </c>
      <c r="B549" s="1" t="s">
        <v>1345</v>
      </c>
      <c r="C549" s="1" t="s">
        <v>1346</v>
      </c>
      <c r="D549" s="1">
        <v>3</v>
      </c>
      <c r="E549" s="1" t="s">
        <v>1351</v>
      </c>
      <c r="F549" s="1" t="s">
        <v>1352</v>
      </c>
      <c r="G549" s="1" t="s">
        <v>58</v>
      </c>
      <c r="H549" s="1" t="s">
        <v>59</v>
      </c>
      <c r="I549" s="1">
        <v>57</v>
      </c>
      <c r="J549" s="1" t="s">
        <v>65</v>
      </c>
      <c r="K549" s="1" t="s">
        <v>61</v>
      </c>
    </row>
    <row r="550" spans="1:11" customFormat="1" ht="14.5" x14ac:dyDescent="0.35">
      <c r="A550" s="1" t="s">
        <v>1224</v>
      </c>
      <c r="B550" s="1" t="s">
        <v>1345</v>
      </c>
      <c r="C550" s="1" t="s">
        <v>1353</v>
      </c>
      <c r="D550" s="1">
        <v>1</v>
      </c>
      <c r="E550" s="1" t="s">
        <v>1354</v>
      </c>
      <c r="F550" s="1" t="s">
        <v>1354</v>
      </c>
      <c r="G550" s="1" t="s">
        <v>58</v>
      </c>
      <c r="H550" s="1" t="s">
        <v>59</v>
      </c>
      <c r="I550" s="1">
        <v>72</v>
      </c>
      <c r="J550" s="1" t="s">
        <v>65</v>
      </c>
      <c r="K550" s="1" t="s">
        <v>61</v>
      </c>
    </row>
    <row r="551" spans="1:11" customFormat="1" ht="14.5" x14ac:dyDescent="0.35">
      <c r="A551" s="1" t="s">
        <v>1224</v>
      </c>
      <c r="B551" s="1" t="s">
        <v>1345</v>
      </c>
      <c r="C551" s="1" t="s">
        <v>1353</v>
      </c>
      <c r="D551" s="1">
        <v>2</v>
      </c>
      <c r="E551" s="1" t="s">
        <v>1355</v>
      </c>
      <c r="F551" s="1" t="s">
        <v>1356</v>
      </c>
      <c r="G551" s="1" t="s">
        <v>67</v>
      </c>
      <c r="H551" s="1" t="s">
        <v>68</v>
      </c>
      <c r="I551" s="1">
        <v>57</v>
      </c>
      <c r="J551" s="1" t="s">
        <v>65</v>
      </c>
      <c r="K551" s="1" t="s">
        <v>61</v>
      </c>
    </row>
    <row r="552" spans="1:11" customFormat="1" ht="14.5" x14ac:dyDescent="0.35">
      <c r="A552" s="1" t="s">
        <v>1224</v>
      </c>
      <c r="B552" s="1" t="s">
        <v>1345</v>
      </c>
      <c r="C552" s="1" t="s">
        <v>1357</v>
      </c>
      <c r="D552" s="1">
        <v>1</v>
      </c>
      <c r="E552" s="1" t="s">
        <v>1358</v>
      </c>
      <c r="F552" s="1" t="s">
        <v>1358</v>
      </c>
      <c r="G552" s="1" t="s">
        <v>58</v>
      </c>
      <c r="H552" s="1" t="s">
        <v>59</v>
      </c>
      <c r="I552" s="1">
        <v>59</v>
      </c>
      <c r="J552" s="1" t="s">
        <v>65</v>
      </c>
      <c r="K552" s="1" t="s">
        <v>61</v>
      </c>
    </row>
    <row r="553" spans="1:11" customFormat="1" ht="14.5" x14ac:dyDescent="0.35">
      <c r="A553" s="1" t="s">
        <v>1224</v>
      </c>
      <c r="B553" s="1" t="s">
        <v>1345</v>
      </c>
      <c r="C553" s="1" t="s">
        <v>1357</v>
      </c>
      <c r="D553" s="1">
        <v>2</v>
      </c>
      <c r="E553" s="1" t="s">
        <v>1359</v>
      </c>
      <c r="F553" s="1" t="s">
        <v>1360</v>
      </c>
      <c r="G553" s="1" t="s">
        <v>67</v>
      </c>
      <c r="H553" s="1" t="s">
        <v>68</v>
      </c>
      <c r="I553" s="1">
        <v>68</v>
      </c>
      <c r="J553" s="1" t="s">
        <v>65</v>
      </c>
      <c r="K553" s="1" t="s">
        <v>61</v>
      </c>
    </row>
    <row r="554" spans="1:11" customFormat="1" ht="14.5" x14ac:dyDescent="0.35">
      <c r="A554" s="1" t="s">
        <v>1224</v>
      </c>
      <c r="B554" s="1" t="s">
        <v>1345</v>
      </c>
      <c r="C554" s="1" t="s">
        <v>1361</v>
      </c>
      <c r="D554" s="1">
        <v>1</v>
      </c>
      <c r="E554" s="1" t="s">
        <v>1362</v>
      </c>
      <c r="F554" s="1" t="s">
        <v>1362</v>
      </c>
      <c r="G554" s="1" t="s">
        <v>67</v>
      </c>
      <c r="H554" s="1" t="s">
        <v>68</v>
      </c>
      <c r="I554" s="1">
        <v>44</v>
      </c>
      <c r="J554" s="1" t="s">
        <v>65</v>
      </c>
      <c r="K554" s="1" t="s">
        <v>61</v>
      </c>
    </row>
    <row r="555" spans="1:11" customFormat="1" ht="14.5" x14ac:dyDescent="0.35">
      <c r="A555" s="1" t="s">
        <v>1224</v>
      </c>
      <c r="B555" s="1" t="s">
        <v>1345</v>
      </c>
      <c r="C555" s="1" t="s">
        <v>1361</v>
      </c>
      <c r="D555" s="1">
        <v>2</v>
      </c>
      <c r="E555" s="1" t="s">
        <v>1363</v>
      </c>
      <c r="F555" s="1" t="s">
        <v>1364</v>
      </c>
      <c r="G555" s="1" t="s">
        <v>58</v>
      </c>
      <c r="H555" s="1" t="s">
        <v>59</v>
      </c>
      <c r="I555" s="1">
        <v>62</v>
      </c>
      <c r="J555" s="1" t="s">
        <v>65</v>
      </c>
      <c r="K555" s="1" t="s">
        <v>61</v>
      </c>
    </row>
    <row r="556" spans="1:11" customFormat="1" ht="14.5" x14ac:dyDescent="0.35">
      <c r="A556" s="1" t="s">
        <v>1224</v>
      </c>
      <c r="B556" s="1" t="s">
        <v>1365</v>
      </c>
      <c r="C556" s="1" t="s">
        <v>1366</v>
      </c>
      <c r="D556" s="1">
        <v>1</v>
      </c>
      <c r="E556" s="1" t="s">
        <v>1367</v>
      </c>
      <c r="F556" s="1" t="s">
        <v>1367</v>
      </c>
      <c r="G556" s="1" t="s">
        <v>58</v>
      </c>
      <c r="H556" s="1" t="s">
        <v>59</v>
      </c>
      <c r="I556" s="1">
        <v>50</v>
      </c>
      <c r="J556" s="1" t="s">
        <v>65</v>
      </c>
      <c r="K556" s="1" t="s">
        <v>121</v>
      </c>
    </row>
    <row r="557" spans="1:11" customFormat="1" ht="14.5" x14ac:dyDescent="0.35">
      <c r="A557" s="1" t="s">
        <v>1224</v>
      </c>
      <c r="B557" s="1" t="s">
        <v>1365</v>
      </c>
      <c r="C557" s="1" t="s">
        <v>1366</v>
      </c>
      <c r="D557" s="1">
        <v>2</v>
      </c>
      <c r="E557" s="1" t="s">
        <v>1368</v>
      </c>
      <c r="F557" s="1" t="s">
        <v>1368</v>
      </c>
      <c r="G557" s="1" t="s">
        <v>73</v>
      </c>
      <c r="H557" s="1" t="s">
        <v>74</v>
      </c>
      <c r="I557" s="1">
        <v>53</v>
      </c>
      <c r="J557" s="1" t="s">
        <v>65</v>
      </c>
      <c r="K557" s="1" t="s">
        <v>121</v>
      </c>
    </row>
    <row r="558" spans="1:11" customFormat="1" ht="14.5" x14ac:dyDescent="0.35">
      <c r="A558" s="1" t="s">
        <v>1224</v>
      </c>
      <c r="B558" s="1" t="s">
        <v>1365</v>
      </c>
      <c r="C558" s="1" t="s">
        <v>1369</v>
      </c>
      <c r="D558" s="1">
        <v>1</v>
      </c>
      <c r="E558" s="1" t="s">
        <v>1370</v>
      </c>
      <c r="F558" s="1" t="s">
        <v>1371</v>
      </c>
      <c r="G558" s="1" t="s">
        <v>58</v>
      </c>
      <c r="H558" s="1" t="s">
        <v>59</v>
      </c>
      <c r="I558" s="1">
        <v>51</v>
      </c>
      <c r="J558" s="1" t="s">
        <v>65</v>
      </c>
      <c r="K558" s="1" t="s">
        <v>195</v>
      </c>
    </row>
    <row r="559" spans="1:11" customFormat="1" ht="14.5" x14ac:dyDescent="0.35">
      <c r="A559" s="1" t="s">
        <v>1224</v>
      </c>
      <c r="B559" s="1" t="s">
        <v>1365</v>
      </c>
      <c r="C559" s="1" t="s">
        <v>1369</v>
      </c>
      <c r="D559" s="1">
        <v>2</v>
      </c>
      <c r="E559" s="1" t="s">
        <v>1372</v>
      </c>
      <c r="F559" s="1" t="s">
        <v>1372</v>
      </c>
      <c r="G559" s="1" t="s">
        <v>73</v>
      </c>
      <c r="H559" s="1" t="s">
        <v>74</v>
      </c>
      <c r="I559" s="1">
        <v>47</v>
      </c>
      <c r="J559" s="1" t="s">
        <v>65</v>
      </c>
      <c r="K559" s="1" t="s">
        <v>121</v>
      </c>
    </row>
    <row r="560" spans="1:11" customFormat="1" ht="14.5" x14ac:dyDescent="0.35">
      <c r="A560" s="1" t="s">
        <v>1224</v>
      </c>
      <c r="B560" s="1" t="s">
        <v>1365</v>
      </c>
      <c r="C560" s="1" t="s">
        <v>1373</v>
      </c>
      <c r="D560" s="1">
        <v>1</v>
      </c>
      <c r="E560" s="1" t="s">
        <v>1374</v>
      </c>
      <c r="F560" s="1" t="s">
        <v>1375</v>
      </c>
      <c r="G560" s="1" t="s">
        <v>58</v>
      </c>
      <c r="H560" s="1" t="s">
        <v>59</v>
      </c>
      <c r="I560" s="1">
        <v>58</v>
      </c>
      <c r="J560" s="1" t="s">
        <v>65</v>
      </c>
      <c r="K560" s="1" t="s">
        <v>61</v>
      </c>
    </row>
    <row r="561" spans="1:11" customFormat="1" ht="14.5" x14ac:dyDescent="0.35">
      <c r="A561" s="1" t="s">
        <v>1224</v>
      </c>
      <c r="B561" s="1" t="s">
        <v>1365</v>
      </c>
      <c r="C561" s="1" t="s">
        <v>1373</v>
      </c>
      <c r="D561" s="1">
        <v>2</v>
      </c>
      <c r="E561" s="1" t="s">
        <v>1376</v>
      </c>
      <c r="F561" s="1" t="s">
        <v>1377</v>
      </c>
      <c r="G561" s="1" t="s">
        <v>67</v>
      </c>
      <c r="H561" s="1" t="s">
        <v>68</v>
      </c>
      <c r="I561" s="1">
        <v>46</v>
      </c>
      <c r="J561" s="1" t="s">
        <v>65</v>
      </c>
      <c r="K561" s="1" t="s">
        <v>61</v>
      </c>
    </row>
    <row r="562" spans="1:11" customFormat="1" ht="14.5" x14ac:dyDescent="0.35">
      <c r="A562" s="1" t="s">
        <v>1224</v>
      </c>
      <c r="B562" s="1" t="s">
        <v>1365</v>
      </c>
      <c r="C562" s="1" t="s">
        <v>1378</v>
      </c>
      <c r="D562" s="1">
        <v>1</v>
      </c>
      <c r="E562" s="1" t="s">
        <v>1379</v>
      </c>
      <c r="F562" s="1" t="s">
        <v>1380</v>
      </c>
      <c r="G562" s="1" t="s">
        <v>67</v>
      </c>
      <c r="H562" s="1" t="s">
        <v>68</v>
      </c>
      <c r="I562" s="1">
        <v>53</v>
      </c>
      <c r="J562" s="1" t="s">
        <v>65</v>
      </c>
      <c r="K562" s="1" t="s">
        <v>61</v>
      </c>
    </row>
    <row r="563" spans="1:11" customFormat="1" ht="14.5" x14ac:dyDescent="0.35">
      <c r="A563" s="1" t="s">
        <v>1224</v>
      </c>
      <c r="B563" s="1" t="s">
        <v>1365</v>
      </c>
      <c r="C563" s="1" t="s">
        <v>1378</v>
      </c>
      <c r="D563" s="1">
        <v>2</v>
      </c>
      <c r="E563" s="1" t="s">
        <v>1381</v>
      </c>
      <c r="F563" s="1" t="s">
        <v>1381</v>
      </c>
      <c r="G563" s="1" t="s">
        <v>58</v>
      </c>
      <c r="H563" s="1" t="s">
        <v>59</v>
      </c>
      <c r="I563" s="1">
        <v>53</v>
      </c>
      <c r="J563" s="1" t="s">
        <v>65</v>
      </c>
      <c r="K563" s="1" t="s">
        <v>61</v>
      </c>
    </row>
    <row r="564" spans="1:11" customFormat="1" ht="14.5" x14ac:dyDescent="0.35">
      <c r="A564" s="1" t="s">
        <v>1224</v>
      </c>
      <c r="B564" s="1" t="s">
        <v>1365</v>
      </c>
      <c r="C564" s="1" t="s">
        <v>1382</v>
      </c>
      <c r="D564" s="1">
        <v>1</v>
      </c>
      <c r="E564" s="1" t="s">
        <v>1383</v>
      </c>
      <c r="F564" s="1" t="s">
        <v>1383</v>
      </c>
      <c r="G564" s="1" t="s">
        <v>58</v>
      </c>
      <c r="H564" s="1" t="s">
        <v>59</v>
      </c>
      <c r="I564" s="1">
        <v>61</v>
      </c>
      <c r="J564" s="1" t="s">
        <v>65</v>
      </c>
      <c r="K564" s="1" t="s">
        <v>61</v>
      </c>
    </row>
    <row r="565" spans="1:11" customFormat="1" ht="14.5" x14ac:dyDescent="0.35">
      <c r="A565" s="1" t="s">
        <v>1224</v>
      </c>
      <c r="B565" s="1" t="s">
        <v>1365</v>
      </c>
      <c r="C565" s="1" t="s">
        <v>1382</v>
      </c>
      <c r="D565" s="1">
        <v>2</v>
      </c>
      <c r="E565" s="1" t="s">
        <v>1384</v>
      </c>
      <c r="F565" s="1" t="s">
        <v>1385</v>
      </c>
      <c r="G565" s="1" t="s">
        <v>73</v>
      </c>
      <c r="H565" s="1" t="s">
        <v>74</v>
      </c>
      <c r="I565" s="1">
        <v>43</v>
      </c>
      <c r="J565" s="1" t="s">
        <v>65</v>
      </c>
      <c r="K565" s="1" t="s">
        <v>195</v>
      </c>
    </row>
    <row r="566" spans="1:11" customFormat="1" ht="14.5" x14ac:dyDescent="0.35">
      <c r="A566" s="1" t="s">
        <v>1224</v>
      </c>
      <c r="B566" s="1" t="s">
        <v>1386</v>
      </c>
      <c r="C566" s="1" t="s">
        <v>1387</v>
      </c>
      <c r="D566" s="1">
        <v>1</v>
      </c>
      <c r="E566" s="1" t="s">
        <v>1388</v>
      </c>
      <c r="F566" s="1" t="s">
        <v>1389</v>
      </c>
      <c r="G566" s="1" t="s">
        <v>58</v>
      </c>
      <c r="H566" s="1" t="s">
        <v>59</v>
      </c>
      <c r="I566" s="1">
        <v>48</v>
      </c>
      <c r="J566" s="1" t="s">
        <v>65</v>
      </c>
      <c r="K566" s="1" t="s">
        <v>61</v>
      </c>
    </row>
    <row r="567" spans="1:11" customFormat="1" ht="14.5" x14ac:dyDescent="0.35">
      <c r="A567" s="1" t="s">
        <v>1224</v>
      </c>
      <c r="B567" s="1" t="s">
        <v>1386</v>
      </c>
      <c r="C567" s="1" t="s">
        <v>1387</v>
      </c>
      <c r="D567" s="1">
        <v>2</v>
      </c>
      <c r="E567" s="1" t="s">
        <v>1390</v>
      </c>
      <c r="F567" s="1" t="s">
        <v>1390</v>
      </c>
      <c r="G567" s="1" t="s">
        <v>67</v>
      </c>
      <c r="H567" s="1" t="s">
        <v>68</v>
      </c>
      <c r="I567" s="1">
        <v>59</v>
      </c>
      <c r="J567" s="1" t="s">
        <v>65</v>
      </c>
      <c r="K567" s="1" t="s">
        <v>61</v>
      </c>
    </row>
    <row r="568" spans="1:11" customFormat="1" ht="14.5" x14ac:dyDescent="0.35">
      <c r="A568" s="1" t="s">
        <v>1224</v>
      </c>
      <c r="B568" s="1" t="s">
        <v>1386</v>
      </c>
      <c r="C568" s="1" t="s">
        <v>1391</v>
      </c>
      <c r="D568" s="1">
        <v>1</v>
      </c>
      <c r="E568" s="1" t="s">
        <v>1392</v>
      </c>
      <c r="F568" s="1" t="s">
        <v>1393</v>
      </c>
      <c r="G568" s="1" t="s">
        <v>58</v>
      </c>
      <c r="H568" s="1" t="s">
        <v>59</v>
      </c>
      <c r="I568" s="1">
        <v>65</v>
      </c>
      <c r="J568" s="1" t="s">
        <v>65</v>
      </c>
      <c r="K568" s="1" t="s">
        <v>61</v>
      </c>
    </row>
    <row r="569" spans="1:11" customFormat="1" ht="14.5" x14ac:dyDescent="0.35">
      <c r="A569" s="1" t="s">
        <v>1224</v>
      </c>
      <c r="B569" s="1" t="s">
        <v>1386</v>
      </c>
      <c r="C569" s="1" t="s">
        <v>1391</v>
      </c>
      <c r="D569" s="1">
        <v>2</v>
      </c>
      <c r="E569" s="1" t="s">
        <v>1394</v>
      </c>
      <c r="F569" s="1" t="s">
        <v>1395</v>
      </c>
      <c r="G569" s="1" t="s">
        <v>67</v>
      </c>
      <c r="H569" s="1" t="s">
        <v>68</v>
      </c>
      <c r="I569" s="1">
        <v>41</v>
      </c>
      <c r="J569" s="1" t="s">
        <v>65</v>
      </c>
      <c r="K569" s="1" t="s">
        <v>61</v>
      </c>
    </row>
    <row r="570" spans="1:11" customFormat="1" ht="14.5" x14ac:dyDescent="0.35">
      <c r="A570" s="1" t="s">
        <v>1224</v>
      </c>
      <c r="B570" s="1" t="s">
        <v>1386</v>
      </c>
      <c r="C570" s="1" t="s">
        <v>1396</v>
      </c>
      <c r="D570" s="1">
        <v>1</v>
      </c>
      <c r="E570" s="1" t="s">
        <v>1397</v>
      </c>
      <c r="F570" s="1" t="s">
        <v>1398</v>
      </c>
      <c r="G570" s="1" t="s">
        <v>58</v>
      </c>
      <c r="H570" s="1" t="s">
        <v>59</v>
      </c>
      <c r="I570" s="1">
        <v>35</v>
      </c>
      <c r="J570" s="1" t="s">
        <v>60</v>
      </c>
      <c r="K570" s="1" t="s">
        <v>121</v>
      </c>
    </row>
    <row r="571" spans="1:11" customFormat="1" ht="14.5" x14ac:dyDescent="0.35">
      <c r="A571" s="1" t="s">
        <v>1224</v>
      </c>
      <c r="B571" s="1" t="s">
        <v>1386</v>
      </c>
      <c r="C571" s="1" t="s">
        <v>1396</v>
      </c>
      <c r="D571" s="1">
        <v>2</v>
      </c>
      <c r="E571" s="1" t="s">
        <v>1399</v>
      </c>
      <c r="F571" s="1" t="s">
        <v>1399</v>
      </c>
      <c r="G571" s="1" t="s">
        <v>73</v>
      </c>
      <c r="H571" s="1" t="s">
        <v>74</v>
      </c>
      <c r="I571" s="1">
        <v>49</v>
      </c>
      <c r="J571" s="1" t="s">
        <v>65</v>
      </c>
      <c r="K571" s="1" t="s">
        <v>195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43EE4-379F-445F-B3A4-282AF4C0AFCF}">
  <dimension ref="B1:H8"/>
  <sheetViews>
    <sheetView workbookViewId="0">
      <selection activeCell="B1" sqref="B1:H8"/>
    </sheetView>
  </sheetViews>
  <sheetFormatPr defaultRowHeight="14.5" outlineLevelCol="1" x14ac:dyDescent="0.35"/>
  <cols>
    <col min="3" max="5" width="0" hidden="1" customWidth="1" outlineLevel="1"/>
    <col min="6" max="6" width="8.90625" collapsed="1"/>
  </cols>
  <sheetData>
    <row r="1" spans="2:8" x14ac:dyDescent="0.35">
      <c r="B1" s="1"/>
      <c r="C1" s="58" t="s">
        <v>1447</v>
      </c>
      <c r="D1" s="58"/>
      <c r="E1" s="1"/>
      <c r="F1" s="58" t="s">
        <v>1447</v>
      </c>
      <c r="G1" s="58"/>
      <c r="H1" s="1"/>
    </row>
    <row r="2" spans="2:8" x14ac:dyDescent="0.35">
      <c r="B2" s="1" t="s">
        <v>0</v>
      </c>
      <c r="C2" s="1" t="s">
        <v>1448</v>
      </c>
      <c r="D2" s="1" t="s">
        <v>1432</v>
      </c>
      <c r="E2" s="1" t="s">
        <v>1449</v>
      </c>
      <c r="F2" s="1" t="s">
        <v>1448</v>
      </c>
      <c r="G2" s="1" t="s">
        <v>1432</v>
      </c>
      <c r="H2" s="1" t="s">
        <v>1449</v>
      </c>
    </row>
    <row r="3" spans="2:8" x14ac:dyDescent="0.35">
      <c r="B3" s="1" t="s">
        <v>54</v>
      </c>
      <c r="C3" s="24">
        <v>73.344268603891905</v>
      </c>
      <c r="D3" s="24">
        <v>71.666291197197623</v>
      </c>
      <c r="E3" s="24">
        <f t="shared" ref="E3:E8" si="0">C3-D3</f>
        <v>1.6779774066942821</v>
      </c>
      <c r="F3" s="9">
        <f t="shared" ref="F3:H8" si="1">C3/100</f>
        <v>0.73344268603891905</v>
      </c>
      <c r="G3" s="9">
        <f t="shared" si="1"/>
        <v>0.71666291197197618</v>
      </c>
      <c r="H3" s="9">
        <f t="shared" si="1"/>
        <v>1.677977406694282E-2</v>
      </c>
    </row>
    <row r="4" spans="2:8" x14ac:dyDescent="0.35">
      <c r="B4" s="1" t="s">
        <v>1442</v>
      </c>
      <c r="C4" s="24">
        <v>60.332442815132957</v>
      </c>
      <c r="D4" s="24">
        <v>71.428418886317473</v>
      </c>
      <c r="E4" s="24">
        <f t="shared" si="0"/>
        <v>-11.095976071184516</v>
      </c>
      <c r="F4" s="9">
        <f t="shared" si="1"/>
        <v>0.60332442815132958</v>
      </c>
      <c r="G4" s="9">
        <f t="shared" si="1"/>
        <v>0.71428418886317468</v>
      </c>
      <c r="H4" s="9">
        <f t="shared" si="1"/>
        <v>-0.11095976071184516</v>
      </c>
    </row>
    <row r="5" spans="2:8" x14ac:dyDescent="0.35">
      <c r="B5" s="1" t="s">
        <v>1443</v>
      </c>
      <c r="C5" s="24">
        <v>77.134475889299807</v>
      </c>
      <c r="D5" s="24">
        <v>80.944914482866238</v>
      </c>
      <c r="E5" s="24">
        <f t="shared" si="0"/>
        <v>-3.8104385935664311</v>
      </c>
      <c r="F5" s="9">
        <f t="shared" si="1"/>
        <v>0.77134475889299803</v>
      </c>
      <c r="G5" s="9">
        <f t="shared" si="1"/>
        <v>0.80944914482866237</v>
      </c>
      <c r="H5" s="9">
        <f t="shared" si="1"/>
        <v>-3.8104385935664314E-2</v>
      </c>
    </row>
    <row r="6" spans="2:8" x14ac:dyDescent="0.35">
      <c r="B6" s="1" t="s">
        <v>1444</v>
      </c>
      <c r="C6" s="24">
        <v>72.099776535045436</v>
      </c>
      <c r="D6" s="24">
        <v>77.753365736581486</v>
      </c>
      <c r="E6" s="24">
        <f t="shared" si="0"/>
        <v>-5.6535892015360503</v>
      </c>
      <c r="F6" s="9">
        <f t="shared" si="1"/>
        <v>0.72099776535045434</v>
      </c>
      <c r="G6" s="9">
        <f t="shared" si="1"/>
        <v>0.77753365736581481</v>
      </c>
      <c r="H6" s="9">
        <f t="shared" si="1"/>
        <v>-5.6535892015360502E-2</v>
      </c>
    </row>
    <row r="7" spans="2:8" x14ac:dyDescent="0.35">
      <c r="B7" s="1" t="s">
        <v>1445</v>
      </c>
      <c r="C7" s="24">
        <v>72.01457036815826</v>
      </c>
      <c r="D7" s="24">
        <v>80.292306805501482</v>
      </c>
      <c r="E7" s="24">
        <f t="shared" si="0"/>
        <v>-8.2777364373432221</v>
      </c>
      <c r="F7" s="9">
        <f t="shared" si="1"/>
        <v>0.72014570368158259</v>
      </c>
      <c r="G7" s="9">
        <f t="shared" si="1"/>
        <v>0.80292306805501479</v>
      </c>
      <c r="H7" s="9">
        <f t="shared" si="1"/>
        <v>-8.2777364373432222E-2</v>
      </c>
    </row>
    <row r="8" spans="2:8" x14ac:dyDescent="0.35">
      <c r="B8" s="1" t="s">
        <v>1446</v>
      </c>
      <c r="C8" s="24">
        <v>67.380628741649076</v>
      </c>
      <c r="D8" s="24">
        <v>78.276107255557577</v>
      </c>
      <c r="E8" s="24">
        <f t="shared" si="0"/>
        <v>-10.8954785139085</v>
      </c>
      <c r="F8" s="9">
        <f t="shared" si="1"/>
        <v>0.67380628741649073</v>
      </c>
      <c r="G8" s="9">
        <f t="shared" si="1"/>
        <v>0.78276107255557581</v>
      </c>
      <c r="H8" s="9">
        <f t="shared" si="1"/>
        <v>-0.10895478513908501</v>
      </c>
    </row>
  </sheetData>
  <mergeCells count="2">
    <mergeCell ref="C1:D1"/>
    <mergeCell ref="F1:G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D5394-3435-4134-8740-E05BAE6DE9A6}">
  <dimension ref="A1:R195"/>
  <sheetViews>
    <sheetView topLeftCell="A176" workbookViewId="0">
      <selection activeCell="R195" sqref="R195"/>
    </sheetView>
  </sheetViews>
  <sheetFormatPr defaultRowHeight="14.5" x14ac:dyDescent="0.35"/>
  <sheetData>
    <row r="1" spans="1:18" x14ac:dyDescent="0.35">
      <c r="A1" t="s">
        <v>54</v>
      </c>
    </row>
    <row r="2" spans="1:18" x14ac:dyDescent="0.35">
      <c r="B2" s="1" t="s">
        <v>1420</v>
      </c>
      <c r="C2" s="1" t="s">
        <v>1421</v>
      </c>
      <c r="D2" s="1" t="s">
        <v>1422</v>
      </c>
      <c r="E2" s="1" t="s">
        <v>1423</v>
      </c>
      <c r="F2" s="4" t="s">
        <v>1433</v>
      </c>
      <c r="G2" s="4" t="s">
        <v>1434</v>
      </c>
      <c r="H2" s="1" t="s">
        <v>1447</v>
      </c>
    </row>
    <row r="3" spans="1:18" x14ac:dyDescent="0.35">
      <c r="B3" s="9">
        <v>0.94999396790927737</v>
      </c>
      <c r="C3" s="9">
        <v>1.2516588249487271E-2</v>
      </c>
      <c r="D3" s="9">
        <v>2.5968150560984438E-2</v>
      </c>
      <c r="E3" s="9">
        <v>1.1521293280250935E-2</v>
      </c>
      <c r="F3" s="4">
        <v>22621</v>
      </c>
      <c r="G3" s="4">
        <v>68.2</v>
      </c>
      <c r="H3" s="9">
        <f>G3/100</f>
        <v>0.68200000000000005</v>
      </c>
    </row>
    <row r="4" spans="1:18" x14ac:dyDescent="0.35">
      <c r="B4" s="9">
        <v>0.84461290136623046</v>
      </c>
      <c r="C4" s="9">
        <v>0.11906957975442439</v>
      </c>
      <c r="D4" s="9">
        <v>2.135815991237678E-2</v>
      </c>
      <c r="E4" s="9">
        <v>1.4959358966968352E-2</v>
      </c>
      <c r="F4" s="4">
        <v>20771</v>
      </c>
      <c r="G4" s="4">
        <v>59.9</v>
      </c>
      <c r="H4" s="9">
        <f t="shared" ref="H4:H38" si="0">G4/100</f>
        <v>0.59899999999999998</v>
      </c>
    </row>
    <row r="5" spans="1:18" x14ac:dyDescent="0.35">
      <c r="B5" s="9">
        <v>0.9156395876011687</v>
      </c>
      <c r="C5" s="9">
        <v>6.8509252107331164E-2</v>
      </c>
      <c r="D5" s="9">
        <v>1.1754038351747993E-3</v>
      </c>
      <c r="E5" s="9">
        <v>1.4675756456325352E-2</v>
      </c>
      <c r="F5" s="4">
        <v>21582</v>
      </c>
      <c r="G5" s="4">
        <v>72.5</v>
      </c>
      <c r="H5" s="9">
        <f t="shared" si="0"/>
        <v>0.72499999999999998</v>
      </c>
    </row>
    <row r="6" spans="1:18" x14ac:dyDescent="0.35">
      <c r="B6" s="9">
        <v>0.9024035537692694</v>
      </c>
      <c r="C6" s="9">
        <v>6.5839921732462517E-2</v>
      </c>
      <c r="D6" s="9">
        <v>8.4613554033686773E-4</v>
      </c>
      <c r="E6" s="9">
        <v>3.09103889579312E-2</v>
      </c>
      <c r="F6" s="4">
        <v>28183</v>
      </c>
      <c r="G6" s="4">
        <v>74.5</v>
      </c>
      <c r="H6" s="9">
        <f t="shared" si="0"/>
        <v>0.745</v>
      </c>
      <c r="R6" t="s">
        <v>1460</v>
      </c>
    </row>
    <row r="7" spans="1:18" x14ac:dyDescent="0.35">
      <c r="B7" s="9">
        <v>0.892973465931298</v>
      </c>
      <c r="C7" s="9">
        <v>6.587918530420811E-2</v>
      </c>
      <c r="D7" s="9">
        <v>2.1105658574716638E-2</v>
      </c>
      <c r="E7" s="9">
        <v>2.0041690189777219E-2</v>
      </c>
      <c r="F7" s="4">
        <v>33668</v>
      </c>
      <c r="G7" s="4">
        <v>73.099999999999994</v>
      </c>
      <c r="H7" s="9">
        <f t="shared" si="0"/>
        <v>0.73099999999999998</v>
      </c>
    </row>
    <row r="8" spans="1:18" x14ac:dyDescent="0.35">
      <c r="B8" s="9">
        <v>0.83824672132447386</v>
      </c>
      <c r="C8" s="9">
        <v>0.10084206853898729</v>
      </c>
      <c r="D8" s="9">
        <v>4.2658462709526002E-2</v>
      </c>
      <c r="E8" s="9">
        <v>1.8252747427012796E-2</v>
      </c>
      <c r="F8" s="4">
        <v>45512</v>
      </c>
      <c r="G8" s="4">
        <v>72.2</v>
      </c>
      <c r="H8" s="9">
        <f t="shared" si="0"/>
        <v>0.72199999999999998</v>
      </c>
      <c r="R8" s="8">
        <f>0.1617+0.6061</f>
        <v>0.76780000000000004</v>
      </c>
    </row>
    <row r="9" spans="1:18" x14ac:dyDescent="0.35">
      <c r="B9" s="9">
        <v>0.96769480003811825</v>
      </c>
      <c r="C9" s="9">
        <v>1.5056700867189734E-2</v>
      </c>
      <c r="D9" s="9">
        <v>1.5882595851465964E-3</v>
      </c>
      <c r="E9" s="9">
        <v>1.566023950954544E-2</v>
      </c>
      <c r="F9" s="4">
        <v>23876</v>
      </c>
      <c r="G9" s="4">
        <v>75.8</v>
      </c>
      <c r="H9" s="9">
        <f t="shared" si="0"/>
        <v>0.75800000000000001</v>
      </c>
    </row>
    <row r="10" spans="1:18" x14ac:dyDescent="0.35">
      <c r="B10" s="9">
        <v>0.85953995665245053</v>
      </c>
      <c r="C10" s="9">
        <v>1.0871845067468364E-2</v>
      </c>
      <c r="D10" s="9">
        <v>8.7394252953925755E-4</v>
      </c>
      <c r="E10" s="9">
        <v>0.12871425575054185</v>
      </c>
      <c r="F10" s="4">
        <v>22421</v>
      </c>
      <c r="G10" s="4">
        <v>78.400000000000006</v>
      </c>
      <c r="H10" s="9">
        <f t="shared" si="0"/>
        <v>0.78400000000000003</v>
      </c>
    </row>
    <row r="11" spans="1:18" x14ac:dyDescent="0.35">
      <c r="B11" s="9">
        <v>0.89992388715657146</v>
      </c>
      <c r="C11" s="9">
        <v>7.0907707039210385E-2</v>
      </c>
      <c r="D11" s="9">
        <v>1.8659922905055366E-2</v>
      </c>
      <c r="E11" s="9">
        <v>1.0508482899162759E-2</v>
      </c>
      <c r="F11" s="4">
        <v>30955</v>
      </c>
      <c r="G11" s="4">
        <v>76</v>
      </c>
      <c r="H11" s="9">
        <f t="shared" si="0"/>
        <v>0.76</v>
      </c>
    </row>
    <row r="12" spans="1:18" x14ac:dyDescent="0.35">
      <c r="B12" s="9">
        <v>0.93120600146775023</v>
      </c>
      <c r="C12" s="9">
        <v>5.3328259628713542E-2</v>
      </c>
      <c r="D12" s="9">
        <v>9.3772933597890788E-3</v>
      </c>
      <c r="E12" s="9">
        <v>6.0884455437471121E-3</v>
      </c>
      <c r="F12" s="4">
        <v>27821</v>
      </c>
      <c r="G12" s="4">
        <v>75.599999999999994</v>
      </c>
      <c r="H12" s="9">
        <f t="shared" si="0"/>
        <v>0.75599999999999989</v>
      </c>
    </row>
    <row r="13" spans="1:18" x14ac:dyDescent="0.35">
      <c r="B13" s="9">
        <v>0.61256558376172554</v>
      </c>
      <c r="C13" s="9">
        <v>0.32956171498224601</v>
      </c>
      <c r="D13" s="9">
        <v>4.5630399067253163E-2</v>
      </c>
      <c r="E13" s="9">
        <v>1.224230218877524E-2</v>
      </c>
      <c r="F13" s="4">
        <v>25445</v>
      </c>
      <c r="G13" s="4">
        <v>67.400000000000006</v>
      </c>
      <c r="H13" s="9">
        <f t="shared" si="0"/>
        <v>0.67400000000000004</v>
      </c>
    </row>
    <row r="14" spans="1:18" x14ac:dyDescent="0.35">
      <c r="B14" s="9">
        <v>0.72209643206139618</v>
      </c>
      <c r="C14" s="9">
        <v>0.23183259050933097</v>
      </c>
      <c r="D14" s="9">
        <v>4.0040994351359722E-2</v>
      </c>
      <c r="E14" s="9">
        <v>6.0299830779131014E-3</v>
      </c>
      <c r="F14" s="4">
        <v>28547</v>
      </c>
      <c r="G14" s="4">
        <v>68</v>
      </c>
      <c r="H14" s="9">
        <f t="shared" si="0"/>
        <v>0.68</v>
      </c>
    </row>
    <row r="15" spans="1:18" x14ac:dyDescent="0.35">
      <c r="B15" s="20">
        <v>0.35568546982074412</v>
      </c>
      <c r="C15" s="20">
        <v>0.5658368500522668</v>
      </c>
      <c r="D15" s="20">
        <v>6.7946881412365948E-2</v>
      </c>
      <c r="E15" s="20">
        <v>1.0530798714623098E-2</v>
      </c>
      <c r="F15" s="19">
        <v>16706</v>
      </c>
      <c r="G15" s="19">
        <v>64.7</v>
      </c>
      <c r="H15" s="9">
        <f t="shared" si="0"/>
        <v>0.64700000000000002</v>
      </c>
    </row>
    <row r="16" spans="1:18" x14ac:dyDescent="0.35">
      <c r="B16" s="9">
        <v>0.72573508234493234</v>
      </c>
      <c r="C16" s="9">
        <v>0.23805409368208835</v>
      </c>
      <c r="D16" s="9">
        <v>2.7387217552954729E-2</v>
      </c>
      <c r="E16" s="9">
        <v>8.8236064200246118E-3</v>
      </c>
      <c r="F16" s="4">
        <v>27768</v>
      </c>
      <c r="G16" s="4">
        <v>72.7</v>
      </c>
      <c r="H16" s="9">
        <f t="shared" si="0"/>
        <v>0.72699999999999998</v>
      </c>
    </row>
    <row r="17" spans="2:18" x14ac:dyDescent="0.35">
      <c r="B17" s="9">
        <v>0.88709544819270503</v>
      </c>
      <c r="C17" s="9">
        <v>9.43246279904634E-2</v>
      </c>
      <c r="D17" s="9">
        <v>1.2934696226466799E-2</v>
      </c>
      <c r="E17" s="9">
        <v>5.6452275903647476E-3</v>
      </c>
      <c r="F17" s="4">
        <v>27645</v>
      </c>
      <c r="G17" s="4">
        <v>75.8</v>
      </c>
      <c r="H17" s="9">
        <f t="shared" si="0"/>
        <v>0.75800000000000001</v>
      </c>
    </row>
    <row r="18" spans="2:18" x14ac:dyDescent="0.35">
      <c r="B18" s="9">
        <v>0.70495491011884615</v>
      </c>
      <c r="C18" s="9">
        <v>0.27800449903449925</v>
      </c>
      <c r="D18" s="9">
        <v>9.7346365934744099E-3</v>
      </c>
      <c r="E18" s="9">
        <v>7.3059542531801807E-3</v>
      </c>
      <c r="F18" s="4">
        <v>35116</v>
      </c>
      <c r="G18" s="4">
        <v>69.900000000000006</v>
      </c>
      <c r="H18" s="9">
        <f t="shared" si="0"/>
        <v>0.69900000000000007</v>
      </c>
    </row>
    <row r="19" spans="2:18" x14ac:dyDescent="0.35">
      <c r="B19" s="9">
        <v>0.72066616199848599</v>
      </c>
      <c r="C19" s="9">
        <v>0.26155509895101114</v>
      </c>
      <c r="D19" s="9">
        <v>1.2522980426084136E-2</v>
      </c>
      <c r="E19" s="9">
        <v>5.2557586244187304E-3</v>
      </c>
      <c r="F19" s="4">
        <v>33666</v>
      </c>
      <c r="G19" s="4">
        <v>72.8</v>
      </c>
      <c r="H19" s="9">
        <f t="shared" si="0"/>
        <v>0.72799999999999998</v>
      </c>
    </row>
    <row r="20" spans="2:18" x14ac:dyDescent="0.35">
      <c r="B20" s="9">
        <v>0.9159430510865253</v>
      </c>
      <c r="C20" s="9">
        <v>7.6938334729140037E-2</v>
      </c>
      <c r="D20" s="9">
        <v>2.4242958522501874E-3</v>
      </c>
      <c r="E20" s="9">
        <v>4.694318332084454E-3</v>
      </c>
      <c r="F20" s="4">
        <v>34739</v>
      </c>
      <c r="G20" s="4">
        <v>76.599999999999994</v>
      </c>
      <c r="H20" s="9">
        <f t="shared" si="0"/>
        <v>0.7659999999999999</v>
      </c>
    </row>
    <row r="21" spans="2:18" x14ac:dyDescent="0.35">
      <c r="B21" s="9">
        <v>0.85672076739385594</v>
      </c>
      <c r="C21" s="9">
        <v>1.9124134860565831E-2</v>
      </c>
      <c r="D21" s="9">
        <v>7.2044359898004616E-3</v>
      </c>
      <c r="E21" s="9">
        <v>0.11695066175577772</v>
      </c>
      <c r="F21" s="4">
        <v>37209</v>
      </c>
      <c r="G21" s="4">
        <v>75.3</v>
      </c>
      <c r="H21" s="9">
        <f t="shared" si="0"/>
        <v>0.753</v>
      </c>
    </row>
    <row r="22" spans="2:18" x14ac:dyDescent="0.35">
      <c r="B22" s="9">
        <v>0.94067030306565935</v>
      </c>
      <c r="C22" s="9">
        <v>5.606277163608786E-2</v>
      </c>
      <c r="D22" s="9">
        <v>7.0005542105416678E-4</v>
      </c>
      <c r="E22" s="9">
        <v>2.5668698771986118E-3</v>
      </c>
      <c r="F22" s="4">
        <v>27096</v>
      </c>
      <c r="G22" s="4">
        <v>79</v>
      </c>
      <c r="H22" s="9">
        <f t="shared" si="0"/>
        <v>0.79</v>
      </c>
    </row>
    <row r="23" spans="2:18" x14ac:dyDescent="0.35">
      <c r="B23" s="9">
        <v>0.89835466179159051</v>
      </c>
      <c r="C23" s="9">
        <v>9.1407678244972576E-2</v>
      </c>
      <c r="D23" s="9">
        <v>6.8472660794415821E-3</v>
      </c>
      <c r="E23" s="9">
        <v>3.3903938839953463E-3</v>
      </c>
      <c r="F23" s="4">
        <v>22599</v>
      </c>
      <c r="G23" s="4">
        <v>75.099999999999994</v>
      </c>
      <c r="H23" s="9">
        <f t="shared" si="0"/>
        <v>0.75099999999999989</v>
      </c>
      <c r="R23" t="s">
        <v>1461</v>
      </c>
    </row>
    <row r="24" spans="2:18" x14ac:dyDescent="0.35">
      <c r="B24" s="9">
        <v>0.62651132116948782</v>
      </c>
      <c r="C24" s="9">
        <v>0.21609144867003738</v>
      </c>
      <c r="D24" s="9">
        <v>0.1479201778168584</v>
      </c>
      <c r="E24" s="9">
        <v>9.4770523436164232E-3</v>
      </c>
      <c r="F24" s="4">
        <v>28958</v>
      </c>
      <c r="G24" s="4">
        <v>70.7</v>
      </c>
      <c r="H24" s="9">
        <f t="shared" si="0"/>
        <v>0.70700000000000007</v>
      </c>
    </row>
    <row r="25" spans="2:18" x14ac:dyDescent="0.35">
      <c r="B25" s="9">
        <v>0.93016154802059292</v>
      </c>
      <c r="C25" s="9">
        <v>1.6225812178235398E-2</v>
      </c>
      <c r="D25" s="9">
        <v>1.8462630924906799E-3</v>
      </c>
      <c r="E25" s="9">
        <v>5.1766376708680985E-2</v>
      </c>
      <c r="F25" s="4">
        <v>21408</v>
      </c>
      <c r="G25" s="4">
        <v>76</v>
      </c>
      <c r="H25" s="9">
        <f t="shared" si="0"/>
        <v>0.76</v>
      </c>
      <c r="R25" s="8">
        <f>-0.2257+0.7648</f>
        <v>0.53910000000000002</v>
      </c>
    </row>
    <row r="26" spans="2:18" x14ac:dyDescent="0.35">
      <c r="B26" s="9">
        <v>0.92158873977832867</v>
      </c>
      <c r="C26" s="9">
        <v>1.2821608684502949E-2</v>
      </c>
      <c r="D26" s="9">
        <v>1.0827136222469158E-3</v>
      </c>
      <c r="E26" s="9">
        <v>6.45069379149215E-2</v>
      </c>
      <c r="F26" s="4">
        <v>27596</v>
      </c>
      <c r="G26" s="4">
        <v>78.599999999999994</v>
      </c>
      <c r="H26" s="9">
        <f t="shared" si="0"/>
        <v>0.78599999999999992</v>
      </c>
    </row>
    <row r="27" spans="2:18" x14ac:dyDescent="0.35">
      <c r="B27" s="9">
        <v>0.61329510299554812</v>
      </c>
      <c r="C27" s="9">
        <v>0.17422470384063984</v>
      </c>
      <c r="D27" s="9">
        <v>0.20082245529314119</v>
      </c>
      <c r="E27" s="9">
        <v>1.1657737870670792E-2</v>
      </c>
      <c r="F27" s="4">
        <v>55726</v>
      </c>
      <c r="G27" s="4">
        <v>70.099999999999994</v>
      </c>
      <c r="H27" s="9">
        <f t="shared" si="0"/>
        <v>0.70099999999999996</v>
      </c>
    </row>
    <row r="28" spans="2:18" x14ac:dyDescent="0.35">
      <c r="B28" s="9">
        <v>0.81156528583719267</v>
      </c>
      <c r="C28" s="9">
        <v>0.11689761848102656</v>
      </c>
      <c r="D28" s="9">
        <v>5.6856248512694725E-2</v>
      </c>
      <c r="E28" s="9">
        <v>1.4680847169086016E-2</v>
      </c>
      <c r="F28" s="4">
        <v>41587</v>
      </c>
      <c r="G28" s="4">
        <v>76.099999999999994</v>
      </c>
      <c r="H28" s="9">
        <f t="shared" si="0"/>
        <v>0.7609999999999999</v>
      </c>
    </row>
    <row r="29" spans="2:18" x14ac:dyDescent="0.35">
      <c r="B29" s="9">
        <v>0.91105199798066094</v>
      </c>
      <c r="C29" s="9">
        <v>6.0483088035416098E-2</v>
      </c>
      <c r="D29" s="9">
        <v>2.3610733563745098E-2</v>
      </c>
      <c r="E29" s="9">
        <v>4.8541804201778574E-3</v>
      </c>
      <c r="F29" s="4">
        <v>40759</v>
      </c>
      <c r="G29" s="4">
        <v>79.099999999999994</v>
      </c>
      <c r="H29" s="9">
        <f t="shared" si="0"/>
        <v>0.79099999999999993</v>
      </c>
    </row>
    <row r="30" spans="2:18" x14ac:dyDescent="0.35">
      <c r="B30" s="18">
        <v>0.47574610745329809</v>
      </c>
      <c r="C30" s="18">
        <v>0.36989994297267875</v>
      </c>
      <c r="D30" s="18">
        <v>0.14650837264762301</v>
      </c>
      <c r="E30" s="18">
        <v>7.8455769264001943E-3</v>
      </c>
      <c r="F30" s="16">
        <v>40233</v>
      </c>
      <c r="G30" s="16">
        <v>69.5</v>
      </c>
      <c r="H30" s="9">
        <f t="shared" si="0"/>
        <v>0.69499999999999995</v>
      </c>
    </row>
    <row r="31" spans="2:18" x14ac:dyDescent="0.35">
      <c r="B31" s="18">
        <v>0.49274387944181164</v>
      </c>
      <c r="C31" s="18">
        <v>0.30808585999376875</v>
      </c>
      <c r="D31" s="18">
        <v>0.18701933325680928</v>
      </c>
      <c r="E31" s="18">
        <v>1.2150927307610318E-2</v>
      </c>
      <c r="F31" s="16">
        <v>42764</v>
      </c>
      <c r="G31" s="16">
        <v>70.099999999999994</v>
      </c>
      <c r="H31" s="9">
        <f t="shared" si="0"/>
        <v>0.70099999999999996</v>
      </c>
    </row>
    <row r="32" spans="2:18" x14ac:dyDescent="0.35">
      <c r="B32" s="9">
        <v>0.92945204040913199</v>
      </c>
      <c r="C32" s="9">
        <v>3.5767542477894695E-2</v>
      </c>
      <c r="D32" s="9">
        <v>6.6158402117068868E-3</v>
      </c>
      <c r="E32" s="9">
        <v>2.8164576901266461E-2</v>
      </c>
      <c r="F32" s="4">
        <v>36992</v>
      </c>
      <c r="G32" s="4">
        <v>77.7</v>
      </c>
      <c r="H32" s="9">
        <f t="shared" si="0"/>
        <v>0.77700000000000002</v>
      </c>
    </row>
    <row r="33" spans="2:18" x14ac:dyDescent="0.35">
      <c r="B33" s="9">
        <v>0.92333801498127344</v>
      </c>
      <c r="C33" s="9">
        <v>3.3520599250936332E-2</v>
      </c>
      <c r="D33" s="9">
        <v>2.5000000000000001E-2</v>
      </c>
      <c r="E33" s="9">
        <v>1.8141385767790261E-2</v>
      </c>
      <c r="F33" s="4">
        <v>33457</v>
      </c>
      <c r="G33" s="4">
        <v>78.3</v>
      </c>
      <c r="H33" s="9">
        <f t="shared" si="0"/>
        <v>0.78299999999999992</v>
      </c>
    </row>
    <row r="34" spans="2:18" x14ac:dyDescent="0.35">
      <c r="B34" s="9">
        <v>0.82358240091029777</v>
      </c>
      <c r="C34" s="9">
        <v>5.6751374928882992E-2</v>
      </c>
      <c r="D34" s="9">
        <v>0.11089512611416651</v>
      </c>
      <c r="E34" s="9">
        <v>8.7710980466527595E-3</v>
      </c>
      <c r="F34" s="4">
        <v>33179</v>
      </c>
      <c r="G34" s="4">
        <v>78.7</v>
      </c>
      <c r="H34" s="9">
        <f t="shared" si="0"/>
        <v>0.78700000000000003</v>
      </c>
    </row>
    <row r="35" spans="2:18" x14ac:dyDescent="0.35">
      <c r="B35" s="9">
        <v>0.76677981358888281</v>
      </c>
      <c r="C35" s="9">
        <v>6.741931249179528E-2</v>
      </c>
      <c r="D35" s="9">
        <v>0.15873075408360371</v>
      </c>
      <c r="E35" s="9">
        <v>7.0701198357181706E-3</v>
      </c>
      <c r="F35" s="4">
        <v>40553</v>
      </c>
      <c r="G35" s="4">
        <v>76.099999999999994</v>
      </c>
      <c r="H35" s="9">
        <f t="shared" si="0"/>
        <v>0.7609999999999999</v>
      </c>
    </row>
    <row r="36" spans="2:18" x14ac:dyDescent="0.35">
      <c r="B36" s="9">
        <v>0.53684376976597092</v>
      </c>
      <c r="C36" s="9">
        <v>0.24289641414878607</v>
      </c>
      <c r="D36" s="9">
        <v>0.21293728409477936</v>
      </c>
      <c r="E36" s="9">
        <v>7.3225319904636791E-3</v>
      </c>
      <c r="F36" s="4">
        <v>59520</v>
      </c>
      <c r="G36" s="4">
        <v>72.400000000000006</v>
      </c>
      <c r="H36" s="9">
        <f t="shared" si="0"/>
        <v>0.72400000000000009</v>
      </c>
    </row>
    <row r="37" spans="2:18" x14ac:dyDescent="0.35">
      <c r="B37" s="9">
        <v>0.63388654027211133</v>
      </c>
      <c r="C37" s="9">
        <v>0.19400395059905112</v>
      </c>
      <c r="D37" s="9">
        <v>0.16513134818807806</v>
      </c>
      <c r="E37" s="9">
        <v>6.9781609407594753E-3</v>
      </c>
      <c r="F37" s="4">
        <v>38814</v>
      </c>
      <c r="G37" s="4">
        <v>71.7</v>
      </c>
      <c r="H37" s="9">
        <f t="shared" si="0"/>
        <v>0.71700000000000008</v>
      </c>
    </row>
    <row r="38" spans="2:18" x14ac:dyDescent="0.35">
      <c r="B38" s="9">
        <v>0.79966264793717512</v>
      </c>
      <c r="C38" s="9">
        <v>0.13297754673155623</v>
      </c>
      <c r="D38" s="9">
        <v>6.3626811193452051E-2</v>
      </c>
      <c r="E38" s="9">
        <v>3.7329941378166131E-3</v>
      </c>
      <c r="F38" s="4">
        <v>27077</v>
      </c>
      <c r="G38" s="4">
        <v>74.900000000000006</v>
      </c>
      <c r="H38" s="9">
        <f t="shared" si="0"/>
        <v>0.74900000000000011</v>
      </c>
      <c r="R38" t="s">
        <v>1462</v>
      </c>
    </row>
    <row r="40" spans="2:18" x14ac:dyDescent="0.35">
      <c r="R40" s="8">
        <f>-0.1789+0.7437</f>
        <v>0.56479999999999997</v>
      </c>
    </row>
    <row r="50" spans="2:18" x14ac:dyDescent="0.35">
      <c r="B50" s="1" t="s">
        <v>1420</v>
      </c>
      <c r="C50" s="1" t="s">
        <v>1421</v>
      </c>
      <c r="D50" s="1" t="s">
        <v>1422</v>
      </c>
      <c r="E50" s="1" t="s">
        <v>1423</v>
      </c>
      <c r="F50" s="1" t="s">
        <v>1433</v>
      </c>
      <c r="G50" s="1" t="s">
        <v>1434</v>
      </c>
    </row>
    <row r="51" spans="2:18" x14ac:dyDescent="0.35">
      <c r="B51" s="9">
        <v>0.92959792681011466</v>
      </c>
      <c r="C51" s="9">
        <v>6.3059525679283801E-2</v>
      </c>
      <c r="D51" s="9">
        <v>4.0835558347730484E-3</v>
      </c>
      <c r="E51" s="9">
        <v>3.2589916758284905E-3</v>
      </c>
      <c r="F51" s="1">
        <v>20909</v>
      </c>
      <c r="G51" s="1">
        <v>82.1</v>
      </c>
      <c r="H51" s="9">
        <f t="shared" ref="H51:H90" si="1">G51/100</f>
        <v>0.82099999999999995</v>
      </c>
    </row>
    <row r="52" spans="2:18" x14ac:dyDescent="0.35">
      <c r="B52" s="9">
        <v>0.6887370307096129</v>
      </c>
      <c r="C52" s="9">
        <v>0.21830076253177216</v>
      </c>
      <c r="D52" s="9">
        <v>8.6961956748197844E-2</v>
      </c>
      <c r="E52" s="9">
        <v>6.0002500104171007E-3</v>
      </c>
      <c r="F52" s="1">
        <v>18585</v>
      </c>
      <c r="G52" s="1">
        <v>77.400000000000006</v>
      </c>
      <c r="H52" s="9">
        <f t="shared" si="1"/>
        <v>0.77400000000000002</v>
      </c>
    </row>
    <row r="53" spans="2:18" x14ac:dyDescent="0.35">
      <c r="B53" s="9">
        <v>0.78792155055726754</v>
      </c>
      <c r="C53" s="9">
        <v>0.17129856291219075</v>
      </c>
      <c r="D53" s="9">
        <v>3.6517582006163063E-2</v>
      </c>
      <c r="E53" s="9">
        <v>4.262304524378654E-3</v>
      </c>
      <c r="F53" s="1">
        <v>27192</v>
      </c>
      <c r="G53" s="1">
        <v>78.3</v>
      </c>
      <c r="H53" s="9">
        <f t="shared" si="1"/>
        <v>0.78299999999999992</v>
      </c>
      <c r="R53" t="s">
        <v>1460</v>
      </c>
    </row>
    <row r="54" spans="2:18" x14ac:dyDescent="0.35">
      <c r="B54" s="9">
        <v>0.86714120410954099</v>
      </c>
      <c r="C54" s="9">
        <v>6.2730109751393814E-2</v>
      </c>
      <c r="D54" s="9">
        <v>6.6306672744486136E-2</v>
      </c>
      <c r="E54" s="9">
        <v>3.8220133945790526E-3</v>
      </c>
      <c r="F54" s="1">
        <v>22951</v>
      </c>
      <c r="G54" s="1">
        <v>80.5</v>
      </c>
      <c r="H54" s="9">
        <f t="shared" si="1"/>
        <v>0.80500000000000005</v>
      </c>
    </row>
    <row r="55" spans="2:18" x14ac:dyDescent="0.35">
      <c r="B55" s="9">
        <v>0.8111387900355872</v>
      </c>
      <c r="C55" s="9">
        <v>0.16039145907473309</v>
      </c>
      <c r="D55" s="9">
        <v>2.3879003558718862E-2</v>
      </c>
      <c r="E55" s="9">
        <v>4.5907473309608543E-3</v>
      </c>
      <c r="F55" s="1">
        <v>22467</v>
      </c>
      <c r="G55" s="1">
        <v>80</v>
      </c>
      <c r="H55" s="9">
        <f t="shared" si="1"/>
        <v>0.8</v>
      </c>
      <c r="R55" s="8">
        <f>0.14+0.665</f>
        <v>0.80500000000000005</v>
      </c>
    </row>
    <row r="56" spans="2:18" x14ac:dyDescent="0.35">
      <c r="B56" s="9">
        <v>0.64779696578437707</v>
      </c>
      <c r="C56" s="9">
        <v>0.23825855390574563</v>
      </c>
      <c r="D56" s="9">
        <v>0.10143641058747579</v>
      </c>
      <c r="E56" s="9">
        <v>1.250806972240155E-2</v>
      </c>
      <c r="F56" s="1">
        <v>18499</v>
      </c>
      <c r="G56" s="1">
        <v>74.599999999999994</v>
      </c>
      <c r="H56" s="9">
        <f t="shared" si="1"/>
        <v>0.746</v>
      </c>
    </row>
    <row r="57" spans="2:18" x14ac:dyDescent="0.35">
      <c r="B57" s="9">
        <v>8.4085338680926922E-2</v>
      </c>
      <c r="C57" s="9">
        <v>0.83110516934046341</v>
      </c>
      <c r="D57" s="9">
        <v>8.1105169340463454E-2</v>
      </c>
      <c r="E57" s="9">
        <v>3.7043226381461678E-3</v>
      </c>
      <c r="F57" s="1">
        <v>26346</v>
      </c>
      <c r="G57" s="1">
        <v>73.400000000000006</v>
      </c>
      <c r="H57" s="9">
        <f t="shared" si="1"/>
        <v>0.7340000000000001</v>
      </c>
    </row>
    <row r="58" spans="2:18" x14ac:dyDescent="0.35">
      <c r="B58" s="9">
        <v>0.15967290725199054</v>
      </c>
      <c r="C58" s="9">
        <v>0.66666666666666663</v>
      </c>
      <c r="D58" s="9">
        <v>0.1673276153586031</v>
      </c>
      <c r="E58" s="9">
        <v>6.3328107227397096E-3</v>
      </c>
      <c r="F58" s="1">
        <v>23225</v>
      </c>
      <c r="G58" s="1">
        <v>71.400000000000006</v>
      </c>
      <c r="H58" s="9">
        <f t="shared" si="1"/>
        <v>0.71400000000000008</v>
      </c>
    </row>
    <row r="59" spans="2:18" x14ac:dyDescent="0.35">
      <c r="B59" s="9">
        <v>0.23033787286178786</v>
      </c>
      <c r="C59" s="9">
        <v>0.49743178926535037</v>
      </c>
      <c r="D59" s="9">
        <v>0.26502049856274446</v>
      </c>
      <c r="E59" s="9">
        <v>7.2098393101173363E-3</v>
      </c>
      <c r="F59" s="1">
        <v>14696</v>
      </c>
      <c r="G59" s="1">
        <v>69.3</v>
      </c>
      <c r="H59" s="9">
        <f t="shared" si="1"/>
        <v>0.69299999999999995</v>
      </c>
    </row>
    <row r="60" spans="2:18" x14ac:dyDescent="0.35">
      <c r="B60" s="9">
        <v>0.68538047343289643</v>
      </c>
      <c r="C60" s="9">
        <v>0.18252565274814589</v>
      </c>
      <c r="D60" s="9">
        <v>0.1210403332317383</v>
      </c>
      <c r="E60" s="9">
        <v>1.1053540587219343E-2</v>
      </c>
      <c r="F60" s="1">
        <v>36828</v>
      </c>
      <c r="G60" s="1">
        <v>74.8</v>
      </c>
      <c r="H60" s="9">
        <f t="shared" si="1"/>
        <v>0.748</v>
      </c>
    </row>
    <row r="61" spans="2:18" x14ac:dyDescent="0.35">
      <c r="B61" s="9">
        <v>0.75380777310924374</v>
      </c>
      <c r="C61" s="9">
        <v>0.22078518907563024</v>
      </c>
      <c r="D61" s="9">
        <v>2.1336659663865547E-2</v>
      </c>
      <c r="E61" s="9">
        <v>4.0703781512605045E-3</v>
      </c>
      <c r="F61" s="1">
        <v>23944</v>
      </c>
      <c r="G61" s="1">
        <v>78.599999999999994</v>
      </c>
      <c r="H61" s="9">
        <f t="shared" si="1"/>
        <v>0.78599999999999992</v>
      </c>
    </row>
    <row r="62" spans="2:18" x14ac:dyDescent="0.35">
      <c r="B62" s="9">
        <v>0.79794107206247777</v>
      </c>
      <c r="C62" s="9">
        <v>0.17770678026269079</v>
      </c>
      <c r="D62" s="9">
        <v>1.6542421015264465E-2</v>
      </c>
      <c r="E62" s="9">
        <v>7.8097266595669153E-3</v>
      </c>
      <c r="F62" s="1">
        <v>21597</v>
      </c>
      <c r="G62" s="1">
        <v>76.7</v>
      </c>
      <c r="H62" s="9">
        <f t="shared" si="1"/>
        <v>0.76700000000000002</v>
      </c>
    </row>
    <row r="63" spans="2:18" x14ac:dyDescent="0.35">
      <c r="B63" s="9">
        <v>5.0591553171000135E-2</v>
      </c>
      <c r="C63" s="9">
        <v>0.83584399504746187</v>
      </c>
      <c r="D63" s="9">
        <v>0.10754574219287384</v>
      </c>
      <c r="E63" s="9">
        <v>6.01870958866419E-3</v>
      </c>
      <c r="F63" s="1">
        <v>20313</v>
      </c>
      <c r="G63" s="1">
        <v>69.900000000000006</v>
      </c>
      <c r="H63" s="9">
        <f t="shared" si="1"/>
        <v>0.69900000000000007</v>
      </c>
    </row>
    <row r="64" spans="2:18" x14ac:dyDescent="0.35">
      <c r="B64" s="9">
        <v>0.35163960522126714</v>
      </c>
      <c r="C64" s="9">
        <v>0.51423821146839299</v>
      </c>
      <c r="D64" s="9">
        <v>0.12722416781633591</v>
      </c>
      <c r="E64" s="9">
        <v>6.8980154940040325E-3</v>
      </c>
      <c r="F64" s="1">
        <v>41632</v>
      </c>
      <c r="G64" s="1">
        <v>73.599999999999994</v>
      </c>
      <c r="H64" s="9">
        <f t="shared" si="1"/>
        <v>0.73599999999999999</v>
      </c>
    </row>
    <row r="65" spans="2:18" x14ac:dyDescent="0.35">
      <c r="B65" s="9">
        <v>0.12927418682814365</v>
      </c>
      <c r="C65" s="9">
        <v>0.78431154690147498</v>
      </c>
      <c r="D65" s="9">
        <v>8.1719952223549344E-2</v>
      </c>
      <c r="E65" s="9">
        <v>4.6943140468320328E-3</v>
      </c>
      <c r="F65" s="1">
        <v>25400</v>
      </c>
      <c r="G65" s="1">
        <v>70.599999999999994</v>
      </c>
      <c r="H65" s="9">
        <f t="shared" si="1"/>
        <v>0.70599999999999996</v>
      </c>
    </row>
    <row r="66" spans="2:18" x14ac:dyDescent="0.35">
      <c r="B66" s="9">
        <v>0.13252600224620342</v>
      </c>
      <c r="C66" s="9">
        <v>0.49870599150349137</v>
      </c>
      <c r="D66" s="9">
        <v>0.35641388739684554</v>
      </c>
      <c r="E66" s="9">
        <v>1.2354118853459642E-2</v>
      </c>
      <c r="F66" s="1">
        <v>13913</v>
      </c>
      <c r="G66" s="1">
        <v>67.900000000000006</v>
      </c>
      <c r="H66" s="9">
        <f t="shared" si="1"/>
        <v>0.67900000000000005</v>
      </c>
    </row>
    <row r="67" spans="2:18" x14ac:dyDescent="0.35">
      <c r="B67" s="9">
        <v>0.36064485538169749</v>
      </c>
      <c r="C67" s="9">
        <v>0.46081871345029241</v>
      </c>
      <c r="D67" s="9">
        <v>0.16763078868342027</v>
      </c>
      <c r="E67" s="9">
        <v>1.0905642484589853E-2</v>
      </c>
      <c r="F67" s="1">
        <v>23403</v>
      </c>
      <c r="G67" s="1">
        <v>74</v>
      </c>
      <c r="H67" s="9">
        <f t="shared" si="1"/>
        <v>0.74</v>
      </c>
    </row>
    <row r="68" spans="2:18" x14ac:dyDescent="0.35">
      <c r="B68" s="9">
        <v>0.17697887774695967</v>
      </c>
      <c r="C68" s="9">
        <v>0.62540004267121829</v>
      </c>
      <c r="D68" s="9">
        <v>0.19279389801578836</v>
      </c>
      <c r="E68" s="9">
        <v>4.8271815660337102E-3</v>
      </c>
      <c r="F68" s="1">
        <v>27263</v>
      </c>
      <c r="G68" s="1">
        <v>72.7</v>
      </c>
      <c r="H68" s="9">
        <f t="shared" si="1"/>
        <v>0.72699999999999998</v>
      </c>
    </row>
    <row r="69" spans="2:18" x14ac:dyDescent="0.35">
      <c r="B69" s="9">
        <v>0.21321821808147318</v>
      </c>
      <c r="C69" s="9">
        <v>0.52588727083959452</v>
      </c>
      <c r="D69" s="9">
        <v>0.25556678779268327</v>
      </c>
      <c r="E69" s="9">
        <v>5.3277232862490092E-3</v>
      </c>
      <c r="F69" s="1">
        <v>25963</v>
      </c>
      <c r="G69" s="1">
        <v>70.900000000000006</v>
      </c>
      <c r="H69" s="9">
        <f t="shared" si="1"/>
        <v>0.70900000000000007</v>
      </c>
    </row>
    <row r="70" spans="2:18" x14ac:dyDescent="0.35">
      <c r="B70" s="9">
        <v>0.59363690801635038</v>
      </c>
      <c r="C70" s="9">
        <v>0.22536384701502252</v>
      </c>
      <c r="D70" s="9">
        <v>0.17394360696711708</v>
      </c>
      <c r="E70" s="9">
        <v>7.0556380015100624E-3</v>
      </c>
      <c r="F70" s="1">
        <v>29303</v>
      </c>
      <c r="G70" s="1">
        <v>76.3</v>
      </c>
      <c r="H70" s="9">
        <f t="shared" si="1"/>
        <v>0.76300000000000001</v>
      </c>
      <c r="R70" t="s">
        <v>1461</v>
      </c>
    </row>
    <row r="71" spans="2:18" x14ac:dyDescent="0.35">
      <c r="B71" s="9">
        <v>0.63782333780417699</v>
      </c>
      <c r="C71" s="9">
        <v>0.27729450086223412</v>
      </c>
      <c r="D71" s="9">
        <v>7.5838283196014558E-2</v>
      </c>
      <c r="E71" s="9">
        <v>9.0438781375742471E-3</v>
      </c>
      <c r="F71" s="1">
        <v>18988</v>
      </c>
      <c r="G71" s="1">
        <v>72.8</v>
      </c>
      <c r="H71" s="9">
        <f t="shared" si="1"/>
        <v>0.72799999999999998</v>
      </c>
    </row>
    <row r="72" spans="2:18" x14ac:dyDescent="0.35">
      <c r="B72" s="9">
        <v>0.25904942836788003</v>
      </c>
      <c r="C72" s="9">
        <v>0.5945652542660379</v>
      </c>
      <c r="D72" s="9">
        <v>0.12083997693116667</v>
      </c>
      <c r="E72" s="9">
        <v>2.5545340434915357E-2</v>
      </c>
      <c r="F72" s="1">
        <v>18205</v>
      </c>
      <c r="G72" s="1">
        <v>61.8</v>
      </c>
      <c r="H72" s="9">
        <f t="shared" si="1"/>
        <v>0.61799999999999999</v>
      </c>
      <c r="R72" s="8">
        <f>-0.1486+0.7916</f>
        <v>0.64300000000000002</v>
      </c>
    </row>
    <row r="73" spans="2:18" x14ac:dyDescent="0.35">
      <c r="B73" s="9">
        <v>9.8757400299264844E-2</v>
      </c>
      <c r="C73" s="9">
        <v>0.80033829939496459</v>
      </c>
      <c r="D73" s="9">
        <v>9.3617851798841981E-2</v>
      </c>
      <c r="E73" s="9">
        <v>7.2864485069286319E-3</v>
      </c>
      <c r="F73" s="1">
        <v>10506</v>
      </c>
      <c r="G73" s="1">
        <v>68.3</v>
      </c>
      <c r="H73" s="9">
        <f t="shared" si="1"/>
        <v>0.68299999999999994</v>
      </c>
    </row>
    <row r="74" spans="2:18" x14ac:dyDescent="0.35">
      <c r="B74" s="9">
        <v>7.170226642752324E-2</v>
      </c>
      <c r="C74" s="9">
        <v>0.74975542149029839</v>
      </c>
      <c r="D74" s="9">
        <v>0.16924832871351703</v>
      </c>
      <c r="E74" s="9">
        <v>9.2939833686613398E-3</v>
      </c>
      <c r="F74" s="1">
        <v>16120</v>
      </c>
      <c r="G74" s="1">
        <v>65.7</v>
      </c>
      <c r="H74" s="9">
        <f t="shared" si="1"/>
        <v>0.65700000000000003</v>
      </c>
    </row>
    <row r="75" spans="2:18" x14ac:dyDescent="0.35">
      <c r="B75" s="9">
        <v>0.13712000687964915</v>
      </c>
      <c r="C75" s="9">
        <v>0.75237562884292897</v>
      </c>
      <c r="D75" s="9">
        <v>8.5952616416562752E-2</v>
      </c>
      <c r="E75" s="9">
        <v>2.4551747860859095E-2</v>
      </c>
      <c r="F75" s="1">
        <v>13605</v>
      </c>
      <c r="G75" s="1">
        <v>58.5</v>
      </c>
      <c r="H75" s="9">
        <f t="shared" si="1"/>
        <v>0.58499999999999996</v>
      </c>
    </row>
    <row r="76" spans="2:18" x14ac:dyDescent="0.35">
      <c r="B76" s="9">
        <v>8.0250576986482025E-2</v>
      </c>
      <c r="C76" s="9">
        <v>0.72555225848994398</v>
      </c>
      <c r="D76" s="9">
        <v>0.18516320474777448</v>
      </c>
      <c r="E76" s="9">
        <v>9.0339597757995386E-3</v>
      </c>
      <c r="F76" s="1">
        <v>9406</v>
      </c>
      <c r="G76" s="1">
        <v>62</v>
      </c>
      <c r="H76" s="9">
        <f t="shared" si="1"/>
        <v>0.62</v>
      </c>
    </row>
    <row r="77" spans="2:18" x14ac:dyDescent="0.35">
      <c r="B77" s="9">
        <v>2.0539688427299703E-2</v>
      </c>
      <c r="C77" s="9">
        <v>0.89312870919881304</v>
      </c>
      <c r="D77" s="9">
        <v>8.206602373887241E-2</v>
      </c>
      <c r="E77" s="9">
        <v>4.2655786350148366E-3</v>
      </c>
      <c r="F77" s="1">
        <v>15766</v>
      </c>
      <c r="G77" s="1">
        <v>73.099999999999994</v>
      </c>
      <c r="H77" s="9">
        <f t="shared" si="1"/>
        <v>0.73099999999999998</v>
      </c>
    </row>
    <row r="78" spans="2:18" x14ac:dyDescent="0.35">
      <c r="B78" s="9">
        <v>0.12219933041462787</v>
      </c>
      <c r="C78" s="9">
        <v>0.77749163018284828</v>
      </c>
      <c r="D78" s="9">
        <v>8.8720061807880501E-2</v>
      </c>
      <c r="E78" s="9">
        <v>1.1588977594643318E-2</v>
      </c>
      <c r="F78" s="1">
        <v>10714</v>
      </c>
      <c r="G78" s="1">
        <v>69</v>
      </c>
      <c r="H78" s="9">
        <f t="shared" si="1"/>
        <v>0.69</v>
      </c>
    </row>
    <row r="79" spans="2:18" x14ac:dyDescent="0.35">
      <c r="B79" s="9">
        <v>0.26997872419842484</v>
      </c>
      <c r="C79" s="9">
        <v>0.55440259788735025</v>
      </c>
      <c r="D79" s="9">
        <v>0.16535403680340413</v>
      </c>
      <c r="E79" s="9">
        <v>1.0264641110820798E-2</v>
      </c>
      <c r="F79" s="1">
        <v>18452</v>
      </c>
      <c r="G79" s="1">
        <v>68.900000000000006</v>
      </c>
      <c r="H79" s="9">
        <f t="shared" si="1"/>
        <v>0.68900000000000006</v>
      </c>
    </row>
    <row r="80" spans="2:18" x14ac:dyDescent="0.35">
      <c r="B80" s="9">
        <v>0.30680497443049742</v>
      </c>
      <c r="C80" s="9">
        <v>0.48230474198047418</v>
      </c>
      <c r="D80" s="9">
        <v>0.2015051139005114</v>
      </c>
      <c r="E80" s="9">
        <v>9.3851696885169696E-3</v>
      </c>
      <c r="F80" s="1">
        <v>24608</v>
      </c>
      <c r="G80" s="1">
        <v>71.5</v>
      </c>
      <c r="H80" s="9">
        <f t="shared" si="1"/>
        <v>0.71499999999999997</v>
      </c>
    </row>
    <row r="81" spans="2:18" x14ac:dyDescent="0.35">
      <c r="B81" s="9">
        <v>6.6241768863650088E-2</v>
      </c>
      <c r="C81" s="9">
        <v>0.84320062828490305</v>
      </c>
      <c r="D81" s="9">
        <v>8.2915483598139314E-2</v>
      </c>
      <c r="E81" s="9">
        <v>7.6421192533075574E-3</v>
      </c>
      <c r="F81" s="1">
        <v>23661</v>
      </c>
      <c r="G81" s="1">
        <v>71.5</v>
      </c>
      <c r="H81" s="9">
        <f t="shared" si="1"/>
        <v>0.71499999999999997</v>
      </c>
    </row>
    <row r="82" spans="2:18" x14ac:dyDescent="0.35">
      <c r="B82" s="9">
        <v>0.221448026857541</v>
      </c>
      <c r="C82" s="9">
        <v>0.64553113321086975</v>
      </c>
      <c r="D82" s="9">
        <v>0.12367770950782289</v>
      </c>
      <c r="E82" s="9">
        <v>9.3431304237663899E-3</v>
      </c>
      <c r="F82" s="1">
        <v>20334</v>
      </c>
      <c r="G82" s="1">
        <v>64.400000000000006</v>
      </c>
      <c r="H82" s="9">
        <f t="shared" si="1"/>
        <v>0.64400000000000002</v>
      </c>
    </row>
    <row r="83" spans="2:18" x14ac:dyDescent="0.35">
      <c r="B83" s="9">
        <v>0.2325319471518302</v>
      </c>
      <c r="C83" s="9">
        <v>0.64860298895386614</v>
      </c>
      <c r="D83" s="9">
        <v>0.11098115659519169</v>
      </c>
      <c r="E83" s="9">
        <v>7.8839072991119773E-3</v>
      </c>
      <c r="F83" s="1">
        <v>15723</v>
      </c>
      <c r="G83" s="1">
        <v>68.099999999999994</v>
      </c>
      <c r="H83" s="9">
        <f t="shared" si="1"/>
        <v>0.68099999999999994</v>
      </c>
    </row>
    <row r="84" spans="2:18" x14ac:dyDescent="0.35">
      <c r="B84" s="9">
        <v>7.758153473395607E-2</v>
      </c>
      <c r="C84" s="9">
        <v>0.77559218286734466</v>
      </c>
      <c r="D84" s="9">
        <v>0.13840979373226639</v>
      </c>
      <c r="E84" s="9">
        <v>8.4164886664328756E-3</v>
      </c>
      <c r="F84" s="1">
        <v>44258</v>
      </c>
      <c r="G84" s="1">
        <v>70.5</v>
      </c>
      <c r="H84" s="9">
        <f t="shared" si="1"/>
        <v>0.70499999999999996</v>
      </c>
    </row>
    <row r="85" spans="2:18" x14ac:dyDescent="0.35">
      <c r="B85" s="9">
        <v>0.2544051092375198</v>
      </c>
      <c r="C85" s="9">
        <v>0.58701095821176685</v>
      </c>
      <c r="D85" s="9">
        <v>0.14684463231408945</v>
      </c>
      <c r="E85" s="9">
        <v>1.1739300236623861E-2</v>
      </c>
      <c r="F85" s="1">
        <v>29641</v>
      </c>
      <c r="G85" s="1">
        <v>68.099999999999994</v>
      </c>
      <c r="H85" s="9">
        <f t="shared" si="1"/>
        <v>0.68099999999999994</v>
      </c>
    </row>
    <row r="86" spans="2:18" x14ac:dyDescent="0.35">
      <c r="B86" s="9">
        <v>0.35761124121779858</v>
      </c>
      <c r="C86" s="9">
        <v>0.50608899297423893</v>
      </c>
      <c r="D86" s="9">
        <v>0.12448979591836734</v>
      </c>
      <c r="E86" s="9">
        <v>1.1809969889595182E-2</v>
      </c>
      <c r="F86" s="1">
        <v>20183</v>
      </c>
      <c r="G86" s="1">
        <v>67.5</v>
      </c>
      <c r="H86" s="9">
        <f t="shared" si="1"/>
        <v>0.67500000000000004</v>
      </c>
      <c r="R86" t="s">
        <v>1462</v>
      </c>
    </row>
    <row r="87" spans="2:18" x14ac:dyDescent="0.35">
      <c r="B87" s="9">
        <v>0.53076695040867317</v>
      </c>
      <c r="C87" s="9">
        <v>0.36149578621945538</v>
      </c>
      <c r="D87" s="9">
        <v>9.5011222631601236E-2</v>
      </c>
      <c r="E87" s="9">
        <v>1.272604074027019E-2</v>
      </c>
      <c r="F87" s="1">
        <v>34657</v>
      </c>
      <c r="G87" s="1">
        <v>73.400000000000006</v>
      </c>
      <c r="H87" s="9">
        <f t="shared" si="1"/>
        <v>0.7340000000000001</v>
      </c>
    </row>
    <row r="88" spans="2:18" x14ac:dyDescent="0.35">
      <c r="B88" s="9">
        <v>0.63223826533179051</v>
      </c>
      <c r="C88" s="9">
        <v>0.30155456054736629</v>
      </c>
      <c r="D88" s="9">
        <v>5.6598078180811993E-2</v>
      </c>
      <c r="E88" s="9">
        <v>9.6090959400311916E-3</v>
      </c>
      <c r="F88" s="1">
        <v>29035</v>
      </c>
      <c r="G88" s="1">
        <v>73</v>
      </c>
      <c r="H88" s="9">
        <f t="shared" si="1"/>
        <v>0.73</v>
      </c>
      <c r="R88" s="8">
        <f>-0.3291+0.7566</f>
        <v>0.42750000000000005</v>
      </c>
    </row>
    <row r="89" spans="2:18" x14ac:dyDescent="0.35">
      <c r="B89" s="9">
        <v>0.66293313197415893</v>
      </c>
      <c r="C89" s="9">
        <v>0.28437788405067538</v>
      </c>
      <c r="D89" s="9">
        <v>4.2662975081802168E-2</v>
      </c>
      <c r="E89" s="9">
        <v>1.0026008893363537E-2</v>
      </c>
      <c r="F89" s="1">
        <v>18017</v>
      </c>
      <c r="G89" s="1">
        <v>75.599999999999994</v>
      </c>
      <c r="H89" s="9">
        <f t="shared" si="1"/>
        <v>0.75599999999999989</v>
      </c>
    </row>
    <row r="90" spans="2:18" x14ac:dyDescent="0.35">
      <c r="B90" s="9">
        <v>0.68137446310035144</v>
      </c>
      <c r="C90" s="9">
        <v>0.27578512857700677</v>
      </c>
      <c r="D90" s="9">
        <v>3.6369721648909469E-2</v>
      </c>
      <c r="E90" s="9">
        <v>6.4706866737323588E-3</v>
      </c>
      <c r="F90" s="1">
        <v>13546</v>
      </c>
      <c r="G90" s="1">
        <v>75.599999999999994</v>
      </c>
      <c r="H90" s="9">
        <f t="shared" si="1"/>
        <v>0.75599999999999989</v>
      </c>
    </row>
    <row r="97" spans="1:18" x14ac:dyDescent="0.35">
      <c r="A97" t="s">
        <v>3</v>
      </c>
    </row>
    <row r="99" spans="1:18" x14ac:dyDescent="0.35">
      <c r="B99" s="1" t="s">
        <v>1420</v>
      </c>
      <c r="C99" s="1" t="s">
        <v>1421</v>
      </c>
      <c r="D99" s="1" t="s">
        <v>1422</v>
      </c>
      <c r="E99" s="1" t="s">
        <v>1423</v>
      </c>
      <c r="F99" s="21" t="s">
        <v>1433</v>
      </c>
      <c r="G99" s="22" t="s">
        <v>1434</v>
      </c>
    </row>
    <row r="100" spans="1:18" x14ac:dyDescent="0.35">
      <c r="B100" s="9">
        <v>0.84345351043643269</v>
      </c>
      <c r="C100" s="9">
        <v>0.12184160591231399</v>
      </c>
      <c r="D100" s="9">
        <v>2.726455607709977E-2</v>
      </c>
      <c r="E100" s="9">
        <v>7.4403275741536006E-3</v>
      </c>
      <c r="F100" s="50">
        <v>14894</v>
      </c>
      <c r="G100" s="47">
        <v>74.400000000000006</v>
      </c>
      <c r="H100" s="9">
        <f t="shared" ref="H100:H155" si="2">G100/100</f>
        <v>0.74400000000000011</v>
      </c>
    </row>
    <row r="101" spans="1:18" x14ac:dyDescent="0.35">
      <c r="B101" s="9">
        <v>0.79541740005028916</v>
      </c>
      <c r="C101" s="9">
        <v>0.13449207945687705</v>
      </c>
      <c r="D101" s="9">
        <v>6.2327131003268796E-2</v>
      </c>
      <c r="E101" s="9">
        <v>7.7633894895649987E-3</v>
      </c>
      <c r="F101" s="50">
        <v>22647</v>
      </c>
      <c r="G101" s="47">
        <v>71.2</v>
      </c>
      <c r="H101" s="9">
        <f t="shared" si="2"/>
        <v>0.71200000000000008</v>
      </c>
    </row>
    <row r="102" spans="1:18" x14ac:dyDescent="0.35">
      <c r="B102" s="9">
        <v>0.81260726719952925</v>
      </c>
      <c r="C102" s="9">
        <v>0.16071691266611093</v>
      </c>
      <c r="D102" s="9">
        <v>1.5789731770705633E-2</v>
      </c>
      <c r="E102" s="9">
        <v>1.0886088363654196E-2</v>
      </c>
      <c r="F102" s="50">
        <v>30378</v>
      </c>
      <c r="G102" s="47">
        <v>74.5</v>
      </c>
      <c r="H102" s="9">
        <f t="shared" si="2"/>
        <v>0.745</v>
      </c>
      <c r="R102" t="s">
        <v>1460</v>
      </c>
    </row>
    <row r="103" spans="1:18" x14ac:dyDescent="0.35">
      <c r="B103" s="9">
        <v>0.43904578877005346</v>
      </c>
      <c r="C103" s="9">
        <v>0.51641878342245995</v>
      </c>
      <c r="D103" s="9">
        <v>2.9286430481283422E-2</v>
      </c>
      <c r="E103" s="9">
        <v>1.5248997326203209E-2</v>
      </c>
      <c r="F103" s="50">
        <v>16446</v>
      </c>
      <c r="G103" s="47">
        <v>68.7</v>
      </c>
      <c r="H103" s="9">
        <f t="shared" si="2"/>
        <v>0.68700000000000006</v>
      </c>
    </row>
    <row r="104" spans="1:18" x14ac:dyDescent="0.35">
      <c r="B104" s="9">
        <v>0.70049725030460697</v>
      </c>
      <c r="C104" s="9">
        <v>0.1481213159021306</v>
      </c>
      <c r="D104" s="9">
        <v>0.13066815951526328</v>
      </c>
      <c r="E104" s="9">
        <v>2.0713274277999145E-2</v>
      </c>
      <c r="F104" s="50">
        <v>20767</v>
      </c>
      <c r="G104" s="47">
        <v>68.400000000000006</v>
      </c>
      <c r="H104" s="9">
        <f t="shared" si="2"/>
        <v>0.68400000000000005</v>
      </c>
      <c r="R104" s="8">
        <f>0.1015+0.6645</f>
        <v>0.76600000000000001</v>
      </c>
    </row>
    <row r="105" spans="1:18" x14ac:dyDescent="0.35">
      <c r="B105" s="9">
        <v>0.46360114956891169</v>
      </c>
      <c r="C105" s="9">
        <v>0.30648506809946269</v>
      </c>
      <c r="D105" s="9">
        <v>0.18015744095964015</v>
      </c>
      <c r="E105" s="9">
        <v>4.9756341371985507E-2</v>
      </c>
      <c r="F105" s="50">
        <v>27318</v>
      </c>
      <c r="G105" s="47">
        <v>68.3</v>
      </c>
      <c r="H105" s="9">
        <f t="shared" si="2"/>
        <v>0.68299999999999994</v>
      </c>
    </row>
    <row r="106" spans="1:18" x14ac:dyDescent="0.35">
      <c r="B106" s="9">
        <v>0.68927470387798151</v>
      </c>
      <c r="C106" s="9">
        <v>0.12797570756357063</v>
      </c>
      <c r="D106" s="9">
        <v>0.14102593820263787</v>
      </c>
      <c r="E106" s="9">
        <v>4.1723650355810021E-2</v>
      </c>
      <c r="F106" s="50">
        <v>61592</v>
      </c>
      <c r="G106" s="47">
        <v>71.400000000000006</v>
      </c>
      <c r="H106" s="9">
        <f t="shared" si="2"/>
        <v>0.71400000000000008</v>
      </c>
    </row>
    <row r="107" spans="1:18" x14ac:dyDescent="0.35">
      <c r="B107" s="9">
        <v>0.83153082137789691</v>
      </c>
      <c r="C107" s="9">
        <v>0.12867728204319723</v>
      </c>
      <c r="D107" s="9">
        <v>2.5413842030584898E-2</v>
      </c>
      <c r="E107" s="9">
        <v>1.4378054548320984E-2</v>
      </c>
      <c r="F107" s="50">
        <v>24052</v>
      </c>
      <c r="G107" s="47">
        <v>75.8</v>
      </c>
      <c r="H107" s="9">
        <f t="shared" si="2"/>
        <v>0.75800000000000001</v>
      </c>
    </row>
    <row r="108" spans="1:18" x14ac:dyDescent="0.35">
      <c r="B108" s="9">
        <v>0.63222496428107544</v>
      </c>
      <c r="C108" s="9">
        <v>0.2150928692037927</v>
      </c>
      <c r="D108" s="9">
        <v>0.13810235095466944</v>
      </c>
      <c r="E108" s="9">
        <v>1.4579815560462398E-2</v>
      </c>
      <c r="F108" s="50">
        <v>23972</v>
      </c>
      <c r="G108" s="47">
        <v>77.8</v>
      </c>
      <c r="H108" s="9">
        <f t="shared" si="2"/>
        <v>0.77800000000000002</v>
      </c>
    </row>
    <row r="109" spans="1:18" x14ac:dyDescent="0.35">
      <c r="B109" s="9">
        <v>0.60317209400358307</v>
      </c>
      <c r="C109" s="9">
        <v>0.15420486879544737</v>
      </c>
      <c r="D109" s="9">
        <v>0.21909579513120456</v>
      </c>
      <c r="E109" s="9">
        <v>2.3527242069764993E-2</v>
      </c>
      <c r="F109" s="50">
        <v>28467</v>
      </c>
      <c r="G109" s="47">
        <v>75</v>
      </c>
      <c r="H109" s="9">
        <f t="shared" si="2"/>
        <v>0.75</v>
      </c>
    </row>
    <row r="110" spans="1:18" x14ac:dyDescent="0.35">
      <c r="B110" s="9">
        <v>0.61594155632378844</v>
      </c>
      <c r="C110" s="9">
        <v>0.13182440806209642</v>
      </c>
      <c r="D110" s="9">
        <v>0.24212380144804643</v>
      </c>
      <c r="E110" s="9">
        <v>1.011023416606875E-2</v>
      </c>
      <c r="F110" s="50">
        <v>23648</v>
      </c>
      <c r="G110" s="47">
        <v>77.099999999999994</v>
      </c>
      <c r="H110" s="9">
        <f t="shared" si="2"/>
        <v>0.77099999999999991</v>
      </c>
    </row>
    <row r="111" spans="1:18" x14ac:dyDescent="0.35">
      <c r="B111" s="9">
        <v>0.79946604189936521</v>
      </c>
      <c r="C111" s="9">
        <v>6.7262375023837417E-2</v>
      </c>
      <c r="D111" s="9">
        <v>0.11711662625657232</v>
      </c>
      <c r="E111" s="9">
        <v>1.6154956820225025E-2</v>
      </c>
      <c r="F111" s="50">
        <v>28064</v>
      </c>
      <c r="G111" s="47">
        <v>76.5</v>
      </c>
      <c r="H111" s="9">
        <f t="shared" si="2"/>
        <v>0.76500000000000001</v>
      </c>
    </row>
    <row r="112" spans="1:18" x14ac:dyDescent="0.35">
      <c r="B112" s="9">
        <v>0.76790334605095822</v>
      </c>
      <c r="C112" s="9">
        <v>9.8978204622198834E-2</v>
      </c>
      <c r="D112" s="9">
        <v>8.3651273955181335E-2</v>
      </c>
      <c r="E112" s="9">
        <v>4.946717537166162E-2</v>
      </c>
      <c r="F112" s="50">
        <v>33400</v>
      </c>
      <c r="G112" s="47">
        <v>73.2</v>
      </c>
      <c r="H112" s="9">
        <f t="shared" si="2"/>
        <v>0.73199999999999998</v>
      </c>
    </row>
    <row r="113" spans="2:18" x14ac:dyDescent="0.35">
      <c r="B113" s="9">
        <v>0.31813745266199034</v>
      </c>
      <c r="C113" s="9">
        <v>0.38692885308624303</v>
      </c>
      <c r="D113" s="9">
        <v>0.25697218932601085</v>
      </c>
      <c r="E113" s="9">
        <v>3.7961504925755785E-2</v>
      </c>
      <c r="F113" s="50">
        <v>52678</v>
      </c>
      <c r="G113" s="47">
        <v>68.599999999999994</v>
      </c>
      <c r="H113" s="9">
        <f t="shared" si="2"/>
        <v>0.68599999999999994</v>
      </c>
    </row>
    <row r="114" spans="2:18" x14ac:dyDescent="0.35">
      <c r="B114" s="9">
        <v>0.59047603925180225</v>
      </c>
      <c r="C114" s="9">
        <v>0.22075963034710533</v>
      </c>
      <c r="D114" s="9">
        <v>0.14579694496490839</v>
      </c>
      <c r="E114" s="9">
        <v>4.2967385436184065E-2</v>
      </c>
      <c r="F114" s="50">
        <v>44792</v>
      </c>
      <c r="G114" s="47">
        <v>71.099999999999994</v>
      </c>
      <c r="H114" s="9">
        <f t="shared" si="2"/>
        <v>0.71099999999999997</v>
      </c>
    </row>
    <row r="115" spans="2:18" x14ac:dyDescent="0.35">
      <c r="B115" s="9">
        <v>0.57247986953419627</v>
      </c>
      <c r="C115" s="9">
        <v>0.12439098970543268</v>
      </c>
      <c r="D115" s="9">
        <v>0.23188258077667923</v>
      </c>
      <c r="E115" s="9">
        <v>7.1246559983691768E-2</v>
      </c>
      <c r="F115" s="50">
        <v>34601</v>
      </c>
      <c r="G115" s="47">
        <v>70.5</v>
      </c>
      <c r="H115" s="9">
        <f t="shared" si="2"/>
        <v>0.70499999999999996</v>
      </c>
    </row>
    <row r="116" spans="2:18" x14ac:dyDescent="0.35">
      <c r="B116" s="9">
        <v>0.67228752260397828</v>
      </c>
      <c r="C116" s="9">
        <v>0.11756329113924051</v>
      </c>
      <c r="D116" s="9">
        <v>9.360307414104882E-2</v>
      </c>
      <c r="E116" s="9">
        <v>0.11654611211573238</v>
      </c>
      <c r="F116" s="50">
        <v>61616</v>
      </c>
      <c r="G116" s="47">
        <v>69.599999999999994</v>
      </c>
      <c r="H116" s="9">
        <f t="shared" si="2"/>
        <v>0.69599999999999995</v>
      </c>
    </row>
    <row r="117" spans="2:18" x14ac:dyDescent="0.35">
      <c r="B117" s="9">
        <v>0.81855457309419544</v>
      </c>
      <c r="C117" s="9">
        <v>8.6496889905441965E-2</v>
      </c>
      <c r="D117" s="9">
        <v>4.0096510557585563E-2</v>
      </c>
      <c r="E117" s="9">
        <v>5.4852026442777049E-2</v>
      </c>
      <c r="F117" s="50">
        <v>49577</v>
      </c>
      <c r="G117" s="47">
        <v>69.099999999999994</v>
      </c>
      <c r="H117" s="9">
        <f t="shared" si="2"/>
        <v>0.69099999999999995</v>
      </c>
    </row>
    <row r="118" spans="2:18" x14ac:dyDescent="0.35">
      <c r="B118" s="9">
        <v>0.47064071020560855</v>
      </c>
      <c r="C118" s="9">
        <v>0.4057063927137739</v>
      </c>
      <c r="D118" s="9">
        <v>7.2229176558610664E-2</v>
      </c>
      <c r="E118" s="9">
        <v>5.1423720522006874E-2</v>
      </c>
      <c r="F118" s="50">
        <v>46726</v>
      </c>
      <c r="G118" s="47">
        <v>67.2</v>
      </c>
      <c r="H118" s="9">
        <f t="shared" si="2"/>
        <v>0.67200000000000004</v>
      </c>
      <c r="R118" t="s">
        <v>1461</v>
      </c>
    </row>
    <row r="119" spans="2:18" x14ac:dyDescent="0.35">
      <c r="B119" s="9">
        <v>0.56781416603198787</v>
      </c>
      <c r="C119" s="9">
        <v>0.22923076923076924</v>
      </c>
      <c r="D119" s="9">
        <v>0.12106626047220106</v>
      </c>
      <c r="E119" s="9">
        <v>8.1888804265041887E-2</v>
      </c>
      <c r="F119" s="50">
        <v>45918</v>
      </c>
      <c r="G119" s="47">
        <v>69.900000000000006</v>
      </c>
      <c r="H119" s="9">
        <f t="shared" si="2"/>
        <v>0.69900000000000007</v>
      </c>
    </row>
    <row r="120" spans="2:18" x14ac:dyDescent="0.35">
      <c r="B120" s="9">
        <v>0.55044082739911837</v>
      </c>
      <c r="C120" s="9">
        <v>0.30904543913190913</v>
      </c>
      <c r="D120" s="9">
        <v>7.5421046682491236E-2</v>
      </c>
      <c r="E120" s="9">
        <v>6.5092686786481294E-2</v>
      </c>
      <c r="F120" s="50">
        <v>46502</v>
      </c>
      <c r="G120" s="47">
        <v>65.7</v>
      </c>
      <c r="H120" s="9">
        <f t="shared" si="2"/>
        <v>0.65700000000000003</v>
      </c>
      <c r="R120" s="8">
        <f>-0.1184+0.7534</f>
        <v>0.63500000000000001</v>
      </c>
    </row>
    <row r="121" spans="2:18" x14ac:dyDescent="0.35">
      <c r="B121" s="9">
        <v>0.26627627891780498</v>
      </c>
      <c r="C121" s="9">
        <v>0.6162304125460234</v>
      </c>
      <c r="D121" s="9">
        <v>8.1591877254049441E-2</v>
      </c>
      <c r="E121" s="9">
        <v>3.590143128212217E-2</v>
      </c>
      <c r="F121" s="50">
        <v>53105</v>
      </c>
      <c r="G121" s="47">
        <v>66.7</v>
      </c>
      <c r="H121" s="9">
        <f t="shared" si="2"/>
        <v>0.66700000000000004</v>
      </c>
    </row>
    <row r="122" spans="2:18" x14ac:dyDescent="0.35">
      <c r="B122" s="9">
        <v>0.57172227522541286</v>
      </c>
      <c r="C122" s="9">
        <v>0.28440317660812425</v>
      </c>
      <c r="D122" s="9">
        <v>7.4698665663338659E-2</v>
      </c>
      <c r="E122" s="9">
        <v>6.9175882503124203E-2</v>
      </c>
      <c r="F122" s="50">
        <v>53606</v>
      </c>
      <c r="G122" s="47">
        <v>72</v>
      </c>
      <c r="H122" s="9">
        <f t="shared" si="2"/>
        <v>0.72</v>
      </c>
    </row>
    <row r="123" spans="2:18" x14ac:dyDescent="0.35">
      <c r="B123" s="9">
        <v>0.69012332990750258</v>
      </c>
      <c r="C123" s="9">
        <v>0.14794450154162384</v>
      </c>
      <c r="D123" s="9">
        <v>0.12871531346351489</v>
      </c>
      <c r="E123" s="9">
        <v>3.3216855087358686E-2</v>
      </c>
      <c r="F123" s="50">
        <v>72874</v>
      </c>
      <c r="G123" s="47">
        <v>74.900000000000006</v>
      </c>
      <c r="H123" s="9">
        <f t="shared" si="2"/>
        <v>0.74900000000000011</v>
      </c>
    </row>
    <row r="124" spans="2:18" x14ac:dyDescent="0.35">
      <c r="B124" s="9">
        <v>0.39016259051783031</v>
      </c>
      <c r="C124" s="9">
        <v>0.43437628091269298</v>
      </c>
      <c r="D124" s="9">
        <v>0.1434804390399417</v>
      </c>
      <c r="E124" s="9">
        <v>3.1980689529534999E-2</v>
      </c>
      <c r="F124" s="50">
        <v>77875</v>
      </c>
      <c r="G124" s="47">
        <v>70.900000000000006</v>
      </c>
      <c r="H124" s="9">
        <f t="shared" si="2"/>
        <v>0.70900000000000007</v>
      </c>
    </row>
    <row r="125" spans="2:18" x14ac:dyDescent="0.35">
      <c r="B125" s="9">
        <v>0.76431761022429812</v>
      </c>
      <c r="C125" s="9">
        <v>9.4513165323615464E-2</v>
      </c>
      <c r="D125" s="9">
        <v>9.1803110403941901E-2</v>
      </c>
      <c r="E125" s="9">
        <v>4.936611404814454E-2</v>
      </c>
      <c r="F125" s="50">
        <v>72751</v>
      </c>
      <c r="G125" s="47">
        <v>74.7</v>
      </c>
      <c r="H125" s="9">
        <f t="shared" si="2"/>
        <v>0.747</v>
      </c>
    </row>
    <row r="126" spans="2:18" x14ac:dyDescent="0.35">
      <c r="B126" s="9">
        <v>0.3336274443986228</v>
      </c>
      <c r="C126" s="9">
        <v>0.55155415319989642</v>
      </c>
      <c r="D126" s="9">
        <v>9.1916101621766777E-2</v>
      </c>
      <c r="E126" s="9">
        <v>2.2902300779714009E-2</v>
      </c>
      <c r="F126" s="50">
        <v>72158</v>
      </c>
      <c r="G126" s="47">
        <v>69.2</v>
      </c>
      <c r="H126" s="9">
        <f t="shared" si="2"/>
        <v>0.69200000000000006</v>
      </c>
    </row>
    <row r="127" spans="2:18" x14ac:dyDescent="0.35">
      <c r="B127" s="9">
        <v>0.11142593359014358</v>
      </c>
      <c r="C127" s="9">
        <v>0.7861099614784629</v>
      </c>
      <c r="D127" s="9">
        <v>8.8106077488777815E-2</v>
      </c>
      <c r="E127" s="9">
        <v>1.4358027442615644E-2</v>
      </c>
      <c r="F127" s="50">
        <v>44437</v>
      </c>
      <c r="G127" s="47">
        <v>70.7</v>
      </c>
      <c r="H127" s="9">
        <f t="shared" si="2"/>
        <v>0.70700000000000007</v>
      </c>
    </row>
    <row r="128" spans="2:18" x14ac:dyDescent="0.35">
      <c r="B128" s="9">
        <v>0.55177776586046012</v>
      </c>
      <c r="C128" s="9">
        <v>0.29467474660803344</v>
      </c>
      <c r="D128" s="9">
        <v>0.12265780018233496</v>
      </c>
      <c r="E128" s="9">
        <v>3.0889687349171448E-2</v>
      </c>
      <c r="F128" s="50">
        <v>65904</v>
      </c>
      <c r="G128" s="47">
        <v>70.7</v>
      </c>
      <c r="H128" s="9">
        <f t="shared" si="2"/>
        <v>0.70700000000000007</v>
      </c>
    </row>
    <row r="129" spans="2:18" x14ac:dyDescent="0.35">
      <c r="B129" s="9">
        <v>0.25204795527621138</v>
      </c>
      <c r="C129" s="9">
        <v>0.53151508296844452</v>
      </c>
      <c r="D129" s="9">
        <v>0.19288749575867251</v>
      </c>
      <c r="E129" s="9">
        <v>2.3549465996671567E-2</v>
      </c>
      <c r="F129" s="50">
        <v>88045</v>
      </c>
      <c r="G129" s="47">
        <v>71.099999999999994</v>
      </c>
      <c r="H129" s="9">
        <f t="shared" si="2"/>
        <v>0.71099999999999997</v>
      </c>
    </row>
    <row r="130" spans="2:18" x14ac:dyDescent="0.35">
      <c r="B130" s="9">
        <v>0.27335893542913281</v>
      </c>
      <c r="C130" s="9">
        <v>0.55229079217647581</v>
      </c>
      <c r="D130" s="9">
        <v>0.13836741984460124</v>
      </c>
      <c r="E130" s="9">
        <v>3.5982852549790126E-2</v>
      </c>
      <c r="F130" s="50">
        <v>74286</v>
      </c>
      <c r="G130" s="47">
        <v>66.3</v>
      </c>
      <c r="H130" s="9">
        <f t="shared" si="2"/>
        <v>0.66299999999999992</v>
      </c>
    </row>
    <row r="131" spans="2:18" x14ac:dyDescent="0.35">
      <c r="B131" s="9">
        <v>0.52038670664792031</v>
      </c>
      <c r="C131" s="9">
        <v>0.20615644946560327</v>
      </c>
      <c r="D131" s="9">
        <v>0.23397742966990581</v>
      </c>
      <c r="E131" s="9">
        <v>3.9479414216570655E-2</v>
      </c>
      <c r="F131" s="50">
        <v>55453</v>
      </c>
      <c r="G131" s="47">
        <v>69</v>
      </c>
      <c r="H131" s="9">
        <f t="shared" si="2"/>
        <v>0.69</v>
      </c>
    </row>
    <row r="132" spans="2:18" x14ac:dyDescent="0.35">
      <c r="B132" s="9">
        <v>0.6504462628512403</v>
      </c>
      <c r="C132" s="9">
        <v>0.1203376426346455</v>
      </c>
      <c r="D132" s="9">
        <v>0.19850223534918252</v>
      </c>
      <c r="E132" s="9">
        <v>3.0713859164931648E-2</v>
      </c>
      <c r="F132" s="50">
        <v>44602</v>
      </c>
      <c r="G132" s="47">
        <v>72</v>
      </c>
      <c r="H132" s="9">
        <f t="shared" si="2"/>
        <v>0.72</v>
      </c>
    </row>
    <row r="133" spans="2:18" x14ac:dyDescent="0.35">
      <c r="B133" s="9">
        <v>0.16929090305689737</v>
      </c>
      <c r="C133" s="9">
        <v>0.6209668498100962</v>
      </c>
      <c r="D133" s="9">
        <v>0.17187211917843578</v>
      </c>
      <c r="E133" s="9">
        <v>3.78701279545706E-2</v>
      </c>
      <c r="F133" s="50">
        <v>32872</v>
      </c>
      <c r="G133" s="47">
        <v>60.6</v>
      </c>
      <c r="H133" s="9">
        <f t="shared" si="2"/>
        <v>0.60599999999999998</v>
      </c>
    </row>
    <row r="134" spans="2:18" x14ac:dyDescent="0.35">
      <c r="B134" s="9">
        <v>0.1497164007745429</v>
      </c>
      <c r="C134" s="9">
        <v>0.72505440649793518</v>
      </c>
      <c r="D134" s="9">
        <v>0.10055348972702503</v>
      </c>
      <c r="E134" s="9">
        <v>2.467570300049694E-2</v>
      </c>
      <c r="F134" s="50">
        <v>37007</v>
      </c>
      <c r="G134" s="47">
        <v>63.4</v>
      </c>
      <c r="H134" s="9">
        <f t="shared" si="2"/>
        <v>0.63400000000000001</v>
      </c>
      <c r="R134" t="s">
        <v>1462</v>
      </c>
    </row>
    <row r="135" spans="2:18" x14ac:dyDescent="0.35">
      <c r="B135" s="9">
        <v>0.14999041594786275</v>
      </c>
      <c r="C135" s="9">
        <v>0.72615624743284313</v>
      </c>
      <c r="D135" s="9">
        <v>8.5120074481776609E-2</v>
      </c>
      <c r="E135" s="9">
        <v>3.8733262137517453E-2</v>
      </c>
      <c r="F135" s="50">
        <v>46740</v>
      </c>
      <c r="G135" s="47">
        <v>64</v>
      </c>
      <c r="H135" s="9">
        <f t="shared" si="2"/>
        <v>0.64</v>
      </c>
    </row>
    <row r="136" spans="2:18" x14ac:dyDescent="0.35">
      <c r="B136" s="9">
        <v>0.27638063716846167</v>
      </c>
      <c r="C136" s="9">
        <v>0.58242225296835859</v>
      </c>
      <c r="D136" s="9">
        <v>0.10749391859508242</v>
      </c>
      <c r="E136" s="9">
        <v>3.3703191268097267E-2</v>
      </c>
      <c r="F136" s="50">
        <v>72875</v>
      </c>
      <c r="G136" s="47">
        <v>65.900000000000006</v>
      </c>
      <c r="H136" s="9">
        <f t="shared" si="2"/>
        <v>0.65900000000000003</v>
      </c>
      <c r="R136" s="8">
        <f>0.0609+0.7107</f>
        <v>0.77159999999999995</v>
      </c>
    </row>
    <row r="137" spans="2:18" x14ac:dyDescent="0.35">
      <c r="B137" s="9">
        <v>0.66233479872662371</v>
      </c>
      <c r="C137" s="9">
        <v>0.15539600071661866</v>
      </c>
      <c r="D137" s="9">
        <v>9.0996788997147304E-2</v>
      </c>
      <c r="E137" s="9">
        <v>9.1272411559610273E-2</v>
      </c>
      <c r="F137" s="50">
        <v>53313</v>
      </c>
      <c r="G137" s="47">
        <v>73.5</v>
      </c>
      <c r="H137" s="9">
        <f t="shared" si="2"/>
        <v>0.73499999999999999</v>
      </c>
    </row>
    <row r="138" spans="2:18" x14ac:dyDescent="0.35">
      <c r="B138" s="9">
        <v>0.60453788971485634</v>
      </c>
      <c r="C138" s="9">
        <v>0.2468212581826251</v>
      </c>
      <c r="D138" s="9">
        <v>0.11035171419061356</v>
      </c>
      <c r="E138" s="9">
        <v>3.8289137911905025E-2</v>
      </c>
      <c r="F138" s="50">
        <v>64457</v>
      </c>
      <c r="G138" s="47">
        <v>71.5</v>
      </c>
      <c r="H138" s="9">
        <f t="shared" si="2"/>
        <v>0.71499999999999997</v>
      </c>
    </row>
    <row r="139" spans="2:18" x14ac:dyDescent="0.35">
      <c r="B139" s="9">
        <v>0.72226194481830419</v>
      </c>
      <c r="C139" s="9">
        <v>0.17294751009421266</v>
      </c>
      <c r="D139" s="9">
        <v>8.4496971736204574E-2</v>
      </c>
      <c r="E139" s="9">
        <v>2.0293573351278599E-2</v>
      </c>
      <c r="F139" s="50">
        <v>68737</v>
      </c>
      <c r="G139" s="47">
        <v>72.3</v>
      </c>
      <c r="H139" s="9">
        <f t="shared" si="2"/>
        <v>0.72299999999999998</v>
      </c>
    </row>
    <row r="140" spans="2:18" x14ac:dyDescent="0.35">
      <c r="B140" s="9">
        <v>0.74896007206634341</v>
      </c>
      <c r="C140" s="9">
        <v>7.4662851389661652E-2</v>
      </c>
      <c r="D140" s="9">
        <v>0.15449222372360438</v>
      </c>
      <c r="E140" s="9">
        <v>2.1884852820390537E-2</v>
      </c>
      <c r="F140" s="50">
        <v>56654</v>
      </c>
      <c r="G140" s="47">
        <v>75.099999999999994</v>
      </c>
      <c r="H140" s="9">
        <f t="shared" si="2"/>
        <v>0.75099999999999989</v>
      </c>
    </row>
    <row r="141" spans="2:18" x14ac:dyDescent="0.35">
      <c r="B141" s="9">
        <v>0.57123751918663845</v>
      </c>
      <c r="C141" s="9">
        <v>0.16738347441528245</v>
      </c>
      <c r="D141" s="9">
        <v>0.24479871126578623</v>
      </c>
      <c r="E141" s="9">
        <v>1.6580295132292821E-2</v>
      </c>
      <c r="F141" s="50">
        <v>51437</v>
      </c>
      <c r="G141" s="47">
        <v>78.2</v>
      </c>
      <c r="H141" s="9">
        <f t="shared" si="2"/>
        <v>0.78200000000000003</v>
      </c>
    </row>
    <row r="142" spans="2:18" x14ac:dyDescent="0.35">
      <c r="B142" s="9">
        <v>0.74405892502428628</v>
      </c>
      <c r="C142" s="9">
        <v>0.13333526656903827</v>
      </c>
      <c r="D142" s="9">
        <v>0.10163986718670708</v>
      </c>
      <c r="E142" s="9">
        <v>2.0965941219968393E-2</v>
      </c>
      <c r="F142" s="50">
        <v>54561</v>
      </c>
      <c r="G142" s="47">
        <v>79.099999999999994</v>
      </c>
      <c r="H142" s="9">
        <f t="shared" si="2"/>
        <v>0.79099999999999993</v>
      </c>
    </row>
    <row r="143" spans="2:18" x14ac:dyDescent="0.35">
      <c r="B143" s="9">
        <v>0.7390519500807109</v>
      </c>
      <c r="C143" s="9">
        <v>0.15043479770190757</v>
      </c>
      <c r="D143" s="9">
        <v>6.7710412580493984E-2</v>
      </c>
      <c r="E143" s="9">
        <v>4.280283963688751E-2</v>
      </c>
      <c r="F143" s="50">
        <v>42703</v>
      </c>
      <c r="G143" s="47">
        <v>74.099999999999994</v>
      </c>
      <c r="H143" s="9">
        <f t="shared" si="2"/>
        <v>0.74099999999999999</v>
      </c>
    </row>
    <row r="144" spans="2:18" x14ac:dyDescent="0.35">
      <c r="B144" s="9">
        <v>0.1597928186801246</v>
      </c>
      <c r="C144" s="9">
        <v>0.67647840050225772</v>
      </c>
      <c r="D144" s="9">
        <v>0.15157076280395046</v>
      </c>
      <c r="E144" s="9">
        <v>1.2158018013667206E-2</v>
      </c>
      <c r="F144" s="50">
        <v>61644</v>
      </c>
      <c r="G144" s="47">
        <v>74.400000000000006</v>
      </c>
      <c r="H144" s="9">
        <f t="shared" si="2"/>
        <v>0.74400000000000011</v>
      </c>
    </row>
    <row r="145" spans="1:18" x14ac:dyDescent="0.35">
      <c r="B145" s="9">
        <v>0.61858708844664501</v>
      </c>
      <c r="C145" s="9">
        <v>0.18076560001541217</v>
      </c>
      <c r="D145" s="9">
        <v>0.1638699982661298</v>
      </c>
      <c r="E145" s="9">
        <v>3.677731327181305E-2</v>
      </c>
      <c r="F145" s="50">
        <v>38816</v>
      </c>
      <c r="G145" s="47">
        <v>74.8</v>
      </c>
      <c r="H145" s="9">
        <f t="shared" si="2"/>
        <v>0.748</v>
      </c>
    </row>
    <row r="146" spans="1:18" x14ac:dyDescent="0.35">
      <c r="B146" s="9">
        <v>0.15271124483682383</v>
      </c>
      <c r="C146" s="9">
        <v>0.59258086226691475</v>
      </c>
      <c r="D146" s="9">
        <v>0.2266518864563126</v>
      </c>
      <c r="E146" s="9">
        <v>2.8056006439948798E-2</v>
      </c>
      <c r="F146" s="50">
        <v>54179</v>
      </c>
      <c r="G146" s="47">
        <v>71.5</v>
      </c>
      <c r="H146" s="9">
        <f t="shared" si="2"/>
        <v>0.71499999999999997</v>
      </c>
    </row>
    <row r="147" spans="1:18" x14ac:dyDescent="0.35">
      <c r="B147" s="9">
        <v>0.15013847346848344</v>
      </c>
      <c r="C147" s="9">
        <v>0.41022488091281711</v>
      </c>
      <c r="D147" s="9">
        <v>0.41013625789298769</v>
      </c>
      <c r="E147" s="9">
        <v>2.9500387725711754E-2</v>
      </c>
      <c r="F147" s="50">
        <v>65366</v>
      </c>
      <c r="G147" s="47">
        <v>72.400000000000006</v>
      </c>
      <c r="H147" s="9">
        <f t="shared" si="2"/>
        <v>0.72400000000000009</v>
      </c>
    </row>
    <row r="148" spans="1:18" x14ac:dyDescent="0.35">
      <c r="B148" s="9">
        <v>0.68970167292156992</v>
      </c>
      <c r="C148" s="9">
        <v>0.12976273773932956</v>
      </c>
      <c r="D148" s="9">
        <v>0.15151707906621717</v>
      </c>
      <c r="E148" s="9">
        <v>2.9018510272883404E-2</v>
      </c>
      <c r="F148" s="50">
        <v>78605</v>
      </c>
      <c r="G148" s="47">
        <v>75.099999999999994</v>
      </c>
      <c r="H148" s="9">
        <f t="shared" si="2"/>
        <v>0.75099999999999989</v>
      </c>
    </row>
    <row r="149" spans="1:18" x14ac:dyDescent="0.35">
      <c r="B149" s="9">
        <v>0.39811583237741927</v>
      </c>
      <c r="C149" s="9">
        <v>0.33356112561931028</v>
      </c>
      <c r="D149" s="9">
        <v>0.23071290850071999</v>
      </c>
      <c r="E149" s="9">
        <v>3.7610133502550464E-2</v>
      </c>
      <c r="F149" s="50">
        <v>58871</v>
      </c>
      <c r="G149" s="47">
        <v>71.8</v>
      </c>
      <c r="H149" s="9">
        <f t="shared" si="2"/>
        <v>0.71799999999999997</v>
      </c>
    </row>
    <row r="150" spans="1:18" x14ac:dyDescent="0.35">
      <c r="B150" s="9">
        <v>0.71162191806953123</v>
      </c>
      <c r="C150" s="9">
        <v>7.9736754256283085E-2</v>
      </c>
      <c r="D150" s="9">
        <v>0.14327499324399509</v>
      </c>
      <c r="E150" s="9">
        <v>6.5366334430190604E-2</v>
      </c>
      <c r="F150" s="50">
        <v>49536</v>
      </c>
      <c r="G150" s="47">
        <v>78.7</v>
      </c>
      <c r="H150" s="9">
        <f t="shared" si="2"/>
        <v>0.78700000000000003</v>
      </c>
    </row>
    <row r="151" spans="1:18" x14ac:dyDescent="0.35">
      <c r="B151" s="9">
        <v>0.18075691541403541</v>
      </c>
      <c r="C151" s="9">
        <v>0.57395712888019212</v>
      </c>
      <c r="D151" s="9">
        <v>0.22456194965756471</v>
      </c>
      <c r="E151" s="9">
        <v>2.0724006048207774E-2</v>
      </c>
      <c r="F151" s="50">
        <v>33783</v>
      </c>
      <c r="G151" s="47">
        <v>75.099999999999994</v>
      </c>
      <c r="H151" s="9">
        <f t="shared" si="2"/>
        <v>0.75099999999999989</v>
      </c>
    </row>
    <row r="152" spans="1:18" x14ac:dyDescent="0.35">
      <c r="B152" s="9">
        <v>0.71059596604910102</v>
      </c>
      <c r="C152" s="9">
        <v>0.10641598977822396</v>
      </c>
      <c r="D152" s="9">
        <v>0.15442183079310029</v>
      </c>
      <c r="E152" s="9">
        <v>2.8566213379574702E-2</v>
      </c>
      <c r="F152" s="50">
        <v>34029</v>
      </c>
      <c r="G152" s="47">
        <v>77.599999999999994</v>
      </c>
      <c r="H152" s="9">
        <f t="shared" si="2"/>
        <v>0.77599999999999991</v>
      </c>
    </row>
    <row r="153" spans="1:18" x14ac:dyDescent="0.35">
      <c r="B153" s="9">
        <v>0.57783486011388963</v>
      </c>
      <c r="C153" s="9">
        <v>0.26200792275315671</v>
      </c>
      <c r="D153" s="9">
        <v>0.11713914335231493</v>
      </c>
      <c r="E153" s="9">
        <v>4.3018073780638773E-2</v>
      </c>
      <c r="F153" s="50">
        <v>25196</v>
      </c>
      <c r="G153" s="47">
        <v>78</v>
      </c>
      <c r="H153" s="9">
        <f t="shared" si="2"/>
        <v>0.78</v>
      </c>
    </row>
    <row r="154" spans="1:18" x14ac:dyDescent="0.35">
      <c r="B154" s="9">
        <v>0.68927191236120133</v>
      </c>
      <c r="C154" s="9">
        <v>0.1458623883488944</v>
      </c>
      <c r="D154" s="9">
        <v>0.10671663242167123</v>
      </c>
      <c r="E154" s="9">
        <v>5.8149066868233068E-2</v>
      </c>
      <c r="F154" s="50">
        <v>69165</v>
      </c>
      <c r="G154" s="47">
        <v>73.599999999999994</v>
      </c>
      <c r="H154" s="9">
        <f t="shared" si="2"/>
        <v>0.73599999999999999</v>
      </c>
    </row>
    <row r="155" spans="1:18" x14ac:dyDescent="0.35">
      <c r="B155" s="9">
        <v>0.56828984894898071</v>
      </c>
      <c r="C155" s="9">
        <v>0.22560473222773847</v>
      </c>
      <c r="D155" s="9">
        <v>0.17593746699059892</v>
      </c>
      <c r="E155" s="9">
        <v>3.0167951832681946E-2</v>
      </c>
      <c r="F155" s="50">
        <v>34730</v>
      </c>
      <c r="G155" s="47">
        <v>73.400000000000006</v>
      </c>
      <c r="H155" s="9">
        <f t="shared" si="2"/>
        <v>0.7340000000000001</v>
      </c>
    </row>
    <row r="156" spans="1:18" x14ac:dyDescent="0.35">
      <c r="A156" t="s">
        <v>1446</v>
      </c>
    </row>
    <row r="157" spans="1:18" x14ac:dyDescent="0.35">
      <c r="B157" s="1" t="s">
        <v>1420</v>
      </c>
      <c r="C157" s="1" t="s">
        <v>1421</v>
      </c>
      <c r="D157" s="1" t="s">
        <v>1422</v>
      </c>
      <c r="E157" s="1" t="s">
        <v>1423</v>
      </c>
      <c r="F157" s="21" t="s">
        <v>1433</v>
      </c>
      <c r="G157" s="22" t="s">
        <v>1434</v>
      </c>
    </row>
    <row r="158" spans="1:18" x14ac:dyDescent="0.35">
      <c r="B158" s="9">
        <v>0.46275937886491686</v>
      </c>
      <c r="C158" s="9">
        <v>0.44255874673629242</v>
      </c>
      <c r="D158" s="9">
        <v>2.054418029407723E-2</v>
      </c>
      <c r="E158" s="9">
        <v>7.4137694104713478E-2</v>
      </c>
      <c r="F158" s="1">
        <v>9576</v>
      </c>
      <c r="G158" s="1">
        <v>65.8</v>
      </c>
      <c r="H158" s="9">
        <f t="shared" ref="H158:H193" si="3">G158/100</f>
        <v>0.65799999999999992</v>
      </c>
    </row>
    <row r="159" spans="1:18" x14ac:dyDescent="0.35">
      <c r="B159" s="9">
        <v>0.65495851748468636</v>
      </c>
      <c r="C159" s="9">
        <v>0.19958129797627355</v>
      </c>
      <c r="D159" s="9">
        <v>6.6759711560828106E-2</v>
      </c>
      <c r="E159" s="9">
        <v>7.8700472978211991E-2</v>
      </c>
      <c r="F159" s="1">
        <v>8478</v>
      </c>
      <c r="G159" s="1">
        <v>65.7</v>
      </c>
      <c r="H159" s="9">
        <f t="shared" si="3"/>
        <v>0.65700000000000003</v>
      </c>
      <c r="R159" t="s">
        <v>1460</v>
      </c>
    </row>
    <row r="160" spans="1:18" x14ac:dyDescent="0.35">
      <c r="B160" s="9">
        <v>0.7902603187172127</v>
      </c>
      <c r="C160" s="9">
        <v>5.7012768484608532E-2</v>
      </c>
      <c r="D160" s="9">
        <v>8.6162525982381472E-2</v>
      </c>
      <c r="E160" s="9">
        <v>6.6564386815797294E-2</v>
      </c>
      <c r="F160" s="1">
        <v>13343</v>
      </c>
      <c r="G160" s="1">
        <v>66</v>
      </c>
      <c r="H160" s="9">
        <f t="shared" si="3"/>
        <v>0.66</v>
      </c>
    </row>
    <row r="161" spans="2:18" x14ac:dyDescent="0.35">
      <c r="B161" s="9">
        <v>0.65365038365114336</v>
      </c>
      <c r="C161" s="9">
        <v>0.2804072020056218</v>
      </c>
      <c r="D161" s="9">
        <v>3.8593025905948493E-2</v>
      </c>
      <c r="E161" s="9">
        <v>2.7349388437286334E-2</v>
      </c>
      <c r="F161" s="1">
        <v>8983</v>
      </c>
      <c r="G161" s="1">
        <v>68.2</v>
      </c>
      <c r="H161" s="9">
        <f t="shared" si="3"/>
        <v>0.68200000000000005</v>
      </c>
      <c r="R161" s="8">
        <f>0.0558+0.6396</f>
        <v>0.69539999999999991</v>
      </c>
    </row>
    <row r="162" spans="2:18" x14ac:dyDescent="0.35">
      <c r="B162" s="9">
        <v>0.77610856142899598</v>
      </c>
      <c r="C162" s="9">
        <v>0.12510317958199887</v>
      </c>
      <c r="D162" s="9">
        <v>8.6934988608974154E-2</v>
      </c>
      <c r="E162" s="9">
        <v>1.1853270380031037E-2</v>
      </c>
      <c r="F162" s="1">
        <v>19781</v>
      </c>
      <c r="G162" s="1">
        <v>65.3</v>
      </c>
      <c r="H162" s="9">
        <f t="shared" si="3"/>
        <v>0.65300000000000002</v>
      </c>
    </row>
    <row r="163" spans="2:18" x14ac:dyDescent="0.35">
      <c r="B163" s="9">
        <v>0.92095854260662302</v>
      </c>
      <c r="C163" s="9">
        <v>1.6302034562015833E-2</v>
      </c>
      <c r="D163" s="9">
        <v>5.8440452881586787E-2</v>
      </c>
      <c r="E163" s="9">
        <v>4.2989699497744107E-3</v>
      </c>
      <c r="F163" s="1">
        <v>15316</v>
      </c>
      <c r="G163" s="1">
        <v>65.2</v>
      </c>
      <c r="H163" s="9">
        <f t="shared" si="3"/>
        <v>0.65200000000000002</v>
      </c>
    </row>
    <row r="164" spans="2:18" x14ac:dyDescent="0.35">
      <c r="B164" s="9">
        <v>0.51077638990938035</v>
      </c>
      <c r="C164" s="9">
        <v>9.6926279696301743E-2</v>
      </c>
      <c r="D164" s="9">
        <v>0.33639480773940728</v>
      </c>
      <c r="E164" s="9">
        <v>5.5902522654910608E-2</v>
      </c>
      <c r="F164" s="1">
        <v>10231</v>
      </c>
      <c r="G164" s="1">
        <v>62.6</v>
      </c>
      <c r="H164" s="9">
        <f t="shared" si="3"/>
        <v>0.626</v>
      </c>
    </row>
    <row r="165" spans="2:18" x14ac:dyDescent="0.35">
      <c r="B165" s="9">
        <v>0.29551010904575264</v>
      </c>
      <c r="C165" s="9">
        <v>0.58896348325507397</v>
      </c>
      <c r="D165" s="9">
        <v>0.10594124723504987</v>
      </c>
      <c r="E165" s="9">
        <v>9.5851604641235596E-3</v>
      </c>
      <c r="F165" s="1">
        <v>15470</v>
      </c>
      <c r="G165" s="1">
        <v>60</v>
      </c>
      <c r="H165" s="9">
        <f t="shared" si="3"/>
        <v>0.6</v>
      </c>
    </row>
    <row r="166" spans="2:18" x14ac:dyDescent="0.35">
      <c r="B166" s="9">
        <v>0.75589717373840648</v>
      </c>
      <c r="C166" s="9">
        <v>0.14978456145475791</v>
      </c>
      <c r="D166" s="9">
        <v>5.3238881180165044E-2</v>
      </c>
      <c r="E166" s="9">
        <v>4.107938362667056E-2</v>
      </c>
      <c r="F166" s="1">
        <v>19799</v>
      </c>
      <c r="G166" s="1">
        <v>72.3</v>
      </c>
      <c r="H166" s="9">
        <f t="shared" si="3"/>
        <v>0.72299999999999998</v>
      </c>
    </row>
    <row r="167" spans="2:18" x14ac:dyDescent="0.35">
      <c r="B167" s="9">
        <v>0.43302978561942707</v>
      </c>
      <c r="C167" s="9">
        <v>0.31915196357427433</v>
      </c>
      <c r="D167" s="9">
        <v>0.21637260481881995</v>
      </c>
      <c r="E167" s="9">
        <v>3.1445645987478656E-2</v>
      </c>
      <c r="F167" s="1">
        <v>28864</v>
      </c>
      <c r="G167" s="1">
        <v>68.5</v>
      </c>
      <c r="H167" s="9">
        <f t="shared" si="3"/>
        <v>0.68500000000000005</v>
      </c>
    </row>
    <row r="168" spans="2:18" x14ac:dyDescent="0.35">
      <c r="B168" s="9">
        <v>4.2685292976329066E-2</v>
      </c>
      <c r="C168" s="9">
        <v>0.72086405380933904</v>
      </c>
      <c r="D168" s="9">
        <v>0.21536670547147846</v>
      </c>
      <c r="E168" s="9">
        <v>2.1083947742853448E-2</v>
      </c>
      <c r="F168" s="1">
        <v>15210</v>
      </c>
      <c r="G168" s="1">
        <v>65.599999999999994</v>
      </c>
      <c r="H168" s="9">
        <f t="shared" si="3"/>
        <v>0.65599999999999992</v>
      </c>
    </row>
    <row r="169" spans="2:18" x14ac:dyDescent="0.35">
      <c r="B169" s="9">
        <v>0.37638517386320214</v>
      </c>
      <c r="C169" s="9">
        <v>0.44600687810470002</v>
      </c>
      <c r="D169" s="9">
        <v>0.14841421474971342</v>
      </c>
      <c r="E169" s="9">
        <v>2.919373328238441E-2</v>
      </c>
      <c r="F169" s="1">
        <v>8992</v>
      </c>
      <c r="G169" s="1">
        <v>68.7</v>
      </c>
      <c r="H169" s="9">
        <f t="shared" si="3"/>
        <v>0.68700000000000006</v>
      </c>
    </row>
    <row r="170" spans="2:18" x14ac:dyDescent="0.35">
      <c r="B170" s="9">
        <v>0.70423275515567507</v>
      </c>
      <c r="C170" s="9">
        <v>0.19698234548433974</v>
      </c>
      <c r="D170" s="9">
        <v>7.9553535540920761E-2</v>
      </c>
      <c r="E170" s="9">
        <v>1.9231363819064404E-2</v>
      </c>
      <c r="F170" s="1">
        <v>23220</v>
      </c>
      <c r="G170" s="1">
        <v>71.8</v>
      </c>
      <c r="H170" s="9">
        <f t="shared" si="3"/>
        <v>0.71799999999999997</v>
      </c>
    </row>
    <row r="171" spans="2:18" x14ac:dyDescent="0.35">
      <c r="B171" s="9">
        <v>0.72103658536585369</v>
      </c>
      <c r="C171" s="9">
        <v>0.15925114329268292</v>
      </c>
      <c r="D171" s="9">
        <v>8.479420731707317E-2</v>
      </c>
      <c r="E171" s="9">
        <v>3.4918064024390245E-2</v>
      </c>
      <c r="F171" s="1">
        <v>14858</v>
      </c>
      <c r="G171" s="1">
        <v>70.8</v>
      </c>
      <c r="H171" s="9">
        <f t="shared" si="3"/>
        <v>0.70799999999999996</v>
      </c>
    </row>
    <row r="172" spans="2:18" x14ac:dyDescent="0.35">
      <c r="B172" s="9">
        <v>0.79437649164677804</v>
      </c>
      <c r="C172" s="9">
        <v>0.11873508353221957</v>
      </c>
      <c r="D172" s="9">
        <v>5.3997613365155128E-2</v>
      </c>
      <c r="E172" s="9">
        <v>3.2890811455847255E-2</v>
      </c>
      <c r="F172" s="1">
        <v>9020</v>
      </c>
      <c r="G172" s="1">
        <v>67.3</v>
      </c>
      <c r="H172" s="9">
        <f t="shared" si="3"/>
        <v>0.67299999999999993</v>
      </c>
    </row>
    <row r="173" spans="2:18" x14ac:dyDescent="0.35">
      <c r="B173" s="9">
        <v>0.9150821304131409</v>
      </c>
      <c r="C173" s="9">
        <v>2.4489795918367346E-2</v>
      </c>
      <c r="D173" s="9">
        <v>3.5838725734196118E-3</v>
      </c>
      <c r="E173" s="9">
        <v>5.6844201095072176E-2</v>
      </c>
      <c r="F173" s="1">
        <v>7052</v>
      </c>
      <c r="G173" s="1">
        <v>70.2</v>
      </c>
      <c r="H173" s="9">
        <f t="shared" si="3"/>
        <v>0.70200000000000007</v>
      </c>
    </row>
    <row r="174" spans="2:18" x14ac:dyDescent="0.35">
      <c r="B174" s="9">
        <v>0.80052599635848676</v>
      </c>
      <c r="C174" s="9">
        <v>0.15506777260772811</v>
      </c>
      <c r="D174" s="9">
        <v>3.611167307303257E-2</v>
      </c>
      <c r="E174" s="9">
        <v>8.2945579607525792E-3</v>
      </c>
      <c r="F174" s="1">
        <v>6786</v>
      </c>
      <c r="G174" s="1">
        <v>68.599999999999994</v>
      </c>
      <c r="H174" s="9">
        <f t="shared" si="3"/>
        <v>0.68599999999999994</v>
      </c>
    </row>
    <row r="175" spans="2:18" x14ac:dyDescent="0.35">
      <c r="B175" s="9">
        <v>0.6523852588740674</v>
      </c>
      <c r="C175" s="9">
        <v>0.24909563644585123</v>
      </c>
      <c r="D175" s="9">
        <v>8.7836310196699074E-2</v>
      </c>
      <c r="E175" s="9">
        <v>1.0682794483382319E-2</v>
      </c>
      <c r="F175" s="1">
        <v>11365</v>
      </c>
      <c r="G175" s="1">
        <v>64.2</v>
      </c>
      <c r="H175" s="9">
        <f t="shared" si="3"/>
        <v>0.64200000000000002</v>
      </c>
      <c r="R175" t="s">
        <v>1461</v>
      </c>
    </row>
    <row r="176" spans="2:18" x14ac:dyDescent="0.35">
      <c r="B176" s="9">
        <v>0.72776740030861686</v>
      </c>
      <c r="C176" s="9">
        <v>0.16283602696337204</v>
      </c>
      <c r="D176" s="9">
        <v>5.2058799642654106E-2</v>
      </c>
      <c r="E176" s="9">
        <v>5.7337773085356938E-2</v>
      </c>
      <c r="F176" s="1">
        <v>8339</v>
      </c>
      <c r="G176" s="1">
        <v>67.7</v>
      </c>
      <c r="H176" s="9">
        <f t="shared" si="3"/>
        <v>0.67700000000000005</v>
      </c>
    </row>
    <row r="177" spans="2:18" x14ac:dyDescent="0.35">
      <c r="B177" s="9">
        <v>0.74591508629175141</v>
      </c>
      <c r="C177" s="9">
        <v>7.91718616707133E-2</v>
      </c>
      <c r="D177" s="9">
        <v>0.13875582387295754</v>
      </c>
      <c r="E177" s="9">
        <v>3.6157228164577726E-2</v>
      </c>
      <c r="F177" s="1">
        <v>21682</v>
      </c>
      <c r="G177" s="1">
        <v>71.099999999999994</v>
      </c>
      <c r="H177" s="9">
        <f t="shared" si="3"/>
        <v>0.71099999999999997</v>
      </c>
      <c r="R177" s="8">
        <f>-0.0693+0.6895</f>
        <v>0.62019999999999997</v>
      </c>
    </row>
    <row r="178" spans="2:18" x14ac:dyDescent="0.35">
      <c r="B178" s="9">
        <v>0.26528802266975277</v>
      </c>
      <c r="C178" s="9">
        <v>0.49250470483895392</v>
      </c>
      <c r="D178" s="9">
        <v>0.22193860996344286</v>
      </c>
      <c r="E178" s="9">
        <v>2.0268662527850482E-2</v>
      </c>
      <c r="F178" s="1">
        <v>30489</v>
      </c>
      <c r="G178" s="1">
        <v>66</v>
      </c>
      <c r="H178" s="9">
        <f t="shared" si="3"/>
        <v>0.66</v>
      </c>
    </row>
    <row r="179" spans="2:18" x14ac:dyDescent="0.35">
      <c r="B179" s="9">
        <v>0.29204241403230602</v>
      </c>
      <c r="C179" s="9">
        <v>0.44886532553760777</v>
      </c>
      <c r="D179" s="9">
        <v>0.22589436131206025</v>
      </c>
      <c r="E179" s="9">
        <v>3.3197899118025967E-2</v>
      </c>
      <c r="F179" s="1">
        <v>13304</v>
      </c>
      <c r="G179" s="1">
        <v>65.900000000000006</v>
      </c>
      <c r="H179" s="9">
        <f t="shared" si="3"/>
        <v>0.65900000000000003</v>
      </c>
    </row>
    <row r="180" spans="2:18" x14ac:dyDescent="0.35">
      <c r="B180" s="9">
        <v>0.13536197844708484</v>
      </c>
      <c r="C180" s="9">
        <v>0.58707515888366957</v>
      </c>
      <c r="D180" s="9">
        <v>0.25697706548770377</v>
      </c>
      <c r="E180" s="9">
        <v>2.0585797181541861E-2</v>
      </c>
      <c r="F180" s="1">
        <v>19301</v>
      </c>
      <c r="G180" s="1">
        <v>66.7</v>
      </c>
      <c r="H180" s="9">
        <f t="shared" si="3"/>
        <v>0.66700000000000004</v>
      </c>
    </row>
    <row r="181" spans="2:18" x14ac:dyDescent="0.35">
      <c r="B181" s="9">
        <v>0.24032208113967171</v>
      </c>
      <c r="C181" s="9">
        <v>0.47138432951378134</v>
      </c>
      <c r="D181" s="9">
        <v>0.27209662434190152</v>
      </c>
      <c r="E181" s="9">
        <v>1.6196965004645403E-2</v>
      </c>
      <c r="F181" s="1">
        <v>21457</v>
      </c>
      <c r="G181" s="1">
        <v>66.5</v>
      </c>
      <c r="H181" s="9">
        <f t="shared" si="3"/>
        <v>0.66500000000000004</v>
      </c>
    </row>
    <row r="182" spans="2:18" x14ac:dyDescent="0.35">
      <c r="B182" s="9">
        <v>0.77513837638376382</v>
      </c>
      <c r="C182" s="9">
        <v>6.2154059040590404E-2</v>
      </c>
      <c r="D182" s="9">
        <v>0.14947944122298365</v>
      </c>
      <c r="E182" s="9">
        <v>1.3228123352662099E-2</v>
      </c>
      <c r="F182" s="1">
        <v>43085</v>
      </c>
      <c r="G182" s="1">
        <v>71</v>
      </c>
      <c r="H182" s="9">
        <f t="shared" si="3"/>
        <v>0.71</v>
      </c>
    </row>
    <row r="183" spans="2:18" x14ac:dyDescent="0.35">
      <c r="B183" s="9">
        <v>0.81186341463414635</v>
      </c>
      <c r="C183" s="9">
        <v>6.3648780487804882E-2</v>
      </c>
      <c r="D183" s="9">
        <v>9.9941463414634141E-2</v>
      </c>
      <c r="E183" s="9">
        <v>2.4546341463414636E-2</v>
      </c>
      <c r="F183" s="1">
        <v>18187</v>
      </c>
      <c r="G183" s="1">
        <v>71</v>
      </c>
      <c r="H183" s="9">
        <f t="shared" si="3"/>
        <v>0.71</v>
      </c>
    </row>
    <row r="184" spans="2:18" x14ac:dyDescent="0.35">
      <c r="B184" s="9">
        <v>0.55077531164487681</v>
      </c>
      <c r="C184" s="9">
        <v>0.15725144420796594</v>
      </c>
      <c r="D184" s="9">
        <v>0.27421708726056554</v>
      </c>
      <c r="E184" s="9">
        <v>1.775615688659167E-2</v>
      </c>
      <c r="F184" s="1">
        <v>23634</v>
      </c>
      <c r="G184" s="1">
        <v>71.900000000000006</v>
      </c>
      <c r="H184" s="9">
        <f t="shared" si="3"/>
        <v>0.71900000000000008</v>
      </c>
    </row>
    <row r="185" spans="2:18" x14ac:dyDescent="0.35">
      <c r="B185" s="9">
        <v>0.85984251968503933</v>
      </c>
      <c r="C185" s="9">
        <v>6.6929133858267723E-2</v>
      </c>
      <c r="D185" s="9">
        <v>5.1665657177468204E-2</v>
      </c>
      <c r="E185" s="9">
        <v>2.1562689279224712E-2</v>
      </c>
      <c r="F185" s="1">
        <v>11603</v>
      </c>
      <c r="G185" s="1">
        <v>70.3</v>
      </c>
      <c r="H185" s="9">
        <f t="shared" si="3"/>
        <v>0.70299999999999996</v>
      </c>
    </row>
    <row r="186" spans="2:18" x14ac:dyDescent="0.35">
      <c r="B186" s="9">
        <v>0.23703212984431932</v>
      </c>
      <c r="C186" s="9">
        <v>0.54077509108976485</v>
      </c>
      <c r="D186" s="9">
        <v>0.21424312686319974</v>
      </c>
      <c r="E186" s="9">
        <v>7.9496522027161318E-3</v>
      </c>
      <c r="F186" s="1">
        <v>10046</v>
      </c>
      <c r="G186" s="1">
        <v>66.599999999999994</v>
      </c>
      <c r="H186" s="9">
        <f t="shared" si="3"/>
        <v>0.66599999999999993</v>
      </c>
    </row>
    <row r="187" spans="2:18" x14ac:dyDescent="0.35">
      <c r="B187" s="9">
        <v>0.22953816309781391</v>
      </c>
      <c r="C187" s="9">
        <v>0.4921286279191226</v>
      </c>
      <c r="D187" s="9">
        <v>0.2619562784451242</v>
      </c>
      <c r="E187" s="9">
        <v>1.6376930537939267E-2</v>
      </c>
      <c r="F187" s="1">
        <v>17257</v>
      </c>
      <c r="G187" s="1">
        <v>64.400000000000006</v>
      </c>
      <c r="H187" s="9">
        <f t="shared" si="3"/>
        <v>0.64400000000000002</v>
      </c>
    </row>
    <row r="188" spans="2:18" x14ac:dyDescent="0.35">
      <c r="B188" s="9">
        <v>0.74721122706009357</v>
      </c>
      <c r="C188" s="9">
        <v>6.8225980568549838E-2</v>
      </c>
      <c r="D188" s="9">
        <v>9.982007916516733E-2</v>
      </c>
      <c r="E188" s="9">
        <v>8.4742713206189271E-2</v>
      </c>
      <c r="F188" s="1">
        <v>18416</v>
      </c>
      <c r="G188" s="1">
        <v>66.3</v>
      </c>
      <c r="H188" s="9">
        <f t="shared" si="3"/>
        <v>0.66299999999999992</v>
      </c>
    </row>
    <row r="189" spans="2:18" x14ac:dyDescent="0.35">
      <c r="B189" s="9">
        <v>0.60915152686509466</v>
      </c>
      <c r="C189" s="9">
        <v>0.17235214534209509</v>
      </c>
      <c r="D189" s="9">
        <v>0.17621762659451101</v>
      </c>
      <c r="E189" s="9">
        <v>4.2278701198299191E-2</v>
      </c>
      <c r="F189" s="1">
        <v>14203</v>
      </c>
      <c r="G189" s="1">
        <v>68.599999999999994</v>
      </c>
      <c r="H189" s="9">
        <f t="shared" si="3"/>
        <v>0.68599999999999994</v>
      </c>
    </row>
    <row r="190" spans="2:18" x14ac:dyDescent="0.35">
      <c r="B190" s="9">
        <v>0.37399001595388814</v>
      </c>
      <c r="C190" s="9">
        <v>0.31398281097215791</v>
      </c>
      <c r="D190" s="9">
        <v>0.28083989501312334</v>
      </c>
      <c r="E190" s="9">
        <v>3.1187278060830631E-2</v>
      </c>
      <c r="F190" s="1">
        <v>12482</v>
      </c>
      <c r="G190" s="1">
        <v>64.2</v>
      </c>
      <c r="H190" s="9">
        <f t="shared" si="3"/>
        <v>0.64200000000000002</v>
      </c>
    </row>
    <row r="191" spans="2:18" x14ac:dyDescent="0.35">
      <c r="B191" s="9">
        <v>0.83341203453858603</v>
      </c>
      <c r="C191" s="9">
        <v>7.7307069616837559E-2</v>
      </c>
      <c r="D191" s="9">
        <v>4.8401241230437132E-2</v>
      </c>
      <c r="E191" s="9">
        <v>4.0879654614139234E-2</v>
      </c>
      <c r="F191" s="1">
        <v>20186</v>
      </c>
      <c r="G191" s="1">
        <v>68.099999999999994</v>
      </c>
      <c r="H191" s="9">
        <f t="shared" si="3"/>
        <v>0.68099999999999994</v>
      </c>
    </row>
    <row r="192" spans="2:18" x14ac:dyDescent="0.35">
      <c r="B192" s="9">
        <v>0.61925859686204376</v>
      </c>
      <c r="C192" s="9">
        <v>0.2215267051459231</v>
      </c>
      <c r="D192" s="9">
        <v>0.15165433704576864</v>
      </c>
      <c r="E192" s="9">
        <v>7.5603609462645315E-3</v>
      </c>
      <c r="F192" s="1">
        <v>15376</v>
      </c>
      <c r="G192" s="1">
        <v>62.5</v>
      </c>
      <c r="H192" s="9">
        <f t="shared" si="3"/>
        <v>0.625</v>
      </c>
    </row>
    <row r="193" spans="2:18" x14ac:dyDescent="0.35">
      <c r="B193" s="9">
        <v>0.39492009969212727</v>
      </c>
      <c r="C193" s="9">
        <v>0.41390558569124763</v>
      </c>
      <c r="D193" s="9">
        <v>0.17600058642427796</v>
      </c>
      <c r="E193" s="9">
        <v>1.5173728192347163E-2</v>
      </c>
      <c r="F193" s="1">
        <v>17064</v>
      </c>
      <c r="G193" s="1">
        <v>62.5</v>
      </c>
      <c r="H193" s="9">
        <f t="shared" si="3"/>
        <v>0.625</v>
      </c>
      <c r="R193" t="s">
        <v>1462</v>
      </c>
    </row>
    <row r="195" spans="2:18" x14ac:dyDescent="0.35">
      <c r="R195">
        <f>-0.0959+0.6848</f>
        <v>0.58889999999999998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B3284-4CBC-44A1-A09D-54C037870284}">
  <dimension ref="B2:K7"/>
  <sheetViews>
    <sheetView workbookViewId="0">
      <selection activeCell="B2" sqref="B2:K7"/>
    </sheetView>
  </sheetViews>
  <sheetFormatPr defaultRowHeight="14.5" x14ac:dyDescent="0.35"/>
  <cols>
    <col min="2" max="2" width="8" bestFit="1" customWidth="1"/>
    <col min="3" max="3" width="6" bestFit="1" customWidth="1"/>
    <col min="4" max="4" width="7.81640625" bestFit="1" customWidth="1"/>
    <col min="5" max="5" width="11.453125" customWidth="1"/>
    <col min="6" max="6" width="6" bestFit="1" customWidth="1"/>
    <col min="7" max="7" width="7.81640625" bestFit="1" customWidth="1"/>
    <col min="8" max="8" width="11.54296875" customWidth="1"/>
    <col min="9" max="9" width="6" bestFit="1" customWidth="1"/>
    <col min="10" max="10" width="7.81640625" bestFit="1" customWidth="1"/>
    <col min="11" max="11" width="14.36328125" customWidth="1"/>
  </cols>
  <sheetData>
    <row r="2" spans="2:11" x14ac:dyDescent="0.35">
      <c r="B2" s="1"/>
      <c r="C2" s="58" t="s">
        <v>1458</v>
      </c>
      <c r="D2" s="58"/>
      <c r="E2" s="58"/>
      <c r="F2" s="58" t="s">
        <v>1459</v>
      </c>
      <c r="G2" s="58"/>
      <c r="H2" s="58"/>
      <c r="I2" s="59" t="s">
        <v>1463</v>
      </c>
      <c r="J2" s="60"/>
      <c r="K2" s="61"/>
    </row>
    <row r="3" spans="2:11" x14ac:dyDescent="0.35">
      <c r="B3" s="1" t="s">
        <v>0</v>
      </c>
      <c r="C3" s="1" t="s">
        <v>1455</v>
      </c>
      <c r="D3" s="1" t="s">
        <v>1456</v>
      </c>
      <c r="E3" s="1" t="s">
        <v>1457</v>
      </c>
      <c r="F3" s="1" t="s">
        <v>1455</v>
      </c>
      <c r="G3" s="1" t="s">
        <v>1456</v>
      </c>
      <c r="H3" s="1" t="s">
        <v>1457</v>
      </c>
      <c r="I3" s="1" t="s">
        <v>1455</v>
      </c>
      <c r="J3" s="1" t="s">
        <v>1456</v>
      </c>
      <c r="K3" s="1" t="s">
        <v>1457</v>
      </c>
    </row>
    <row r="4" spans="2:11" x14ac:dyDescent="0.35">
      <c r="B4" s="1" t="s">
        <v>54</v>
      </c>
      <c r="C4" s="9">
        <v>0.76780000000000004</v>
      </c>
      <c r="D4" s="9">
        <v>0.53910000000000002</v>
      </c>
      <c r="E4" s="9">
        <v>0.56479999999999997</v>
      </c>
      <c r="F4" s="9">
        <v>0.79339999999999999</v>
      </c>
      <c r="G4" s="9">
        <v>0.62290000000000001</v>
      </c>
      <c r="H4" s="9">
        <v>0.628</v>
      </c>
      <c r="I4" s="54">
        <f t="shared" ref="I4:K7" si="0">C4-F4</f>
        <v>-2.5599999999999956E-2</v>
      </c>
      <c r="J4" s="54">
        <f t="shared" si="0"/>
        <v>-8.3799999999999986E-2</v>
      </c>
      <c r="K4" s="54">
        <f t="shared" si="0"/>
        <v>-6.3200000000000034E-2</v>
      </c>
    </row>
    <row r="5" spans="2:11" x14ac:dyDescent="0.35">
      <c r="B5" s="1" t="s">
        <v>1444</v>
      </c>
      <c r="C5" s="9">
        <v>0.80500000000000005</v>
      </c>
      <c r="D5" s="9">
        <v>0.64300000000000002</v>
      </c>
      <c r="E5" s="9">
        <v>0.42750000000000005</v>
      </c>
      <c r="F5" s="9">
        <v>0.82379999999999998</v>
      </c>
      <c r="G5" s="9">
        <v>0.71850000000000003</v>
      </c>
      <c r="H5" s="9">
        <v>0.65259999999999996</v>
      </c>
      <c r="I5" s="54">
        <f t="shared" si="0"/>
        <v>-1.8799999999999928E-2</v>
      </c>
      <c r="J5" s="54">
        <f t="shared" si="0"/>
        <v>-7.5500000000000012E-2</v>
      </c>
      <c r="K5" s="54">
        <f t="shared" si="0"/>
        <v>-0.22509999999999991</v>
      </c>
    </row>
    <row r="6" spans="2:11" x14ac:dyDescent="0.35">
      <c r="B6" s="1" t="s">
        <v>3</v>
      </c>
      <c r="C6" s="9">
        <v>0.76600000000000001</v>
      </c>
      <c r="D6" s="9">
        <v>0.63500000000000001</v>
      </c>
      <c r="E6" s="9">
        <v>0.77159999999999995</v>
      </c>
      <c r="F6" s="9">
        <v>0.82539999999999991</v>
      </c>
      <c r="G6" s="9">
        <v>0.73050000000000004</v>
      </c>
      <c r="H6" s="9">
        <v>0.76380000000000003</v>
      </c>
      <c r="I6" s="54">
        <f t="shared" si="0"/>
        <v>-5.9399999999999897E-2</v>
      </c>
      <c r="J6" s="54">
        <f t="shared" si="0"/>
        <v>-9.5500000000000029E-2</v>
      </c>
      <c r="K6" s="54">
        <f t="shared" si="0"/>
        <v>7.7999999999999181E-3</v>
      </c>
    </row>
    <row r="7" spans="2:11" x14ac:dyDescent="0.35">
      <c r="B7" s="1" t="s">
        <v>1446</v>
      </c>
      <c r="C7" s="9">
        <v>0.69539999999999991</v>
      </c>
      <c r="D7" s="9">
        <v>0.62019999999999997</v>
      </c>
      <c r="E7" s="9">
        <v>0.58889999999999998</v>
      </c>
      <c r="F7" s="9">
        <v>0.79209999999999992</v>
      </c>
      <c r="G7" s="9">
        <v>0.70190000000000008</v>
      </c>
      <c r="H7" s="9">
        <v>0.72270000000000001</v>
      </c>
      <c r="I7" s="54">
        <f t="shared" si="0"/>
        <v>-9.6700000000000008E-2</v>
      </c>
      <c r="J7" s="54">
        <f t="shared" si="0"/>
        <v>-8.1700000000000106E-2</v>
      </c>
      <c r="K7" s="54">
        <f t="shared" si="0"/>
        <v>-0.13380000000000003</v>
      </c>
    </row>
  </sheetData>
  <mergeCells count="3">
    <mergeCell ref="C2:E2"/>
    <mergeCell ref="F2:H2"/>
    <mergeCell ref="I2:K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0262E-1C65-4A81-9AD1-DC99D65164D6}">
  <dimension ref="B1:N8"/>
  <sheetViews>
    <sheetView workbookViewId="0">
      <selection activeCell="B1" sqref="B1:N8"/>
    </sheetView>
  </sheetViews>
  <sheetFormatPr defaultRowHeight="14.5" x14ac:dyDescent="0.35"/>
  <cols>
    <col min="2" max="2" width="7.1796875" bestFit="1" customWidth="1"/>
    <col min="3" max="4" width="6" bestFit="1" customWidth="1"/>
    <col min="5" max="5" width="9.54296875" bestFit="1" customWidth="1"/>
    <col min="6" max="8" width="6" bestFit="1" customWidth="1"/>
    <col min="9" max="9" width="9.54296875" bestFit="1" customWidth="1"/>
    <col min="10" max="10" width="6" bestFit="1" customWidth="1"/>
    <col min="11" max="11" width="5.6328125" bestFit="1" customWidth="1"/>
    <col min="12" max="12" width="6.6328125" bestFit="1" customWidth="1"/>
    <col min="13" max="13" width="9.54296875" bestFit="1" customWidth="1"/>
    <col min="14" max="14" width="6" bestFit="1" customWidth="1"/>
  </cols>
  <sheetData>
    <row r="1" spans="2:14" x14ac:dyDescent="0.35">
      <c r="B1" s="1"/>
      <c r="C1" s="58" t="s">
        <v>1448</v>
      </c>
      <c r="D1" s="58"/>
      <c r="E1" s="58"/>
      <c r="F1" s="58"/>
      <c r="G1" s="58" t="s">
        <v>1432</v>
      </c>
      <c r="H1" s="58"/>
      <c r="I1" s="58"/>
      <c r="J1" s="58"/>
      <c r="K1" s="62" t="s">
        <v>1449</v>
      </c>
      <c r="L1" s="63"/>
      <c r="M1" s="63"/>
      <c r="N1" s="63"/>
    </row>
    <row r="2" spans="2:14" x14ac:dyDescent="0.35">
      <c r="B2" s="1" t="s">
        <v>0</v>
      </c>
      <c r="C2" s="1" t="s">
        <v>1427</v>
      </c>
      <c r="D2" s="1" t="s">
        <v>1429</v>
      </c>
      <c r="E2" s="1" t="s">
        <v>1450</v>
      </c>
      <c r="F2" s="1" t="s">
        <v>1428</v>
      </c>
      <c r="G2" s="1" t="s">
        <v>1427</v>
      </c>
      <c r="H2" s="1" t="s">
        <v>1429</v>
      </c>
      <c r="I2" s="1" t="s">
        <v>1450</v>
      </c>
      <c r="J2" s="1" t="s">
        <v>1428</v>
      </c>
      <c r="K2" s="1" t="s">
        <v>1427</v>
      </c>
      <c r="L2" s="1" t="s">
        <v>1429</v>
      </c>
      <c r="M2" s="1" t="s">
        <v>1450</v>
      </c>
      <c r="N2" s="1" t="s">
        <v>1428</v>
      </c>
    </row>
    <row r="3" spans="2:14" x14ac:dyDescent="0.35">
      <c r="B3" s="1" t="s">
        <v>54</v>
      </c>
      <c r="C3" s="9">
        <v>0.20098075899150933</v>
      </c>
      <c r="D3" s="9">
        <v>0.10007147962830593</v>
      </c>
      <c r="E3" s="9">
        <f t="shared" ref="E3:E8" si="0">SUM(C3:D3)</f>
        <v>0.30105223861981523</v>
      </c>
      <c r="F3" s="9">
        <v>0.68931822541285726</v>
      </c>
      <c r="G3" s="9">
        <v>0.21795928704061998</v>
      </c>
      <c r="H3" s="9">
        <v>0.2057608067148313</v>
      </c>
      <c r="I3" s="9">
        <f t="shared" ref="I3:I8" si="1">G3+H3</f>
        <v>0.42372009375545128</v>
      </c>
      <c r="J3" s="9">
        <v>0.54287753437685127</v>
      </c>
      <c r="K3" s="54">
        <f t="shared" ref="K3:K8" si="2">C3-G3</f>
        <v>-1.6978528049110653E-2</v>
      </c>
      <c r="L3" s="54">
        <f t="shared" ref="L3:L8" si="3">D3-H3</f>
        <v>-0.10568932708652537</v>
      </c>
      <c r="M3" s="54">
        <f t="shared" ref="M3:M8" si="4">E3-I3</f>
        <v>-0.12266785513563605</v>
      </c>
      <c r="N3" s="54">
        <f t="shared" ref="N3:N8" si="5">F3-J3</f>
        <v>0.14644069103600599</v>
      </c>
    </row>
    <row r="4" spans="2:14" x14ac:dyDescent="0.35">
      <c r="B4" s="1" t="s">
        <v>1442</v>
      </c>
      <c r="C4" s="9">
        <v>9.5895830325142845E-2</v>
      </c>
      <c r="D4" s="9">
        <v>0.20947219023268426</v>
      </c>
      <c r="E4" s="9">
        <f t="shared" si="0"/>
        <v>0.30536802055782708</v>
      </c>
      <c r="F4" s="9">
        <v>0.69226064488560657</v>
      </c>
      <c r="G4" s="9">
        <v>8.6997209487741672E-2</v>
      </c>
      <c r="H4" s="9">
        <v>0.26476579629260516</v>
      </c>
      <c r="I4" s="9">
        <f t="shared" si="1"/>
        <v>0.3517630057803468</v>
      </c>
      <c r="J4" s="9">
        <v>0.62906218855889973</v>
      </c>
      <c r="K4" s="54">
        <f t="shared" si="2"/>
        <v>8.8986208374011722E-3</v>
      </c>
      <c r="L4" s="54">
        <f t="shared" si="3"/>
        <v>-5.5293606059920897E-2</v>
      </c>
      <c r="M4" s="54">
        <f t="shared" si="4"/>
        <v>-4.6394985222519725E-2</v>
      </c>
      <c r="N4" s="54">
        <f t="shared" si="5"/>
        <v>6.3198456326706842E-2</v>
      </c>
    </row>
    <row r="5" spans="2:14" x14ac:dyDescent="0.35">
      <c r="B5" s="1" t="s">
        <v>1443</v>
      </c>
      <c r="C5" s="9">
        <v>2.7818352642786932E-2</v>
      </c>
      <c r="D5" s="9">
        <v>0.28702587124167772</v>
      </c>
      <c r="E5" s="9">
        <f t="shared" si="0"/>
        <v>0.31484422388446465</v>
      </c>
      <c r="F5" s="9">
        <v>0.68435666440348197</v>
      </c>
      <c r="G5" s="9">
        <v>5.4410613048105433E-2</v>
      </c>
      <c r="H5" s="9">
        <v>0.31377567753897229</v>
      </c>
      <c r="I5" s="9">
        <f t="shared" si="1"/>
        <v>0.36818629058707775</v>
      </c>
      <c r="J5" s="9">
        <v>0.61781246444133575</v>
      </c>
      <c r="K5" s="54">
        <f t="shared" si="2"/>
        <v>-2.65922604053185E-2</v>
      </c>
      <c r="L5" s="54">
        <f t="shared" si="3"/>
        <v>-2.6749806297294565E-2</v>
      </c>
      <c r="M5" s="54">
        <f t="shared" si="4"/>
        <v>-5.33420667026131E-2</v>
      </c>
      <c r="N5" s="54">
        <f t="shared" si="5"/>
        <v>6.6544199962146222E-2</v>
      </c>
    </row>
    <row r="6" spans="2:14" x14ac:dyDescent="0.35">
      <c r="B6" s="1" t="s">
        <v>1444</v>
      </c>
      <c r="C6" s="9">
        <v>0.60922690688584868</v>
      </c>
      <c r="D6" s="9">
        <v>6.1791035383332547E-2</v>
      </c>
      <c r="E6" s="9">
        <f t="shared" si="0"/>
        <v>0.67101794226918121</v>
      </c>
      <c r="F6" s="9">
        <v>0.3202828778653577</v>
      </c>
      <c r="G6" s="9">
        <v>0.5937081582774395</v>
      </c>
      <c r="H6" s="9">
        <v>0.15035287283890944</v>
      </c>
      <c r="I6" s="9">
        <f t="shared" si="1"/>
        <v>0.74406103111634891</v>
      </c>
      <c r="J6" s="9">
        <v>0.23714250065269155</v>
      </c>
      <c r="K6" s="54">
        <f t="shared" si="2"/>
        <v>1.5518748608409183E-2</v>
      </c>
      <c r="L6" s="54">
        <f t="shared" si="3"/>
        <v>-8.8561837455576886E-2</v>
      </c>
      <c r="M6" s="54">
        <f t="shared" si="4"/>
        <v>-7.3043088847167703E-2</v>
      </c>
      <c r="N6" s="54">
        <f t="shared" si="5"/>
        <v>8.314037721266615E-2</v>
      </c>
    </row>
    <row r="7" spans="2:14" x14ac:dyDescent="0.35">
      <c r="B7" s="1" t="s">
        <v>1445</v>
      </c>
      <c r="C7" s="9">
        <v>0.50986259772823206</v>
      </c>
      <c r="D7" s="9">
        <v>9.1172746196209867E-2</v>
      </c>
      <c r="E7" s="9">
        <f t="shared" si="0"/>
        <v>0.60103534392444191</v>
      </c>
      <c r="F7" s="9">
        <v>0.37523453478637742</v>
      </c>
      <c r="G7" s="9">
        <v>0.52399925635677802</v>
      </c>
      <c r="H7" s="9">
        <v>0.17265729527207488</v>
      </c>
      <c r="I7" s="9">
        <f t="shared" si="1"/>
        <v>0.69665655162885287</v>
      </c>
      <c r="J7" s="9">
        <v>0.27324384555654552</v>
      </c>
      <c r="K7" s="54">
        <f t="shared" si="2"/>
        <v>-1.4136658628545962E-2</v>
      </c>
      <c r="L7" s="54">
        <f t="shared" si="3"/>
        <v>-8.1484549075865012E-2</v>
      </c>
      <c r="M7" s="54">
        <f t="shared" si="4"/>
        <v>-9.562120770441096E-2</v>
      </c>
      <c r="N7" s="54">
        <f t="shared" si="5"/>
        <v>0.1019906892298319</v>
      </c>
    </row>
    <row r="8" spans="2:14" x14ac:dyDescent="0.35">
      <c r="B8" s="1" t="s">
        <v>1446</v>
      </c>
      <c r="C8" s="9">
        <v>0.38660497377479808</v>
      </c>
      <c r="D8" s="9">
        <v>0.22777381943669467</v>
      </c>
      <c r="E8" s="9">
        <f t="shared" si="0"/>
        <v>0.6143787932114928</v>
      </c>
      <c r="F8" s="9">
        <v>0.37115828690628461</v>
      </c>
      <c r="G8" s="9">
        <v>0.44360113149075708</v>
      </c>
      <c r="H8" s="9">
        <v>0.3185575895162937</v>
      </c>
      <c r="I8" s="9">
        <f t="shared" si="1"/>
        <v>0.76215872100705084</v>
      </c>
      <c r="J8" s="9">
        <v>0.2174621334966908</v>
      </c>
      <c r="K8" s="54">
        <f t="shared" si="2"/>
        <v>-5.6996157715959006E-2</v>
      </c>
      <c r="L8" s="54">
        <f t="shared" si="3"/>
        <v>-9.0783770079599035E-2</v>
      </c>
      <c r="M8" s="54">
        <f t="shared" si="4"/>
        <v>-0.14777992779555804</v>
      </c>
      <c r="N8" s="54">
        <f t="shared" si="5"/>
        <v>0.15369615340959381</v>
      </c>
    </row>
  </sheetData>
  <mergeCells count="3">
    <mergeCell ref="C1:F1"/>
    <mergeCell ref="G1:J1"/>
    <mergeCell ref="K1:N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D85E25-312D-4AC0-A6B9-CE4F37BDFE2E}">
  <dimension ref="A2:Q195"/>
  <sheetViews>
    <sheetView topLeftCell="A148" workbookViewId="0">
      <selection activeCell="P165" sqref="P165"/>
    </sheetView>
  </sheetViews>
  <sheetFormatPr defaultRowHeight="14.5" x14ac:dyDescent="0.35"/>
  <sheetData>
    <row r="2" spans="2:17" x14ac:dyDescent="0.35">
      <c r="B2" s="1" t="s">
        <v>1420</v>
      </c>
      <c r="C2" s="1" t="s">
        <v>1421</v>
      </c>
      <c r="D2" s="1" t="s">
        <v>1422</v>
      </c>
      <c r="E2" s="1" t="s">
        <v>1423</v>
      </c>
      <c r="F2" s="4" t="s">
        <v>1433</v>
      </c>
      <c r="G2" s="4" t="s">
        <v>1428</v>
      </c>
    </row>
    <row r="3" spans="2:17" x14ac:dyDescent="0.35">
      <c r="B3" s="9">
        <v>0.94999396790927737</v>
      </c>
      <c r="C3" s="9">
        <v>1.2516588249487271E-2</v>
      </c>
      <c r="D3" s="9">
        <v>2.5968150560984438E-2</v>
      </c>
      <c r="E3" s="9">
        <v>1.1521293280250935E-2</v>
      </c>
      <c r="F3" s="4">
        <v>22621</v>
      </c>
      <c r="G3" s="52">
        <v>0.47305600990230318</v>
      </c>
    </row>
    <row r="4" spans="2:17" x14ac:dyDescent="0.35">
      <c r="B4" s="9">
        <v>0.84461290136623046</v>
      </c>
      <c r="C4" s="9">
        <v>0.11906957975442439</v>
      </c>
      <c r="D4" s="9">
        <v>2.135815991237678E-2</v>
      </c>
      <c r="E4" s="9">
        <v>1.4959358966968352E-2</v>
      </c>
      <c r="F4" s="4">
        <v>20771</v>
      </c>
      <c r="G4" s="52">
        <v>0.64339704395551489</v>
      </c>
    </row>
    <row r="5" spans="2:17" x14ac:dyDescent="0.35">
      <c r="B5" s="9">
        <v>0.9156395876011687</v>
      </c>
      <c r="C5" s="9">
        <v>6.8509252107331164E-2</v>
      </c>
      <c r="D5" s="9">
        <v>1.1754038351747993E-3</v>
      </c>
      <c r="E5" s="9">
        <v>1.4675756456325352E-2</v>
      </c>
      <c r="F5" s="4">
        <v>21582</v>
      </c>
      <c r="G5" s="52">
        <v>0.79603373181354831</v>
      </c>
      <c r="Q5" t="s">
        <v>1466</v>
      </c>
    </row>
    <row r="6" spans="2:17" x14ac:dyDescent="0.35">
      <c r="B6" s="9">
        <v>0.9024035537692694</v>
      </c>
      <c r="C6" s="9">
        <v>6.5839921732462517E-2</v>
      </c>
      <c r="D6" s="9">
        <v>8.4613554033686773E-4</v>
      </c>
      <c r="E6" s="9">
        <v>3.09103889579312E-2</v>
      </c>
      <c r="F6" s="4">
        <v>28183</v>
      </c>
      <c r="G6" s="52">
        <v>0.78338005180427916</v>
      </c>
    </row>
    <row r="7" spans="2:17" x14ac:dyDescent="0.35">
      <c r="B7" s="9">
        <v>0.892973465931298</v>
      </c>
      <c r="C7" s="9">
        <v>6.587918530420811E-2</v>
      </c>
      <c r="D7" s="9">
        <v>2.1105658574716638E-2</v>
      </c>
      <c r="E7" s="9">
        <v>2.0041690189777219E-2</v>
      </c>
      <c r="F7" s="4">
        <v>33668</v>
      </c>
      <c r="G7" s="52">
        <v>0.72920874420815018</v>
      </c>
      <c r="Q7" s="8">
        <f>0.6659+0.1655</f>
        <v>0.83140000000000003</v>
      </c>
    </row>
    <row r="8" spans="2:17" x14ac:dyDescent="0.35">
      <c r="B8" s="9">
        <v>0.83824672132447386</v>
      </c>
      <c r="C8" s="9">
        <v>0.10084206853898729</v>
      </c>
      <c r="D8" s="9">
        <v>4.2658462709526002E-2</v>
      </c>
      <c r="E8" s="9">
        <v>1.8252747427012796E-2</v>
      </c>
      <c r="F8" s="4">
        <v>45512</v>
      </c>
      <c r="G8" s="52">
        <v>0.75457022323782741</v>
      </c>
    </row>
    <row r="9" spans="2:17" x14ac:dyDescent="0.35">
      <c r="B9" s="9">
        <v>0.96769480003811825</v>
      </c>
      <c r="C9" s="9">
        <v>1.5056700867189734E-2</v>
      </c>
      <c r="D9" s="9">
        <v>1.5882595851465964E-3</v>
      </c>
      <c r="E9" s="9">
        <v>1.566023950954544E-2</v>
      </c>
      <c r="F9" s="4">
        <v>23876</v>
      </c>
      <c r="G9" s="52">
        <v>0.82346289160663433</v>
      </c>
    </row>
    <row r="10" spans="2:17" x14ac:dyDescent="0.35">
      <c r="B10" s="9">
        <v>0.85953995665245053</v>
      </c>
      <c r="C10" s="9">
        <v>1.0871845067468364E-2</v>
      </c>
      <c r="D10" s="9">
        <v>8.7394252953925755E-4</v>
      </c>
      <c r="E10" s="9">
        <v>0.12871425575054185</v>
      </c>
      <c r="F10" s="4">
        <v>22421</v>
      </c>
      <c r="G10" s="52">
        <v>0.64212122563667995</v>
      </c>
    </row>
    <row r="11" spans="2:17" x14ac:dyDescent="0.35">
      <c r="B11" s="9">
        <v>0.89992388715657146</v>
      </c>
      <c r="C11" s="9">
        <v>7.0907707039210385E-2</v>
      </c>
      <c r="D11" s="9">
        <v>1.8659922905055366E-2</v>
      </c>
      <c r="E11" s="9">
        <v>1.0508482899162759E-2</v>
      </c>
      <c r="F11" s="4">
        <v>30955</v>
      </c>
      <c r="G11" s="52">
        <v>0.78123081893070589</v>
      </c>
    </row>
    <row r="12" spans="2:17" x14ac:dyDescent="0.35">
      <c r="B12" s="9">
        <v>0.93120600146775023</v>
      </c>
      <c r="C12" s="9">
        <v>5.3328259628713542E-2</v>
      </c>
      <c r="D12" s="9">
        <v>9.3772933597890788E-3</v>
      </c>
      <c r="E12" s="9">
        <v>6.0884455437471121E-3</v>
      </c>
      <c r="F12" s="4">
        <v>27821</v>
      </c>
      <c r="G12" s="52">
        <v>0.82818734049818488</v>
      </c>
    </row>
    <row r="13" spans="2:17" x14ac:dyDescent="0.35">
      <c r="B13" s="9">
        <v>0.61256558376172554</v>
      </c>
      <c r="C13" s="9">
        <v>0.32956171498224601</v>
      </c>
      <c r="D13" s="9">
        <v>4.5630399067253163E-2</v>
      </c>
      <c r="E13" s="9">
        <v>1.224230218877524E-2</v>
      </c>
      <c r="F13" s="4">
        <v>25445</v>
      </c>
      <c r="G13" s="52">
        <v>0.56722342306936535</v>
      </c>
    </row>
    <row r="14" spans="2:17" x14ac:dyDescent="0.35">
      <c r="B14" s="9">
        <v>0.72209643206139618</v>
      </c>
      <c r="C14" s="9">
        <v>0.23183259050933097</v>
      </c>
      <c r="D14" s="9">
        <v>4.0040994351359722E-2</v>
      </c>
      <c r="E14" s="9">
        <v>6.0299830779131014E-3</v>
      </c>
      <c r="F14" s="4">
        <v>28547</v>
      </c>
      <c r="G14" s="52">
        <v>0.64441097138053038</v>
      </c>
    </row>
    <row r="15" spans="2:17" x14ac:dyDescent="0.35">
      <c r="B15" s="20">
        <v>0.35568546982074412</v>
      </c>
      <c r="C15" s="20">
        <v>0.5658368500522668</v>
      </c>
      <c r="D15" s="20">
        <v>6.7946881412365948E-2</v>
      </c>
      <c r="E15" s="20">
        <v>1.0530798714623098E-2</v>
      </c>
      <c r="F15" s="19">
        <v>16706</v>
      </c>
      <c r="G15" s="52">
        <v>0.33089907817550579</v>
      </c>
    </row>
    <row r="16" spans="2:17" x14ac:dyDescent="0.35">
      <c r="B16" s="9">
        <v>0.72573508234493234</v>
      </c>
      <c r="C16" s="9">
        <v>0.23805409368208835</v>
      </c>
      <c r="D16" s="9">
        <v>2.7387217552954729E-2</v>
      </c>
      <c r="E16" s="9">
        <v>8.8236064200246118E-3</v>
      </c>
      <c r="F16" s="4">
        <v>27768</v>
      </c>
      <c r="G16" s="52">
        <v>0.68193604148660325</v>
      </c>
    </row>
    <row r="17" spans="2:17" x14ac:dyDescent="0.35">
      <c r="B17" s="9">
        <v>0.88709544819270503</v>
      </c>
      <c r="C17" s="9">
        <v>9.43246279904634E-2</v>
      </c>
      <c r="D17" s="9">
        <v>1.2934696226466799E-2</v>
      </c>
      <c r="E17" s="9">
        <v>5.6452275903647476E-3</v>
      </c>
      <c r="F17" s="4">
        <v>27645</v>
      </c>
      <c r="G17" s="52">
        <v>0.78632664134563213</v>
      </c>
    </row>
    <row r="18" spans="2:17" x14ac:dyDescent="0.35">
      <c r="B18" s="9">
        <v>0.70495491011884615</v>
      </c>
      <c r="C18" s="9">
        <v>0.27800449903449925</v>
      </c>
      <c r="D18" s="9">
        <v>9.7346365934744099E-3</v>
      </c>
      <c r="E18" s="9">
        <v>7.3059542531801807E-3</v>
      </c>
      <c r="F18" s="4">
        <v>35116</v>
      </c>
      <c r="G18" s="52">
        <v>0.65357671716596422</v>
      </c>
    </row>
    <row r="19" spans="2:17" x14ac:dyDescent="0.35">
      <c r="B19" s="9">
        <v>0.72066616199848599</v>
      </c>
      <c r="C19" s="9">
        <v>0.26155509895101114</v>
      </c>
      <c r="D19" s="9">
        <v>1.2522980426084136E-2</v>
      </c>
      <c r="E19" s="9">
        <v>5.2557586244187304E-3</v>
      </c>
      <c r="F19" s="4">
        <v>33666</v>
      </c>
      <c r="G19" s="52">
        <v>0.66384482861046756</v>
      </c>
    </row>
    <row r="20" spans="2:17" x14ac:dyDescent="0.35">
      <c r="B20" s="9">
        <v>0.9159430510865253</v>
      </c>
      <c r="C20" s="9">
        <v>7.6938334729140037E-2</v>
      </c>
      <c r="D20" s="9">
        <v>2.4242958522501874E-3</v>
      </c>
      <c r="E20" s="9">
        <v>4.694318332084454E-3</v>
      </c>
      <c r="F20" s="4">
        <v>34739</v>
      </c>
      <c r="G20" s="52">
        <v>0.84426725006476866</v>
      </c>
    </row>
    <row r="21" spans="2:17" x14ac:dyDescent="0.35">
      <c r="B21" s="9">
        <v>0.85672076739385594</v>
      </c>
      <c r="C21" s="9">
        <v>1.9124134860565831E-2</v>
      </c>
      <c r="D21" s="9">
        <v>7.2044359898004616E-3</v>
      </c>
      <c r="E21" s="9">
        <v>0.11695066175577772</v>
      </c>
      <c r="F21" s="4">
        <v>37209</v>
      </c>
      <c r="G21" s="52">
        <v>0.7297696793786449</v>
      </c>
    </row>
    <row r="22" spans="2:17" x14ac:dyDescent="0.35">
      <c r="B22" s="9">
        <v>0.94067030306565935</v>
      </c>
      <c r="C22" s="9">
        <v>5.606277163608786E-2</v>
      </c>
      <c r="D22" s="9">
        <v>7.0005542105416678E-4</v>
      </c>
      <c r="E22" s="9">
        <v>2.5668698771986118E-3</v>
      </c>
      <c r="F22" s="4">
        <v>27096</v>
      </c>
      <c r="G22" s="52">
        <v>0.84883377620312961</v>
      </c>
      <c r="Q22" s="8">
        <f>-0.7748+0.7981</f>
        <v>2.3299999999999987E-2</v>
      </c>
    </row>
    <row r="23" spans="2:17" x14ac:dyDescent="0.35">
      <c r="B23" s="9">
        <v>0.89835466179159051</v>
      </c>
      <c r="C23" s="9">
        <v>9.1407678244972576E-2</v>
      </c>
      <c r="D23" s="9">
        <v>6.8472660794415821E-3</v>
      </c>
      <c r="E23" s="9">
        <v>3.3903938839953463E-3</v>
      </c>
      <c r="F23" s="4">
        <v>22599</v>
      </c>
      <c r="G23" s="52">
        <v>0.76401610690738531</v>
      </c>
    </row>
    <row r="24" spans="2:17" x14ac:dyDescent="0.35">
      <c r="B24" s="9">
        <v>0.62651132116948782</v>
      </c>
      <c r="C24" s="9">
        <v>0.21609144867003738</v>
      </c>
      <c r="D24" s="9">
        <v>0.1479201778168584</v>
      </c>
      <c r="E24" s="9">
        <v>9.4770523436164232E-3</v>
      </c>
      <c r="F24" s="4">
        <v>28958</v>
      </c>
      <c r="G24" s="52">
        <v>0.61368188410801849</v>
      </c>
    </row>
    <row r="25" spans="2:17" x14ac:dyDescent="0.35">
      <c r="B25" s="9">
        <v>0.93016154802059292</v>
      </c>
      <c r="C25" s="9">
        <v>1.6225812178235398E-2</v>
      </c>
      <c r="D25" s="9">
        <v>1.8462630924906799E-3</v>
      </c>
      <c r="E25" s="9">
        <v>5.1766376708680985E-2</v>
      </c>
      <c r="F25" s="4">
        <v>21408</v>
      </c>
      <c r="G25" s="52">
        <v>0.83062406576980563</v>
      </c>
    </row>
    <row r="26" spans="2:17" x14ac:dyDescent="0.35">
      <c r="B26" s="9">
        <v>0.92158873977832867</v>
      </c>
      <c r="C26" s="9">
        <v>1.2821608684502949E-2</v>
      </c>
      <c r="D26" s="9">
        <v>1.0827136222469158E-3</v>
      </c>
      <c r="E26" s="9">
        <v>6.45069379149215E-2</v>
      </c>
      <c r="F26" s="4">
        <v>27596</v>
      </c>
      <c r="G26" s="52">
        <v>0.79080301492969995</v>
      </c>
    </row>
    <row r="27" spans="2:17" x14ac:dyDescent="0.35">
      <c r="B27" s="9">
        <v>0.61329510299554812</v>
      </c>
      <c r="C27" s="9">
        <v>0.17422470384063984</v>
      </c>
      <c r="D27" s="9">
        <v>0.20082245529314119</v>
      </c>
      <c r="E27" s="9">
        <v>1.1657737870670792E-2</v>
      </c>
      <c r="F27" s="4">
        <v>55726</v>
      </c>
      <c r="G27" s="52">
        <v>0.60129921401141295</v>
      </c>
    </row>
    <row r="28" spans="2:17" x14ac:dyDescent="0.35">
      <c r="B28" s="9">
        <v>0.81156528583719267</v>
      </c>
      <c r="C28" s="9">
        <v>0.11689761848102656</v>
      </c>
      <c r="D28" s="9">
        <v>5.6856248512694725E-2</v>
      </c>
      <c r="E28" s="9">
        <v>1.4680847169086016E-2</v>
      </c>
      <c r="F28" s="4">
        <v>41587</v>
      </c>
      <c r="G28" s="52">
        <v>0.7693750450862048</v>
      </c>
    </row>
    <row r="29" spans="2:17" x14ac:dyDescent="0.35">
      <c r="B29" s="9">
        <v>0.91105199798066094</v>
      </c>
      <c r="C29" s="9">
        <v>6.0483088035416098E-2</v>
      </c>
      <c r="D29" s="9">
        <v>2.3610733563745098E-2</v>
      </c>
      <c r="E29" s="9">
        <v>4.8541804201778574E-3</v>
      </c>
      <c r="F29" s="4">
        <v>40759</v>
      </c>
      <c r="G29" s="52">
        <v>0.79062292990505167</v>
      </c>
    </row>
    <row r="30" spans="2:17" x14ac:dyDescent="0.35">
      <c r="B30" s="18">
        <v>0.47574610745329809</v>
      </c>
      <c r="C30" s="18">
        <v>0.36989994297267875</v>
      </c>
      <c r="D30" s="18">
        <v>0.14650837264762301</v>
      </c>
      <c r="E30" s="18">
        <v>7.8455769264001943E-3</v>
      </c>
      <c r="F30" s="16">
        <v>40233</v>
      </c>
      <c r="G30" s="52">
        <v>0.4525141053364154</v>
      </c>
    </row>
    <row r="31" spans="2:17" x14ac:dyDescent="0.35">
      <c r="B31" s="18">
        <v>0.49274387944181164</v>
      </c>
      <c r="C31" s="18">
        <v>0.30808585999376875</v>
      </c>
      <c r="D31" s="18">
        <v>0.18701933325680928</v>
      </c>
      <c r="E31" s="18">
        <v>1.2150927307610318E-2</v>
      </c>
      <c r="F31" s="16">
        <v>42764</v>
      </c>
      <c r="G31" s="52">
        <v>0.48884575811430175</v>
      </c>
    </row>
    <row r="32" spans="2:17" x14ac:dyDescent="0.35">
      <c r="B32" s="9">
        <v>0.92945204040913199</v>
      </c>
      <c r="C32" s="9">
        <v>3.5767542477894695E-2</v>
      </c>
      <c r="D32" s="9">
        <v>6.6158402117068868E-3</v>
      </c>
      <c r="E32" s="9">
        <v>2.8164576901266461E-2</v>
      </c>
      <c r="F32" s="4">
        <v>36992</v>
      </c>
      <c r="G32" s="52">
        <v>0.73764597750865057</v>
      </c>
    </row>
    <row r="33" spans="2:7" x14ac:dyDescent="0.35">
      <c r="B33" s="9">
        <v>0.92333801498127344</v>
      </c>
      <c r="C33" s="9">
        <v>3.3520599250936332E-2</v>
      </c>
      <c r="D33" s="9">
        <v>2.5000000000000001E-2</v>
      </c>
      <c r="E33" s="9">
        <v>1.8141385767790261E-2</v>
      </c>
      <c r="F33" s="4">
        <v>33457</v>
      </c>
      <c r="G33" s="52">
        <v>0.78805631108587137</v>
      </c>
    </row>
    <row r="34" spans="2:7" x14ac:dyDescent="0.35">
      <c r="B34" s="9">
        <v>0.82358240091029777</v>
      </c>
      <c r="C34" s="9">
        <v>5.6751374928882992E-2</v>
      </c>
      <c r="D34" s="9">
        <v>0.11089512611416651</v>
      </c>
      <c r="E34" s="9">
        <v>8.7710980466527595E-3</v>
      </c>
      <c r="F34" s="4">
        <v>33179</v>
      </c>
      <c r="G34" s="52">
        <v>0.74963079056029414</v>
      </c>
    </row>
    <row r="35" spans="2:7" x14ac:dyDescent="0.35">
      <c r="B35" s="9">
        <v>0.76677981358888281</v>
      </c>
      <c r="C35" s="9">
        <v>6.741931249179528E-2</v>
      </c>
      <c r="D35" s="9">
        <v>0.15873075408360371</v>
      </c>
      <c r="E35" s="9">
        <v>7.0701198357181706E-3</v>
      </c>
      <c r="F35" s="4">
        <v>40553</v>
      </c>
      <c r="G35" s="52">
        <v>0.73777525707099356</v>
      </c>
    </row>
    <row r="36" spans="2:7" x14ac:dyDescent="0.35">
      <c r="B36" s="9">
        <v>0.53684376976597092</v>
      </c>
      <c r="C36" s="9">
        <v>0.24289641414878607</v>
      </c>
      <c r="D36" s="9">
        <v>0.21293728409477936</v>
      </c>
      <c r="E36" s="9">
        <v>7.3225319904636791E-3</v>
      </c>
      <c r="F36" s="4">
        <v>59520</v>
      </c>
      <c r="G36" s="52">
        <v>0.52985551075268822</v>
      </c>
    </row>
    <row r="37" spans="2:7" x14ac:dyDescent="0.35">
      <c r="B37" s="9">
        <v>0.63388654027211133</v>
      </c>
      <c r="C37" s="9">
        <v>0.19400395059905112</v>
      </c>
      <c r="D37" s="9">
        <v>0.16513134818807806</v>
      </c>
      <c r="E37" s="9">
        <v>6.9781609407594753E-3</v>
      </c>
      <c r="F37" s="4">
        <v>38814</v>
      </c>
      <c r="G37" s="52">
        <v>0.59973205544391195</v>
      </c>
    </row>
    <row r="38" spans="2:7" x14ac:dyDescent="0.35">
      <c r="B38" s="9">
        <v>0.79966264793717512</v>
      </c>
      <c r="C38" s="9">
        <v>0.13297754673155623</v>
      </c>
      <c r="D38" s="9">
        <v>6.3626811193452051E-2</v>
      </c>
      <c r="E38" s="9">
        <v>3.7329941378166131E-3</v>
      </c>
      <c r="F38" s="4">
        <v>27077</v>
      </c>
      <c r="G38" s="52">
        <v>0.71377922221811874</v>
      </c>
    </row>
    <row r="51" spans="2:17" x14ac:dyDescent="0.35">
      <c r="B51" s="1" t="s">
        <v>1420</v>
      </c>
      <c r="C51" s="1" t="s">
        <v>1421</v>
      </c>
      <c r="D51" s="1" t="s">
        <v>1422</v>
      </c>
      <c r="E51" s="1" t="s">
        <v>1423</v>
      </c>
      <c r="F51" s="4" t="s">
        <v>1428</v>
      </c>
    </row>
    <row r="52" spans="2:17" x14ac:dyDescent="0.35">
      <c r="B52" s="30">
        <v>0.92959792681011466</v>
      </c>
      <c r="C52" s="30">
        <v>6.3059525679283801E-2</v>
      </c>
      <c r="D52" s="30">
        <v>4.0835558347730484E-3</v>
      </c>
      <c r="E52" s="30">
        <v>3.2589916758284905E-3</v>
      </c>
      <c r="F52" s="9">
        <v>0.63240709742216272</v>
      </c>
    </row>
    <row r="53" spans="2:17" x14ac:dyDescent="0.35">
      <c r="B53" s="40">
        <v>0.6887370307096129</v>
      </c>
      <c r="C53" s="40">
        <v>0.21830076253177216</v>
      </c>
      <c r="D53" s="40">
        <v>8.6961956748197844E-2</v>
      </c>
      <c r="E53" s="40">
        <v>6.0002500104171007E-3</v>
      </c>
      <c r="F53" s="9">
        <v>0.43755716976055958</v>
      </c>
      <c r="Q53" t="s">
        <v>1466</v>
      </c>
    </row>
    <row r="54" spans="2:17" x14ac:dyDescent="0.35">
      <c r="B54" s="30">
        <v>0.78792155055726754</v>
      </c>
      <c r="C54" s="30">
        <v>0.17129856291219075</v>
      </c>
      <c r="D54" s="30">
        <v>3.6517582006163063E-2</v>
      </c>
      <c r="E54" s="30">
        <v>4.262304524378654E-3</v>
      </c>
      <c r="F54" s="9">
        <v>0.62739040894380704</v>
      </c>
    </row>
    <row r="55" spans="2:17" x14ac:dyDescent="0.35">
      <c r="B55" s="30">
        <v>0.86714120410954099</v>
      </c>
      <c r="C55" s="30">
        <v>6.2730109751393814E-2</v>
      </c>
      <c r="D55" s="30">
        <v>6.6306672744486136E-2</v>
      </c>
      <c r="E55" s="30">
        <v>3.8220133945790526E-3</v>
      </c>
      <c r="F55" s="9">
        <v>0.69495882532351527</v>
      </c>
      <c r="Q55" s="8">
        <f>0.6806+0.0486</f>
        <v>0.72919999999999996</v>
      </c>
    </row>
    <row r="56" spans="2:17" x14ac:dyDescent="0.35">
      <c r="B56" s="30">
        <v>0.8111387900355872</v>
      </c>
      <c r="C56" s="30">
        <v>0.16039145907473309</v>
      </c>
      <c r="D56" s="30">
        <v>2.3879003558718862E-2</v>
      </c>
      <c r="E56" s="30">
        <v>4.5907473309608543E-3</v>
      </c>
      <c r="F56" s="9">
        <v>0.37739796145457782</v>
      </c>
    </row>
    <row r="57" spans="2:17" x14ac:dyDescent="0.35">
      <c r="B57" s="36">
        <v>0.64779696578437707</v>
      </c>
      <c r="C57" s="36">
        <v>0.23825855390574563</v>
      </c>
      <c r="D57" s="36">
        <v>0.10143641058747579</v>
      </c>
      <c r="E57" s="36">
        <v>1.250806972240155E-2</v>
      </c>
      <c r="F57" s="9">
        <v>0.5526244661873615</v>
      </c>
    </row>
    <row r="58" spans="2:17" x14ac:dyDescent="0.35">
      <c r="B58" s="20">
        <v>8.4085338680926922E-2</v>
      </c>
      <c r="C58" s="20">
        <v>0.83110516934046341</v>
      </c>
      <c r="D58" s="20">
        <v>8.1105169340463454E-2</v>
      </c>
      <c r="E58" s="20">
        <v>3.7043226381461678E-3</v>
      </c>
      <c r="F58" s="9">
        <v>9.5194716465497611E-2</v>
      </c>
    </row>
    <row r="59" spans="2:17" x14ac:dyDescent="0.35">
      <c r="B59" s="20">
        <v>0.15967290725199054</v>
      </c>
      <c r="C59" s="20">
        <v>0.66666666666666663</v>
      </c>
      <c r="D59" s="20">
        <v>0.1673276153586031</v>
      </c>
      <c r="E59" s="20">
        <v>6.3328107227397096E-3</v>
      </c>
      <c r="F59" s="9">
        <v>0.15233584499461786</v>
      </c>
    </row>
    <row r="60" spans="2:17" x14ac:dyDescent="0.35">
      <c r="B60" s="20">
        <v>0.23033787286178786</v>
      </c>
      <c r="C60" s="20">
        <v>0.49743178926535037</v>
      </c>
      <c r="D60" s="20">
        <v>0.26502049856274446</v>
      </c>
      <c r="E60" s="20">
        <v>7.2098393101173363E-3</v>
      </c>
      <c r="F60" s="9">
        <v>0.20168753402286335</v>
      </c>
    </row>
    <row r="61" spans="2:17" x14ac:dyDescent="0.35">
      <c r="B61" s="36">
        <v>0.68538047343289643</v>
      </c>
      <c r="C61" s="36">
        <v>0.18252565274814589</v>
      </c>
      <c r="D61" s="36">
        <v>0.1210403332317383</v>
      </c>
      <c r="E61" s="36">
        <v>1.1053540587219343E-2</v>
      </c>
      <c r="F61" s="9">
        <v>0.56687846203975234</v>
      </c>
    </row>
    <row r="62" spans="2:17" x14ac:dyDescent="0.35">
      <c r="B62" s="30">
        <v>0.75380777310924374</v>
      </c>
      <c r="C62" s="30">
        <v>0.22078518907563024</v>
      </c>
      <c r="D62" s="30">
        <v>2.1336659663865547E-2</v>
      </c>
      <c r="E62" s="30">
        <v>4.0703781512605045E-3</v>
      </c>
      <c r="F62" s="9">
        <v>0.56490143668559978</v>
      </c>
    </row>
    <row r="63" spans="2:17" x14ac:dyDescent="0.35">
      <c r="B63" s="36">
        <v>0.79794107206247777</v>
      </c>
      <c r="C63" s="36">
        <v>0.17770678026269079</v>
      </c>
      <c r="D63" s="36">
        <v>1.6542421015264465E-2</v>
      </c>
      <c r="E63" s="36">
        <v>7.8097266595669153E-3</v>
      </c>
      <c r="F63" s="9">
        <v>0.5827661249247581</v>
      </c>
    </row>
    <row r="64" spans="2:17" x14ac:dyDescent="0.35">
      <c r="B64" s="20">
        <v>5.0591553171000135E-2</v>
      </c>
      <c r="C64" s="20">
        <v>0.83584399504746187</v>
      </c>
      <c r="D64" s="20">
        <v>0.10754574219287384</v>
      </c>
      <c r="E64" s="20">
        <v>6.01870958866419E-3</v>
      </c>
      <c r="F64" s="9">
        <v>5.5629399891694971E-2</v>
      </c>
    </row>
    <row r="65" spans="2:6" x14ac:dyDescent="0.35">
      <c r="B65" s="18">
        <v>0.35163960522126714</v>
      </c>
      <c r="C65" s="18">
        <v>0.51423821146839299</v>
      </c>
      <c r="D65" s="18">
        <v>0.12722416781633591</v>
      </c>
      <c r="E65" s="18">
        <v>6.8980154940040325E-3</v>
      </c>
      <c r="F65" s="9">
        <v>0.30877690238278249</v>
      </c>
    </row>
    <row r="66" spans="2:6" x14ac:dyDescent="0.35">
      <c r="B66" s="20">
        <v>0.12927418682814365</v>
      </c>
      <c r="C66" s="20">
        <v>0.78431154690147498</v>
      </c>
      <c r="D66" s="20">
        <v>8.1719952223549344E-2</v>
      </c>
      <c r="E66" s="20">
        <v>4.6943140468320328E-3</v>
      </c>
      <c r="F66" s="9">
        <v>0.11287401574803149</v>
      </c>
    </row>
    <row r="67" spans="2:6" x14ac:dyDescent="0.35">
      <c r="B67" s="20">
        <v>0.13252600224620342</v>
      </c>
      <c r="C67" s="20">
        <v>0.49870599150349137</v>
      </c>
      <c r="D67" s="20">
        <v>0.35641388739684554</v>
      </c>
      <c r="E67" s="20">
        <v>1.2354118853459642E-2</v>
      </c>
      <c r="F67" s="9">
        <v>0.11075972112412852</v>
      </c>
    </row>
    <row r="68" spans="2:6" x14ac:dyDescent="0.35">
      <c r="B68" s="18">
        <v>0.36064485538169749</v>
      </c>
      <c r="C68" s="18">
        <v>0.46081871345029241</v>
      </c>
      <c r="D68" s="18">
        <v>0.16763078868342027</v>
      </c>
      <c r="E68" s="18">
        <v>1.0905642484589853E-2</v>
      </c>
      <c r="F68" s="9">
        <v>0.31419048839892322</v>
      </c>
    </row>
    <row r="69" spans="2:6" x14ac:dyDescent="0.35">
      <c r="B69" s="18">
        <v>0.17697887774695967</v>
      </c>
      <c r="C69" s="18">
        <v>0.62540004267121829</v>
      </c>
      <c r="D69" s="18">
        <v>0.19279389801578836</v>
      </c>
      <c r="E69" s="18">
        <v>4.8271815660337102E-3</v>
      </c>
      <c r="F69" s="9">
        <v>0.17642959322158236</v>
      </c>
    </row>
    <row r="70" spans="2:6" x14ac:dyDescent="0.35">
      <c r="B70" s="20">
        <v>0.21321821808147318</v>
      </c>
      <c r="C70" s="20">
        <v>0.52588727083959452</v>
      </c>
      <c r="D70" s="20">
        <v>0.25556678779268327</v>
      </c>
      <c r="E70" s="20">
        <v>5.3277232862490092E-3</v>
      </c>
      <c r="F70" s="9">
        <v>0.20498401571467087</v>
      </c>
    </row>
    <row r="71" spans="2:6" x14ac:dyDescent="0.35">
      <c r="B71" s="30">
        <v>0.59363690801635038</v>
      </c>
      <c r="C71" s="30">
        <v>0.22536384701502252</v>
      </c>
      <c r="D71" s="30">
        <v>0.17394360696711708</v>
      </c>
      <c r="E71" s="30">
        <v>7.0556380015100624E-3</v>
      </c>
      <c r="F71" s="9">
        <v>0.52666962427055253</v>
      </c>
    </row>
    <row r="72" spans="2:6" x14ac:dyDescent="0.35">
      <c r="B72" s="40">
        <v>0.63782333780417699</v>
      </c>
      <c r="C72" s="40">
        <v>0.27729450086223412</v>
      </c>
      <c r="D72" s="40">
        <v>7.5838283196014558E-2</v>
      </c>
      <c r="E72" s="40">
        <v>9.0438781375742471E-3</v>
      </c>
      <c r="F72" s="9">
        <v>0.49673477986096481</v>
      </c>
    </row>
    <row r="73" spans="2:6" x14ac:dyDescent="0.35">
      <c r="B73" s="20">
        <v>0.25904942836788003</v>
      </c>
      <c r="C73" s="20">
        <v>0.5945652542660379</v>
      </c>
      <c r="D73" s="20">
        <v>0.12083997693116667</v>
      </c>
      <c r="E73" s="20">
        <v>2.5545340434915357E-2</v>
      </c>
      <c r="F73" s="9">
        <v>0.24333974182916782</v>
      </c>
    </row>
    <row r="74" spans="2:6" x14ac:dyDescent="0.35">
      <c r="B74" s="20">
        <v>9.8757400299264844E-2</v>
      </c>
      <c r="C74" s="20">
        <v>0.80033829939496459</v>
      </c>
      <c r="D74" s="20">
        <v>9.3617851798841981E-2</v>
      </c>
      <c r="E74" s="20">
        <v>7.2864485069286319E-3</v>
      </c>
      <c r="F74" s="9">
        <v>0.1021321149819151</v>
      </c>
    </row>
    <row r="75" spans="2:6" x14ac:dyDescent="0.35">
      <c r="B75" s="18">
        <v>7.170226642752324E-2</v>
      </c>
      <c r="C75" s="18">
        <v>0.74975542149029839</v>
      </c>
      <c r="D75" s="18">
        <v>0.16924832871351703</v>
      </c>
      <c r="E75" s="18">
        <v>9.2939833686613398E-3</v>
      </c>
      <c r="F75" s="9">
        <v>7.4689826302729523E-2</v>
      </c>
    </row>
    <row r="76" spans="2:6" x14ac:dyDescent="0.35">
      <c r="B76" s="20">
        <v>0.13712000687964915</v>
      </c>
      <c r="C76" s="20">
        <v>0.75237562884292897</v>
      </c>
      <c r="D76" s="20">
        <v>8.5952616416562752E-2</v>
      </c>
      <c r="E76" s="20">
        <v>2.4551747860859095E-2</v>
      </c>
      <c r="F76" s="9">
        <v>0.13289231900036752</v>
      </c>
    </row>
    <row r="77" spans="2:6" x14ac:dyDescent="0.35">
      <c r="B77" s="20">
        <v>8.0250576986482025E-2</v>
      </c>
      <c r="C77" s="20">
        <v>0.72555225848994398</v>
      </c>
      <c r="D77" s="20">
        <v>0.18516320474777448</v>
      </c>
      <c r="E77" s="20">
        <v>9.0339597757995386E-3</v>
      </c>
      <c r="F77" s="9">
        <v>0.12173081012119924</v>
      </c>
    </row>
    <row r="78" spans="2:6" x14ac:dyDescent="0.35">
      <c r="B78" s="20">
        <v>2.0539688427299703E-2</v>
      </c>
      <c r="C78" s="20">
        <v>0.89312870919881304</v>
      </c>
      <c r="D78" s="20">
        <v>8.206602373887241E-2</v>
      </c>
      <c r="E78" s="20">
        <v>4.2655786350148366E-3</v>
      </c>
      <c r="F78" s="9">
        <v>5.3596346568565267E-2</v>
      </c>
    </row>
    <row r="79" spans="2:6" x14ac:dyDescent="0.35">
      <c r="B79" s="20">
        <v>0.12219933041462787</v>
      </c>
      <c r="C79" s="20">
        <v>0.77749163018284828</v>
      </c>
      <c r="D79" s="20">
        <v>8.8720061807880501E-2</v>
      </c>
      <c r="E79" s="20">
        <v>1.1588977594643318E-2</v>
      </c>
      <c r="F79" s="9">
        <v>0.13393690498413291</v>
      </c>
    </row>
    <row r="80" spans="2:6" x14ac:dyDescent="0.35">
      <c r="B80" s="20">
        <v>0.26997872419842484</v>
      </c>
      <c r="C80" s="20">
        <v>0.55440259788735025</v>
      </c>
      <c r="D80" s="20">
        <v>0.16535403680340413</v>
      </c>
      <c r="E80" s="20">
        <v>1.0264641110820798E-2</v>
      </c>
      <c r="F80" s="9">
        <v>0.27389984825493169</v>
      </c>
    </row>
    <row r="81" spans="2:6" x14ac:dyDescent="0.35">
      <c r="B81" s="20">
        <v>0.30680497443049742</v>
      </c>
      <c r="C81" s="20">
        <v>0.48230474198047418</v>
      </c>
      <c r="D81" s="20">
        <v>0.2015051139005114</v>
      </c>
      <c r="E81" s="20">
        <v>9.3851696885169696E-3</v>
      </c>
      <c r="F81" s="9">
        <v>0.31445058517555269</v>
      </c>
    </row>
    <row r="82" spans="2:6" x14ac:dyDescent="0.35">
      <c r="B82" s="20">
        <v>6.6241768863650088E-2</v>
      </c>
      <c r="C82" s="20">
        <v>0.84320062828490305</v>
      </c>
      <c r="D82" s="20">
        <v>8.2915483598139314E-2</v>
      </c>
      <c r="E82" s="20">
        <v>7.6421192533075574E-3</v>
      </c>
      <c r="F82" s="9">
        <v>7.8821689700350792E-2</v>
      </c>
    </row>
    <row r="83" spans="2:6" x14ac:dyDescent="0.35">
      <c r="B83" s="20">
        <v>0.221448026857541</v>
      </c>
      <c r="C83" s="20">
        <v>0.64553113321086975</v>
      </c>
      <c r="D83" s="20">
        <v>0.12367770950782289</v>
      </c>
      <c r="E83" s="20">
        <v>9.3431304237663899E-3</v>
      </c>
      <c r="F83" s="9">
        <v>0.19425592603521197</v>
      </c>
    </row>
    <row r="84" spans="2:6" x14ac:dyDescent="0.35">
      <c r="B84" s="20">
        <v>0.2325319471518302</v>
      </c>
      <c r="C84" s="20">
        <v>0.64860298895386614</v>
      </c>
      <c r="D84" s="20">
        <v>0.11098115659519169</v>
      </c>
      <c r="E84" s="20">
        <v>7.8839072991119773E-3</v>
      </c>
      <c r="F84" s="9">
        <v>0.20778477389811104</v>
      </c>
    </row>
    <row r="85" spans="2:6" x14ac:dyDescent="0.35">
      <c r="B85" s="20">
        <v>7.758153473395607E-2</v>
      </c>
      <c r="C85" s="20">
        <v>0.77559218286734466</v>
      </c>
      <c r="D85" s="20">
        <v>0.13840979373226639</v>
      </c>
      <c r="E85" s="20">
        <v>8.4164886664328756E-3</v>
      </c>
      <c r="F85" s="9">
        <v>8.4233358940756467E-2</v>
      </c>
    </row>
    <row r="86" spans="2:6" x14ac:dyDescent="0.35">
      <c r="B86" s="18">
        <v>0.2544051092375198</v>
      </c>
      <c r="C86" s="18">
        <v>0.58701095821176685</v>
      </c>
      <c r="D86" s="18">
        <v>0.14684463231408945</v>
      </c>
      <c r="E86" s="18">
        <v>1.1739300236623861E-2</v>
      </c>
      <c r="F86" s="9">
        <v>0.20461522890590736</v>
      </c>
    </row>
    <row r="87" spans="2:6" x14ac:dyDescent="0.35">
      <c r="B87" s="18">
        <v>0.35761124121779858</v>
      </c>
      <c r="C87" s="18">
        <v>0.50608899297423893</v>
      </c>
      <c r="D87" s="18">
        <v>0.12448979591836734</v>
      </c>
      <c r="E87" s="18">
        <v>1.1809969889595182E-2</v>
      </c>
      <c r="F87" s="9">
        <v>0.27344795124609822</v>
      </c>
    </row>
    <row r="88" spans="2:6" x14ac:dyDescent="0.35">
      <c r="B88" s="18">
        <v>0.53076695040867317</v>
      </c>
      <c r="C88" s="18">
        <v>0.36149578621945538</v>
      </c>
      <c r="D88" s="18">
        <v>9.5011222631601236E-2</v>
      </c>
      <c r="E88" s="18">
        <v>1.272604074027019E-2</v>
      </c>
      <c r="F88" s="9">
        <v>0.4535303113368151</v>
      </c>
    </row>
    <row r="89" spans="2:6" x14ac:dyDescent="0.35">
      <c r="B89" s="43">
        <v>0.63223826533179051</v>
      </c>
      <c r="C89" s="43">
        <v>0.30155456054736629</v>
      </c>
      <c r="D89" s="43">
        <v>5.6598078180811993E-2</v>
      </c>
      <c r="E89" s="43">
        <v>9.6090959400311916E-3</v>
      </c>
      <c r="F89" s="9">
        <v>0.46747029447218874</v>
      </c>
    </row>
    <row r="90" spans="2:6" x14ac:dyDescent="0.35">
      <c r="B90" s="30">
        <v>0.66293313197415893</v>
      </c>
      <c r="C90" s="30">
        <v>0.28437788405067538</v>
      </c>
      <c r="D90" s="30">
        <v>4.2662975081802168E-2</v>
      </c>
      <c r="E90" s="30">
        <v>1.0026008893363537E-2</v>
      </c>
      <c r="F90" s="9">
        <v>0.52916689792973304</v>
      </c>
    </row>
    <row r="91" spans="2:6" x14ac:dyDescent="0.35">
      <c r="B91" s="36">
        <v>0.68137446310035144</v>
      </c>
      <c r="C91" s="36">
        <v>0.27578512857700677</v>
      </c>
      <c r="D91" s="36">
        <v>3.6369721648909469E-2</v>
      </c>
      <c r="E91" s="36">
        <v>6.4706866737323588E-3</v>
      </c>
      <c r="F91" s="9">
        <v>0.53484423446035734</v>
      </c>
    </row>
    <row r="100" spans="2:17" x14ac:dyDescent="0.35">
      <c r="B100" s="1" t="s">
        <v>1420</v>
      </c>
      <c r="C100" s="1" t="s">
        <v>1421</v>
      </c>
      <c r="D100" s="1" t="s">
        <v>1422</v>
      </c>
      <c r="E100" s="1" t="s">
        <v>1423</v>
      </c>
      <c r="F100" s="4" t="s">
        <v>1428</v>
      </c>
    </row>
    <row r="101" spans="2:17" x14ac:dyDescent="0.35">
      <c r="B101" s="9">
        <v>0.84345351043643269</v>
      </c>
      <c r="C101" s="9">
        <v>0.12184160591231399</v>
      </c>
      <c r="D101" s="9">
        <v>2.726455607709977E-2</v>
      </c>
      <c r="E101" s="9">
        <v>7.4403275741536006E-3</v>
      </c>
      <c r="F101" s="9">
        <v>0.47159930173224118</v>
      </c>
    </row>
    <row r="102" spans="2:17" x14ac:dyDescent="0.35">
      <c r="B102" s="9">
        <v>0.79541740005028916</v>
      </c>
      <c r="C102" s="9">
        <v>0.13449207945687705</v>
      </c>
      <c r="D102" s="9">
        <v>6.2327131003268796E-2</v>
      </c>
      <c r="E102" s="9">
        <v>7.7633894895649987E-3</v>
      </c>
      <c r="F102" s="9">
        <v>0.59305868326930722</v>
      </c>
    </row>
    <row r="103" spans="2:17" x14ac:dyDescent="0.35">
      <c r="B103" s="9">
        <v>0.81260726719952925</v>
      </c>
      <c r="C103" s="9">
        <v>0.16071691266611093</v>
      </c>
      <c r="D103" s="9">
        <v>1.5789731770705633E-2</v>
      </c>
      <c r="E103" s="9">
        <v>1.0886088363654196E-2</v>
      </c>
      <c r="F103" s="9">
        <v>0.55885838435710056</v>
      </c>
      <c r="Q103" s="8">
        <f>0.7131+0.0119</f>
        <v>0.72499999999999998</v>
      </c>
    </row>
    <row r="104" spans="2:17" x14ac:dyDescent="0.35">
      <c r="B104" s="9">
        <v>0.43904578877005346</v>
      </c>
      <c r="C104" s="9">
        <v>0.51641878342245995</v>
      </c>
      <c r="D104" s="9">
        <v>2.9286430481283422E-2</v>
      </c>
      <c r="E104" s="9">
        <v>1.5248997326203209E-2</v>
      </c>
      <c r="F104" s="9">
        <v>0.37784263650735739</v>
      </c>
    </row>
    <row r="105" spans="2:17" x14ac:dyDescent="0.35">
      <c r="B105" s="9">
        <v>0.70049725030460697</v>
      </c>
      <c r="C105" s="9">
        <v>0.1481213159021306</v>
      </c>
      <c r="D105" s="9">
        <v>0.13066815951526328</v>
      </c>
      <c r="E105" s="9">
        <v>2.0713274277999145E-2</v>
      </c>
      <c r="F105" s="9">
        <v>0.51610728559734198</v>
      </c>
    </row>
    <row r="106" spans="2:17" x14ac:dyDescent="0.35">
      <c r="B106" s="9">
        <v>0.46360114956891169</v>
      </c>
      <c r="C106" s="9">
        <v>0.30648506809946269</v>
      </c>
      <c r="D106" s="9">
        <v>0.18015744095964015</v>
      </c>
      <c r="E106" s="9">
        <v>4.9756341371985507E-2</v>
      </c>
      <c r="F106" s="9">
        <v>0.39325719305952117</v>
      </c>
    </row>
    <row r="107" spans="2:17" x14ac:dyDescent="0.35">
      <c r="B107" s="9">
        <v>0.68927470387798151</v>
      </c>
      <c r="C107" s="9">
        <v>0.12797570756357063</v>
      </c>
      <c r="D107" s="9">
        <v>0.14102593820263787</v>
      </c>
      <c r="E107" s="9">
        <v>4.1723650355810021E-2</v>
      </c>
      <c r="F107" s="9">
        <v>0.52417521756072216</v>
      </c>
    </row>
    <row r="108" spans="2:17" x14ac:dyDescent="0.35">
      <c r="B108" s="9">
        <v>0.83153082137789691</v>
      </c>
      <c r="C108" s="9">
        <v>0.12867728204319723</v>
      </c>
      <c r="D108" s="9">
        <v>2.5413842030584898E-2</v>
      </c>
      <c r="E108" s="9">
        <v>1.4378054548320984E-2</v>
      </c>
      <c r="F108" s="9">
        <v>0.64223349409612507</v>
      </c>
    </row>
    <row r="109" spans="2:17" x14ac:dyDescent="0.35">
      <c r="B109" s="9">
        <v>0.63222496428107544</v>
      </c>
      <c r="C109" s="9">
        <v>0.2150928692037927</v>
      </c>
      <c r="D109" s="9">
        <v>0.13810235095466944</v>
      </c>
      <c r="E109" s="9">
        <v>1.4579815560462398E-2</v>
      </c>
      <c r="F109" s="9">
        <v>0.53604204905723341</v>
      </c>
    </row>
    <row r="110" spans="2:17" x14ac:dyDescent="0.35">
      <c r="B110" s="9">
        <v>0.60317209400358307</v>
      </c>
      <c r="C110" s="9">
        <v>0.15420486879544737</v>
      </c>
      <c r="D110" s="9">
        <v>0.21909579513120456</v>
      </c>
      <c r="E110" s="9">
        <v>2.3527242069764993E-2</v>
      </c>
      <c r="F110" s="9">
        <v>0.51540380089226123</v>
      </c>
    </row>
    <row r="111" spans="2:17" x14ac:dyDescent="0.35">
      <c r="B111" s="9">
        <v>0.61594155632378844</v>
      </c>
      <c r="C111" s="9">
        <v>0.13182440806209642</v>
      </c>
      <c r="D111" s="9">
        <v>0.24212380144804643</v>
      </c>
      <c r="E111" s="9">
        <v>1.011023416606875E-2</v>
      </c>
      <c r="F111" s="9">
        <v>0.51518098782138022</v>
      </c>
    </row>
    <row r="112" spans="2:17" x14ac:dyDescent="0.35">
      <c r="B112" s="9">
        <v>0.79946604189936521</v>
      </c>
      <c r="C112" s="9">
        <v>6.7262375023837417E-2</v>
      </c>
      <c r="D112" s="9">
        <v>0.11711662625657232</v>
      </c>
      <c r="E112" s="9">
        <v>1.6154956820225025E-2</v>
      </c>
      <c r="F112" s="9">
        <v>0.59617303306727476</v>
      </c>
    </row>
    <row r="113" spans="2:6" x14ac:dyDescent="0.35">
      <c r="B113" s="9">
        <v>0.76790334605095822</v>
      </c>
      <c r="C113" s="9">
        <v>9.8978204622198834E-2</v>
      </c>
      <c r="D113" s="9">
        <v>8.3651273955181335E-2</v>
      </c>
      <c r="E113" s="9">
        <v>4.946717537166162E-2</v>
      </c>
      <c r="F113" s="9">
        <v>0.55371257485029945</v>
      </c>
    </row>
    <row r="114" spans="2:6" x14ac:dyDescent="0.35">
      <c r="B114" s="9">
        <v>0.31813745266199034</v>
      </c>
      <c r="C114" s="9">
        <v>0.38692885308624303</v>
      </c>
      <c r="D114" s="9">
        <v>0.25697218932601085</v>
      </c>
      <c r="E114" s="9">
        <v>3.7961504925755785E-2</v>
      </c>
      <c r="F114" s="9">
        <v>0.25646379892934434</v>
      </c>
    </row>
    <row r="115" spans="2:6" x14ac:dyDescent="0.35">
      <c r="B115" s="9">
        <v>0.59047603925180225</v>
      </c>
      <c r="C115" s="9">
        <v>0.22075963034710533</v>
      </c>
      <c r="D115" s="9">
        <v>0.14579694496490839</v>
      </c>
      <c r="E115" s="9">
        <v>4.2967385436184065E-2</v>
      </c>
      <c r="F115" s="9">
        <v>0.4862475442043222</v>
      </c>
    </row>
    <row r="116" spans="2:6" x14ac:dyDescent="0.35">
      <c r="B116" s="9">
        <v>0.57247986953419627</v>
      </c>
      <c r="C116" s="9">
        <v>0.12439098970543268</v>
      </c>
      <c r="D116" s="9">
        <v>0.23188258077667923</v>
      </c>
      <c r="E116" s="9">
        <v>7.1246559983691768E-2</v>
      </c>
      <c r="F116" s="9">
        <v>0.4188607265685963</v>
      </c>
    </row>
    <row r="117" spans="2:6" x14ac:dyDescent="0.35">
      <c r="B117" s="9">
        <v>0.67228752260397828</v>
      </c>
      <c r="C117" s="9">
        <v>0.11756329113924051</v>
      </c>
      <c r="D117" s="9">
        <v>9.360307414104882E-2</v>
      </c>
      <c r="E117" s="9">
        <v>0.11654611211573238</v>
      </c>
      <c r="F117" s="9">
        <v>0.49173915866008827</v>
      </c>
    </row>
    <row r="118" spans="2:6" x14ac:dyDescent="0.35">
      <c r="B118" s="9">
        <v>0.81855457309419544</v>
      </c>
      <c r="C118" s="9">
        <v>8.6496889905441965E-2</v>
      </c>
      <c r="D118" s="9">
        <v>4.0096510557585563E-2</v>
      </c>
      <c r="E118" s="9">
        <v>5.4852026442777049E-2</v>
      </c>
      <c r="F118" s="9">
        <v>0.51630796538717549</v>
      </c>
    </row>
    <row r="119" spans="2:6" x14ac:dyDescent="0.35">
      <c r="B119" s="9">
        <v>0.47064071020560855</v>
      </c>
      <c r="C119" s="9">
        <v>0.4057063927137739</v>
      </c>
      <c r="D119" s="9">
        <v>7.2229176558610664E-2</v>
      </c>
      <c r="E119" s="9">
        <v>5.1423720522006874E-2</v>
      </c>
      <c r="F119" s="9">
        <v>0.3101485254462184</v>
      </c>
    </row>
    <row r="120" spans="2:6" x14ac:dyDescent="0.35">
      <c r="B120" s="9">
        <v>0.56781416603198787</v>
      </c>
      <c r="C120" s="9">
        <v>0.22923076923076924</v>
      </c>
      <c r="D120" s="9">
        <v>0.12106626047220106</v>
      </c>
      <c r="E120" s="9">
        <v>8.1888804265041887E-2</v>
      </c>
      <c r="F120" s="9">
        <v>0.42728341826734612</v>
      </c>
    </row>
    <row r="121" spans="2:6" x14ac:dyDescent="0.35">
      <c r="B121" s="9">
        <v>0.55044082739911837</v>
      </c>
      <c r="C121" s="9">
        <v>0.30904543913190913</v>
      </c>
      <c r="D121" s="9">
        <v>7.5421046682491236E-2</v>
      </c>
      <c r="E121" s="9">
        <v>6.5092686786481294E-2</v>
      </c>
      <c r="F121" s="9">
        <v>0.37174745172250656</v>
      </c>
    </row>
    <row r="122" spans="2:6" x14ac:dyDescent="0.35">
      <c r="B122" s="9">
        <v>0.26627627891780498</v>
      </c>
      <c r="C122" s="9">
        <v>0.6162304125460234</v>
      </c>
      <c r="D122" s="9">
        <v>8.1591877254049441E-2</v>
      </c>
      <c r="E122" s="9">
        <v>3.590143128212217E-2</v>
      </c>
      <c r="F122" s="9">
        <v>0.19934092834949629</v>
      </c>
    </row>
    <row r="123" spans="2:6" x14ac:dyDescent="0.35">
      <c r="B123" s="9">
        <v>0.57172227522541286</v>
      </c>
      <c r="C123" s="9">
        <v>0.28440317660812425</v>
      </c>
      <c r="D123" s="9">
        <v>7.4698665663338659E-2</v>
      </c>
      <c r="E123" s="9">
        <v>6.9175882503124203E-2</v>
      </c>
      <c r="F123" s="9">
        <v>0.44287952841099876</v>
      </c>
    </row>
    <row r="124" spans="2:6" x14ac:dyDescent="0.35">
      <c r="B124" s="9">
        <v>0.69012332990750258</v>
      </c>
      <c r="C124" s="9">
        <v>0.14794450154162384</v>
      </c>
      <c r="D124" s="9">
        <v>0.12871531346351489</v>
      </c>
      <c r="E124" s="9">
        <v>3.3216855087358686E-2</v>
      </c>
      <c r="F124" s="9">
        <v>0.50865878090951511</v>
      </c>
    </row>
    <row r="125" spans="2:6" x14ac:dyDescent="0.35">
      <c r="B125" s="9">
        <v>0.39016259051783031</v>
      </c>
      <c r="C125" s="9">
        <v>0.43437628091269298</v>
      </c>
      <c r="D125" s="9">
        <v>0.1434804390399417</v>
      </c>
      <c r="E125" s="9">
        <v>3.1980689529534999E-2</v>
      </c>
      <c r="F125" s="9">
        <v>0.26195826645264847</v>
      </c>
    </row>
    <row r="126" spans="2:6" x14ac:dyDescent="0.35">
      <c r="B126" s="9">
        <v>0.76431761022429812</v>
      </c>
      <c r="C126" s="9">
        <v>9.4513165323615464E-2</v>
      </c>
      <c r="D126" s="9">
        <v>9.1803110403941901E-2</v>
      </c>
      <c r="E126" s="9">
        <v>4.936611404814454E-2</v>
      </c>
      <c r="F126" s="9">
        <v>0.55338070954351148</v>
      </c>
    </row>
    <row r="127" spans="2:6" x14ac:dyDescent="0.35">
      <c r="B127" s="9">
        <v>0.3336274443986228</v>
      </c>
      <c r="C127" s="9">
        <v>0.55155415319989642</v>
      </c>
      <c r="D127" s="9">
        <v>9.1916101621766777E-2</v>
      </c>
      <c r="E127" s="9">
        <v>2.2902300779714009E-2</v>
      </c>
      <c r="F127" s="9">
        <v>0.23785304470744756</v>
      </c>
    </row>
    <row r="128" spans="2:6" x14ac:dyDescent="0.35">
      <c r="B128" s="9">
        <v>0.11142593359014358</v>
      </c>
      <c r="C128" s="9">
        <v>0.7861099614784629</v>
      </c>
      <c r="D128" s="9">
        <v>8.8106077488777815E-2</v>
      </c>
      <c r="E128" s="9">
        <v>1.4358027442615644E-2</v>
      </c>
      <c r="F128" s="9">
        <v>7.9303283299952745E-2</v>
      </c>
    </row>
    <row r="129" spans="2:6" x14ac:dyDescent="0.35">
      <c r="B129" s="9">
        <v>0.55177776586046012</v>
      </c>
      <c r="C129" s="9">
        <v>0.29467474660803344</v>
      </c>
      <c r="D129" s="9">
        <v>0.12265780018233496</v>
      </c>
      <c r="E129" s="9">
        <v>3.0889687349171448E-2</v>
      </c>
      <c r="F129" s="9">
        <v>0.40451262442340374</v>
      </c>
    </row>
    <row r="130" spans="2:6" x14ac:dyDescent="0.35">
      <c r="B130" s="9">
        <v>0.25204795527621138</v>
      </c>
      <c r="C130" s="9">
        <v>0.53151508296844452</v>
      </c>
      <c r="D130" s="9">
        <v>0.19288749575867251</v>
      </c>
      <c r="E130" s="9">
        <v>2.3549465996671567E-2</v>
      </c>
      <c r="F130" s="9">
        <v>0.19030041456073599</v>
      </c>
    </row>
    <row r="131" spans="2:6" x14ac:dyDescent="0.35">
      <c r="B131" s="9">
        <v>0.27335893542913281</v>
      </c>
      <c r="C131" s="9">
        <v>0.55229079217647581</v>
      </c>
      <c r="D131" s="9">
        <v>0.13836741984460124</v>
      </c>
      <c r="E131" s="9">
        <v>3.5982852549790126E-2</v>
      </c>
      <c r="F131" s="9">
        <v>0.12348221737608701</v>
      </c>
    </row>
    <row r="132" spans="2:6" x14ac:dyDescent="0.35">
      <c r="B132" s="9">
        <v>0.52038670664792031</v>
      </c>
      <c r="C132" s="9">
        <v>0.20615644946560327</v>
      </c>
      <c r="D132" s="9">
        <v>0.23397742966990581</v>
      </c>
      <c r="E132" s="9">
        <v>3.9479414216570655E-2</v>
      </c>
      <c r="F132" s="9">
        <v>0.37934827691919282</v>
      </c>
    </row>
    <row r="133" spans="2:6" x14ac:dyDescent="0.35">
      <c r="B133" s="9">
        <v>0.6504462628512403</v>
      </c>
      <c r="C133" s="9">
        <v>0.1203376426346455</v>
      </c>
      <c r="D133" s="9">
        <v>0.19850223534918252</v>
      </c>
      <c r="E133" s="9">
        <v>3.0713859164931648E-2</v>
      </c>
      <c r="F133" s="9">
        <v>0.50033630778888838</v>
      </c>
    </row>
    <row r="134" spans="2:6" x14ac:dyDescent="0.35">
      <c r="B134" s="9">
        <v>0.16929090305689737</v>
      </c>
      <c r="C134" s="9">
        <v>0.6209668498100962</v>
      </c>
      <c r="D134" s="9">
        <v>0.17187211917843578</v>
      </c>
      <c r="E134" s="9">
        <v>3.78701279545706E-2</v>
      </c>
      <c r="F134" s="9">
        <v>9.9020442930153316E-2</v>
      </c>
    </row>
    <row r="135" spans="2:6" x14ac:dyDescent="0.35">
      <c r="B135" s="9">
        <v>0.1497164007745429</v>
      </c>
      <c r="C135" s="9">
        <v>0.72505440649793518</v>
      </c>
      <c r="D135" s="9">
        <v>0.10055348972702503</v>
      </c>
      <c r="E135" s="9">
        <v>2.467570300049694E-2</v>
      </c>
      <c r="F135" s="9">
        <v>9.098278704028967E-2</v>
      </c>
    </row>
    <row r="136" spans="2:6" x14ac:dyDescent="0.35">
      <c r="B136" s="9">
        <v>0.14999041594786275</v>
      </c>
      <c r="C136" s="9">
        <v>0.72615624743284313</v>
      </c>
      <c r="D136" s="9">
        <v>8.5120074481776609E-2</v>
      </c>
      <c r="E136" s="9">
        <v>3.8733262137517453E-2</v>
      </c>
      <c r="F136" s="9">
        <v>9.4116388532306375E-2</v>
      </c>
    </row>
    <row r="137" spans="2:6" x14ac:dyDescent="0.35">
      <c r="B137" s="9">
        <v>0.27638063716846167</v>
      </c>
      <c r="C137" s="9">
        <v>0.58242225296835859</v>
      </c>
      <c r="D137" s="9">
        <v>0.10749391859508242</v>
      </c>
      <c r="E137" s="9">
        <v>3.3703191268097267E-2</v>
      </c>
      <c r="F137" s="9">
        <v>0.21713893653516295</v>
      </c>
    </row>
    <row r="138" spans="2:6" x14ac:dyDescent="0.35">
      <c r="B138" s="9">
        <v>0.66233479872662371</v>
      </c>
      <c r="C138" s="9">
        <v>0.15539600071661866</v>
      </c>
      <c r="D138" s="9">
        <v>9.0996788997147304E-2</v>
      </c>
      <c r="E138" s="9">
        <v>9.1272411559610273E-2</v>
      </c>
      <c r="F138" s="9">
        <v>0.51632810008815866</v>
      </c>
    </row>
    <row r="139" spans="2:6" x14ac:dyDescent="0.35">
      <c r="B139" s="9">
        <v>0.60453788971485634</v>
      </c>
      <c r="C139" s="9">
        <v>0.2468212581826251</v>
      </c>
      <c r="D139" s="9">
        <v>0.11035171419061356</v>
      </c>
      <c r="E139" s="9">
        <v>3.8289137911905025E-2</v>
      </c>
      <c r="F139" s="9">
        <v>0.44888840622430459</v>
      </c>
    </row>
    <row r="140" spans="2:6" x14ac:dyDescent="0.35">
      <c r="B140" s="9">
        <v>0.72226194481830419</v>
      </c>
      <c r="C140" s="9">
        <v>0.17294751009421266</v>
      </c>
      <c r="D140" s="9">
        <v>8.4496971736204574E-2</v>
      </c>
      <c r="E140" s="9">
        <v>2.0293573351278599E-2</v>
      </c>
      <c r="F140" s="9">
        <v>0.40205420661361418</v>
      </c>
    </row>
    <row r="141" spans="2:6" x14ac:dyDescent="0.35">
      <c r="B141" s="9">
        <v>0.74896007206634341</v>
      </c>
      <c r="C141" s="9">
        <v>7.4662851389661652E-2</v>
      </c>
      <c r="D141" s="9">
        <v>0.15449222372360438</v>
      </c>
      <c r="E141" s="9">
        <v>2.1884852820390537E-2</v>
      </c>
      <c r="F141" s="9">
        <v>0.45331309351502103</v>
      </c>
    </row>
    <row r="142" spans="2:6" x14ac:dyDescent="0.35">
      <c r="B142" s="9">
        <v>0.57123751918663845</v>
      </c>
      <c r="C142" s="9">
        <v>0.16738347441528245</v>
      </c>
      <c r="D142" s="9">
        <v>0.24479871126578623</v>
      </c>
      <c r="E142" s="9">
        <v>1.6580295132292821E-2</v>
      </c>
      <c r="F142" s="9">
        <v>0.45799716157629722</v>
      </c>
    </row>
    <row r="143" spans="2:6" x14ac:dyDescent="0.35">
      <c r="B143" s="9">
        <v>0.74405892502428628</v>
      </c>
      <c r="C143" s="9">
        <v>0.13333526656903827</v>
      </c>
      <c r="D143" s="9">
        <v>0.10163986718670708</v>
      </c>
      <c r="E143" s="9">
        <v>2.0965941219968393E-2</v>
      </c>
      <c r="F143" s="9">
        <v>0.59199794725169996</v>
      </c>
    </row>
    <row r="144" spans="2:6" x14ac:dyDescent="0.35">
      <c r="B144" s="9">
        <v>0.7390519500807109</v>
      </c>
      <c r="C144" s="9">
        <v>0.15043479770190757</v>
      </c>
      <c r="D144" s="9">
        <v>6.7710412580493984E-2</v>
      </c>
      <c r="E144" s="9">
        <v>4.280283963688751E-2</v>
      </c>
      <c r="F144" s="9">
        <v>0.58878767299721335</v>
      </c>
    </row>
    <row r="145" spans="1:6" x14ac:dyDescent="0.35">
      <c r="B145" s="9">
        <v>0.1597928186801246</v>
      </c>
      <c r="C145" s="9">
        <v>0.67647840050225772</v>
      </c>
      <c r="D145" s="9">
        <v>0.15157076280395046</v>
      </c>
      <c r="E145" s="9">
        <v>1.2158018013667206E-2</v>
      </c>
      <c r="F145" s="9">
        <v>0.12955032119914348</v>
      </c>
    </row>
    <row r="146" spans="1:6" x14ac:dyDescent="0.35">
      <c r="B146" s="9">
        <v>0.61858708844664501</v>
      </c>
      <c r="C146" s="9">
        <v>0.18076560001541217</v>
      </c>
      <c r="D146" s="9">
        <v>0.1638699982661298</v>
      </c>
      <c r="E146" s="9">
        <v>3.677731327181305E-2</v>
      </c>
      <c r="F146" s="9">
        <v>0.42915292662819454</v>
      </c>
    </row>
    <row r="147" spans="1:6" x14ac:dyDescent="0.35">
      <c r="B147" s="9">
        <v>0.15271124483682383</v>
      </c>
      <c r="C147" s="9">
        <v>0.59258086226691475</v>
      </c>
      <c r="D147" s="9">
        <v>0.2266518864563126</v>
      </c>
      <c r="E147" s="9">
        <v>2.8056006439948798E-2</v>
      </c>
      <c r="F147" s="9">
        <v>0.12368260765241144</v>
      </c>
    </row>
    <row r="148" spans="1:6" x14ac:dyDescent="0.35">
      <c r="B148" s="9">
        <v>0.15013847346848344</v>
      </c>
      <c r="C148" s="9">
        <v>0.41022488091281711</v>
      </c>
      <c r="D148" s="9">
        <v>0.41013625789298769</v>
      </c>
      <c r="E148" s="9">
        <v>2.9500387725711754E-2</v>
      </c>
      <c r="F148" s="9">
        <v>0.12624300094850535</v>
      </c>
    </row>
    <row r="149" spans="1:6" x14ac:dyDescent="0.35">
      <c r="B149" s="9">
        <v>0.68970167292156992</v>
      </c>
      <c r="C149" s="9">
        <v>0.12976273773932956</v>
      </c>
      <c r="D149" s="9">
        <v>0.15151707906621717</v>
      </c>
      <c r="E149" s="9">
        <v>2.9018510272883404E-2</v>
      </c>
      <c r="F149" s="9">
        <v>0.36799185802429873</v>
      </c>
    </row>
    <row r="150" spans="1:6" x14ac:dyDescent="0.35">
      <c r="B150" s="9">
        <v>0.39811583237741927</v>
      </c>
      <c r="C150" s="9">
        <v>0.33356112561931028</v>
      </c>
      <c r="D150" s="9">
        <v>0.23071290850071999</v>
      </c>
      <c r="E150" s="9">
        <v>3.7610133502550464E-2</v>
      </c>
      <c r="F150" s="9">
        <v>0.28818943112907885</v>
      </c>
    </row>
    <row r="151" spans="1:6" x14ac:dyDescent="0.35">
      <c r="B151" s="9">
        <v>0.71162191806953123</v>
      </c>
      <c r="C151" s="9">
        <v>7.9736754256283085E-2</v>
      </c>
      <c r="D151" s="9">
        <v>0.14327499324399509</v>
      </c>
      <c r="E151" s="9">
        <v>6.5366334430190604E-2</v>
      </c>
      <c r="F151" s="9">
        <v>0.61413921188630494</v>
      </c>
    </row>
    <row r="152" spans="1:6" x14ac:dyDescent="0.35">
      <c r="B152" s="9">
        <v>0.18075691541403541</v>
      </c>
      <c r="C152" s="9">
        <v>0.57395712888019212</v>
      </c>
      <c r="D152" s="9">
        <v>0.22456194965756471</v>
      </c>
      <c r="E152" s="9">
        <v>2.0724006048207774E-2</v>
      </c>
      <c r="F152" s="9">
        <v>0.15158511677470918</v>
      </c>
    </row>
    <row r="153" spans="1:6" x14ac:dyDescent="0.35">
      <c r="B153" s="9">
        <v>0.71059596604910102</v>
      </c>
      <c r="C153" s="9">
        <v>0.10641598977822396</v>
      </c>
      <c r="D153" s="9">
        <v>0.15442183079310029</v>
      </c>
      <c r="E153" s="9">
        <v>2.8566213379574702E-2</v>
      </c>
      <c r="F153" s="9">
        <v>0.55646654324252842</v>
      </c>
    </row>
    <row r="154" spans="1:6" x14ac:dyDescent="0.35">
      <c r="B154" s="9">
        <v>0.57783486011388963</v>
      </c>
      <c r="C154" s="9">
        <v>0.26200792275315671</v>
      </c>
      <c r="D154" s="9">
        <v>0.11713914335231493</v>
      </c>
      <c r="E154" s="9">
        <v>4.3018073780638773E-2</v>
      </c>
      <c r="F154" s="9">
        <v>0.44991268455310368</v>
      </c>
    </row>
    <row r="155" spans="1:6" x14ac:dyDescent="0.35">
      <c r="B155" s="9">
        <v>0.68927191236120133</v>
      </c>
      <c r="C155" s="9">
        <v>0.1458623883488944</v>
      </c>
      <c r="D155" s="9">
        <v>0.10671663242167123</v>
      </c>
      <c r="E155" s="9">
        <v>5.8149066868233068E-2</v>
      </c>
      <c r="F155" s="9">
        <v>0.4852309694209499</v>
      </c>
    </row>
    <row r="156" spans="1:6" x14ac:dyDescent="0.35">
      <c r="B156" s="9">
        <v>0.56828984894898071</v>
      </c>
      <c r="C156" s="9">
        <v>0.22560473222773847</v>
      </c>
      <c r="D156" s="9">
        <v>0.17593746699059892</v>
      </c>
      <c r="E156" s="9">
        <v>3.0167951832681946E-2</v>
      </c>
      <c r="F156" s="9">
        <v>0.47584221134465882</v>
      </c>
    </row>
    <row r="158" spans="1:6" x14ac:dyDescent="0.35">
      <c r="A158" t="s">
        <v>1446</v>
      </c>
    </row>
    <row r="159" spans="1:6" x14ac:dyDescent="0.35">
      <c r="B159" s="1" t="s">
        <v>1420</v>
      </c>
      <c r="C159" s="1" t="s">
        <v>1421</v>
      </c>
      <c r="D159" s="1" t="s">
        <v>1422</v>
      </c>
      <c r="E159" s="1" t="s">
        <v>1423</v>
      </c>
      <c r="F159" s="4" t="s">
        <v>1428</v>
      </c>
    </row>
    <row r="160" spans="1:6" x14ac:dyDescent="0.35">
      <c r="B160" s="9">
        <v>0.46275937886491686</v>
      </c>
      <c r="C160" s="9">
        <v>0.44255874673629242</v>
      </c>
      <c r="D160" s="9">
        <v>2.054418029407723E-2</v>
      </c>
      <c r="E160" s="9">
        <v>7.4137694104713478E-2</v>
      </c>
      <c r="F160" s="9">
        <v>0.38512949039264827</v>
      </c>
    </row>
    <row r="161" spans="2:16" x14ac:dyDescent="0.35">
      <c r="B161" s="9">
        <v>0.65495851748468636</v>
      </c>
      <c r="C161" s="9">
        <v>0.19958129797627355</v>
      </c>
      <c r="D161" s="9">
        <v>6.6759711560828106E-2</v>
      </c>
      <c r="E161" s="9">
        <v>7.8700472978211991E-2</v>
      </c>
      <c r="F161" s="9">
        <v>0.3354564755838641</v>
      </c>
    </row>
    <row r="162" spans="2:16" x14ac:dyDescent="0.35">
      <c r="B162" s="9">
        <v>0.7902603187172127</v>
      </c>
      <c r="C162" s="9">
        <v>5.7012768484608532E-2</v>
      </c>
      <c r="D162" s="9">
        <v>8.6162525982381472E-2</v>
      </c>
      <c r="E162" s="9">
        <v>6.6564386815797294E-2</v>
      </c>
      <c r="F162" s="9">
        <v>0.47995203477478826</v>
      </c>
    </row>
    <row r="163" spans="2:16" x14ac:dyDescent="0.35">
      <c r="B163" s="9">
        <v>0.65365038365114336</v>
      </c>
      <c r="C163" s="9">
        <v>0.2804072020056218</v>
      </c>
      <c r="D163" s="9">
        <v>3.8593025905948493E-2</v>
      </c>
      <c r="E163" s="9">
        <v>2.7349388437286334E-2</v>
      </c>
      <c r="F163" s="9">
        <v>0.44762328843370813</v>
      </c>
      <c r="P163" t="s">
        <v>1467</v>
      </c>
    </row>
    <row r="164" spans="2:16" x14ac:dyDescent="0.35">
      <c r="B164" s="9">
        <v>0.77610856142899598</v>
      </c>
      <c r="C164" s="9">
        <v>0.12510317958199887</v>
      </c>
      <c r="D164" s="9">
        <v>8.6934988608974154E-2</v>
      </c>
      <c r="E164" s="9">
        <v>1.1853270380031037E-2</v>
      </c>
      <c r="F164" s="9">
        <v>0.52130832617157874</v>
      </c>
    </row>
    <row r="165" spans="2:16" x14ac:dyDescent="0.35">
      <c r="B165" s="9">
        <v>0.92095854260662302</v>
      </c>
      <c r="C165" s="9">
        <v>1.6302034562015833E-2</v>
      </c>
      <c r="D165" s="9">
        <v>5.8440452881586787E-2</v>
      </c>
      <c r="E165" s="9">
        <v>4.2989699497744107E-3</v>
      </c>
      <c r="F165" s="9">
        <v>0.48158788195351265</v>
      </c>
      <c r="P165" s="8">
        <f>0.4842+0.0949</f>
        <v>0.57910000000000006</v>
      </c>
    </row>
    <row r="166" spans="2:16" x14ac:dyDescent="0.35">
      <c r="B166" s="9">
        <v>0.51077638990938035</v>
      </c>
      <c r="C166" s="9">
        <v>9.6926279696301743E-2</v>
      </c>
      <c r="D166" s="9">
        <v>0.33639480773940728</v>
      </c>
      <c r="E166" s="9">
        <v>5.5902522654910608E-2</v>
      </c>
      <c r="F166" s="9">
        <v>0.46613234287948391</v>
      </c>
    </row>
    <row r="167" spans="2:16" x14ac:dyDescent="0.35">
      <c r="B167" s="9">
        <v>0.29551010904575264</v>
      </c>
      <c r="C167" s="9">
        <v>0.58896348325507397</v>
      </c>
      <c r="D167" s="9">
        <v>0.10594124723504987</v>
      </c>
      <c r="E167" s="9">
        <v>9.5851604641235596E-3</v>
      </c>
      <c r="F167" s="9">
        <v>0.22824822236586942</v>
      </c>
    </row>
    <row r="168" spans="2:16" x14ac:dyDescent="0.35">
      <c r="B168" s="9">
        <v>0.75589717373840648</v>
      </c>
      <c r="C168" s="9">
        <v>0.14978456145475791</v>
      </c>
      <c r="D168" s="9">
        <v>5.3238881180165044E-2</v>
      </c>
      <c r="E168" s="9">
        <v>4.107938362667056E-2</v>
      </c>
      <c r="F168" s="9">
        <v>0.47249861104096169</v>
      </c>
    </row>
    <row r="169" spans="2:16" x14ac:dyDescent="0.35">
      <c r="B169" s="9">
        <v>0.43302978561942707</v>
      </c>
      <c r="C169" s="9">
        <v>0.31915196357427433</v>
      </c>
      <c r="D169" s="9">
        <v>0.21637260481881995</v>
      </c>
      <c r="E169" s="9">
        <v>3.1445645987478656E-2</v>
      </c>
      <c r="F169" s="9">
        <v>0.28561529933481156</v>
      </c>
    </row>
    <row r="170" spans="2:16" x14ac:dyDescent="0.35">
      <c r="B170" s="9">
        <v>4.2685292976329066E-2</v>
      </c>
      <c r="C170" s="9">
        <v>0.72086405380933904</v>
      </c>
      <c r="D170" s="9">
        <v>0.21536670547147846</v>
      </c>
      <c r="E170" s="9">
        <v>2.1083947742853448E-2</v>
      </c>
      <c r="F170" s="9">
        <v>5.6081525312294545E-2</v>
      </c>
    </row>
    <row r="171" spans="2:16" x14ac:dyDescent="0.35">
      <c r="B171" s="9">
        <v>0.37638517386320214</v>
      </c>
      <c r="C171" s="9">
        <v>0.44600687810470002</v>
      </c>
      <c r="D171" s="9">
        <v>0.14841421474971342</v>
      </c>
      <c r="E171" s="9">
        <v>2.919373328238441E-2</v>
      </c>
      <c r="F171" s="9">
        <v>0.29381672597864766</v>
      </c>
    </row>
    <row r="172" spans="2:16" x14ac:dyDescent="0.35">
      <c r="B172" s="9">
        <v>0.70423275515567507</v>
      </c>
      <c r="C172" s="9">
        <v>0.19698234548433974</v>
      </c>
      <c r="D172" s="9">
        <v>7.9553535540920761E-2</v>
      </c>
      <c r="E172" s="9">
        <v>1.9231363819064404E-2</v>
      </c>
      <c r="F172" s="9">
        <v>0.43359173126614986</v>
      </c>
    </row>
    <row r="173" spans="2:16" x14ac:dyDescent="0.35">
      <c r="B173" s="9">
        <v>0.72103658536585369</v>
      </c>
      <c r="C173" s="9">
        <v>0.15925114329268292</v>
      </c>
      <c r="D173" s="9">
        <v>8.479420731707317E-2</v>
      </c>
      <c r="E173" s="9">
        <v>3.4918064024390245E-2</v>
      </c>
      <c r="F173" s="9">
        <v>0.38531430878987749</v>
      </c>
    </row>
    <row r="174" spans="2:16" x14ac:dyDescent="0.35">
      <c r="B174" s="9">
        <v>0.79437649164677804</v>
      </c>
      <c r="C174" s="9">
        <v>0.11873508353221957</v>
      </c>
      <c r="D174" s="9">
        <v>5.3997613365155128E-2</v>
      </c>
      <c r="E174" s="9">
        <v>3.2890811455847255E-2</v>
      </c>
      <c r="F174" s="9">
        <v>0.49567627494456762</v>
      </c>
    </row>
    <row r="175" spans="2:16" x14ac:dyDescent="0.35">
      <c r="B175" s="9">
        <v>0.9150821304131409</v>
      </c>
      <c r="C175" s="9">
        <v>2.4489795918367346E-2</v>
      </c>
      <c r="D175" s="9">
        <v>3.5838725734196118E-3</v>
      </c>
      <c r="E175" s="9">
        <v>5.6844201095072176E-2</v>
      </c>
      <c r="F175" s="9">
        <v>0.47376630743051618</v>
      </c>
    </row>
    <row r="176" spans="2:16" x14ac:dyDescent="0.35">
      <c r="B176" s="9">
        <v>0.80052599635848676</v>
      </c>
      <c r="C176" s="9">
        <v>0.15506777260772811</v>
      </c>
      <c r="D176" s="9">
        <v>3.611167307303257E-2</v>
      </c>
      <c r="E176" s="9">
        <v>8.2945579607525792E-3</v>
      </c>
      <c r="F176" s="9">
        <v>0.45122310639552021</v>
      </c>
    </row>
    <row r="177" spans="2:16" x14ac:dyDescent="0.35">
      <c r="B177" s="9">
        <v>0.6523852588740674</v>
      </c>
      <c r="C177" s="9">
        <v>0.24909563644585123</v>
      </c>
      <c r="D177" s="9">
        <v>8.7836310196699074E-2</v>
      </c>
      <c r="E177" s="9">
        <v>1.0682794483382319E-2</v>
      </c>
      <c r="F177" s="9">
        <v>0.45252969643642765</v>
      </c>
    </row>
    <row r="178" spans="2:16" x14ac:dyDescent="0.35">
      <c r="B178" s="9">
        <v>0.72776740030861686</v>
      </c>
      <c r="C178" s="9">
        <v>0.16283602696337204</v>
      </c>
      <c r="D178" s="9">
        <v>5.2058799642654106E-2</v>
      </c>
      <c r="E178" s="9">
        <v>5.7337773085356938E-2</v>
      </c>
      <c r="F178" s="9">
        <v>0.373066314905864</v>
      </c>
    </row>
    <row r="179" spans="2:16" x14ac:dyDescent="0.35">
      <c r="B179" s="9">
        <v>0.74591508629175141</v>
      </c>
      <c r="C179" s="9">
        <v>7.91718616707133E-2</v>
      </c>
      <c r="D179" s="9">
        <v>0.13875582387295754</v>
      </c>
      <c r="E179" s="9">
        <v>3.6157228164577726E-2</v>
      </c>
      <c r="F179" s="9">
        <v>0.53781938935522555</v>
      </c>
    </row>
    <row r="180" spans="2:16" x14ac:dyDescent="0.35">
      <c r="B180" s="9">
        <v>0.26528802266975277</v>
      </c>
      <c r="C180" s="9">
        <v>0.49250470483895392</v>
      </c>
      <c r="D180" s="9">
        <v>0.22193860996344286</v>
      </c>
      <c r="E180" s="9">
        <v>2.0268662527850482E-2</v>
      </c>
      <c r="F180" s="9">
        <v>0.16209124602315589</v>
      </c>
    </row>
    <row r="181" spans="2:16" x14ac:dyDescent="0.35">
      <c r="B181" s="9">
        <v>0.29204241403230602</v>
      </c>
      <c r="C181" s="9">
        <v>0.44886532553760777</v>
      </c>
      <c r="D181" s="9">
        <v>0.22589436131206025</v>
      </c>
      <c r="E181" s="9">
        <v>3.3197899118025967E-2</v>
      </c>
      <c r="F181" s="9">
        <v>0.25826819001803969</v>
      </c>
      <c r="P181">
        <f>-0.6076+0.5294</f>
        <v>-7.8200000000000047E-2</v>
      </c>
    </row>
    <row r="182" spans="2:16" x14ac:dyDescent="0.35">
      <c r="B182" s="9">
        <v>0.13536197844708484</v>
      </c>
      <c r="C182" s="9">
        <v>0.58707515888366957</v>
      </c>
      <c r="D182" s="9">
        <v>0.25697706548770377</v>
      </c>
      <c r="E182" s="9">
        <v>2.0585797181541861E-2</v>
      </c>
      <c r="F182" s="9">
        <v>0.10875084192528885</v>
      </c>
    </row>
    <row r="183" spans="2:16" x14ac:dyDescent="0.35">
      <c r="B183" s="9">
        <v>0.24032208113967171</v>
      </c>
      <c r="C183" s="9">
        <v>0.47138432951378134</v>
      </c>
      <c r="D183" s="9">
        <v>0.27209662434190152</v>
      </c>
      <c r="E183" s="9">
        <v>1.6196965004645403E-2</v>
      </c>
      <c r="F183" s="9">
        <v>0.20398937409703127</v>
      </c>
    </row>
    <row r="184" spans="2:16" x14ac:dyDescent="0.35">
      <c r="B184" s="9">
        <v>0.77513837638376382</v>
      </c>
      <c r="C184" s="9">
        <v>6.2154059040590404E-2</v>
      </c>
      <c r="D184" s="9">
        <v>0.14947944122298365</v>
      </c>
      <c r="E184" s="9">
        <v>1.3228123352662099E-2</v>
      </c>
      <c r="F184" s="9">
        <v>0.55332482302425434</v>
      </c>
    </row>
    <row r="185" spans="2:16" x14ac:dyDescent="0.35">
      <c r="B185" s="9">
        <v>0.81186341463414635</v>
      </c>
      <c r="C185" s="9">
        <v>6.3648780487804882E-2</v>
      </c>
      <c r="D185" s="9">
        <v>9.9941463414634141E-2</v>
      </c>
      <c r="E185" s="9">
        <v>2.4546341463414636E-2</v>
      </c>
      <c r="F185" s="9">
        <v>0.38082146588222354</v>
      </c>
    </row>
    <row r="186" spans="2:16" x14ac:dyDescent="0.35">
      <c r="B186" s="9">
        <v>0.55077531164487681</v>
      </c>
      <c r="C186" s="9">
        <v>0.15725144420796594</v>
      </c>
      <c r="D186" s="9">
        <v>0.27421708726056554</v>
      </c>
      <c r="E186" s="9">
        <v>1.775615688659167E-2</v>
      </c>
      <c r="F186" s="9">
        <v>0.2825167132097825</v>
      </c>
    </row>
    <row r="187" spans="2:16" x14ac:dyDescent="0.35">
      <c r="B187" s="9">
        <v>0.85984251968503933</v>
      </c>
      <c r="C187" s="9">
        <v>6.6929133858267723E-2</v>
      </c>
      <c r="D187" s="9">
        <v>5.1665657177468204E-2</v>
      </c>
      <c r="E187" s="9">
        <v>2.1562689279224712E-2</v>
      </c>
      <c r="F187" s="9">
        <v>0.49418253899853487</v>
      </c>
    </row>
    <row r="188" spans="2:16" x14ac:dyDescent="0.35">
      <c r="B188" s="9">
        <v>0.23703212984431932</v>
      </c>
      <c r="C188" s="9">
        <v>0.54077509108976485</v>
      </c>
      <c r="D188" s="9">
        <v>0.21424312686319974</v>
      </c>
      <c r="E188" s="9">
        <v>7.9496522027161318E-3</v>
      </c>
      <c r="F188" s="9">
        <v>0.18654190722675693</v>
      </c>
    </row>
    <row r="189" spans="2:16" x14ac:dyDescent="0.35">
      <c r="B189" s="9">
        <v>0.22953816309781391</v>
      </c>
      <c r="C189" s="9">
        <v>0.4921286279191226</v>
      </c>
      <c r="D189" s="9">
        <v>0.2619562784451242</v>
      </c>
      <c r="E189" s="9">
        <v>1.6376930537939267E-2</v>
      </c>
      <c r="F189" s="9">
        <v>0.20635104595236717</v>
      </c>
    </row>
    <row r="190" spans="2:16" x14ac:dyDescent="0.35">
      <c r="B190" s="9">
        <v>0.74721122706009357</v>
      </c>
      <c r="C190" s="9">
        <v>6.8225980568549838E-2</v>
      </c>
      <c r="D190" s="9">
        <v>9.982007916516733E-2</v>
      </c>
      <c r="E190" s="9">
        <v>8.4742713206189271E-2</v>
      </c>
      <c r="F190" s="9">
        <v>0.59301694178974806</v>
      </c>
    </row>
    <row r="191" spans="2:16" x14ac:dyDescent="0.35">
      <c r="B191" s="9">
        <v>0.60915152686509466</v>
      </c>
      <c r="C191" s="9">
        <v>0.17235214534209509</v>
      </c>
      <c r="D191" s="9">
        <v>0.17621762659451101</v>
      </c>
      <c r="E191" s="9">
        <v>4.2278701198299191E-2</v>
      </c>
      <c r="F191" s="9">
        <v>0.44856720411180734</v>
      </c>
    </row>
    <row r="192" spans="2:16" x14ac:dyDescent="0.35">
      <c r="B192" s="9">
        <v>0.37399001595388814</v>
      </c>
      <c r="C192" s="9">
        <v>0.31398281097215791</v>
      </c>
      <c r="D192" s="9">
        <v>0.28083989501312334</v>
      </c>
      <c r="E192" s="9">
        <v>3.1187278060830631E-2</v>
      </c>
      <c r="F192" s="9">
        <v>0.33992949847780807</v>
      </c>
    </row>
    <row r="193" spans="2:6" x14ac:dyDescent="0.35">
      <c r="B193" s="9">
        <v>0.83341203453858603</v>
      </c>
      <c r="C193" s="9">
        <v>7.7307069616837559E-2</v>
      </c>
      <c r="D193" s="9">
        <v>4.8401241230437132E-2</v>
      </c>
      <c r="E193" s="9">
        <v>4.0879654614139234E-2</v>
      </c>
      <c r="F193" s="9">
        <v>0.42271871594174182</v>
      </c>
    </row>
    <row r="194" spans="2:6" x14ac:dyDescent="0.35">
      <c r="B194" s="9">
        <v>0.61925859686204376</v>
      </c>
      <c r="C194" s="9">
        <v>0.2215267051459231</v>
      </c>
      <c r="D194" s="9">
        <v>0.15165433704576864</v>
      </c>
      <c r="E194" s="9">
        <v>7.5603609462645315E-3</v>
      </c>
      <c r="F194" s="9">
        <v>0.4208506763787721</v>
      </c>
    </row>
    <row r="195" spans="2:6" x14ac:dyDescent="0.35">
      <c r="B195" s="9">
        <v>0.39492009969212727</v>
      </c>
      <c r="C195" s="9">
        <v>0.41390558569124763</v>
      </c>
      <c r="D195" s="9">
        <v>0.17600058642427796</v>
      </c>
      <c r="E195" s="9">
        <v>1.5173728192347163E-2</v>
      </c>
      <c r="F195" s="9">
        <v>0.32565635255508674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6A129-262D-4624-9A22-9819E6128E9B}">
  <dimension ref="B2:K14"/>
  <sheetViews>
    <sheetView workbookViewId="0">
      <selection activeCell="B9" sqref="B9:E14"/>
    </sheetView>
  </sheetViews>
  <sheetFormatPr defaultRowHeight="14.5" x14ac:dyDescent="0.35"/>
  <sheetData>
    <row r="2" spans="2:11" x14ac:dyDescent="0.35">
      <c r="B2" s="1" t="s">
        <v>59</v>
      </c>
      <c r="C2" s="58" t="s">
        <v>1469</v>
      </c>
      <c r="D2" s="58"/>
      <c r="E2" s="58"/>
      <c r="F2" s="58" t="s">
        <v>1432</v>
      </c>
      <c r="G2" s="58"/>
      <c r="H2" s="58"/>
      <c r="I2" s="58" t="s">
        <v>1449</v>
      </c>
      <c r="J2" s="58"/>
      <c r="K2" s="58"/>
    </row>
    <row r="3" spans="2:11" x14ac:dyDescent="0.35">
      <c r="B3" s="1" t="s">
        <v>0</v>
      </c>
      <c r="C3" s="1" t="s">
        <v>1455</v>
      </c>
      <c r="D3" s="1" t="s">
        <v>1456</v>
      </c>
      <c r="E3" s="1" t="s">
        <v>1457</v>
      </c>
      <c r="F3" s="1" t="s">
        <v>1455</v>
      </c>
      <c r="G3" s="1" t="s">
        <v>1456</v>
      </c>
      <c r="H3" s="1" t="s">
        <v>1457</v>
      </c>
      <c r="I3" s="1" t="s">
        <v>1455</v>
      </c>
      <c r="J3" s="1" t="s">
        <v>1456</v>
      </c>
      <c r="K3" s="1" t="s">
        <v>1457</v>
      </c>
    </row>
    <row r="4" spans="2:11" x14ac:dyDescent="0.35">
      <c r="B4" s="1" t="s">
        <v>54</v>
      </c>
      <c r="C4" s="9">
        <v>0.83140000000000003</v>
      </c>
      <c r="D4" s="9" t="s">
        <v>1464</v>
      </c>
      <c r="E4" s="9" t="s">
        <v>1465</v>
      </c>
      <c r="F4" s="9">
        <v>0.66720000000000002</v>
      </c>
      <c r="G4" s="9" t="s">
        <v>1465</v>
      </c>
      <c r="H4" s="9" t="s">
        <v>1465</v>
      </c>
      <c r="I4" s="54">
        <f>C4-F4</f>
        <v>0.16420000000000001</v>
      </c>
      <c r="J4" s="1" t="s">
        <v>1468</v>
      </c>
      <c r="K4" s="1" t="s">
        <v>1468</v>
      </c>
    </row>
    <row r="5" spans="2:11" x14ac:dyDescent="0.35">
      <c r="B5" s="1" t="s">
        <v>1444</v>
      </c>
      <c r="C5" s="9">
        <v>0.72919999999999996</v>
      </c>
      <c r="D5" s="9" t="s">
        <v>1465</v>
      </c>
      <c r="E5" s="9" t="s">
        <v>1465</v>
      </c>
      <c r="F5" s="9">
        <v>0.54530000000000001</v>
      </c>
      <c r="G5" s="9" t="s">
        <v>1465</v>
      </c>
      <c r="H5" s="9" t="s">
        <v>1465</v>
      </c>
      <c r="I5" s="54">
        <f>C5-F5</f>
        <v>0.18389999999999995</v>
      </c>
      <c r="J5" s="1" t="s">
        <v>1468</v>
      </c>
      <c r="K5" s="1" t="s">
        <v>1468</v>
      </c>
    </row>
    <row r="6" spans="2:11" x14ac:dyDescent="0.35">
      <c r="B6" s="1" t="s">
        <v>3</v>
      </c>
      <c r="C6" s="9">
        <v>0.72499999999999998</v>
      </c>
      <c r="D6" s="9" t="s">
        <v>1465</v>
      </c>
      <c r="E6" s="9" t="s">
        <v>1465</v>
      </c>
      <c r="F6" s="9">
        <v>0.49120000000000003</v>
      </c>
      <c r="G6" s="9" t="s">
        <v>1465</v>
      </c>
      <c r="H6" s="9" t="s">
        <v>1465</v>
      </c>
      <c r="I6" s="54">
        <f>C6-F6</f>
        <v>0.23379999999999995</v>
      </c>
      <c r="J6" s="1" t="s">
        <v>1468</v>
      </c>
      <c r="K6" s="1" t="s">
        <v>1468</v>
      </c>
    </row>
    <row r="7" spans="2:11" x14ac:dyDescent="0.35">
      <c r="B7" s="1" t="s">
        <v>1446</v>
      </c>
      <c r="C7" s="9">
        <v>0.57910000000000006</v>
      </c>
      <c r="D7" s="9" t="s">
        <v>1465</v>
      </c>
      <c r="E7" s="9" t="s">
        <v>1465</v>
      </c>
      <c r="F7" s="9">
        <v>0.33310000000000001</v>
      </c>
      <c r="G7" s="9" t="s">
        <v>1465</v>
      </c>
      <c r="H7" s="9" t="s">
        <v>1465</v>
      </c>
      <c r="I7" s="54">
        <f>C7-F7</f>
        <v>0.24600000000000005</v>
      </c>
      <c r="J7" s="1" t="s">
        <v>1468</v>
      </c>
      <c r="K7" s="1" t="s">
        <v>1468</v>
      </c>
    </row>
    <row r="9" spans="2:11" x14ac:dyDescent="0.35">
      <c r="B9" s="1"/>
      <c r="C9" s="1" t="s">
        <v>1469</v>
      </c>
      <c r="D9" s="55" t="s">
        <v>1432</v>
      </c>
      <c r="E9" s="1" t="s">
        <v>1449</v>
      </c>
    </row>
    <row r="10" spans="2:11" x14ac:dyDescent="0.35">
      <c r="B10" s="1" t="s">
        <v>0</v>
      </c>
      <c r="C10" s="59" t="s">
        <v>1455</v>
      </c>
      <c r="D10" s="60"/>
      <c r="E10" s="61"/>
    </row>
    <row r="11" spans="2:11" x14ac:dyDescent="0.35">
      <c r="B11" s="1" t="s">
        <v>54</v>
      </c>
      <c r="C11" s="53">
        <v>0.83140000000000003</v>
      </c>
      <c r="D11" s="53">
        <v>0.66720000000000002</v>
      </c>
      <c r="E11" s="56">
        <f>C11-D11</f>
        <v>0.16420000000000001</v>
      </c>
    </row>
    <row r="12" spans="2:11" x14ac:dyDescent="0.35">
      <c r="B12" s="1" t="s">
        <v>1444</v>
      </c>
      <c r="C12" s="53">
        <v>0.72919999999999996</v>
      </c>
      <c r="D12" s="53">
        <v>0.54530000000000001</v>
      </c>
      <c r="E12" s="56">
        <f>C12-D12</f>
        <v>0.18389999999999995</v>
      </c>
    </row>
    <row r="13" spans="2:11" x14ac:dyDescent="0.35">
      <c r="B13" s="1" t="s">
        <v>3</v>
      </c>
      <c r="C13" s="53">
        <v>0.72499999999999998</v>
      </c>
      <c r="D13" s="53">
        <v>0.49120000000000003</v>
      </c>
      <c r="E13" s="56">
        <f>C13-D13</f>
        <v>0.23379999999999995</v>
      </c>
    </row>
    <row r="14" spans="2:11" x14ac:dyDescent="0.35">
      <c r="B14" s="1" t="s">
        <v>1446</v>
      </c>
      <c r="C14" s="53">
        <v>0.57910000000000006</v>
      </c>
      <c r="D14" s="53">
        <v>0.33310000000000001</v>
      </c>
      <c r="E14" s="56">
        <f>C14-D14</f>
        <v>0.24600000000000005</v>
      </c>
    </row>
  </sheetData>
  <mergeCells count="4">
    <mergeCell ref="C2:E2"/>
    <mergeCell ref="F2:H2"/>
    <mergeCell ref="I2:K2"/>
    <mergeCell ref="C10:E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6B7AD-F2CC-49DB-AD45-43234FFB28A3}">
  <dimension ref="B1:J32"/>
  <sheetViews>
    <sheetView workbookViewId="0">
      <pane xSplit="2" ySplit="3" topLeftCell="C4" activePane="bottomRight" state="frozen"/>
      <selection pane="topRight" activeCell="C1" sqref="C1"/>
      <selection pane="bottomLeft" activeCell="A3" sqref="A3"/>
      <selection pane="bottomRight" activeCell="C31" sqref="C31"/>
    </sheetView>
  </sheetViews>
  <sheetFormatPr defaultRowHeight="14.5" x14ac:dyDescent="0.35"/>
  <sheetData>
    <row r="1" spans="2:10" x14ac:dyDescent="0.35">
      <c r="B1" s="1"/>
      <c r="C1" s="58" t="s">
        <v>1448</v>
      </c>
      <c r="D1" s="58"/>
      <c r="E1" s="58"/>
      <c r="F1" s="58"/>
      <c r="G1" s="58"/>
      <c r="H1" s="58"/>
      <c r="I1" s="58"/>
      <c r="J1" s="58"/>
    </row>
    <row r="2" spans="2:10" x14ac:dyDescent="0.35">
      <c r="B2" s="1"/>
      <c r="C2" s="58" t="s">
        <v>74</v>
      </c>
      <c r="D2" s="58"/>
      <c r="E2" s="58"/>
      <c r="F2" s="58"/>
      <c r="G2" s="1"/>
      <c r="H2" s="58" t="s">
        <v>59</v>
      </c>
      <c r="I2" s="58"/>
      <c r="J2" s="58"/>
    </row>
    <row r="3" spans="2:10" x14ac:dyDescent="0.35">
      <c r="B3" s="1" t="s">
        <v>0</v>
      </c>
      <c r="C3" s="1" t="s">
        <v>51</v>
      </c>
      <c r="D3" s="1" t="s">
        <v>49</v>
      </c>
      <c r="E3" s="1" t="s">
        <v>48</v>
      </c>
      <c r="F3" s="1" t="s">
        <v>1451</v>
      </c>
      <c r="G3" s="1" t="s">
        <v>68</v>
      </c>
      <c r="H3" s="1" t="s">
        <v>52</v>
      </c>
      <c r="I3" s="1" t="s">
        <v>50</v>
      </c>
      <c r="J3" s="1" t="s">
        <v>1452</v>
      </c>
    </row>
    <row r="4" spans="2:10" x14ac:dyDescent="0.35">
      <c r="B4" s="1" t="s">
        <v>54</v>
      </c>
      <c r="C4" s="1">
        <v>2</v>
      </c>
      <c r="D4" s="1">
        <v>1</v>
      </c>
      <c r="E4" s="1">
        <v>0</v>
      </c>
      <c r="F4" s="1">
        <f>SUM(C4:E4)</f>
        <v>3</v>
      </c>
      <c r="G4" s="1">
        <v>0</v>
      </c>
      <c r="H4" s="1">
        <v>21</v>
      </c>
      <c r="I4" s="1">
        <v>11</v>
      </c>
      <c r="J4" s="1">
        <f t="shared" ref="J4:J9" si="0">SUM(H4:I4)</f>
        <v>32</v>
      </c>
    </row>
    <row r="5" spans="2:10" x14ac:dyDescent="0.35">
      <c r="B5" s="1" t="s">
        <v>1442</v>
      </c>
      <c r="C5" s="1">
        <v>0</v>
      </c>
      <c r="D5" s="1">
        <v>0</v>
      </c>
      <c r="E5" s="1">
        <v>1</v>
      </c>
      <c r="F5" s="1">
        <f t="shared" ref="F5:F10" si="1">SUM(C5:E5)</f>
        <v>1</v>
      </c>
      <c r="G5" s="1">
        <v>1</v>
      </c>
      <c r="H5" s="1">
        <v>37</v>
      </c>
      <c r="I5" s="1">
        <v>6</v>
      </c>
      <c r="J5" s="1">
        <f t="shared" si="0"/>
        <v>43</v>
      </c>
    </row>
    <row r="6" spans="2:10" x14ac:dyDescent="0.35">
      <c r="B6" s="1" t="s">
        <v>1443</v>
      </c>
      <c r="C6" s="1">
        <v>0</v>
      </c>
      <c r="D6" s="1">
        <v>0</v>
      </c>
      <c r="E6" s="1">
        <v>0</v>
      </c>
      <c r="F6" s="1">
        <f t="shared" si="1"/>
        <v>0</v>
      </c>
      <c r="G6" s="1">
        <v>0</v>
      </c>
      <c r="H6" s="1">
        <v>27</v>
      </c>
      <c r="I6" s="1">
        <v>5</v>
      </c>
      <c r="J6" s="1">
        <f t="shared" si="0"/>
        <v>32</v>
      </c>
    </row>
    <row r="7" spans="2:10" x14ac:dyDescent="0.35">
      <c r="B7" s="1" t="s">
        <v>1444</v>
      </c>
      <c r="C7" s="1">
        <v>7</v>
      </c>
      <c r="D7" s="1">
        <v>19</v>
      </c>
      <c r="E7" s="1">
        <v>1</v>
      </c>
      <c r="F7" s="1">
        <f t="shared" si="1"/>
        <v>27</v>
      </c>
      <c r="G7" s="1">
        <v>2</v>
      </c>
      <c r="H7" s="1">
        <v>7</v>
      </c>
      <c r="I7" s="1">
        <v>4</v>
      </c>
      <c r="J7" s="1">
        <f t="shared" si="0"/>
        <v>11</v>
      </c>
    </row>
    <row r="8" spans="2:10" x14ac:dyDescent="0.35">
      <c r="B8" s="1" t="s">
        <v>1445</v>
      </c>
      <c r="C8" s="1">
        <v>12</v>
      </c>
      <c r="D8" s="1">
        <v>15</v>
      </c>
      <c r="E8" s="1">
        <v>5</v>
      </c>
      <c r="F8" s="1">
        <f t="shared" si="1"/>
        <v>32</v>
      </c>
      <c r="G8" s="1">
        <v>2</v>
      </c>
      <c r="H8" s="1">
        <v>10</v>
      </c>
      <c r="I8" s="1">
        <v>12</v>
      </c>
      <c r="J8" s="1">
        <f t="shared" si="0"/>
        <v>22</v>
      </c>
    </row>
    <row r="9" spans="2:10" x14ac:dyDescent="0.35">
      <c r="B9" s="1" t="s">
        <v>1446</v>
      </c>
      <c r="C9" s="1">
        <v>4</v>
      </c>
      <c r="D9" s="1">
        <v>12</v>
      </c>
      <c r="E9" s="1">
        <v>1</v>
      </c>
      <c r="F9" s="1">
        <f t="shared" si="1"/>
        <v>17</v>
      </c>
      <c r="G9" s="1">
        <v>14</v>
      </c>
      <c r="H9" s="1">
        <v>3</v>
      </c>
      <c r="I9" s="1">
        <v>2</v>
      </c>
      <c r="J9" s="1">
        <f t="shared" si="0"/>
        <v>5</v>
      </c>
    </row>
    <row r="10" spans="2:10" x14ac:dyDescent="0.35">
      <c r="B10" s="1" t="s">
        <v>1426</v>
      </c>
      <c r="C10" s="1">
        <f>SUM(C4:C9)</f>
        <v>25</v>
      </c>
      <c r="D10" s="1">
        <f>SUM(D4:D9)</f>
        <v>47</v>
      </c>
      <c r="E10" s="1">
        <f>SUM(E4:E9)</f>
        <v>8</v>
      </c>
      <c r="F10" s="1">
        <f t="shared" si="1"/>
        <v>80</v>
      </c>
      <c r="G10" s="1">
        <f>SUM(G4:G9)</f>
        <v>19</v>
      </c>
      <c r="H10" s="1">
        <f>SUM(H4:H9)</f>
        <v>105</v>
      </c>
      <c r="I10" s="1">
        <f>SUM(I4:I9)</f>
        <v>40</v>
      </c>
      <c r="J10" s="1">
        <f>SUM(J4:J9)</f>
        <v>145</v>
      </c>
    </row>
    <row r="12" spans="2:10" x14ac:dyDescent="0.35">
      <c r="B12" s="1"/>
      <c r="C12" s="58" t="s">
        <v>1453</v>
      </c>
      <c r="D12" s="58"/>
      <c r="E12" s="58"/>
      <c r="F12" s="58"/>
      <c r="G12" s="58"/>
      <c r="H12" s="58"/>
      <c r="I12" s="58"/>
      <c r="J12" s="58"/>
    </row>
    <row r="13" spans="2:10" x14ac:dyDescent="0.35">
      <c r="B13" s="1"/>
      <c r="C13" s="58" t="s">
        <v>74</v>
      </c>
      <c r="D13" s="58"/>
      <c r="E13" s="58"/>
      <c r="F13" s="58"/>
      <c r="G13" s="1"/>
      <c r="H13" s="58" t="s">
        <v>59</v>
      </c>
      <c r="I13" s="58"/>
      <c r="J13" s="58"/>
    </row>
    <row r="14" spans="2:10" x14ac:dyDescent="0.35">
      <c r="B14" s="1" t="s">
        <v>0</v>
      </c>
      <c r="C14" s="1" t="s">
        <v>51</v>
      </c>
      <c r="D14" s="1" t="s">
        <v>49</v>
      </c>
      <c r="E14" s="1" t="s">
        <v>48</v>
      </c>
      <c r="F14" s="1" t="s">
        <v>1451</v>
      </c>
      <c r="G14" s="1" t="s">
        <v>68</v>
      </c>
      <c r="H14" s="1" t="s">
        <v>52</v>
      </c>
      <c r="I14" s="1" t="s">
        <v>50</v>
      </c>
      <c r="J14" s="1" t="s">
        <v>1452</v>
      </c>
    </row>
    <row r="15" spans="2:10" x14ac:dyDescent="0.35">
      <c r="B15" s="1" t="s">
        <v>54</v>
      </c>
      <c r="C15" s="1">
        <v>8</v>
      </c>
      <c r="D15" s="1">
        <v>2</v>
      </c>
      <c r="E15" s="1">
        <v>3</v>
      </c>
      <c r="F15" s="1">
        <f>SUM(C15:E15)</f>
        <v>13</v>
      </c>
      <c r="G15" s="1">
        <v>3</v>
      </c>
      <c r="H15" s="1">
        <v>15</v>
      </c>
      <c r="I15" s="1">
        <v>5</v>
      </c>
      <c r="J15" s="1">
        <f t="shared" ref="J15:J20" si="2">SUM(H15:I15)</f>
        <v>20</v>
      </c>
    </row>
    <row r="16" spans="2:10" x14ac:dyDescent="0.35">
      <c r="B16" s="1" t="s">
        <v>1442</v>
      </c>
      <c r="C16" s="1">
        <v>0</v>
      </c>
      <c r="D16" s="1">
        <v>0</v>
      </c>
      <c r="E16" s="1">
        <v>0</v>
      </c>
      <c r="F16" s="1">
        <f t="shared" ref="F16:F21" si="3">SUM(C16:E16)</f>
        <v>0</v>
      </c>
      <c r="G16" s="1">
        <v>8</v>
      </c>
      <c r="H16" s="1">
        <v>37</v>
      </c>
      <c r="I16" s="1">
        <v>0</v>
      </c>
      <c r="J16" s="1">
        <f t="shared" si="2"/>
        <v>37</v>
      </c>
    </row>
    <row r="17" spans="2:10" x14ac:dyDescent="0.35">
      <c r="B17" s="1" t="s">
        <v>1443</v>
      </c>
      <c r="C17" s="1">
        <v>0</v>
      </c>
      <c r="D17" s="1">
        <v>0</v>
      </c>
      <c r="E17" s="1">
        <v>0</v>
      </c>
      <c r="F17" s="1">
        <f t="shared" si="3"/>
        <v>0</v>
      </c>
      <c r="G17" s="1">
        <v>10</v>
      </c>
      <c r="H17" s="1">
        <v>22</v>
      </c>
      <c r="I17" s="1">
        <v>0</v>
      </c>
      <c r="J17" s="1">
        <f t="shared" si="2"/>
        <v>22</v>
      </c>
    </row>
    <row r="18" spans="2:10" x14ac:dyDescent="0.35">
      <c r="B18" s="1" t="s">
        <v>1444</v>
      </c>
      <c r="C18" s="1">
        <v>14</v>
      </c>
      <c r="D18" s="1">
        <v>19</v>
      </c>
      <c r="E18" s="1">
        <v>2</v>
      </c>
      <c r="F18" s="1">
        <f t="shared" si="3"/>
        <v>35</v>
      </c>
      <c r="G18" s="1">
        <v>2</v>
      </c>
      <c r="H18" s="1">
        <v>1</v>
      </c>
      <c r="I18" s="1">
        <v>2</v>
      </c>
      <c r="J18" s="1">
        <f t="shared" si="2"/>
        <v>3</v>
      </c>
    </row>
    <row r="19" spans="2:10" x14ac:dyDescent="0.35">
      <c r="B19" s="1" t="s">
        <v>1445</v>
      </c>
      <c r="C19" s="1">
        <v>21</v>
      </c>
      <c r="D19" s="1">
        <v>16</v>
      </c>
      <c r="E19" s="1">
        <v>6</v>
      </c>
      <c r="F19" s="1">
        <f t="shared" si="3"/>
        <v>43</v>
      </c>
      <c r="G19" s="1">
        <v>4</v>
      </c>
      <c r="H19" s="1">
        <v>1</v>
      </c>
      <c r="I19" s="1">
        <v>8</v>
      </c>
      <c r="J19" s="1">
        <f t="shared" si="2"/>
        <v>9</v>
      </c>
    </row>
    <row r="20" spans="2:10" x14ac:dyDescent="0.35">
      <c r="B20" s="1" t="s">
        <v>1446</v>
      </c>
      <c r="C20" s="1">
        <v>6</v>
      </c>
      <c r="D20" s="1">
        <v>11</v>
      </c>
      <c r="E20" s="1">
        <v>3</v>
      </c>
      <c r="F20" s="1">
        <f t="shared" si="3"/>
        <v>20</v>
      </c>
      <c r="G20" s="1">
        <v>16</v>
      </c>
      <c r="H20" s="1">
        <v>0</v>
      </c>
      <c r="I20" s="1">
        <v>0</v>
      </c>
      <c r="J20" s="1">
        <f t="shared" si="2"/>
        <v>0</v>
      </c>
    </row>
    <row r="21" spans="2:10" x14ac:dyDescent="0.35">
      <c r="B21" s="1" t="s">
        <v>1426</v>
      </c>
      <c r="C21" s="1">
        <f>SUM(C15:C20)</f>
        <v>49</v>
      </c>
      <c r="D21" s="1">
        <f>SUM(D15:D20)</f>
        <v>48</v>
      </c>
      <c r="E21" s="1">
        <f>SUM(E15:E20)</f>
        <v>14</v>
      </c>
      <c r="F21" s="1">
        <f t="shared" si="3"/>
        <v>111</v>
      </c>
      <c r="G21" s="1">
        <f>SUM(G15:G20)</f>
        <v>43</v>
      </c>
      <c r="H21" s="1">
        <f>SUM(H15:H20)</f>
        <v>76</v>
      </c>
      <c r="I21" s="1">
        <f>SUM(I15:I20)</f>
        <v>15</v>
      </c>
      <c r="J21" s="1">
        <f>SUM(J15:J20)</f>
        <v>91</v>
      </c>
    </row>
    <row r="23" spans="2:10" x14ac:dyDescent="0.35">
      <c r="B23" s="1"/>
      <c r="C23" s="58" t="s">
        <v>1454</v>
      </c>
      <c r="D23" s="58"/>
      <c r="E23" s="58"/>
      <c r="F23" s="58"/>
      <c r="G23" s="58"/>
      <c r="H23" s="58"/>
      <c r="I23" s="58"/>
      <c r="J23" s="58"/>
    </row>
    <row r="24" spans="2:10" x14ac:dyDescent="0.35">
      <c r="B24" s="1"/>
      <c r="C24" s="58" t="s">
        <v>74</v>
      </c>
      <c r="D24" s="58"/>
      <c r="E24" s="58"/>
      <c r="F24" s="58"/>
      <c r="G24" s="1"/>
      <c r="H24" s="58" t="s">
        <v>59</v>
      </c>
      <c r="I24" s="58"/>
      <c r="J24" s="58"/>
    </row>
    <row r="25" spans="2:10" x14ac:dyDescent="0.35">
      <c r="B25" s="1" t="s">
        <v>0</v>
      </c>
      <c r="C25" s="1" t="s">
        <v>51</v>
      </c>
      <c r="D25" s="1" t="s">
        <v>49</v>
      </c>
      <c r="E25" s="1" t="s">
        <v>48</v>
      </c>
      <c r="F25" s="1" t="s">
        <v>1451</v>
      </c>
      <c r="G25" s="1" t="s">
        <v>68</v>
      </c>
      <c r="H25" s="1" t="s">
        <v>52</v>
      </c>
      <c r="I25" s="1" t="s">
        <v>50</v>
      </c>
      <c r="J25" s="1" t="s">
        <v>1452</v>
      </c>
    </row>
    <row r="26" spans="2:10" x14ac:dyDescent="0.35">
      <c r="B26" s="1" t="s">
        <v>54</v>
      </c>
      <c r="C26" s="1">
        <f>C4-C15</f>
        <v>-6</v>
      </c>
      <c r="D26" s="1">
        <f t="shared" ref="D26:J26" si="4">D4-D15</f>
        <v>-1</v>
      </c>
      <c r="E26" s="1">
        <f t="shared" si="4"/>
        <v>-3</v>
      </c>
      <c r="F26" s="1">
        <f t="shared" si="4"/>
        <v>-10</v>
      </c>
      <c r="G26" s="1">
        <f t="shared" si="4"/>
        <v>-3</v>
      </c>
      <c r="H26" s="1">
        <f t="shared" si="4"/>
        <v>6</v>
      </c>
      <c r="I26" s="1">
        <f t="shared" si="4"/>
        <v>6</v>
      </c>
      <c r="J26" s="1">
        <f t="shared" si="4"/>
        <v>12</v>
      </c>
    </row>
    <row r="27" spans="2:10" x14ac:dyDescent="0.35">
      <c r="B27" s="1" t="s">
        <v>1442</v>
      </c>
      <c r="C27" s="1">
        <f t="shared" ref="C27:J27" si="5">C5-C16</f>
        <v>0</v>
      </c>
      <c r="D27" s="1">
        <f t="shared" si="5"/>
        <v>0</v>
      </c>
      <c r="E27" s="1">
        <f t="shared" si="5"/>
        <v>1</v>
      </c>
      <c r="F27" s="1">
        <f t="shared" si="5"/>
        <v>1</v>
      </c>
      <c r="G27" s="1">
        <f t="shared" si="5"/>
        <v>-7</v>
      </c>
      <c r="H27" s="1">
        <f t="shared" si="5"/>
        <v>0</v>
      </c>
      <c r="I27" s="1">
        <f t="shared" si="5"/>
        <v>6</v>
      </c>
      <c r="J27" s="1">
        <f t="shared" si="5"/>
        <v>6</v>
      </c>
    </row>
    <row r="28" spans="2:10" x14ac:dyDescent="0.35">
      <c r="B28" s="1" t="s">
        <v>1443</v>
      </c>
      <c r="C28" s="1">
        <f t="shared" ref="C28:J28" si="6">C6-C17</f>
        <v>0</v>
      </c>
      <c r="D28" s="1">
        <f t="shared" si="6"/>
        <v>0</v>
      </c>
      <c r="E28" s="1">
        <f t="shared" si="6"/>
        <v>0</v>
      </c>
      <c r="F28" s="1">
        <f t="shared" si="6"/>
        <v>0</v>
      </c>
      <c r="G28" s="1">
        <f t="shared" si="6"/>
        <v>-10</v>
      </c>
      <c r="H28" s="1">
        <f t="shared" si="6"/>
        <v>5</v>
      </c>
      <c r="I28" s="1">
        <f t="shared" si="6"/>
        <v>5</v>
      </c>
      <c r="J28" s="1">
        <f t="shared" si="6"/>
        <v>10</v>
      </c>
    </row>
    <row r="29" spans="2:10" x14ac:dyDescent="0.35">
      <c r="B29" s="1" t="s">
        <v>1444</v>
      </c>
      <c r="C29" s="1">
        <f t="shared" ref="C29:J29" si="7">C7-C18</f>
        <v>-7</v>
      </c>
      <c r="D29" s="1">
        <f t="shared" si="7"/>
        <v>0</v>
      </c>
      <c r="E29" s="1">
        <f t="shared" si="7"/>
        <v>-1</v>
      </c>
      <c r="F29" s="1">
        <f t="shared" si="7"/>
        <v>-8</v>
      </c>
      <c r="G29" s="1">
        <f t="shared" si="7"/>
        <v>0</v>
      </c>
      <c r="H29" s="1">
        <f t="shared" si="7"/>
        <v>6</v>
      </c>
      <c r="I29" s="1">
        <f t="shared" si="7"/>
        <v>2</v>
      </c>
      <c r="J29" s="1">
        <f t="shared" si="7"/>
        <v>8</v>
      </c>
    </row>
    <row r="30" spans="2:10" x14ac:dyDescent="0.35">
      <c r="B30" s="1" t="s">
        <v>1445</v>
      </c>
      <c r="C30" s="1">
        <f t="shared" ref="C30:J30" si="8">C8-C19</f>
        <v>-9</v>
      </c>
      <c r="D30" s="1">
        <f t="shared" si="8"/>
        <v>-1</v>
      </c>
      <c r="E30" s="1">
        <f t="shared" si="8"/>
        <v>-1</v>
      </c>
      <c r="F30" s="1">
        <f t="shared" si="8"/>
        <v>-11</v>
      </c>
      <c r="G30" s="1">
        <f t="shared" si="8"/>
        <v>-2</v>
      </c>
      <c r="H30" s="1">
        <f t="shared" si="8"/>
        <v>9</v>
      </c>
      <c r="I30" s="1">
        <f t="shared" si="8"/>
        <v>4</v>
      </c>
      <c r="J30" s="1">
        <f t="shared" si="8"/>
        <v>13</v>
      </c>
    </row>
    <row r="31" spans="2:10" x14ac:dyDescent="0.35">
      <c r="B31" s="1" t="s">
        <v>1446</v>
      </c>
      <c r="C31" s="1">
        <f t="shared" ref="C31:J31" si="9">C9-C20</f>
        <v>-2</v>
      </c>
      <c r="D31" s="1">
        <f t="shared" si="9"/>
        <v>1</v>
      </c>
      <c r="E31" s="1">
        <f t="shared" si="9"/>
        <v>-2</v>
      </c>
      <c r="F31" s="1">
        <f t="shared" si="9"/>
        <v>-3</v>
      </c>
      <c r="G31" s="1">
        <f t="shared" si="9"/>
        <v>-2</v>
      </c>
      <c r="H31" s="1">
        <f t="shared" si="9"/>
        <v>3</v>
      </c>
      <c r="I31" s="1">
        <f t="shared" si="9"/>
        <v>2</v>
      </c>
      <c r="J31" s="1">
        <f t="shared" si="9"/>
        <v>5</v>
      </c>
    </row>
    <row r="32" spans="2:10" x14ac:dyDescent="0.35">
      <c r="B32" s="1" t="s">
        <v>1426</v>
      </c>
      <c r="C32" s="1">
        <f t="shared" ref="C32:J32" si="10">C10-C21</f>
        <v>-24</v>
      </c>
      <c r="D32" s="1">
        <f t="shared" si="10"/>
        <v>-1</v>
      </c>
      <c r="E32" s="1">
        <f t="shared" si="10"/>
        <v>-6</v>
      </c>
      <c r="F32" s="1">
        <f t="shared" si="10"/>
        <v>-31</v>
      </c>
      <c r="G32" s="1">
        <f t="shared" si="10"/>
        <v>-24</v>
      </c>
      <c r="H32" s="1">
        <f t="shared" si="10"/>
        <v>29</v>
      </c>
      <c r="I32" s="1">
        <f t="shared" si="10"/>
        <v>25</v>
      </c>
      <c r="J32" s="1">
        <f t="shared" si="10"/>
        <v>54</v>
      </c>
    </row>
  </sheetData>
  <mergeCells count="9">
    <mergeCell ref="C24:F24"/>
    <mergeCell ref="H24:J24"/>
    <mergeCell ref="C2:F2"/>
    <mergeCell ref="H2:J2"/>
    <mergeCell ref="C1:J1"/>
    <mergeCell ref="C12:J12"/>
    <mergeCell ref="C13:F13"/>
    <mergeCell ref="H13:J13"/>
    <mergeCell ref="C23:J2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C228E-7003-474B-80BE-9D19CCE66694}">
  <dimension ref="A2:AZ57"/>
  <sheetViews>
    <sheetView zoomScale="103" workbookViewId="0">
      <pane xSplit="3" ySplit="2" topLeftCell="AC36" activePane="bottomRight" state="frozen"/>
      <selection pane="topRight" activeCell="D1" sqref="D1"/>
      <selection pane="bottomLeft" activeCell="A2" sqref="A2"/>
      <selection pane="bottomRight" activeCell="AH50" sqref="AH50"/>
    </sheetView>
  </sheetViews>
  <sheetFormatPr defaultRowHeight="14.5" x14ac:dyDescent="0.35"/>
  <cols>
    <col min="1" max="1" width="8.08984375" bestFit="1" customWidth="1"/>
    <col min="2" max="2" width="20" bestFit="1" customWidth="1"/>
    <col min="3" max="3" width="19" bestFit="1" customWidth="1"/>
    <col min="4" max="4" width="39.90625" bestFit="1" customWidth="1"/>
    <col min="5" max="5" width="8.54296875" bestFit="1" customWidth="1"/>
    <col min="6" max="6" width="3.90625" bestFit="1" customWidth="1"/>
    <col min="7" max="7" width="6.6328125" bestFit="1" customWidth="1"/>
    <col min="8" max="8" width="5.90625" bestFit="1" customWidth="1"/>
    <col min="9" max="9" width="8.81640625" bestFit="1" customWidth="1"/>
    <col min="10" max="10" width="43.1796875" bestFit="1" customWidth="1"/>
    <col min="11" max="11" width="5.08984375" bestFit="1" customWidth="1"/>
    <col min="12" max="12" width="3.90625" bestFit="1" customWidth="1"/>
    <col min="13" max="13" width="6.6328125" bestFit="1" customWidth="1"/>
    <col min="14" max="14" width="5.90625" bestFit="1" customWidth="1"/>
    <col min="15" max="15" width="8.81640625" bestFit="1" customWidth="1"/>
    <col min="16" max="16" width="42.54296875" bestFit="1" customWidth="1"/>
    <col min="17" max="17" width="8.54296875" bestFit="1" customWidth="1"/>
    <col min="18" max="18" width="3.90625" bestFit="1" customWidth="1"/>
    <col min="19" max="19" width="6.6328125" bestFit="1" customWidth="1"/>
    <col min="20" max="20" width="5.90625" bestFit="1" customWidth="1"/>
    <col min="21" max="21" width="8.81640625" bestFit="1" customWidth="1"/>
    <col min="22" max="22" width="24.81640625" bestFit="1" customWidth="1"/>
    <col min="23" max="23" width="6.1796875" bestFit="1" customWidth="1"/>
    <col min="24" max="24" width="3.90625" bestFit="1" customWidth="1"/>
    <col min="25" max="25" width="5" bestFit="1" customWidth="1"/>
    <col min="26" max="26" width="7.08984375" bestFit="1" customWidth="1"/>
    <col min="27" max="27" width="8.81640625" bestFit="1" customWidth="1"/>
    <col min="28" max="28" width="27.81640625" bestFit="1" customWidth="1"/>
    <col min="29" max="29" width="6.1796875" bestFit="1" customWidth="1"/>
    <col min="30" max="30" width="3.90625" bestFit="1" customWidth="1"/>
    <col min="31" max="31" width="5.6328125" bestFit="1" customWidth="1"/>
    <col min="32" max="32" width="6.81640625" bestFit="1" customWidth="1"/>
    <col min="33" max="33" width="8.81640625" customWidth="1"/>
    <col min="34" max="34" width="8.36328125" bestFit="1" customWidth="1"/>
    <col min="35" max="35" width="8.453125" bestFit="1" customWidth="1"/>
    <col min="36" max="36" width="6" bestFit="1" customWidth="1"/>
    <col min="37" max="37" width="6.1796875" bestFit="1" customWidth="1"/>
    <col min="38" max="38" width="12" bestFit="1" customWidth="1"/>
    <col min="39" max="39" width="14.36328125" bestFit="1" customWidth="1"/>
    <col min="40" max="40" width="11" bestFit="1" customWidth="1"/>
    <col min="41" max="41" width="9.453125" bestFit="1" customWidth="1"/>
    <col min="42" max="43" width="6" bestFit="1" customWidth="1"/>
    <col min="44" max="44" width="5" bestFit="1" customWidth="1"/>
    <col min="45" max="45" width="6" bestFit="1" customWidth="1"/>
    <col min="46" max="46" width="7" style="7" bestFit="1" customWidth="1"/>
    <col min="47" max="47" width="8.54296875" style="6" bestFit="1" customWidth="1"/>
    <col min="48" max="48" width="12" bestFit="1" customWidth="1"/>
    <col min="49" max="49" width="10.36328125" bestFit="1" customWidth="1"/>
  </cols>
  <sheetData>
    <row r="2" spans="1:52" x14ac:dyDescent="0.35">
      <c r="A2" s="4" t="s">
        <v>0</v>
      </c>
      <c r="B2" s="4" t="s">
        <v>1408</v>
      </c>
      <c r="C2" s="4" t="s">
        <v>1409</v>
      </c>
      <c r="D2" s="4" t="s">
        <v>1410</v>
      </c>
      <c r="E2" s="4" t="s">
        <v>1400</v>
      </c>
      <c r="F2" s="4" t="s">
        <v>1402</v>
      </c>
      <c r="G2" s="4" t="s">
        <v>1403</v>
      </c>
      <c r="H2" s="4" t="s">
        <v>1404</v>
      </c>
      <c r="I2" s="4" t="s">
        <v>1424</v>
      </c>
      <c r="J2" s="4" t="s">
        <v>1410</v>
      </c>
      <c r="K2" s="4" t="s">
        <v>1400</v>
      </c>
      <c r="L2" s="4" t="s">
        <v>1402</v>
      </c>
      <c r="M2" s="4" t="s">
        <v>1403</v>
      </c>
      <c r="N2" s="4" t="s">
        <v>1404</v>
      </c>
      <c r="O2" s="4" t="s">
        <v>1424</v>
      </c>
      <c r="P2" s="4" t="s">
        <v>1410</v>
      </c>
      <c r="Q2" s="4" t="s">
        <v>1400</v>
      </c>
      <c r="R2" s="4" t="s">
        <v>1402</v>
      </c>
      <c r="S2" s="4" t="s">
        <v>1403</v>
      </c>
      <c r="T2" s="4" t="s">
        <v>1404</v>
      </c>
      <c r="U2" s="4" t="s">
        <v>1424</v>
      </c>
      <c r="V2" s="4" t="s">
        <v>1410</v>
      </c>
      <c r="W2" s="4" t="s">
        <v>1400</v>
      </c>
      <c r="X2" s="4" t="s">
        <v>1402</v>
      </c>
      <c r="Y2" s="4" t="s">
        <v>1403</v>
      </c>
      <c r="Z2" s="4" t="s">
        <v>1404</v>
      </c>
      <c r="AA2" s="4" t="s">
        <v>1424</v>
      </c>
      <c r="AB2" s="4" t="s">
        <v>1410</v>
      </c>
      <c r="AC2" s="4" t="s">
        <v>1400</v>
      </c>
      <c r="AD2" s="4" t="s">
        <v>1402</v>
      </c>
      <c r="AE2" s="4" t="s">
        <v>1403</v>
      </c>
      <c r="AF2" s="4" t="s">
        <v>1404</v>
      </c>
      <c r="AG2" s="4" t="s">
        <v>1424</v>
      </c>
      <c r="AH2" s="1" t="s">
        <v>1412</v>
      </c>
      <c r="AI2" s="1" t="s">
        <v>1413</v>
      </c>
      <c r="AJ2" s="1" t="s">
        <v>1414</v>
      </c>
      <c r="AK2" s="1" t="s">
        <v>1415</v>
      </c>
      <c r="AL2" s="1" t="s">
        <v>1416</v>
      </c>
      <c r="AM2" s="1" t="s">
        <v>1417</v>
      </c>
      <c r="AN2" s="1" t="s">
        <v>1418</v>
      </c>
      <c r="AO2" s="1" t="s">
        <v>1419</v>
      </c>
      <c r="AP2" s="1" t="s">
        <v>1420</v>
      </c>
      <c r="AQ2" s="1" t="s">
        <v>1421</v>
      </c>
      <c r="AR2" s="1" t="s">
        <v>1422</v>
      </c>
      <c r="AS2" s="1" t="s">
        <v>1423</v>
      </c>
      <c r="AT2" s="21" t="s">
        <v>1433</v>
      </c>
      <c r="AU2" s="22" t="s">
        <v>1434</v>
      </c>
      <c r="AV2" s="4" t="s">
        <v>1436</v>
      </c>
      <c r="AW2" s="4" t="s">
        <v>1437</v>
      </c>
      <c r="AX2" s="4" t="s">
        <v>1427</v>
      </c>
      <c r="AY2" s="4" t="s">
        <v>1429</v>
      </c>
      <c r="AZ2" s="4" t="s">
        <v>1428</v>
      </c>
    </row>
    <row r="3" spans="1:52" x14ac:dyDescent="0.35">
      <c r="A3" s="1" t="s">
        <v>260</v>
      </c>
      <c r="B3" s="1" t="s">
        <v>261</v>
      </c>
      <c r="C3" s="1" t="s">
        <v>262</v>
      </c>
      <c r="D3" s="1"/>
      <c r="E3" s="1"/>
      <c r="F3" s="1"/>
      <c r="G3" s="1"/>
      <c r="H3" s="1"/>
      <c r="I3" s="1"/>
      <c r="J3" s="1" t="s">
        <v>263</v>
      </c>
      <c r="K3" s="1" t="s">
        <v>68</v>
      </c>
      <c r="L3" s="1">
        <v>60</v>
      </c>
      <c r="M3" s="1" t="s">
        <v>65</v>
      </c>
      <c r="N3" s="1" t="s">
        <v>61</v>
      </c>
      <c r="O3" s="1">
        <v>8003</v>
      </c>
      <c r="P3" s="1" t="s">
        <v>265</v>
      </c>
      <c r="Q3" s="1" t="s">
        <v>52</v>
      </c>
      <c r="R3" s="1">
        <v>58</v>
      </c>
      <c r="S3" s="1" t="s">
        <v>65</v>
      </c>
      <c r="T3" s="1" t="s">
        <v>61</v>
      </c>
      <c r="U3" s="1">
        <v>14043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>
        <v>36492</v>
      </c>
      <c r="AI3" s="1">
        <v>33777</v>
      </c>
      <c r="AJ3" s="1">
        <v>325</v>
      </c>
      <c r="AK3" s="1">
        <v>33</v>
      </c>
      <c r="AL3" s="1">
        <v>15</v>
      </c>
      <c r="AM3" s="1">
        <v>11</v>
      </c>
      <c r="AN3" s="1">
        <v>0</v>
      </c>
      <c r="AO3" s="1">
        <v>2331</v>
      </c>
      <c r="AP3" s="9">
        <v>0.9256001315356791</v>
      </c>
      <c r="AQ3" s="9">
        <v>8.906061602543024E-3</v>
      </c>
      <c r="AR3" s="9">
        <v>9.0430779348898386E-4</v>
      </c>
      <c r="AS3" s="9">
        <v>6.4589499068288939E-2</v>
      </c>
      <c r="AT3" s="23">
        <v>22046</v>
      </c>
      <c r="AU3" s="24">
        <v>60.4</v>
      </c>
      <c r="AV3" s="1" t="s">
        <v>52</v>
      </c>
      <c r="AW3" s="1">
        <f>U3-O3-I3</f>
        <v>6040</v>
      </c>
      <c r="AX3" s="9">
        <f>I3/AT3</f>
        <v>0</v>
      </c>
      <c r="AY3" s="9">
        <f>O3/AT3</f>
        <v>0.36301369863013699</v>
      </c>
      <c r="AZ3" s="9">
        <f>U3/AT3</f>
        <v>0.63698630136986301</v>
      </c>
    </row>
    <row r="4" spans="1:52" x14ac:dyDescent="0.35">
      <c r="A4" s="1" t="s">
        <v>260</v>
      </c>
      <c r="B4" s="1" t="s">
        <v>261</v>
      </c>
      <c r="C4" s="1" t="s">
        <v>268</v>
      </c>
      <c r="D4" s="1"/>
      <c r="E4" s="1"/>
      <c r="F4" s="1"/>
      <c r="G4" s="1"/>
      <c r="H4" s="1"/>
      <c r="I4" s="1"/>
      <c r="J4" s="1" t="s">
        <v>271</v>
      </c>
      <c r="K4" s="1" t="s">
        <v>68</v>
      </c>
      <c r="L4" s="1">
        <v>41</v>
      </c>
      <c r="M4" s="1" t="s">
        <v>65</v>
      </c>
      <c r="N4" s="1" t="s">
        <v>61</v>
      </c>
      <c r="O4" s="1">
        <v>6518</v>
      </c>
      <c r="P4" s="1" t="s">
        <v>269</v>
      </c>
      <c r="Q4" s="1" t="s">
        <v>52</v>
      </c>
      <c r="R4" s="1">
        <v>69</v>
      </c>
      <c r="S4" s="1" t="s">
        <v>65</v>
      </c>
      <c r="T4" s="1" t="s">
        <v>61</v>
      </c>
      <c r="U4" s="1">
        <v>15890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>
        <v>38198</v>
      </c>
      <c r="AI4" s="1">
        <v>35326</v>
      </c>
      <c r="AJ4" s="1">
        <v>744</v>
      </c>
      <c r="AK4" s="1">
        <v>98</v>
      </c>
      <c r="AL4" s="1">
        <v>23</v>
      </c>
      <c r="AM4" s="1">
        <v>18</v>
      </c>
      <c r="AN4" s="1">
        <v>8</v>
      </c>
      <c r="AO4" s="1">
        <v>1981</v>
      </c>
      <c r="AP4" s="9">
        <v>0.9248128174249961</v>
      </c>
      <c r="AQ4" s="9">
        <v>1.947745955285617E-2</v>
      </c>
      <c r="AR4" s="9">
        <v>2.5655793497041729E-3</v>
      </c>
      <c r="AS4" s="9">
        <v>5.3144143672443585E-2</v>
      </c>
      <c r="AT4" s="23">
        <v>22408</v>
      </c>
      <c r="AU4" s="24">
        <v>58.7</v>
      </c>
      <c r="AV4" s="1" t="s">
        <v>52</v>
      </c>
      <c r="AW4" s="1">
        <f t="shared" ref="AW4:AW47" si="0">U4-O4-I4</f>
        <v>9372</v>
      </c>
      <c r="AX4" s="9">
        <f t="shared" ref="AX4:AX48" si="1">I4/AT4</f>
        <v>0</v>
      </c>
      <c r="AY4" s="9">
        <f t="shared" ref="AY4:AY48" si="2">O4/AT4</f>
        <v>0.29087825776508391</v>
      </c>
      <c r="AZ4" s="9">
        <f t="shared" ref="AZ4:AZ48" si="3">U4/AT4</f>
        <v>0.70912174223491609</v>
      </c>
    </row>
    <row r="5" spans="1:52" x14ac:dyDescent="0.35">
      <c r="A5" s="1" t="s">
        <v>260</v>
      </c>
      <c r="B5" s="1" t="s">
        <v>261</v>
      </c>
      <c r="C5" s="1" t="s">
        <v>273</v>
      </c>
      <c r="D5" s="1" t="s">
        <v>274</v>
      </c>
      <c r="E5" s="1" t="s">
        <v>51</v>
      </c>
      <c r="F5" s="1">
        <v>52</v>
      </c>
      <c r="G5" s="1" t="s">
        <v>65</v>
      </c>
      <c r="H5" s="1" t="s">
        <v>61</v>
      </c>
      <c r="I5" s="1">
        <v>5972</v>
      </c>
      <c r="J5" s="1"/>
      <c r="K5" s="1"/>
      <c r="L5" s="1"/>
      <c r="M5" s="1"/>
      <c r="N5" s="1"/>
      <c r="O5" s="1"/>
      <c r="P5" s="1" t="s">
        <v>276</v>
      </c>
      <c r="Q5" s="1" t="s">
        <v>52</v>
      </c>
      <c r="R5" s="1">
        <v>74</v>
      </c>
      <c r="S5" s="1" t="s">
        <v>65</v>
      </c>
      <c r="T5" s="1" t="s">
        <v>61</v>
      </c>
      <c r="U5" s="1">
        <v>18783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>
        <v>39119</v>
      </c>
      <c r="AI5" s="1">
        <v>37969</v>
      </c>
      <c r="AJ5" s="1">
        <v>938</v>
      </c>
      <c r="AK5" s="1">
        <v>43</v>
      </c>
      <c r="AL5" s="1">
        <v>15</v>
      </c>
      <c r="AM5" s="1">
        <v>9</v>
      </c>
      <c r="AN5" s="1">
        <v>0</v>
      </c>
      <c r="AO5" s="1">
        <v>145</v>
      </c>
      <c r="AP5" s="9">
        <v>0.97060252051432805</v>
      </c>
      <c r="AQ5" s="9">
        <v>2.3978118050052403E-2</v>
      </c>
      <c r="AR5" s="9">
        <v>1.0992101025077328E-3</v>
      </c>
      <c r="AS5" s="9">
        <v>4.3201513331117868E-3</v>
      </c>
      <c r="AT5" s="23">
        <v>24755</v>
      </c>
      <c r="AU5" s="24">
        <v>63.3</v>
      </c>
      <c r="AV5" s="1" t="s">
        <v>52</v>
      </c>
      <c r="AW5" s="1">
        <f t="shared" si="0"/>
        <v>12811</v>
      </c>
      <c r="AX5" s="9">
        <f t="shared" si="1"/>
        <v>0.24124419309230458</v>
      </c>
      <c r="AY5" s="9">
        <f t="shared" si="2"/>
        <v>0</v>
      </c>
      <c r="AZ5" s="9">
        <f t="shared" si="3"/>
        <v>0.7587558069076954</v>
      </c>
    </row>
    <row r="6" spans="1:52" x14ac:dyDescent="0.35">
      <c r="A6" s="1" t="s">
        <v>260</v>
      </c>
      <c r="B6" s="1" t="s">
        <v>261</v>
      </c>
      <c r="C6" s="1" t="s">
        <v>278</v>
      </c>
      <c r="D6" s="1"/>
      <c r="E6" s="1"/>
      <c r="F6" s="1"/>
      <c r="G6" s="1"/>
      <c r="H6" s="1"/>
      <c r="I6" s="1"/>
      <c r="J6" s="1" t="s">
        <v>279</v>
      </c>
      <c r="K6" s="1" t="s">
        <v>68</v>
      </c>
      <c r="L6" s="1">
        <v>45</v>
      </c>
      <c r="M6" s="1" t="s">
        <v>65</v>
      </c>
      <c r="N6" s="1" t="s">
        <v>61</v>
      </c>
      <c r="O6" s="1">
        <v>7395</v>
      </c>
      <c r="P6" s="1" t="s">
        <v>281</v>
      </c>
      <c r="Q6" s="1" t="s">
        <v>52</v>
      </c>
      <c r="R6" s="1">
        <v>53</v>
      </c>
      <c r="S6" s="1" t="s">
        <v>65</v>
      </c>
      <c r="T6" s="1" t="s">
        <v>61</v>
      </c>
      <c r="U6" s="1">
        <v>15522</v>
      </c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>
        <v>36439</v>
      </c>
      <c r="AI6" s="1">
        <v>31620</v>
      </c>
      <c r="AJ6" s="1">
        <v>3462</v>
      </c>
      <c r="AK6" s="1">
        <v>32</v>
      </c>
      <c r="AL6" s="1">
        <v>12</v>
      </c>
      <c r="AM6" s="1">
        <v>11</v>
      </c>
      <c r="AN6" s="1">
        <v>5</v>
      </c>
      <c r="AO6" s="1">
        <v>1297</v>
      </c>
      <c r="AP6" s="9">
        <v>0.86775158484041826</v>
      </c>
      <c r="AQ6" s="9">
        <v>9.5008095721616947E-2</v>
      </c>
      <c r="AR6" s="9">
        <v>8.7817997200801334E-4</v>
      </c>
      <c r="AS6" s="9">
        <v>3.6362139465956803E-2</v>
      </c>
      <c r="AT6" s="23">
        <v>22917</v>
      </c>
      <c r="AU6" s="24">
        <v>62.9</v>
      </c>
      <c r="AV6" s="1" t="s">
        <v>52</v>
      </c>
      <c r="AW6" s="1">
        <f t="shared" si="0"/>
        <v>8127</v>
      </c>
      <c r="AX6" s="9">
        <f t="shared" si="1"/>
        <v>0</v>
      </c>
      <c r="AY6" s="9">
        <f t="shared" si="2"/>
        <v>0.32268621547322945</v>
      </c>
      <c r="AZ6" s="9">
        <f t="shared" si="3"/>
        <v>0.67731378452677049</v>
      </c>
    </row>
    <row r="7" spans="1:52" x14ac:dyDescent="0.35">
      <c r="A7" s="1" t="s">
        <v>260</v>
      </c>
      <c r="B7" s="1" t="s">
        <v>283</v>
      </c>
      <c r="C7" s="1" t="s">
        <v>284</v>
      </c>
      <c r="D7" s="1"/>
      <c r="E7" s="1"/>
      <c r="F7" s="1"/>
      <c r="G7" s="1"/>
      <c r="H7" s="1"/>
      <c r="I7" s="1"/>
      <c r="J7" s="1" t="s">
        <v>287</v>
      </c>
      <c r="K7" s="1" t="s">
        <v>68</v>
      </c>
      <c r="L7" s="1">
        <v>49</v>
      </c>
      <c r="M7" s="1" t="s">
        <v>65</v>
      </c>
      <c r="N7" s="1" t="s">
        <v>61</v>
      </c>
      <c r="O7" s="1">
        <v>4644</v>
      </c>
      <c r="P7" s="1" t="s">
        <v>285</v>
      </c>
      <c r="Q7" s="1" t="s">
        <v>52</v>
      </c>
      <c r="R7" s="1">
        <v>61</v>
      </c>
      <c r="S7" s="1" t="s">
        <v>65</v>
      </c>
      <c r="T7" s="1" t="s">
        <v>61</v>
      </c>
      <c r="U7" s="1">
        <v>14552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>
        <v>30405</v>
      </c>
      <c r="AI7" s="1">
        <v>28974</v>
      </c>
      <c r="AJ7" s="1">
        <v>769</v>
      </c>
      <c r="AK7" s="1">
        <v>20</v>
      </c>
      <c r="AL7" s="1">
        <v>16</v>
      </c>
      <c r="AM7" s="1">
        <v>9</v>
      </c>
      <c r="AN7" s="1">
        <v>1</v>
      </c>
      <c r="AO7" s="1">
        <v>616</v>
      </c>
      <c r="AP7" s="9">
        <v>0.95293537247163296</v>
      </c>
      <c r="AQ7" s="9">
        <v>2.5291892780792632E-2</v>
      </c>
      <c r="AR7" s="9">
        <v>6.57786548265088E-4</v>
      </c>
      <c r="AS7" s="9">
        <v>2.1114948199309324E-2</v>
      </c>
      <c r="AT7" s="23">
        <v>19196</v>
      </c>
      <c r="AU7" s="24">
        <v>63.1</v>
      </c>
      <c r="AV7" s="1" t="s">
        <v>52</v>
      </c>
      <c r="AW7" s="1">
        <f t="shared" si="0"/>
        <v>9908</v>
      </c>
      <c r="AX7" s="9">
        <f t="shared" si="1"/>
        <v>0</v>
      </c>
      <c r="AY7" s="9">
        <f t="shared" si="2"/>
        <v>0.24192540112523442</v>
      </c>
      <c r="AZ7" s="9">
        <f t="shared" si="3"/>
        <v>0.75807459887476558</v>
      </c>
    </row>
    <row r="8" spans="1:52" x14ac:dyDescent="0.35">
      <c r="A8" s="1" t="s">
        <v>260</v>
      </c>
      <c r="B8" s="1" t="s">
        <v>283</v>
      </c>
      <c r="C8" s="1" t="s">
        <v>289</v>
      </c>
      <c r="D8" s="1"/>
      <c r="E8" s="1"/>
      <c r="F8" s="1"/>
      <c r="G8" s="1"/>
      <c r="H8" s="1"/>
      <c r="I8" s="1"/>
      <c r="J8" s="1" t="s">
        <v>290</v>
      </c>
      <c r="K8" s="1" t="s">
        <v>68</v>
      </c>
      <c r="L8" s="1">
        <v>51</v>
      </c>
      <c r="M8" s="1" t="s">
        <v>60</v>
      </c>
      <c r="N8" s="1" t="s">
        <v>61</v>
      </c>
      <c r="O8" s="1">
        <v>5504</v>
      </c>
      <c r="P8" s="1" t="s">
        <v>292</v>
      </c>
      <c r="Q8" s="1" t="s">
        <v>52</v>
      </c>
      <c r="R8" s="1">
        <v>52</v>
      </c>
      <c r="S8" s="1" t="s">
        <v>65</v>
      </c>
      <c r="T8" s="1" t="s">
        <v>61</v>
      </c>
      <c r="U8" s="1">
        <v>16728</v>
      </c>
      <c r="V8" s="1" t="s">
        <v>294</v>
      </c>
      <c r="W8" s="1" t="s">
        <v>64</v>
      </c>
      <c r="X8" s="1">
        <v>71</v>
      </c>
      <c r="Y8" s="1" t="s">
        <v>65</v>
      </c>
      <c r="Z8" s="1" t="s">
        <v>61</v>
      </c>
      <c r="AA8" s="1">
        <v>234</v>
      </c>
      <c r="AB8" s="1"/>
      <c r="AC8" s="1"/>
      <c r="AD8" s="1"/>
      <c r="AE8" s="1"/>
      <c r="AF8" s="1"/>
      <c r="AG8" s="1"/>
      <c r="AH8" s="1">
        <v>34641</v>
      </c>
      <c r="AI8" s="1">
        <v>34158</v>
      </c>
      <c r="AJ8" s="1">
        <v>262</v>
      </c>
      <c r="AK8" s="1">
        <v>22</v>
      </c>
      <c r="AL8" s="1">
        <v>33</v>
      </c>
      <c r="AM8" s="1">
        <v>29</v>
      </c>
      <c r="AN8" s="1">
        <v>1</v>
      </c>
      <c r="AO8" s="1">
        <v>136</v>
      </c>
      <c r="AP8" s="9">
        <v>0.98605698449813806</v>
      </c>
      <c r="AQ8" s="9">
        <v>7.563292052769839E-3</v>
      </c>
      <c r="AR8" s="9">
        <v>6.3508559221731476E-4</v>
      </c>
      <c r="AS8" s="9">
        <v>5.7446378568748015E-3</v>
      </c>
      <c r="AT8" s="23">
        <v>22466</v>
      </c>
      <c r="AU8" s="24">
        <v>64.900000000000006</v>
      </c>
      <c r="AV8" s="1" t="s">
        <v>52</v>
      </c>
      <c r="AW8" s="1">
        <f t="shared" si="0"/>
        <v>11224</v>
      </c>
      <c r="AX8" s="9">
        <f t="shared" si="1"/>
        <v>0</v>
      </c>
      <c r="AY8" s="9">
        <f t="shared" si="2"/>
        <v>0.2449924330098816</v>
      </c>
      <c r="AZ8" s="9">
        <f t="shared" si="3"/>
        <v>0.74459182765067211</v>
      </c>
    </row>
    <row r="9" spans="1:52" x14ac:dyDescent="0.35">
      <c r="A9" s="1" t="s">
        <v>260</v>
      </c>
      <c r="B9" s="1" t="s">
        <v>283</v>
      </c>
      <c r="C9" s="1" t="s">
        <v>296</v>
      </c>
      <c r="D9" s="1" t="s">
        <v>299</v>
      </c>
      <c r="E9" s="1" t="s">
        <v>51</v>
      </c>
      <c r="F9" s="1">
        <v>51</v>
      </c>
      <c r="G9" s="1" t="s">
        <v>65</v>
      </c>
      <c r="H9" s="1" t="s">
        <v>61</v>
      </c>
      <c r="I9" s="1">
        <v>8014</v>
      </c>
      <c r="J9" s="1"/>
      <c r="K9" s="1"/>
      <c r="L9" s="1"/>
      <c r="M9" s="1"/>
      <c r="N9" s="1"/>
      <c r="O9" s="1"/>
      <c r="P9" s="1" t="s">
        <v>297</v>
      </c>
      <c r="Q9" s="1" t="s">
        <v>52</v>
      </c>
      <c r="R9" s="1">
        <v>65</v>
      </c>
      <c r="S9" s="1" t="s">
        <v>65</v>
      </c>
      <c r="T9" s="1" t="s">
        <v>61</v>
      </c>
      <c r="U9" s="1">
        <v>18700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>
        <v>42768</v>
      </c>
      <c r="AI9" s="1">
        <v>41375</v>
      </c>
      <c r="AJ9" s="1">
        <v>943</v>
      </c>
      <c r="AK9" s="1">
        <v>91</v>
      </c>
      <c r="AL9" s="1">
        <v>73</v>
      </c>
      <c r="AM9" s="1">
        <v>41</v>
      </c>
      <c r="AN9" s="1">
        <v>11</v>
      </c>
      <c r="AO9" s="1">
        <v>234</v>
      </c>
      <c r="AP9" s="9">
        <v>0.96742891881780768</v>
      </c>
      <c r="AQ9" s="9">
        <v>2.2049195660306772E-2</v>
      </c>
      <c r="AR9" s="9">
        <v>2.1277590722035165E-3</v>
      </c>
      <c r="AS9" s="9">
        <v>8.3941264496820052E-3</v>
      </c>
      <c r="AT9" s="23">
        <v>26714</v>
      </c>
      <c r="AU9" s="24">
        <v>62.5</v>
      </c>
      <c r="AV9" s="1" t="s">
        <v>52</v>
      </c>
      <c r="AW9" s="1">
        <f t="shared" si="0"/>
        <v>10686</v>
      </c>
      <c r="AX9" s="9">
        <f t="shared" si="1"/>
        <v>0.29999251328891219</v>
      </c>
      <c r="AY9" s="9">
        <f t="shared" si="2"/>
        <v>0</v>
      </c>
      <c r="AZ9" s="9">
        <f t="shared" si="3"/>
        <v>0.70000748671108781</v>
      </c>
    </row>
    <row r="10" spans="1:52" x14ac:dyDescent="0.35">
      <c r="A10" s="1" t="s">
        <v>260</v>
      </c>
      <c r="B10" s="1" t="s">
        <v>300</v>
      </c>
      <c r="C10" s="1" t="s">
        <v>301</v>
      </c>
      <c r="D10" s="1" t="s">
        <v>304</v>
      </c>
      <c r="E10" s="1" t="s">
        <v>48</v>
      </c>
      <c r="F10" s="1">
        <v>48</v>
      </c>
      <c r="G10" s="1" t="s">
        <v>65</v>
      </c>
      <c r="H10" s="1" t="s">
        <v>61</v>
      </c>
      <c r="I10" s="1">
        <v>8936</v>
      </c>
      <c r="J10" s="1"/>
      <c r="K10" s="1"/>
      <c r="L10" s="1"/>
      <c r="M10" s="1"/>
      <c r="N10" s="1"/>
      <c r="O10" s="1"/>
      <c r="P10" s="1" t="s">
        <v>302</v>
      </c>
      <c r="Q10" s="1" t="s">
        <v>52</v>
      </c>
      <c r="R10" s="1">
        <v>59</v>
      </c>
      <c r="S10" s="1" t="s">
        <v>60</v>
      </c>
      <c r="T10" s="1" t="s">
        <v>61</v>
      </c>
      <c r="U10" s="1">
        <v>17529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>
        <v>45579</v>
      </c>
      <c r="AI10" s="1">
        <v>41174</v>
      </c>
      <c r="AJ10" s="1">
        <v>3508</v>
      </c>
      <c r="AK10" s="1">
        <v>192</v>
      </c>
      <c r="AL10" s="1">
        <v>28</v>
      </c>
      <c r="AM10" s="1">
        <v>22</v>
      </c>
      <c r="AN10" s="1">
        <v>2</v>
      </c>
      <c r="AO10" s="1">
        <v>653</v>
      </c>
      <c r="AP10" s="9">
        <v>0.90335461506395487</v>
      </c>
      <c r="AQ10" s="9">
        <v>7.6965269093222752E-2</v>
      </c>
      <c r="AR10" s="9">
        <v>4.2124662673599681E-3</v>
      </c>
      <c r="AS10" s="9">
        <v>1.5467649575462384E-2</v>
      </c>
      <c r="AT10" s="23">
        <v>26465</v>
      </c>
      <c r="AU10" s="24">
        <v>58.1</v>
      </c>
      <c r="AV10" s="1" t="s">
        <v>52</v>
      </c>
      <c r="AW10" s="1">
        <f t="shared" si="0"/>
        <v>8593</v>
      </c>
      <c r="AX10" s="9">
        <f t="shared" si="1"/>
        <v>0.33765350462875499</v>
      </c>
      <c r="AY10" s="9">
        <f t="shared" si="2"/>
        <v>0</v>
      </c>
      <c r="AZ10" s="9">
        <f t="shared" si="3"/>
        <v>0.66234649537124501</v>
      </c>
    </row>
    <row r="11" spans="1:52" x14ac:dyDescent="0.35">
      <c r="A11" s="1" t="s">
        <v>260</v>
      </c>
      <c r="B11" s="1" t="s">
        <v>300</v>
      </c>
      <c r="C11" s="1" t="s">
        <v>306</v>
      </c>
      <c r="D11" s="1" t="s">
        <v>307</v>
      </c>
      <c r="E11" s="1" t="s">
        <v>48</v>
      </c>
      <c r="F11" s="1">
        <v>60</v>
      </c>
      <c r="G11" s="1" t="s">
        <v>60</v>
      </c>
      <c r="H11" s="1" t="s">
        <v>61</v>
      </c>
      <c r="I11" s="1">
        <v>9691</v>
      </c>
      <c r="J11" s="1"/>
      <c r="K11" s="1"/>
      <c r="L11" s="1"/>
      <c r="M11" s="1"/>
      <c r="N11" s="1"/>
      <c r="O11" s="1"/>
      <c r="P11" s="1" t="s">
        <v>313</v>
      </c>
      <c r="Q11" s="1" t="s">
        <v>52</v>
      </c>
      <c r="R11" s="1">
        <v>62</v>
      </c>
      <c r="S11" s="1" t="s">
        <v>65</v>
      </c>
      <c r="T11" s="1" t="s">
        <v>61</v>
      </c>
      <c r="U11" s="1">
        <v>9489</v>
      </c>
      <c r="V11" s="1" t="s">
        <v>311</v>
      </c>
      <c r="W11" s="1" t="s">
        <v>214</v>
      </c>
      <c r="X11" s="1">
        <v>56</v>
      </c>
      <c r="Y11" s="1" t="s">
        <v>65</v>
      </c>
      <c r="Z11" s="1" t="s">
        <v>121</v>
      </c>
      <c r="AA11" s="1">
        <v>126</v>
      </c>
      <c r="AB11" s="1" t="s">
        <v>1439</v>
      </c>
      <c r="AC11" s="1" t="s">
        <v>64</v>
      </c>
      <c r="AD11" s="1"/>
      <c r="AE11" s="1" t="s">
        <v>1440</v>
      </c>
      <c r="AF11" s="1" t="s">
        <v>1441</v>
      </c>
      <c r="AG11" s="1">
        <v>85</v>
      </c>
      <c r="AH11" s="1">
        <v>33043</v>
      </c>
      <c r="AI11" s="1">
        <v>21861</v>
      </c>
      <c r="AJ11" s="1">
        <v>10239</v>
      </c>
      <c r="AK11" s="1">
        <v>498</v>
      </c>
      <c r="AL11" s="1">
        <v>37</v>
      </c>
      <c r="AM11" s="1">
        <v>28</v>
      </c>
      <c r="AN11" s="1">
        <v>1</v>
      </c>
      <c r="AO11" s="1">
        <v>379</v>
      </c>
      <c r="AP11" s="9">
        <v>0.66159247041733493</v>
      </c>
      <c r="AQ11" s="9">
        <v>0.3098689586296644</v>
      </c>
      <c r="AR11" s="9">
        <v>1.50712707683927E-2</v>
      </c>
      <c r="AS11" s="9">
        <v>1.3467300184607935E-2</v>
      </c>
      <c r="AT11" s="23">
        <v>19391</v>
      </c>
      <c r="AU11" s="24">
        <v>58.7</v>
      </c>
      <c r="AV11" s="1" t="s">
        <v>48</v>
      </c>
      <c r="AW11" s="1">
        <f t="shared" si="0"/>
        <v>-202</v>
      </c>
      <c r="AX11" s="9">
        <f t="shared" si="1"/>
        <v>0.49976793357743282</v>
      </c>
      <c r="AY11" s="9">
        <f t="shared" si="2"/>
        <v>0</v>
      </c>
      <c r="AZ11" s="9">
        <f t="shared" si="3"/>
        <v>0.48935072971997318</v>
      </c>
    </row>
    <row r="12" spans="1:52" x14ac:dyDescent="0.35">
      <c r="A12" s="1" t="s">
        <v>260</v>
      </c>
      <c r="B12" s="1" t="s">
        <v>300</v>
      </c>
      <c r="C12" s="1" t="s">
        <v>315</v>
      </c>
      <c r="D12" s="1"/>
      <c r="E12" s="1"/>
      <c r="F12" s="1"/>
      <c r="G12" s="1"/>
      <c r="H12" s="1"/>
      <c r="I12" s="1"/>
      <c r="J12" s="1" t="s">
        <v>316</v>
      </c>
      <c r="K12" s="1" t="s">
        <v>68</v>
      </c>
      <c r="L12" s="1">
        <v>66</v>
      </c>
      <c r="M12" s="1" t="s">
        <v>65</v>
      </c>
      <c r="N12" s="1" t="s">
        <v>61</v>
      </c>
      <c r="O12" s="1">
        <v>8277</v>
      </c>
      <c r="P12" s="1" t="s">
        <v>318</v>
      </c>
      <c r="Q12" s="1" t="s">
        <v>52</v>
      </c>
      <c r="R12" s="1">
        <v>59</v>
      </c>
      <c r="S12" s="1" t="s">
        <v>65</v>
      </c>
      <c r="T12" s="1" t="s">
        <v>61</v>
      </c>
      <c r="U12" s="1">
        <v>13887</v>
      </c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>
        <v>36844</v>
      </c>
      <c r="AI12" s="1">
        <v>34543</v>
      </c>
      <c r="AJ12" s="1">
        <v>1904</v>
      </c>
      <c r="AK12" s="1">
        <v>171</v>
      </c>
      <c r="AL12" s="1">
        <v>16</v>
      </c>
      <c r="AM12" s="1">
        <v>15</v>
      </c>
      <c r="AN12" s="1">
        <v>0</v>
      </c>
      <c r="AO12" s="1">
        <v>195</v>
      </c>
      <c r="AP12" s="9">
        <v>0.93754749755726852</v>
      </c>
      <c r="AQ12" s="9">
        <v>5.1677342308109872E-2</v>
      </c>
      <c r="AR12" s="9">
        <v>4.641189881663229E-3</v>
      </c>
      <c r="AS12" s="9">
        <v>6.1339702529584197E-3</v>
      </c>
      <c r="AT12" s="23">
        <v>22164</v>
      </c>
      <c r="AU12" s="24">
        <v>60.2</v>
      </c>
      <c r="AV12" s="1" t="s">
        <v>52</v>
      </c>
      <c r="AW12" s="1">
        <f t="shared" si="0"/>
        <v>5610</v>
      </c>
      <c r="AX12" s="9">
        <f t="shared" si="1"/>
        <v>0</v>
      </c>
      <c r="AY12" s="9">
        <f t="shared" si="2"/>
        <v>0.37344342176502437</v>
      </c>
      <c r="AZ12" s="9">
        <f t="shared" si="3"/>
        <v>0.62655657823497568</v>
      </c>
    </row>
    <row r="13" spans="1:52" x14ac:dyDescent="0.35">
      <c r="A13" s="1" t="s">
        <v>260</v>
      </c>
      <c r="B13" s="1" t="s">
        <v>320</v>
      </c>
      <c r="C13" s="1" t="s">
        <v>321</v>
      </c>
      <c r="D13" s="1"/>
      <c r="E13" s="1"/>
      <c r="F13" s="1"/>
      <c r="G13" s="1"/>
      <c r="H13" s="1"/>
      <c r="I13" s="1"/>
      <c r="J13" s="1" t="s">
        <v>326</v>
      </c>
      <c r="K13" s="1" t="s">
        <v>68</v>
      </c>
      <c r="L13" s="1">
        <v>45</v>
      </c>
      <c r="M13" s="1" t="s">
        <v>65</v>
      </c>
      <c r="N13" s="1" t="s">
        <v>61</v>
      </c>
      <c r="O13" s="1">
        <v>6514</v>
      </c>
      <c r="P13" s="1" t="s">
        <v>324</v>
      </c>
      <c r="Q13" s="1" t="s">
        <v>52</v>
      </c>
      <c r="R13" s="1">
        <v>52</v>
      </c>
      <c r="S13" s="1" t="s">
        <v>65</v>
      </c>
      <c r="T13" s="1" t="s">
        <v>61</v>
      </c>
      <c r="U13" s="1">
        <v>12360</v>
      </c>
      <c r="V13" s="1" t="s">
        <v>322</v>
      </c>
      <c r="W13" s="1" t="s">
        <v>64</v>
      </c>
      <c r="X13" s="1">
        <v>45</v>
      </c>
      <c r="Y13" s="1" t="s">
        <v>65</v>
      </c>
      <c r="Z13" s="1" t="s">
        <v>61</v>
      </c>
      <c r="AA13" s="1">
        <v>1086</v>
      </c>
      <c r="AB13" s="1"/>
      <c r="AC13" s="1"/>
      <c r="AD13" s="1"/>
      <c r="AE13" s="1"/>
      <c r="AF13" s="1"/>
      <c r="AG13" s="1"/>
      <c r="AH13" s="1">
        <v>31768</v>
      </c>
      <c r="AI13" s="1">
        <v>31080</v>
      </c>
      <c r="AJ13" s="1">
        <v>507</v>
      </c>
      <c r="AK13" s="1">
        <v>8</v>
      </c>
      <c r="AL13" s="1">
        <v>14</v>
      </c>
      <c r="AM13" s="1">
        <v>5</v>
      </c>
      <c r="AN13" s="1">
        <v>3</v>
      </c>
      <c r="AO13" s="1">
        <v>151</v>
      </c>
      <c r="AP13" s="9">
        <v>0.97834298665323594</v>
      </c>
      <c r="AQ13" s="9">
        <v>1.5959456056408965E-2</v>
      </c>
      <c r="AR13" s="9">
        <v>2.518257365902795E-4</v>
      </c>
      <c r="AS13" s="9">
        <v>5.445731553764795E-3</v>
      </c>
      <c r="AT13" s="23">
        <v>19960</v>
      </c>
      <c r="AU13" s="24">
        <v>62.8</v>
      </c>
      <c r="AV13" s="1" t="s">
        <v>52</v>
      </c>
      <c r="AW13" s="1">
        <f t="shared" si="0"/>
        <v>5846</v>
      </c>
      <c r="AX13" s="9">
        <f t="shared" si="1"/>
        <v>0</v>
      </c>
      <c r="AY13" s="9">
        <f t="shared" si="2"/>
        <v>0.32635270541082162</v>
      </c>
      <c r="AZ13" s="9">
        <f t="shared" si="3"/>
        <v>0.61923847695390777</v>
      </c>
    </row>
    <row r="14" spans="1:52" x14ac:dyDescent="0.35">
      <c r="A14" s="1" t="s">
        <v>260</v>
      </c>
      <c r="B14" s="1" t="s">
        <v>320</v>
      </c>
      <c r="C14" s="1" t="s">
        <v>328</v>
      </c>
      <c r="D14" s="1" t="s">
        <v>329</v>
      </c>
      <c r="E14" s="1" t="s">
        <v>48</v>
      </c>
      <c r="F14" s="1">
        <v>61</v>
      </c>
      <c r="G14" s="1" t="s">
        <v>65</v>
      </c>
      <c r="H14" s="1" t="s">
        <v>61</v>
      </c>
      <c r="I14" s="1">
        <v>5416</v>
      </c>
      <c r="J14" s="1"/>
      <c r="K14" s="1"/>
      <c r="L14" s="1"/>
      <c r="M14" s="1"/>
      <c r="N14" s="1"/>
      <c r="O14" s="1"/>
      <c r="P14" s="1" t="s">
        <v>331</v>
      </c>
      <c r="Q14" s="1" t="s">
        <v>52</v>
      </c>
      <c r="R14" s="1">
        <v>58</v>
      </c>
      <c r="S14" s="1" t="s">
        <v>65</v>
      </c>
      <c r="T14" s="1" t="s">
        <v>61</v>
      </c>
      <c r="U14" s="1">
        <v>13077</v>
      </c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>
        <v>33007</v>
      </c>
      <c r="AI14" s="1">
        <v>31455</v>
      </c>
      <c r="AJ14" s="1">
        <v>1304</v>
      </c>
      <c r="AK14" s="1">
        <v>41</v>
      </c>
      <c r="AL14" s="1">
        <v>20</v>
      </c>
      <c r="AM14" s="1">
        <v>9</v>
      </c>
      <c r="AN14" s="1">
        <v>1</v>
      </c>
      <c r="AO14" s="1">
        <v>177</v>
      </c>
      <c r="AP14" s="9">
        <v>0.95297967097888325</v>
      </c>
      <c r="AQ14" s="9">
        <v>3.9506771290938283E-2</v>
      </c>
      <c r="AR14" s="9">
        <v>1.2421607537795012E-3</v>
      </c>
      <c r="AS14" s="9">
        <v>6.2713969763989455E-3</v>
      </c>
      <c r="AT14" s="23">
        <v>18493</v>
      </c>
      <c r="AU14" s="24">
        <v>56</v>
      </c>
      <c r="AV14" s="1" t="s">
        <v>52</v>
      </c>
      <c r="AW14" s="1">
        <f t="shared" si="0"/>
        <v>7661</v>
      </c>
      <c r="AX14" s="9">
        <f t="shared" si="1"/>
        <v>0.29286757151354564</v>
      </c>
      <c r="AY14" s="9">
        <f t="shared" si="2"/>
        <v>0</v>
      </c>
      <c r="AZ14" s="9">
        <f t="shared" si="3"/>
        <v>0.7071324284864543</v>
      </c>
    </row>
    <row r="15" spans="1:52" x14ac:dyDescent="0.35">
      <c r="A15" s="1" t="s">
        <v>260</v>
      </c>
      <c r="B15" s="1" t="s">
        <v>320</v>
      </c>
      <c r="C15" s="1" t="s">
        <v>333</v>
      </c>
      <c r="D15" s="1"/>
      <c r="E15" s="1"/>
      <c r="F15" s="1"/>
      <c r="G15" s="1"/>
      <c r="H15" s="1"/>
      <c r="I15" s="1"/>
      <c r="J15" s="1" t="s">
        <v>334</v>
      </c>
      <c r="K15" s="1" t="s">
        <v>68</v>
      </c>
      <c r="L15" s="1">
        <v>58</v>
      </c>
      <c r="M15" s="1" t="s">
        <v>65</v>
      </c>
      <c r="N15" s="1" t="s">
        <v>61</v>
      </c>
      <c r="O15" s="1">
        <v>4106</v>
      </c>
      <c r="P15" s="1" t="s">
        <v>336</v>
      </c>
      <c r="Q15" s="1" t="s">
        <v>52</v>
      </c>
      <c r="R15" s="1">
        <v>59</v>
      </c>
      <c r="S15" s="1" t="s">
        <v>65</v>
      </c>
      <c r="T15" s="1" t="s">
        <v>61</v>
      </c>
      <c r="U15" s="1">
        <v>13260</v>
      </c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>
        <v>29980</v>
      </c>
      <c r="AI15" s="1">
        <v>29666</v>
      </c>
      <c r="AJ15" s="1">
        <v>32</v>
      </c>
      <c r="AK15" s="1">
        <v>9</v>
      </c>
      <c r="AL15" s="1">
        <v>12</v>
      </c>
      <c r="AM15" s="1">
        <v>5</v>
      </c>
      <c r="AN15" s="1">
        <v>0</v>
      </c>
      <c r="AO15" s="1">
        <v>256</v>
      </c>
      <c r="AP15" s="9">
        <v>0.98952635090060037</v>
      </c>
      <c r="AQ15" s="9">
        <v>1.067378252168112E-3</v>
      </c>
      <c r="AR15" s="9">
        <v>3.002001334222815E-4</v>
      </c>
      <c r="AS15" s="9">
        <v>9.1060707138092053E-3</v>
      </c>
      <c r="AT15" s="23">
        <v>17366</v>
      </c>
      <c r="AU15" s="24">
        <v>57.9</v>
      </c>
      <c r="AV15" s="1" t="s">
        <v>52</v>
      </c>
      <c r="AW15" s="1">
        <f t="shared" si="0"/>
        <v>9154</v>
      </c>
      <c r="AX15" s="9">
        <f t="shared" si="1"/>
        <v>0</v>
      </c>
      <c r="AY15" s="9">
        <f t="shared" si="2"/>
        <v>0.23643901877231371</v>
      </c>
      <c r="AZ15" s="9">
        <f t="shared" si="3"/>
        <v>0.76356098122768623</v>
      </c>
    </row>
    <row r="16" spans="1:52" x14ac:dyDescent="0.35">
      <c r="A16" s="1" t="s">
        <v>260</v>
      </c>
      <c r="B16" s="1" t="s">
        <v>338</v>
      </c>
      <c r="C16" s="1" t="s">
        <v>339</v>
      </c>
      <c r="D16" s="1" t="s">
        <v>342</v>
      </c>
      <c r="E16" s="1" t="s">
        <v>51</v>
      </c>
      <c r="F16" s="1">
        <v>34</v>
      </c>
      <c r="G16" s="1" t="s">
        <v>65</v>
      </c>
      <c r="H16" s="1" t="s">
        <v>61</v>
      </c>
      <c r="I16" s="1">
        <v>4203</v>
      </c>
      <c r="J16" s="1"/>
      <c r="K16" s="1"/>
      <c r="L16" s="1"/>
      <c r="M16" s="1"/>
      <c r="N16" s="1"/>
      <c r="O16" s="1"/>
      <c r="P16" s="1" t="s">
        <v>340</v>
      </c>
      <c r="Q16" s="1" t="s">
        <v>52</v>
      </c>
      <c r="R16" s="1">
        <v>55</v>
      </c>
      <c r="S16" s="1" t="s">
        <v>65</v>
      </c>
      <c r="T16" s="1" t="s">
        <v>61</v>
      </c>
      <c r="U16" s="1">
        <v>12202</v>
      </c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>
        <v>29111</v>
      </c>
      <c r="AI16" s="1">
        <v>27674</v>
      </c>
      <c r="AJ16" s="1">
        <v>1303</v>
      </c>
      <c r="AK16" s="1">
        <v>11</v>
      </c>
      <c r="AL16" s="1">
        <v>11</v>
      </c>
      <c r="AM16" s="1">
        <v>12</v>
      </c>
      <c r="AN16" s="1">
        <v>1</v>
      </c>
      <c r="AO16" s="1">
        <v>99</v>
      </c>
      <c r="AP16" s="9">
        <v>0.95063721617258079</v>
      </c>
      <c r="AQ16" s="9">
        <v>4.4759712823331389E-2</v>
      </c>
      <c r="AR16" s="9">
        <v>3.7786403764899866E-4</v>
      </c>
      <c r="AS16" s="9">
        <v>4.2252069664388036E-3</v>
      </c>
      <c r="AT16" s="23">
        <v>16405</v>
      </c>
      <c r="AU16" s="24">
        <v>56.4</v>
      </c>
      <c r="AV16" s="1" t="s">
        <v>52</v>
      </c>
      <c r="AW16" s="1">
        <f t="shared" si="0"/>
        <v>7999</v>
      </c>
      <c r="AX16" s="9">
        <f t="shared" si="1"/>
        <v>0.2562023773239866</v>
      </c>
      <c r="AY16" s="9">
        <f t="shared" si="2"/>
        <v>0</v>
      </c>
      <c r="AZ16" s="9">
        <f t="shared" si="3"/>
        <v>0.74379762267601346</v>
      </c>
    </row>
    <row r="17" spans="1:52" x14ac:dyDescent="0.35">
      <c r="A17" s="1" t="s">
        <v>260</v>
      </c>
      <c r="B17" s="1" t="s">
        <v>338</v>
      </c>
      <c r="C17" s="1" t="s">
        <v>344</v>
      </c>
      <c r="D17" s="1"/>
      <c r="E17" s="1"/>
      <c r="F17" s="1"/>
      <c r="G17" s="1"/>
      <c r="H17" s="1"/>
      <c r="I17" s="1"/>
      <c r="J17" s="1" t="s">
        <v>345</v>
      </c>
      <c r="K17" s="1" t="s">
        <v>68</v>
      </c>
      <c r="L17" s="1">
        <v>45</v>
      </c>
      <c r="M17" s="1" t="s">
        <v>65</v>
      </c>
      <c r="N17" s="1" t="s">
        <v>61</v>
      </c>
      <c r="O17" s="1">
        <v>6448</v>
      </c>
      <c r="P17" s="1" t="s">
        <v>347</v>
      </c>
      <c r="Q17" s="1" t="s">
        <v>52</v>
      </c>
      <c r="R17" s="1">
        <v>51</v>
      </c>
      <c r="S17" s="1" t="s">
        <v>65</v>
      </c>
      <c r="T17" s="1" t="s">
        <v>61</v>
      </c>
      <c r="U17" s="1">
        <v>11557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>
        <v>36081</v>
      </c>
      <c r="AI17" s="1">
        <v>34992</v>
      </c>
      <c r="AJ17" s="1">
        <v>423</v>
      </c>
      <c r="AK17" s="1">
        <v>32</v>
      </c>
      <c r="AL17" s="1">
        <v>23</v>
      </c>
      <c r="AM17" s="1">
        <v>11</v>
      </c>
      <c r="AN17" s="1">
        <v>2</v>
      </c>
      <c r="AO17" s="1">
        <v>598</v>
      </c>
      <c r="AP17" s="9">
        <v>0.96981790970316784</v>
      </c>
      <c r="AQ17" s="9">
        <v>1.1723621850835619E-2</v>
      </c>
      <c r="AR17" s="9">
        <v>8.8689337878661897E-4</v>
      </c>
      <c r="AS17" s="9">
        <v>1.7571575067209889E-2</v>
      </c>
      <c r="AT17" s="23">
        <v>18005</v>
      </c>
      <c r="AU17" s="24">
        <v>49.9</v>
      </c>
      <c r="AV17" s="1" t="s">
        <v>52</v>
      </c>
      <c r="AW17" s="1">
        <f t="shared" si="0"/>
        <v>5109</v>
      </c>
      <c r="AX17" s="9">
        <f t="shared" si="1"/>
        <v>0</v>
      </c>
      <c r="AY17" s="9">
        <f t="shared" si="2"/>
        <v>0.35812274368231045</v>
      </c>
      <c r="AZ17" s="9">
        <f t="shared" si="3"/>
        <v>0.64187725631768955</v>
      </c>
    </row>
    <row r="18" spans="1:52" x14ac:dyDescent="0.35">
      <c r="A18" s="1" t="s">
        <v>260</v>
      </c>
      <c r="B18" s="1" t="s">
        <v>338</v>
      </c>
      <c r="C18" s="1" t="s">
        <v>349</v>
      </c>
      <c r="D18" s="1"/>
      <c r="E18" s="1"/>
      <c r="F18" s="1"/>
      <c r="G18" s="1"/>
      <c r="H18" s="1"/>
      <c r="I18" s="1"/>
      <c r="J18" s="1" t="s">
        <v>350</v>
      </c>
      <c r="K18" s="1" t="s">
        <v>68</v>
      </c>
      <c r="L18" s="1">
        <v>48</v>
      </c>
      <c r="M18" s="1" t="s">
        <v>65</v>
      </c>
      <c r="N18" s="1" t="s">
        <v>61</v>
      </c>
      <c r="O18" s="1">
        <v>6747</v>
      </c>
      <c r="P18" s="1" t="s">
        <v>352</v>
      </c>
      <c r="Q18" s="1" t="s">
        <v>52</v>
      </c>
      <c r="R18" s="1">
        <v>53</v>
      </c>
      <c r="S18" s="1" t="s">
        <v>65</v>
      </c>
      <c r="T18" s="1" t="s">
        <v>61</v>
      </c>
      <c r="U18" s="1">
        <v>10606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>
        <v>28834</v>
      </c>
      <c r="AI18" s="1">
        <v>28207</v>
      </c>
      <c r="AJ18" s="1">
        <v>90</v>
      </c>
      <c r="AK18" s="1">
        <v>25</v>
      </c>
      <c r="AL18" s="1">
        <v>32</v>
      </c>
      <c r="AM18" s="1">
        <v>24</v>
      </c>
      <c r="AN18" s="1">
        <v>0</v>
      </c>
      <c r="AO18" s="1">
        <v>456</v>
      </c>
      <c r="AP18" s="9">
        <v>0.97825483803842683</v>
      </c>
      <c r="AQ18" s="9">
        <v>3.1213151141014079E-3</v>
      </c>
      <c r="AR18" s="9">
        <v>8.6703197613928007E-4</v>
      </c>
      <c r="AS18" s="9">
        <v>1.7756814871332453E-2</v>
      </c>
      <c r="AT18" s="23">
        <v>17353</v>
      </c>
      <c r="AU18" s="24">
        <v>60.2</v>
      </c>
      <c r="AV18" s="1" t="s">
        <v>52</v>
      </c>
      <c r="AW18" s="1">
        <f t="shared" si="0"/>
        <v>3859</v>
      </c>
      <c r="AX18" s="9">
        <f t="shared" si="1"/>
        <v>0</v>
      </c>
      <c r="AY18" s="9">
        <f t="shared" si="2"/>
        <v>0.38880885149541866</v>
      </c>
      <c r="AZ18" s="9">
        <f t="shared" si="3"/>
        <v>0.61119114850458134</v>
      </c>
    </row>
    <row r="19" spans="1:52" x14ac:dyDescent="0.35">
      <c r="A19" s="1" t="s">
        <v>260</v>
      </c>
      <c r="B19" s="1" t="s">
        <v>354</v>
      </c>
      <c r="C19" s="1" t="s">
        <v>355</v>
      </c>
      <c r="D19" s="1"/>
      <c r="E19" s="1"/>
      <c r="F19" s="1"/>
      <c r="G19" s="1"/>
      <c r="H19" s="1"/>
      <c r="I19" s="1"/>
      <c r="J19" s="1" t="s">
        <v>358</v>
      </c>
      <c r="K19" s="1" t="s">
        <v>68</v>
      </c>
      <c r="L19" s="1">
        <v>41</v>
      </c>
      <c r="M19" s="1" t="s">
        <v>65</v>
      </c>
      <c r="N19" s="1" t="s">
        <v>61</v>
      </c>
      <c r="O19" s="1">
        <v>6433</v>
      </c>
      <c r="P19" s="1" t="s">
        <v>356</v>
      </c>
      <c r="Q19" s="1" t="s">
        <v>52</v>
      </c>
      <c r="R19" s="1">
        <v>44</v>
      </c>
      <c r="S19" s="1" t="s">
        <v>65</v>
      </c>
      <c r="T19" s="1" t="s">
        <v>61</v>
      </c>
      <c r="U19" s="1">
        <v>15893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>
        <v>36294</v>
      </c>
      <c r="AI19" s="1">
        <v>35607</v>
      </c>
      <c r="AJ19" s="1">
        <v>530</v>
      </c>
      <c r="AK19" s="1">
        <v>28</v>
      </c>
      <c r="AL19" s="1">
        <v>15</v>
      </c>
      <c r="AM19" s="1">
        <v>14</v>
      </c>
      <c r="AN19" s="1">
        <v>0</v>
      </c>
      <c r="AO19" s="1">
        <v>100</v>
      </c>
      <c r="AP19" s="9">
        <v>0.98107125144652008</v>
      </c>
      <c r="AQ19" s="9">
        <v>1.4602964677357139E-2</v>
      </c>
      <c r="AR19" s="9">
        <v>7.7147737918113182E-4</v>
      </c>
      <c r="AS19" s="9">
        <v>3.5543064969416433E-3</v>
      </c>
      <c r="AT19" s="23">
        <v>22326</v>
      </c>
      <c r="AU19" s="24">
        <v>61.5</v>
      </c>
      <c r="AV19" s="1" t="s">
        <v>52</v>
      </c>
      <c r="AW19" s="1">
        <f t="shared" si="0"/>
        <v>9460</v>
      </c>
      <c r="AX19" s="9">
        <f t="shared" si="1"/>
        <v>0</v>
      </c>
      <c r="AY19" s="9">
        <f t="shared" si="2"/>
        <v>0.28813938905312192</v>
      </c>
      <c r="AZ19" s="9">
        <f t="shared" si="3"/>
        <v>0.71186061094687803</v>
      </c>
    </row>
    <row r="20" spans="1:52" x14ac:dyDescent="0.35">
      <c r="A20" s="1" t="s">
        <v>260</v>
      </c>
      <c r="B20" s="1" t="s">
        <v>354</v>
      </c>
      <c r="C20" s="1" t="s">
        <v>360</v>
      </c>
      <c r="D20" s="1" t="s">
        <v>363</v>
      </c>
      <c r="E20" s="1" t="s">
        <v>51</v>
      </c>
      <c r="F20" s="1">
        <v>38</v>
      </c>
      <c r="G20" s="1" t="s">
        <v>60</v>
      </c>
      <c r="H20" s="1" t="s">
        <v>61</v>
      </c>
      <c r="I20" s="1">
        <v>5440</v>
      </c>
      <c r="J20" s="1"/>
      <c r="K20" s="1"/>
      <c r="L20" s="1"/>
      <c r="M20" s="1"/>
      <c r="N20" s="1"/>
      <c r="O20" s="1"/>
      <c r="P20" s="1" t="s">
        <v>361</v>
      </c>
      <c r="Q20" s="1" t="s">
        <v>52</v>
      </c>
      <c r="R20" s="1">
        <v>61</v>
      </c>
      <c r="S20" s="1" t="s">
        <v>65</v>
      </c>
      <c r="T20" s="1" t="s">
        <v>61</v>
      </c>
      <c r="U20" s="1">
        <v>17814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>
        <v>37498</v>
      </c>
      <c r="AI20" s="1">
        <v>36760</v>
      </c>
      <c r="AJ20" s="1">
        <v>451</v>
      </c>
      <c r="AK20" s="1">
        <v>46</v>
      </c>
      <c r="AL20" s="1">
        <v>18</v>
      </c>
      <c r="AM20" s="1">
        <v>23</v>
      </c>
      <c r="AN20" s="1">
        <v>3</v>
      </c>
      <c r="AO20" s="1">
        <v>197</v>
      </c>
      <c r="AP20" s="9">
        <v>0.98031895034401839</v>
      </c>
      <c r="AQ20" s="9">
        <v>1.2027308123099899E-2</v>
      </c>
      <c r="AR20" s="9">
        <v>1.2267320923782601E-3</v>
      </c>
      <c r="AS20" s="9">
        <v>6.4270094405034939E-3</v>
      </c>
      <c r="AT20" s="23">
        <v>23254</v>
      </c>
      <c r="AU20" s="24">
        <v>62</v>
      </c>
      <c r="AV20" s="1" t="s">
        <v>52</v>
      </c>
      <c r="AW20" s="1">
        <f t="shared" si="0"/>
        <v>12374</v>
      </c>
      <c r="AX20" s="9">
        <f t="shared" si="1"/>
        <v>0.2339382471832803</v>
      </c>
      <c r="AY20" s="9">
        <f t="shared" si="2"/>
        <v>0</v>
      </c>
      <c r="AZ20" s="9">
        <f t="shared" si="3"/>
        <v>0.76606175281671973</v>
      </c>
    </row>
    <row r="21" spans="1:52" x14ac:dyDescent="0.35">
      <c r="A21" s="1" t="s">
        <v>260</v>
      </c>
      <c r="B21" s="1" t="s">
        <v>354</v>
      </c>
      <c r="C21" s="1" t="s">
        <v>365</v>
      </c>
      <c r="D21" s="1" t="s">
        <v>368</v>
      </c>
      <c r="E21" s="1" t="s">
        <v>48</v>
      </c>
      <c r="F21" s="1">
        <v>70</v>
      </c>
      <c r="G21" s="1" t="s">
        <v>65</v>
      </c>
      <c r="H21" s="1" t="s">
        <v>61</v>
      </c>
      <c r="I21" s="1">
        <v>6098</v>
      </c>
      <c r="J21" s="1"/>
      <c r="K21" s="1"/>
      <c r="L21" s="1"/>
      <c r="M21" s="1"/>
      <c r="N21" s="1"/>
      <c r="O21" s="1"/>
      <c r="P21" s="1" t="s">
        <v>366</v>
      </c>
      <c r="Q21" s="1" t="s">
        <v>52</v>
      </c>
      <c r="R21" s="1">
        <v>47</v>
      </c>
      <c r="S21" s="1" t="s">
        <v>65</v>
      </c>
      <c r="T21" s="1" t="s">
        <v>61</v>
      </c>
      <c r="U21" s="1">
        <v>18683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>
        <v>40561</v>
      </c>
      <c r="AI21" s="1">
        <v>38960</v>
      </c>
      <c r="AJ21" s="1">
        <v>1280</v>
      </c>
      <c r="AK21" s="1">
        <v>100</v>
      </c>
      <c r="AL21" s="1">
        <v>21</v>
      </c>
      <c r="AM21" s="1">
        <v>15</v>
      </c>
      <c r="AN21" s="1">
        <v>0</v>
      </c>
      <c r="AO21" s="1">
        <v>185</v>
      </c>
      <c r="AP21" s="9">
        <v>0.96052858657330931</v>
      </c>
      <c r="AQ21" s="9">
        <v>3.1557407361751437E-2</v>
      </c>
      <c r="AR21" s="9">
        <v>2.4654224501368311E-3</v>
      </c>
      <c r="AS21" s="9">
        <v>5.4485836148023964E-3</v>
      </c>
      <c r="AT21" s="23">
        <v>24781</v>
      </c>
      <c r="AU21" s="24">
        <v>61.1</v>
      </c>
      <c r="AV21" s="1" t="s">
        <v>52</v>
      </c>
      <c r="AW21" s="1">
        <f t="shared" si="0"/>
        <v>12585</v>
      </c>
      <c r="AX21" s="9">
        <f t="shared" si="1"/>
        <v>0.24607562245268552</v>
      </c>
      <c r="AY21" s="9">
        <f t="shared" si="2"/>
        <v>0</v>
      </c>
      <c r="AZ21" s="9">
        <f t="shared" si="3"/>
        <v>0.75392437754731445</v>
      </c>
    </row>
    <row r="22" spans="1:52" x14ac:dyDescent="0.35">
      <c r="A22" s="1" t="s">
        <v>260</v>
      </c>
      <c r="B22" s="1" t="s">
        <v>370</v>
      </c>
      <c r="C22" s="1" t="s">
        <v>371</v>
      </c>
      <c r="D22" s="1" t="s">
        <v>374</v>
      </c>
      <c r="E22" s="1" t="s">
        <v>48</v>
      </c>
      <c r="F22" s="1">
        <v>73</v>
      </c>
      <c r="G22" s="1" t="s">
        <v>65</v>
      </c>
      <c r="H22" s="1" t="s">
        <v>61</v>
      </c>
      <c r="I22" s="1">
        <v>5683</v>
      </c>
      <c r="J22" s="1"/>
      <c r="K22" s="1"/>
      <c r="L22" s="1"/>
      <c r="M22" s="1"/>
      <c r="N22" s="1"/>
      <c r="O22" s="1"/>
      <c r="P22" s="1" t="s">
        <v>372</v>
      </c>
      <c r="Q22" s="1" t="s">
        <v>52</v>
      </c>
      <c r="R22" s="1">
        <v>53</v>
      </c>
      <c r="S22" s="1" t="s">
        <v>65</v>
      </c>
      <c r="T22" s="1" t="s">
        <v>61</v>
      </c>
      <c r="U22" s="1">
        <v>21665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>
        <v>43441</v>
      </c>
      <c r="AI22" s="1">
        <v>42904</v>
      </c>
      <c r="AJ22" s="1">
        <v>366</v>
      </c>
      <c r="AK22" s="1">
        <v>12</v>
      </c>
      <c r="AL22" s="1">
        <v>19</v>
      </c>
      <c r="AM22" s="1">
        <v>17</v>
      </c>
      <c r="AN22" s="1">
        <v>0</v>
      </c>
      <c r="AO22" s="1">
        <v>123</v>
      </c>
      <c r="AP22" s="9">
        <v>0.98763840611403975</v>
      </c>
      <c r="AQ22" s="9">
        <v>8.4252204138947073E-3</v>
      </c>
      <c r="AR22" s="9">
        <v>2.7623673488179367E-4</v>
      </c>
      <c r="AS22" s="9">
        <v>3.6601367371837663E-3</v>
      </c>
      <c r="AT22" s="23">
        <v>27348</v>
      </c>
      <c r="AU22" s="24">
        <v>63</v>
      </c>
      <c r="AV22" s="1" t="s">
        <v>52</v>
      </c>
      <c r="AW22" s="1">
        <f t="shared" si="0"/>
        <v>15982</v>
      </c>
      <c r="AX22" s="9">
        <f t="shared" si="1"/>
        <v>0.20780313002778997</v>
      </c>
      <c r="AY22" s="9">
        <f t="shared" si="2"/>
        <v>0</v>
      </c>
      <c r="AZ22" s="9">
        <f t="shared" si="3"/>
        <v>0.79219686997221006</v>
      </c>
    </row>
    <row r="23" spans="1:52" x14ac:dyDescent="0.35">
      <c r="A23" s="1" t="s">
        <v>260</v>
      </c>
      <c r="B23" s="1" t="s">
        <v>370</v>
      </c>
      <c r="C23" s="1" t="s">
        <v>376</v>
      </c>
      <c r="D23" s="1"/>
      <c r="E23" s="1"/>
      <c r="F23" s="1"/>
      <c r="G23" s="1"/>
      <c r="H23" s="1"/>
      <c r="I23" s="1"/>
      <c r="J23" s="1" t="s">
        <v>377</v>
      </c>
      <c r="K23" s="1" t="s">
        <v>68</v>
      </c>
      <c r="L23" s="1">
        <v>64</v>
      </c>
      <c r="M23" s="1" t="s">
        <v>60</v>
      </c>
      <c r="N23" s="1" t="s">
        <v>61</v>
      </c>
      <c r="O23" s="1">
        <v>7330</v>
      </c>
      <c r="P23" s="1" t="s">
        <v>379</v>
      </c>
      <c r="Q23" s="1" t="s">
        <v>52</v>
      </c>
      <c r="R23" s="1">
        <v>59</v>
      </c>
      <c r="S23" s="1" t="s">
        <v>65</v>
      </c>
      <c r="T23" s="1" t="s">
        <v>61</v>
      </c>
      <c r="U23" s="1">
        <v>17779</v>
      </c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>
        <v>40512</v>
      </c>
      <c r="AI23" s="1">
        <v>39469</v>
      </c>
      <c r="AJ23" s="1">
        <v>584</v>
      </c>
      <c r="AK23" s="1">
        <v>17</v>
      </c>
      <c r="AL23" s="1">
        <v>30</v>
      </c>
      <c r="AM23" s="1">
        <v>19</v>
      </c>
      <c r="AN23" s="1">
        <v>5</v>
      </c>
      <c r="AO23" s="1">
        <v>388</v>
      </c>
      <c r="AP23" s="9">
        <v>0.97425454186413907</v>
      </c>
      <c r="AQ23" s="9">
        <v>1.4415481832543445E-2</v>
      </c>
      <c r="AR23" s="9">
        <v>4.1962875197472355E-4</v>
      </c>
      <c r="AS23" s="9">
        <v>1.0910347551342812E-2</v>
      </c>
      <c r="AT23" s="23">
        <v>25109</v>
      </c>
      <c r="AU23" s="24">
        <v>62</v>
      </c>
      <c r="AV23" s="1" t="s">
        <v>52</v>
      </c>
      <c r="AW23" s="1">
        <f t="shared" si="0"/>
        <v>10449</v>
      </c>
      <c r="AX23" s="9">
        <f t="shared" si="1"/>
        <v>0</v>
      </c>
      <c r="AY23" s="9">
        <f t="shared" si="2"/>
        <v>0.29192719741925205</v>
      </c>
      <c r="AZ23" s="9">
        <f t="shared" si="3"/>
        <v>0.7080728025807479</v>
      </c>
    </row>
    <row r="24" spans="1:52" x14ac:dyDescent="0.35">
      <c r="A24" s="1" t="s">
        <v>260</v>
      </c>
      <c r="B24" s="1" t="s">
        <v>370</v>
      </c>
      <c r="C24" s="1" t="s">
        <v>381</v>
      </c>
      <c r="D24" s="1"/>
      <c r="E24" s="1"/>
      <c r="F24" s="1"/>
      <c r="G24" s="1"/>
      <c r="H24" s="1"/>
      <c r="I24" s="1"/>
      <c r="J24" s="1" t="s">
        <v>382</v>
      </c>
      <c r="K24" s="1" t="s">
        <v>68</v>
      </c>
      <c r="L24" s="1">
        <v>53</v>
      </c>
      <c r="M24" s="1" t="s">
        <v>65</v>
      </c>
      <c r="N24" s="1" t="s">
        <v>61</v>
      </c>
      <c r="O24" s="1">
        <v>7277</v>
      </c>
      <c r="P24" s="1" t="s">
        <v>384</v>
      </c>
      <c r="Q24" s="1" t="s">
        <v>52</v>
      </c>
      <c r="R24" s="1">
        <v>55</v>
      </c>
      <c r="S24" s="1" t="s">
        <v>65</v>
      </c>
      <c r="T24" s="1" t="s">
        <v>61</v>
      </c>
      <c r="U24" s="1">
        <v>16885</v>
      </c>
      <c r="V24" s="1" t="s">
        <v>386</v>
      </c>
      <c r="W24" s="1" t="s">
        <v>64</v>
      </c>
      <c r="X24" s="1">
        <v>63</v>
      </c>
      <c r="Y24" s="1" t="s">
        <v>65</v>
      </c>
      <c r="Z24" s="1" t="s">
        <v>61</v>
      </c>
      <c r="AA24" s="1">
        <v>277</v>
      </c>
      <c r="AB24" s="1"/>
      <c r="AC24" s="1"/>
      <c r="AD24" s="1"/>
      <c r="AE24" s="1"/>
      <c r="AF24" s="1"/>
      <c r="AG24" s="1"/>
      <c r="AH24" s="1">
        <v>40012</v>
      </c>
      <c r="AI24" s="1">
        <v>39421</v>
      </c>
      <c r="AJ24" s="1">
        <v>384</v>
      </c>
      <c r="AK24" s="1">
        <v>22</v>
      </c>
      <c r="AL24" s="1">
        <v>25</v>
      </c>
      <c r="AM24" s="1">
        <v>9</v>
      </c>
      <c r="AN24" s="1">
        <v>2</v>
      </c>
      <c r="AO24" s="1">
        <v>149</v>
      </c>
      <c r="AP24" s="9">
        <v>0.98522943117064876</v>
      </c>
      <c r="AQ24" s="9">
        <v>9.5971208637408781E-3</v>
      </c>
      <c r="AR24" s="9">
        <v>5.498350494851544E-4</v>
      </c>
      <c r="AS24" s="9">
        <v>4.6236129161251627E-3</v>
      </c>
      <c r="AT24" s="23">
        <v>24439</v>
      </c>
      <c r="AU24" s="24">
        <v>61.1</v>
      </c>
      <c r="AV24" s="1" t="s">
        <v>52</v>
      </c>
      <c r="AW24" s="1">
        <f t="shared" si="0"/>
        <v>9608</v>
      </c>
      <c r="AX24" s="9">
        <f t="shared" si="1"/>
        <v>0</v>
      </c>
      <c r="AY24" s="9">
        <f t="shared" si="2"/>
        <v>0.29776177421334754</v>
      </c>
      <c r="AZ24" s="9">
        <f t="shared" si="3"/>
        <v>0.69090388313760798</v>
      </c>
    </row>
    <row r="25" spans="1:52" x14ac:dyDescent="0.35">
      <c r="A25" s="1" t="s">
        <v>260</v>
      </c>
      <c r="B25" s="1" t="s">
        <v>388</v>
      </c>
      <c r="C25" s="1" t="s">
        <v>389</v>
      </c>
      <c r="D25" s="1"/>
      <c r="E25" s="1"/>
      <c r="F25" s="1"/>
      <c r="G25" s="1"/>
      <c r="H25" s="1"/>
      <c r="I25" s="1"/>
      <c r="J25" s="1" t="s">
        <v>392</v>
      </c>
      <c r="K25" s="1" t="s">
        <v>68</v>
      </c>
      <c r="L25" s="1">
        <v>63</v>
      </c>
      <c r="M25" s="1" t="s">
        <v>65</v>
      </c>
      <c r="N25" s="1" t="s">
        <v>61</v>
      </c>
      <c r="O25" s="1">
        <v>5405</v>
      </c>
      <c r="P25" s="1" t="s">
        <v>390</v>
      </c>
      <c r="Q25" s="1" t="s">
        <v>52</v>
      </c>
      <c r="R25" s="1">
        <v>49</v>
      </c>
      <c r="S25" s="1" t="s">
        <v>65</v>
      </c>
      <c r="T25" s="1" t="s">
        <v>61</v>
      </c>
      <c r="U25" s="1">
        <v>12688</v>
      </c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>
        <v>28387</v>
      </c>
      <c r="AI25" s="1">
        <v>27596</v>
      </c>
      <c r="AJ25" s="1">
        <v>442</v>
      </c>
      <c r="AK25" s="1">
        <v>19</v>
      </c>
      <c r="AL25" s="1">
        <v>12</v>
      </c>
      <c r="AM25" s="1">
        <v>21</v>
      </c>
      <c r="AN25" s="1">
        <v>1</v>
      </c>
      <c r="AO25" s="1">
        <v>296</v>
      </c>
      <c r="AP25" s="9">
        <v>0.97213513227886006</v>
      </c>
      <c r="AQ25" s="9">
        <v>1.5570507626730545E-2</v>
      </c>
      <c r="AR25" s="9">
        <v>6.6932046359248953E-4</v>
      </c>
      <c r="AS25" s="9">
        <v>1.1625039630816923E-2</v>
      </c>
      <c r="AT25" s="23">
        <v>18093</v>
      </c>
      <c r="AU25" s="24">
        <v>63.7</v>
      </c>
      <c r="AV25" s="1" t="s">
        <v>52</v>
      </c>
      <c r="AW25" s="1">
        <f t="shared" si="0"/>
        <v>7283</v>
      </c>
      <c r="AX25" s="9">
        <f t="shared" si="1"/>
        <v>0</v>
      </c>
      <c r="AY25" s="9">
        <f t="shared" si="2"/>
        <v>0.2987343171392251</v>
      </c>
      <c r="AZ25" s="9">
        <f t="shared" si="3"/>
        <v>0.70126568286077484</v>
      </c>
    </row>
    <row r="26" spans="1:52" x14ac:dyDescent="0.35">
      <c r="A26" s="1" t="s">
        <v>260</v>
      </c>
      <c r="B26" s="1" t="s">
        <v>388</v>
      </c>
      <c r="C26" s="1" t="s">
        <v>394</v>
      </c>
      <c r="D26" s="1" t="s">
        <v>395</v>
      </c>
      <c r="E26" s="1" t="s">
        <v>48</v>
      </c>
      <c r="F26" s="1">
        <v>52</v>
      </c>
      <c r="G26" s="1" t="s">
        <v>65</v>
      </c>
      <c r="H26" s="1" t="s">
        <v>61</v>
      </c>
      <c r="I26" s="1">
        <v>3307</v>
      </c>
      <c r="J26" s="1"/>
      <c r="K26" s="1"/>
      <c r="L26" s="1"/>
      <c r="M26" s="1"/>
      <c r="N26" s="1"/>
      <c r="O26" s="1"/>
      <c r="P26" s="1" t="s">
        <v>397</v>
      </c>
      <c r="Q26" s="1" t="s">
        <v>52</v>
      </c>
      <c r="R26" s="1">
        <v>67</v>
      </c>
      <c r="S26" s="1" t="s">
        <v>65</v>
      </c>
      <c r="T26" s="1" t="s">
        <v>61</v>
      </c>
      <c r="U26" s="1">
        <v>10442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>
        <v>21833</v>
      </c>
      <c r="AI26" s="1">
        <v>21378</v>
      </c>
      <c r="AJ26" s="1">
        <v>312</v>
      </c>
      <c r="AK26" s="1">
        <v>6</v>
      </c>
      <c r="AL26" s="1">
        <v>8</v>
      </c>
      <c r="AM26" s="1">
        <v>14</v>
      </c>
      <c r="AN26" s="1">
        <v>0</v>
      </c>
      <c r="AO26" s="1">
        <v>115</v>
      </c>
      <c r="AP26" s="9">
        <v>0.97915998717537678</v>
      </c>
      <c r="AQ26" s="9">
        <v>1.4290294508313104E-2</v>
      </c>
      <c r="AR26" s="9">
        <v>2.7481335592909815E-4</v>
      </c>
      <c r="AS26" s="9">
        <v>6.2749049603810746E-3</v>
      </c>
      <c r="AT26" s="23">
        <v>13749</v>
      </c>
      <c r="AU26" s="24">
        <v>63</v>
      </c>
      <c r="AV26" s="1" t="s">
        <v>52</v>
      </c>
      <c r="AW26" s="1">
        <f t="shared" si="0"/>
        <v>7135</v>
      </c>
      <c r="AX26" s="9">
        <f t="shared" si="1"/>
        <v>0.24052658375154556</v>
      </c>
      <c r="AY26" s="9">
        <f t="shared" si="2"/>
        <v>0</v>
      </c>
      <c r="AZ26" s="9">
        <f t="shared" si="3"/>
        <v>0.75947341624845444</v>
      </c>
    </row>
    <row r="27" spans="1:52" x14ac:dyDescent="0.35">
      <c r="A27" s="1" t="s">
        <v>260</v>
      </c>
      <c r="B27" s="1" t="s">
        <v>388</v>
      </c>
      <c r="C27" s="1" t="s">
        <v>399</v>
      </c>
      <c r="D27" s="1"/>
      <c r="E27" s="1"/>
      <c r="F27" s="1"/>
      <c r="G27" s="1"/>
      <c r="H27" s="1"/>
      <c r="I27" s="1"/>
      <c r="J27" s="1" t="s">
        <v>400</v>
      </c>
      <c r="K27" s="1" t="s">
        <v>68</v>
      </c>
      <c r="L27" s="1">
        <v>57</v>
      </c>
      <c r="M27" s="1" t="s">
        <v>65</v>
      </c>
      <c r="N27" s="1" t="s">
        <v>61</v>
      </c>
      <c r="O27" s="1">
        <v>7259</v>
      </c>
      <c r="P27" s="1" t="s">
        <v>402</v>
      </c>
      <c r="Q27" s="1" t="s">
        <v>50</v>
      </c>
      <c r="R27" s="1">
        <v>57</v>
      </c>
      <c r="S27" s="1" t="s">
        <v>65</v>
      </c>
      <c r="T27" s="1" t="s">
        <v>61</v>
      </c>
      <c r="U27" s="1">
        <v>15478</v>
      </c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>
        <v>35679</v>
      </c>
      <c r="AI27" s="1">
        <v>34018</v>
      </c>
      <c r="AJ27" s="1">
        <v>881</v>
      </c>
      <c r="AK27" s="1">
        <v>44</v>
      </c>
      <c r="AL27" s="1">
        <v>195</v>
      </c>
      <c r="AM27" s="1">
        <v>382</v>
      </c>
      <c r="AN27" s="1">
        <v>8</v>
      </c>
      <c r="AO27" s="1">
        <v>151</v>
      </c>
      <c r="AP27" s="9">
        <v>0.95344600465259677</v>
      </c>
      <c r="AQ27" s="9">
        <v>2.4692396087334288E-2</v>
      </c>
      <c r="AR27" s="9">
        <v>1.2332184197987612E-3</v>
      </c>
      <c r="AS27" s="9">
        <v>2.0628380840270188E-2</v>
      </c>
      <c r="AT27" s="23">
        <v>22737</v>
      </c>
      <c r="AU27" s="24">
        <v>63.7</v>
      </c>
      <c r="AV27" s="1" t="s">
        <v>50</v>
      </c>
      <c r="AW27" s="1">
        <f t="shared" si="0"/>
        <v>8219</v>
      </c>
      <c r="AX27" s="9">
        <f t="shared" si="1"/>
        <v>0</v>
      </c>
      <c r="AY27" s="9">
        <f t="shared" si="2"/>
        <v>0.31925935699520608</v>
      </c>
      <c r="AZ27" s="9">
        <f t="shared" si="3"/>
        <v>0.68074064300479398</v>
      </c>
    </row>
    <row r="28" spans="1:52" x14ac:dyDescent="0.35">
      <c r="A28" s="1" t="s">
        <v>260</v>
      </c>
      <c r="B28" s="1" t="s">
        <v>404</v>
      </c>
      <c r="C28" s="1" t="s">
        <v>405</v>
      </c>
      <c r="D28" s="1" t="s">
        <v>408</v>
      </c>
      <c r="E28" s="1" t="s">
        <v>48</v>
      </c>
      <c r="F28" s="1">
        <v>55</v>
      </c>
      <c r="G28" s="1" t="s">
        <v>65</v>
      </c>
      <c r="H28" s="1" t="s">
        <v>61</v>
      </c>
      <c r="I28" s="1">
        <v>5954</v>
      </c>
      <c r="J28" s="1"/>
      <c r="K28" s="1"/>
      <c r="L28" s="1"/>
      <c r="M28" s="1"/>
      <c r="N28" s="1"/>
      <c r="O28" s="1"/>
      <c r="P28" s="1" t="s">
        <v>406</v>
      </c>
      <c r="Q28" s="1" t="s">
        <v>52</v>
      </c>
      <c r="R28" s="1">
        <v>61</v>
      </c>
      <c r="S28" s="1" t="s">
        <v>65</v>
      </c>
      <c r="T28" s="1" t="s">
        <v>61</v>
      </c>
      <c r="U28" s="1">
        <v>22582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>
        <v>50237</v>
      </c>
      <c r="AI28" s="1">
        <v>45648</v>
      </c>
      <c r="AJ28" s="1">
        <v>3804</v>
      </c>
      <c r="AK28" s="1">
        <v>78</v>
      </c>
      <c r="AL28" s="1">
        <v>38</v>
      </c>
      <c r="AM28" s="1">
        <v>29</v>
      </c>
      <c r="AN28" s="1">
        <v>3</v>
      </c>
      <c r="AO28" s="1">
        <v>637</v>
      </c>
      <c r="AP28" s="9">
        <v>0.90865298485180246</v>
      </c>
      <c r="AQ28" s="9">
        <v>7.5721082070983534E-2</v>
      </c>
      <c r="AR28" s="9">
        <v>1.5526404841053408E-3</v>
      </c>
      <c r="AS28" s="9">
        <v>1.4073292593108666E-2</v>
      </c>
      <c r="AT28" s="23">
        <v>28536</v>
      </c>
      <c r="AU28" s="24">
        <v>56.8</v>
      </c>
      <c r="AV28" s="1" t="s">
        <v>52</v>
      </c>
      <c r="AW28" s="1">
        <f t="shared" si="0"/>
        <v>16628</v>
      </c>
      <c r="AX28" s="9">
        <f t="shared" si="1"/>
        <v>0.20864872441827867</v>
      </c>
      <c r="AY28" s="9">
        <f t="shared" si="2"/>
        <v>0</v>
      </c>
      <c r="AZ28" s="9">
        <f t="shared" si="3"/>
        <v>0.79135127558172136</v>
      </c>
    </row>
    <row r="29" spans="1:52" x14ac:dyDescent="0.35">
      <c r="A29" s="1" t="s">
        <v>260</v>
      </c>
      <c r="B29" s="1" t="s">
        <v>404</v>
      </c>
      <c r="C29" s="1" t="s">
        <v>410</v>
      </c>
      <c r="D29" s="1"/>
      <c r="E29" s="1"/>
      <c r="F29" s="1"/>
      <c r="G29" s="1"/>
      <c r="H29" s="1"/>
      <c r="I29" s="1"/>
      <c r="J29" s="1" t="s">
        <v>413</v>
      </c>
      <c r="K29" s="1" t="s">
        <v>68</v>
      </c>
      <c r="L29" s="1">
        <v>33</v>
      </c>
      <c r="M29" s="1" t="s">
        <v>65</v>
      </c>
      <c r="N29" s="1" t="s">
        <v>61</v>
      </c>
      <c r="O29" s="1">
        <v>4368</v>
      </c>
      <c r="P29" s="1" t="s">
        <v>411</v>
      </c>
      <c r="Q29" s="1" t="s">
        <v>50</v>
      </c>
      <c r="R29" s="1">
        <v>56</v>
      </c>
      <c r="S29" s="1" t="s">
        <v>65</v>
      </c>
      <c r="T29" s="1" t="s">
        <v>61</v>
      </c>
      <c r="U29" s="1">
        <v>10320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>
        <v>25718</v>
      </c>
      <c r="AI29" s="1">
        <v>25064</v>
      </c>
      <c r="AJ29" s="1">
        <v>169</v>
      </c>
      <c r="AK29" s="1">
        <v>364</v>
      </c>
      <c r="AL29" s="1">
        <v>14</v>
      </c>
      <c r="AM29" s="1">
        <v>12</v>
      </c>
      <c r="AN29" s="1">
        <v>0</v>
      </c>
      <c r="AO29" s="1">
        <v>95</v>
      </c>
      <c r="AP29" s="9">
        <v>0.9745703398398009</v>
      </c>
      <c r="AQ29" s="9">
        <v>6.5712730383389066E-3</v>
      </c>
      <c r="AR29" s="9">
        <v>1.4153511159499184E-2</v>
      </c>
      <c r="AS29" s="9">
        <v>4.704875962360992E-3</v>
      </c>
      <c r="AT29" s="23">
        <v>14688</v>
      </c>
      <c r="AU29" s="24">
        <v>57.1</v>
      </c>
      <c r="AV29" s="1" t="s">
        <v>50</v>
      </c>
      <c r="AW29" s="1">
        <f t="shared" si="0"/>
        <v>5952</v>
      </c>
      <c r="AX29" s="9">
        <f t="shared" si="1"/>
        <v>0</v>
      </c>
      <c r="AY29" s="9">
        <f t="shared" si="2"/>
        <v>0.29738562091503268</v>
      </c>
      <c r="AZ29" s="9">
        <f t="shared" si="3"/>
        <v>0.70261437908496727</v>
      </c>
    </row>
    <row r="30" spans="1:52" x14ac:dyDescent="0.35">
      <c r="A30" s="1" t="s">
        <v>260</v>
      </c>
      <c r="B30" s="1" t="s">
        <v>404</v>
      </c>
      <c r="C30" s="1" t="s">
        <v>415</v>
      </c>
      <c r="D30" s="1"/>
      <c r="E30" s="1"/>
      <c r="F30" s="1"/>
      <c r="G30" s="1"/>
      <c r="H30" s="1"/>
      <c r="I30" s="1"/>
      <c r="J30" s="1" t="s">
        <v>416</v>
      </c>
      <c r="K30" s="1" t="s">
        <v>68</v>
      </c>
      <c r="L30" s="1">
        <v>57</v>
      </c>
      <c r="M30" s="1" t="s">
        <v>65</v>
      </c>
      <c r="N30" s="1" t="s">
        <v>61</v>
      </c>
      <c r="O30" s="1">
        <v>3064</v>
      </c>
      <c r="P30" s="1" t="s">
        <v>418</v>
      </c>
      <c r="Q30" s="1" t="s">
        <v>52</v>
      </c>
      <c r="R30" s="1">
        <v>70</v>
      </c>
      <c r="S30" s="1" t="s">
        <v>65</v>
      </c>
      <c r="T30" s="1" t="s">
        <v>61</v>
      </c>
      <c r="U30" s="1">
        <v>10375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>
        <v>23258</v>
      </c>
      <c r="AI30" s="1">
        <v>22939</v>
      </c>
      <c r="AJ30" s="1">
        <v>51</v>
      </c>
      <c r="AK30" s="1">
        <v>21</v>
      </c>
      <c r="AL30" s="1">
        <v>13</v>
      </c>
      <c r="AM30" s="1">
        <v>15</v>
      </c>
      <c r="AN30" s="1">
        <v>1</v>
      </c>
      <c r="AO30" s="1">
        <v>218</v>
      </c>
      <c r="AP30" s="9">
        <v>0.986284289276808</v>
      </c>
      <c r="AQ30" s="9">
        <v>2.1927938773755266E-3</v>
      </c>
      <c r="AR30" s="9">
        <v>9.0291512597815804E-4</v>
      </c>
      <c r="AS30" s="9">
        <v>1.0620001719838335E-2</v>
      </c>
      <c r="AT30" s="23">
        <v>13439</v>
      </c>
      <c r="AU30" s="24">
        <v>57.8</v>
      </c>
      <c r="AV30" s="1" t="s">
        <v>52</v>
      </c>
      <c r="AW30" s="1">
        <f t="shared" si="0"/>
        <v>7311</v>
      </c>
      <c r="AX30" s="9">
        <f t="shared" si="1"/>
        <v>0</v>
      </c>
      <c r="AY30" s="9">
        <f t="shared" si="2"/>
        <v>0.22799315425254854</v>
      </c>
      <c r="AZ30" s="9">
        <f t="shared" si="3"/>
        <v>0.77200684574745149</v>
      </c>
    </row>
    <row r="31" spans="1:52" x14ac:dyDescent="0.35">
      <c r="A31" s="1" t="s">
        <v>260</v>
      </c>
      <c r="B31" s="1" t="s">
        <v>420</v>
      </c>
      <c r="C31" s="1" t="s">
        <v>421</v>
      </c>
      <c r="D31" s="1"/>
      <c r="E31" s="1"/>
      <c r="F31" s="1"/>
      <c r="G31" s="1"/>
      <c r="H31" s="1"/>
      <c r="I31" s="1"/>
      <c r="J31" s="1" t="s">
        <v>422</v>
      </c>
      <c r="K31" s="1" t="s">
        <v>68</v>
      </c>
      <c r="L31" s="1">
        <v>58</v>
      </c>
      <c r="M31" s="1" t="s">
        <v>65</v>
      </c>
      <c r="N31" s="1" t="s">
        <v>61</v>
      </c>
      <c r="O31" s="1">
        <v>5578</v>
      </c>
      <c r="P31" s="1" t="s">
        <v>424</v>
      </c>
      <c r="Q31" s="1" t="s">
        <v>52</v>
      </c>
      <c r="R31" s="1">
        <v>52</v>
      </c>
      <c r="S31" s="1" t="s">
        <v>65</v>
      </c>
      <c r="T31" s="1" t="s">
        <v>61</v>
      </c>
      <c r="U31" s="1">
        <v>12481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>
        <v>28725</v>
      </c>
      <c r="AI31" s="1">
        <v>28459</v>
      </c>
      <c r="AJ31" s="1">
        <v>120</v>
      </c>
      <c r="AK31" s="1">
        <v>7</v>
      </c>
      <c r="AL31" s="1">
        <v>15</v>
      </c>
      <c r="AM31" s="1">
        <v>10</v>
      </c>
      <c r="AN31" s="1">
        <v>2</v>
      </c>
      <c r="AO31" s="1">
        <v>112</v>
      </c>
      <c r="AP31" s="9">
        <v>0.99073977371627497</v>
      </c>
      <c r="AQ31" s="9">
        <v>4.1775456919060051E-3</v>
      </c>
      <c r="AR31" s="9">
        <v>2.4369016536118364E-4</v>
      </c>
      <c r="AS31" s="9">
        <v>4.8389904264577897E-3</v>
      </c>
      <c r="AT31" s="23">
        <v>18059</v>
      </c>
      <c r="AU31" s="24">
        <v>62.9</v>
      </c>
      <c r="AV31" s="1" t="s">
        <v>52</v>
      </c>
      <c r="AW31" s="1">
        <f t="shared" si="0"/>
        <v>6903</v>
      </c>
      <c r="AX31" s="9">
        <f t="shared" si="1"/>
        <v>0</v>
      </c>
      <c r="AY31" s="9">
        <f t="shared" si="2"/>
        <v>0.30887646049061412</v>
      </c>
      <c r="AZ31" s="9">
        <f t="shared" si="3"/>
        <v>0.69112353950938588</v>
      </c>
    </row>
    <row r="32" spans="1:52" x14ac:dyDescent="0.35">
      <c r="A32" s="1" t="s">
        <v>260</v>
      </c>
      <c r="B32" s="1" t="s">
        <v>420</v>
      </c>
      <c r="C32" s="1" t="s">
        <v>426</v>
      </c>
      <c r="D32" s="1" t="s">
        <v>429</v>
      </c>
      <c r="E32" s="1" t="s">
        <v>51</v>
      </c>
      <c r="F32" s="1">
        <v>58</v>
      </c>
      <c r="G32" s="1" t="s">
        <v>65</v>
      </c>
      <c r="H32" s="1" t="s">
        <v>61</v>
      </c>
      <c r="I32" s="1">
        <v>5603</v>
      </c>
      <c r="J32" s="1"/>
      <c r="K32" s="1"/>
      <c r="L32" s="1"/>
      <c r="M32" s="1"/>
      <c r="N32" s="1"/>
      <c r="O32" s="1"/>
      <c r="P32" s="1" t="s">
        <v>427</v>
      </c>
      <c r="Q32" s="1" t="s">
        <v>52</v>
      </c>
      <c r="R32" s="1">
        <v>51</v>
      </c>
      <c r="S32" s="1" t="s">
        <v>60</v>
      </c>
      <c r="T32" s="1" t="s">
        <v>61</v>
      </c>
      <c r="U32" s="1">
        <v>15183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>
        <v>35393</v>
      </c>
      <c r="AI32" s="1">
        <v>34421</v>
      </c>
      <c r="AJ32" s="1">
        <v>684</v>
      </c>
      <c r="AK32" s="1">
        <v>25</v>
      </c>
      <c r="AL32" s="1">
        <v>23</v>
      </c>
      <c r="AM32" s="1">
        <v>19</v>
      </c>
      <c r="AN32" s="1">
        <v>2</v>
      </c>
      <c r="AO32" s="1">
        <v>219</v>
      </c>
      <c r="AP32" s="9">
        <v>0.97253694233322974</v>
      </c>
      <c r="AQ32" s="9">
        <v>1.9325855395134633E-2</v>
      </c>
      <c r="AR32" s="9">
        <v>7.0635436385725993E-4</v>
      </c>
      <c r="AS32" s="9">
        <v>7.4308479077783741E-3</v>
      </c>
      <c r="AT32" s="23">
        <v>20786</v>
      </c>
      <c r="AU32" s="24">
        <v>58.7</v>
      </c>
      <c r="AV32" s="1" t="s">
        <v>52</v>
      </c>
      <c r="AW32" s="1">
        <f t="shared" si="0"/>
        <v>9580</v>
      </c>
      <c r="AX32" s="9">
        <f t="shared" si="1"/>
        <v>0.26955643221399017</v>
      </c>
      <c r="AY32" s="9">
        <f t="shared" si="2"/>
        <v>0</v>
      </c>
      <c r="AZ32" s="9">
        <f t="shared" si="3"/>
        <v>0.73044356778600983</v>
      </c>
    </row>
    <row r="33" spans="1:52" x14ac:dyDescent="0.35">
      <c r="A33" s="1" t="s">
        <v>260</v>
      </c>
      <c r="B33" s="1" t="s">
        <v>420</v>
      </c>
      <c r="C33" s="1" t="s">
        <v>431</v>
      </c>
      <c r="D33" s="1"/>
      <c r="E33" s="1"/>
      <c r="F33" s="1"/>
      <c r="G33" s="1"/>
      <c r="H33" s="1"/>
      <c r="I33" s="1"/>
      <c r="J33" s="1" t="s">
        <v>434</v>
      </c>
      <c r="K33" s="1" t="s">
        <v>68</v>
      </c>
      <c r="L33" s="1">
        <v>42</v>
      </c>
      <c r="M33" s="1" t="s">
        <v>60</v>
      </c>
      <c r="N33" s="1" t="s">
        <v>61</v>
      </c>
      <c r="O33" s="1">
        <v>5703</v>
      </c>
      <c r="P33" s="1" t="s">
        <v>432</v>
      </c>
      <c r="Q33" s="1" t="s">
        <v>52</v>
      </c>
      <c r="R33" s="1">
        <v>59</v>
      </c>
      <c r="S33" s="1" t="s">
        <v>65</v>
      </c>
      <c r="T33" s="1" t="s">
        <v>61</v>
      </c>
      <c r="U33" s="1">
        <v>11531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>
        <v>26781</v>
      </c>
      <c r="AI33" s="1">
        <v>26103</v>
      </c>
      <c r="AJ33" s="1">
        <v>115</v>
      </c>
      <c r="AK33" s="1">
        <v>9</v>
      </c>
      <c r="AL33" s="1">
        <v>14</v>
      </c>
      <c r="AM33" s="1">
        <v>11</v>
      </c>
      <c r="AN33" s="1">
        <v>0</v>
      </c>
      <c r="AO33" s="1">
        <v>529</v>
      </c>
      <c r="AP33" s="9">
        <v>0.97468354430379744</v>
      </c>
      <c r="AQ33" s="9">
        <v>4.2940890930137036E-3</v>
      </c>
      <c r="AR33" s="9">
        <v>3.3605914640976814E-4</v>
      </c>
      <c r="AS33" s="9">
        <v>2.068630745677906E-2</v>
      </c>
      <c r="AT33" s="23">
        <v>17234</v>
      </c>
      <c r="AU33" s="24">
        <v>64.400000000000006</v>
      </c>
      <c r="AV33" s="1" t="s">
        <v>52</v>
      </c>
      <c r="AW33" s="1">
        <f t="shared" si="0"/>
        <v>5828</v>
      </c>
      <c r="AX33" s="9">
        <f t="shared" si="1"/>
        <v>0</v>
      </c>
      <c r="AY33" s="9">
        <f t="shared" si="2"/>
        <v>0.33091563189044909</v>
      </c>
      <c r="AZ33" s="9">
        <f t="shared" si="3"/>
        <v>0.66908436810955085</v>
      </c>
    </row>
    <row r="34" spans="1:52" x14ac:dyDescent="0.35">
      <c r="A34" s="1" t="s">
        <v>260</v>
      </c>
      <c r="B34" s="1" t="s">
        <v>420</v>
      </c>
      <c r="C34" s="1" t="s">
        <v>436</v>
      </c>
      <c r="D34" s="1"/>
      <c r="E34" s="1"/>
      <c r="F34" s="1"/>
      <c r="G34" s="1"/>
      <c r="H34" s="1"/>
      <c r="I34" s="1"/>
      <c r="J34" s="1" t="s">
        <v>439</v>
      </c>
      <c r="K34" s="1" t="s">
        <v>68</v>
      </c>
      <c r="L34" s="1">
        <v>37</v>
      </c>
      <c r="M34" s="1" t="s">
        <v>65</v>
      </c>
      <c r="N34" s="1" t="s">
        <v>61</v>
      </c>
      <c r="O34" s="1">
        <v>3911</v>
      </c>
      <c r="P34" s="1" t="s">
        <v>437</v>
      </c>
      <c r="Q34" s="1" t="s">
        <v>52</v>
      </c>
      <c r="R34" s="1">
        <v>56</v>
      </c>
      <c r="S34" s="1" t="s">
        <v>65</v>
      </c>
      <c r="T34" s="1" t="s">
        <v>61</v>
      </c>
      <c r="U34" s="1">
        <v>10388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>
        <v>22671</v>
      </c>
      <c r="AI34" s="1">
        <v>22357</v>
      </c>
      <c r="AJ34" s="1">
        <v>67</v>
      </c>
      <c r="AK34" s="1">
        <v>5</v>
      </c>
      <c r="AL34" s="1">
        <v>9</v>
      </c>
      <c r="AM34" s="1">
        <v>10</v>
      </c>
      <c r="AN34" s="1">
        <v>2</v>
      </c>
      <c r="AO34" s="1">
        <v>221</v>
      </c>
      <c r="AP34" s="9">
        <v>0.98614970667372415</v>
      </c>
      <c r="AQ34" s="9">
        <v>2.9553173657977153E-3</v>
      </c>
      <c r="AR34" s="9">
        <v>2.2054607207445636E-4</v>
      </c>
      <c r="AS34" s="9">
        <v>1.0674429888403688E-2</v>
      </c>
      <c r="AT34" s="23">
        <v>14299</v>
      </c>
      <c r="AU34" s="24">
        <v>63.1</v>
      </c>
      <c r="AV34" s="1" t="s">
        <v>52</v>
      </c>
      <c r="AW34" s="1">
        <f t="shared" si="0"/>
        <v>6477</v>
      </c>
      <c r="AX34" s="9">
        <f t="shared" si="1"/>
        <v>0</v>
      </c>
      <c r="AY34" s="9">
        <f t="shared" si="2"/>
        <v>0.27351563046366878</v>
      </c>
      <c r="AZ34" s="9">
        <f t="shared" si="3"/>
        <v>0.72648436953633122</v>
      </c>
    </row>
    <row r="35" spans="1:52" x14ac:dyDescent="0.35">
      <c r="A35" s="1" t="s">
        <v>260</v>
      </c>
      <c r="B35" s="1" t="s">
        <v>441</v>
      </c>
      <c r="C35" s="1" t="s">
        <v>442</v>
      </c>
      <c r="D35" s="1"/>
      <c r="E35" s="1"/>
      <c r="F35" s="1"/>
      <c r="G35" s="1"/>
      <c r="H35" s="1"/>
      <c r="I35" s="1"/>
      <c r="J35" s="1" t="s">
        <v>445</v>
      </c>
      <c r="K35" s="1" t="s">
        <v>68</v>
      </c>
      <c r="L35" s="1">
        <v>27</v>
      </c>
      <c r="M35" s="1" t="s">
        <v>65</v>
      </c>
      <c r="N35" s="1" t="s">
        <v>61</v>
      </c>
      <c r="O35" s="1">
        <v>5599</v>
      </c>
      <c r="P35" s="1" t="s">
        <v>443</v>
      </c>
      <c r="Q35" s="1" t="s">
        <v>52</v>
      </c>
      <c r="R35" s="1">
        <v>57</v>
      </c>
      <c r="S35" s="1" t="s">
        <v>65</v>
      </c>
      <c r="T35" s="1" t="s">
        <v>61</v>
      </c>
      <c r="U35" s="1">
        <v>11636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>
        <v>28169</v>
      </c>
      <c r="AI35" s="1">
        <v>27312</v>
      </c>
      <c r="AJ35" s="1">
        <v>751</v>
      </c>
      <c r="AK35" s="1">
        <v>12</v>
      </c>
      <c r="AL35" s="1">
        <v>12</v>
      </c>
      <c r="AM35" s="1">
        <v>26</v>
      </c>
      <c r="AN35" s="1">
        <v>2</v>
      </c>
      <c r="AO35" s="1">
        <v>54</v>
      </c>
      <c r="AP35" s="9">
        <v>0.96957648478824243</v>
      </c>
      <c r="AQ35" s="9">
        <v>2.6660513330256666E-2</v>
      </c>
      <c r="AR35" s="9">
        <v>4.2600021300010649E-4</v>
      </c>
      <c r="AS35" s="9">
        <v>3.3370016685008341E-3</v>
      </c>
      <c r="AT35" s="23">
        <v>17235</v>
      </c>
      <c r="AU35" s="24">
        <v>61.2</v>
      </c>
      <c r="AV35" s="1" t="s">
        <v>52</v>
      </c>
      <c r="AW35" s="1">
        <f t="shared" si="0"/>
        <v>6037</v>
      </c>
      <c r="AX35" s="9">
        <f t="shared" si="1"/>
        <v>0</v>
      </c>
      <c r="AY35" s="9">
        <f t="shared" si="2"/>
        <v>0.32486219901363506</v>
      </c>
      <c r="AZ35" s="9">
        <f t="shared" si="3"/>
        <v>0.675137800986365</v>
      </c>
    </row>
    <row r="36" spans="1:52" x14ac:dyDescent="0.35">
      <c r="A36" s="1" t="s">
        <v>260</v>
      </c>
      <c r="B36" s="1" t="s">
        <v>441</v>
      </c>
      <c r="C36" s="1" t="s">
        <v>447</v>
      </c>
      <c r="D36" s="1" t="s">
        <v>450</v>
      </c>
      <c r="E36" s="1" t="s">
        <v>48</v>
      </c>
      <c r="F36" s="1">
        <v>62</v>
      </c>
      <c r="G36" s="1" t="s">
        <v>65</v>
      </c>
      <c r="H36" s="1" t="s">
        <v>61</v>
      </c>
      <c r="I36" s="1">
        <v>3967</v>
      </c>
      <c r="J36" s="1"/>
      <c r="K36" s="1"/>
      <c r="L36" s="1"/>
      <c r="M36" s="1"/>
      <c r="N36" s="1"/>
      <c r="O36" s="1"/>
      <c r="P36" s="1" t="s">
        <v>452</v>
      </c>
      <c r="Q36" s="1" t="s">
        <v>52</v>
      </c>
      <c r="R36" s="1">
        <v>56</v>
      </c>
      <c r="S36" s="1" t="s">
        <v>65</v>
      </c>
      <c r="T36" s="1" t="s">
        <v>61</v>
      </c>
      <c r="U36" s="1">
        <v>11446</v>
      </c>
      <c r="V36" s="1" t="s">
        <v>448</v>
      </c>
      <c r="W36" s="1" t="s">
        <v>64</v>
      </c>
      <c r="X36" s="1">
        <v>61</v>
      </c>
      <c r="Y36" s="1" t="s">
        <v>65</v>
      </c>
      <c r="Z36" s="1" t="s">
        <v>61</v>
      </c>
      <c r="AA36" s="1">
        <v>212</v>
      </c>
      <c r="AB36" s="1"/>
      <c r="AC36" s="1"/>
      <c r="AD36" s="1"/>
      <c r="AE36" s="1"/>
      <c r="AF36" s="1"/>
      <c r="AG36" s="1"/>
      <c r="AH36" s="1">
        <v>26012</v>
      </c>
      <c r="AI36" s="1">
        <v>24705</v>
      </c>
      <c r="AJ36" s="1">
        <v>1120</v>
      </c>
      <c r="AK36" s="1">
        <v>75</v>
      </c>
      <c r="AL36" s="1">
        <v>12</v>
      </c>
      <c r="AM36" s="1">
        <v>15</v>
      </c>
      <c r="AN36" s="1">
        <v>1</v>
      </c>
      <c r="AO36" s="1">
        <v>84</v>
      </c>
      <c r="AP36" s="9">
        <v>0.94975395971090271</v>
      </c>
      <c r="AQ36" s="9">
        <v>4.3057050592034449E-2</v>
      </c>
      <c r="AR36" s="9">
        <v>2.8832846378594496E-3</v>
      </c>
      <c r="AS36" s="9">
        <v>4.3057050592034442E-3</v>
      </c>
      <c r="AT36" s="23">
        <v>15625</v>
      </c>
      <c r="AU36" s="24">
        <v>60.1</v>
      </c>
      <c r="AV36" s="1" t="s">
        <v>52</v>
      </c>
      <c r="AW36" s="1">
        <f t="shared" si="0"/>
        <v>7479</v>
      </c>
      <c r="AX36" s="9">
        <f t="shared" si="1"/>
        <v>0.253888</v>
      </c>
      <c r="AY36" s="9">
        <f t="shared" si="2"/>
        <v>0</v>
      </c>
      <c r="AZ36" s="9">
        <f t="shared" si="3"/>
        <v>0.73254399999999997</v>
      </c>
    </row>
    <row r="37" spans="1:52" x14ac:dyDescent="0.35">
      <c r="A37" s="1" t="s">
        <v>260</v>
      </c>
      <c r="B37" s="1" t="s">
        <v>441</v>
      </c>
      <c r="C37" s="1" t="s">
        <v>454</v>
      </c>
      <c r="D37" s="1"/>
      <c r="E37" s="1"/>
      <c r="F37" s="1"/>
      <c r="G37" s="1"/>
      <c r="H37" s="1"/>
      <c r="I37" s="1"/>
      <c r="J37" s="1" t="s">
        <v>455</v>
      </c>
      <c r="K37" s="1" t="s">
        <v>68</v>
      </c>
      <c r="L37" s="1">
        <v>45</v>
      </c>
      <c r="M37" s="1" t="s">
        <v>65</v>
      </c>
      <c r="N37" s="1" t="s">
        <v>61</v>
      </c>
      <c r="O37" s="1">
        <v>7481</v>
      </c>
      <c r="P37" s="1" t="s">
        <v>457</v>
      </c>
      <c r="Q37" s="1" t="s">
        <v>52</v>
      </c>
      <c r="R37" s="1">
        <v>42</v>
      </c>
      <c r="S37" s="1" t="s">
        <v>65</v>
      </c>
      <c r="T37" s="1" t="s">
        <v>61</v>
      </c>
      <c r="U37" s="1">
        <v>13168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>
        <v>35015</v>
      </c>
      <c r="AI37" s="1">
        <v>33963</v>
      </c>
      <c r="AJ37" s="1">
        <v>832</v>
      </c>
      <c r="AK37" s="1">
        <v>49</v>
      </c>
      <c r="AL37" s="1">
        <v>26</v>
      </c>
      <c r="AM37" s="1">
        <v>16</v>
      </c>
      <c r="AN37" s="1">
        <v>1</v>
      </c>
      <c r="AO37" s="1">
        <v>128</v>
      </c>
      <c r="AP37" s="9">
        <v>0.96995573325717555</v>
      </c>
      <c r="AQ37" s="9">
        <v>2.376124518063687E-2</v>
      </c>
      <c r="AR37" s="9">
        <v>1.3994002570327003E-3</v>
      </c>
      <c r="AS37" s="9">
        <v>4.8836213051549338E-3</v>
      </c>
      <c r="AT37" s="23">
        <v>20649</v>
      </c>
      <c r="AU37" s="24">
        <v>59</v>
      </c>
      <c r="AV37" s="1" t="s">
        <v>52</v>
      </c>
      <c r="AW37" s="1">
        <f t="shared" si="0"/>
        <v>5687</v>
      </c>
      <c r="AX37" s="9">
        <f t="shared" si="1"/>
        <v>0</v>
      </c>
      <c r="AY37" s="9">
        <f t="shared" si="2"/>
        <v>0.36229357353867014</v>
      </c>
      <c r="AZ37" s="9">
        <f t="shared" si="3"/>
        <v>0.6377064264613298</v>
      </c>
    </row>
    <row r="38" spans="1:52" x14ac:dyDescent="0.35">
      <c r="A38" s="1" t="s">
        <v>260</v>
      </c>
      <c r="B38" s="1" t="s">
        <v>459</v>
      </c>
      <c r="C38" s="1" t="s">
        <v>460</v>
      </c>
      <c r="D38" s="1"/>
      <c r="E38" s="1"/>
      <c r="F38" s="1"/>
      <c r="G38" s="1"/>
      <c r="H38" s="1"/>
      <c r="I38" s="1"/>
      <c r="J38" s="1" t="s">
        <v>463</v>
      </c>
      <c r="K38" s="1" t="s">
        <v>68</v>
      </c>
      <c r="L38" s="1">
        <v>69</v>
      </c>
      <c r="M38" s="1" t="s">
        <v>65</v>
      </c>
      <c r="N38" s="1" t="s">
        <v>61</v>
      </c>
      <c r="O38" s="1">
        <v>4388</v>
      </c>
      <c r="P38" s="1" t="s">
        <v>461</v>
      </c>
      <c r="Q38" s="1" t="s">
        <v>50</v>
      </c>
      <c r="R38" s="1">
        <v>49</v>
      </c>
      <c r="S38" s="1" t="s">
        <v>65</v>
      </c>
      <c r="T38" s="1" t="s">
        <v>61</v>
      </c>
      <c r="U38" s="1">
        <v>8540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>
        <v>21722</v>
      </c>
      <c r="AI38" s="1">
        <v>21350</v>
      </c>
      <c r="AJ38" s="1">
        <v>36</v>
      </c>
      <c r="AK38" s="1">
        <v>21</v>
      </c>
      <c r="AL38" s="1">
        <v>84</v>
      </c>
      <c r="AM38" s="1">
        <v>68</v>
      </c>
      <c r="AN38" s="1">
        <v>2</v>
      </c>
      <c r="AO38" s="1">
        <v>161</v>
      </c>
      <c r="AP38" s="9">
        <v>0.98287450511002672</v>
      </c>
      <c r="AQ38" s="9">
        <v>1.6573059570941901E-3</v>
      </c>
      <c r="AR38" s="9">
        <v>9.6676180830494425E-4</v>
      </c>
      <c r="AS38" s="9">
        <v>1.4501427124574164E-2</v>
      </c>
      <c r="AT38" s="23">
        <v>12928</v>
      </c>
      <c r="AU38" s="24">
        <v>59.5</v>
      </c>
      <c r="AV38" s="1" t="s">
        <v>50</v>
      </c>
      <c r="AW38" s="1">
        <f t="shared" si="0"/>
        <v>4152</v>
      </c>
      <c r="AX38" s="9">
        <f t="shared" si="1"/>
        <v>0</v>
      </c>
      <c r="AY38" s="9">
        <f t="shared" si="2"/>
        <v>0.33941831683168316</v>
      </c>
      <c r="AZ38" s="9">
        <f t="shared" si="3"/>
        <v>0.66058168316831678</v>
      </c>
    </row>
    <row r="39" spans="1:52" x14ac:dyDescent="0.35">
      <c r="A39" s="1" t="s">
        <v>260</v>
      </c>
      <c r="B39" s="1" t="s">
        <v>459</v>
      </c>
      <c r="C39" s="1" t="s">
        <v>465</v>
      </c>
      <c r="D39" s="1"/>
      <c r="E39" s="1"/>
      <c r="F39" s="1"/>
      <c r="G39" s="1"/>
      <c r="H39" s="1"/>
      <c r="I39" s="1"/>
      <c r="J39" s="1" t="s">
        <v>468</v>
      </c>
      <c r="K39" s="1" t="s">
        <v>68</v>
      </c>
      <c r="L39" s="1">
        <v>43</v>
      </c>
      <c r="M39" s="1" t="s">
        <v>65</v>
      </c>
      <c r="N39" s="1" t="s">
        <v>61</v>
      </c>
      <c r="O39" s="1">
        <v>4526</v>
      </c>
      <c r="P39" s="1" t="s">
        <v>466</v>
      </c>
      <c r="Q39" s="1" t="s">
        <v>50</v>
      </c>
      <c r="R39" s="1">
        <v>77</v>
      </c>
      <c r="S39" s="1" t="s">
        <v>65</v>
      </c>
      <c r="T39" s="1" t="s">
        <v>61</v>
      </c>
      <c r="U39" s="1">
        <v>9535</v>
      </c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>
        <v>22468</v>
      </c>
      <c r="AI39" s="1">
        <v>21738</v>
      </c>
      <c r="AJ39" s="1">
        <v>51</v>
      </c>
      <c r="AK39" s="1">
        <v>13</v>
      </c>
      <c r="AL39" s="1">
        <v>32</v>
      </c>
      <c r="AM39" s="1">
        <v>20</v>
      </c>
      <c r="AN39" s="1">
        <v>472</v>
      </c>
      <c r="AO39" s="1">
        <v>142</v>
      </c>
      <c r="AP39" s="9">
        <v>0.96750934662631294</v>
      </c>
      <c r="AQ39" s="9">
        <v>2.26989496172334E-3</v>
      </c>
      <c r="AR39" s="9">
        <v>5.7860067651771411E-4</v>
      </c>
      <c r="AS39" s="9">
        <v>2.9642157735445967E-2</v>
      </c>
      <c r="AT39" s="23">
        <v>14061</v>
      </c>
      <c r="AU39" s="24">
        <v>62.6</v>
      </c>
      <c r="AV39" s="1" t="s">
        <v>50</v>
      </c>
      <c r="AW39" s="1">
        <f t="shared" si="0"/>
        <v>5009</v>
      </c>
      <c r="AX39" s="9">
        <f t="shared" si="1"/>
        <v>0</v>
      </c>
      <c r="AY39" s="9">
        <f t="shared" si="2"/>
        <v>0.3218832230993528</v>
      </c>
      <c r="AZ39" s="9">
        <f t="shared" si="3"/>
        <v>0.6781167769006472</v>
      </c>
    </row>
    <row r="40" spans="1:52" x14ac:dyDescent="0.35">
      <c r="A40" s="1" t="s">
        <v>260</v>
      </c>
      <c r="B40" s="1" t="s">
        <v>459</v>
      </c>
      <c r="C40" s="1" t="s">
        <v>470</v>
      </c>
      <c r="D40" s="1"/>
      <c r="E40" s="1"/>
      <c r="F40" s="1"/>
      <c r="G40" s="1"/>
      <c r="H40" s="1"/>
      <c r="I40" s="1"/>
      <c r="J40" s="1" t="s">
        <v>473</v>
      </c>
      <c r="K40" s="1" t="s">
        <v>68</v>
      </c>
      <c r="L40" s="1">
        <v>38</v>
      </c>
      <c r="M40" s="1" t="s">
        <v>65</v>
      </c>
      <c r="N40" s="1" t="s">
        <v>61</v>
      </c>
      <c r="O40" s="1">
        <v>3585</v>
      </c>
      <c r="P40" s="1" t="s">
        <v>471</v>
      </c>
      <c r="Q40" s="1" t="s">
        <v>52</v>
      </c>
      <c r="R40" s="1">
        <v>71</v>
      </c>
      <c r="S40" s="1" t="s">
        <v>65</v>
      </c>
      <c r="T40" s="1" t="s">
        <v>61</v>
      </c>
      <c r="U40" s="1">
        <v>6186</v>
      </c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>
        <v>15704</v>
      </c>
      <c r="AI40" s="1">
        <v>15489</v>
      </c>
      <c r="AJ40" s="1">
        <v>14</v>
      </c>
      <c r="AK40" s="1">
        <v>22</v>
      </c>
      <c r="AL40" s="1">
        <v>65</v>
      </c>
      <c r="AM40" s="1">
        <v>45</v>
      </c>
      <c r="AN40" s="1">
        <v>6</v>
      </c>
      <c r="AO40" s="1">
        <v>63</v>
      </c>
      <c r="AP40" s="9">
        <v>0.98630922058074377</v>
      </c>
      <c r="AQ40" s="9">
        <v>8.9149261334691798E-4</v>
      </c>
      <c r="AR40" s="9">
        <v>1.4009169638308711E-3</v>
      </c>
      <c r="AS40" s="9">
        <v>1.1398369842078451E-2</v>
      </c>
      <c r="AT40" s="23">
        <v>9771</v>
      </c>
      <c r="AU40" s="24">
        <v>62.2</v>
      </c>
      <c r="AV40" s="1" t="s">
        <v>52</v>
      </c>
      <c r="AW40" s="1">
        <f t="shared" si="0"/>
        <v>2601</v>
      </c>
      <c r="AX40" s="9">
        <f t="shared" si="1"/>
        <v>0</v>
      </c>
      <c r="AY40" s="9">
        <f t="shared" si="2"/>
        <v>0.36690205710776791</v>
      </c>
      <c r="AZ40" s="9">
        <f t="shared" si="3"/>
        <v>0.63309794289223209</v>
      </c>
    </row>
    <row r="41" spans="1:52" x14ac:dyDescent="0.35">
      <c r="A41" s="1" t="s">
        <v>260</v>
      </c>
      <c r="B41" s="1" t="s">
        <v>475</v>
      </c>
      <c r="C41" s="1" t="s">
        <v>476</v>
      </c>
      <c r="D41" s="1" t="s">
        <v>477</v>
      </c>
      <c r="E41" s="1" t="s">
        <v>51</v>
      </c>
      <c r="F41" s="1">
        <v>65</v>
      </c>
      <c r="G41" s="1" t="s">
        <v>65</v>
      </c>
      <c r="H41" s="1" t="s">
        <v>61</v>
      </c>
      <c r="I41" s="1">
        <v>3404</v>
      </c>
      <c r="J41" s="1"/>
      <c r="K41" s="1"/>
      <c r="L41" s="1"/>
      <c r="M41" s="1"/>
      <c r="N41" s="1"/>
      <c r="O41" s="1"/>
      <c r="P41" s="1" t="s">
        <v>479</v>
      </c>
      <c r="Q41" s="1" t="s">
        <v>52</v>
      </c>
      <c r="R41" s="1">
        <v>51</v>
      </c>
      <c r="S41" s="1" t="s">
        <v>65</v>
      </c>
      <c r="T41" s="1" t="s">
        <v>61</v>
      </c>
      <c r="U41" s="1">
        <v>12531</v>
      </c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>
        <v>26843</v>
      </c>
      <c r="AI41" s="1">
        <v>25755</v>
      </c>
      <c r="AJ41" s="1">
        <v>618</v>
      </c>
      <c r="AK41" s="1">
        <v>344</v>
      </c>
      <c r="AL41" s="1">
        <v>7</v>
      </c>
      <c r="AM41" s="1">
        <v>11</v>
      </c>
      <c r="AN41" s="1">
        <v>4</v>
      </c>
      <c r="AO41" s="1">
        <v>104</v>
      </c>
      <c r="AP41" s="9">
        <v>0.95946801773274226</v>
      </c>
      <c r="AQ41" s="9">
        <v>2.3022761986365159E-2</v>
      </c>
      <c r="AR41" s="9">
        <v>1.2815259099206498E-2</v>
      </c>
      <c r="AS41" s="9">
        <v>4.693961181686101E-3</v>
      </c>
      <c r="AT41" s="23">
        <v>15935</v>
      </c>
      <c r="AU41" s="24">
        <v>59.4</v>
      </c>
      <c r="AV41" s="1" t="s">
        <v>52</v>
      </c>
      <c r="AW41" s="1">
        <f t="shared" si="0"/>
        <v>9127</v>
      </c>
      <c r="AX41" s="9">
        <f t="shared" si="1"/>
        <v>0.21361782240351429</v>
      </c>
      <c r="AY41" s="9">
        <f t="shared" si="2"/>
        <v>0</v>
      </c>
      <c r="AZ41" s="9">
        <f t="shared" si="3"/>
        <v>0.78638217759648577</v>
      </c>
    </row>
    <row r="42" spans="1:52" x14ac:dyDescent="0.35">
      <c r="A42" s="1" t="s">
        <v>260</v>
      </c>
      <c r="B42" s="1" t="s">
        <v>475</v>
      </c>
      <c r="C42" s="1" t="s">
        <v>481</v>
      </c>
      <c r="D42" s="1"/>
      <c r="E42" s="1"/>
      <c r="F42" s="1"/>
      <c r="G42" s="1"/>
      <c r="H42" s="1"/>
      <c r="I42" s="1"/>
      <c r="J42" s="1" t="s">
        <v>482</v>
      </c>
      <c r="K42" s="1" t="s">
        <v>68</v>
      </c>
      <c r="L42" s="1">
        <v>62</v>
      </c>
      <c r="M42" s="1" t="s">
        <v>65</v>
      </c>
      <c r="N42" s="1" t="s">
        <v>61</v>
      </c>
      <c r="O42" s="1">
        <v>4532</v>
      </c>
      <c r="P42" s="1" t="s">
        <v>484</v>
      </c>
      <c r="Q42" s="1" t="s">
        <v>52</v>
      </c>
      <c r="R42" s="1">
        <v>47</v>
      </c>
      <c r="S42" s="1" t="s">
        <v>65</v>
      </c>
      <c r="T42" s="1" t="s">
        <v>61</v>
      </c>
      <c r="U42" s="1">
        <v>10826</v>
      </c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>
        <v>27785</v>
      </c>
      <c r="AI42" s="1">
        <v>23929</v>
      </c>
      <c r="AJ42" s="1">
        <v>3064</v>
      </c>
      <c r="AK42" s="1">
        <v>578</v>
      </c>
      <c r="AL42" s="1">
        <v>24</v>
      </c>
      <c r="AM42" s="1">
        <v>21</v>
      </c>
      <c r="AN42" s="1">
        <v>4</v>
      </c>
      <c r="AO42" s="1">
        <v>165</v>
      </c>
      <c r="AP42" s="9">
        <v>0.86122008277847761</v>
      </c>
      <c r="AQ42" s="9">
        <v>0.1102753284146122</v>
      </c>
      <c r="AR42" s="9">
        <v>2.0802591326255174E-2</v>
      </c>
      <c r="AS42" s="9">
        <v>7.70199748065503E-3</v>
      </c>
      <c r="AT42" s="23">
        <v>15358</v>
      </c>
      <c r="AU42" s="24">
        <v>55.3</v>
      </c>
      <c r="AV42" s="1" t="s">
        <v>52</v>
      </c>
      <c r="AW42" s="1">
        <f t="shared" si="0"/>
        <v>6294</v>
      </c>
      <c r="AX42" s="9">
        <f t="shared" si="1"/>
        <v>0</v>
      </c>
      <c r="AY42" s="9">
        <f t="shared" si="2"/>
        <v>0.29509050657637714</v>
      </c>
      <c r="AZ42" s="9">
        <f t="shared" si="3"/>
        <v>0.70490949342362286</v>
      </c>
    </row>
    <row r="43" spans="1:52" x14ac:dyDescent="0.35">
      <c r="A43" s="1" t="s">
        <v>260</v>
      </c>
      <c r="B43" s="1" t="s">
        <v>475</v>
      </c>
      <c r="C43" s="1" t="s">
        <v>486</v>
      </c>
      <c r="D43" s="1"/>
      <c r="E43" s="1"/>
      <c r="F43" s="1"/>
      <c r="G43" s="1"/>
      <c r="H43" s="1"/>
      <c r="I43" s="1"/>
      <c r="J43" s="1" t="s">
        <v>489</v>
      </c>
      <c r="K43" s="1" t="s">
        <v>68</v>
      </c>
      <c r="L43" s="1">
        <v>51</v>
      </c>
      <c r="M43" s="1" t="s">
        <v>60</v>
      </c>
      <c r="N43" s="1" t="s">
        <v>61</v>
      </c>
      <c r="O43" s="1">
        <v>2865</v>
      </c>
      <c r="P43" s="1" t="s">
        <v>487</v>
      </c>
      <c r="Q43" s="1" t="s">
        <v>52</v>
      </c>
      <c r="R43" s="1">
        <v>65</v>
      </c>
      <c r="S43" s="1" t="s">
        <v>65</v>
      </c>
      <c r="T43" s="1" t="s">
        <v>61</v>
      </c>
      <c r="U43" s="1">
        <v>10355</v>
      </c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>
        <v>22611</v>
      </c>
      <c r="AI43" s="1">
        <v>22364</v>
      </c>
      <c r="AJ43" s="1">
        <v>55</v>
      </c>
      <c r="AK43" s="1">
        <v>57</v>
      </c>
      <c r="AL43" s="1">
        <v>13</v>
      </c>
      <c r="AM43" s="1">
        <v>6</v>
      </c>
      <c r="AN43" s="1">
        <v>1</v>
      </c>
      <c r="AO43" s="1">
        <v>115</v>
      </c>
      <c r="AP43" s="9">
        <v>0.98907611339613466</v>
      </c>
      <c r="AQ43" s="9">
        <v>2.4324443854760957E-3</v>
      </c>
      <c r="AR43" s="9">
        <v>2.5208969085843175E-3</v>
      </c>
      <c r="AS43" s="9">
        <v>5.9705453098049619E-3</v>
      </c>
      <c r="AT43" s="23">
        <v>13220</v>
      </c>
      <c r="AU43" s="24">
        <v>58.5</v>
      </c>
      <c r="AV43" s="1" t="s">
        <v>52</v>
      </c>
      <c r="AW43" s="1">
        <f t="shared" si="0"/>
        <v>7490</v>
      </c>
      <c r="AX43" s="9">
        <f t="shared" si="1"/>
        <v>0</v>
      </c>
      <c r="AY43" s="9">
        <f t="shared" si="2"/>
        <v>0.21671709531013617</v>
      </c>
      <c r="AZ43" s="9">
        <f t="shared" si="3"/>
        <v>0.78328290468986383</v>
      </c>
    </row>
    <row r="44" spans="1:52" x14ac:dyDescent="0.35">
      <c r="A44" s="1" t="s">
        <v>260</v>
      </c>
      <c r="B44" s="1" t="s">
        <v>475</v>
      </c>
      <c r="C44" s="1" t="s">
        <v>491</v>
      </c>
      <c r="D44" s="1"/>
      <c r="E44" s="1"/>
      <c r="F44" s="1"/>
      <c r="G44" s="1"/>
      <c r="H44" s="1"/>
      <c r="I44" s="1"/>
      <c r="J44" s="1" t="s">
        <v>494</v>
      </c>
      <c r="K44" s="1" t="s">
        <v>68</v>
      </c>
      <c r="L44" s="1">
        <v>42</v>
      </c>
      <c r="M44" s="1" t="s">
        <v>65</v>
      </c>
      <c r="N44" s="1" t="s">
        <v>61</v>
      </c>
      <c r="O44" s="1">
        <v>3326</v>
      </c>
      <c r="P44" s="1" t="s">
        <v>492</v>
      </c>
      <c r="Q44" s="1" t="s">
        <v>52</v>
      </c>
      <c r="R44" s="1">
        <v>52</v>
      </c>
      <c r="S44" s="1" t="s">
        <v>65</v>
      </c>
      <c r="T44" s="1" t="s">
        <v>61</v>
      </c>
      <c r="U44" s="1">
        <v>5772</v>
      </c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>
        <v>15255</v>
      </c>
      <c r="AI44" s="1">
        <v>15048</v>
      </c>
      <c r="AJ44" s="1">
        <v>13</v>
      </c>
      <c r="AK44" s="1">
        <v>34</v>
      </c>
      <c r="AL44" s="1">
        <v>12</v>
      </c>
      <c r="AM44" s="1">
        <v>12</v>
      </c>
      <c r="AN44" s="1">
        <v>3</v>
      </c>
      <c r="AO44" s="1">
        <v>133</v>
      </c>
      <c r="AP44" s="9">
        <v>0.98643067846607668</v>
      </c>
      <c r="AQ44" s="9">
        <v>8.5217961324156018E-4</v>
      </c>
      <c r="AR44" s="9">
        <v>2.2287774500163882E-3</v>
      </c>
      <c r="AS44" s="9">
        <v>1.0488364470665356E-2</v>
      </c>
      <c r="AT44" s="23">
        <v>9098</v>
      </c>
      <c r="AU44" s="24">
        <v>59.6</v>
      </c>
      <c r="AV44" s="1" t="s">
        <v>52</v>
      </c>
      <c r="AW44" s="1">
        <f t="shared" si="0"/>
        <v>2446</v>
      </c>
      <c r="AX44" s="9">
        <f t="shared" si="1"/>
        <v>0</v>
      </c>
      <c r="AY44" s="9">
        <f t="shared" si="2"/>
        <v>0.36557485161573972</v>
      </c>
      <c r="AZ44" s="9">
        <f t="shared" si="3"/>
        <v>0.63442514838426023</v>
      </c>
    </row>
    <row r="45" spans="1:52" x14ac:dyDescent="0.35">
      <c r="A45" s="1" t="s">
        <v>260</v>
      </c>
      <c r="B45" s="1" t="s">
        <v>496</v>
      </c>
      <c r="C45" s="1" t="s">
        <v>497</v>
      </c>
      <c r="D45" s="1"/>
      <c r="E45" s="1"/>
      <c r="F45" s="1"/>
      <c r="G45" s="1"/>
      <c r="H45" s="1"/>
      <c r="I45" s="1"/>
      <c r="J45" s="1" t="s">
        <v>498</v>
      </c>
      <c r="K45" s="1" t="s">
        <v>68</v>
      </c>
      <c r="L45" s="1">
        <v>63</v>
      </c>
      <c r="M45" s="1" t="s">
        <v>65</v>
      </c>
      <c r="N45" s="1" t="s">
        <v>61</v>
      </c>
      <c r="O45" s="1">
        <v>5707</v>
      </c>
      <c r="P45" s="1" t="s">
        <v>499</v>
      </c>
      <c r="Q45" s="1" t="s">
        <v>50</v>
      </c>
      <c r="R45" s="1">
        <v>52</v>
      </c>
      <c r="S45" s="1" t="s">
        <v>65</v>
      </c>
      <c r="T45" s="1" t="s">
        <v>61</v>
      </c>
      <c r="U45" s="1">
        <v>6517</v>
      </c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>
        <v>20219</v>
      </c>
      <c r="AI45" s="1">
        <v>17374</v>
      </c>
      <c r="AJ45" s="1">
        <v>41</v>
      </c>
      <c r="AK45" s="1">
        <v>6</v>
      </c>
      <c r="AL45" s="1">
        <v>13</v>
      </c>
      <c r="AM45" s="1">
        <v>12</v>
      </c>
      <c r="AN45" s="1">
        <v>2681</v>
      </c>
      <c r="AO45" s="1">
        <v>92</v>
      </c>
      <c r="AP45" s="9">
        <v>0.85929076611108368</v>
      </c>
      <c r="AQ45" s="9">
        <v>2.0277956377664575E-3</v>
      </c>
      <c r="AR45" s="9">
        <v>2.9675058113655471E-4</v>
      </c>
      <c r="AS45" s="9">
        <v>0.13838468767001336</v>
      </c>
      <c r="AT45" s="23">
        <v>12224</v>
      </c>
      <c r="AU45" s="24">
        <v>60.5</v>
      </c>
      <c r="AV45" s="1" t="s">
        <v>50</v>
      </c>
      <c r="AW45" s="1">
        <f t="shared" si="0"/>
        <v>810</v>
      </c>
      <c r="AX45" s="9">
        <f t="shared" si="1"/>
        <v>0</v>
      </c>
      <c r="AY45" s="9">
        <f t="shared" si="2"/>
        <v>0.46686845549738221</v>
      </c>
      <c r="AZ45" s="9">
        <f t="shared" si="3"/>
        <v>0.53313154450261779</v>
      </c>
    </row>
    <row r="46" spans="1:52" x14ac:dyDescent="0.35">
      <c r="A46" s="1" t="s">
        <v>260</v>
      </c>
      <c r="B46" s="1" t="s">
        <v>496</v>
      </c>
      <c r="C46" s="1" t="s">
        <v>501</v>
      </c>
      <c r="D46" s="1"/>
      <c r="E46" s="1"/>
      <c r="F46" s="1"/>
      <c r="G46" s="1"/>
      <c r="H46" s="1"/>
      <c r="I46" s="1"/>
      <c r="J46" s="1" t="s">
        <v>504</v>
      </c>
      <c r="K46" s="1" t="s">
        <v>68</v>
      </c>
      <c r="L46" s="1">
        <v>47</v>
      </c>
      <c r="M46" s="1" t="s">
        <v>65</v>
      </c>
      <c r="N46" s="1" t="s">
        <v>61</v>
      </c>
      <c r="O46" s="1">
        <v>5202</v>
      </c>
      <c r="P46" s="1" t="s">
        <v>502</v>
      </c>
      <c r="Q46" s="1" t="s">
        <v>50</v>
      </c>
      <c r="R46" s="1">
        <v>62</v>
      </c>
      <c r="S46" s="1" t="s">
        <v>65</v>
      </c>
      <c r="T46" s="1" t="s">
        <v>61</v>
      </c>
      <c r="U46" s="1">
        <v>7407</v>
      </c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>
        <v>21162</v>
      </c>
      <c r="AI46" s="1">
        <v>20579</v>
      </c>
      <c r="AJ46" s="1">
        <v>16</v>
      </c>
      <c r="AK46" s="1">
        <v>2</v>
      </c>
      <c r="AL46" s="1">
        <v>9</v>
      </c>
      <c r="AM46" s="1">
        <v>5</v>
      </c>
      <c r="AN46" s="1">
        <v>483</v>
      </c>
      <c r="AO46" s="1">
        <v>68</v>
      </c>
      <c r="AP46" s="9">
        <v>0.97245061903411778</v>
      </c>
      <c r="AQ46" s="9">
        <v>7.5607220489556752E-4</v>
      </c>
      <c r="AR46" s="9">
        <v>9.450902561194594E-5</v>
      </c>
      <c r="AS46" s="9">
        <v>2.6698799735374729E-2</v>
      </c>
      <c r="AT46" s="23">
        <v>12609</v>
      </c>
      <c r="AU46" s="24">
        <v>59.6</v>
      </c>
      <c r="AV46" s="1" t="s">
        <v>50</v>
      </c>
      <c r="AW46" s="1">
        <f t="shared" si="0"/>
        <v>2205</v>
      </c>
      <c r="AX46" s="9">
        <f t="shared" si="1"/>
        <v>0</v>
      </c>
      <c r="AY46" s="9">
        <f t="shared" si="2"/>
        <v>0.41256245538900788</v>
      </c>
      <c r="AZ46" s="9">
        <f t="shared" si="3"/>
        <v>0.58743754461099218</v>
      </c>
    </row>
    <row r="47" spans="1:52" x14ac:dyDescent="0.35">
      <c r="A47" s="1" t="s">
        <v>260</v>
      </c>
      <c r="B47" s="1" t="s">
        <v>496</v>
      </c>
      <c r="C47" s="1" t="s">
        <v>506</v>
      </c>
      <c r="D47" s="1"/>
      <c r="E47" s="1"/>
      <c r="F47" s="1"/>
      <c r="G47" s="1"/>
      <c r="H47" s="1"/>
      <c r="I47" s="1"/>
      <c r="J47" s="1" t="s">
        <v>509</v>
      </c>
      <c r="K47" s="1" t="s">
        <v>68</v>
      </c>
      <c r="L47" s="1">
        <v>44</v>
      </c>
      <c r="M47" s="1" t="s">
        <v>65</v>
      </c>
      <c r="N47" s="1" t="s">
        <v>61</v>
      </c>
      <c r="O47" s="1">
        <v>10742</v>
      </c>
      <c r="P47" s="1" t="s">
        <v>507</v>
      </c>
      <c r="Q47" s="1" t="s">
        <v>52</v>
      </c>
      <c r="R47" s="1">
        <v>47</v>
      </c>
      <c r="S47" s="1" t="s">
        <v>65</v>
      </c>
      <c r="T47" s="1" t="s">
        <v>61</v>
      </c>
      <c r="U47" s="1">
        <v>7405</v>
      </c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>
        <v>29638</v>
      </c>
      <c r="AI47" s="1">
        <v>17636</v>
      </c>
      <c r="AJ47" s="1">
        <v>4026</v>
      </c>
      <c r="AK47" s="1">
        <v>311</v>
      </c>
      <c r="AL47" s="1">
        <v>49</v>
      </c>
      <c r="AM47" s="1">
        <v>41</v>
      </c>
      <c r="AN47" s="1">
        <v>7374</v>
      </c>
      <c r="AO47" s="1">
        <v>201</v>
      </c>
      <c r="AP47" s="9">
        <v>0.59504689925096166</v>
      </c>
      <c r="AQ47" s="9">
        <v>0.1358391254470612</v>
      </c>
      <c r="AR47" s="9">
        <v>1.0493285646804778E-2</v>
      </c>
      <c r="AS47" s="9">
        <v>0.25862068965517243</v>
      </c>
      <c r="AT47" s="23">
        <v>18147</v>
      </c>
      <c r="AU47" s="24">
        <v>61.2</v>
      </c>
      <c r="AV47" s="1" t="s">
        <v>68</v>
      </c>
      <c r="AW47" s="1">
        <f t="shared" si="0"/>
        <v>-3337</v>
      </c>
      <c r="AX47" s="9">
        <f t="shared" si="1"/>
        <v>0</v>
      </c>
      <c r="AY47" s="9">
        <f t="shared" si="2"/>
        <v>0.59194357194026559</v>
      </c>
      <c r="AZ47" s="9">
        <f t="shared" si="3"/>
        <v>0.40805642805973441</v>
      </c>
    </row>
    <row r="48" spans="1:52" x14ac:dyDescent="0.35">
      <c r="A48" s="1"/>
      <c r="B48" s="1"/>
      <c r="C48" s="1"/>
      <c r="D48" s="1"/>
      <c r="E48" s="1"/>
      <c r="F48" s="1"/>
      <c r="G48" s="1"/>
      <c r="H48" s="1"/>
      <c r="I48" s="1">
        <f>SUM(I2:I47)</f>
        <v>81688</v>
      </c>
      <c r="J48" s="1"/>
      <c r="K48" s="1"/>
      <c r="L48" s="1"/>
      <c r="M48" s="1"/>
      <c r="N48" s="1"/>
      <c r="O48" s="1">
        <f>SUM(O2:O47)</f>
        <v>178437</v>
      </c>
      <c r="P48" s="1"/>
      <c r="Q48" s="1"/>
      <c r="R48" s="1"/>
      <c r="S48" s="1"/>
      <c r="T48" s="1"/>
      <c r="U48" s="1">
        <f>SUM(U2:U47)</f>
        <v>589696</v>
      </c>
      <c r="V48" s="1"/>
      <c r="W48" s="1"/>
      <c r="X48" s="1"/>
      <c r="Y48" s="1"/>
      <c r="Z48" s="1"/>
      <c r="AA48" s="1">
        <f>SUM(AA2:AA47)</f>
        <v>1935</v>
      </c>
      <c r="AB48" s="1"/>
      <c r="AC48" s="1"/>
      <c r="AD48" s="1"/>
      <c r="AE48" s="1"/>
      <c r="AF48" s="1"/>
      <c r="AG48" s="1">
        <f>SUM(AG2:AG47)</f>
        <v>85</v>
      </c>
      <c r="AH48" s="1">
        <v>1411912</v>
      </c>
      <c r="AI48" s="1">
        <v>1332197</v>
      </c>
      <c r="AJ48" s="1">
        <v>47630</v>
      </c>
      <c r="AK48" s="1">
        <v>3653</v>
      </c>
      <c r="AL48" s="1">
        <v>1207</v>
      </c>
      <c r="AM48" s="1">
        <v>1177</v>
      </c>
      <c r="AN48" s="1">
        <v>11099</v>
      </c>
      <c r="AO48" s="1">
        <v>14949</v>
      </c>
      <c r="AP48" s="9">
        <v>0.94354109887868365</v>
      </c>
      <c r="AQ48" s="9">
        <v>3.3734397044575017E-2</v>
      </c>
      <c r="AR48" s="9">
        <v>2.587271727983047E-3</v>
      </c>
      <c r="AS48" s="9">
        <v>2.0137232348758281E-2</v>
      </c>
      <c r="AT48" s="23">
        <f>SUM(AT3:AT47)</f>
        <v>851841</v>
      </c>
      <c r="AU48" s="24">
        <f>100*(AT48/AH48)</f>
        <v>60.332442815132957</v>
      </c>
      <c r="AV48" s="1"/>
      <c r="AW48" s="1"/>
      <c r="AX48" s="9">
        <f t="shared" si="1"/>
        <v>9.5895830325142845E-2</v>
      </c>
      <c r="AY48" s="9">
        <f t="shared" si="2"/>
        <v>0.20947219023268426</v>
      </c>
      <c r="AZ48" s="9">
        <f t="shared" si="3"/>
        <v>0.69226064488560657</v>
      </c>
    </row>
    <row r="50" spans="4:48" x14ac:dyDescent="0.35">
      <c r="D50" t="s">
        <v>51</v>
      </c>
      <c r="E50">
        <f>COUNTIF(E3:E47,D50)</f>
        <v>6</v>
      </c>
      <c r="J50" t="s">
        <v>68</v>
      </c>
      <c r="K50">
        <f>COUNTIF(K3:K47,J50)</f>
        <v>31</v>
      </c>
      <c r="P50" t="s">
        <v>50</v>
      </c>
      <c r="Q50">
        <f>COUNTIF(Q3:Q47,P50)</f>
        <v>6</v>
      </c>
      <c r="AH50">
        <f>SUM(AH45:AH47)</f>
        <v>71019</v>
      </c>
      <c r="AU50" s="5" t="s">
        <v>51</v>
      </c>
      <c r="AV50" s="5">
        <f>COUNTIF($AV$2:$AV$47,AU50)</f>
        <v>0</v>
      </c>
    </row>
    <row r="51" spans="4:48" x14ac:dyDescent="0.35">
      <c r="D51" t="s">
        <v>48</v>
      </c>
      <c r="E51">
        <f>COUNTIF(E3:E47,D51)</f>
        <v>8</v>
      </c>
      <c r="P51" t="s">
        <v>52</v>
      </c>
      <c r="Q51">
        <f>COUNTIF(Q3:Q47,P51)</f>
        <v>39</v>
      </c>
      <c r="AU51" s="5" t="s">
        <v>49</v>
      </c>
      <c r="AV51" s="5">
        <f>COUNTIF($AV$2:$AV$47,AU51)</f>
        <v>0</v>
      </c>
    </row>
    <row r="52" spans="4:48" x14ac:dyDescent="0.35">
      <c r="E52">
        <f>SUM(E50:E51)</f>
        <v>14</v>
      </c>
      <c r="Q52">
        <f>SUM(Q50:Q51)</f>
        <v>45</v>
      </c>
      <c r="AU52" s="5" t="s">
        <v>48</v>
      </c>
      <c r="AV52" s="5">
        <f>COUNTIF($AV$2:$AV$47,AU52)</f>
        <v>1</v>
      </c>
    </row>
    <row r="53" spans="4:48" x14ac:dyDescent="0.35">
      <c r="AU53" s="5"/>
      <c r="AV53" s="5"/>
    </row>
    <row r="54" spans="4:48" x14ac:dyDescent="0.35">
      <c r="AU54" s="5" t="s">
        <v>68</v>
      </c>
      <c r="AV54" s="5">
        <f>COUNTIF($AV$2:$AV$47,AU54)</f>
        <v>1</v>
      </c>
    </row>
    <row r="55" spans="4:48" x14ac:dyDescent="0.35">
      <c r="AU55" s="5"/>
      <c r="AV55" s="5"/>
    </row>
    <row r="56" spans="4:48" x14ac:dyDescent="0.35">
      <c r="AU56" s="5" t="s">
        <v>52</v>
      </c>
      <c r="AV56" s="5">
        <f>COUNTIF($AV$2:$AV$47,AU56)</f>
        <v>37</v>
      </c>
    </row>
    <row r="57" spans="4:48" x14ac:dyDescent="0.35">
      <c r="AU57" s="5" t="s">
        <v>50</v>
      </c>
      <c r="AV57" s="5">
        <f>COUNTIF($AV$2:$AV$47,AU57)</f>
        <v>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283E22-A4A5-45CA-98EA-1787A4E930F4}">
  <dimension ref="A2:AZ48"/>
  <sheetViews>
    <sheetView workbookViewId="0">
      <pane xSplit="3" ySplit="2" topLeftCell="AL10" activePane="bottomRight" state="frozen"/>
      <selection pane="topRight" activeCell="D1" sqref="D1"/>
      <selection pane="bottomLeft" activeCell="A2" sqref="A2"/>
      <selection pane="bottomRight" activeCell="AX13" sqref="AX13:AZ13"/>
    </sheetView>
  </sheetViews>
  <sheetFormatPr defaultColWidth="8.90625" defaultRowHeight="13" x14ac:dyDescent="0.3"/>
  <cols>
    <col min="1" max="1" width="5.81640625" style="5" bestFit="1" customWidth="1"/>
    <col min="2" max="2" width="22.54296875" style="5" bestFit="1" customWidth="1"/>
    <col min="3" max="3" width="19.36328125" style="5" bestFit="1" customWidth="1"/>
    <col min="4" max="4" width="30.54296875" style="5" bestFit="1" customWidth="1"/>
    <col min="5" max="5" width="8.453125" style="5" bestFit="1" customWidth="1"/>
    <col min="6" max="6" width="3.90625" style="5" bestFit="1" customWidth="1"/>
    <col min="7" max="7" width="6.1796875" style="5" bestFit="1" customWidth="1"/>
    <col min="8" max="8" width="6.81640625" style="5" bestFit="1" customWidth="1"/>
    <col min="9" max="9" width="8.81640625" style="5" bestFit="1" customWidth="1"/>
    <col min="10" max="10" width="35" style="5" bestFit="1" customWidth="1"/>
    <col min="11" max="11" width="5.08984375" style="5" bestFit="1" customWidth="1"/>
    <col min="12" max="12" width="3.90625" style="5" bestFit="1" customWidth="1"/>
    <col min="13" max="13" width="6.1796875" style="5" bestFit="1" customWidth="1"/>
    <col min="14" max="14" width="5.6328125" style="5" bestFit="1" customWidth="1"/>
    <col min="15" max="15" width="8.81640625" style="5" bestFit="1" customWidth="1"/>
    <col min="16" max="16" width="39" style="5" bestFit="1" customWidth="1"/>
    <col min="17" max="17" width="8.54296875" style="5" bestFit="1" customWidth="1"/>
    <col min="18" max="18" width="3.90625" style="5" bestFit="1" customWidth="1"/>
    <col min="19" max="19" width="6.1796875" style="5" bestFit="1" customWidth="1"/>
    <col min="20" max="20" width="6.81640625" style="5" bestFit="1" customWidth="1"/>
    <col min="21" max="21" width="8.81640625" style="5" bestFit="1" customWidth="1"/>
    <col min="22" max="22" width="35.1796875" style="5" bestFit="1" customWidth="1"/>
    <col min="23" max="23" width="5.90625" style="5" bestFit="1" customWidth="1"/>
    <col min="24" max="24" width="3.90625" style="5" bestFit="1" customWidth="1"/>
    <col min="25" max="25" width="4.81640625" style="5" bestFit="1" customWidth="1"/>
    <col min="26" max="26" width="6.81640625" style="5" bestFit="1" customWidth="1"/>
    <col min="27" max="27" width="8.81640625" style="5" bestFit="1" customWidth="1"/>
    <col min="28" max="28" width="26.08984375" style="5" bestFit="1" customWidth="1"/>
    <col min="29" max="29" width="5.90625" style="5" bestFit="1" customWidth="1"/>
    <col min="30" max="30" width="3.90625" style="5" bestFit="1" customWidth="1"/>
    <col min="31" max="31" width="4.81640625" style="5" bestFit="1" customWidth="1"/>
    <col min="32" max="32" width="5.81640625" style="5" bestFit="1" customWidth="1"/>
    <col min="33" max="33" width="8.81640625" style="5" bestFit="1" customWidth="1"/>
    <col min="34" max="34" width="8.36328125" style="5" bestFit="1" customWidth="1"/>
    <col min="35" max="35" width="8.453125" style="5" bestFit="1" customWidth="1"/>
    <col min="36" max="37" width="7" style="5" bestFit="1" customWidth="1"/>
    <col min="38" max="38" width="12" style="5" bestFit="1" customWidth="1"/>
    <col min="39" max="39" width="14.36328125" style="5" bestFit="1" customWidth="1"/>
    <col min="40" max="40" width="11" style="5" bestFit="1" customWidth="1"/>
    <col min="41" max="41" width="9.453125" style="5" bestFit="1" customWidth="1"/>
    <col min="42" max="45" width="6" style="5" bestFit="1" customWidth="1"/>
    <col min="46" max="47" width="8.90625" style="5"/>
    <col min="48" max="48" width="12" style="5" bestFit="1" customWidth="1"/>
    <col min="49" max="49" width="10.36328125" style="5" bestFit="1" customWidth="1"/>
    <col min="50" max="16384" width="8.90625" style="5"/>
  </cols>
  <sheetData>
    <row r="2" spans="1:52" ht="14.5" x14ac:dyDescent="0.35">
      <c r="A2" s="4" t="s">
        <v>0</v>
      </c>
      <c r="B2" s="4" t="s">
        <v>1405</v>
      </c>
      <c r="C2" s="4" t="s">
        <v>1406</v>
      </c>
      <c r="D2" s="4" t="s">
        <v>1407</v>
      </c>
      <c r="E2" s="4" t="s">
        <v>1400</v>
      </c>
      <c r="F2" s="4" t="s">
        <v>1402</v>
      </c>
      <c r="G2" s="4" t="s">
        <v>1403</v>
      </c>
      <c r="H2" s="4" t="s">
        <v>1404</v>
      </c>
      <c r="I2" s="4" t="s">
        <v>1424</v>
      </c>
      <c r="J2" s="4" t="s">
        <v>1407</v>
      </c>
      <c r="K2" s="4" t="s">
        <v>1400</v>
      </c>
      <c r="L2" s="4" t="s">
        <v>1402</v>
      </c>
      <c r="M2" s="4" t="s">
        <v>1403</v>
      </c>
      <c r="N2" s="4" t="s">
        <v>1404</v>
      </c>
      <c r="O2" s="4" t="s">
        <v>1424</v>
      </c>
      <c r="P2" s="4" t="s">
        <v>1407</v>
      </c>
      <c r="Q2" s="4" t="s">
        <v>1400</v>
      </c>
      <c r="R2" s="4" t="s">
        <v>1402</v>
      </c>
      <c r="S2" s="4" t="s">
        <v>1403</v>
      </c>
      <c r="T2" s="4" t="s">
        <v>1404</v>
      </c>
      <c r="U2" s="4" t="s">
        <v>1424</v>
      </c>
      <c r="V2" s="4" t="s">
        <v>1407</v>
      </c>
      <c r="W2" s="4" t="s">
        <v>1400</v>
      </c>
      <c r="X2" s="4" t="s">
        <v>1402</v>
      </c>
      <c r="Y2" s="4" t="s">
        <v>1403</v>
      </c>
      <c r="Z2" s="4" t="s">
        <v>1404</v>
      </c>
      <c r="AA2" s="4" t="s">
        <v>1424</v>
      </c>
      <c r="AB2" s="4" t="s">
        <v>1407</v>
      </c>
      <c r="AC2" s="4" t="s">
        <v>1400</v>
      </c>
      <c r="AD2" s="4" t="s">
        <v>1402</v>
      </c>
      <c r="AE2" s="4" t="s">
        <v>1403</v>
      </c>
      <c r="AF2" s="4" t="s">
        <v>1404</v>
      </c>
      <c r="AG2" s="4" t="s">
        <v>1424</v>
      </c>
      <c r="AH2" s="1" t="s">
        <v>1412</v>
      </c>
      <c r="AI2" s="1" t="s">
        <v>1413</v>
      </c>
      <c r="AJ2" s="1" t="s">
        <v>1414</v>
      </c>
      <c r="AK2" s="1" t="s">
        <v>1415</v>
      </c>
      <c r="AL2" s="1" t="s">
        <v>1416</v>
      </c>
      <c r="AM2" s="1" t="s">
        <v>1417</v>
      </c>
      <c r="AN2" s="1" t="s">
        <v>1418</v>
      </c>
      <c r="AO2" s="1" t="s">
        <v>1419</v>
      </c>
      <c r="AP2" s="1" t="s">
        <v>1420</v>
      </c>
      <c r="AQ2" s="1" t="s">
        <v>1421</v>
      </c>
      <c r="AR2" s="1" t="s">
        <v>1422</v>
      </c>
      <c r="AS2" s="1" t="s">
        <v>1423</v>
      </c>
      <c r="AT2" s="4" t="s">
        <v>1433</v>
      </c>
      <c r="AU2" s="4" t="s">
        <v>1434</v>
      </c>
      <c r="AV2" s="4" t="s">
        <v>1436</v>
      </c>
      <c r="AW2" s="4" t="s">
        <v>1437</v>
      </c>
      <c r="AX2" s="4" t="s">
        <v>1427</v>
      </c>
      <c r="AY2" s="4" t="s">
        <v>1429</v>
      </c>
      <c r="AZ2" s="4" t="s">
        <v>1428</v>
      </c>
    </row>
    <row r="3" spans="1:52" ht="14.5" x14ac:dyDescent="0.35">
      <c r="A3" s="4" t="s">
        <v>54</v>
      </c>
      <c r="B3" s="4" t="s">
        <v>55</v>
      </c>
      <c r="C3" s="4" t="s">
        <v>56</v>
      </c>
      <c r="D3" s="4"/>
      <c r="E3" s="4"/>
      <c r="F3" s="4"/>
      <c r="G3" s="4"/>
      <c r="H3" s="4"/>
      <c r="I3" s="4"/>
      <c r="J3" s="4" t="s">
        <v>66</v>
      </c>
      <c r="K3" s="4" t="s">
        <v>68</v>
      </c>
      <c r="L3" s="4">
        <v>47</v>
      </c>
      <c r="M3" s="4" t="s">
        <v>60</v>
      </c>
      <c r="N3" s="4" t="s">
        <v>61</v>
      </c>
      <c r="O3" s="4">
        <v>4909</v>
      </c>
      <c r="P3" s="4" t="s">
        <v>57</v>
      </c>
      <c r="Q3" s="4" t="s">
        <v>50</v>
      </c>
      <c r="R3" s="4">
        <v>50</v>
      </c>
      <c r="S3" s="4" t="s">
        <v>60</v>
      </c>
      <c r="T3" s="4" t="s">
        <v>61</v>
      </c>
      <c r="U3" s="4">
        <v>10701</v>
      </c>
      <c r="V3" s="4" t="s">
        <v>62</v>
      </c>
      <c r="W3" s="4" t="s">
        <v>64</v>
      </c>
      <c r="X3" s="4">
        <v>35</v>
      </c>
      <c r="Y3" s="4" t="s">
        <v>65</v>
      </c>
      <c r="Z3" s="4" t="s">
        <v>61</v>
      </c>
      <c r="AA3" s="4">
        <v>6877</v>
      </c>
      <c r="AB3" s="4" t="s">
        <v>69</v>
      </c>
      <c r="AC3" s="4" t="s">
        <v>64</v>
      </c>
      <c r="AD3" s="4">
        <v>39</v>
      </c>
      <c r="AE3" s="4" t="s">
        <v>65</v>
      </c>
      <c r="AF3" s="4" t="s">
        <v>61</v>
      </c>
      <c r="AG3" s="4">
        <v>134</v>
      </c>
      <c r="AH3" s="1">
        <v>33156</v>
      </c>
      <c r="AI3" s="1">
        <v>31498</v>
      </c>
      <c r="AJ3" s="1">
        <v>415</v>
      </c>
      <c r="AK3" s="1">
        <v>861</v>
      </c>
      <c r="AL3" s="1">
        <v>108</v>
      </c>
      <c r="AM3" s="1">
        <v>49</v>
      </c>
      <c r="AN3" s="1">
        <v>2</v>
      </c>
      <c r="AO3" s="1">
        <v>223</v>
      </c>
      <c r="AP3" s="9">
        <v>0.94999396790927737</v>
      </c>
      <c r="AQ3" s="9">
        <v>1.2516588249487271E-2</v>
      </c>
      <c r="AR3" s="9">
        <v>2.5968150560984438E-2</v>
      </c>
      <c r="AS3" s="9">
        <v>1.1521293280250935E-2</v>
      </c>
      <c r="AT3" s="4">
        <v>22621</v>
      </c>
      <c r="AU3" s="4">
        <v>68.2</v>
      </c>
      <c r="AV3" s="4" t="str">
        <f>IF(AW3&gt;0,Q3,E3)</f>
        <v>BERSATU</v>
      </c>
      <c r="AW3" s="4">
        <f>U3-O3-I3</f>
        <v>5792</v>
      </c>
      <c r="AX3" s="52">
        <f>I3/AT3</f>
        <v>0</v>
      </c>
      <c r="AY3" s="52">
        <f>O3/AT3</f>
        <v>0.21701074223067063</v>
      </c>
      <c r="AZ3" s="52">
        <f>U3/AT3</f>
        <v>0.47305600990230318</v>
      </c>
    </row>
    <row r="4" spans="1:52" ht="14.5" x14ac:dyDescent="0.35">
      <c r="A4" s="4" t="s">
        <v>54</v>
      </c>
      <c r="B4" s="4" t="s">
        <v>55</v>
      </c>
      <c r="C4" s="4" t="s">
        <v>70</v>
      </c>
      <c r="D4" s="4" t="s">
        <v>72</v>
      </c>
      <c r="E4" s="4" t="s">
        <v>51</v>
      </c>
      <c r="F4" s="4">
        <v>64</v>
      </c>
      <c r="G4" s="4" t="s">
        <v>65</v>
      </c>
      <c r="H4" s="4" t="s">
        <v>61</v>
      </c>
      <c r="I4" s="4">
        <v>5394</v>
      </c>
      <c r="J4" s="4"/>
      <c r="K4" s="4"/>
      <c r="L4" s="4"/>
      <c r="M4" s="4"/>
      <c r="N4" s="4"/>
      <c r="O4" s="4"/>
      <c r="P4" s="4" t="s">
        <v>71</v>
      </c>
      <c r="Q4" s="4" t="s">
        <v>50</v>
      </c>
      <c r="R4" s="4">
        <v>33</v>
      </c>
      <c r="S4" s="4" t="s">
        <v>65</v>
      </c>
      <c r="T4" s="4" t="s">
        <v>61</v>
      </c>
      <c r="U4" s="4">
        <v>13364</v>
      </c>
      <c r="V4" s="4" t="s">
        <v>75</v>
      </c>
      <c r="W4" s="4" t="s">
        <v>64</v>
      </c>
      <c r="X4" s="4">
        <v>68</v>
      </c>
      <c r="Y4" s="4" t="s">
        <v>65</v>
      </c>
      <c r="Z4" s="4" t="s">
        <v>61</v>
      </c>
      <c r="AA4" s="4">
        <v>2013</v>
      </c>
      <c r="AB4" s="4"/>
      <c r="AC4" s="4"/>
      <c r="AD4" s="4"/>
      <c r="AE4" s="4"/>
      <c r="AF4" s="4"/>
      <c r="AG4" s="4"/>
      <c r="AH4" s="1">
        <v>34694</v>
      </c>
      <c r="AI4" s="1">
        <v>29303</v>
      </c>
      <c r="AJ4" s="1">
        <v>4131</v>
      </c>
      <c r="AK4" s="1">
        <v>741</v>
      </c>
      <c r="AL4" s="1">
        <v>132</v>
      </c>
      <c r="AM4" s="1">
        <v>73</v>
      </c>
      <c r="AN4" s="1">
        <v>3</v>
      </c>
      <c r="AO4" s="1">
        <v>311</v>
      </c>
      <c r="AP4" s="9">
        <v>0.84461290136623046</v>
      </c>
      <c r="AQ4" s="9">
        <v>0.11906957975442439</v>
      </c>
      <c r="AR4" s="9">
        <v>2.135815991237678E-2</v>
      </c>
      <c r="AS4" s="9">
        <v>1.4959358966968352E-2</v>
      </c>
      <c r="AT4" s="4">
        <v>20771</v>
      </c>
      <c r="AU4" s="4">
        <v>59.9</v>
      </c>
      <c r="AV4" s="4" t="str">
        <f t="shared" ref="AV4:AV38" si="0">IF(AW4&gt;0,Q4,E4)</f>
        <v>BERSATU</v>
      </c>
      <c r="AW4" s="4">
        <f t="shared" ref="AW4:AW38" si="1">U4-O4-I4</f>
        <v>7970</v>
      </c>
      <c r="AX4" s="52">
        <f t="shared" ref="AX4:AX39" si="2">I4/AT4</f>
        <v>0.25968898945645369</v>
      </c>
      <c r="AY4" s="52">
        <f t="shared" ref="AY4:AY39" si="3">O4/AT4</f>
        <v>0</v>
      </c>
      <c r="AZ4" s="52">
        <f t="shared" ref="AZ4:AZ39" si="4">U4/AT4</f>
        <v>0.64339704395551489</v>
      </c>
    </row>
    <row r="5" spans="1:52" ht="14.5" x14ac:dyDescent="0.35">
      <c r="A5" s="4" t="s">
        <v>54</v>
      </c>
      <c r="B5" s="4" t="s">
        <v>76</v>
      </c>
      <c r="C5" s="4" t="s">
        <v>77</v>
      </c>
      <c r="D5" s="4" t="s">
        <v>80</v>
      </c>
      <c r="E5" s="4" t="s">
        <v>48</v>
      </c>
      <c r="F5" s="4">
        <v>58</v>
      </c>
      <c r="G5" s="4" t="s">
        <v>60</v>
      </c>
      <c r="H5" s="4" t="s">
        <v>61</v>
      </c>
      <c r="I5" s="4">
        <v>4090</v>
      </c>
      <c r="J5" s="4"/>
      <c r="K5" s="4"/>
      <c r="L5" s="4"/>
      <c r="M5" s="4"/>
      <c r="N5" s="4"/>
      <c r="O5" s="4"/>
      <c r="P5" s="4" t="s">
        <v>78</v>
      </c>
      <c r="Q5" s="4" t="s">
        <v>50</v>
      </c>
      <c r="R5" s="4">
        <v>38</v>
      </c>
      <c r="S5" s="4" t="s">
        <v>65</v>
      </c>
      <c r="T5" s="4" t="s">
        <v>61</v>
      </c>
      <c r="U5" s="4">
        <v>17180</v>
      </c>
      <c r="V5" s="4" t="s">
        <v>82</v>
      </c>
      <c r="W5" s="4" t="s">
        <v>64</v>
      </c>
      <c r="X5" s="4">
        <v>54</v>
      </c>
      <c r="Y5" s="4" t="s">
        <v>65</v>
      </c>
      <c r="Z5" s="4" t="s">
        <v>61</v>
      </c>
      <c r="AA5" s="4">
        <v>312</v>
      </c>
      <c r="AB5" s="4"/>
      <c r="AC5" s="4"/>
      <c r="AD5" s="4"/>
      <c r="AE5" s="4"/>
      <c r="AF5" s="4"/>
      <c r="AG5" s="4"/>
      <c r="AH5" s="1">
        <v>29777</v>
      </c>
      <c r="AI5" s="1">
        <v>27265</v>
      </c>
      <c r="AJ5" s="1">
        <v>2040</v>
      </c>
      <c r="AK5" s="1">
        <v>35</v>
      </c>
      <c r="AL5" s="1">
        <v>14</v>
      </c>
      <c r="AM5" s="1">
        <v>11</v>
      </c>
      <c r="AN5" s="1">
        <v>0</v>
      </c>
      <c r="AO5" s="1">
        <v>412</v>
      </c>
      <c r="AP5" s="9">
        <v>0.9156395876011687</v>
      </c>
      <c r="AQ5" s="9">
        <v>6.8509252107331164E-2</v>
      </c>
      <c r="AR5" s="9">
        <v>1.1754038351747993E-3</v>
      </c>
      <c r="AS5" s="9">
        <v>1.4675756456325352E-2</v>
      </c>
      <c r="AT5" s="4">
        <v>21582</v>
      </c>
      <c r="AU5" s="4">
        <v>72.5</v>
      </c>
      <c r="AV5" s="4" t="str">
        <f t="shared" si="0"/>
        <v>BERSATU</v>
      </c>
      <c r="AW5" s="4">
        <f t="shared" si="1"/>
        <v>13090</v>
      </c>
      <c r="AX5" s="52">
        <f t="shared" si="2"/>
        <v>0.18950977666573998</v>
      </c>
      <c r="AY5" s="52">
        <f t="shared" si="3"/>
        <v>0</v>
      </c>
      <c r="AZ5" s="52">
        <f t="shared" si="4"/>
        <v>0.79603373181354831</v>
      </c>
    </row>
    <row r="6" spans="1:52" ht="14.5" x14ac:dyDescent="0.35">
      <c r="A6" s="4" t="s">
        <v>54</v>
      </c>
      <c r="B6" s="4" t="s">
        <v>76</v>
      </c>
      <c r="C6" s="4" t="s">
        <v>84</v>
      </c>
      <c r="D6" s="4"/>
      <c r="E6" s="4"/>
      <c r="F6" s="4"/>
      <c r="G6" s="4"/>
      <c r="H6" s="4"/>
      <c r="I6" s="4"/>
      <c r="J6" s="4" t="s">
        <v>85</v>
      </c>
      <c r="K6" s="4" t="s">
        <v>68</v>
      </c>
      <c r="L6" s="4">
        <v>45</v>
      </c>
      <c r="M6" s="4" t="s">
        <v>65</v>
      </c>
      <c r="N6" s="4" t="s">
        <v>61</v>
      </c>
      <c r="O6" s="4">
        <v>6105</v>
      </c>
      <c r="P6" s="4" t="s">
        <v>86</v>
      </c>
      <c r="Q6" s="4" t="s">
        <v>52</v>
      </c>
      <c r="R6" s="4">
        <v>61</v>
      </c>
      <c r="S6" s="4" t="s">
        <v>65</v>
      </c>
      <c r="T6" s="4" t="s">
        <v>61</v>
      </c>
      <c r="U6" s="4">
        <v>22078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1">
        <v>37819</v>
      </c>
      <c r="AI6" s="1">
        <v>34128</v>
      </c>
      <c r="AJ6" s="1">
        <v>2490</v>
      </c>
      <c r="AK6" s="1">
        <v>32</v>
      </c>
      <c r="AL6" s="1">
        <v>28</v>
      </c>
      <c r="AM6" s="1">
        <v>15</v>
      </c>
      <c r="AN6" s="1">
        <v>0</v>
      </c>
      <c r="AO6" s="1">
        <v>1126</v>
      </c>
      <c r="AP6" s="9">
        <v>0.9024035537692694</v>
      </c>
      <c r="AQ6" s="9">
        <v>6.5839921732462517E-2</v>
      </c>
      <c r="AR6" s="9">
        <v>8.4613554033686773E-4</v>
      </c>
      <c r="AS6" s="9">
        <v>3.09103889579312E-2</v>
      </c>
      <c r="AT6" s="4">
        <v>28183</v>
      </c>
      <c r="AU6" s="4">
        <v>74.5</v>
      </c>
      <c r="AV6" s="4" t="str">
        <f t="shared" si="0"/>
        <v>PAS</v>
      </c>
      <c r="AW6" s="4">
        <f t="shared" si="1"/>
        <v>15973</v>
      </c>
      <c r="AX6" s="52">
        <f t="shared" si="2"/>
        <v>0</v>
      </c>
      <c r="AY6" s="52">
        <f t="shared" si="3"/>
        <v>0.21661994819572084</v>
      </c>
      <c r="AZ6" s="52">
        <f t="shared" si="4"/>
        <v>0.78338005180427916</v>
      </c>
    </row>
    <row r="7" spans="1:52" ht="14.5" x14ac:dyDescent="0.35">
      <c r="A7" s="4" t="s">
        <v>54</v>
      </c>
      <c r="B7" s="4" t="s">
        <v>88</v>
      </c>
      <c r="C7" s="4" t="s">
        <v>89</v>
      </c>
      <c r="D7" s="4"/>
      <c r="E7" s="4"/>
      <c r="F7" s="4"/>
      <c r="G7" s="4"/>
      <c r="H7" s="4"/>
      <c r="I7" s="4"/>
      <c r="J7" s="4" t="s">
        <v>92</v>
      </c>
      <c r="K7" s="4" t="s">
        <v>68</v>
      </c>
      <c r="L7" s="4">
        <v>66</v>
      </c>
      <c r="M7" s="4" t="s">
        <v>65</v>
      </c>
      <c r="N7" s="4" t="s">
        <v>61</v>
      </c>
      <c r="O7" s="4">
        <v>9117</v>
      </c>
      <c r="P7" s="4" t="s">
        <v>90</v>
      </c>
      <c r="Q7" s="4" t="s">
        <v>50</v>
      </c>
      <c r="R7" s="4">
        <v>55</v>
      </c>
      <c r="S7" s="4" t="s">
        <v>60</v>
      </c>
      <c r="T7" s="4" t="s">
        <v>61</v>
      </c>
      <c r="U7" s="4">
        <v>24551</v>
      </c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1">
        <v>46054</v>
      </c>
      <c r="AI7" s="1">
        <v>41125</v>
      </c>
      <c r="AJ7" s="1">
        <v>3034</v>
      </c>
      <c r="AK7" s="1">
        <v>972</v>
      </c>
      <c r="AL7" s="1">
        <v>141</v>
      </c>
      <c r="AM7" s="1">
        <v>111</v>
      </c>
      <c r="AN7" s="1">
        <v>6</v>
      </c>
      <c r="AO7" s="1">
        <v>665</v>
      </c>
      <c r="AP7" s="9">
        <v>0.892973465931298</v>
      </c>
      <c r="AQ7" s="9">
        <v>6.587918530420811E-2</v>
      </c>
      <c r="AR7" s="9">
        <v>2.1105658574716638E-2</v>
      </c>
      <c r="AS7" s="9">
        <v>2.0041690189777219E-2</v>
      </c>
      <c r="AT7" s="4">
        <v>33668</v>
      </c>
      <c r="AU7" s="4">
        <v>73.099999999999994</v>
      </c>
      <c r="AV7" s="4" t="str">
        <f t="shared" si="0"/>
        <v>BERSATU</v>
      </c>
      <c r="AW7" s="4">
        <f t="shared" si="1"/>
        <v>15434</v>
      </c>
      <c r="AX7" s="52">
        <f t="shared" si="2"/>
        <v>0</v>
      </c>
      <c r="AY7" s="52">
        <f t="shared" si="3"/>
        <v>0.27079125579184982</v>
      </c>
      <c r="AZ7" s="52">
        <f t="shared" si="4"/>
        <v>0.72920874420815018</v>
      </c>
    </row>
    <row r="8" spans="1:52" ht="14.5" x14ac:dyDescent="0.35">
      <c r="A8" s="4" t="s">
        <v>54</v>
      </c>
      <c r="B8" s="4" t="s">
        <v>88</v>
      </c>
      <c r="C8" s="4" t="s">
        <v>94</v>
      </c>
      <c r="D8" s="4" t="s">
        <v>95</v>
      </c>
      <c r="E8" s="4" t="s">
        <v>51</v>
      </c>
      <c r="F8" s="4">
        <v>46</v>
      </c>
      <c r="G8" s="4" t="s">
        <v>60</v>
      </c>
      <c r="H8" s="4" t="s">
        <v>61</v>
      </c>
      <c r="I8" s="4">
        <v>11170</v>
      </c>
      <c r="J8" s="4"/>
      <c r="K8" s="4"/>
      <c r="L8" s="4"/>
      <c r="M8" s="4"/>
      <c r="N8" s="4"/>
      <c r="O8" s="4"/>
      <c r="P8" s="4" t="s">
        <v>97</v>
      </c>
      <c r="Q8" s="4" t="s">
        <v>52</v>
      </c>
      <c r="R8" s="4">
        <v>51</v>
      </c>
      <c r="S8" s="4" t="s">
        <v>65</v>
      </c>
      <c r="T8" s="4" t="s">
        <v>61</v>
      </c>
      <c r="U8" s="4">
        <v>34342</v>
      </c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1">
        <v>63059</v>
      </c>
      <c r="AI8" s="1">
        <v>52859</v>
      </c>
      <c r="AJ8" s="1">
        <v>6359</v>
      </c>
      <c r="AK8" s="1">
        <v>2690</v>
      </c>
      <c r="AL8" s="1">
        <v>61</v>
      </c>
      <c r="AM8" s="1">
        <v>58</v>
      </c>
      <c r="AN8" s="1">
        <v>3</v>
      </c>
      <c r="AO8" s="1">
        <v>1029</v>
      </c>
      <c r="AP8" s="9">
        <v>0.83824672132447386</v>
      </c>
      <c r="AQ8" s="9">
        <v>0.10084206853898729</v>
      </c>
      <c r="AR8" s="9">
        <v>4.2658462709526002E-2</v>
      </c>
      <c r="AS8" s="9">
        <v>1.8252747427012796E-2</v>
      </c>
      <c r="AT8" s="4">
        <v>45512</v>
      </c>
      <c r="AU8" s="4">
        <v>72.2</v>
      </c>
      <c r="AV8" s="4" t="str">
        <f t="shared" si="0"/>
        <v>PAS</v>
      </c>
      <c r="AW8" s="4">
        <f t="shared" si="1"/>
        <v>23172</v>
      </c>
      <c r="AX8" s="52">
        <f t="shared" si="2"/>
        <v>0.24542977676217262</v>
      </c>
      <c r="AY8" s="52">
        <f t="shared" si="3"/>
        <v>0</v>
      </c>
      <c r="AZ8" s="52">
        <f t="shared" si="4"/>
        <v>0.75457022323782741</v>
      </c>
    </row>
    <row r="9" spans="1:52" ht="14.5" x14ac:dyDescent="0.35">
      <c r="A9" s="4" t="s">
        <v>54</v>
      </c>
      <c r="B9" s="4" t="s">
        <v>99</v>
      </c>
      <c r="C9" s="4" t="s">
        <v>100</v>
      </c>
      <c r="D9" s="4" t="s">
        <v>101</v>
      </c>
      <c r="E9" s="4" t="s">
        <v>48</v>
      </c>
      <c r="F9" s="4">
        <v>48</v>
      </c>
      <c r="G9" s="4" t="s">
        <v>65</v>
      </c>
      <c r="H9" s="4" t="s">
        <v>61</v>
      </c>
      <c r="I9" s="4">
        <v>4215</v>
      </c>
      <c r="J9" s="4"/>
      <c r="K9" s="4"/>
      <c r="L9" s="4"/>
      <c r="M9" s="4"/>
      <c r="N9" s="4"/>
      <c r="O9" s="4"/>
      <c r="P9" s="4" t="s">
        <v>103</v>
      </c>
      <c r="Q9" s="4" t="s">
        <v>52</v>
      </c>
      <c r="R9" s="4">
        <v>60</v>
      </c>
      <c r="S9" s="4" t="s">
        <v>65</v>
      </c>
      <c r="T9" s="4" t="s">
        <v>61</v>
      </c>
      <c r="U9" s="4">
        <v>19661</v>
      </c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1">
        <v>31481</v>
      </c>
      <c r="AI9" s="1">
        <v>30464</v>
      </c>
      <c r="AJ9" s="1">
        <v>474</v>
      </c>
      <c r="AK9" s="1">
        <v>50</v>
      </c>
      <c r="AL9" s="1">
        <v>22</v>
      </c>
      <c r="AM9" s="1">
        <v>17</v>
      </c>
      <c r="AN9" s="1">
        <v>1</v>
      </c>
      <c r="AO9" s="1">
        <v>453</v>
      </c>
      <c r="AP9" s="9">
        <v>0.96769480003811825</v>
      </c>
      <c r="AQ9" s="9">
        <v>1.5056700867189734E-2</v>
      </c>
      <c r="AR9" s="9">
        <v>1.5882595851465964E-3</v>
      </c>
      <c r="AS9" s="9">
        <v>1.566023950954544E-2</v>
      </c>
      <c r="AT9" s="4">
        <v>23876</v>
      </c>
      <c r="AU9" s="4">
        <v>75.8</v>
      </c>
      <c r="AV9" s="4" t="str">
        <f t="shared" si="0"/>
        <v>PAS</v>
      </c>
      <c r="AW9" s="4">
        <f t="shared" si="1"/>
        <v>15446</v>
      </c>
      <c r="AX9" s="52">
        <f t="shared" si="2"/>
        <v>0.17653710839336573</v>
      </c>
      <c r="AY9" s="52">
        <f t="shared" si="3"/>
        <v>0</v>
      </c>
      <c r="AZ9" s="52">
        <f t="shared" si="4"/>
        <v>0.82346289160663433</v>
      </c>
    </row>
    <row r="10" spans="1:52" ht="14.5" x14ac:dyDescent="0.35">
      <c r="A10" s="4" t="s">
        <v>54</v>
      </c>
      <c r="B10" s="4" t="s">
        <v>99</v>
      </c>
      <c r="C10" s="4" t="s">
        <v>105</v>
      </c>
      <c r="D10" s="4"/>
      <c r="E10" s="4"/>
      <c r="F10" s="4"/>
      <c r="G10" s="4"/>
      <c r="H10" s="4"/>
      <c r="I10" s="4"/>
      <c r="J10" s="4" t="s">
        <v>107</v>
      </c>
      <c r="K10" s="4" t="s">
        <v>68</v>
      </c>
      <c r="L10" s="4">
        <v>64</v>
      </c>
      <c r="M10" s="4" t="s">
        <v>65</v>
      </c>
      <c r="N10" s="4" t="s">
        <v>61</v>
      </c>
      <c r="O10" s="4">
        <v>8024</v>
      </c>
      <c r="P10" s="4" t="s">
        <v>106</v>
      </c>
      <c r="Q10" s="4" t="s">
        <v>52</v>
      </c>
      <c r="R10" s="4">
        <v>54</v>
      </c>
      <c r="S10" s="4" t="s">
        <v>65</v>
      </c>
      <c r="T10" s="4" t="s">
        <v>61</v>
      </c>
      <c r="U10" s="4">
        <v>14397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1">
        <v>28606</v>
      </c>
      <c r="AI10" s="1">
        <v>24588</v>
      </c>
      <c r="AJ10" s="1">
        <v>311</v>
      </c>
      <c r="AK10" s="1">
        <v>25</v>
      </c>
      <c r="AL10" s="1">
        <v>16</v>
      </c>
      <c r="AM10" s="1">
        <v>7</v>
      </c>
      <c r="AN10" s="1">
        <v>0</v>
      </c>
      <c r="AO10" s="1">
        <v>3659</v>
      </c>
      <c r="AP10" s="9">
        <v>0.85953995665245053</v>
      </c>
      <c r="AQ10" s="9">
        <v>1.0871845067468364E-2</v>
      </c>
      <c r="AR10" s="9">
        <v>8.7394252953925755E-4</v>
      </c>
      <c r="AS10" s="9">
        <v>0.12871425575054185</v>
      </c>
      <c r="AT10" s="4">
        <v>22421</v>
      </c>
      <c r="AU10" s="4">
        <v>78.400000000000006</v>
      </c>
      <c r="AV10" s="4" t="str">
        <f t="shared" si="0"/>
        <v>PAS</v>
      </c>
      <c r="AW10" s="4">
        <f t="shared" si="1"/>
        <v>6373</v>
      </c>
      <c r="AX10" s="52">
        <f t="shared" si="2"/>
        <v>0</v>
      </c>
      <c r="AY10" s="52">
        <f t="shared" si="3"/>
        <v>0.35787877436332011</v>
      </c>
      <c r="AZ10" s="52">
        <f t="shared" si="4"/>
        <v>0.64212122563667995</v>
      </c>
    </row>
    <row r="11" spans="1:52" ht="14.5" x14ac:dyDescent="0.35">
      <c r="A11" s="4" t="s">
        <v>54</v>
      </c>
      <c r="B11" s="4" t="s">
        <v>108</v>
      </c>
      <c r="C11" s="4" t="s">
        <v>109</v>
      </c>
      <c r="D11" s="4"/>
      <c r="E11" s="4"/>
      <c r="F11" s="4"/>
      <c r="G11" s="4"/>
      <c r="H11" s="4"/>
      <c r="I11" s="4"/>
      <c r="J11" s="4" t="s">
        <v>110</v>
      </c>
      <c r="K11" s="4" t="s">
        <v>68</v>
      </c>
      <c r="L11" s="4">
        <v>68</v>
      </c>
      <c r="M11" s="4" t="s">
        <v>65</v>
      </c>
      <c r="N11" s="4" t="s">
        <v>61</v>
      </c>
      <c r="O11" s="4">
        <v>6772</v>
      </c>
      <c r="P11" s="4" t="s">
        <v>112</v>
      </c>
      <c r="Q11" s="4" t="s">
        <v>52</v>
      </c>
      <c r="R11" s="4">
        <v>46</v>
      </c>
      <c r="S11" s="4" t="s">
        <v>65</v>
      </c>
      <c r="T11" s="4" t="s">
        <v>61</v>
      </c>
      <c r="U11" s="4">
        <v>24183</v>
      </c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1">
        <v>40729</v>
      </c>
      <c r="AI11" s="1">
        <v>36653</v>
      </c>
      <c r="AJ11" s="1">
        <v>2888</v>
      </c>
      <c r="AK11" s="1">
        <v>760</v>
      </c>
      <c r="AL11" s="1">
        <v>24</v>
      </c>
      <c r="AM11" s="1">
        <v>17</v>
      </c>
      <c r="AN11" s="1">
        <v>1</v>
      </c>
      <c r="AO11" s="1">
        <v>386</v>
      </c>
      <c r="AP11" s="9">
        <v>0.89992388715657146</v>
      </c>
      <c r="AQ11" s="9">
        <v>7.0907707039210385E-2</v>
      </c>
      <c r="AR11" s="9">
        <v>1.8659922905055366E-2</v>
      </c>
      <c r="AS11" s="9">
        <v>1.0508482899162759E-2</v>
      </c>
      <c r="AT11" s="4">
        <v>30955</v>
      </c>
      <c r="AU11" s="4">
        <v>76</v>
      </c>
      <c r="AV11" s="4" t="str">
        <f t="shared" si="0"/>
        <v>PAS</v>
      </c>
      <c r="AW11" s="4">
        <f t="shared" si="1"/>
        <v>17411</v>
      </c>
      <c r="AX11" s="52">
        <f t="shared" si="2"/>
        <v>0</v>
      </c>
      <c r="AY11" s="52">
        <f t="shared" si="3"/>
        <v>0.21876918106929413</v>
      </c>
      <c r="AZ11" s="52">
        <f t="shared" si="4"/>
        <v>0.78123081893070589</v>
      </c>
    </row>
    <row r="12" spans="1:52" ht="14.5" x14ac:dyDescent="0.35">
      <c r="A12" s="4" t="s">
        <v>54</v>
      </c>
      <c r="B12" s="4" t="s">
        <v>108</v>
      </c>
      <c r="C12" s="4" t="s">
        <v>114</v>
      </c>
      <c r="D12" s="4" t="s">
        <v>117</v>
      </c>
      <c r="E12" s="4" t="s">
        <v>51</v>
      </c>
      <c r="F12" s="4">
        <v>67</v>
      </c>
      <c r="G12" s="4" t="s">
        <v>65</v>
      </c>
      <c r="H12" s="4" t="s">
        <v>61</v>
      </c>
      <c r="I12" s="4">
        <v>4780</v>
      </c>
      <c r="J12" s="4"/>
      <c r="K12" s="4"/>
      <c r="L12" s="4"/>
      <c r="M12" s="4"/>
      <c r="N12" s="4"/>
      <c r="O12" s="4"/>
      <c r="P12" s="4" t="s">
        <v>115</v>
      </c>
      <c r="Q12" s="4" t="s">
        <v>52</v>
      </c>
      <c r="R12" s="4">
        <v>68</v>
      </c>
      <c r="S12" s="4" t="s">
        <v>65</v>
      </c>
      <c r="T12" s="4" t="s">
        <v>61</v>
      </c>
      <c r="U12" s="4">
        <v>23041</v>
      </c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1">
        <v>36791</v>
      </c>
      <c r="AI12" s="1">
        <v>34260</v>
      </c>
      <c r="AJ12" s="1">
        <v>1962</v>
      </c>
      <c r="AK12" s="1">
        <v>345</v>
      </c>
      <c r="AL12" s="1">
        <v>52</v>
      </c>
      <c r="AM12" s="1">
        <v>44</v>
      </c>
      <c r="AN12" s="1">
        <v>2</v>
      </c>
      <c r="AO12" s="1">
        <v>126</v>
      </c>
      <c r="AP12" s="9">
        <v>0.93120600146775023</v>
      </c>
      <c r="AQ12" s="9">
        <v>5.3328259628713542E-2</v>
      </c>
      <c r="AR12" s="9">
        <v>9.3772933597890788E-3</v>
      </c>
      <c r="AS12" s="9">
        <v>6.0884455437471121E-3</v>
      </c>
      <c r="AT12" s="4">
        <v>27821</v>
      </c>
      <c r="AU12" s="4">
        <v>75.599999999999994</v>
      </c>
      <c r="AV12" s="4" t="str">
        <f t="shared" si="0"/>
        <v>PAS</v>
      </c>
      <c r="AW12" s="4">
        <f t="shared" si="1"/>
        <v>18261</v>
      </c>
      <c r="AX12" s="52">
        <f t="shared" si="2"/>
        <v>0.17181265950181518</v>
      </c>
      <c r="AY12" s="52">
        <f t="shared" si="3"/>
        <v>0</v>
      </c>
      <c r="AZ12" s="52">
        <f t="shared" si="4"/>
        <v>0.82818734049818488</v>
      </c>
    </row>
    <row r="13" spans="1:52" ht="14.5" x14ac:dyDescent="0.35">
      <c r="A13" s="4" t="s">
        <v>54</v>
      </c>
      <c r="B13" s="4" t="s">
        <v>108</v>
      </c>
      <c r="C13" s="4" t="s">
        <v>119</v>
      </c>
      <c r="D13" s="4" t="s">
        <v>120</v>
      </c>
      <c r="E13" s="4" t="s">
        <v>49</v>
      </c>
      <c r="F13" s="4">
        <v>57</v>
      </c>
      <c r="G13" s="4" t="s">
        <v>65</v>
      </c>
      <c r="H13" s="4" t="s">
        <v>121</v>
      </c>
      <c r="I13" s="4">
        <v>10771</v>
      </c>
      <c r="J13" s="4"/>
      <c r="K13" s="4"/>
      <c r="L13" s="4"/>
      <c r="M13" s="4"/>
      <c r="N13" s="4"/>
      <c r="O13" s="4"/>
      <c r="P13" s="4" t="s">
        <v>124</v>
      </c>
      <c r="Q13" s="4" t="s">
        <v>50</v>
      </c>
      <c r="R13" s="4">
        <v>41</v>
      </c>
      <c r="S13" s="4" t="s">
        <v>65</v>
      </c>
      <c r="T13" s="4" t="s">
        <v>61</v>
      </c>
      <c r="U13" s="4">
        <v>14433</v>
      </c>
      <c r="V13" s="4" t="s">
        <v>122</v>
      </c>
      <c r="W13" s="4" t="s">
        <v>64</v>
      </c>
      <c r="X13" s="4">
        <v>59</v>
      </c>
      <c r="Y13" s="4" t="s">
        <v>65</v>
      </c>
      <c r="Z13" s="4" t="s">
        <v>61</v>
      </c>
      <c r="AA13" s="4">
        <v>241</v>
      </c>
      <c r="AB13" s="4"/>
      <c r="AC13" s="4"/>
      <c r="AD13" s="4"/>
      <c r="AE13" s="4"/>
      <c r="AF13" s="4"/>
      <c r="AG13" s="4"/>
      <c r="AH13" s="1">
        <v>37738</v>
      </c>
      <c r="AI13" s="1">
        <v>23117</v>
      </c>
      <c r="AJ13" s="1">
        <v>12437</v>
      </c>
      <c r="AK13" s="1">
        <v>1722</v>
      </c>
      <c r="AL13" s="1">
        <v>34</v>
      </c>
      <c r="AM13" s="1">
        <v>38</v>
      </c>
      <c r="AN13" s="1">
        <v>5</v>
      </c>
      <c r="AO13" s="1">
        <v>385</v>
      </c>
      <c r="AP13" s="9">
        <v>0.61256558376172554</v>
      </c>
      <c r="AQ13" s="9">
        <v>0.32956171498224601</v>
      </c>
      <c r="AR13" s="9">
        <v>4.5630399067253163E-2</v>
      </c>
      <c r="AS13" s="9">
        <v>1.224230218877524E-2</v>
      </c>
      <c r="AT13" s="4">
        <v>25445</v>
      </c>
      <c r="AU13" s="4">
        <v>67.400000000000006</v>
      </c>
      <c r="AV13" s="4" t="str">
        <f t="shared" si="0"/>
        <v>BERSATU</v>
      </c>
      <c r="AW13" s="4">
        <f t="shared" si="1"/>
        <v>3662</v>
      </c>
      <c r="AX13" s="52">
        <f t="shared" si="2"/>
        <v>0.42330516800943213</v>
      </c>
      <c r="AY13" s="52">
        <f t="shared" si="3"/>
        <v>0</v>
      </c>
      <c r="AZ13" s="52">
        <f t="shared" si="4"/>
        <v>0.56722342306936535</v>
      </c>
    </row>
    <row r="14" spans="1:52" ht="14.5" x14ac:dyDescent="0.35">
      <c r="A14" s="4" t="s">
        <v>54</v>
      </c>
      <c r="B14" s="4" t="s">
        <v>126</v>
      </c>
      <c r="C14" s="4" t="s">
        <v>127</v>
      </c>
      <c r="D14" s="4" t="s">
        <v>128</v>
      </c>
      <c r="E14" s="4" t="s">
        <v>51</v>
      </c>
      <c r="F14" s="4">
        <v>58</v>
      </c>
      <c r="G14" s="4" t="s">
        <v>65</v>
      </c>
      <c r="H14" s="4" t="s">
        <v>61</v>
      </c>
      <c r="I14" s="4">
        <v>10151</v>
      </c>
      <c r="J14" s="4"/>
      <c r="K14" s="4"/>
      <c r="L14" s="4"/>
      <c r="M14" s="4"/>
      <c r="N14" s="4"/>
      <c r="O14" s="4"/>
      <c r="P14" s="4" t="s">
        <v>130</v>
      </c>
      <c r="Q14" s="4" t="s">
        <v>50</v>
      </c>
      <c r="R14" s="4">
        <v>67</v>
      </c>
      <c r="S14" s="4" t="s">
        <v>65</v>
      </c>
      <c r="T14" s="4" t="s">
        <v>61</v>
      </c>
      <c r="U14" s="4">
        <v>18396</v>
      </c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1">
        <v>41957</v>
      </c>
      <c r="AI14" s="1">
        <v>30297</v>
      </c>
      <c r="AJ14" s="1">
        <v>9727</v>
      </c>
      <c r="AK14" s="1">
        <v>1680</v>
      </c>
      <c r="AL14" s="1">
        <v>27</v>
      </c>
      <c r="AM14" s="1">
        <v>24</v>
      </c>
      <c r="AN14" s="1">
        <v>1</v>
      </c>
      <c r="AO14" s="1">
        <v>201</v>
      </c>
      <c r="AP14" s="9">
        <v>0.72209643206139618</v>
      </c>
      <c r="AQ14" s="9">
        <v>0.23183259050933097</v>
      </c>
      <c r="AR14" s="9">
        <v>4.0040994351359722E-2</v>
      </c>
      <c r="AS14" s="9">
        <v>6.0299830779131014E-3</v>
      </c>
      <c r="AT14" s="4">
        <v>28547</v>
      </c>
      <c r="AU14" s="4">
        <v>68</v>
      </c>
      <c r="AV14" s="4" t="str">
        <f t="shared" si="0"/>
        <v>BERSATU</v>
      </c>
      <c r="AW14" s="4">
        <f t="shared" si="1"/>
        <v>8245</v>
      </c>
      <c r="AX14" s="52">
        <f t="shared" si="2"/>
        <v>0.35558902861946967</v>
      </c>
      <c r="AY14" s="52">
        <f t="shared" si="3"/>
        <v>0</v>
      </c>
      <c r="AZ14" s="52">
        <f t="shared" si="4"/>
        <v>0.64441097138053038</v>
      </c>
    </row>
    <row r="15" spans="1:52" ht="14.5" x14ac:dyDescent="0.35">
      <c r="A15" s="19" t="s">
        <v>54</v>
      </c>
      <c r="B15" s="19" t="s">
        <v>126</v>
      </c>
      <c r="C15" s="19" t="s">
        <v>131</v>
      </c>
      <c r="D15" s="19" t="s">
        <v>133</v>
      </c>
      <c r="E15" s="19" t="s">
        <v>49</v>
      </c>
      <c r="F15" s="19">
        <v>35</v>
      </c>
      <c r="G15" s="19" t="s">
        <v>65</v>
      </c>
      <c r="H15" s="19" t="s">
        <v>121</v>
      </c>
      <c r="I15" s="19">
        <v>11178</v>
      </c>
      <c r="J15" s="19"/>
      <c r="K15" s="19"/>
      <c r="L15" s="19"/>
      <c r="M15" s="19"/>
      <c r="N15" s="19"/>
      <c r="O15" s="19"/>
      <c r="P15" s="19" t="s">
        <v>132</v>
      </c>
      <c r="Q15" s="19" t="s">
        <v>1425</v>
      </c>
      <c r="R15" s="19">
        <v>50</v>
      </c>
      <c r="S15" s="19" t="s">
        <v>65</v>
      </c>
      <c r="T15" s="19" t="s">
        <v>121</v>
      </c>
      <c r="U15" s="19">
        <v>5528</v>
      </c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2">
        <v>25829</v>
      </c>
      <c r="AI15" s="2">
        <v>9187</v>
      </c>
      <c r="AJ15" s="2">
        <v>14615</v>
      </c>
      <c r="AK15" s="2">
        <v>1755</v>
      </c>
      <c r="AL15" s="2">
        <v>37</v>
      </c>
      <c r="AM15" s="2">
        <v>20</v>
      </c>
      <c r="AN15" s="2">
        <v>1</v>
      </c>
      <c r="AO15" s="2">
        <v>214</v>
      </c>
      <c r="AP15" s="20">
        <v>0.35568546982074412</v>
      </c>
      <c r="AQ15" s="20">
        <v>0.5658368500522668</v>
      </c>
      <c r="AR15" s="20">
        <v>6.7946881412365948E-2</v>
      </c>
      <c r="AS15" s="20">
        <v>1.0530798714623098E-2</v>
      </c>
      <c r="AT15" s="19">
        <v>16706</v>
      </c>
      <c r="AU15" s="19">
        <v>64.7</v>
      </c>
      <c r="AV15" s="19" t="str">
        <f t="shared" si="0"/>
        <v>DAP</v>
      </c>
      <c r="AW15" s="19">
        <f t="shared" si="1"/>
        <v>-5650</v>
      </c>
      <c r="AX15" s="52">
        <f t="shared" si="2"/>
        <v>0.66910092182449421</v>
      </c>
      <c r="AY15" s="52">
        <f t="shared" si="3"/>
        <v>0</v>
      </c>
      <c r="AZ15" s="52">
        <f t="shared" si="4"/>
        <v>0.33089907817550579</v>
      </c>
    </row>
    <row r="16" spans="1:52" ht="14.5" x14ac:dyDescent="0.35">
      <c r="A16" s="4" t="s">
        <v>54</v>
      </c>
      <c r="B16" s="4" t="s">
        <v>126</v>
      </c>
      <c r="C16" s="4" t="s">
        <v>134</v>
      </c>
      <c r="D16" s="4" t="s">
        <v>137</v>
      </c>
      <c r="E16" s="4" t="s">
        <v>48</v>
      </c>
      <c r="F16" s="4">
        <v>67</v>
      </c>
      <c r="G16" s="4" t="s">
        <v>65</v>
      </c>
      <c r="H16" s="4" t="s">
        <v>61</v>
      </c>
      <c r="I16" s="4">
        <v>8832</v>
      </c>
      <c r="J16" s="4"/>
      <c r="K16" s="4"/>
      <c r="L16" s="4"/>
      <c r="M16" s="4"/>
      <c r="N16" s="4"/>
      <c r="O16" s="4"/>
      <c r="P16" s="4" t="s">
        <v>135</v>
      </c>
      <c r="Q16" s="4" t="s">
        <v>52</v>
      </c>
      <c r="R16" s="4">
        <v>59</v>
      </c>
      <c r="S16" s="4" t="s">
        <v>65</v>
      </c>
      <c r="T16" s="4" t="s">
        <v>61</v>
      </c>
      <c r="U16" s="4">
        <v>18936</v>
      </c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1">
        <v>38193</v>
      </c>
      <c r="AI16" s="1">
        <v>27718</v>
      </c>
      <c r="AJ16" s="1">
        <v>9092</v>
      </c>
      <c r="AK16" s="1">
        <v>1046</v>
      </c>
      <c r="AL16" s="1">
        <v>25</v>
      </c>
      <c r="AM16" s="1">
        <v>19</v>
      </c>
      <c r="AN16" s="1">
        <v>4</v>
      </c>
      <c r="AO16" s="1">
        <v>289</v>
      </c>
      <c r="AP16" s="9">
        <v>0.72573508234493234</v>
      </c>
      <c r="AQ16" s="9">
        <v>0.23805409368208835</v>
      </c>
      <c r="AR16" s="9">
        <v>2.7387217552954729E-2</v>
      </c>
      <c r="AS16" s="9">
        <v>8.8236064200246118E-3</v>
      </c>
      <c r="AT16" s="4">
        <v>27768</v>
      </c>
      <c r="AU16" s="4">
        <v>72.7</v>
      </c>
      <c r="AV16" s="4" t="str">
        <f t="shared" si="0"/>
        <v>PAS</v>
      </c>
      <c r="AW16" s="4">
        <f t="shared" si="1"/>
        <v>10104</v>
      </c>
      <c r="AX16" s="52">
        <f t="shared" si="2"/>
        <v>0.31806395851339669</v>
      </c>
      <c r="AY16" s="52">
        <f t="shared" si="3"/>
        <v>0</v>
      </c>
      <c r="AZ16" s="52">
        <f t="shared" si="4"/>
        <v>0.68193604148660325</v>
      </c>
    </row>
    <row r="17" spans="1:52" ht="14.5" x14ac:dyDescent="0.35">
      <c r="A17" s="4" t="s">
        <v>54</v>
      </c>
      <c r="B17" s="4" t="s">
        <v>139</v>
      </c>
      <c r="C17" s="4" t="s">
        <v>140</v>
      </c>
      <c r="D17" s="4"/>
      <c r="E17" s="4"/>
      <c r="F17" s="4"/>
      <c r="G17" s="4"/>
      <c r="H17" s="4"/>
      <c r="I17" s="4"/>
      <c r="J17" s="4" t="s">
        <v>142</v>
      </c>
      <c r="K17" s="4" t="s">
        <v>68</v>
      </c>
      <c r="L17" s="4">
        <v>56</v>
      </c>
      <c r="M17" s="4" t="s">
        <v>60</v>
      </c>
      <c r="N17" s="4" t="s">
        <v>61</v>
      </c>
      <c r="O17" s="4">
        <v>5907</v>
      </c>
      <c r="P17" s="4" t="s">
        <v>141</v>
      </c>
      <c r="Q17" s="4" t="s">
        <v>52</v>
      </c>
      <c r="R17" s="4">
        <v>60</v>
      </c>
      <c r="S17" s="4" t="s">
        <v>65</v>
      </c>
      <c r="T17" s="4" t="s">
        <v>61</v>
      </c>
      <c r="U17" s="4">
        <v>21738</v>
      </c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1">
        <v>36491</v>
      </c>
      <c r="AI17" s="1">
        <v>32371</v>
      </c>
      <c r="AJ17" s="1">
        <v>3442</v>
      </c>
      <c r="AK17" s="1">
        <v>472</v>
      </c>
      <c r="AL17" s="1">
        <v>17</v>
      </c>
      <c r="AM17" s="1">
        <v>12</v>
      </c>
      <c r="AN17" s="1">
        <v>0</v>
      </c>
      <c r="AO17" s="1">
        <v>177</v>
      </c>
      <c r="AP17" s="9">
        <v>0.88709544819270503</v>
      </c>
      <c r="AQ17" s="9">
        <v>9.43246279904634E-2</v>
      </c>
      <c r="AR17" s="9">
        <v>1.2934696226466799E-2</v>
      </c>
      <c r="AS17" s="9">
        <v>5.6452275903647476E-3</v>
      </c>
      <c r="AT17" s="4">
        <v>27645</v>
      </c>
      <c r="AU17" s="4">
        <v>75.8</v>
      </c>
      <c r="AV17" s="4" t="str">
        <f t="shared" si="0"/>
        <v>PAS</v>
      </c>
      <c r="AW17" s="4">
        <f t="shared" si="1"/>
        <v>15831</v>
      </c>
      <c r="AX17" s="52">
        <f t="shared" si="2"/>
        <v>0</v>
      </c>
      <c r="AY17" s="52">
        <f t="shared" si="3"/>
        <v>0.21367335865436787</v>
      </c>
      <c r="AZ17" s="52">
        <f t="shared" si="4"/>
        <v>0.78632664134563213</v>
      </c>
    </row>
    <row r="18" spans="1:52" ht="14.5" x14ac:dyDescent="0.35">
      <c r="A18" s="4" t="s">
        <v>54</v>
      </c>
      <c r="B18" s="4" t="s">
        <v>139</v>
      </c>
      <c r="C18" s="4" t="s">
        <v>144</v>
      </c>
      <c r="D18" s="4" t="s">
        <v>145</v>
      </c>
      <c r="E18" s="4" t="s">
        <v>48</v>
      </c>
      <c r="F18" s="4">
        <v>47</v>
      </c>
      <c r="G18" s="4" t="s">
        <v>65</v>
      </c>
      <c r="H18" s="4" t="s">
        <v>61</v>
      </c>
      <c r="I18" s="4">
        <v>12165</v>
      </c>
      <c r="J18" s="4"/>
      <c r="K18" s="4"/>
      <c r="L18" s="4"/>
      <c r="M18" s="4"/>
      <c r="N18" s="4"/>
      <c r="O18" s="4"/>
      <c r="P18" s="4" t="s">
        <v>147</v>
      </c>
      <c r="Q18" s="4" t="s">
        <v>50</v>
      </c>
      <c r="R18" s="4">
        <v>46</v>
      </c>
      <c r="S18" s="4" t="s">
        <v>65</v>
      </c>
      <c r="T18" s="4" t="s">
        <v>61</v>
      </c>
      <c r="U18" s="4">
        <v>22951</v>
      </c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1">
        <v>50233</v>
      </c>
      <c r="AI18" s="1">
        <v>35412</v>
      </c>
      <c r="AJ18" s="1">
        <v>13965</v>
      </c>
      <c r="AK18" s="1">
        <v>489</v>
      </c>
      <c r="AL18" s="1">
        <v>19</v>
      </c>
      <c r="AM18" s="1">
        <v>25</v>
      </c>
      <c r="AN18" s="1">
        <v>0</v>
      </c>
      <c r="AO18" s="1">
        <v>323</v>
      </c>
      <c r="AP18" s="9">
        <v>0.70495491011884615</v>
      </c>
      <c r="AQ18" s="9">
        <v>0.27800449903449925</v>
      </c>
      <c r="AR18" s="9">
        <v>9.7346365934744099E-3</v>
      </c>
      <c r="AS18" s="9">
        <v>7.3059542531801807E-3</v>
      </c>
      <c r="AT18" s="4">
        <v>35116</v>
      </c>
      <c r="AU18" s="4">
        <v>69.900000000000006</v>
      </c>
      <c r="AV18" s="4" t="str">
        <f t="shared" si="0"/>
        <v>BERSATU</v>
      </c>
      <c r="AW18" s="4">
        <f t="shared" si="1"/>
        <v>10786</v>
      </c>
      <c r="AX18" s="52">
        <f t="shared" si="2"/>
        <v>0.34642328283403578</v>
      </c>
      <c r="AY18" s="52">
        <f t="shared" si="3"/>
        <v>0</v>
      </c>
      <c r="AZ18" s="52">
        <f t="shared" si="4"/>
        <v>0.65357671716596422</v>
      </c>
    </row>
    <row r="19" spans="1:52" ht="14.5" x14ac:dyDescent="0.35">
      <c r="A19" s="4" t="s">
        <v>54</v>
      </c>
      <c r="B19" s="4" t="s">
        <v>139</v>
      </c>
      <c r="C19" s="4" t="s">
        <v>149</v>
      </c>
      <c r="D19" s="4" t="s">
        <v>152</v>
      </c>
      <c r="E19" s="4" t="s">
        <v>48</v>
      </c>
      <c r="F19" s="4">
        <v>61</v>
      </c>
      <c r="G19" s="4" t="s">
        <v>65</v>
      </c>
      <c r="H19" s="4" t="s">
        <v>61</v>
      </c>
      <c r="I19" s="4">
        <v>11317</v>
      </c>
      <c r="J19" s="4"/>
      <c r="K19" s="4"/>
      <c r="L19" s="4"/>
      <c r="M19" s="4"/>
      <c r="N19" s="4"/>
      <c r="O19" s="4"/>
      <c r="P19" s="4" t="s">
        <v>150</v>
      </c>
      <c r="Q19" s="4" t="s">
        <v>52</v>
      </c>
      <c r="R19" s="4">
        <v>36</v>
      </c>
      <c r="S19" s="4" t="s">
        <v>60</v>
      </c>
      <c r="T19" s="4" t="s">
        <v>61</v>
      </c>
      <c r="U19" s="4">
        <v>22349</v>
      </c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1">
        <v>46235</v>
      </c>
      <c r="AI19" s="1">
        <v>33320</v>
      </c>
      <c r="AJ19" s="1">
        <v>12093</v>
      </c>
      <c r="AK19" s="1">
        <v>579</v>
      </c>
      <c r="AL19" s="1">
        <v>15</v>
      </c>
      <c r="AM19" s="1">
        <v>29</v>
      </c>
      <c r="AN19" s="1">
        <v>0</v>
      </c>
      <c r="AO19" s="1">
        <v>199</v>
      </c>
      <c r="AP19" s="9">
        <v>0.72066616199848599</v>
      </c>
      <c r="AQ19" s="9">
        <v>0.26155509895101114</v>
      </c>
      <c r="AR19" s="9">
        <v>1.2522980426084136E-2</v>
      </c>
      <c r="AS19" s="9">
        <v>5.2557586244187304E-3</v>
      </c>
      <c r="AT19" s="4">
        <v>33666</v>
      </c>
      <c r="AU19" s="4">
        <v>72.8</v>
      </c>
      <c r="AV19" s="4" t="str">
        <f t="shared" si="0"/>
        <v>PAS</v>
      </c>
      <c r="AW19" s="4">
        <f t="shared" si="1"/>
        <v>11032</v>
      </c>
      <c r="AX19" s="52">
        <f t="shared" si="2"/>
        <v>0.33615517138953249</v>
      </c>
      <c r="AY19" s="52">
        <f t="shared" si="3"/>
        <v>0</v>
      </c>
      <c r="AZ19" s="52">
        <f t="shared" si="4"/>
        <v>0.66384482861046756</v>
      </c>
    </row>
    <row r="20" spans="1:52" ht="14.5" x14ac:dyDescent="0.35">
      <c r="A20" s="4" t="s">
        <v>54</v>
      </c>
      <c r="B20" s="4" t="s">
        <v>154</v>
      </c>
      <c r="C20" s="4" t="s">
        <v>155</v>
      </c>
      <c r="D20" s="4" t="s">
        <v>158</v>
      </c>
      <c r="E20" s="4" t="s">
        <v>48</v>
      </c>
      <c r="F20" s="4">
        <v>62</v>
      </c>
      <c r="G20" s="4" t="s">
        <v>65</v>
      </c>
      <c r="H20" s="4" t="s">
        <v>61</v>
      </c>
      <c r="I20" s="4">
        <v>5410</v>
      </c>
      <c r="J20" s="4"/>
      <c r="K20" s="4"/>
      <c r="L20" s="4"/>
      <c r="M20" s="4"/>
      <c r="N20" s="4"/>
      <c r="O20" s="4"/>
      <c r="P20" s="4" t="s">
        <v>156</v>
      </c>
      <c r="Q20" s="4" t="s">
        <v>52</v>
      </c>
      <c r="R20" s="4">
        <v>67</v>
      </c>
      <c r="S20" s="4" t="s">
        <v>65</v>
      </c>
      <c r="T20" s="4" t="s">
        <v>61</v>
      </c>
      <c r="U20" s="4">
        <v>29329</v>
      </c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1">
        <v>45374</v>
      </c>
      <c r="AI20" s="1">
        <v>41560</v>
      </c>
      <c r="AJ20" s="1">
        <v>3491</v>
      </c>
      <c r="AK20" s="1">
        <v>110</v>
      </c>
      <c r="AL20" s="1">
        <v>23</v>
      </c>
      <c r="AM20" s="1">
        <v>20</v>
      </c>
      <c r="AN20" s="1">
        <v>2</v>
      </c>
      <c r="AO20" s="1">
        <v>168</v>
      </c>
      <c r="AP20" s="9">
        <v>0.9159430510865253</v>
      </c>
      <c r="AQ20" s="9">
        <v>7.6938334729140037E-2</v>
      </c>
      <c r="AR20" s="9">
        <v>2.4242958522501874E-3</v>
      </c>
      <c r="AS20" s="9">
        <v>4.694318332084454E-3</v>
      </c>
      <c r="AT20" s="4">
        <v>34739</v>
      </c>
      <c r="AU20" s="4">
        <v>76.599999999999994</v>
      </c>
      <c r="AV20" s="4" t="str">
        <f t="shared" si="0"/>
        <v>PAS</v>
      </c>
      <c r="AW20" s="4">
        <f t="shared" si="1"/>
        <v>23919</v>
      </c>
      <c r="AX20" s="52">
        <f t="shared" si="2"/>
        <v>0.15573274993523128</v>
      </c>
      <c r="AY20" s="52">
        <f t="shared" si="3"/>
        <v>0</v>
      </c>
      <c r="AZ20" s="52">
        <f t="shared" si="4"/>
        <v>0.84426725006476866</v>
      </c>
    </row>
    <row r="21" spans="1:52" ht="14.5" x14ac:dyDescent="0.35">
      <c r="A21" s="4" t="s">
        <v>54</v>
      </c>
      <c r="B21" s="4" t="s">
        <v>154</v>
      </c>
      <c r="C21" s="4" t="s">
        <v>160</v>
      </c>
      <c r="D21" s="4"/>
      <c r="E21" s="4"/>
      <c r="F21" s="4"/>
      <c r="G21" s="4"/>
      <c r="H21" s="4"/>
      <c r="I21" s="4"/>
      <c r="J21" s="4" t="s">
        <v>163</v>
      </c>
      <c r="K21" s="4" t="s">
        <v>68</v>
      </c>
      <c r="L21" s="4">
        <v>46</v>
      </c>
      <c r="M21" s="4" t="s">
        <v>65</v>
      </c>
      <c r="N21" s="4" t="s">
        <v>61</v>
      </c>
      <c r="O21" s="4">
        <v>10055</v>
      </c>
      <c r="P21" s="4" t="s">
        <v>161</v>
      </c>
      <c r="Q21" s="4" t="s">
        <v>50</v>
      </c>
      <c r="R21" s="4">
        <v>64</v>
      </c>
      <c r="S21" s="4" t="s">
        <v>65</v>
      </c>
      <c r="T21" s="4" t="s">
        <v>61</v>
      </c>
      <c r="U21" s="4">
        <v>27154</v>
      </c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1">
        <v>49414</v>
      </c>
      <c r="AI21" s="1">
        <v>42334</v>
      </c>
      <c r="AJ21" s="1">
        <v>945</v>
      </c>
      <c r="AK21" s="1">
        <v>356</v>
      </c>
      <c r="AL21" s="1">
        <v>14</v>
      </c>
      <c r="AM21" s="1">
        <v>10</v>
      </c>
      <c r="AN21" s="1">
        <v>2</v>
      </c>
      <c r="AO21" s="1">
        <v>5753</v>
      </c>
      <c r="AP21" s="9">
        <v>0.85672076739385594</v>
      </c>
      <c r="AQ21" s="9">
        <v>1.9124134860565831E-2</v>
      </c>
      <c r="AR21" s="9">
        <v>7.2044359898004616E-3</v>
      </c>
      <c r="AS21" s="9">
        <v>0.11695066175577772</v>
      </c>
      <c r="AT21" s="4">
        <v>37209</v>
      </c>
      <c r="AU21" s="4">
        <v>75.3</v>
      </c>
      <c r="AV21" s="4" t="str">
        <f t="shared" si="0"/>
        <v>BERSATU</v>
      </c>
      <c r="AW21" s="4">
        <f t="shared" si="1"/>
        <v>17099</v>
      </c>
      <c r="AX21" s="52">
        <f t="shared" si="2"/>
        <v>0</v>
      </c>
      <c r="AY21" s="52">
        <f t="shared" si="3"/>
        <v>0.27023032062135505</v>
      </c>
      <c r="AZ21" s="52">
        <f t="shared" si="4"/>
        <v>0.7297696793786449</v>
      </c>
    </row>
    <row r="22" spans="1:52" ht="14.5" x14ac:dyDescent="0.35">
      <c r="A22" s="4" t="s">
        <v>54</v>
      </c>
      <c r="B22" s="4" t="s">
        <v>165</v>
      </c>
      <c r="C22" s="4" t="s">
        <v>166</v>
      </c>
      <c r="D22" s="4" t="s">
        <v>169</v>
      </c>
      <c r="E22" s="4" t="s">
        <v>48</v>
      </c>
      <c r="F22" s="4">
        <v>48</v>
      </c>
      <c r="G22" s="4" t="s">
        <v>60</v>
      </c>
      <c r="H22" s="4" t="s">
        <v>61</v>
      </c>
      <c r="I22" s="4">
        <v>4096</v>
      </c>
      <c r="J22" s="4"/>
      <c r="K22" s="4"/>
      <c r="L22" s="4"/>
      <c r="M22" s="4"/>
      <c r="N22" s="4"/>
      <c r="O22" s="4"/>
      <c r="P22" s="4" t="s">
        <v>167</v>
      </c>
      <c r="Q22" s="4" t="s">
        <v>52</v>
      </c>
      <c r="R22" s="4">
        <v>48</v>
      </c>
      <c r="S22" s="4" t="s">
        <v>65</v>
      </c>
      <c r="T22" s="4" t="s">
        <v>61</v>
      </c>
      <c r="U22" s="4">
        <v>23000</v>
      </c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1">
        <v>34283</v>
      </c>
      <c r="AI22" s="1">
        <v>32249</v>
      </c>
      <c r="AJ22" s="1">
        <v>1922</v>
      </c>
      <c r="AK22" s="1">
        <v>24</v>
      </c>
      <c r="AL22" s="1">
        <v>12</v>
      </c>
      <c r="AM22" s="1">
        <v>6</v>
      </c>
      <c r="AN22" s="1">
        <v>1</v>
      </c>
      <c r="AO22" s="1">
        <v>69</v>
      </c>
      <c r="AP22" s="9">
        <v>0.94067030306565935</v>
      </c>
      <c r="AQ22" s="9">
        <v>5.606277163608786E-2</v>
      </c>
      <c r="AR22" s="9">
        <v>7.0005542105416678E-4</v>
      </c>
      <c r="AS22" s="9">
        <v>2.5668698771986118E-3</v>
      </c>
      <c r="AT22" s="4">
        <v>27096</v>
      </c>
      <c r="AU22" s="4">
        <v>79</v>
      </c>
      <c r="AV22" s="4" t="str">
        <f t="shared" si="0"/>
        <v>PAS</v>
      </c>
      <c r="AW22" s="4">
        <f t="shared" si="1"/>
        <v>18904</v>
      </c>
      <c r="AX22" s="52">
        <f t="shared" si="2"/>
        <v>0.15116622379687039</v>
      </c>
      <c r="AY22" s="52">
        <f t="shared" si="3"/>
        <v>0</v>
      </c>
      <c r="AZ22" s="52">
        <f t="shared" si="4"/>
        <v>0.84883377620312961</v>
      </c>
    </row>
    <row r="23" spans="1:52" ht="14.5" x14ac:dyDescent="0.35">
      <c r="A23" s="4" t="s">
        <v>54</v>
      </c>
      <c r="B23" s="4" t="s">
        <v>165</v>
      </c>
      <c r="C23" s="4" t="s">
        <v>170</v>
      </c>
      <c r="D23" s="4"/>
      <c r="E23" s="4"/>
      <c r="F23" s="4"/>
      <c r="G23" s="4"/>
      <c r="H23" s="4"/>
      <c r="I23" s="4"/>
      <c r="J23" s="4" t="s">
        <v>173</v>
      </c>
      <c r="K23" s="4" t="s">
        <v>68</v>
      </c>
      <c r="L23" s="4">
        <v>57</v>
      </c>
      <c r="M23" s="4" t="s">
        <v>65</v>
      </c>
      <c r="N23" s="4" t="s">
        <v>61</v>
      </c>
      <c r="O23" s="4">
        <v>5157</v>
      </c>
      <c r="P23" s="4" t="s">
        <v>175</v>
      </c>
      <c r="Q23" s="4" t="s">
        <v>50</v>
      </c>
      <c r="R23" s="4">
        <v>60</v>
      </c>
      <c r="S23" s="4" t="s">
        <v>65</v>
      </c>
      <c r="T23" s="4" t="s">
        <v>61</v>
      </c>
      <c r="U23" s="4">
        <v>17266</v>
      </c>
      <c r="V23" s="4" t="s">
        <v>171</v>
      </c>
      <c r="W23" s="4" t="s">
        <v>64</v>
      </c>
      <c r="X23" s="4">
        <v>66</v>
      </c>
      <c r="Y23" s="4" t="s">
        <v>65</v>
      </c>
      <c r="Z23" s="4" t="s">
        <v>61</v>
      </c>
      <c r="AA23" s="4">
        <v>176</v>
      </c>
      <c r="AB23" s="4"/>
      <c r="AC23" s="4"/>
      <c r="AD23" s="4"/>
      <c r="AE23" s="4"/>
      <c r="AF23" s="4"/>
      <c r="AG23" s="4"/>
      <c r="AH23" s="1">
        <v>30085</v>
      </c>
      <c r="AI23" s="1">
        <v>27027</v>
      </c>
      <c r="AJ23" s="1">
        <v>2750</v>
      </c>
      <c r="AK23" s="1">
        <v>206</v>
      </c>
      <c r="AL23" s="1">
        <v>24</v>
      </c>
      <c r="AM23" s="1">
        <v>13</v>
      </c>
      <c r="AN23" s="1">
        <v>1</v>
      </c>
      <c r="AO23" s="1">
        <v>64</v>
      </c>
      <c r="AP23" s="9">
        <v>0.89835466179159051</v>
      </c>
      <c r="AQ23" s="9">
        <v>9.1407678244972576E-2</v>
      </c>
      <c r="AR23" s="9">
        <v>6.8472660794415821E-3</v>
      </c>
      <c r="AS23" s="9">
        <v>3.3903938839953463E-3</v>
      </c>
      <c r="AT23" s="4">
        <v>22599</v>
      </c>
      <c r="AU23" s="4">
        <v>75.099999999999994</v>
      </c>
      <c r="AV23" s="4" t="str">
        <f t="shared" si="0"/>
        <v>BERSATU</v>
      </c>
      <c r="AW23" s="4">
        <f t="shared" si="1"/>
        <v>12109</v>
      </c>
      <c r="AX23" s="52">
        <f t="shared" si="2"/>
        <v>0</v>
      </c>
      <c r="AY23" s="52">
        <f t="shared" si="3"/>
        <v>0.22819593787335724</v>
      </c>
      <c r="AZ23" s="52">
        <f t="shared" si="4"/>
        <v>0.76401610690738531</v>
      </c>
    </row>
    <row r="24" spans="1:52" ht="14.5" x14ac:dyDescent="0.35">
      <c r="A24" s="4" t="s">
        <v>54</v>
      </c>
      <c r="B24" s="4" t="s">
        <v>165</v>
      </c>
      <c r="C24" s="4" t="s">
        <v>177</v>
      </c>
      <c r="D24" s="4" t="s">
        <v>178</v>
      </c>
      <c r="E24" s="4" t="s">
        <v>51</v>
      </c>
      <c r="F24" s="4">
        <v>40</v>
      </c>
      <c r="G24" s="4" t="s">
        <v>65</v>
      </c>
      <c r="H24" s="4" t="s">
        <v>61</v>
      </c>
      <c r="I24" s="4">
        <v>11187</v>
      </c>
      <c r="J24" s="4"/>
      <c r="K24" s="4"/>
      <c r="L24" s="4"/>
      <c r="M24" s="4"/>
      <c r="N24" s="4"/>
      <c r="O24" s="4"/>
      <c r="P24" s="4" t="s">
        <v>180</v>
      </c>
      <c r="Q24" s="4" t="s">
        <v>52</v>
      </c>
      <c r="R24" s="4">
        <v>36</v>
      </c>
      <c r="S24" s="4" t="s">
        <v>65</v>
      </c>
      <c r="T24" s="4" t="s">
        <v>61</v>
      </c>
      <c r="U24" s="4">
        <v>17771</v>
      </c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1">
        <v>40941</v>
      </c>
      <c r="AI24" s="1">
        <v>25650</v>
      </c>
      <c r="AJ24" s="1">
        <v>8847</v>
      </c>
      <c r="AK24" s="1">
        <v>6056</v>
      </c>
      <c r="AL24" s="1">
        <v>33</v>
      </c>
      <c r="AM24" s="1">
        <v>31</v>
      </c>
      <c r="AN24" s="1">
        <v>4</v>
      </c>
      <c r="AO24" s="1">
        <v>320</v>
      </c>
      <c r="AP24" s="9">
        <v>0.62651132116948782</v>
      </c>
      <c r="AQ24" s="9">
        <v>0.21609144867003738</v>
      </c>
      <c r="AR24" s="9">
        <v>0.1479201778168584</v>
      </c>
      <c r="AS24" s="9">
        <v>9.4770523436164232E-3</v>
      </c>
      <c r="AT24" s="4">
        <v>28958</v>
      </c>
      <c r="AU24" s="4">
        <v>70.7</v>
      </c>
      <c r="AV24" s="4" t="str">
        <f t="shared" si="0"/>
        <v>PAS</v>
      </c>
      <c r="AW24" s="4">
        <f t="shared" si="1"/>
        <v>6584</v>
      </c>
      <c r="AX24" s="52">
        <f t="shared" si="2"/>
        <v>0.38631811589198151</v>
      </c>
      <c r="AY24" s="52">
        <f t="shared" si="3"/>
        <v>0</v>
      </c>
      <c r="AZ24" s="52">
        <f t="shared" si="4"/>
        <v>0.61368188410801849</v>
      </c>
    </row>
    <row r="25" spans="1:52" ht="14.5" x14ac:dyDescent="0.35">
      <c r="A25" s="4" t="s">
        <v>54</v>
      </c>
      <c r="B25" s="4" t="s">
        <v>181</v>
      </c>
      <c r="C25" s="4" t="s">
        <v>182</v>
      </c>
      <c r="D25" s="4" t="s">
        <v>183</v>
      </c>
      <c r="E25" s="4" t="s">
        <v>48</v>
      </c>
      <c r="F25" s="4">
        <v>60</v>
      </c>
      <c r="G25" s="4" t="s">
        <v>60</v>
      </c>
      <c r="H25" s="4" t="s">
        <v>61</v>
      </c>
      <c r="I25" s="4">
        <v>3626</v>
      </c>
      <c r="J25" s="4"/>
      <c r="K25" s="4"/>
      <c r="L25" s="4"/>
      <c r="M25" s="4"/>
      <c r="N25" s="4"/>
      <c r="O25" s="4"/>
      <c r="P25" s="4" t="s">
        <v>184</v>
      </c>
      <c r="Q25" s="4" t="s">
        <v>52</v>
      </c>
      <c r="R25" s="4">
        <v>64</v>
      </c>
      <c r="S25" s="4" t="s">
        <v>65</v>
      </c>
      <c r="T25" s="4" t="s">
        <v>61</v>
      </c>
      <c r="U25" s="4">
        <v>17782</v>
      </c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1">
        <v>28165</v>
      </c>
      <c r="AI25" s="1">
        <v>26198</v>
      </c>
      <c r="AJ25" s="1">
        <v>457</v>
      </c>
      <c r="AK25" s="1">
        <v>52</v>
      </c>
      <c r="AL25" s="1">
        <v>49</v>
      </c>
      <c r="AM25" s="1">
        <v>13</v>
      </c>
      <c r="AN25" s="1">
        <v>3</v>
      </c>
      <c r="AO25" s="1">
        <v>1393</v>
      </c>
      <c r="AP25" s="9">
        <v>0.93016154802059292</v>
      </c>
      <c r="AQ25" s="9">
        <v>1.6225812178235398E-2</v>
      </c>
      <c r="AR25" s="9">
        <v>1.8462630924906799E-3</v>
      </c>
      <c r="AS25" s="9">
        <v>5.1766376708680985E-2</v>
      </c>
      <c r="AT25" s="4">
        <v>21408</v>
      </c>
      <c r="AU25" s="4">
        <v>76</v>
      </c>
      <c r="AV25" s="4" t="str">
        <f t="shared" si="0"/>
        <v>PAS</v>
      </c>
      <c r="AW25" s="4">
        <f t="shared" si="1"/>
        <v>14156</v>
      </c>
      <c r="AX25" s="52">
        <f t="shared" si="2"/>
        <v>0.16937593423019431</v>
      </c>
      <c r="AY25" s="52">
        <f t="shared" si="3"/>
        <v>0</v>
      </c>
      <c r="AZ25" s="52">
        <f t="shared" si="4"/>
        <v>0.83062406576980563</v>
      </c>
    </row>
    <row r="26" spans="1:52" ht="14.5" x14ac:dyDescent="0.35">
      <c r="A26" s="4" t="s">
        <v>54</v>
      </c>
      <c r="B26" s="4" t="s">
        <v>181</v>
      </c>
      <c r="C26" s="4" t="s">
        <v>186</v>
      </c>
      <c r="D26" s="4"/>
      <c r="E26" s="4"/>
      <c r="F26" s="4"/>
      <c r="G26" s="4"/>
      <c r="H26" s="4"/>
      <c r="I26" s="4"/>
      <c r="J26" s="4" t="s">
        <v>187</v>
      </c>
      <c r="K26" s="4" t="s">
        <v>68</v>
      </c>
      <c r="L26" s="4">
        <v>46</v>
      </c>
      <c r="M26" s="4" t="s">
        <v>65</v>
      </c>
      <c r="N26" s="4" t="s">
        <v>61</v>
      </c>
      <c r="O26" s="4">
        <v>5773</v>
      </c>
      <c r="P26" s="4" t="s">
        <v>189</v>
      </c>
      <c r="Q26" s="4" t="s">
        <v>52</v>
      </c>
      <c r="R26" s="4">
        <v>50</v>
      </c>
      <c r="S26" s="4" t="s">
        <v>65</v>
      </c>
      <c r="T26" s="4" t="s">
        <v>61</v>
      </c>
      <c r="U26" s="4">
        <v>21823</v>
      </c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1">
        <v>35097</v>
      </c>
      <c r="AI26" s="1">
        <v>32345</v>
      </c>
      <c r="AJ26" s="1">
        <v>450</v>
      </c>
      <c r="AK26" s="1">
        <v>38</v>
      </c>
      <c r="AL26" s="1">
        <v>12</v>
      </c>
      <c r="AM26" s="1">
        <v>15</v>
      </c>
      <c r="AN26" s="1">
        <v>2</v>
      </c>
      <c r="AO26" s="1">
        <v>2235</v>
      </c>
      <c r="AP26" s="9">
        <v>0.92158873977832867</v>
      </c>
      <c r="AQ26" s="9">
        <v>1.2821608684502949E-2</v>
      </c>
      <c r="AR26" s="9">
        <v>1.0827136222469158E-3</v>
      </c>
      <c r="AS26" s="9">
        <v>6.45069379149215E-2</v>
      </c>
      <c r="AT26" s="4">
        <v>27596</v>
      </c>
      <c r="AU26" s="4">
        <v>78.599999999999994</v>
      </c>
      <c r="AV26" s="4" t="str">
        <f t="shared" si="0"/>
        <v>PAS</v>
      </c>
      <c r="AW26" s="4">
        <f t="shared" si="1"/>
        <v>16050</v>
      </c>
      <c r="AX26" s="52">
        <f t="shared" si="2"/>
        <v>0</v>
      </c>
      <c r="AY26" s="52">
        <f t="shared" si="3"/>
        <v>0.20919698507030005</v>
      </c>
      <c r="AZ26" s="52">
        <f t="shared" si="4"/>
        <v>0.79080301492969995</v>
      </c>
    </row>
    <row r="27" spans="1:52" ht="14.5" x14ac:dyDescent="0.35">
      <c r="A27" s="4" t="s">
        <v>54</v>
      </c>
      <c r="B27" s="4" t="s">
        <v>190</v>
      </c>
      <c r="C27" s="4" t="s">
        <v>191</v>
      </c>
      <c r="D27" s="4" t="s">
        <v>196</v>
      </c>
      <c r="E27" s="4" t="s">
        <v>51</v>
      </c>
      <c r="F27" s="4">
        <v>64</v>
      </c>
      <c r="G27" s="4" t="s">
        <v>65</v>
      </c>
      <c r="H27" s="4" t="s">
        <v>195</v>
      </c>
      <c r="I27" s="4">
        <v>21843</v>
      </c>
      <c r="J27" s="4"/>
      <c r="K27" s="4"/>
      <c r="L27" s="4"/>
      <c r="M27" s="4"/>
      <c r="N27" s="4"/>
      <c r="O27" s="4"/>
      <c r="P27" s="4" t="s">
        <v>192</v>
      </c>
      <c r="Q27" s="4" t="s">
        <v>52</v>
      </c>
      <c r="R27" s="4">
        <v>69</v>
      </c>
      <c r="S27" s="4" t="s">
        <v>65</v>
      </c>
      <c r="T27" s="4" t="s">
        <v>61</v>
      </c>
      <c r="U27" s="4">
        <v>33508</v>
      </c>
      <c r="V27" s="4" t="s">
        <v>194</v>
      </c>
      <c r="W27" s="4" t="s">
        <v>64</v>
      </c>
      <c r="X27" s="4">
        <v>31</v>
      </c>
      <c r="Y27" s="4" t="s">
        <v>65</v>
      </c>
      <c r="Z27" s="4" t="s">
        <v>195</v>
      </c>
      <c r="AA27" s="4">
        <v>375</v>
      </c>
      <c r="AB27" s="4"/>
      <c r="AC27" s="4"/>
      <c r="AD27" s="4"/>
      <c r="AE27" s="4"/>
      <c r="AF27" s="4"/>
      <c r="AG27" s="4"/>
      <c r="AH27" s="1">
        <v>79518</v>
      </c>
      <c r="AI27" s="1">
        <v>48768</v>
      </c>
      <c r="AJ27" s="1">
        <v>13854</v>
      </c>
      <c r="AK27" s="1">
        <v>15969</v>
      </c>
      <c r="AL27" s="1">
        <v>122</v>
      </c>
      <c r="AM27" s="1">
        <v>98</v>
      </c>
      <c r="AN27" s="1">
        <v>2</v>
      </c>
      <c r="AO27" s="1">
        <v>705</v>
      </c>
      <c r="AP27" s="9">
        <v>0.61329510299554812</v>
      </c>
      <c r="AQ27" s="9">
        <v>0.17422470384063984</v>
      </c>
      <c r="AR27" s="9">
        <v>0.20082245529314119</v>
      </c>
      <c r="AS27" s="9">
        <v>1.1657737870670792E-2</v>
      </c>
      <c r="AT27" s="4">
        <v>55726</v>
      </c>
      <c r="AU27" s="4">
        <v>70.099999999999994</v>
      </c>
      <c r="AV27" s="4" t="str">
        <f t="shared" si="0"/>
        <v>PAS</v>
      </c>
      <c r="AW27" s="4">
        <f t="shared" si="1"/>
        <v>11665</v>
      </c>
      <c r="AX27" s="52">
        <f t="shared" si="2"/>
        <v>0.39197143164770482</v>
      </c>
      <c r="AY27" s="52">
        <f t="shared" si="3"/>
        <v>0</v>
      </c>
      <c r="AZ27" s="52">
        <f t="shared" si="4"/>
        <v>0.60129921401141295</v>
      </c>
    </row>
    <row r="28" spans="1:52" ht="14.5" x14ac:dyDescent="0.35">
      <c r="A28" s="4" t="s">
        <v>54</v>
      </c>
      <c r="B28" s="4" t="s">
        <v>190</v>
      </c>
      <c r="C28" s="4" t="s">
        <v>198</v>
      </c>
      <c r="D28" s="4"/>
      <c r="E28" s="4"/>
      <c r="F28" s="4"/>
      <c r="G28" s="4"/>
      <c r="H28" s="4"/>
      <c r="I28" s="4"/>
      <c r="J28" s="4" t="s">
        <v>199</v>
      </c>
      <c r="K28" s="4" t="s">
        <v>68</v>
      </c>
      <c r="L28" s="4">
        <v>48</v>
      </c>
      <c r="M28" s="4" t="s">
        <v>65</v>
      </c>
      <c r="N28" s="4" t="s">
        <v>61</v>
      </c>
      <c r="O28" s="4">
        <v>9591</v>
      </c>
      <c r="P28" s="4" t="s">
        <v>201</v>
      </c>
      <c r="Q28" s="4" t="s">
        <v>52</v>
      </c>
      <c r="R28" s="4">
        <v>51</v>
      </c>
      <c r="S28" s="4" t="s">
        <v>65</v>
      </c>
      <c r="T28" s="4" t="s">
        <v>61</v>
      </c>
      <c r="U28" s="4">
        <v>31996</v>
      </c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1">
        <v>54629</v>
      </c>
      <c r="AI28" s="1">
        <v>44335</v>
      </c>
      <c r="AJ28" s="1">
        <v>6386</v>
      </c>
      <c r="AK28" s="1">
        <v>3106</v>
      </c>
      <c r="AL28" s="1">
        <v>208</v>
      </c>
      <c r="AM28" s="1">
        <v>341</v>
      </c>
      <c r="AN28" s="1">
        <v>7</v>
      </c>
      <c r="AO28" s="1">
        <v>246</v>
      </c>
      <c r="AP28" s="9">
        <v>0.81156528583719267</v>
      </c>
      <c r="AQ28" s="9">
        <v>0.11689761848102656</v>
      </c>
      <c r="AR28" s="9">
        <v>5.6856248512694725E-2</v>
      </c>
      <c r="AS28" s="9">
        <v>1.4680847169086016E-2</v>
      </c>
      <c r="AT28" s="4">
        <v>41587</v>
      </c>
      <c r="AU28" s="4">
        <v>76.099999999999994</v>
      </c>
      <c r="AV28" s="4" t="str">
        <f t="shared" si="0"/>
        <v>PAS</v>
      </c>
      <c r="AW28" s="4">
        <f t="shared" si="1"/>
        <v>22405</v>
      </c>
      <c r="AX28" s="52">
        <f t="shared" si="2"/>
        <v>0</v>
      </c>
      <c r="AY28" s="52">
        <f t="shared" si="3"/>
        <v>0.23062495491379517</v>
      </c>
      <c r="AZ28" s="52">
        <f t="shared" si="4"/>
        <v>0.7693750450862048</v>
      </c>
    </row>
    <row r="29" spans="1:52" ht="14.5" x14ac:dyDescent="0.35">
      <c r="A29" s="4" t="s">
        <v>54</v>
      </c>
      <c r="B29" s="4" t="s">
        <v>203</v>
      </c>
      <c r="C29" s="4" t="s">
        <v>204</v>
      </c>
      <c r="D29" s="4"/>
      <c r="E29" s="4"/>
      <c r="F29" s="4"/>
      <c r="G29" s="4"/>
      <c r="H29" s="4"/>
      <c r="I29" s="4"/>
      <c r="J29" s="4" t="s">
        <v>207</v>
      </c>
      <c r="K29" s="4" t="s">
        <v>68</v>
      </c>
      <c r="L29" s="4">
        <v>55</v>
      </c>
      <c r="M29" s="4" t="s">
        <v>60</v>
      </c>
      <c r="N29" s="4" t="s">
        <v>61</v>
      </c>
      <c r="O29" s="4">
        <v>8534</v>
      </c>
      <c r="P29" s="4" t="s">
        <v>205</v>
      </c>
      <c r="Q29" s="4" t="s">
        <v>52</v>
      </c>
      <c r="R29" s="4">
        <v>70</v>
      </c>
      <c r="S29" s="4" t="s">
        <v>65</v>
      </c>
      <c r="T29" s="4" t="s">
        <v>61</v>
      </c>
      <c r="U29" s="4">
        <v>32225</v>
      </c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1">
        <v>51502</v>
      </c>
      <c r="AI29" s="1">
        <v>46921</v>
      </c>
      <c r="AJ29" s="1">
        <v>3115</v>
      </c>
      <c r="AK29" s="1">
        <v>1216</v>
      </c>
      <c r="AL29" s="1">
        <v>35</v>
      </c>
      <c r="AM29" s="1">
        <v>35</v>
      </c>
      <c r="AN29" s="1">
        <v>4</v>
      </c>
      <c r="AO29" s="1">
        <v>176</v>
      </c>
      <c r="AP29" s="9">
        <v>0.91105199798066094</v>
      </c>
      <c r="AQ29" s="9">
        <v>6.0483088035416098E-2</v>
      </c>
      <c r="AR29" s="9">
        <v>2.3610733563745098E-2</v>
      </c>
      <c r="AS29" s="9">
        <v>4.8541804201778574E-3</v>
      </c>
      <c r="AT29" s="4">
        <v>40759</v>
      </c>
      <c r="AU29" s="4">
        <v>79.099999999999994</v>
      </c>
      <c r="AV29" s="4" t="str">
        <f t="shared" si="0"/>
        <v>PAS</v>
      </c>
      <c r="AW29" s="4">
        <f t="shared" si="1"/>
        <v>23691</v>
      </c>
      <c r="AX29" s="52">
        <f t="shared" si="2"/>
        <v>0</v>
      </c>
      <c r="AY29" s="52">
        <f t="shared" si="3"/>
        <v>0.20937707009494835</v>
      </c>
      <c r="AZ29" s="52">
        <f t="shared" si="4"/>
        <v>0.79062292990505167</v>
      </c>
    </row>
    <row r="30" spans="1:52" ht="14.5" x14ac:dyDescent="0.35">
      <c r="A30" s="16" t="s">
        <v>54</v>
      </c>
      <c r="B30" s="16" t="s">
        <v>203</v>
      </c>
      <c r="C30" s="16" t="s">
        <v>209</v>
      </c>
      <c r="D30" s="16" t="s">
        <v>210</v>
      </c>
      <c r="E30" s="16" t="s">
        <v>51</v>
      </c>
      <c r="F30" s="16">
        <v>37</v>
      </c>
      <c r="G30" s="16" t="s">
        <v>65</v>
      </c>
      <c r="H30" s="16" t="s">
        <v>121</v>
      </c>
      <c r="I30" s="16">
        <v>21889</v>
      </c>
      <c r="J30" s="16"/>
      <c r="K30" s="16"/>
      <c r="L30" s="16"/>
      <c r="M30" s="16"/>
      <c r="N30" s="16"/>
      <c r="O30" s="16"/>
      <c r="P30" s="16" t="s">
        <v>215</v>
      </c>
      <c r="Q30" s="16" t="s">
        <v>1425</v>
      </c>
      <c r="R30" s="16">
        <v>45</v>
      </c>
      <c r="S30" s="16" t="s">
        <v>65</v>
      </c>
      <c r="T30" s="16" t="s">
        <v>121</v>
      </c>
      <c r="U30" s="16">
        <v>18206</v>
      </c>
      <c r="V30" s="16" t="s">
        <v>212</v>
      </c>
      <c r="W30" s="16" t="s">
        <v>214</v>
      </c>
      <c r="X30" s="16">
        <v>68</v>
      </c>
      <c r="Y30" s="16" t="s">
        <v>65</v>
      </c>
      <c r="Z30" s="16" t="s">
        <v>121</v>
      </c>
      <c r="AA30" s="16">
        <v>138</v>
      </c>
      <c r="AB30" s="16"/>
      <c r="AC30" s="16"/>
      <c r="AD30" s="16"/>
      <c r="AE30" s="16"/>
      <c r="AF30" s="16"/>
      <c r="AG30" s="16"/>
      <c r="AH30" s="17">
        <v>57867</v>
      </c>
      <c r="AI30" s="17">
        <v>27530</v>
      </c>
      <c r="AJ30" s="17">
        <v>21405</v>
      </c>
      <c r="AK30" s="17">
        <v>8478</v>
      </c>
      <c r="AL30" s="17">
        <v>47</v>
      </c>
      <c r="AM30" s="17">
        <v>30</v>
      </c>
      <c r="AN30" s="17">
        <v>5</v>
      </c>
      <c r="AO30" s="17">
        <v>372</v>
      </c>
      <c r="AP30" s="18">
        <v>0.47574610745329809</v>
      </c>
      <c r="AQ30" s="18">
        <v>0.36989994297267875</v>
      </c>
      <c r="AR30" s="18">
        <v>0.14650837264762301</v>
      </c>
      <c r="AS30" s="18">
        <v>7.8455769264001943E-3</v>
      </c>
      <c r="AT30" s="16">
        <v>40233</v>
      </c>
      <c r="AU30" s="16">
        <v>69.5</v>
      </c>
      <c r="AV30" s="16" t="str">
        <f t="shared" si="0"/>
        <v>PKR</v>
      </c>
      <c r="AW30" s="16">
        <f t="shared" si="1"/>
        <v>-3683</v>
      </c>
      <c r="AX30" s="52">
        <f t="shared" si="2"/>
        <v>0.5440558745308578</v>
      </c>
      <c r="AY30" s="52">
        <f t="shared" si="3"/>
        <v>0</v>
      </c>
      <c r="AZ30" s="52">
        <f t="shared" si="4"/>
        <v>0.4525141053364154</v>
      </c>
    </row>
    <row r="31" spans="1:52" ht="14.5" x14ac:dyDescent="0.35">
      <c r="A31" s="16" t="s">
        <v>54</v>
      </c>
      <c r="B31" s="16" t="s">
        <v>203</v>
      </c>
      <c r="C31" s="16" t="s">
        <v>217</v>
      </c>
      <c r="D31" s="16" t="s">
        <v>220</v>
      </c>
      <c r="E31" s="16" t="s">
        <v>51</v>
      </c>
      <c r="F31" s="16">
        <v>57</v>
      </c>
      <c r="G31" s="16" t="s">
        <v>65</v>
      </c>
      <c r="H31" s="16" t="s">
        <v>1435</v>
      </c>
      <c r="I31" s="16">
        <v>21859</v>
      </c>
      <c r="J31" s="16"/>
      <c r="K31" s="16"/>
      <c r="L31" s="16"/>
      <c r="M31" s="16"/>
      <c r="N31" s="16"/>
      <c r="O31" s="16"/>
      <c r="P31" s="16" t="s">
        <v>218</v>
      </c>
      <c r="Q31" s="16" t="s">
        <v>50</v>
      </c>
      <c r="R31" s="16">
        <v>49</v>
      </c>
      <c r="S31" s="16" t="s">
        <v>60</v>
      </c>
      <c r="T31" s="16" t="s">
        <v>61</v>
      </c>
      <c r="U31" s="16">
        <v>20905</v>
      </c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  <c r="AG31" s="16"/>
      <c r="AH31" s="17">
        <v>60983</v>
      </c>
      <c r="AI31" s="17">
        <v>30049</v>
      </c>
      <c r="AJ31" s="17">
        <v>18788</v>
      </c>
      <c r="AK31" s="17">
        <v>11405</v>
      </c>
      <c r="AL31" s="17">
        <v>77</v>
      </c>
      <c r="AM31" s="17">
        <v>52</v>
      </c>
      <c r="AN31" s="17">
        <v>2</v>
      </c>
      <c r="AO31" s="17">
        <v>610</v>
      </c>
      <c r="AP31" s="18">
        <v>0.49274387944181164</v>
      </c>
      <c r="AQ31" s="18">
        <v>0.30808585999376875</v>
      </c>
      <c r="AR31" s="18">
        <v>0.18701933325680928</v>
      </c>
      <c r="AS31" s="18">
        <v>1.2150927307610318E-2</v>
      </c>
      <c r="AT31" s="16">
        <v>42764</v>
      </c>
      <c r="AU31" s="16">
        <v>70.099999999999994</v>
      </c>
      <c r="AV31" s="16" t="str">
        <f t="shared" si="0"/>
        <v>PKR</v>
      </c>
      <c r="AW31" s="16">
        <f t="shared" si="1"/>
        <v>-954</v>
      </c>
      <c r="AX31" s="52">
        <f t="shared" si="2"/>
        <v>0.51115424188569825</v>
      </c>
      <c r="AY31" s="52">
        <f t="shared" si="3"/>
        <v>0</v>
      </c>
      <c r="AZ31" s="52">
        <f t="shared" si="4"/>
        <v>0.48884575811430175</v>
      </c>
    </row>
    <row r="32" spans="1:52" ht="14.5" x14ac:dyDescent="0.35">
      <c r="A32" s="4" t="s">
        <v>54</v>
      </c>
      <c r="B32" s="4" t="s">
        <v>222</v>
      </c>
      <c r="C32" s="4" t="s">
        <v>223</v>
      </c>
      <c r="D32" s="4"/>
      <c r="E32" s="4"/>
      <c r="F32" s="4"/>
      <c r="G32" s="4"/>
      <c r="H32" s="4"/>
      <c r="I32" s="4"/>
      <c r="J32" s="4" t="s">
        <v>225</v>
      </c>
      <c r="K32" s="4" t="s">
        <v>68</v>
      </c>
      <c r="L32" s="4">
        <v>62</v>
      </c>
      <c r="M32" s="4" t="s">
        <v>65</v>
      </c>
      <c r="N32" s="4" t="s">
        <v>61</v>
      </c>
      <c r="O32" s="4">
        <v>9705</v>
      </c>
      <c r="P32" s="4" t="s">
        <v>224</v>
      </c>
      <c r="Q32" s="4" t="s">
        <v>50</v>
      </c>
      <c r="R32" s="4">
        <v>55</v>
      </c>
      <c r="S32" s="4" t="s">
        <v>65</v>
      </c>
      <c r="T32" s="4" t="s">
        <v>61</v>
      </c>
      <c r="U32" s="4">
        <v>27287</v>
      </c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1">
        <v>47613</v>
      </c>
      <c r="AI32" s="1">
        <v>44254</v>
      </c>
      <c r="AJ32" s="1">
        <v>1703</v>
      </c>
      <c r="AK32" s="1">
        <v>315</v>
      </c>
      <c r="AL32" s="1">
        <v>59</v>
      </c>
      <c r="AM32" s="1">
        <v>39</v>
      </c>
      <c r="AN32" s="1">
        <v>190</v>
      </c>
      <c r="AO32" s="1">
        <v>1053</v>
      </c>
      <c r="AP32" s="9">
        <v>0.92945204040913199</v>
      </c>
      <c r="AQ32" s="9">
        <v>3.5767542477894695E-2</v>
      </c>
      <c r="AR32" s="9">
        <v>6.6158402117068868E-3</v>
      </c>
      <c r="AS32" s="9">
        <v>2.8164576901266461E-2</v>
      </c>
      <c r="AT32" s="4">
        <v>36992</v>
      </c>
      <c r="AU32" s="4">
        <v>77.7</v>
      </c>
      <c r="AV32" s="4" t="str">
        <f t="shared" si="0"/>
        <v>BERSATU</v>
      </c>
      <c r="AW32" s="4">
        <f t="shared" si="1"/>
        <v>17582</v>
      </c>
      <c r="AX32" s="52">
        <f t="shared" si="2"/>
        <v>0</v>
      </c>
      <c r="AY32" s="52">
        <f t="shared" si="3"/>
        <v>0.26235402249134948</v>
      </c>
      <c r="AZ32" s="52">
        <f t="shared" si="4"/>
        <v>0.73764597750865057</v>
      </c>
    </row>
    <row r="33" spans="1:52" ht="14.5" x14ac:dyDescent="0.35">
      <c r="A33" s="4" t="s">
        <v>54</v>
      </c>
      <c r="B33" s="4" t="s">
        <v>222</v>
      </c>
      <c r="C33" s="4" t="s">
        <v>227</v>
      </c>
      <c r="D33" s="4" t="s">
        <v>228</v>
      </c>
      <c r="E33" s="4" t="s">
        <v>48</v>
      </c>
      <c r="F33" s="4">
        <v>43</v>
      </c>
      <c r="G33" s="4" t="s">
        <v>65</v>
      </c>
      <c r="H33" s="4" t="s">
        <v>61</v>
      </c>
      <c r="I33" s="4">
        <v>7091</v>
      </c>
      <c r="J33" s="4"/>
      <c r="K33" s="4"/>
      <c r="L33" s="4"/>
      <c r="M33" s="4"/>
      <c r="N33" s="4"/>
      <c r="O33" s="4"/>
      <c r="P33" s="4" t="s">
        <v>230</v>
      </c>
      <c r="Q33" s="4" t="s">
        <v>52</v>
      </c>
      <c r="R33" s="4">
        <v>73</v>
      </c>
      <c r="S33" s="4" t="s">
        <v>65</v>
      </c>
      <c r="T33" s="4" t="s">
        <v>61</v>
      </c>
      <c r="U33" s="4">
        <v>26366</v>
      </c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1">
        <v>42720</v>
      </c>
      <c r="AI33" s="1">
        <v>39445</v>
      </c>
      <c r="AJ33" s="1">
        <v>1432</v>
      </c>
      <c r="AK33" s="1">
        <v>1068</v>
      </c>
      <c r="AL33" s="1">
        <v>29</v>
      </c>
      <c r="AM33" s="1">
        <v>20</v>
      </c>
      <c r="AN33" s="1">
        <v>0</v>
      </c>
      <c r="AO33" s="1">
        <v>726</v>
      </c>
      <c r="AP33" s="9">
        <v>0.92333801498127344</v>
      </c>
      <c r="AQ33" s="9">
        <v>3.3520599250936332E-2</v>
      </c>
      <c r="AR33" s="9">
        <v>2.5000000000000001E-2</v>
      </c>
      <c r="AS33" s="9">
        <v>1.8141385767790261E-2</v>
      </c>
      <c r="AT33" s="4">
        <v>33457</v>
      </c>
      <c r="AU33" s="4">
        <v>78.3</v>
      </c>
      <c r="AV33" s="4" t="str">
        <f t="shared" si="0"/>
        <v>PAS</v>
      </c>
      <c r="AW33" s="4">
        <f t="shared" si="1"/>
        <v>19275</v>
      </c>
      <c r="AX33" s="52">
        <f t="shared" si="2"/>
        <v>0.21194368891412857</v>
      </c>
      <c r="AY33" s="52">
        <f t="shared" si="3"/>
        <v>0</v>
      </c>
      <c r="AZ33" s="52">
        <f t="shared" si="4"/>
        <v>0.78805631108587137</v>
      </c>
    </row>
    <row r="34" spans="1:52" ht="14.5" x14ac:dyDescent="0.35">
      <c r="A34" s="4" t="s">
        <v>54</v>
      </c>
      <c r="B34" s="4" t="s">
        <v>222</v>
      </c>
      <c r="C34" s="4" t="s">
        <v>232</v>
      </c>
      <c r="D34" s="4"/>
      <c r="E34" s="4"/>
      <c r="F34" s="4"/>
      <c r="G34" s="4"/>
      <c r="H34" s="4"/>
      <c r="I34" s="4"/>
      <c r="J34" s="4" t="s">
        <v>235</v>
      </c>
      <c r="K34" s="4" t="s">
        <v>68</v>
      </c>
      <c r="L34" s="4">
        <v>45</v>
      </c>
      <c r="M34" s="4" t="s">
        <v>60</v>
      </c>
      <c r="N34" s="4" t="s">
        <v>61</v>
      </c>
      <c r="O34" s="4">
        <v>8307</v>
      </c>
      <c r="P34" s="4" t="s">
        <v>233</v>
      </c>
      <c r="Q34" s="4" t="s">
        <v>52</v>
      </c>
      <c r="R34" s="4">
        <v>55</v>
      </c>
      <c r="S34" s="4" t="s">
        <v>65</v>
      </c>
      <c r="T34" s="4" t="s">
        <v>61</v>
      </c>
      <c r="U34" s="4">
        <v>24872</v>
      </c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1">
        <v>42184</v>
      </c>
      <c r="AI34" s="1">
        <v>34742</v>
      </c>
      <c r="AJ34" s="1">
        <v>2394</v>
      </c>
      <c r="AK34" s="1">
        <v>4678</v>
      </c>
      <c r="AL34" s="1">
        <v>34</v>
      </c>
      <c r="AM34" s="1">
        <v>16</v>
      </c>
      <c r="AN34" s="1">
        <v>3</v>
      </c>
      <c r="AO34" s="1">
        <v>317</v>
      </c>
      <c r="AP34" s="9">
        <v>0.82358240091029777</v>
      </c>
      <c r="AQ34" s="9">
        <v>5.6751374928882992E-2</v>
      </c>
      <c r="AR34" s="9">
        <v>0.11089512611416651</v>
      </c>
      <c r="AS34" s="9">
        <v>8.7710980466527595E-3</v>
      </c>
      <c r="AT34" s="4">
        <v>33179</v>
      </c>
      <c r="AU34" s="4">
        <v>78.7</v>
      </c>
      <c r="AV34" s="4" t="str">
        <f t="shared" si="0"/>
        <v>PAS</v>
      </c>
      <c r="AW34" s="4">
        <f t="shared" si="1"/>
        <v>16565</v>
      </c>
      <c r="AX34" s="52">
        <f t="shared" si="2"/>
        <v>0</v>
      </c>
      <c r="AY34" s="52">
        <f t="shared" si="3"/>
        <v>0.25036920943970586</v>
      </c>
      <c r="AZ34" s="52">
        <f t="shared" si="4"/>
        <v>0.74963079056029414</v>
      </c>
    </row>
    <row r="35" spans="1:52" ht="14.5" x14ac:dyDescent="0.35">
      <c r="A35" s="4" t="s">
        <v>54</v>
      </c>
      <c r="B35" s="4" t="s">
        <v>236</v>
      </c>
      <c r="C35" s="4" t="s">
        <v>237</v>
      </c>
      <c r="D35" s="4"/>
      <c r="E35" s="4"/>
      <c r="F35" s="4"/>
      <c r="G35" s="4"/>
      <c r="H35" s="4"/>
      <c r="I35" s="4"/>
      <c r="J35" s="4" t="s">
        <v>238</v>
      </c>
      <c r="K35" s="4" t="s">
        <v>68</v>
      </c>
      <c r="L35" s="4">
        <v>55</v>
      </c>
      <c r="M35" s="4" t="s">
        <v>65</v>
      </c>
      <c r="N35" s="4" t="s">
        <v>61</v>
      </c>
      <c r="O35" s="4">
        <v>10634</v>
      </c>
      <c r="P35" s="4" t="s">
        <v>240</v>
      </c>
      <c r="Q35" s="4" t="s">
        <v>52</v>
      </c>
      <c r="R35" s="4">
        <v>62</v>
      </c>
      <c r="S35" s="4" t="s">
        <v>60</v>
      </c>
      <c r="T35" s="4" t="s">
        <v>61</v>
      </c>
      <c r="U35" s="4">
        <v>29919</v>
      </c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1">
        <v>53323</v>
      </c>
      <c r="AI35" s="1">
        <v>40887</v>
      </c>
      <c r="AJ35" s="1">
        <v>3595</v>
      </c>
      <c r="AK35" s="1">
        <v>8464</v>
      </c>
      <c r="AL35" s="1">
        <v>52</v>
      </c>
      <c r="AM35" s="1">
        <v>56</v>
      </c>
      <c r="AN35" s="1">
        <v>1</v>
      </c>
      <c r="AO35" s="1">
        <v>268</v>
      </c>
      <c r="AP35" s="9">
        <v>0.76677981358888281</v>
      </c>
      <c r="AQ35" s="9">
        <v>6.741931249179528E-2</v>
      </c>
      <c r="AR35" s="9">
        <v>0.15873075408360371</v>
      </c>
      <c r="AS35" s="9">
        <v>7.0701198357181706E-3</v>
      </c>
      <c r="AT35" s="4">
        <v>40553</v>
      </c>
      <c r="AU35" s="4">
        <v>76.099999999999994</v>
      </c>
      <c r="AV35" s="4" t="str">
        <f t="shared" si="0"/>
        <v>PAS</v>
      </c>
      <c r="AW35" s="4">
        <f t="shared" si="1"/>
        <v>19285</v>
      </c>
      <c r="AX35" s="52">
        <f t="shared" si="2"/>
        <v>0</v>
      </c>
      <c r="AY35" s="52">
        <f t="shared" si="3"/>
        <v>0.26222474292900649</v>
      </c>
      <c r="AZ35" s="52">
        <f t="shared" si="4"/>
        <v>0.73777525707099356</v>
      </c>
    </row>
    <row r="36" spans="1:52" ht="14.5" x14ac:dyDescent="0.35">
      <c r="A36" s="4" t="s">
        <v>54</v>
      </c>
      <c r="B36" s="4" t="s">
        <v>236</v>
      </c>
      <c r="C36" s="4" t="s">
        <v>242</v>
      </c>
      <c r="D36" s="4" t="s">
        <v>243</v>
      </c>
      <c r="E36" s="4" t="s">
        <v>51</v>
      </c>
      <c r="F36" s="4">
        <v>64</v>
      </c>
      <c r="G36" s="4" t="s">
        <v>65</v>
      </c>
      <c r="H36" s="4" t="s">
        <v>61</v>
      </c>
      <c r="I36" s="4">
        <v>27054</v>
      </c>
      <c r="J36" s="4"/>
      <c r="K36" s="4"/>
      <c r="L36" s="4"/>
      <c r="M36" s="4"/>
      <c r="N36" s="4"/>
      <c r="O36" s="4"/>
      <c r="P36" s="4" t="s">
        <v>245</v>
      </c>
      <c r="Q36" s="4" t="s">
        <v>50</v>
      </c>
      <c r="R36" s="4">
        <v>43</v>
      </c>
      <c r="S36" s="4" t="s">
        <v>65</v>
      </c>
      <c r="T36" s="4" t="s">
        <v>61</v>
      </c>
      <c r="U36" s="4">
        <v>31537</v>
      </c>
      <c r="V36" s="4" t="s">
        <v>246</v>
      </c>
      <c r="W36" s="4" t="s">
        <v>64</v>
      </c>
      <c r="X36" s="4">
        <v>63</v>
      </c>
      <c r="Y36" s="4" t="s">
        <v>65</v>
      </c>
      <c r="Z36" s="4" t="s">
        <v>195</v>
      </c>
      <c r="AA36" s="4">
        <v>364</v>
      </c>
      <c r="AB36" s="4" t="s">
        <v>247</v>
      </c>
      <c r="AC36" s="4" t="s">
        <v>64</v>
      </c>
      <c r="AD36" s="4">
        <v>57</v>
      </c>
      <c r="AE36" s="4" t="s">
        <v>65</v>
      </c>
      <c r="AF36" s="4" t="s">
        <v>195</v>
      </c>
      <c r="AG36" s="4">
        <v>148</v>
      </c>
      <c r="AH36" s="1">
        <v>82212</v>
      </c>
      <c r="AI36" s="1">
        <v>44135</v>
      </c>
      <c r="AJ36" s="1">
        <v>19969</v>
      </c>
      <c r="AK36" s="1">
        <v>17506</v>
      </c>
      <c r="AL36" s="1">
        <v>58</v>
      </c>
      <c r="AM36" s="1">
        <v>54</v>
      </c>
      <c r="AN36" s="1">
        <v>2</v>
      </c>
      <c r="AO36" s="1">
        <v>488</v>
      </c>
      <c r="AP36" s="9">
        <v>0.53684376976597092</v>
      </c>
      <c r="AQ36" s="9">
        <v>0.24289641414878607</v>
      </c>
      <c r="AR36" s="9">
        <v>0.21293728409477936</v>
      </c>
      <c r="AS36" s="9">
        <v>7.3225319904636791E-3</v>
      </c>
      <c r="AT36" s="4">
        <v>59520</v>
      </c>
      <c r="AU36" s="4">
        <v>72.400000000000006</v>
      </c>
      <c r="AV36" s="4" t="str">
        <f t="shared" si="0"/>
        <v>BERSATU</v>
      </c>
      <c r="AW36" s="4">
        <f t="shared" si="1"/>
        <v>4483</v>
      </c>
      <c r="AX36" s="52">
        <f t="shared" si="2"/>
        <v>0.45453629032258064</v>
      </c>
      <c r="AY36" s="52">
        <f t="shared" si="3"/>
        <v>0</v>
      </c>
      <c r="AZ36" s="52">
        <f t="shared" si="4"/>
        <v>0.52985551075268822</v>
      </c>
    </row>
    <row r="37" spans="1:52" ht="14.5" x14ac:dyDescent="0.35">
      <c r="A37" s="4" t="s">
        <v>54</v>
      </c>
      <c r="B37" s="4" t="s">
        <v>250</v>
      </c>
      <c r="C37" s="4" t="s">
        <v>251</v>
      </c>
      <c r="D37" s="4" t="s">
        <v>252</v>
      </c>
      <c r="E37" s="4" t="s">
        <v>51</v>
      </c>
      <c r="F37" s="4">
        <v>48</v>
      </c>
      <c r="G37" s="4" t="s">
        <v>65</v>
      </c>
      <c r="H37" s="4" t="s">
        <v>121</v>
      </c>
      <c r="I37" s="4">
        <v>15536</v>
      </c>
      <c r="J37" s="4"/>
      <c r="K37" s="4"/>
      <c r="L37" s="4"/>
      <c r="M37" s="4"/>
      <c r="N37" s="4"/>
      <c r="O37" s="4"/>
      <c r="P37" s="4" t="s">
        <v>254</v>
      </c>
      <c r="Q37" s="4" t="s">
        <v>1425</v>
      </c>
      <c r="R37" s="4">
        <v>39</v>
      </c>
      <c r="S37" s="4" t="s">
        <v>65</v>
      </c>
      <c r="T37" s="4" t="s">
        <v>121</v>
      </c>
      <c r="U37" s="4">
        <v>23278</v>
      </c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1">
        <v>54169</v>
      </c>
      <c r="AI37" s="1">
        <v>34337</v>
      </c>
      <c r="AJ37" s="1">
        <v>10509</v>
      </c>
      <c r="AK37" s="1">
        <v>8945</v>
      </c>
      <c r="AL37" s="1">
        <v>80</v>
      </c>
      <c r="AM37" s="1">
        <v>50</v>
      </c>
      <c r="AN37" s="1">
        <v>5</v>
      </c>
      <c r="AO37" s="1">
        <v>243</v>
      </c>
      <c r="AP37" s="9">
        <v>0.63388654027211133</v>
      </c>
      <c r="AQ37" s="9">
        <v>0.19400395059905112</v>
      </c>
      <c r="AR37" s="9">
        <v>0.16513134818807806</v>
      </c>
      <c r="AS37" s="9">
        <v>6.9781609407594753E-3</v>
      </c>
      <c r="AT37" s="4">
        <v>38814</v>
      </c>
      <c r="AU37" s="4">
        <v>71.7</v>
      </c>
      <c r="AV37" s="4" t="str">
        <f t="shared" si="0"/>
        <v>GERAKAN</v>
      </c>
      <c r="AW37" s="4">
        <f t="shared" si="1"/>
        <v>7742</v>
      </c>
      <c r="AX37" s="52">
        <f t="shared" si="2"/>
        <v>0.400267944556088</v>
      </c>
      <c r="AY37" s="52">
        <f t="shared" si="3"/>
        <v>0</v>
      </c>
      <c r="AZ37" s="52">
        <f t="shared" si="4"/>
        <v>0.59973205544391195</v>
      </c>
    </row>
    <row r="38" spans="1:52" ht="14.5" x14ac:dyDescent="0.35">
      <c r="A38" s="4" t="s">
        <v>54</v>
      </c>
      <c r="B38" s="4" t="s">
        <v>250</v>
      </c>
      <c r="C38" s="4" t="s">
        <v>255</v>
      </c>
      <c r="D38" s="4"/>
      <c r="E38" s="4"/>
      <c r="F38" s="4"/>
      <c r="G38" s="4"/>
      <c r="H38" s="4"/>
      <c r="I38" s="4"/>
      <c r="J38" s="4" t="s">
        <v>258</v>
      </c>
      <c r="K38" s="4" t="s">
        <v>68</v>
      </c>
      <c r="L38" s="4">
        <v>36</v>
      </c>
      <c r="M38" s="4" t="s">
        <v>60</v>
      </c>
      <c r="N38" s="4" t="s">
        <v>61</v>
      </c>
      <c r="O38" s="4">
        <v>7750</v>
      </c>
      <c r="P38" s="4" t="s">
        <v>256</v>
      </c>
      <c r="Q38" s="4" t="s">
        <v>52</v>
      </c>
      <c r="R38" s="4">
        <v>55</v>
      </c>
      <c r="S38" s="4" t="s">
        <v>65</v>
      </c>
      <c r="T38" s="4" t="s">
        <v>61</v>
      </c>
      <c r="U38" s="4">
        <v>19327</v>
      </c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1">
        <v>36164</v>
      </c>
      <c r="AI38" s="1">
        <v>28919</v>
      </c>
      <c r="AJ38" s="1">
        <v>4809</v>
      </c>
      <c r="AK38" s="1">
        <v>2301</v>
      </c>
      <c r="AL38" s="1">
        <v>32</v>
      </c>
      <c r="AM38" s="1">
        <v>27</v>
      </c>
      <c r="AN38" s="1">
        <v>2</v>
      </c>
      <c r="AO38" s="1">
        <v>74</v>
      </c>
      <c r="AP38" s="9">
        <v>0.79966264793717512</v>
      </c>
      <c r="AQ38" s="9">
        <v>0.13297754673155623</v>
      </c>
      <c r="AR38" s="9">
        <v>6.3626811193452051E-2</v>
      </c>
      <c r="AS38" s="9">
        <v>3.7329941378166131E-3</v>
      </c>
      <c r="AT38" s="4">
        <v>27077</v>
      </c>
      <c r="AU38" s="4">
        <v>74.900000000000006</v>
      </c>
      <c r="AV38" s="4" t="str">
        <f t="shared" si="0"/>
        <v>PAS</v>
      </c>
      <c r="AW38" s="4">
        <f t="shared" si="1"/>
        <v>11577</v>
      </c>
      <c r="AX38" s="52">
        <f t="shared" si="2"/>
        <v>0</v>
      </c>
      <c r="AY38" s="52">
        <f t="shared" si="3"/>
        <v>0.28622077778188132</v>
      </c>
      <c r="AZ38" s="52">
        <f t="shared" si="4"/>
        <v>0.71377922221811874</v>
      </c>
    </row>
    <row r="39" spans="1:52" ht="14.5" x14ac:dyDescent="0.35">
      <c r="A39" s="4"/>
      <c r="B39" s="4"/>
      <c r="C39" s="4"/>
      <c r="D39" s="4"/>
      <c r="E39" s="4"/>
      <c r="F39" s="4"/>
      <c r="G39" s="4"/>
      <c r="H39" s="4"/>
      <c r="I39" s="4">
        <f>SUM(I3:I38)</f>
        <v>233654</v>
      </c>
      <c r="J39" s="4"/>
      <c r="K39" s="4"/>
      <c r="L39" s="4"/>
      <c r="M39" s="4"/>
      <c r="N39" s="4"/>
      <c r="O39" s="4">
        <f>SUM(O3:O38)</f>
        <v>116340</v>
      </c>
      <c r="P39" s="4"/>
      <c r="Q39" s="4"/>
      <c r="R39" s="4"/>
      <c r="S39" s="4"/>
      <c r="T39" s="4"/>
      <c r="U39" s="4">
        <f>SUM(U3:U38)</f>
        <v>801380</v>
      </c>
      <c r="V39" s="4"/>
      <c r="W39" s="4"/>
      <c r="X39" s="4">
        <f>SUM(X3:X38)</f>
        <v>444</v>
      </c>
      <c r="Y39" s="4"/>
      <c r="Z39" s="4"/>
      <c r="AA39" s="4"/>
      <c r="AB39" s="4"/>
      <c r="AC39" s="4"/>
      <c r="AD39" s="4">
        <f>SUM(AD3:AD38)</f>
        <v>96</v>
      </c>
      <c r="AE39" s="4"/>
      <c r="AF39" s="4"/>
      <c r="AG39" s="4">
        <f>SUM(AG3:AG38)</f>
        <v>282</v>
      </c>
      <c r="AH39" s="1">
        <v>1585085</v>
      </c>
      <c r="AI39" s="1">
        <v>1225250</v>
      </c>
      <c r="AJ39" s="1">
        <v>226296</v>
      </c>
      <c r="AK39" s="1">
        <v>104547</v>
      </c>
      <c r="AL39" s="1">
        <v>1772</v>
      </c>
      <c r="AM39" s="1">
        <v>1495</v>
      </c>
      <c r="AN39" s="1">
        <v>267</v>
      </c>
      <c r="AO39" s="1">
        <v>25458</v>
      </c>
      <c r="AP39" s="9">
        <v>0.77298693760902415</v>
      </c>
      <c r="AQ39" s="9">
        <v>0.14276584536475961</v>
      </c>
      <c r="AR39" s="9">
        <v>6.5956715255017867E-2</v>
      </c>
      <c r="AS39" s="9">
        <v>1.8290501771198391E-2</v>
      </c>
      <c r="AT39" s="4">
        <f>SUM(AT3:AT38)</f>
        <v>1162569</v>
      </c>
      <c r="AU39" s="22">
        <f>100*AT39/AH39</f>
        <v>73.344268603891905</v>
      </c>
      <c r="AV39" s="4"/>
      <c r="AW39" s="4"/>
      <c r="AX39" s="52">
        <f t="shared" si="2"/>
        <v>0.20098075899150933</v>
      </c>
      <c r="AY39" s="52">
        <f t="shared" si="3"/>
        <v>0.10007147962830593</v>
      </c>
      <c r="AZ39" s="52">
        <f t="shared" si="4"/>
        <v>0.68931822541285726</v>
      </c>
    </row>
    <row r="41" spans="1:52" x14ac:dyDescent="0.3">
      <c r="D41" s="5" t="s">
        <v>51</v>
      </c>
      <c r="E41" s="5">
        <f>COUNTIF($E$3:$E$38,D41)</f>
        <v>10</v>
      </c>
      <c r="J41" s="5" t="s">
        <v>68</v>
      </c>
      <c r="K41" s="5">
        <f>COUNTIF(K3:K38,J41)</f>
        <v>15</v>
      </c>
      <c r="P41" s="5" t="s">
        <v>52</v>
      </c>
      <c r="Q41" s="5">
        <f>COUNTIF(Q3:Q38,P41)</f>
        <v>21</v>
      </c>
      <c r="AU41" s="5" t="s">
        <v>51</v>
      </c>
      <c r="AV41" s="5">
        <f>COUNTIF($AV$2:$AV$38,AU41)</f>
        <v>2</v>
      </c>
    </row>
    <row r="42" spans="1:52" x14ac:dyDescent="0.3">
      <c r="D42" s="5" t="s">
        <v>48</v>
      </c>
      <c r="E42" s="5">
        <f>COUNTIF($E$3:$E$38,D42)</f>
        <v>9</v>
      </c>
      <c r="P42" s="5" t="s">
        <v>50</v>
      </c>
      <c r="Q42" s="5">
        <f>COUNTIF(Q3:Q38,P42)</f>
        <v>12</v>
      </c>
      <c r="AU42" s="5" t="s">
        <v>49</v>
      </c>
      <c r="AV42" s="5">
        <f>COUNTIF($AV$2:$AV$38,AU42)</f>
        <v>1</v>
      </c>
    </row>
    <row r="43" spans="1:52" x14ac:dyDescent="0.3">
      <c r="D43" s="5" t="s">
        <v>49</v>
      </c>
      <c r="E43" s="5">
        <f>COUNTIF($E$3:$E$38,D43)</f>
        <v>2</v>
      </c>
      <c r="P43" s="5" t="s">
        <v>1425</v>
      </c>
      <c r="Q43" s="5">
        <f>COUNTIF(Q3:Q38,P43)</f>
        <v>3</v>
      </c>
      <c r="AU43" s="5" t="s">
        <v>48</v>
      </c>
      <c r="AV43" s="5">
        <f>COUNTIF($AV$2:$AV$38,AU43)</f>
        <v>0</v>
      </c>
    </row>
    <row r="44" spans="1:52" x14ac:dyDescent="0.3">
      <c r="E44" s="5">
        <f>SUM(E41:E43)</f>
        <v>21</v>
      </c>
      <c r="Q44" s="5">
        <f>SUM(Q41:Q43)</f>
        <v>36</v>
      </c>
    </row>
    <row r="45" spans="1:52" x14ac:dyDescent="0.3">
      <c r="AU45" s="5" t="s">
        <v>68</v>
      </c>
      <c r="AV45" s="5">
        <f>COUNTIF($AV$2:$AV$38,AU45)</f>
        <v>0</v>
      </c>
    </row>
    <row r="47" spans="1:52" x14ac:dyDescent="0.3">
      <c r="AU47" s="5" t="s">
        <v>52</v>
      </c>
      <c r="AV47" s="5">
        <f>COUNTIF($AV$2:$AV$38,AU47)</f>
        <v>21</v>
      </c>
    </row>
    <row r="48" spans="1:52" x14ac:dyDescent="0.3">
      <c r="AU48" s="5" t="s">
        <v>50</v>
      </c>
      <c r="AV48" s="5">
        <f>COUNTIF($AV$2:$AV$38,AU48)</f>
        <v>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02DE-0FD1-4824-B836-D08A4B6D2FC9}">
  <dimension ref="A2:AT44"/>
  <sheetViews>
    <sheetView workbookViewId="0">
      <pane xSplit="3" ySplit="2" topLeftCell="AD18" activePane="bottomRight" state="frozen"/>
      <selection pane="topRight" activeCell="D1" sqref="D1"/>
      <selection pane="bottomLeft" activeCell="A2" sqref="A2"/>
      <selection pane="bottomRight" activeCell="AQ5" sqref="AQ5"/>
    </sheetView>
  </sheetViews>
  <sheetFormatPr defaultRowHeight="14.5" x14ac:dyDescent="0.35"/>
  <cols>
    <col min="1" max="1" width="10.453125" bestFit="1" customWidth="1"/>
    <col min="2" max="2" width="20.54296875" bestFit="1" customWidth="1"/>
    <col min="3" max="3" width="22" bestFit="1" customWidth="1"/>
    <col min="4" max="4" width="37.54296875" bestFit="1" customWidth="1"/>
    <col min="5" max="5" width="8.54296875" bestFit="1" customWidth="1"/>
    <col min="6" max="6" width="3.90625" bestFit="1" customWidth="1"/>
    <col min="7" max="7" width="6.6328125" bestFit="1" customWidth="1"/>
    <col min="8" max="8" width="5.90625" bestFit="1" customWidth="1"/>
    <col min="9" max="9" width="8.81640625" bestFit="1" customWidth="1"/>
    <col min="10" max="10" width="40.6328125" bestFit="1" customWidth="1"/>
    <col min="11" max="11" width="5.08984375" bestFit="1" customWidth="1"/>
    <col min="12" max="12" width="3.90625" bestFit="1" customWidth="1"/>
    <col min="13" max="13" width="5" bestFit="1" customWidth="1"/>
    <col min="14" max="14" width="5.90625" bestFit="1" customWidth="1"/>
    <col min="15" max="15" width="8.81640625" bestFit="1" customWidth="1"/>
    <col min="16" max="16" width="51.1796875" bestFit="1" customWidth="1"/>
    <col min="17" max="17" width="8.54296875" bestFit="1" customWidth="1"/>
    <col min="18" max="18" width="3.90625" bestFit="1" customWidth="1"/>
    <col min="19" max="19" width="6.6328125" bestFit="1" customWidth="1"/>
    <col min="20" max="20" width="5.90625" bestFit="1" customWidth="1"/>
    <col min="21" max="21" width="8.81640625" bestFit="1" customWidth="1"/>
    <col min="22" max="22" width="33.6328125" bestFit="1" customWidth="1"/>
    <col min="23" max="23" width="6.36328125" bestFit="1" customWidth="1"/>
    <col min="24" max="24" width="3.90625" bestFit="1" customWidth="1"/>
    <col min="25" max="25" width="5" bestFit="1" customWidth="1"/>
    <col min="26" max="26" width="5.90625" bestFit="1" customWidth="1"/>
    <col min="27" max="27" width="8.81640625" bestFit="1" customWidth="1"/>
    <col min="28" max="28" width="8.36328125" bestFit="1" customWidth="1"/>
    <col min="29" max="29" width="8.453125" bestFit="1" customWidth="1"/>
    <col min="30" max="30" width="6" bestFit="1" customWidth="1"/>
    <col min="31" max="31" width="6.1796875" bestFit="1" customWidth="1"/>
    <col min="32" max="32" width="12" bestFit="1" customWidth="1"/>
    <col min="33" max="33" width="14.36328125" bestFit="1" customWidth="1"/>
    <col min="34" max="34" width="11" bestFit="1" customWidth="1"/>
    <col min="35" max="35" width="9.453125" bestFit="1" customWidth="1"/>
    <col min="36" max="37" width="6" bestFit="1" customWidth="1"/>
    <col min="38" max="39" width="5" bestFit="1" customWidth="1"/>
    <col min="42" max="42" width="12" bestFit="1" customWidth="1"/>
    <col min="43" max="43" width="10.36328125" bestFit="1" customWidth="1"/>
  </cols>
  <sheetData>
    <row r="2" spans="1:46" x14ac:dyDescent="0.35">
      <c r="A2" s="4" t="s">
        <v>0</v>
      </c>
      <c r="B2" s="4" t="s">
        <v>1408</v>
      </c>
      <c r="C2" s="4" t="s">
        <v>1409</v>
      </c>
      <c r="D2" s="4" t="s">
        <v>1410</v>
      </c>
      <c r="E2" s="4" t="s">
        <v>1400</v>
      </c>
      <c r="F2" s="4" t="s">
        <v>1402</v>
      </c>
      <c r="G2" s="4" t="s">
        <v>1403</v>
      </c>
      <c r="H2" s="4" t="s">
        <v>1404</v>
      </c>
      <c r="I2" s="4" t="s">
        <v>1424</v>
      </c>
      <c r="J2" s="4" t="s">
        <v>1410</v>
      </c>
      <c r="K2" s="4" t="s">
        <v>1400</v>
      </c>
      <c r="L2" s="4" t="s">
        <v>1402</v>
      </c>
      <c r="M2" s="4" t="s">
        <v>1403</v>
      </c>
      <c r="N2" s="4" t="s">
        <v>1404</v>
      </c>
      <c r="O2" s="4" t="s">
        <v>1424</v>
      </c>
      <c r="P2" s="4" t="s">
        <v>1410</v>
      </c>
      <c r="Q2" s="4" t="s">
        <v>1400</v>
      </c>
      <c r="R2" s="4" t="s">
        <v>1402</v>
      </c>
      <c r="S2" s="4" t="s">
        <v>1403</v>
      </c>
      <c r="T2" s="4" t="s">
        <v>1404</v>
      </c>
      <c r="U2" s="4" t="s">
        <v>1424</v>
      </c>
      <c r="V2" s="4" t="s">
        <v>1410</v>
      </c>
      <c r="W2" s="4" t="s">
        <v>1400</v>
      </c>
      <c r="X2" s="4" t="s">
        <v>1402</v>
      </c>
      <c r="Y2" s="4" t="s">
        <v>1403</v>
      </c>
      <c r="Z2" s="4" t="s">
        <v>1404</v>
      </c>
      <c r="AA2" s="4" t="s">
        <v>1424</v>
      </c>
      <c r="AB2" s="1" t="s">
        <v>1412</v>
      </c>
      <c r="AC2" s="1" t="s">
        <v>1413</v>
      </c>
      <c r="AD2" s="1" t="s">
        <v>1414</v>
      </c>
      <c r="AE2" s="1" t="s">
        <v>1415</v>
      </c>
      <c r="AF2" s="1" t="s">
        <v>1416</v>
      </c>
      <c r="AG2" s="1" t="s">
        <v>1417</v>
      </c>
      <c r="AH2" s="1" t="s">
        <v>1418</v>
      </c>
      <c r="AI2" s="1" t="s">
        <v>1419</v>
      </c>
      <c r="AJ2" s="1" t="s">
        <v>1420</v>
      </c>
      <c r="AK2" s="1" t="s">
        <v>1421</v>
      </c>
      <c r="AL2" s="1" t="s">
        <v>1422</v>
      </c>
      <c r="AM2" s="1" t="s">
        <v>1423</v>
      </c>
      <c r="AN2" s="21" t="s">
        <v>1433</v>
      </c>
      <c r="AO2" s="22" t="s">
        <v>1434</v>
      </c>
      <c r="AP2" s="4" t="s">
        <v>1436</v>
      </c>
      <c r="AQ2" s="4" t="s">
        <v>1437</v>
      </c>
      <c r="AR2" s="4" t="s">
        <v>1427</v>
      </c>
      <c r="AS2" s="4" t="s">
        <v>1429</v>
      </c>
      <c r="AT2" s="4" t="s">
        <v>1428</v>
      </c>
    </row>
    <row r="3" spans="1:46" x14ac:dyDescent="0.35">
      <c r="A3" s="1" t="s">
        <v>511</v>
      </c>
      <c r="B3" s="1" t="s">
        <v>512</v>
      </c>
      <c r="C3" s="1" t="s">
        <v>513</v>
      </c>
      <c r="D3" s="1"/>
      <c r="E3" s="1"/>
      <c r="F3" s="1"/>
      <c r="G3" s="1"/>
      <c r="H3" s="1"/>
      <c r="I3" s="1"/>
      <c r="J3" s="1" t="s">
        <v>514</v>
      </c>
      <c r="K3" s="1" t="s">
        <v>68</v>
      </c>
      <c r="L3" s="1">
        <v>48</v>
      </c>
      <c r="M3" s="1" t="s">
        <v>65</v>
      </c>
      <c r="N3" s="1" t="s">
        <v>61</v>
      </c>
      <c r="O3" s="1">
        <v>7377</v>
      </c>
      <c r="P3" s="1" t="s">
        <v>516</v>
      </c>
      <c r="Q3" s="1" t="s">
        <v>52</v>
      </c>
      <c r="R3" s="1">
        <v>55</v>
      </c>
      <c r="S3" s="1" t="s">
        <v>65</v>
      </c>
      <c r="T3" s="1" t="s">
        <v>61</v>
      </c>
      <c r="U3" s="1">
        <v>11496</v>
      </c>
      <c r="V3" s="1"/>
      <c r="W3" s="1"/>
      <c r="X3" s="1"/>
      <c r="Y3" s="1"/>
      <c r="Z3" s="1"/>
      <c r="AA3" s="1"/>
      <c r="AB3" s="1">
        <v>26992</v>
      </c>
      <c r="AC3" s="1">
        <v>26592</v>
      </c>
      <c r="AD3" s="1">
        <v>150</v>
      </c>
      <c r="AE3" s="1">
        <v>26</v>
      </c>
      <c r="AF3" s="1">
        <v>42</v>
      </c>
      <c r="AG3" s="1">
        <v>45</v>
      </c>
      <c r="AH3" s="1">
        <v>3</v>
      </c>
      <c r="AI3" s="1">
        <v>134</v>
      </c>
      <c r="AJ3" s="9">
        <v>0.98518079430942507</v>
      </c>
      <c r="AK3" s="9">
        <v>5.5572021339656196E-3</v>
      </c>
      <c r="AL3" s="9">
        <v>9.6324836988737408E-4</v>
      </c>
      <c r="AM3" s="9">
        <v>8.2987551867219917E-3</v>
      </c>
      <c r="AN3" s="1">
        <v>18873</v>
      </c>
      <c r="AO3" s="1">
        <v>69.900000000000006</v>
      </c>
      <c r="AP3" s="1" t="s">
        <v>52</v>
      </c>
      <c r="AQ3" s="1"/>
      <c r="AR3" s="9">
        <f>I3/AN3</f>
        <v>0</v>
      </c>
      <c r="AS3" s="9">
        <f>O3/AN3</f>
        <v>0.3908758543951677</v>
      </c>
      <c r="AT3" s="9">
        <f>U3/AN3</f>
        <v>0.6091241456048323</v>
      </c>
    </row>
    <row r="4" spans="1:46" x14ac:dyDescent="0.35">
      <c r="A4" s="1" t="s">
        <v>511</v>
      </c>
      <c r="B4" s="1" t="s">
        <v>512</v>
      </c>
      <c r="C4" s="1" t="s">
        <v>518</v>
      </c>
      <c r="D4" s="1"/>
      <c r="E4" s="1"/>
      <c r="F4" s="1"/>
      <c r="G4" s="1"/>
      <c r="H4" s="1"/>
      <c r="I4" s="1"/>
      <c r="J4" s="1" t="s">
        <v>521</v>
      </c>
      <c r="K4" s="1" t="s">
        <v>68</v>
      </c>
      <c r="L4" s="1">
        <v>62</v>
      </c>
      <c r="M4" s="1" t="s">
        <v>65</v>
      </c>
      <c r="N4" s="1" t="s">
        <v>61</v>
      </c>
      <c r="O4" s="1">
        <v>9551</v>
      </c>
      <c r="P4" s="1" t="s">
        <v>519</v>
      </c>
      <c r="Q4" s="1" t="s">
        <v>52</v>
      </c>
      <c r="R4" s="1">
        <v>53</v>
      </c>
      <c r="S4" s="1" t="s">
        <v>65</v>
      </c>
      <c r="T4" s="1" t="s">
        <v>61</v>
      </c>
      <c r="U4" s="1">
        <v>13360</v>
      </c>
      <c r="V4" s="1"/>
      <c r="W4" s="1"/>
      <c r="X4" s="1"/>
      <c r="Y4" s="1"/>
      <c r="Z4" s="1"/>
      <c r="AA4" s="1"/>
      <c r="AB4" s="1">
        <v>32792</v>
      </c>
      <c r="AC4" s="1">
        <v>32379</v>
      </c>
      <c r="AD4" s="1">
        <v>163</v>
      </c>
      <c r="AE4" s="1">
        <v>16</v>
      </c>
      <c r="AF4" s="1">
        <v>20</v>
      </c>
      <c r="AG4" s="1">
        <v>19</v>
      </c>
      <c r="AH4" s="1">
        <v>1</v>
      </c>
      <c r="AI4" s="1">
        <v>194</v>
      </c>
      <c r="AJ4" s="9">
        <v>0.98740546474749935</v>
      </c>
      <c r="AK4" s="9">
        <v>4.9707245669675529E-3</v>
      </c>
      <c r="AL4" s="9">
        <v>4.8792388387411563E-4</v>
      </c>
      <c r="AM4" s="9">
        <v>7.1358868016589416E-3</v>
      </c>
      <c r="AN4" s="1">
        <v>22911</v>
      </c>
      <c r="AO4" s="1">
        <v>69.900000000000006</v>
      </c>
      <c r="AP4" s="1" t="s">
        <v>52</v>
      </c>
      <c r="AQ4" s="1"/>
      <c r="AR4" s="9">
        <f t="shared" ref="AR4:AR35" si="0">I4/AN4</f>
        <v>0</v>
      </c>
      <c r="AS4" s="9">
        <f t="shared" ref="AS4:AS35" si="1">O4/AN4</f>
        <v>0.41687399065950853</v>
      </c>
      <c r="AT4" s="9">
        <f t="shared" ref="AT4:AT35" si="2">U4/AN4</f>
        <v>0.58312600934049141</v>
      </c>
    </row>
    <row r="5" spans="1:46" x14ac:dyDescent="0.35">
      <c r="A5" s="1" t="s">
        <v>511</v>
      </c>
      <c r="B5" s="1" t="s">
        <v>512</v>
      </c>
      <c r="C5" s="1" t="s">
        <v>523</v>
      </c>
      <c r="D5" s="1"/>
      <c r="E5" s="1"/>
      <c r="F5" s="1"/>
      <c r="G5" s="1"/>
      <c r="H5" s="1"/>
      <c r="I5" s="1"/>
      <c r="J5" s="1" t="s">
        <v>526</v>
      </c>
      <c r="K5" s="1" t="s">
        <v>68</v>
      </c>
      <c r="L5" s="1">
        <v>36</v>
      </c>
      <c r="M5" s="1" t="s">
        <v>65</v>
      </c>
      <c r="N5" s="1" t="s">
        <v>61</v>
      </c>
      <c r="O5" s="1">
        <v>7399</v>
      </c>
      <c r="P5" s="1" t="s">
        <v>524</v>
      </c>
      <c r="Q5" s="1" t="s">
        <v>52</v>
      </c>
      <c r="R5" s="1">
        <v>53</v>
      </c>
      <c r="S5" s="1" t="s">
        <v>65</v>
      </c>
      <c r="T5" s="1" t="s">
        <v>61</v>
      </c>
      <c r="U5" s="1">
        <v>12122</v>
      </c>
      <c r="V5" s="1"/>
      <c r="W5" s="1"/>
      <c r="X5" s="1"/>
      <c r="Y5" s="1"/>
      <c r="Z5" s="1"/>
      <c r="AA5" s="1"/>
      <c r="AB5" s="1">
        <v>29088</v>
      </c>
      <c r="AC5" s="1">
        <v>27936</v>
      </c>
      <c r="AD5" s="1">
        <v>941</v>
      </c>
      <c r="AE5" s="1">
        <v>40</v>
      </c>
      <c r="AF5" s="1">
        <v>22</v>
      </c>
      <c r="AG5" s="1">
        <v>17</v>
      </c>
      <c r="AH5" s="1">
        <v>0</v>
      </c>
      <c r="AI5" s="1">
        <v>132</v>
      </c>
      <c r="AJ5" s="9">
        <v>0.96039603960396036</v>
      </c>
      <c r="AK5" s="9">
        <v>3.2350110011001097E-2</v>
      </c>
      <c r="AL5" s="9">
        <v>1.3751375137513752E-3</v>
      </c>
      <c r="AM5" s="9">
        <v>5.8787128712871287E-3</v>
      </c>
      <c r="AN5" s="1">
        <v>19521</v>
      </c>
      <c r="AO5" s="1">
        <v>67.099999999999994</v>
      </c>
      <c r="AP5" s="1" t="s">
        <v>52</v>
      </c>
      <c r="AQ5" s="1"/>
      <c r="AR5" s="9">
        <f t="shared" si="0"/>
        <v>0</v>
      </c>
      <c r="AS5" s="9">
        <f t="shared" si="1"/>
        <v>0.37902771374417293</v>
      </c>
      <c r="AT5" s="9">
        <f t="shared" si="2"/>
        <v>0.62097228625582701</v>
      </c>
    </row>
    <row r="6" spans="1:46" x14ac:dyDescent="0.35">
      <c r="A6" s="1" t="s">
        <v>511</v>
      </c>
      <c r="B6" s="1" t="s">
        <v>512</v>
      </c>
      <c r="C6" s="1" t="s">
        <v>528</v>
      </c>
      <c r="D6" s="1"/>
      <c r="E6" s="1"/>
      <c r="F6" s="1"/>
      <c r="G6" s="1"/>
      <c r="H6" s="1"/>
      <c r="I6" s="1"/>
      <c r="J6" s="1" t="s">
        <v>529</v>
      </c>
      <c r="K6" s="1" t="s">
        <v>68</v>
      </c>
      <c r="L6" s="1">
        <v>61</v>
      </c>
      <c r="M6" s="1" t="s">
        <v>65</v>
      </c>
      <c r="N6" s="1" t="s">
        <v>61</v>
      </c>
      <c r="O6" s="1">
        <v>6665</v>
      </c>
      <c r="P6" s="1" t="s">
        <v>532</v>
      </c>
      <c r="Q6" s="1" t="s">
        <v>50</v>
      </c>
      <c r="R6" s="1">
        <v>50</v>
      </c>
      <c r="S6" s="1" t="s">
        <v>65</v>
      </c>
      <c r="T6" s="1" t="s">
        <v>61</v>
      </c>
      <c r="U6" s="1">
        <v>9525</v>
      </c>
      <c r="V6" s="1" t="s">
        <v>530</v>
      </c>
      <c r="W6" s="1" t="s">
        <v>64</v>
      </c>
      <c r="X6" s="1">
        <v>62</v>
      </c>
      <c r="Y6" s="1" t="s">
        <v>65</v>
      </c>
      <c r="Z6" s="1" t="s">
        <v>61</v>
      </c>
      <c r="AA6" s="1">
        <v>180</v>
      </c>
      <c r="AB6" s="1">
        <v>23846</v>
      </c>
      <c r="AC6" s="1">
        <v>23547</v>
      </c>
      <c r="AD6" s="1">
        <v>189</v>
      </c>
      <c r="AE6" s="1">
        <v>10</v>
      </c>
      <c r="AF6" s="1">
        <v>17</v>
      </c>
      <c r="AG6" s="1">
        <v>4</v>
      </c>
      <c r="AH6" s="1">
        <v>19</v>
      </c>
      <c r="AI6" s="1">
        <v>60</v>
      </c>
      <c r="AJ6" s="9">
        <v>0.98746120942715765</v>
      </c>
      <c r="AK6" s="9">
        <v>7.9258575861779756E-3</v>
      </c>
      <c r="AL6" s="9">
        <v>4.1935754424222093E-4</v>
      </c>
      <c r="AM6" s="9">
        <v>4.1935754424222088E-3</v>
      </c>
      <c r="AN6" s="1">
        <v>16370</v>
      </c>
      <c r="AO6" s="1">
        <v>68.599999999999994</v>
      </c>
      <c r="AP6" s="1" t="s">
        <v>50</v>
      </c>
      <c r="AQ6" s="1"/>
      <c r="AR6" s="9">
        <f t="shared" si="0"/>
        <v>0</v>
      </c>
      <c r="AS6" s="9">
        <f t="shared" si="1"/>
        <v>0.40714722052535124</v>
      </c>
      <c r="AT6" s="9">
        <f t="shared" si="2"/>
        <v>0.58185705558949297</v>
      </c>
    </row>
    <row r="7" spans="1:46" x14ac:dyDescent="0.35">
      <c r="A7" s="1" t="s">
        <v>511</v>
      </c>
      <c r="B7" s="1" t="s">
        <v>534</v>
      </c>
      <c r="C7" s="1" t="s">
        <v>535</v>
      </c>
      <c r="D7" s="1"/>
      <c r="E7" s="1"/>
      <c r="F7" s="1"/>
      <c r="G7" s="1"/>
      <c r="H7" s="1"/>
      <c r="I7" s="1"/>
      <c r="J7" s="1" t="s">
        <v>536</v>
      </c>
      <c r="K7" s="1" t="s">
        <v>68</v>
      </c>
      <c r="L7" s="1">
        <v>50</v>
      </c>
      <c r="M7" s="1" t="s">
        <v>65</v>
      </c>
      <c r="N7" s="1" t="s">
        <v>61</v>
      </c>
      <c r="O7" s="1">
        <v>6847</v>
      </c>
      <c r="P7" s="1" t="s">
        <v>538</v>
      </c>
      <c r="Q7" s="1" t="s">
        <v>52</v>
      </c>
      <c r="R7" s="1">
        <v>50</v>
      </c>
      <c r="S7" s="1" t="s">
        <v>65</v>
      </c>
      <c r="T7" s="1" t="s">
        <v>61</v>
      </c>
      <c r="U7" s="1">
        <v>11523</v>
      </c>
      <c r="V7" s="1"/>
      <c r="W7" s="1"/>
      <c r="X7" s="1"/>
      <c r="Y7" s="1"/>
      <c r="Z7" s="1"/>
      <c r="AA7" s="1"/>
      <c r="AB7" s="1">
        <v>25192</v>
      </c>
      <c r="AC7" s="1">
        <v>24951</v>
      </c>
      <c r="AD7" s="1">
        <v>93</v>
      </c>
      <c r="AE7" s="1">
        <v>9</v>
      </c>
      <c r="AF7" s="1">
        <v>27</v>
      </c>
      <c r="AG7" s="1">
        <v>10</v>
      </c>
      <c r="AH7" s="1">
        <v>2</v>
      </c>
      <c r="AI7" s="1">
        <v>100</v>
      </c>
      <c r="AJ7" s="9">
        <v>0.99043347094315659</v>
      </c>
      <c r="AK7" s="9">
        <v>3.6916481422673863E-3</v>
      </c>
      <c r="AL7" s="9">
        <v>3.5725627183232772E-4</v>
      </c>
      <c r="AM7" s="9">
        <v>5.5176246427437285E-3</v>
      </c>
      <c r="AN7" s="1">
        <v>18370</v>
      </c>
      <c r="AO7" s="1">
        <v>72.900000000000006</v>
      </c>
      <c r="AP7" s="1" t="s">
        <v>52</v>
      </c>
      <c r="AQ7" s="1"/>
      <c r="AR7" s="9">
        <f t="shared" si="0"/>
        <v>0</v>
      </c>
      <c r="AS7" s="9">
        <f t="shared" si="1"/>
        <v>0.37272727272727274</v>
      </c>
      <c r="AT7" s="9">
        <f t="shared" si="2"/>
        <v>0.62727272727272732</v>
      </c>
    </row>
    <row r="8" spans="1:46" x14ac:dyDescent="0.35">
      <c r="A8" s="1" t="s">
        <v>511</v>
      </c>
      <c r="B8" s="1" t="s">
        <v>534</v>
      </c>
      <c r="C8" s="1" t="s">
        <v>540</v>
      </c>
      <c r="D8" s="1"/>
      <c r="E8" s="1"/>
      <c r="F8" s="1"/>
      <c r="G8" s="1"/>
      <c r="H8" s="1"/>
      <c r="I8" s="1"/>
      <c r="J8" s="1" t="s">
        <v>541</v>
      </c>
      <c r="K8" s="1" t="s">
        <v>68</v>
      </c>
      <c r="L8" s="1">
        <v>54</v>
      </c>
      <c r="M8" s="1" t="s">
        <v>65</v>
      </c>
      <c r="N8" s="1" t="s">
        <v>61</v>
      </c>
      <c r="O8" s="1">
        <v>7299</v>
      </c>
      <c r="P8" s="1" t="s">
        <v>543</v>
      </c>
      <c r="Q8" s="1" t="s">
        <v>50</v>
      </c>
      <c r="R8" s="1">
        <v>61</v>
      </c>
      <c r="S8" s="1" t="s">
        <v>65</v>
      </c>
      <c r="T8" s="1" t="s">
        <v>61</v>
      </c>
      <c r="U8" s="1">
        <v>14837</v>
      </c>
      <c r="V8" s="1"/>
      <c r="W8" s="1"/>
      <c r="X8" s="1"/>
      <c r="Y8" s="1"/>
      <c r="Z8" s="1"/>
      <c r="AA8" s="1"/>
      <c r="AB8" s="1">
        <v>30739</v>
      </c>
      <c r="AC8" s="1">
        <v>30463</v>
      </c>
      <c r="AD8" s="1">
        <v>122</v>
      </c>
      <c r="AE8" s="1">
        <v>9</v>
      </c>
      <c r="AF8" s="1">
        <v>27</v>
      </c>
      <c r="AG8" s="1">
        <v>22</v>
      </c>
      <c r="AH8" s="1">
        <v>1</v>
      </c>
      <c r="AI8" s="1">
        <v>95</v>
      </c>
      <c r="AJ8" s="9">
        <v>0.99102117830768732</v>
      </c>
      <c r="AK8" s="9">
        <v>3.9688994437034383E-3</v>
      </c>
      <c r="AL8" s="9">
        <v>2.9278766387976185E-4</v>
      </c>
      <c r="AM8" s="9">
        <v>4.717134584729497E-3</v>
      </c>
      <c r="AN8" s="1">
        <v>22136</v>
      </c>
      <c r="AO8" s="1">
        <v>72</v>
      </c>
      <c r="AP8" s="1" t="s">
        <v>50</v>
      </c>
      <c r="AQ8" s="1"/>
      <c r="AR8" s="9">
        <f t="shared" si="0"/>
        <v>0</v>
      </c>
      <c r="AS8" s="9">
        <f t="shared" si="1"/>
        <v>0.32973436935308997</v>
      </c>
      <c r="AT8" s="9">
        <f t="shared" si="2"/>
        <v>0.67026563064691003</v>
      </c>
    </row>
    <row r="9" spans="1:46" x14ac:dyDescent="0.35">
      <c r="A9" s="1" t="s">
        <v>511</v>
      </c>
      <c r="B9" s="1" t="s">
        <v>534</v>
      </c>
      <c r="C9" s="1" t="s">
        <v>545</v>
      </c>
      <c r="D9" s="1"/>
      <c r="E9" s="1"/>
      <c r="F9" s="1"/>
      <c r="G9" s="1"/>
      <c r="H9" s="1"/>
      <c r="I9" s="1"/>
      <c r="J9" s="1" t="s">
        <v>548</v>
      </c>
      <c r="K9" s="1" t="s">
        <v>68</v>
      </c>
      <c r="L9" s="1">
        <v>61</v>
      </c>
      <c r="M9" s="1" t="s">
        <v>65</v>
      </c>
      <c r="N9" s="1" t="s">
        <v>61</v>
      </c>
      <c r="O9" s="1">
        <v>6819</v>
      </c>
      <c r="P9" s="1" t="s">
        <v>546</v>
      </c>
      <c r="Q9" s="1" t="s">
        <v>52</v>
      </c>
      <c r="R9" s="1">
        <v>63</v>
      </c>
      <c r="S9" s="1" t="s">
        <v>65</v>
      </c>
      <c r="T9" s="1" t="s">
        <v>61</v>
      </c>
      <c r="U9" s="1">
        <v>9553</v>
      </c>
      <c r="V9" s="1"/>
      <c r="W9" s="1"/>
      <c r="X9" s="1"/>
      <c r="Y9" s="1"/>
      <c r="Z9" s="1"/>
      <c r="AA9" s="1"/>
      <c r="AB9" s="1">
        <v>22439</v>
      </c>
      <c r="AC9" s="1">
        <v>22287</v>
      </c>
      <c r="AD9" s="1">
        <v>9</v>
      </c>
      <c r="AE9" s="1">
        <v>7</v>
      </c>
      <c r="AF9" s="1">
        <v>22</v>
      </c>
      <c r="AG9" s="1">
        <v>14</v>
      </c>
      <c r="AH9" s="1">
        <v>1</v>
      </c>
      <c r="AI9" s="1">
        <v>99</v>
      </c>
      <c r="AJ9" s="9">
        <v>0.99322607959356479</v>
      </c>
      <c r="AK9" s="9">
        <v>4.0108739248629618E-4</v>
      </c>
      <c r="AL9" s="9">
        <v>3.1195686082267481E-4</v>
      </c>
      <c r="AM9" s="9">
        <v>6.0608761531262536E-3</v>
      </c>
      <c r="AN9" s="1">
        <v>16372</v>
      </c>
      <c r="AO9" s="1">
        <v>73</v>
      </c>
      <c r="AP9" s="1" t="s">
        <v>52</v>
      </c>
      <c r="AQ9" s="1"/>
      <c r="AR9" s="9">
        <f t="shared" si="0"/>
        <v>0</v>
      </c>
      <c r="AS9" s="9">
        <f t="shared" si="1"/>
        <v>0.41650378695333495</v>
      </c>
      <c r="AT9" s="9">
        <f t="shared" si="2"/>
        <v>0.58349621304666499</v>
      </c>
    </row>
    <row r="10" spans="1:46" x14ac:dyDescent="0.35">
      <c r="A10" s="1" t="s">
        <v>511</v>
      </c>
      <c r="B10" s="1" t="s">
        <v>534</v>
      </c>
      <c r="C10" s="1" t="s">
        <v>550</v>
      </c>
      <c r="D10" s="1"/>
      <c r="E10" s="1"/>
      <c r="F10" s="1"/>
      <c r="G10" s="1"/>
      <c r="H10" s="1"/>
      <c r="I10" s="1"/>
      <c r="J10" s="1" t="s">
        <v>553</v>
      </c>
      <c r="K10" s="1" t="s">
        <v>68</v>
      </c>
      <c r="L10" s="1">
        <v>60</v>
      </c>
      <c r="M10" s="1" t="s">
        <v>65</v>
      </c>
      <c r="N10" s="1" t="s">
        <v>61</v>
      </c>
      <c r="O10" s="1">
        <v>8446</v>
      </c>
      <c r="P10" s="1" t="s">
        <v>551</v>
      </c>
      <c r="Q10" s="1" t="s">
        <v>52</v>
      </c>
      <c r="R10" s="1">
        <v>40</v>
      </c>
      <c r="S10" s="1" t="s">
        <v>65</v>
      </c>
      <c r="T10" s="1" t="s">
        <v>61</v>
      </c>
      <c r="U10" s="1">
        <v>14465</v>
      </c>
      <c r="V10" s="1"/>
      <c r="W10" s="1"/>
      <c r="X10" s="1"/>
      <c r="Y10" s="1"/>
      <c r="Z10" s="1"/>
      <c r="AA10" s="1"/>
      <c r="AB10" s="1">
        <v>29919</v>
      </c>
      <c r="AC10" s="1">
        <v>29736</v>
      </c>
      <c r="AD10" s="1">
        <v>69</v>
      </c>
      <c r="AE10" s="1">
        <v>12</v>
      </c>
      <c r="AF10" s="1">
        <v>29</v>
      </c>
      <c r="AG10" s="1">
        <v>25</v>
      </c>
      <c r="AH10" s="1">
        <v>4</v>
      </c>
      <c r="AI10" s="1">
        <v>44</v>
      </c>
      <c r="AJ10" s="9">
        <v>0.99388348541060867</v>
      </c>
      <c r="AK10" s="9">
        <v>2.3062268123934622E-3</v>
      </c>
      <c r="AL10" s="9">
        <v>4.0108292389451518E-4</v>
      </c>
      <c r="AM10" s="9">
        <v>3.4092048531033791E-3</v>
      </c>
      <c r="AN10" s="1">
        <v>22911</v>
      </c>
      <c r="AO10" s="1">
        <v>76.599999999999994</v>
      </c>
      <c r="AP10" s="1" t="s">
        <v>52</v>
      </c>
      <c r="AQ10" s="1"/>
      <c r="AR10" s="9">
        <f t="shared" si="0"/>
        <v>0</v>
      </c>
      <c r="AS10" s="9">
        <f t="shared" si="1"/>
        <v>0.36864388285103228</v>
      </c>
      <c r="AT10" s="9">
        <f t="shared" si="2"/>
        <v>0.63135611714896778</v>
      </c>
    </row>
    <row r="11" spans="1:46" x14ac:dyDescent="0.35">
      <c r="A11" s="1" t="s">
        <v>511</v>
      </c>
      <c r="B11" s="1" t="s">
        <v>554</v>
      </c>
      <c r="C11" s="1" t="s">
        <v>555</v>
      </c>
      <c r="D11" s="1"/>
      <c r="E11" s="1"/>
      <c r="F11" s="1"/>
      <c r="G11" s="1"/>
      <c r="H11" s="1"/>
      <c r="I11" s="1"/>
      <c r="J11" s="1" t="s">
        <v>558</v>
      </c>
      <c r="K11" s="1" t="s">
        <v>68</v>
      </c>
      <c r="L11" s="1">
        <v>45</v>
      </c>
      <c r="M11" s="1" t="s">
        <v>65</v>
      </c>
      <c r="N11" s="1" t="s">
        <v>61</v>
      </c>
      <c r="O11" s="1">
        <v>6155</v>
      </c>
      <c r="P11" s="1" t="s">
        <v>556</v>
      </c>
      <c r="Q11" s="1" t="s">
        <v>52</v>
      </c>
      <c r="R11" s="1">
        <v>46</v>
      </c>
      <c r="S11" s="1" t="s">
        <v>65</v>
      </c>
      <c r="T11" s="1" t="s">
        <v>61</v>
      </c>
      <c r="U11" s="1">
        <v>17049</v>
      </c>
      <c r="V11" s="1"/>
      <c r="W11" s="1"/>
      <c r="X11" s="1"/>
      <c r="Y11" s="1"/>
      <c r="Z11" s="1"/>
      <c r="AA11" s="1"/>
      <c r="AB11" s="1">
        <v>30448</v>
      </c>
      <c r="AC11" s="1">
        <v>30044</v>
      </c>
      <c r="AD11" s="1">
        <v>201</v>
      </c>
      <c r="AE11" s="1">
        <v>16</v>
      </c>
      <c r="AF11" s="1">
        <v>16</v>
      </c>
      <c r="AG11" s="1">
        <v>14</v>
      </c>
      <c r="AH11" s="1">
        <v>1</v>
      </c>
      <c r="AI11" s="1">
        <v>156</v>
      </c>
      <c r="AJ11" s="9">
        <v>0.98673147661586968</v>
      </c>
      <c r="AK11" s="9">
        <v>6.6014188124014711E-3</v>
      </c>
      <c r="AL11" s="9">
        <v>5.2548607461902258E-4</v>
      </c>
      <c r="AM11" s="9">
        <v>6.141618497109827E-3</v>
      </c>
      <c r="AN11" s="1">
        <v>23204</v>
      </c>
      <c r="AO11" s="1">
        <v>76.2</v>
      </c>
      <c r="AP11" s="1" t="s">
        <v>52</v>
      </c>
      <c r="AQ11" s="1"/>
      <c r="AR11" s="9">
        <f t="shared" si="0"/>
        <v>0</v>
      </c>
      <c r="AS11" s="9">
        <f t="shared" si="1"/>
        <v>0.265255990346492</v>
      </c>
      <c r="AT11" s="9">
        <f t="shared" si="2"/>
        <v>0.73474400965350806</v>
      </c>
    </row>
    <row r="12" spans="1:46" x14ac:dyDescent="0.35">
      <c r="A12" s="1" t="s">
        <v>511</v>
      </c>
      <c r="B12" s="1" t="s">
        <v>554</v>
      </c>
      <c r="C12" s="1" t="s">
        <v>560</v>
      </c>
      <c r="D12" s="1"/>
      <c r="E12" s="1"/>
      <c r="F12" s="1"/>
      <c r="G12" s="1"/>
      <c r="H12" s="1"/>
      <c r="I12" s="1"/>
      <c r="J12" s="1" t="s">
        <v>563</v>
      </c>
      <c r="K12" s="1" t="s">
        <v>68</v>
      </c>
      <c r="L12" s="1">
        <v>50</v>
      </c>
      <c r="M12" s="1" t="s">
        <v>65</v>
      </c>
      <c r="N12" s="1" t="s">
        <v>61</v>
      </c>
      <c r="O12" s="1">
        <v>5847</v>
      </c>
      <c r="P12" s="1" t="s">
        <v>561</v>
      </c>
      <c r="Q12" s="1" t="s">
        <v>52</v>
      </c>
      <c r="R12" s="1">
        <v>52</v>
      </c>
      <c r="S12" s="1" t="s">
        <v>65</v>
      </c>
      <c r="T12" s="1" t="s">
        <v>61</v>
      </c>
      <c r="U12" s="1">
        <v>16213</v>
      </c>
      <c r="V12" s="1"/>
      <c r="W12" s="1"/>
      <c r="X12" s="1"/>
      <c r="Y12" s="1"/>
      <c r="Z12" s="1"/>
      <c r="AA12" s="1"/>
      <c r="AB12" s="1">
        <v>27845</v>
      </c>
      <c r="AC12" s="1">
        <v>27330</v>
      </c>
      <c r="AD12" s="1">
        <v>434</v>
      </c>
      <c r="AE12" s="1">
        <v>15</v>
      </c>
      <c r="AF12" s="1">
        <v>13</v>
      </c>
      <c r="AG12" s="1">
        <v>9</v>
      </c>
      <c r="AH12" s="1">
        <v>0</v>
      </c>
      <c r="AI12" s="1">
        <v>44</v>
      </c>
      <c r="AJ12" s="9">
        <v>0.98150475848446761</v>
      </c>
      <c r="AK12" s="9">
        <v>1.5586281199497216E-2</v>
      </c>
      <c r="AL12" s="9">
        <v>5.3869635482133233E-4</v>
      </c>
      <c r="AM12" s="9">
        <v>2.3702639612138625E-3</v>
      </c>
      <c r="AN12" s="1">
        <v>22060</v>
      </c>
      <c r="AO12" s="1">
        <v>79.2</v>
      </c>
      <c r="AP12" s="1" t="s">
        <v>52</v>
      </c>
      <c r="AQ12" s="1"/>
      <c r="AR12" s="9">
        <f t="shared" si="0"/>
        <v>0</v>
      </c>
      <c r="AS12" s="9">
        <f t="shared" si="1"/>
        <v>0.26504986400725294</v>
      </c>
      <c r="AT12" s="9">
        <f t="shared" si="2"/>
        <v>0.73495013599274706</v>
      </c>
    </row>
    <row r="13" spans="1:46" x14ac:dyDescent="0.35">
      <c r="A13" s="1" t="s">
        <v>511</v>
      </c>
      <c r="B13" s="1" t="s">
        <v>554</v>
      </c>
      <c r="C13" s="1" t="s">
        <v>564</v>
      </c>
      <c r="D13" s="1"/>
      <c r="E13" s="1"/>
      <c r="F13" s="1"/>
      <c r="G13" s="1"/>
      <c r="H13" s="1"/>
      <c r="I13" s="1"/>
      <c r="J13" s="1" t="s">
        <v>565</v>
      </c>
      <c r="K13" s="1" t="s">
        <v>68</v>
      </c>
      <c r="L13" s="1">
        <v>59</v>
      </c>
      <c r="M13" s="1" t="s">
        <v>65</v>
      </c>
      <c r="N13" s="1" t="s">
        <v>61</v>
      </c>
      <c r="O13" s="1">
        <v>9359</v>
      </c>
      <c r="P13" s="1" t="s">
        <v>567</v>
      </c>
      <c r="Q13" s="1" t="s">
        <v>50</v>
      </c>
      <c r="R13" s="1">
        <v>55</v>
      </c>
      <c r="S13" s="1" t="s">
        <v>65</v>
      </c>
      <c r="T13" s="1" t="s">
        <v>61</v>
      </c>
      <c r="U13" s="1">
        <v>12156</v>
      </c>
      <c r="V13" s="1"/>
      <c r="W13" s="1"/>
      <c r="X13" s="1"/>
      <c r="Y13" s="1"/>
      <c r="Z13" s="1"/>
      <c r="AA13" s="1"/>
      <c r="AB13" s="1">
        <v>27733</v>
      </c>
      <c r="AC13" s="1">
        <v>27444</v>
      </c>
      <c r="AD13" s="1">
        <v>63</v>
      </c>
      <c r="AE13" s="1">
        <v>31</v>
      </c>
      <c r="AF13" s="1">
        <v>70</v>
      </c>
      <c r="AG13" s="1">
        <v>48</v>
      </c>
      <c r="AH13" s="1">
        <v>4</v>
      </c>
      <c r="AI13" s="1">
        <v>73</v>
      </c>
      <c r="AJ13" s="9">
        <v>0.98957920167309699</v>
      </c>
      <c r="AK13" s="9">
        <v>2.2716619190134499E-3</v>
      </c>
      <c r="AL13" s="9">
        <v>1.1178018966574118E-3</v>
      </c>
      <c r="AM13" s="9">
        <v>7.0313345112321063E-3</v>
      </c>
      <c r="AN13" s="1">
        <v>21515</v>
      </c>
      <c r="AO13" s="1">
        <v>77.599999999999994</v>
      </c>
      <c r="AP13" s="1" t="s">
        <v>50</v>
      </c>
      <c r="AQ13" s="1"/>
      <c r="AR13" s="9">
        <f t="shared" si="0"/>
        <v>0</v>
      </c>
      <c r="AS13" s="9">
        <f t="shared" si="1"/>
        <v>0.43499883801998607</v>
      </c>
      <c r="AT13" s="9">
        <f t="shared" si="2"/>
        <v>0.56500116198001393</v>
      </c>
    </row>
    <row r="14" spans="1:46" x14ac:dyDescent="0.35">
      <c r="A14" s="1" t="s">
        <v>511</v>
      </c>
      <c r="B14" s="1" t="s">
        <v>554</v>
      </c>
      <c r="C14" s="1" t="s">
        <v>569</v>
      </c>
      <c r="D14" s="1"/>
      <c r="E14" s="1"/>
      <c r="F14" s="1"/>
      <c r="G14" s="1"/>
      <c r="H14" s="1"/>
      <c r="I14" s="1"/>
      <c r="J14" s="1" t="s">
        <v>570</v>
      </c>
      <c r="K14" s="1" t="s">
        <v>68</v>
      </c>
      <c r="L14" s="1">
        <v>64</v>
      </c>
      <c r="M14" s="1" t="s">
        <v>65</v>
      </c>
      <c r="N14" s="1" t="s">
        <v>61</v>
      </c>
      <c r="O14" s="1">
        <v>4345</v>
      </c>
      <c r="P14" s="1" t="s">
        <v>571</v>
      </c>
      <c r="Q14" s="1" t="s">
        <v>52</v>
      </c>
      <c r="R14" s="1">
        <v>56</v>
      </c>
      <c r="S14" s="1" t="s">
        <v>65</v>
      </c>
      <c r="T14" s="1" t="s">
        <v>61</v>
      </c>
      <c r="U14" s="1">
        <v>12066</v>
      </c>
      <c r="V14" s="1"/>
      <c r="W14" s="1"/>
      <c r="X14" s="1"/>
      <c r="Y14" s="1"/>
      <c r="Z14" s="1"/>
      <c r="AA14" s="1"/>
      <c r="AB14" s="1">
        <v>21055</v>
      </c>
      <c r="AC14" s="1">
        <v>20527</v>
      </c>
      <c r="AD14" s="1">
        <v>404</v>
      </c>
      <c r="AE14" s="1">
        <v>29</v>
      </c>
      <c r="AF14" s="1">
        <v>17</v>
      </c>
      <c r="AG14" s="1">
        <v>7</v>
      </c>
      <c r="AH14" s="1">
        <v>1</v>
      </c>
      <c r="AI14" s="1">
        <v>70</v>
      </c>
      <c r="AJ14" s="9">
        <v>0.97492282118261697</v>
      </c>
      <c r="AK14" s="9">
        <v>1.9187841367846119E-2</v>
      </c>
      <c r="AL14" s="9">
        <v>1.3773450486820233E-3</v>
      </c>
      <c r="AM14" s="9">
        <v>4.5119924008549042E-3</v>
      </c>
      <c r="AN14" s="1">
        <v>16411</v>
      </c>
      <c r="AO14" s="1">
        <v>77.900000000000006</v>
      </c>
      <c r="AP14" s="1" t="s">
        <v>52</v>
      </c>
      <c r="AQ14" s="1"/>
      <c r="AR14" s="9">
        <f t="shared" si="0"/>
        <v>0</v>
      </c>
      <c r="AS14" s="9">
        <f t="shared" si="1"/>
        <v>0.2647614404972275</v>
      </c>
      <c r="AT14" s="9">
        <f t="shared" si="2"/>
        <v>0.7352385595027725</v>
      </c>
    </row>
    <row r="15" spans="1:46" x14ac:dyDescent="0.35">
      <c r="A15" s="1" t="s">
        <v>511</v>
      </c>
      <c r="B15" s="1" t="s">
        <v>573</v>
      </c>
      <c r="C15" s="1" t="s">
        <v>574</v>
      </c>
      <c r="D15" s="1" t="s">
        <v>577</v>
      </c>
      <c r="E15" s="1" t="s">
        <v>51</v>
      </c>
      <c r="F15" s="1">
        <v>27</v>
      </c>
      <c r="G15" s="1" t="s">
        <v>65</v>
      </c>
      <c r="H15" s="1" t="s">
        <v>61</v>
      </c>
      <c r="I15" s="1">
        <v>3718</v>
      </c>
      <c r="J15" s="1"/>
      <c r="K15" s="1"/>
      <c r="L15" s="1"/>
      <c r="M15" s="1"/>
      <c r="N15" s="1"/>
      <c r="O15" s="1"/>
      <c r="P15" s="1" t="s">
        <v>575</v>
      </c>
      <c r="Q15" s="1" t="s">
        <v>52</v>
      </c>
      <c r="R15" s="1">
        <v>53</v>
      </c>
      <c r="S15" s="1" t="s">
        <v>65</v>
      </c>
      <c r="T15" s="1" t="s">
        <v>61</v>
      </c>
      <c r="U15" s="1">
        <v>22345</v>
      </c>
      <c r="V15" s="1"/>
      <c r="W15" s="1"/>
      <c r="X15" s="1"/>
      <c r="Y15" s="1"/>
      <c r="Z15" s="1"/>
      <c r="AA15" s="1"/>
      <c r="AB15" s="1">
        <v>34509</v>
      </c>
      <c r="AC15" s="1">
        <v>34219</v>
      </c>
      <c r="AD15" s="1">
        <v>153</v>
      </c>
      <c r="AE15" s="1">
        <v>33</v>
      </c>
      <c r="AF15" s="1">
        <v>11</v>
      </c>
      <c r="AG15" s="1">
        <v>11</v>
      </c>
      <c r="AH15" s="1">
        <v>1</v>
      </c>
      <c r="AI15" s="1">
        <v>81</v>
      </c>
      <c r="AJ15" s="9">
        <v>0.99159639514329601</v>
      </c>
      <c r="AK15" s="9">
        <v>4.4336260106059289E-3</v>
      </c>
      <c r="AL15" s="9">
        <v>9.5627227679735726E-4</v>
      </c>
      <c r="AM15" s="9">
        <v>3.013706569300762E-3</v>
      </c>
      <c r="AN15" s="1">
        <v>26063</v>
      </c>
      <c r="AO15" s="1">
        <v>75.5</v>
      </c>
      <c r="AP15" s="1" t="s">
        <v>52</v>
      </c>
      <c r="AQ15" s="1"/>
      <c r="AR15" s="9">
        <f t="shared" si="0"/>
        <v>0.1426543375666654</v>
      </c>
      <c r="AS15" s="9">
        <f t="shared" si="1"/>
        <v>0</v>
      </c>
      <c r="AT15" s="9">
        <f t="shared" si="2"/>
        <v>0.85734566243333465</v>
      </c>
    </row>
    <row r="16" spans="1:46" x14ac:dyDescent="0.35">
      <c r="A16" s="1" t="s">
        <v>511</v>
      </c>
      <c r="B16" s="1" t="s">
        <v>573</v>
      </c>
      <c r="C16" s="1" t="s">
        <v>579</v>
      </c>
      <c r="D16" s="1"/>
      <c r="E16" s="1"/>
      <c r="F16" s="1"/>
      <c r="G16" s="1"/>
      <c r="H16" s="1"/>
      <c r="I16" s="1"/>
      <c r="J16" s="1" t="s">
        <v>582</v>
      </c>
      <c r="K16" s="1" t="s">
        <v>68</v>
      </c>
      <c r="L16" s="1">
        <v>44</v>
      </c>
      <c r="M16" s="1" t="s">
        <v>65</v>
      </c>
      <c r="N16" s="1" t="s">
        <v>61</v>
      </c>
      <c r="O16" s="1">
        <v>6074</v>
      </c>
      <c r="P16" s="1" t="s">
        <v>580</v>
      </c>
      <c r="Q16" s="1" t="s">
        <v>52</v>
      </c>
      <c r="R16" s="1">
        <v>56</v>
      </c>
      <c r="S16" s="1" t="s">
        <v>65</v>
      </c>
      <c r="T16" s="1" t="s">
        <v>61</v>
      </c>
      <c r="U16" s="1">
        <v>8438</v>
      </c>
      <c r="V16" s="1" t="s">
        <v>584</v>
      </c>
      <c r="W16" s="1" t="s">
        <v>587</v>
      </c>
      <c r="X16" s="1">
        <v>31</v>
      </c>
      <c r="Y16" s="1" t="s">
        <v>65</v>
      </c>
      <c r="Z16" s="1" t="s">
        <v>61</v>
      </c>
      <c r="AA16" s="1">
        <v>372</v>
      </c>
      <c r="AB16" s="1">
        <v>22057</v>
      </c>
      <c r="AC16" s="1">
        <v>14698</v>
      </c>
      <c r="AD16" s="1">
        <v>6951</v>
      </c>
      <c r="AE16" s="1">
        <v>259</v>
      </c>
      <c r="AF16" s="1">
        <v>15</v>
      </c>
      <c r="AG16" s="1">
        <v>11</v>
      </c>
      <c r="AH16" s="1">
        <v>0</v>
      </c>
      <c r="AI16" s="1">
        <v>123</v>
      </c>
      <c r="AJ16" s="9">
        <v>0.66636441945867531</v>
      </c>
      <c r="AK16" s="9">
        <v>0.3151380514122501</v>
      </c>
      <c r="AL16" s="9">
        <v>1.1742304030466518E-2</v>
      </c>
      <c r="AM16" s="9">
        <v>6.7552250986081513E-3</v>
      </c>
      <c r="AN16" s="1">
        <v>14884</v>
      </c>
      <c r="AO16" s="1">
        <v>67.5</v>
      </c>
      <c r="AP16" s="1" t="s">
        <v>52</v>
      </c>
      <c r="AQ16" s="1"/>
      <c r="AR16" s="9">
        <f t="shared" si="0"/>
        <v>0</v>
      </c>
      <c r="AS16" s="9">
        <f t="shared" si="1"/>
        <v>0.4080892233270626</v>
      </c>
      <c r="AT16" s="9">
        <f t="shared" si="2"/>
        <v>0.56691749529696323</v>
      </c>
    </row>
    <row r="17" spans="1:46" x14ac:dyDescent="0.35">
      <c r="A17" s="1" t="s">
        <v>511</v>
      </c>
      <c r="B17" s="1" t="s">
        <v>573</v>
      </c>
      <c r="C17" s="1" t="s">
        <v>588</v>
      </c>
      <c r="D17" s="1"/>
      <c r="E17" s="1"/>
      <c r="F17" s="1"/>
      <c r="G17" s="1"/>
      <c r="H17" s="1"/>
      <c r="I17" s="1"/>
      <c r="J17" s="1" t="s">
        <v>589</v>
      </c>
      <c r="K17" s="1" t="s">
        <v>68</v>
      </c>
      <c r="L17" s="1">
        <v>60</v>
      </c>
      <c r="M17" s="1" t="s">
        <v>65</v>
      </c>
      <c r="N17" s="1" t="s">
        <v>61</v>
      </c>
      <c r="O17" s="1">
        <v>7290</v>
      </c>
      <c r="P17" s="1" t="s">
        <v>591</v>
      </c>
      <c r="Q17" s="1" t="s">
        <v>52</v>
      </c>
      <c r="R17" s="1">
        <v>44</v>
      </c>
      <c r="S17" s="1" t="s">
        <v>60</v>
      </c>
      <c r="T17" s="1" t="s">
        <v>61</v>
      </c>
      <c r="U17" s="1">
        <v>11663</v>
      </c>
      <c r="V17" s="1"/>
      <c r="W17" s="1"/>
      <c r="X17" s="1"/>
      <c r="Y17" s="1"/>
      <c r="Z17" s="1"/>
      <c r="AA17" s="1"/>
      <c r="AB17" s="1">
        <v>26250</v>
      </c>
      <c r="AC17" s="1">
        <v>23438</v>
      </c>
      <c r="AD17" s="1">
        <v>2341</v>
      </c>
      <c r="AE17" s="1">
        <v>249</v>
      </c>
      <c r="AF17" s="1">
        <v>58</v>
      </c>
      <c r="AG17" s="1">
        <v>38</v>
      </c>
      <c r="AH17" s="1">
        <v>4</v>
      </c>
      <c r="AI17" s="1">
        <v>122</v>
      </c>
      <c r="AJ17" s="9">
        <v>0.89287619047619049</v>
      </c>
      <c r="AK17" s="9">
        <v>8.9180952380952375E-2</v>
      </c>
      <c r="AL17" s="9">
        <v>9.4857142857142866E-3</v>
      </c>
      <c r="AM17" s="9">
        <v>8.4571428571428575E-3</v>
      </c>
      <c r="AN17" s="1">
        <v>18953</v>
      </c>
      <c r="AO17" s="1">
        <v>72.2</v>
      </c>
      <c r="AP17" s="1" t="s">
        <v>52</v>
      </c>
      <c r="AQ17" s="1"/>
      <c r="AR17" s="9">
        <f t="shared" si="0"/>
        <v>0</v>
      </c>
      <c r="AS17" s="9">
        <f t="shared" si="1"/>
        <v>0.38463567772911939</v>
      </c>
      <c r="AT17" s="9">
        <f t="shared" si="2"/>
        <v>0.61536432227088056</v>
      </c>
    </row>
    <row r="18" spans="1:46" x14ac:dyDescent="0.35">
      <c r="A18" s="1" t="s">
        <v>511</v>
      </c>
      <c r="B18" s="1" t="s">
        <v>573</v>
      </c>
      <c r="C18" s="1" t="s">
        <v>593</v>
      </c>
      <c r="D18" s="1" t="s">
        <v>596</v>
      </c>
      <c r="E18" s="1" t="s">
        <v>48</v>
      </c>
      <c r="F18" s="1">
        <v>42</v>
      </c>
      <c r="G18" s="1" t="s">
        <v>65</v>
      </c>
      <c r="H18" s="1" t="s">
        <v>61</v>
      </c>
      <c r="I18" s="1">
        <v>6099</v>
      </c>
      <c r="J18" s="1"/>
      <c r="K18" s="1"/>
      <c r="L18" s="1"/>
      <c r="M18" s="1"/>
      <c r="N18" s="1"/>
      <c r="O18" s="1"/>
      <c r="P18" s="1" t="s">
        <v>594</v>
      </c>
      <c r="Q18" s="1" t="s">
        <v>52</v>
      </c>
      <c r="R18" s="1">
        <v>47</v>
      </c>
      <c r="S18" s="1" t="s">
        <v>65</v>
      </c>
      <c r="T18" s="1" t="s">
        <v>61</v>
      </c>
      <c r="U18" s="1">
        <v>23767</v>
      </c>
      <c r="V18" s="1"/>
      <c r="W18" s="1"/>
      <c r="X18" s="1"/>
      <c r="Y18" s="1"/>
      <c r="Z18" s="1"/>
      <c r="AA18" s="1"/>
      <c r="AB18" s="1">
        <v>40759</v>
      </c>
      <c r="AC18" s="1">
        <v>39387</v>
      </c>
      <c r="AD18" s="1">
        <v>987</v>
      </c>
      <c r="AE18" s="1">
        <v>129</v>
      </c>
      <c r="AF18" s="1">
        <v>22</v>
      </c>
      <c r="AG18" s="1">
        <v>19</v>
      </c>
      <c r="AH18" s="1">
        <v>0</v>
      </c>
      <c r="AI18" s="1">
        <v>215</v>
      </c>
      <c r="AJ18" s="9">
        <v>0.96633872273608279</v>
      </c>
      <c r="AK18" s="9">
        <v>2.421551068475674E-2</v>
      </c>
      <c r="AL18" s="9">
        <v>3.1649451654849237E-3</v>
      </c>
      <c r="AM18" s="9">
        <v>6.2808214136755068E-3</v>
      </c>
      <c r="AN18" s="1">
        <v>29866</v>
      </c>
      <c r="AO18" s="1">
        <v>73.3</v>
      </c>
      <c r="AP18" s="1" t="s">
        <v>52</v>
      </c>
      <c r="AQ18" s="1"/>
      <c r="AR18" s="9">
        <f t="shared" si="0"/>
        <v>0.20421214759258019</v>
      </c>
      <c r="AS18" s="9">
        <f t="shared" si="1"/>
        <v>0</v>
      </c>
      <c r="AT18" s="9">
        <f t="shared" si="2"/>
        <v>0.79578785240741978</v>
      </c>
    </row>
    <row r="19" spans="1:46" x14ac:dyDescent="0.35">
      <c r="A19" s="1" t="s">
        <v>511</v>
      </c>
      <c r="B19" s="1" t="s">
        <v>598</v>
      </c>
      <c r="C19" s="1" t="s">
        <v>599</v>
      </c>
      <c r="D19" s="1"/>
      <c r="E19" s="1"/>
      <c r="F19" s="1"/>
      <c r="G19" s="1"/>
      <c r="H19" s="1"/>
      <c r="I19" s="1"/>
      <c r="J19" s="1" t="s">
        <v>600</v>
      </c>
      <c r="K19" s="1" t="s">
        <v>68</v>
      </c>
      <c r="L19" s="1">
        <v>57</v>
      </c>
      <c r="M19" s="1" t="s">
        <v>65</v>
      </c>
      <c r="N19" s="1" t="s">
        <v>61</v>
      </c>
      <c r="O19" s="1">
        <v>7477</v>
      </c>
      <c r="P19" s="1" t="s">
        <v>602</v>
      </c>
      <c r="Q19" s="1" t="s">
        <v>52</v>
      </c>
      <c r="R19" s="1">
        <v>56</v>
      </c>
      <c r="S19" s="1" t="s">
        <v>65</v>
      </c>
      <c r="T19" s="1" t="s">
        <v>61</v>
      </c>
      <c r="U19" s="1">
        <v>20133</v>
      </c>
      <c r="V19" s="1"/>
      <c r="W19" s="1"/>
      <c r="X19" s="1"/>
      <c r="Y19" s="1"/>
      <c r="Z19" s="1"/>
      <c r="AA19" s="1"/>
      <c r="AB19" s="1">
        <v>36087</v>
      </c>
      <c r="AC19" s="1">
        <v>34928</v>
      </c>
      <c r="AD19" s="1">
        <v>968</v>
      </c>
      <c r="AE19" s="1">
        <v>30</v>
      </c>
      <c r="AF19" s="1">
        <v>25</v>
      </c>
      <c r="AG19" s="1">
        <v>28</v>
      </c>
      <c r="AH19" s="1">
        <v>2</v>
      </c>
      <c r="AI19" s="1">
        <v>106</v>
      </c>
      <c r="AJ19" s="9">
        <v>0.96788317122509493</v>
      </c>
      <c r="AK19" s="9">
        <v>2.682406406739269E-2</v>
      </c>
      <c r="AL19" s="9">
        <v>8.3132429960927753E-4</v>
      </c>
      <c r="AM19" s="9">
        <v>4.4614404079031233E-3</v>
      </c>
      <c r="AN19" s="1">
        <v>27610</v>
      </c>
      <c r="AO19" s="1">
        <v>76.5</v>
      </c>
      <c r="AP19" s="1" t="s">
        <v>52</v>
      </c>
      <c r="AQ19" s="1"/>
      <c r="AR19" s="9">
        <f t="shared" si="0"/>
        <v>0</v>
      </c>
      <c r="AS19" s="9">
        <f t="shared" si="1"/>
        <v>0.2708076783773995</v>
      </c>
      <c r="AT19" s="9">
        <f t="shared" si="2"/>
        <v>0.7291923216226005</v>
      </c>
    </row>
    <row r="20" spans="1:46" x14ac:dyDescent="0.35">
      <c r="A20" s="1" t="s">
        <v>511</v>
      </c>
      <c r="B20" s="1" t="s">
        <v>598</v>
      </c>
      <c r="C20" s="1" t="s">
        <v>604</v>
      </c>
      <c r="D20" s="1"/>
      <c r="E20" s="1"/>
      <c r="F20" s="1"/>
      <c r="G20" s="1"/>
      <c r="H20" s="1"/>
      <c r="I20" s="1"/>
      <c r="J20" s="1" t="s">
        <v>605</v>
      </c>
      <c r="K20" s="1" t="s">
        <v>68</v>
      </c>
      <c r="L20" s="1">
        <v>63</v>
      </c>
      <c r="M20" s="1" t="s">
        <v>65</v>
      </c>
      <c r="N20" s="1" t="s">
        <v>61</v>
      </c>
      <c r="O20" s="1">
        <v>5882</v>
      </c>
      <c r="P20" s="1" t="s">
        <v>607</v>
      </c>
      <c r="Q20" s="1" t="s">
        <v>52</v>
      </c>
      <c r="R20" s="1">
        <v>52</v>
      </c>
      <c r="S20" s="1" t="s">
        <v>65</v>
      </c>
      <c r="T20" s="1" t="s">
        <v>61</v>
      </c>
      <c r="U20" s="1">
        <v>16838</v>
      </c>
      <c r="V20" s="1"/>
      <c r="W20" s="1"/>
      <c r="X20" s="1"/>
      <c r="Y20" s="1"/>
      <c r="Z20" s="1"/>
      <c r="AA20" s="1"/>
      <c r="AB20" s="1">
        <v>28823</v>
      </c>
      <c r="AC20" s="1">
        <v>28535</v>
      </c>
      <c r="AD20" s="1">
        <v>83</v>
      </c>
      <c r="AE20" s="1">
        <v>20</v>
      </c>
      <c r="AF20" s="1">
        <v>11</v>
      </c>
      <c r="AG20" s="1">
        <v>19</v>
      </c>
      <c r="AH20" s="1">
        <v>0</v>
      </c>
      <c r="AI20" s="1">
        <v>155</v>
      </c>
      <c r="AJ20" s="9">
        <v>0.99000797973840338</v>
      </c>
      <c r="AK20" s="9">
        <v>2.8796447281684767E-3</v>
      </c>
      <c r="AL20" s="9">
        <v>6.9389029594421126E-4</v>
      </c>
      <c r="AM20" s="9">
        <v>6.4184852374839542E-3</v>
      </c>
      <c r="AN20" s="1">
        <v>22720</v>
      </c>
      <c r="AO20" s="1">
        <v>78.8</v>
      </c>
      <c r="AP20" s="1" t="s">
        <v>52</v>
      </c>
      <c r="AQ20" s="1"/>
      <c r="AR20" s="9">
        <f t="shared" si="0"/>
        <v>0</v>
      </c>
      <c r="AS20" s="9">
        <f t="shared" si="1"/>
        <v>0.25889084507042254</v>
      </c>
      <c r="AT20" s="9">
        <f t="shared" si="2"/>
        <v>0.74110915492957752</v>
      </c>
    </row>
    <row r="21" spans="1:46" x14ac:dyDescent="0.35">
      <c r="A21" s="1" t="s">
        <v>511</v>
      </c>
      <c r="B21" s="1" t="s">
        <v>598</v>
      </c>
      <c r="C21" s="1" t="s">
        <v>609</v>
      </c>
      <c r="D21" s="1" t="s">
        <v>610</v>
      </c>
      <c r="E21" s="1" t="s">
        <v>48</v>
      </c>
      <c r="F21" s="1">
        <v>60</v>
      </c>
      <c r="G21" s="1" t="s">
        <v>65</v>
      </c>
      <c r="H21" s="1" t="s">
        <v>61</v>
      </c>
      <c r="I21" s="1">
        <v>3641</v>
      </c>
      <c r="J21" s="1"/>
      <c r="K21" s="1"/>
      <c r="L21" s="1"/>
      <c r="M21" s="1"/>
      <c r="N21" s="1"/>
      <c r="O21" s="1"/>
      <c r="P21" s="1" t="s">
        <v>612</v>
      </c>
      <c r="Q21" s="1" t="s">
        <v>52</v>
      </c>
      <c r="R21" s="1">
        <v>54</v>
      </c>
      <c r="S21" s="1" t="s">
        <v>65</v>
      </c>
      <c r="T21" s="1" t="s">
        <v>61</v>
      </c>
      <c r="U21" s="1">
        <v>20927</v>
      </c>
      <c r="V21" s="1"/>
      <c r="W21" s="1"/>
      <c r="X21" s="1"/>
      <c r="Y21" s="1"/>
      <c r="Z21" s="1"/>
      <c r="AA21" s="1"/>
      <c r="AB21" s="1">
        <v>32867</v>
      </c>
      <c r="AC21" s="1">
        <v>32543</v>
      </c>
      <c r="AD21" s="1">
        <v>125</v>
      </c>
      <c r="AE21" s="1">
        <v>31</v>
      </c>
      <c r="AF21" s="1">
        <v>22</v>
      </c>
      <c r="AG21" s="1">
        <v>11</v>
      </c>
      <c r="AH21" s="1">
        <v>1</v>
      </c>
      <c r="AI21" s="1">
        <v>134</v>
      </c>
      <c r="AJ21" s="9">
        <v>0.99014208780844004</v>
      </c>
      <c r="AK21" s="9">
        <v>3.8032068640277482E-3</v>
      </c>
      <c r="AL21" s="9">
        <v>9.4319530227888158E-4</v>
      </c>
      <c r="AM21" s="9">
        <v>5.1115100252532939E-3</v>
      </c>
      <c r="AN21" s="1">
        <v>24568</v>
      </c>
      <c r="AO21" s="1">
        <v>74.7</v>
      </c>
      <c r="AP21" s="1" t="s">
        <v>52</v>
      </c>
      <c r="AQ21" s="1"/>
      <c r="AR21" s="9">
        <f t="shared" si="0"/>
        <v>0.14820091175512862</v>
      </c>
      <c r="AS21" s="9">
        <f t="shared" si="1"/>
        <v>0</v>
      </c>
      <c r="AT21" s="9">
        <f t="shared" si="2"/>
        <v>0.85179908824487138</v>
      </c>
    </row>
    <row r="22" spans="1:46" x14ac:dyDescent="0.35">
      <c r="A22" s="1" t="s">
        <v>511</v>
      </c>
      <c r="B22" s="1" t="s">
        <v>598</v>
      </c>
      <c r="C22" s="1" t="s">
        <v>614</v>
      </c>
      <c r="D22" s="1"/>
      <c r="E22" s="1"/>
      <c r="F22" s="1"/>
      <c r="G22" s="1"/>
      <c r="H22" s="1"/>
      <c r="I22" s="1"/>
      <c r="J22" s="1" t="s">
        <v>617</v>
      </c>
      <c r="K22" s="1" t="s">
        <v>68</v>
      </c>
      <c r="L22" s="1">
        <v>67</v>
      </c>
      <c r="M22" s="1" t="s">
        <v>65</v>
      </c>
      <c r="N22" s="1" t="s">
        <v>61</v>
      </c>
      <c r="O22" s="1">
        <v>9670</v>
      </c>
      <c r="P22" s="1" t="s">
        <v>615</v>
      </c>
      <c r="Q22" s="1" t="s">
        <v>52</v>
      </c>
      <c r="R22" s="1">
        <v>48</v>
      </c>
      <c r="S22" s="1" t="s">
        <v>65</v>
      </c>
      <c r="T22" s="1" t="s">
        <v>61</v>
      </c>
      <c r="U22" s="1">
        <v>17946</v>
      </c>
      <c r="V22" s="1"/>
      <c r="W22" s="1"/>
      <c r="X22" s="1"/>
      <c r="Y22" s="1"/>
      <c r="Z22" s="1"/>
      <c r="AA22" s="1"/>
      <c r="AB22" s="1">
        <v>35248</v>
      </c>
      <c r="AC22" s="1">
        <v>33774</v>
      </c>
      <c r="AD22" s="1">
        <v>1263</v>
      </c>
      <c r="AE22" s="1">
        <v>24</v>
      </c>
      <c r="AF22" s="1">
        <v>31</v>
      </c>
      <c r="AG22" s="1">
        <v>19</v>
      </c>
      <c r="AH22" s="1">
        <v>2</v>
      </c>
      <c r="AI22" s="1">
        <v>135</v>
      </c>
      <c r="AJ22" s="9">
        <v>0.95818202451202905</v>
      </c>
      <c r="AK22" s="9">
        <v>3.5831820245120292E-2</v>
      </c>
      <c r="AL22" s="9">
        <v>6.8088969586926917E-4</v>
      </c>
      <c r="AM22" s="9">
        <v>5.305265546981389E-3</v>
      </c>
      <c r="AN22" s="1">
        <v>27616</v>
      </c>
      <c r="AO22" s="1">
        <v>78.3</v>
      </c>
      <c r="AP22" s="1" t="s">
        <v>52</v>
      </c>
      <c r="AQ22" s="1"/>
      <c r="AR22" s="9">
        <f t="shared" si="0"/>
        <v>0</v>
      </c>
      <c r="AS22" s="9">
        <f t="shared" si="1"/>
        <v>0.35015932792584009</v>
      </c>
      <c r="AT22" s="9">
        <f t="shared" si="2"/>
        <v>0.64984067207415985</v>
      </c>
    </row>
    <row r="23" spans="1:46" x14ac:dyDescent="0.35">
      <c r="A23" s="1" t="s">
        <v>511</v>
      </c>
      <c r="B23" s="1" t="s">
        <v>619</v>
      </c>
      <c r="C23" s="1" t="s">
        <v>620</v>
      </c>
      <c r="D23" s="1"/>
      <c r="E23" s="1"/>
      <c r="F23" s="1"/>
      <c r="G23" s="1"/>
      <c r="H23" s="1"/>
      <c r="I23" s="1"/>
      <c r="J23" s="1" t="s">
        <v>623</v>
      </c>
      <c r="K23" s="1" t="s">
        <v>68</v>
      </c>
      <c r="L23" s="1">
        <v>53</v>
      </c>
      <c r="M23" s="1" t="s">
        <v>65</v>
      </c>
      <c r="N23" s="1" t="s">
        <v>61</v>
      </c>
      <c r="O23" s="1">
        <v>8085</v>
      </c>
      <c r="P23" s="1" t="s">
        <v>621</v>
      </c>
      <c r="Q23" s="1" t="s">
        <v>50</v>
      </c>
      <c r="R23" s="1">
        <v>65</v>
      </c>
      <c r="S23" s="1" t="s">
        <v>65</v>
      </c>
      <c r="T23" s="1" t="s">
        <v>61</v>
      </c>
      <c r="U23" s="1">
        <v>8380</v>
      </c>
      <c r="V23" s="1"/>
      <c r="W23" s="1"/>
      <c r="X23" s="1"/>
      <c r="Y23" s="1"/>
      <c r="Z23" s="1"/>
      <c r="AA23" s="1"/>
      <c r="AB23" s="1">
        <v>21495</v>
      </c>
      <c r="AC23" s="1">
        <v>21115</v>
      </c>
      <c r="AD23" s="1">
        <v>16</v>
      </c>
      <c r="AE23" s="1">
        <v>3</v>
      </c>
      <c r="AF23" s="1">
        <v>4</v>
      </c>
      <c r="AG23" s="1">
        <v>6</v>
      </c>
      <c r="AH23" s="1">
        <v>285</v>
      </c>
      <c r="AI23" s="1">
        <v>66</v>
      </c>
      <c r="AJ23" s="9">
        <v>0.9823214701093278</v>
      </c>
      <c r="AK23" s="9">
        <v>7.4435915329146317E-4</v>
      </c>
      <c r="AL23" s="9">
        <v>1.3956734124214934E-4</v>
      </c>
      <c r="AM23" s="9">
        <v>1.6794603396138637E-2</v>
      </c>
      <c r="AN23" s="1">
        <v>16465</v>
      </c>
      <c r="AO23" s="1">
        <v>76.599999999999994</v>
      </c>
      <c r="AP23" s="1" t="s">
        <v>50</v>
      </c>
      <c r="AQ23" s="1"/>
      <c r="AR23" s="9">
        <f t="shared" si="0"/>
        <v>0</v>
      </c>
      <c r="AS23" s="9">
        <f t="shared" si="1"/>
        <v>0.49104160340115394</v>
      </c>
      <c r="AT23" s="9">
        <f t="shared" si="2"/>
        <v>0.50895839659884601</v>
      </c>
    </row>
    <row r="24" spans="1:46" x14ac:dyDescent="0.35">
      <c r="A24" s="1" t="s">
        <v>511</v>
      </c>
      <c r="B24" s="1" t="s">
        <v>619</v>
      </c>
      <c r="C24" s="1" t="s">
        <v>625</v>
      </c>
      <c r="D24" s="1" t="s">
        <v>626</v>
      </c>
      <c r="E24" s="1" t="s">
        <v>51</v>
      </c>
      <c r="F24" s="1">
        <v>62</v>
      </c>
      <c r="G24" s="1" t="s">
        <v>60</v>
      </c>
      <c r="H24" s="1" t="s">
        <v>61</v>
      </c>
      <c r="I24" s="1">
        <v>2211</v>
      </c>
      <c r="J24" s="1"/>
      <c r="K24" s="1"/>
      <c r="L24" s="1"/>
      <c r="M24" s="1"/>
      <c r="N24" s="1"/>
      <c r="O24" s="1"/>
      <c r="P24" s="1" t="s">
        <v>627</v>
      </c>
      <c r="Q24" s="1" t="s">
        <v>52</v>
      </c>
      <c r="R24" s="1">
        <v>47</v>
      </c>
      <c r="S24" s="1" t="s">
        <v>65</v>
      </c>
      <c r="T24" s="1" t="s">
        <v>61</v>
      </c>
      <c r="U24" s="1">
        <v>13471</v>
      </c>
      <c r="V24" s="1"/>
      <c r="W24" s="1"/>
      <c r="X24" s="1"/>
      <c r="Y24" s="1"/>
      <c r="Z24" s="1"/>
      <c r="AA24" s="1"/>
      <c r="AB24" s="1">
        <v>20639</v>
      </c>
      <c r="AC24" s="1">
        <v>20524</v>
      </c>
      <c r="AD24" s="1">
        <v>59</v>
      </c>
      <c r="AE24" s="1">
        <v>6</v>
      </c>
      <c r="AF24" s="1">
        <v>9</v>
      </c>
      <c r="AG24" s="1">
        <v>7</v>
      </c>
      <c r="AH24" s="1">
        <v>0</v>
      </c>
      <c r="AI24" s="1">
        <v>34</v>
      </c>
      <c r="AJ24" s="9">
        <v>0.99442802461359558</v>
      </c>
      <c r="AK24" s="9">
        <v>2.8586656330248559E-3</v>
      </c>
      <c r="AL24" s="9">
        <v>2.907117592906633E-4</v>
      </c>
      <c r="AM24" s="9">
        <v>2.422597994088861E-3</v>
      </c>
      <c r="AN24" s="1">
        <v>15682</v>
      </c>
      <c r="AO24" s="1">
        <v>76</v>
      </c>
      <c r="AP24" s="1" t="s">
        <v>52</v>
      </c>
      <c r="AQ24" s="1"/>
      <c r="AR24" s="9">
        <f t="shared" si="0"/>
        <v>0.14098966968498916</v>
      </c>
      <c r="AS24" s="9">
        <f t="shared" si="1"/>
        <v>0</v>
      </c>
      <c r="AT24" s="9">
        <f t="shared" si="2"/>
        <v>0.85901033031501084</v>
      </c>
    </row>
    <row r="25" spans="1:46" x14ac:dyDescent="0.35">
      <c r="A25" s="1" t="s">
        <v>511</v>
      </c>
      <c r="B25" s="1" t="s">
        <v>619</v>
      </c>
      <c r="C25" s="1" t="s">
        <v>629</v>
      </c>
      <c r="D25" s="1"/>
      <c r="E25" s="1"/>
      <c r="F25" s="1"/>
      <c r="G25" s="1"/>
      <c r="H25" s="1"/>
      <c r="I25" s="1"/>
      <c r="J25" s="1" t="s">
        <v>630</v>
      </c>
      <c r="K25" s="1" t="s">
        <v>68</v>
      </c>
      <c r="L25" s="1">
        <v>59</v>
      </c>
      <c r="M25" s="1" t="s">
        <v>65</v>
      </c>
      <c r="N25" s="1" t="s">
        <v>61</v>
      </c>
      <c r="O25" s="1">
        <v>5353</v>
      </c>
      <c r="P25" s="1" t="s">
        <v>632</v>
      </c>
      <c r="Q25" s="1" t="s">
        <v>52</v>
      </c>
      <c r="R25" s="1">
        <v>68</v>
      </c>
      <c r="S25" s="1" t="s">
        <v>65</v>
      </c>
      <c r="T25" s="1" t="s">
        <v>61</v>
      </c>
      <c r="U25" s="1">
        <v>11270</v>
      </c>
      <c r="V25" s="1"/>
      <c r="W25" s="1"/>
      <c r="X25" s="1"/>
      <c r="Y25" s="1"/>
      <c r="Z25" s="1"/>
      <c r="AA25" s="1"/>
      <c r="AB25" s="1">
        <v>21428</v>
      </c>
      <c r="AC25" s="1">
        <v>21183</v>
      </c>
      <c r="AD25" s="1">
        <v>136</v>
      </c>
      <c r="AE25" s="1">
        <v>9</v>
      </c>
      <c r="AF25" s="1">
        <v>22</v>
      </c>
      <c r="AG25" s="1">
        <v>16</v>
      </c>
      <c r="AH25" s="1">
        <v>1</v>
      </c>
      <c r="AI25" s="1">
        <v>61</v>
      </c>
      <c r="AJ25" s="9">
        <v>0.98856636176964718</v>
      </c>
      <c r="AK25" s="9">
        <v>6.3468359156244169E-3</v>
      </c>
      <c r="AL25" s="9">
        <v>4.2001120029867465E-4</v>
      </c>
      <c r="AM25" s="9">
        <v>4.6667911144297183E-3</v>
      </c>
      <c r="AN25" s="1">
        <v>16623</v>
      </c>
      <c r="AO25" s="1">
        <v>77.599999999999994</v>
      </c>
      <c r="AP25" s="1" t="s">
        <v>52</v>
      </c>
      <c r="AQ25" s="1"/>
      <c r="AR25" s="9">
        <f t="shared" si="0"/>
        <v>0</v>
      </c>
      <c r="AS25" s="9">
        <f t="shared" si="1"/>
        <v>0.32202370209950071</v>
      </c>
      <c r="AT25" s="9">
        <f t="shared" si="2"/>
        <v>0.67797629790049929</v>
      </c>
    </row>
    <row r="26" spans="1:46" x14ac:dyDescent="0.35">
      <c r="A26" s="1" t="s">
        <v>511</v>
      </c>
      <c r="B26" s="1" t="s">
        <v>619</v>
      </c>
      <c r="C26" s="1" t="s">
        <v>634</v>
      </c>
      <c r="D26" s="1"/>
      <c r="E26" s="1"/>
      <c r="F26" s="1"/>
      <c r="G26" s="1"/>
      <c r="H26" s="1"/>
      <c r="I26" s="1"/>
      <c r="J26" s="1" t="s">
        <v>635</v>
      </c>
      <c r="K26" s="1" t="s">
        <v>68</v>
      </c>
      <c r="L26" s="1">
        <v>59</v>
      </c>
      <c r="M26" s="1" t="s">
        <v>65</v>
      </c>
      <c r="N26" s="1" t="s">
        <v>61</v>
      </c>
      <c r="O26" s="1">
        <v>6104</v>
      </c>
      <c r="P26" s="1" t="s">
        <v>637</v>
      </c>
      <c r="Q26" s="1" t="s">
        <v>52</v>
      </c>
      <c r="R26" s="1">
        <v>61</v>
      </c>
      <c r="S26" s="1" t="s">
        <v>65</v>
      </c>
      <c r="T26" s="1" t="s">
        <v>61</v>
      </c>
      <c r="U26" s="1">
        <v>12362</v>
      </c>
      <c r="V26" s="1"/>
      <c r="W26" s="1"/>
      <c r="X26" s="1"/>
      <c r="Y26" s="1"/>
      <c r="Z26" s="1"/>
      <c r="AA26" s="1"/>
      <c r="AB26" s="1">
        <v>24922</v>
      </c>
      <c r="AC26" s="1">
        <v>24619</v>
      </c>
      <c r="AD26" s="1">
        <v>157</v>
      </c>
      <c r="AE26" s="1">
        <v>12</v>
      </c>
      <c r="AF26" s="1">
        <v>19</v>
      </c>
      <c r="AG26" s="1">
        <v>13</v>
      </c>
      <c r="AH26" s="1">
        <v>3</v>
      </c>
      <c r="AI26" s="1">
        <v>99</v>
      </c>
      <c r="AJ26" s="9">
        <v>0.98784206724981949</v>
      </c>
      <c r="AK26" s="9">
        <v>6.299654923360886E-3</v>
      </c>
      <c r="AL26" s="9">
        <v>4.8150228713586389E-4</v>
      </c>
      <c r="AM26" s="9">
        <v>5.3767755396838136E-3</v>
      </c>
      <c r="AN26" s="1">
        <v>18466</v>
      </c>
      <c r="AO26" s="1">
        <v>74.099999999999994</v>
      </c>
      <c r="AP26" s="1" t="s">
        <v>52</v>
      </c>
      <c r="AQ26" s="1"/>
      <c r="AR26" s="9">
        <f t="shared" si="0"/>
        <v>0</v>
      </c>
      <c r="AS26" s="9">
        <f t="shared" si="1"/>
        <v>0.33055344958301741</v>
      </c>
      <c r="AT26" s="9">
        <f t="shared" si="2"/>
        <v>0.66944655041698253</v>
      </c>
    </row>
    <row r="27" spans="1:46" x14ac:dyDescent="0.35">
      <c r="A27" s="1" t="s">
        <v>511</v>
      </c>
      <c r="B27" s="1" t="s">
        <v>639</v>
      </c>
      <c r="C27" s="1" t="s">
        <v>640</v>
      </c>
      <c r="D27" s="1"/>
      <c r="E27" s="1"/>
      <c r="F27" s="1"/>
      <c r="G27" s="1"/>
      <c r="H27" s="1"/>
      <c r="I27" s="1"/>
      <c r="J27" s="1" t="s">
        <v>643</v>
      </c>
      <c r="K27" s="1" t="s">
        <v>68</v>
      </c>
      <c r="L27" s="1">
        <v>63</v>
      </c>
      <c r="M27" s="1" t="s">
        <v>65</v>
      </c>
      <c r="N27" s="1" t="s">
        <v>61</v>
      </c>
      <c r="O27" s="1">
        <v>4840</v>
      </c>
      <c r="P27" s="1" t="s">
        <v>641</v>
      </c>
      <c r="Q27" s="1" t="s">
        <v>52</v>
      </c>
      <c r="R27" s="1">
        <v>60</v>
      </c>
      <c r="S27" s="1" t="s">
        <v>65</v>
      </c>
      <c r="T27" s="1" t="s">
        <v>61</v>
      </c>
      <c r="U27" s="1">
        <v>8552</v>
      </c>
      <c r="V27" s="1"/>
      <c r="W27" s="1"/>
      <c r="X27" s="1"/>
      <c r="Y27" s="1"/>
      <c r="Z27" s="1"/>
      <c r="AA27" s="1"/>
      <c r="AB27" s="1">
        <v>18195</v>
      </c>
      <c r="AC27" s="1">
        <v>18028</v>
      </c>
      <c r="AD27" s="1">
        <v>34</v>
      </c>
      <c r="AE27" s="1">
        <v>21</v>
      </c>
      <c r="AF27" s="1">
        <v>19</v>
      </c>
      <c r="AG27" s="1">
        <v>10</v>
      </c>
      <c r="AH27" s="1">
        <v>0</v>
      </c>
      <c r="AI27" s="1">
        <v>83</v>
      </c>
      <c r="AJ27" s="9">
        <v>0.99082165430063207</v>
      </c>
      <c r="AK27" s="9">
        <v>1.8686452322066501E-3</v>
      </c>
      <c r="AL27" s="9">
        <v>1.1541632316570487E-3</v>
      </c>
      <c r="AM27" s="9">
        <v>6.1555372355042593E-3</v>
      </c>
      <c r="AN27" s="1">
        <v>13392</v>
      </c>
      <c r="AO27" s="1">
        <v>73.599999999999994</v>
      </c>
      <c r="AP27" s="1" t="s">
        <v>52</v>
      </c>
      <c r="AQ27" s="1"/>
      <c r="AR27" s="9">
        <f t="shared" si="0"/>
        <v>0</v>
      </c>
      <c r="AS27" s="9">
        <f t="shared" si="1"/>
        <v>0.36140979689366787</v>
      </c>
      <c r="AT27" s="9">
        <f t="shared" si="2"/>
        <v>0.63859020310633219</v>
      </c>
    </row>
    <row r="28" spans="1:46" x14ac:dyDescent="0.35">
      <c r="A28" s="1" t="s">
        <v>511</v>
      </c>
      <c r="B28" s="1" t="s">
        <v>639</v>
      </c>
      <c r="C28" s="1" t="s">
        <v>645</v>
      </c>
      <c r="D28" s="1"/>
      <c r="E28" s="1"/>
      <c r="F28" s="1"/>
      <c r="G28" s="1"/>
      <c r="H28" s="1"/>
      <c r="I28" s="1"/>
      <c r="J28" s="1" t="s">
        <v>646</v>
      </c>
      <c r="K28" s="1" t="s">
        <v>68</v>
      </c>
      <c r="L28" s="1">
        <v>49</v>
      </c>
      <c r="M28" s="1" t="s">
        <v>65</v>
      </c>
      <c r="N28" s="1" t="s">
        <v>61</v>
      </c>
      <c r="O28" s="1">
        <v>6037</v>
      </c>
      <c r="P28" s="1" t="s">
        <v>647</v>
      </c>
      <c r="Q28" s="1" t="s">
        <v>52</v>
      </c>
      <c r="R28" s="1">
        <v>37</v>
      </c>
      <c r="S28" s="1" t="s">
        <v>65</v>
      </c>
      <c r="T28" s="1" t="s">
        <v>61</v>
      </c>
      <c r="U28" s="1">
        <v>18959</v>
      </c>
      <c r="V28" s="1"/>
      <c r="W28" s="1"/>
      <c r="X28" s="1"/>
      <c r="Y28" s="1"/>
      <c r="Z28" s="1"/>
      <c r="AA28" s="1"/>
      <c r="AB28" s="1">
        <v>33394</v>
      </c>
      <c r="AC28" s="1">
        <v>32712</v>
      </c>
      <c r="AD28" s="1">
        <v>157</v>
      </c>
      <c r="AE28" s="1">
        <v>29</v>
      </c>
      <c r="AF28" s="1">
        <v>42</v>
      </c>
      <c r="AG28" s="1">
        <v>20</v>
      </c>
      <c r="AH28" s="1">
        <v>1</v>
      </c>
      <c r="AI28" s="1">
        <v>433</v>
      </c>
      <c r="AJ28" s="9">
        <v>0.97957716955141638</v>
      </c>
      <c r="AK28" s="9">
        <v>4.7014433730610287E-3</v>
      </c>
      <c r="AL28" s="9">
        <v>8.6841947655267411E-4</v>
      </c>
      <c r="AM28" s="9">
        <v>1.4852967598969875E-2</v>
      </c>
      <c r="AN28" s="1">
        <v>24996</v>
      </c>
      <c r="AO28" s="1">
        <v>74.900000000000006</v>
      </c>
      <c r="AP28" s="1" t="s">
        <v>52</v>
      </c>
      <c r="AQ28" s="1"/>
      <c r="AR28" s="9">
        <f t="shared" si="0"/>
        <v>0</v>
      </c>
      <c r="AS28" s="9">
        <f t="shared" si="1"/>
        <v>0.24151864298287726</v>
      </c>
      <c r="AT28" s="9">
        <f t="shared" si="2"/>
        <v>0.75848135701712271</v>
      </c>
    </row>
    <row r="29" spans="1:46" x14ac:dyDescent="0.35">
      <c r="A29" s="1" t="s">
        <v>511</v>
      </c>
      <c r="B29" s="1" t="s">
        <v>639</v>
      </c>
      <c r="C29" s="1" t="s">
        <v>649</v>
      </c>
      <c r="D29" s="1" t="s">
        <v>652</v>
      </c>
      <c r="E29" s="1" t="s">
        <v>51</v>
      </c>
      <c r="F29" s="1">
        <v>64</v>
      </c>
      <c r="G29" s="1" t="s">
        <v>65</v>
      </c>
      <c r="H29" s="1" t="s">
        <v>61</v>
      </c>
      <c r="I29" s="1">
        <v>3547</v>
      </c>
      <c r="J29" s="1"/>
      <c r="K29" s="1"/>
      <c r="L29" s="1"/>
      <c r="M29" s="1"/>
      <c r="N29" s="1"/>
      <c r="O29" s="1"/>
      <c r="P29" s="1" t="s">
        <v>650</v>
      </c>
      <c r="Q29" s="1" t="s">
        <v>52</v>
      </c>
      <c r="R29" s="1">
        <v>36</v>
      </c>
      <c r="S29" s="1" t="s">
        <v>65</v>
      </c>
      <c r="T29" s="1" t="s">
        <v>61</v>
      </c>
      <c r="U29" s="1">
        <v>17395</v>
      </c>
      <c r="V29" s="1"/>
      <c r="W29" s="1"/>
      <c r="X29" s="1"/>
      <c r="Y29" s="1"/>
      <c r="Z29" s="1"/>
      <c r="AA29" s="1"/>
      <c r="AB29" s="1">
        <v>30206</v>
      </c>
      <c r="AC29" s="1">
        <v>28106</v>
      </c>
      <c r="AD29" s="1">
        <v>1826</v>
      </c>
      <c r="AE29" s="1">
        <v>109</v>
      </c>
      <c r="AF29" s="1">
        <v>20</v>
      </c>
      <c r="AG29" s="1">
        <v>16</v>
      </c>
      <c r="AH29" s="1">
        <v>2</v>
      </c>
      <c r="AI29" s="1">
        <v>127</v>
      </c>
      <c r="AJ29" s="9">
        <v>0.93047738859829177</v>
      </c>
      <c r="AK29" s="9">
        <v>6.0451565914056808E-2</v>
      </c>
      <c r="AL29" s="9">
        <v>3.6085545918029529E-3</v>
      </c>
      <c r="AM29" s="9">
        <v>5.4624908958485069E-3</v>
      </c>
      <c r="AN29" s="1">
        <v>20942</v>
      </c>
      <c r="AO29" s="1">
        <v>69.3</v>
      </c>
      <c r="AP29" s="1" t="s">
        <v>52</v>
      </c>
      <c r="AQ29" s="1"/>
      <c r="AR29" s="9">
        <f t="shared" si="0"/>
        <v>0.16937255276477892</v>
      </c>
      <c r="AS29" s="9">
        <f t="shared" si="1"/>
        <v>0</v>
      </c>
      <c r="AT29" s="9">
        <f t="shared" si="2"/>
        <v>0.83062744723522108</v>
      </c>
    </row>
    <row r="30" spans="1:46" x14ac:dyDescent="0.35">
      <c r="A30" s="1" t="s">
        <v>511</v>
      </c>
      <c r="B30" s="1" t="s">
        <v>639</v>
      </c>
      <c r="C30" s="1" t="s">
        <v>654</v>
      </c>
      <c r="D30" s="1"/>
      <c r="E30" s="1"/>
      <c r="F30" s="1"/>
      <c r="G30" s="1"/>
      <c r="H30" s="1"/>
      <c r="I30" s="1"/>
      <c r="J30" s="1" t="s">
        <v>657</v>
      </c>
      <c r="K30" s="1" t="s">
        <v>68</v>
      </c>
      <c r="L30" s="1">
        <v>40</v>
      </c>
      <c r="M30" s="1" t="s">
        <v>65</v>
      </c>
      <c r="N30" s="1" t="s">
        <v>61</v>
      </c>
      <c r="O30" s="1">
        <v>6805</v>
      </c>
      <c r="P30" s="1" t="s">
        <v>655</v>
      </c>
      <c r="Q30" s="1" t="s">
        <v>52</v>
      </c>
      <c r="R30" s="1">
        <v>57</v>
      </c>
      <c r="S30" s="1" t="s">
        <v>65</v>
      </c>
      <c r="T30" s="1" t="s">
        <v>61</v>
      </c>
      <c r="U30" s="1">
        <v>18681</v>
      </c>
      <c r="V30" s="1"/>
      <c r="W30" s="1"/>
      <c r="X30" s="1"/>
      <c r="Y30" s="1"/>
      <c r="Z30" s="1"/>
      <c r="AA30" s="1"/>
      <c r="AB30" s="1">
        <v>34839</v>
      </c>
      <c r="AC30" s="1">
        <v>32857</v>
      </c>
      <c r="AD30" s="1">
        <v>1574</v>
      </c>
      <c r="AE30" s="1">
        <v>48</v>
      </c>
      <c r="AF30" s="1">
        <v>80</v>
      </c>
      <c r="AG30" s="1">
        <v>55</v>
      </c>
      <c r="AH30" s="1">
        <v>5</v>
      </c>
      <c r="AI30" s="1">
        <v>220</v>
      </c>
      <c r="AJ30" s="9">
        <v>0.94310973334481474</v>
      </c>
      <c r="AK30" s="9">
        <v>4.5179253135853498E-2</v>
      </c>
      <c r="AL30" s="9">
        <v>1.3777662963919744E-3</v>
      </c>
      <c r="AM30" s="9">
        <v>1.0333247222939809E-2</v>
      </c>
      <c r="AN30" s="1">
        <v>25486</v>
      </c>
      <c r="AO30" s="1">
        <v>73.2</v>
      </c>
      <c r="AP30" s="1" t="s">
        <v>52</v>
      </c>
      <c r="AQ30" s="1"/>
      <c r="AR30" s="9">
        <f t="shared" si="0"/>
        <v>0</v>
      </c>
      <c r="AS30" s="9">
        <f t="shared" si="1"/>
        <v>0.26700933846033115</v>
      </c>
      <c r="AT30" s="9">
        <f t="shared" si="2"/>
        <v>0.73299066153966885</v>
      </c>
    </row>
    <row r="31" spans="1:46" x14ac:dyDescent="0.35">
      <c r="A31" s="1" t="s">
        <v>511</v>
      </c>
      <c r="B31" s="1" t="s">
        <v>659</v>
      </c>
      <c r="C31" s="1" t="s">
        <v>660</v>
      </c>
      <c r="D31" s="1"/>
      <c r="E31" s="1"/>
      <c r="F31" s="1"/>
      <c r="G31" s="1"/>
      <c r="H31" s="1"/>
      <c r="I31" s="1"/>
      <c r="J31" s="1" t="s">
        <v>663</v>
      </c>
      <c r="K31" s="1" t="s">
        <v>68</v>
      </c>
      <c r="L31" s="1">
        <v>38</v>
      </c>
      <c r="M31" s="1" t="s">
        <v>65</v>
      </c>
      <c r="N31" s="1" t="s">
        <v>61</v>
      </c>
      <c r="O31" s="1">
        <v>7273</v>
      </c>
      <c r="P31" s="1" t="s">
        <v>661</v>
      </c>
      <c r="Q31" s="1" t="s">
        <v>52</v>
      </c>
      <c r="R31" s="1">
        <v>47</v>
      </c>
      <c r="S31" s="1" t="s">
        <v>65</v>
      </c>
      <c r="T31" s="1" t="s">
        <v>61</v>
      </c>
      <c r="U31" s="1">
        <v>13778</v>
      </c>
      <c r="V31" s="1"/>
      <c r="W31" s="1"/>
      <c r="X31" s="1"/>
      <c r="Y31" s="1"/>
      <c r="Z31" s="1"/>
      <c r="AA31" s="1"/>
      <c r="AB31" s="1">
        <v>28618</v>
      </c>
      <c r="AC31" s="1">
        <v>27515</v>
      </c>
      <c r="AD31" s="1">
        <v>791</v>
      </c>
      <c r="AE31" s="1">
        <v>88</v>
      </c>
      <c r="AF31" s="1">
        <v>23</v>
      </c>
      <c r="AG31" s="1">
        <v>38</v>
      </c>
      <c r="AH31" s="1">
        <v>7</v>
      </c>
      <c r="AI31" s="1">
        <v>156</v>
      </c>
      <c r="AJ31" s="9">
        <v>0.96145782374729194</v>
      </c>
      <c r="AK31" s="9">
        <v>2.7639946886574882E-2</v>
      </c>
      <c r="AL31" s="9">
        <v>3.0749877699350059E-3</v>
      </c>
      <c r="AM31" s="9">
        <v>7.8272415961981971E-3</v>
      </c>
      <c r="AN31" s="1">
        <v>21051</v>
      </c>
      <c r="AO31" s="1">
        <v>73.599999999999994</v>
      </c>
      <c r="AP31" s="1" t="s">
        <v>52</v>
      </c>
      <c r="AQ31" s="1"/>
      <c r="AR31" s="9">
        <f t="shared" si="0"/>
        <v>0</v>
      </c>
      <c r="AS31" s="9">
        <f t="shared" si="1"/>
        <v>0.34549427580637498</v>
      </c>
      <c r="AT31" s="9">
        <f t="shared" si="2"/>
        <v>0.65450572419362496</v>
      </c>
    </row>
    <row r="32" spans="1:46" x14ac:dyDescent="0.35">
      <c r="A32" s="1" t="s">
        <v>511</v>
      </c>
      <c r="B32" s="1" t="s">
        <v>659</v>
      </c>
      <c r="C32" s="1" t="s">
        <v>665</v>
      </c>
      <c r="D32" s="1"/>
      <c r="E32" s="1"/>
      <c r="F32" s="1"/>
      <c r="G32" s="1"/>
      <c r="H32" s="1"/>
      <c r="I32" s="1"/>
      <c r="J32" s="1" t="s">
        <v>668</v>
      </c>
      <c r="K32" s="1" t="s">
        <v>68</v>
      </c>
      <c r="L32" s="1">
        <v>67</v>
      </c>
      <c r="M32" s="1" t="s">
        <v>65</v>
      </c>
      <c r="N32" s="1" t="s">
        <v>61</v>
      </c>
      <c r="O32" s="1">
        <v>9645</v>
      </c>
      <c r="P32" s="1" t="s">
        <v>666</v>
      </c>
      <c r="Q32" s="1" t="s">
        <v>50</v>
      </c>
      <c r="R32" s="1">
        <v>58</v>
      </c>
      <c r="S32" s="1" t="s">
        <v>65</v>
      </c>
      <c r="T32" s="1" t="s">
        <v>61</v>
      </c>
      <c r="U32" s="1">
        <v>13403</v>
      </c>
      <c r="V32" s="1"/>
      <c r="W32" s="1"/>
      <c r="X32" s="1"/>
      <c r="Y32" s="1"/>
      <c r="Z32" s="1"/>
      <c r="AA32" s="1"/>
      <c r="AB32" s="1">
        <v>29491</v>
      </c>
      <c r="AC32" s="1">
        <v>28552</v>
      </c>
      <c r="AD32" s="1">
        <v>479</v>
      </c>
      <c r="AE32" s="1">
        <v>55</v>
      </c>
      <c r="AF32" s="1">
        <v>29</v>
      </c>
      <c r="AG32" s="1">
        <v>41</v>
      </c>
      <c r="AH32" s="1">
        <v>5</v>
      </c>
      <c r="AI32" s="1">
        <v>330</v>
      </c>
      <c r="AJ32" s="9">
        <v>0.96815977755925542</v>
      </c>
      <c r="AK32" s="9">
        <v>1.6242243396290393E-2</v>
      </c>
      <c r="AL32" s="9">
        <v>1.8649757553151809E-3</v>
      </c>
      <c r="AM32" s="9">
        <v>1.3733003289139059E-2</v>
      </c>
      <c r="AN32" s="1">
        <v>23048</v>
      </c>
      <c r="AO32" s="1">
        <v>78.2</v>
      </c>
      <c r="AP32" s="1" t="s">
        <v>50</v>
      </c>
      <c r="AQ32" s="1"/>
      <c r="AR32" s="9">
        <f t="shared" si="0"/>
        <v>0</v>
      </c>
      <c r="AS32" s="9">
        <f t="shared" si="1"/>
        <v>0.41847448802499132</v>
      </c>
      <c r="AT32" s="9">
        <f t="shared" si="2"/>
        <v>0.58152551197500868</v>
      </c>
    </row>
    <row r="33" spans="1:46" x14ac:dyDescent="0.35">
      <c r="A33" s="1" t="s">
        <v>511</v>
      </c>
      <c r="B33" s="1" t="s">
        <v>659</v>
      </c>
      <c r="C33" s="1" t="s">
        <v>670</v>
      </c>
      <c r="D33" s="1"/>
      <c r="E33" s="1"/>
      <c r="F33" s="1"/>
      <c r="G33" s="1"/>
      <c r="H33" s="1"/>
      <c r="I33" s="1"/>
      <c r="J33" s="1" t="s">
        <v>671</v>
      </c>
      <c r="K33" s="1" t="s">
        <v>68</v>
      </c>
      <c r="L33" s="1">
        <v>65</v>
      </c>
      <c r="M33" s="1" t="s">
        <v>65</v>
      </c>
      <c r="N33" s="1" t="s">
        <v>61</v>
      </c>
      <c r="O33" s="1">
        <v>10288</v>
      </c>
      <c r="P33" s="1" t="s">
        <v>673</v>
      </c>
      <c r="Q33" s="1" t="s">
        <v>52</v>
      </c>
      <c r="R33" s="1">
        <v>64</v>
      </c>
      <c r="S33" s="1" t="s">
        <v>65</v>
      </c>
      <c r="T33" s="1" t="s">
        <v>61</v>
      </c>
      <c r="U33" s="1">
        <v>18394</v>
      </c>
      <c r="V33" s="1"/>
      <c r="W33" s="1"/>
      <c r="X33" s="1"/>
      <c r="Y33" s="1"/>
      <c r="Z33" s="1"/>
      <c r="AA33" s="1"/>
      <c r="AB33" s="1">
        <v>39153</v>
      </c>
      <c r="AC33" s="1">
        <v>33983</v>
      </c>
      <c r="AD33" s="1">
        <v>4465</v>
      </c>
      <c r="AE33" s="1">
        <v>323</v>
      </c>
      <c r="AF33" s="1">
        <v>70</v>
      </c>
      <c r="AG33" s="1">
        <v>85</v>
      </c>
      <c r="AH33" s="1">
        <v>2</v>
      </c>
      <c r="AI33" s="1">
        <v>225</v>
      </c>
      <c r="AJ33" s="9">
        <v>0.86795392434807039</v>
      </c>
      <c r="AK33" s="9">
        <v>0.11403979260848467</v>
      </c>
      <c r="AL33" s="9">
        <v>8.2496871248691032E-3</v>
      </c>
      <c r="AM33" s="9">
        <v>9.7565959185758437E-3</v>
      </c>
      <c r="AN33" s="1">
        <v>28682</v>
      </c>
      <c r="AO33" s="1">
        <v>73.3</v>
      </c>
      <c r="AP33" s="1" t="s">
        <v>52</v>
      </c>
      <c r="AQ33" s="1"/>
      <c r="AR33" s="9">
        <f t="shared" si="0"/>
        <v>0</v>
      </c>
      <c r="AS33" s="9">
        <f t="shared" si="1"/>
        <v>0.35869186249215534</v>
      </c>
      <c r="AT33" s="9">
        <f t="shared" si="2"/>
        <v>0.64130813750784466</v>
      </c>
    </row>
    <row r="34" spans="1:46" x14ac:dyDescent="0.35">
      <c r="A34" s="1" t="s">
        <v>511</v>
      </c>
      <c r="B34" s="1" t="s">
        <v>659</v>
      </c>
      <c r="C34" s="1" t="s">
        <v>675</v>
      </c>
      <c r="D34" s="1"/>
      <c r="E34" s="1"/>
      <c r="F34" s="1"/>
      <c r="G34" s="1"/>
      <c r="H34" s="1"/>
      <c r="I34" s="1"/>
      <c r="J34" s="1" t="s">
        <v>678</v>
      </c>
      <c r="K34" s="1" t="s">
        <v>68</v>
      </c>
      <c r="L34" s="1">
        <v>55</v>
      </c>
      <c r="M34" s="1" t="s">
        <v>65</v>
      </c>
      <c r="N34" s="1" t="s">
        <v>61</v>
      </c>
      <c r="O34" s="1">
        <v>11336</v>
      </c>
      <c r="P34" s="1" t="s">
        <v>676</v>
      </c>
      <c r="Q34" s="1" t="s">
        <v>52</v>
      </c>
      <c r="R34" s="1">
        <v>47</v>
      </c>
      <c r="S34" s="1" t="s">
        <v>65</v>
      </c>
      <c r="T34" s="1" t="s">
        <v>61</v>
      </c>
      <c r="U34" s="1">
        <v>21664</v>
      </c>
      <c r="V34" s="1"/>
      <c r="W34" s="1"/>
      <c r="X34" s="1"/>
      <c r="Y34" s="1"/>
      <c r="Z34" s="1"/>
      <c r="AA34" s="1"/>
      <c r="AB34" s="1">
        <v>43826</v>
      </c>
      <c r="AC34" s="1">
        <v>41584</v>
      </c>
      <c r="AD34" s="1">
        <v>1210</v>
      </c>
      <c r="AE34" s="1">
        <v>271</v>
      </c>
      <c r="AF34" s="1">
        <v>44</v>
      </c>
      <c r="AG34" s="1">
        <v>67</v>
      </c>
      <c r="AH34" s="1">
        <v>306</v>
      </c>
      <c r="AI34" s="1">
        <v>344</v>
      </c>
      <c r="AJ34" s="9">
        <v>0.94884315246657236</v>
      </c>
      <c r="AK34" s="9">
        <v>2.7609181764249532E-2</v>
      </c>
      <c r="AL34" s="9">
        <v>6.1835440149682836E-3</v>
      </c>
      <c r="AM34" s="9">
        <v>1.736412175420983E-2</v>
      </c>
      <c r="AN34" s="1">
        <v>33000</v>
      </c>
      <c r="AO34" s="1">
        <v>75.3</v>
      </c>
      <c r="AP34" s="1" t="s">
        <v>52</v>
      </c>
      <c r="AQ34" s="1"/>
      <c r="AR34" s="9">
        <f t="shared" si="0"/>
        <v>0</v>
      </c>
      <c r="AS34" s="9">
        <f t="shared" si="1"/>
        <v>0.3435151515151515</v>
      </c>
      <c r="AT34" s="9">
        <f t="shared" si="2"/>
        <v>0.65648484848484845</v>
      </c>
    </row>
    <row r="35" spans="1:46" x14ac:dyDescent="0.35">
      <c r="A35" s="1"/>
      <c r="B35" s="1"/>
      <c r="C35" s="1"/>
      <c r="D35" s="1"/>
      <c r="E35" s="1"/>
      <c r="F35" s="1"/>
      <c r="G35" s="1"/>
      <c r="H35" s="1"/>
      <c r="I35" s="1">
        <f>SUM(I2:I34)</f>
        <v>19216</v>
      </c>
      <c r="J35" s="1"/>
      <c r="K35" s="1"/>
      <c r="L35" s="1"/>
      <c r="M35" s="1"/>
      <c r="N35" s="1"/>
      <c r="O35" s="1">
        <f>SUM(O2:O34)</f>
        <v>198268</v>
      </c>
      <c r="P35" s="1"/>
      <c r="Q35" s="1"/>
      <c r="R35" s="1"/>
      <c r="S35" s="1"/>
      <c r="T35" s="1"/>
      <c r="U35" s="1">
        <f>SUM(U2:U34)</f>
        <v>472731</v>
      </c>
      <c r="V35" s="1"/>
      <c r="W35" s="1"/>
      <c r="X35" s="1"/>
      <c r="Y35" s="1"/>
      <c r="Z35" s="1"/>
      <c r="AA35" s="1">
        <f>SUM(AA2:AA34)</f>
        <v>552</v>
      </c>
      <c r="AB35" s="1">
        <v>930894</v>
      </c>
      <c r="AC35" s="1">
        <v>895536</v>
      </c>
      <c r="AD35" s="1">
        <v>26613</v>
      </c>
      <c r="AE35" s="1">
        <v>1969</v>
      </c>
      <c r="AF35" s="1">
        <v>898</v>
      </c>
      <c r="AG35" s="1">
        <v>764</v>
      </c>
      <c r="AH35" s="1">
        <v>664</v>
      </c>
      <c r="AI35" s="1">
        <v>4450</v>
      </c>
      <c r="AJ35" s="9">
        <v>0.96201715770001739</v>
      </c>
      <c r="AK35" s="9">
        <v>2.8588647042520416E-2</v>
      </c>
      <c r="AL35" s="9">
        <v>2.1151710076550067E-3</v>
      </c>
      <c r="AM35" s="9">
        <v>7.2790242498071743E-3</v>
      </c>
      <c r="AN35" s="1">
        <f>SUM(AN3:AN34)</f>
        <v>690767</v>
      </c>
      <c r="AO35" s="1">
        <f>100*(AN35/AC35)</f>
        <v>77.134475889299807</v>
      </c>
      <c r="AP35" s="1"/>
      <c r="AQ35" s="1"/>
      <c r="AR35" s="9">
        <f t="shared" si="0"/>
        <v>2.7818352642786932E-2</v>
      </c>
      <c r="AS35" s="9">
        <f t="shared" si="1"/>
        <v>0.28702587124167772</v>
      </c>
      <c r="AT35" s="9">
        <f t="shared" si="2"/>
        <v>0.68435666440348197</v>
      </c>
    </row>
    <row r="37" spans="1:46" x14ac:dyDescent="0.35">
      <c r="D37" t="s">
        <v>48</v>
      </c>
      <c r="E37">
        <f>COUNTIF(E3:E29,D37)</f>
        <v>2</v>
      </c>
      <c r="J37" t="s">
        <v>68</v>
      </c>
      <c r="K37">
        <f>COUNTIF(K3:K34,J37)</f>
        <v>27</v>
      </c>
      <c r="P37" t="s">
        <v>52</v>
      </c>
      <c r="Q37">
        <f>COUNTIF(Q3:Q34,P37)</f>
        <v>27</v>
      </c>
      <c r="AO37" s="5" t="s">
        <v>51</v>
      </c>
      <c r="AP37" s="5">
        <f>COUNTIF($AP$2:$AP$34,AO37)</f>
        <v>0</v>
      </c>
    </row>
    <row r="38" spans="1:46" x14ac:dyDescent="0.35">
      <c r="D38" t="s">
        <v>51</v>
      </c>
      <c r="E38">
        <f>COUNTIF(E4:E30,D38)</f>
        <v>3</v>
      </c>
      <c r="P38" t="s">
        <v>50</v>
      </c>
      <c r="Q38">
        <f>COUNTIF(Q3:Q34,P38)</f>
        <v>5</v>
      </c>
      <c r="AO38" s="5" t="s">
        <v>49</v>
      </c>
      <c r="AP38" s="5">
        <f>COUNTIF($AP$2:$AP$34,AO38)</f>
        <v>0</v>
      </c>
    </row>
    <row r="39" spans="1:46" x14ac:dyDescent="0.35">
      <c r="E39">
        <f>SUM(E37:E38)</f>
        <v>5</v>
      </c>
      <c r="Q39">
        <f>SUM(Q37:Q38)</f>
        <v>32</v>
      </c>
      <c r="AO39" s="5" t="s">
        <v>48</v>
      </c>
      <c r="AP39" s="5">
        <f>COUNTIF($AP$2:$AP$34,AO39)</f>
        <v>0</v>
      </c>
    </row>
    <row r="40" spans="1:46" x14ac:dyDescent="0.35">
      <c r="AO40" s="5"/>
      <c r="AP40" s="5"/>
    </row>
    <row r="41" spans="1:46" x14ac:dyDescent="0.35">
      <c r="AO41" s="5" t="s">
        <v>68</v>
      </c>
      <c r="AP41" s="5">
        <f>COUNTIF($AP$2:$AP$34,AO41)</f>
        <v>0</v>
      </c>
    </row>
    <row r="42" spans="1:46" x14ac:dyDescent="0.35">
      <c r="AO42" s="5"/>
      <c r="AP42" s="5"/>
    </row>
    <row r="43" spans="1:46" x14ac:dyDescent="0.35">
      <c r="AO43" s="5" t="s">
        <v>52</v>
      </c>
      <c r="AP43" s="5">
        <f>COUNTIF($AP$2:$AP$34,AO43)</f>
        <v>27</v>
      </c>
    </row>
    <row r="44" spans="1:46" x14ac:dyDescent="0.35">
      <c r="AO44" s="5" t="s">
        <v>50</v>
      </c>
      <c r="AP44" s="5">
        <f>COUNTIF($AP$2:$AP$34,AO44)</f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206B2-7ED4-4BE2-9C4C-1450196F3CAD}">
  <dimension ref="A2:BB52"/>
  <sheetViews>
    <sheetView workbookViewId="0">
      <pane xSplit="3" ySplit="2" topLeftCell="AL3" activePane="bottomRight" state="frozen"/>
      <selection pane="topRight" activeCell="D1" sqref="D1"/>
      <selection pane="bottomLeft" activeCell="A2" sqref="A2"/>
      <selection pane="bottomRight" activeCell="AQ12" sqref="AQ12"/>
    </sheetView>
  </sheetViews>
  <sheetFormatPr defaultRowHeight="14.5" x14ac:dyDescent="0.35"/>
  <cols>
    <col min="1" max="1" width="11.1796875" bestFit="1" customWidth="1"/>
    <col min="2" max="2" width="19.453125" bestFit="1" customWidth="1"/>
    <col min="3" max="3" width="22.54296875" bestFit="1" customWidth="1"/>
    <col min="4" max="4" width="34.08984375" bestFit="1" customWidth="1"/>
    <col min="5" max="5" width="8.54296875" bestFit="1" customWidth="1"/>
    <col min="6" max="6" width="3.90625" bestFit="1" customWidth="1"/>
    <col min="7" max="7" width="6.6328125" bestFit="1" customWidth="1"/>
    <col min="8" max="8" width="7.08984375" bestFit="1" customWidth="1"/>
    <col min="9" max="9" width="8.81640625" bestFit="1" customWidth="1"/>
    <col min="10" max="10" width="33.6328125" bestFit="1" customWidth="1"/>
    <col min="11" max="11" width="5.08984375" bestFit="1" customWidth="1"/>
    <col min="12" max="12" width="3.90625" bestFit="1" customWidth="1"/>
    <col min="13" max="13" width="6.6328125" bestFit="1" customWidth="1"/>
    <col min="14" max="14" width="5.90625" bestFit="1" customWidth="1"/>
    <col min="15" max="15" width="8.81640625" bestFit="1" customWidth="1"/>
    <col min="16" max="16" width="41.36328125" bestFit="1" customWidth="1"/>
    <col min="17" max="17" width="8.90625" bestFit="1" customWidth="1"/>
    <col min="18" max="18" width="3.90625" bestFit="1" customWidth="1"/>
    <col min="19" max="19" width="6.6328125" bestFit="1" customWidth="1"/>
    <col min="20" max="20" width="7.08984375" bestFit="1" customWidth="1"/>
    <col min="21" max="21" width="8.81640625" bestFit="1" customWidth="1"/>
    <col min="22" max="22" width="29.08984375" bestFit="1" customWidth="1"/>
    <col min="23" max="23" width="6.36328125" bestFit="1" customWidth="1"/>
    <col min="24" max="24" width="3.90625" bestFit="1" customWidth="1"/>
    <col min="25" max="25" width="6.6328125" bestFit="1" customWidth="1"/>
    <col min="26" max="26" width="7.08984375" bestFit="1" customWidth="1"/>
    <col min="27" max="27" width="8.81640625" bestFit="1" customWidth="1"/>
    <col min="28" max="28" width="32.08984375" bestFit="1" customWidth="1"/>
    <col min="29" max="29" width="6.1796875" bestFit="1" customWidth="1"/>
    <col min="30" max="30" width="3.90625" bestFit="1" customWidth="1"/>
    <col min="31" max="31" width="5" bestFit="1" customWidth="1"/>
    <col min="32" max="32" width="5.90625" bestFit="1" customWidth="1"/>
    <col min="33" max="33" width="8.81640625" bestFit="1" customWidth="1"/>
    <col min="34" max="34" width="8.36328125" bestFit="1" customWidth="1"/>
    <col min="35" max="35" width="8.453125" bestFit="1" customWidth="1"/>
    <col min="36" max="37" width="7" bestFit="1" customWidth="1"/>
    <col min="38" max="38" width="12" bestFit="1" customWidth="1"/>
    <col min="39" max="39" width="14.36328125" bestFit="1" customWidth="1"/>
    <col min="40" max="40" width="11" bestFit="1" customWidth="1"/>
    <col min="41" max="41" width="9.453125" bestFit="1" customWidth="1"/>
    <col min="42" max="44" width="6" bestFit="1" customWidth="1"/>
    <col min="45" max="45" width="5" bestFit="1" customWidth="1"/>
    <col min="46" max="46" width="7" style="7" bestFit="1" customWidth="1"/>
    <col min="47" max="47" width="8.54296875" style="6" bestFit="1" customWidth="1"/>
    <col min="48" max="48" width="12" bestFit="1" customWidth="1"/>
    <col min="49" max="49" width="14.36328125" bestFit="1" customWidth="1"/>
    <col min="50" max="52" width="6" bestFit="1" customWidth="1"/>
  </cols>
  <sheetData>
    <row r="2" spans="1:52" x14ac:dyDescent="0.35">
      <c r="A2" s="4" t="s">
        <v>0</v>
      </c>
      <c r="B2" s="4" t="s">
        <v>1405</v>
      </c>
      <c r="C2" s="4" t="s">
        <v>1406</v>
      </c>
      <c r="D2" s="4" t="s">
        <v>1410</v>
      </c>
      <c r="E2" s="4" t="s">
        <v>1400</v>
      </c>
      <c r="F2" s="4" t="s">
        <v>1402</v>
      </c>
      <c r="G2" s="4" t="s">
        <v>1403</v>
      </c>
      <c r="H2" s="4" t="s">
        <v>1404</v>
      </c>
      <c r="I2" s="4" t="s">
        <v>1424</v>
      </c>
      <c r="J2" s="4" t="s">
        <v>1410</v>
      </c>
      <c r="K2" s="4" t="s">
        <v>1400</v>
      </c>
      <c r="L2" s="4" t="s">
        <v>1402</v>
      </c>
      <c r="M2" s="4" t="s">
        <v>1403</v>
      </c>
      <c r="N2" s="4" t="s">
        <v>1404</v>
      </c>
      <c r="O2" s="4" t="s">
        <v>1424</v>
      </c>
      <c r="P2" s="4" t="s">
        <v>1407</v>
      </c>
      <c r="Q2" s="4" t="s">
        <v>1400</v>
      </c>
      <c r="R2" s="4" t="s">
        <v>1402</v>
      </c>
      <c r="S2" s="4" t="s">
        <v>1403</v>
      </c>
      <c r="T2" s="4" t="s">
        <v>1404</v>
      </c>
      <c r="U2" s="4" t="s">
        <v>1424</v>
      </c>
      <c r="V2" s="4" t="s">
        <v>1407</v>
      </c>
      <c r="W2" s="4" t="s">
        <v>1400</v>
      </c>
      <c r="X2" s="4" t="s">
        <v>1402</v>
      </c>
      <c r="Y2" s="4" t="s">
        <v>1403</v>
      </c>
      <c r="Z2" s="4" t="s">
        <v>1404</v>
      </c>
      <c r="AA2" s="4" t="s">
        <v>1424</v>
      </c>
      <c r="AB2" s="4" t="s">
        <v>1407</v>
      </c>
      <c r="AC2" s="4" t="s">
        <v>1400</v>
      </c>
      <c r="AD2" s="4" t="s">
        <v>1402</v>
      </c>
      <c r="AE2" s="4" t="s">
        <v>1403</v>
      </c>
      <c r="AF2" s="4" t="s">
        <v>1404</v>
      </c>
      <c r="AG2" s="4" t="s">
        <v>1424</v>
      </c>
      <c r="AH2" s="1" t="s">
        <v>1412</v>
      </c>
      <c r="AI2" s="1" t="s">
        <v>1413</v>
      </c>
      <c r="AJ2" s="1" t="s">
        <v>1414</v>
      </c>
      <c r="AK2" s="1" t="s">
        <v>1415</v>
      </c>
      <c r="AL2" s="1" t="s">
        <v>1416</v>
      </c>
      <c r="AM2" s="1" t="s">
        <v>1417</v>
      </c>
      <c r="AN2" s="1" t="s">
        <v>1418</v>
      </c>
      <c r="AO2" s="1" t="s">
        <v>1419</v>
      </c>
      <c r="AP2" s="1" t="s">
        <v>1420</v>
      </c>
      <c r="AQ2" s="1" t="s">
        <v>1421</v>
      </c>
      <c r="AR2" s="1" t="s">
        <v>1422</v>
      </c>
      <c r="AS2" s="1" t="s">
        <v>1423</v>
      </c>
      <c r="AT2" s="21" t="s">
        <v>1433</v>
      </c>
      <c r="AU2" s="22" t="s">
        <v>1434</v>
      </c>
      <c r="AV2" s="4" t="s">
        <v>1436</v>
      </c>
      <c r="AW2" s="4" t="s">
        <v>1438</v>
      </c>
      <c r="AX2" s="4" t="s">
        <v>1427</v>
      </c>
      <c r="AY2" s="4" t="s">
        <v>1429</v>
      </c>
      <c r="AZ2" s="4" t="s">
        <v>1428</v>
      </c>
    </row>
    <row r="3" spans="1:52" x14ac:dyDescent="0.35">
      <c r="A3" s="29" t="s">
        <v>680</v>
      </c>
      <c r="B3" s="29" t="s">
        <v>681</v>
      </c>
      <c r="C3" s="29" t="s">
        <v>682</v>
      </c>
      <c r="D3" s="29"/>
      <c r="E3" s="29"/>
      <c r="F3" s="29"/>
      <c r="G3" s="29"/>
      <c r="H3" s="29"/>
      <c r="I3" s="29"/>
      <c r="J3" s="29" t="s">
        <v>685</v>
      </c>
      <c r="K3" s="29" t="s">
        <v>68</v>
      </c>
      <c r="L3" s="29">
        <v>44</v>
      </c>
      <c r="M3" s="29" t="s">
        <v>65</v>
      </c>
      <c r="N3" s="29" t="s">
        <v>61</v>
      </c>
      <c r="O3" s="29">
        <v>7686</v>
      </c>
      <c r="P3" s="29" t="s">
        <v>683</v>
      </c>
      <c r="Q3" s="29" t="s">
        <v>52</v>
      </c>
      <c r="R3" s="29">
        <v>50</v>
      </c>
      <c r="S3" s="29" t="s">
        <v>65</v>
      </c>
      <c r="T3" s="29" t="s">
        <v>61</v>
      </c>
      <c r="U3" s="29">
        <v>13223</v>
      </c>
      <c r="V3" s="29"/>
      <c r="W3" s="29"/>
      <c r="X3" s="29"/>
      <c r="Y3" s="29"/>
      <c r="Z3" s="29"/>
      <c r="AA3" s="29"/>
      <c r="AB3" s="29"/>
      <c r="AC3" s="29"/>
      <c r="AD3" s="29"/>
      <c r="AE3" s="29"/>
      <c r="AF3" s="29"/>
      <c r="AG3" s="29"/>
      <c r="AH3" s="29">
        <v>25468</v>
      </c>
      <c r="AI3" s="29">
        <v>23675</v>
      </c>
      <c r="AJ3" s="29">
        <v>1606</v>
      </c>
      <c r="AK3" s="29">
        <v>104</v>
      </c>
      <c r="AL3" s="29">
        <v>17</v>
      </c>
      <c r="AM3" s="29">
        <v>11</v>
      </c>
      <c r="AN3" s="29">
        <v>1</v>
      </c>
      <c r="AO3" s="29">
        <v>54</v>
      </c>
      <c r="AP3" s="30">
        <v>0.92959792681011466</v>
      </c>
      <c r="AQ3" s="30">
        <v>6.3059525679283801E-2</v>
      </c>
      <c r="AR3" s="30">
        <v>4.0835558347730484E-3</v>
      </c>
      <c r="AS3" s="30">
        <v>3.2589916758284905E-3</v>
      </c>
      <c r="AT3" s="31">
        <v>20909</v>
      </c>
      <c r="AU3" s="32">
        <v>82.1</v>
      </c>
      <c r="AV3" s="29" t="s">
        <v>52</v>
      </c>
      <c r="AW3" s="29">
        <f>I3+O3-U3</f>
        <v>-5537</v>
      </c>
      <c r="AX3" s="9">
        <f>I3/AT3</f>
        <v>0</v>
      </c>
      <c r="AY3" s="9">
        <f>O3/AT3</f>
        <v>0.36759290257783728</v>
      </c>
      <c r="AZ3" s="9">
        <f>U3/AT3</f>
        <v>0.63240709742216272</v>
      </c>
    </row>
    <row r="4" spans="1:52" x14ac:dyDescent="0.35">
      <c r="A4" s="39" t="s">
        <v>680</v>
      </c>
      <c r="B4" s="39" t="s">
        <v>681</v>
      </c>
      <c r="C4" s="39" t="s">
        <v>687</v>
      </c>
      <c r="D4" s="39"/>
      <c r="E4" s="39"/>
      <c r="F4" s="39"/>
      <c r="G4" s="39"/>
      <c r="H4" s="39"/>
      <c r="I4" s="39"/>
      <c r="J4" s="39" t="s">
        <v>688</v>
      </c>
      <c r="K4" s="39" t="s">
        <v>68</v>
      </c>
      <c r="L4" s="39">
        <v>52</v>
      </c>
      <c r="M4" s="39" t="s">
        <v>65</v>
      </c>
      <c r="N4" s="39" t="s">
        <v>61</v>
      </c>
      <c r="O4" s="39">
        <v>10453</v>
      </c>
      <c r="P4" s="39" t="s">
        <v>690</v>
      </c>
      <c r="Q4" s="39" t="s">
        <v>50</v>
      </c>
      <c r="R4" s="39">
        <v>48</v>
      </c>
      <c r="S4" s="39" t="s">
        <v>65</v>
      </c>
      <c r="T4" s="39" t="s">
        <v>61</v>
      </c>
      <c r="U4" s="39">
        <v>8132</v>
      </c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>
        <v>23999</v>
      </c>
      <c r="AI4" s="39">
        <v>16529</v>
      </c>
      <c r="AJ4" s="39">
        <v>5239</v>
      </c>
      <c r="AK4" s="39">
        <v>2087</v>
      </c>
      <c r="AL4" s="39">
        <v>35</v>
      </c>
      <c r="AM4" s="39">
        <v>24</v>
      </c>
      <c r="AN4" s="39">
        <v>2</v>
      </c>
      <c r="AO4" s="39">
        <v>83</v>
      </c>
      <c r="AP4" s="40">
        <v>0.6887370307096129</v>
      </c>
      <c r="AQ4" s="40">
        <v>0.21830076253177216</v>
      </c>
      <c r="AR4" s="40">
        <v>8.6961956748197844E-2</v>
      </c>
      <c r="AS4" s="40">
        <v>6.0002500104171007E-3</v>
      </c>
      <c r="AT4" s="41">
        <v>18585</v>
      </c>
      <c r="AU4" s="42">
        <v>77.400000000000006</v>
      </c>
      <c r="AV4" s="39" t="s">
        <v>68</v>
      </c>
      <c r="AW4" s="39">
        <f t="shared" ref="AW4:AW42" si="0">I4+O4-U4</f>
        <v>2321</v>
      </c>
      <c r="AX4" s="9">
        <f t="shared" ref="AX4:AX43" si="1">I4/AT4</f>
        <v>0</v>
      </c>
      <c r="AY4" s="9">
        <f t="shared" ref="AY4:AY43" si="2">O4/AT4</f>
        <v>0.56244283023944042</v>
      </c>
      <c r="AZ4" s="9">
        <f t="shared" ref="AZ4:AZ43" si="3">U4/AT4</f>
        <v>0.43755716976055958</v>
      </c>
    </row>
    <row r="5" spans="1:52" x14ac:dyDescent="0.35">
      <c r="A5" s="29" t="s">
        <v>680</v>
      </c>
      <c r="B5" s="29" t="s">
        <v>681</v>
      </c>
      <c r="C5" s="29" t="s">
        <v>692</v>
      </c>
      <c r="D5" s="29" t="s">
        <v>693</v>
      </c>
      <c r="E5" s="29" t="s">
        <v>51</v>
      </c>
      <c r="F5" s="29">
        <v>39</v>
      </c>
      <c r="G5" s="29" t="s">
        <v>65</v>
      </c>
      <c r="H5" s="29" t="s">
        <v>61</v>
      </c>
      <c r="I5" s="29">
        <v>10132</v>
      </c>
      <c r="J5" s="29"/>
      <c r="K5" s="29"/>
      <c r="L5" s="29"/>
      <c r="M5" s="29"/>
      <c r="N5" s="29"/>
      <c r="O5" s="29"/>
      <c r="P5" s="29" t="s">
        <v>695</v>
      </c>
      <c r="Q5" s="29" t="s">
        <v>52</v>
      </c>
      <c r="R5" s="29">
        <v>62</v>
      </c>
      <c r="S5" s="29" t="s">
        <v>65</v>
      </c>
      <c r="T5" s="29" t="s">
        <v>61</v>
      </c>
      <c r="U5" s="29">
        <v>17060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>
        <v>34723</v>
      </c>
      <c r="AI5" s="29">
        <v>27359</v>
      </c>
      <c r="AJ5" s="29">
        <v>5948</v>
      </c>
      <c r="AK5" s="29">
        <v>1268</v>
      </c>
      <c r="AL5" s="29">
        <v>27</v>
      </c>
      <c r="AM5" s="29">
        <v>23</v>
      </c>
      <c r="AN5" s="29">
        <v>1</v>
      </c>
      <c r="AO5" s="29">
        <v>97</v>
      </c>
      <c r="AP5" s="30">
        <v>0.78792155055726754</v>
      </c>
      <c r="AQ5" s="30">
        <v>0.17129856291219075</v>
      </c>
      <c r="AR5" s="30">
        <v>3.6517582006163063E-2</v>
      </c>
      <c r="AS5" s="30">
        <v>4.262304524378654E-3</v>
      </c>
      <c r="AT5" s="33">
        <v>27192</v>
      </c>
      <c r="AU5" s="34">
        <v>78.3</v>
      </c>
      <c r="AV5" s="29" t="s">
        <v>52</v>
      </c>
      <c r="AW5" s="29">
        <f t="shared" si="0"/>
        <v>-6928</v>
      </c>
      <c r="AX5" s="9">
        <f t="shared" si="1"/>
        <v>0.37260959105619301</v>
      </c>
      <c r="AY5" s="9">
        <f t="shared" si="2"/>
        <v>0</v>
      </c>
      <c r="AZ5" s="9">
        <f t="shared" si="3"/>
        <v>0.62739040894380704</v>
      </c>
    </row>
    <row r="6" spans="1:52" x14ac:dyDescent="0.35">
      <c r="A6" s="29" t="s">
        <v>680</v>
      </c>
      <c r="B6" s="29" t="s">
        <v>697</v>
      </c>
      <c r="C6" s="29" t="s">
        <v>698</v>
      </c>
      <c r="D6" s="29"/>
      <c r="E6" s="29"/>
      <c r="F6" s="29"/>
      <c r="G6" s="29"/>
      <c r="H6" s="29"/>
      <c r="I6" s="29"/>
      <c r="J6" s="29" t="s">
        <v>699</v>
      </c>
      <c r="K6" s="29" t="s">
        <v>68</v>
      </c>
      <c r="L6" s="29">
        <v>48</v>
      </c>
      <c r="M6" s="29" t="s">
        <v>60</v>
      </c>
      <c r="N6" s="29" t="s">
        <v>61</v>
      </c>
      <c r="O6" s="29">
        <v>7001</v>
      </c>
      <c r="P6" s="29" t="s">
        <v>700</v>
      </c>
      <c r="Q6" s="29" t="s">
        <v>52</v>
      </c>
      <c r="R6" s="29">
        <v>59</v>
      </c>
      <c r="S6" s="29" t="s">
        <v>65</v>
      </c>
      <c r="T6" s="29" t="s">
        <v>61</v>
      </c>
      <c r="U6" s="29">
        <v>15950</v>
      </c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>
        <v>28519</v>
      </c>
      <c r="AI6" s="29">
        <v>24730</v>
      </c>
      <c r="AJ6" s="29">
        <v>1789</v>
      </c>
      <c r="AK6" s="29">
        <v>1891</v>
      </c>
      <c r="AL6" s="29">
        <v>16</v>
      </c>
      <c r="AM6" s="29">
        <v>13</v>
      </c>
      <c r="AN6" s="29">
        <v>0</v>
      </c>
      <c r="AO6" s="29">
        <v>80</v>
      </c>
      <c r="AP6" s="30">
        <v>0.86714120410954099</v>
      </c>
      <c r="AQ6" s="30">
        <v>6.2730109751393814E-2</v>
      </c>
      <c r="AR6" s="30">
        <v>6.6306672744486136E-2</v>
      </c>
      <c r="AS6" s="30">
        <v>3.8220133945790526E-3</v>
      </c>
      <c r="AT6" s="33">
        <v>22951</v>
      </c>
      <c r="AU6" s="34">
        <v>80.5</v>
      </c>
      <c r="AV6" s="29" t="s">
        <v>52</v>
      </c>
      <c r="AW6" s="29">
        <f t="shared" si="0"/>
        <v>-8949</v>
      </c>
      <c r="AX6" s="9">
        <f t="shared" si="1"/>
        <v>0</v>
      </c>
      <c r="AY6" s="9">
        <f t="shared" si="2"/>
        <v>0.30504117467648467</v>
      </c>
      <c r="AZ6" s="9">
        <f t="shared" si="3"/>
        <v>0.69495882532351527</v>
      </c>
    </row>
    <row r="7" spans="1:52" x14ac:dyDescent="0.35">
      <c r="A7" s="29" t="s">
        <v>680</v>
      </c>
      <c r="B7" s="29" t="s">
        <v>697</v>
      </c>
      <c r="C7" s="29" t="s">
        <v>702</v>
      </c>
      <c r="D7" s="29"/>
      <c r="E7" s="29"/>
      <c r="F7" s="29"/>
      <c r="G7" s="29"/>
      <c r="H7" s="29"/>
      <c r="I7" s="29"/>
      <c r="J7" s="29" t="s">
        <v>705</v>
      </c>
      <c r="K7" s="29" t="s">
        <v>68</v>
      </c>
      <c r="L7" s="29">
        <v>51</v>
      </c>
      <c r="M7" s="29" t="s">
        <v>65</v>
      </c>
      <c r="N7" s="29" t="s">
        <v>61</v>
      </c>
      <c r="O7" s="29">
        <v>13988</v>
      </c>
      <c r="P7" s="29" t="s">
        <v>703</v>
      </c>
      <c r="Q7" s="29" t="s">
        <v>52</v>
      </c>
      <c r="R7" s="29">
        <v>53</v>
      </c>
      <c r="S7" s="29" t="s">
        <v>65</v>
      </c>
      <c r="T7" s="29" t="s">
        <v>61</v>
      </c>
      <c r="U7" s="29">
        <v>8479</v>
      </c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>
        <v>28100</v>
      </c>
      <c r="AI7" s="29">
        <v>22793</v>
      </c>
      <c r="AJ7" s="29">
        <v>4507</v>
      </c>
      <c r="AK7" s="29">
        <v>671</v>
      </c>
      <c r="AL7" s="29">
        <v>49</v>
      </c>
      <c r="AM7" s="29">
        <v>17</v>
      </c>
      <c r="AN7" s="29">
        <v>0</v>
      </c>
      <c r="AO7" s="29">
        <v>63</v>
      </c>
      <c r="AP7" s="30">
        <v>0.8111387900355872</v>
      </c>
      <c r="AQ7" s="30">
        <v>0.16039145907473309</v>
      </c>
      <c r="AR7" s="30">
        <v>2.3879003558718862E-2</v>
      </c>
      <c r="AS7" s="30">
        <v>4.5907473309608543E-3</v>
      </c>
      <c r="AT7" s="33">
        <v>22467</v>
      </c>
      <c r="AU7" s="34">
        <v>80</v>
      </c>
      <c r="AV7" s="29" t="s">
        <v>52</v>
      </c>
      <c r="AW7" s="29">
        <f t="shared" si="0"/>
        <v>5509</v>
      </c>
      <c r="AX7" s="9">
        <f t="shared" si="1"/>
        <v>0</v>
      </c>
      <c r="AY7" s="9">
        <f t="shared" si="2"/>
        <v>0.62260203854542218</v>
      </c>
      <c r="AZ7" s="9">
        <f t="shared" si="3"/>
        <v>0.37739796145457782</v>
      </c>
    </row>
    <row r="8" spans="1:52" x14ac:dyDescent="0.35">
      <c r="A8" s="35" t="s">
        <v>680</v>
      </c>
      <c r="B8" s="35" t="s">
        <v>697</v>
      </c>
      <c r="C8" s="35" t="s">
        <v>707</v>
      </c>
      <c r="D8" s="35" t="s">
        <v>708</v>
      </c>
      <c r="E8" s="35" t="s">
        <v>51</v>
      </c>
      <c r="F8" s="35">
        <v>45</v>
      </c>
      <c r="G8" s="35" t="s">
        <v>65</v>
      </c>
      <c r="H8" s="35" t="s">
        <v>61</v>
      </c>
      <c r="I8" s="35">
        <v>8276</v>
      </c>
      <c r="J8" s="35"/>
      <c r="K8" s="35"/>
      <c r="L8" s="35"/>
      <c r="M8" s="35"/>
      <c r="N8" s="35"/>
      <c r="O8" s="35"/>
      <c r="P8" s="35" t="s">
        <v>710</v>
      </c>
      <c r="Q8" s="35" t="s">
        <v>50</v>
      </c>
      <c r="R8" s="35">
        <v>59</v>
      </c>
      <c r="S8" s="35" t="s">
        <v>65</v>
      </c>
      <c r="T8" s="35" t="s">
        <v>61</v>
      </c>
      <c r="U8" s="35">
        <v>10223</v>
      </c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>
        <v>24784</v>
      </c>
      <c r="AI8" s="35">
        <v>16055</v>
      </c>
      <c r="AJ8" s="35">
        <v>5905</v>
      </c>
      <c r="AK8" s="35">
        <v>2514</v>
      </c>
      <c r="AL8" s="35">
        <v>83</v>
      </c>
      <c r="AM8" s="35">
        <v>105</v>
      </c>
      <c r="AN8" s="35">
        <v>3</v>
      </c>
      <c r="AO8" s="35">
        <v>119</v>
      </c>
      <c r="AP8" s="36">
        <v>0.64779696578437707</v>
      </c>
      <c r="AQ8" s="36">
        <v>0.23825855390574563</v>
      </c>
      <c r="AR8" s="36">
        <v>0.10143641058747579</v>
      </c>
      <c r="AS8" s="36">
        <v>1.250806972240155E-2</v>
      </c>
      <c r="AT8" s="37">
        <v>18499</v>
      </c>
      <c r="AU8" s="38">
        <v>74.599999999999994</v>
      </c>
      <c r="AV8" s="35" t="s">
        <v>50</v>
      </c>
      <c r="AW8" s="35">
        <f t="shared" si="0"/>
        <v>-1947</v>
      </c>
      <c r="AX8" s="9">
        <f t="shared" si="1"/>
        <v>0.4473755338126385</v>
      </c>
      <c r="AY8" s="9">
        <f t="shared" si="2"/>
        <v>0</v>
      </c>
      <c r="AZ8" s="9">
        <f t="shared" si="3"/>
        <v>0.5526244661873615</v>
      </c>
    </row>
    <row r="9" spans="1:52" x14ac:dyDescent="0.35">
      <c r="A9" s="2" t="s">
        <v>680</v>
      </c>
      <c r="B9" s="2" t="s">
        <v>712</v>
      </c>
      <c r="C9" s="2" t="s">
        <v>713</v>
      </c>
      <c r="D9" s="2" t="s">
        <v>714</v>
      </c>
      <c r="E9" s="2" t="s">
        <v>49</v>
      </c>
      <c r="F9" s="2">
        <v>39</v>
      </c>
      <c r="G9" s="2" t="s">
        <v>60</v>
      </c>
      <c r="H9" s="2" t="s">
        <v>121</v>
      </c>
      <c r="I9" s="2">
        <v>23828</v>
      </c>
      <c r="J9" s="2"/>
      <c r="K9" s="2"/>
      <c r="L9" s="2"/>
      <c r="M9" s="2"/>
      <c r="N9" s="2"/>
      <c r="O9" s="2"/>
      <c r="P9" s="2" t="s">
        <v>715</v>
      </c>
      <c r="Q9" s="2" t="s">
        <v>1425</v>
      </c>
      <c r="R9" s="2">
        <v>41</v>
      </c>
      <c r="S9" s="2" t="s">
        <v>65</v>
      </c>
      <c r="T9" s="2" t="s">
        <v>121</v>
      </c>
      <c r="U9" s="2">
        <v>2508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>
        <v>35904</v>
      </c>
      <c r="AI9" s="2">
        <v>3019</v>
      </c>
      <c r="AJ9" s="2">
        <v>29840</v>
      </c>
      <c r="AK9" s="2">
        <v>2912</v>
      </c>
      <c r="AL9" s="2">
        <v>43</v>
      </c>
      <c r="AM9" s="2">
        <v>9</v>
      </c>
      <c r="AN9" s="2">
        <v>0</v>
      </c>
      <c r="AO9" s="2">
        <v>81</v>
      </c>
      <c r="AP9" s="20">
        <v>8.4085338680926922E-2</v>
      </c>
      <c r="AQ9" s="20">
        <v>0.83110516934046341</v>
      </c>
      <c r="AR9" s="20">
        <v>8.1105169340463454E-2</v>
      </c>
      <c r="AS9" s="20">
        <v>3.7043226381461678E-3</v>
      </c>
      <c r="AT9" s="25">
        <v>26346</v>
      </c>
      <c r="AU9" s="26">
        <v>73.400000000000006</v>
      </c>
      <c r="AV9" s="2" t="s">
        <v>49</v>
      </c>
      <c r="AW9" s="2">
        <f t="shared" si="0"/>
        <v>21320</v>
      </c>
      <c r="AX9" s="9">
        <f t="shared" si="1"/>
        <v>0.90442571927427318</v>
      </c>
      <c r="AY9" s="9">
        <f t="shared" si="2"/>
        <v>0</v>
      </c>
      <c r="AZ9" s="9">
        <f t="shared" si="3"/>
        <v>9.5194716465497611E-2</v>
      </c>
    </row>
    <row r="10" spans="1:52" x14ac:dyDescent="0.35">
      <c r="A10" s="2" t="s">
        <v>680</v>
      </c>
      <c r="B10" s="2" t="s">
        <v>712</v>
      </c>
      <c r="C10" s="2" t="s">
        <v>717</v>
      </c>
      <c r="D10" s="2" t="s">
        <v>720</v>
      </c>
      <c r="E10" s="2" t="s">
        <v>49</v>
      </c>
      <c r="F10" s="2">
        <v>42</v>
      </c>
      <c r="G10" s="2" t="s">
        <v>65</v>
      </c>
      <c r="H10" s="2" t="s">
        <v>121</v>
      </c>
      <c r="I10" s="2">
        <v>19687</v>
      </c>
      <c r="J10" s="2"/>
      <c r="K10" s="2"/>
      <c r="L10" s="2"/>
      <c r="M10" s="2"/>
      <c r="N10" s="2"/>
      <c r="O10" s="2"/>
      <c r="P10" s="2" t="s">
        <v>718</v>
      </c>
      <c r="Q10" s="2" t="s">
        <v>50</v>
      </c>
      <c r="R10" s="2">
        <v>62</v>
      </c>
      <c r="S10" s="2" t="s">
        <v>65</v>
      </c>
      <c r="T10" s="2" t="s">
        <v>121</v>
      </c>
      <c r="U10" s="2">
        <v>3538</v>
      </c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>
        <v>32529</v>
      </c>
      <c r="AI10" s="2">
        <v>5194</v>
      </c>
      <c r="AJ10" s="2">
        <v>21686</v>
      </c>
      <c r="AK10" s="2">
        <v>5443</v>
      </c>
      <c r="AL10" s="2">
        <v>40</v>
      </c>
      <c r="AM10" s="2">
        <v>26</v>
      </c>
      <c r="AN10" s="2">
        <v>0</v>
      </c>
      <c r="AO10" s="2">
        <v>140</v>
      </c>
      <c r="AP10" s="20">
        <v>0.15967290725199054</v>
      </c>
      <c r="AQ10" s="20">
        <v>0.66666666666666663</v>
      </c>
      <c r="AR10" s="20">
        <v>0.1673276153586031</v>
      </c>
      <c r="AS10" s="20">
        <v>6.3328107227397096E-3</v>
      </c>
      <c r="AT10" s="25">
        <v>23225</v>
      </c>
      <c r="AU10" s="26">
        <v>71.400000000000006</v>
      </c>
      <c r="AV10" s="2" t="s">
        <v>49</v>
      </c>
      <c r="AW10" s="2">
        <f t="shared" si="0"/>
        <v>16149</v>
      </c>
      <c r="AX10" s="9">
        <f t="shared" si="1"/>
        <v>0.84766415500538217</v>
      </c>
      <c r="AY10" s="9">
        <f t="shared" si="2"/>
        <v>0</v>
      </c>
      <c r="AZ10" s="9">
        <f t="shared" si="3"/>
        <v>0.15233584499461786</v>
      </c>
    </row>
    <row r="11" spans="1:52" x14ac:dyDescent="0.35">
      <c r="A11" s="2" t="s">
        <v>680</v>
      </c>
      <c r="B11" s="2" t="s">
        <v>712</v>
      </c>
      <c r="C11" s="2" t="s">
        <v>721</v>
      </c>
      <c r="D11" s="2" t="s">
        <v>729</v>
      </c>
      <c r="E11" s="2" t="s">
        <v>49</v>
      </c>
      <c r="F11" s="2">
        <v>46</v>
      </c>
      <c r="G11" s="2" t="s">
        <v>65</v>
      </c>
      <c r="H11" s="2" t="s">
        <v>195</v>
      </c>
      <c r="I11" s="2">
        <v>10506</v>
      </c>
      <c r="J11" s="2"/>
      <c r="K11" s="2"/>
      <c r="L11" s="2"/>
      <c r="M11" s="2"/>
      <c r="N11" s="2"/>
      <c r="O11" s="2"/>
      <c r="P11" s="2" t="s">
        <v>727</v>
      </c>
      <c r="Q11" s="2" t="s">
        <v>52</v>
      </c>
      <c r="R11" s="2">
        <v>57</v>
      </c>
      <c r="S11" s="2" t="s">
        <v>65</v>
      </c>
      <c r="T11" s="2" t="s">
        <v>195</v>
      </c>
      <c r="U11" s="2">
        <v>2964</v>
      </c>
      <c r="V11" s="2" t="s">
        <v>722</v>
      </c>
      <c r="W11" s="2" t="s">
        <v>724</v>
      </c>
      <c r="X11" s="2">
        <v>67</v>
      </c>
      <c r="Y11" s="2" t="s">
        <v>65</v>
      </c>
      <c r="Z11" s="2" t="s">
        <v>195</v>
      </c>
      <c r="AA11" s="2">
        <v>115</v>
      </c>
      <c r="AB11" s="2" t="s">
        <v>725</v>
      </c>
      <c r="AC11" s="2" t="s">
        <v>64</v>
      </c>
      <c r="AD11" s="2">
        <v>39</v>
      </c>
      <c r="AE11" s="2" t="s">
        <v>65</v>
      </c>
      <c r="AF11" s="2" t="s">
        <v>195</v>
      </c>
      <c r="AG11" s="2">
        <v>1111</v>
      </c>
      <c r="AH11" s="2">
        <v>21221</v>
      </c>
      <c r="AI11" s="2">
        <v>4888</v>
      </c>
      <c r="AJ11" s="2">
        <v>10556</v>
      </c>
      <c r="AK11" s="2">
        <v>5624</v>
      </c>
      <c r="AL11" s="2">
        <v>37</v>
      </c>
      <c r="AM11" s="2">
        <v>9</v>
      </c>
      <c r="AN11" s="2">
        <v>0</v>
      </c>
      <c r="AO11" s="2">
        <v>107</v>
      </c>
      <c r="AP11" s="20">
        <v>0.23033787286178786</v>
      </c>
      <c r="AQ11" s="20">
        <v>0.49743178926535037</v>
      </c>
      <c r="AR11" s="20">
        <v>0.26502049856274446</v>
      </c>
      <c r="AS11" s="20">
        <v>7.2098393101173363E-3</v>
      </c>
      <c r="AT11" s="25">
        <v>14696</v>
      </c>
      <c r="AU11" s="26">
        <v>69.3</v>
      </c>
      <c r="AV11" s="2" t="s">
        <v>49</v>
      </c>
      <c r="AW11" s="2">
        <f t="shared" si="0"/>
        <v>7542</v>
      </c>
      <c r="AX11" s="9">
        <f t="shared" si="1"/>
        <v>0.71488840500816553</v>
      </c>
      <c r="AY11" s="9">
        <f t="shared" si="2"/>
        <v>0</v>
      </c>
      <c r="AZ11" s="9">
        <f t="shared" si="3"/>
        <v>0.20168753402286335</v>
      </c>
    </row>
    <row r="12" spans="1:52" x14ac:dyDescent="0.35">
      <c r="A12" s="35" t="s">
        <v>680</v>
      </c>
      <c r="B12" s="35" t="s">
        <v>731</v>
      </c>
      <c r="C12" s="35" t="s">
        <v>732</v>
      </c>
      <c r="D12" s="35" t="s">
        <v>733</v>
      </c>
      <c r="E12" s="35" t="s">
        <v>51</v>
      </c>
      <c r="F12" s="35">
        <v>63</v>
      </c>
      <c r="G12" s="35" t="s">
        <v>65</v>
      </c>
      <c r="H12" s="35" t="s">
        <v>61</v>
      </c>
      <c r="I12" s="35">
        <v>15951</v>
      </c>
      <c r="J12" s="35"/>
      <c r="K12" s="35"/>
      <c r="L12" s="35"/>
      <c r="M12" s="35"/>
      <c r="N12" s="35"/>
      <c r="O12" s="35"/>
      <c r="P12" s="35" t="s">
        <v>735</v>
      </c>
      <c r="Q12" s="35" t="s">
        <v>50</v>
      </c>
      <c r="R12" s="35">
        <v>31</v>
      </c>
      <c r="S12" s="35" t="s">
        <v>65</v>
      </c>
      <c r="T12" s="35" t="s">
        <v>61</v>
      </c>
      <c r="U12" s="35">
        <v>20877</v>
      </c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>
        <v>49215</v>
      </c>
      <c r="AI12" s="35">
        <v>33731</v>
      </c>
      <c r="AJ12" s="35">
        <v>8983</v>
      </c>
      <c r="AK12" s="35">
        <v>5957</v>
      </c>
      <c r="AL12" s="35">
        <v>125</v>
      </c>
      <c r="AM12" s="35">
        <v>75</v>
      </c>
      <c r="AN12" s="35">
        <v>7</v>
      </c>
      <c r="AO12" s="35">
        <v>337</v>
      </c>
      <c r="AP12" s="36">
        <v>0.68538047343289643</v>
      </c>
      <c r="AQ12" s="36">
        <v>0.18252565274814589</v>
      </c>
      <c r="AR12" s="36">
        <v>0.1210403332317383</v>
      </c>
      <c r="AS12" s="36">
        <v>1.1053540587219343E-2</v>
      </c>
      <c r="AT12" s="37">
        <v>36828</v>
      </c>
      <c r="AU12" s="38">
        <v>74.8</v>
      </c>
      <c r="AV12" s="35" t="s">
        <v>50</v>
      </c>
      <c r="AW12" s="35">
        <f t="shared" si="0"/>
        <v>-4926</v>
      </c>
      <c r="AX12" s="9">
        <f t="shared" si="1"/>
        <v>0.43312153796024766</v>
      </c>
      <c r="AY12" s="9">
        <f t="shared" si="2"/>
        <v>0</v>
      </c>
      <c r="AZ12" s="9">
        <f t="shared" si="3"/>
        <v>0.56687846203975234</v>
      </c>
    </row>
    <row r="13" spans="1:52" x14ac:dyDescent="0.35">
      <c r="A13" s="29" t="s">
        <v>680</v>
      </c>
      <c r="B13" s="29" t="s">
        <v>731</v>
      </c>
      <c r="C13" s="29" t="s">
        <v>737</v>
      </c>
      <c r="D13" s="29" t="s">
        <v>740</v>
      </c>
      <c r="E13" s="29" t="s">
        <v>48</v>
      </c>
      <c r="F13" s="29">
        <v>47</v>
      </c>
      <c r="G13" s="29" t="s">
        <v>65</v>
      </c>
      <c r="H13" s="29" t="s">
        <v>61</v>
      </c>
      <c r="I13" s="29">
        <v>10418</v>
      </c>
      <c r="J13" s="29"/>
      <c r="K13" s="29"/>
      <c r="L13" s="29"/>
      <c r="M13" s="29"/>
      <c r="N13" s="29"/>
      <c r="O13" s="29"/>
      <c r="P13" s="29" t="s">
        <v>738</v>
      </c>
      <c r="Q13" s="29" t="s">
        <v>52</v>
      </c>
      <c r="R13" s="29">
        <v>60</v>
      </c>
      <c r="S13" s="29" t="s">
        <v>65</v>
      </c>
      <c r="T13" s="29" t="s">
        <v>61</v>
      </c>
      <c r="U13" s="29">
        <v>13526</v>
      </c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>
        <v>30464</v>
      </c>
      <c r="AI13" s="29">
        <v>22964</v>
      </c>
      <c r="AJ13" s="29">
        <v>6726</v>
      </c>
      <c r="AK13" s="29">
        <v>650</v>
      </c>
      <c r="AL13" s="29">
        <v>30</v>
      </c>
      <c r="AM13" s="29">
        <v>12</v>
      </c>
      <c r="AN13" s="29">
        <v>0</v>
      </c>
      <c r="AO13" s="29">
        <v>82</v>
      </c>
      <c r="AP13" s="30">
        <v>0.75380777310924374</v>
      </c>
      <c r="AQ13" s="30">
        <v>0.22078518907563024</v>
      </c>
      <c r="AR13" s="30">
        <v>2.1336659663865547E-2</v>
      </c>
      <c r="AS13" s="30">
        <v>4.0703781512605045E-3</v>
      </c>
      <c r="AT13" s="33">
        <v>23944</v>
      </c>
      <c r="AU13" s="34">
        <v>78.599999999999994</v>
      </c>
      <c r="AV13" s="29" t="s">
        <v>52</v>
      </c>
      <c r="AW13" s="29">
        <f t="shared" si="0"/>
        <v>-3108</v>
      </c>
      <c r="AX13" s="9">
        <f t="shared" si="1"/>
        <v>0.43509856331440028</v>
      </c>
      <c r="AY13" s="9">
        <f t="shared" si="2"/>
        <v>0</v>
      </c>
      <c r="AZ13" s="9">
        <f t="shared" si="3"/>
        <v>0.56490143668559978</v>
      </c>
    </row>
    <row r="14" spans="1:52" x14ac:dyDescent="0.35">
      <c r="A14" s="35" t="s">
        <v>680</v>
      </c>
      <c r="B14" s="35" t="s">
        <v>731</v>
      </c>
      <c r="C14" s="35" t="s">
        <v>742</v>
      </c>
      <c r="D14" s="35" t="s">
        <v>743</v>
      </c>
      <c r="E14" s="35" t="s">
        <v>51</v>
      </c>
      <c r="F14" s="35">
        <v>53</v>
      </c>
      <c r="G14" s="35" t="s">
        <v>65</v>
      </c>
      <c r="H14" s="35" t="s">
        <v>61</v>
      </c>
      <c r="I14" s="35">
        <v>9011</v>
      </c>
      <c r="J14" s="35"/>
      <c r="K14" s="35"/>
      <c r="L14" s="35"/>
      <c r="M14" s="35"/>
      <c r="N14" s="35"/>
      <c r="O14" s="35"/>
      <c r="P14" s="35" t="s">
        <v>745</v>
      </c>
      <c r="Q14" s="35" t="s">
        <v>50</v>
      </c>
      <c r="R14" s="35">
        <v>64</v>
      </c>
      <c r="S14" s="35" t="s">
        <v>65</v>
      </c>
      <c r="T14" s="35" t="s">
        <v>61</v>
      </c>
      <c r="U14" s="35">
        <v>12586</v>
      </c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>
        <v>28170</v>
      </c>
      <c r="AI14" s="35">
        <v>22478</v>
      </c>
      <c r="AJ14" s="35">
        <v>5006</v>
      </c>
      <c r="AK14" s="35">
        <v>466</v>
      </c>
      <c r="AL14" s="35">
        <v>25</v>
      </c>
      <c r="AM14" s="35">
        <v>18</v>
      </c>
      <c r="AN14" s="35">
        <v>1</v>
      </c>
      <c r="AO14" s="35">
        <v>176</v>
      </c>
      <c r="AP14" s="36">
        <v>0.79794107206247777</v>
      </c>
      <c r="AQ14" s="36">
        <v>0.17770678026269079</v>
      </c>
      <c r="AR14" s="36">
        <v>1.6542421015264465E-2</v>
      </c>
      <c r="AS14" s="36">
        <v>7.8097266595669153E-3</v>
      </c>
      <c r="AT14" s="37">
        <v>21597</v>
      </c>
      <c r="AU14" s="38">
        <v>76.7</v>
      </c>
      <c r="AV14" s="35" t="s">
        <v>50</v>
      </c>
      <c r="AW14" s="35">
        <f t="shared" si="0"/>
        <v>-3575</v>
      </c>
      <c r="AX14" s="9">
        <f t="shared" si="1"/>
        <v>0.41723387507524196</v>
      </c>
      <c r="AY14" s="9">
        <f t="shared" si="2"/>
        <v>0</v>
      </c>
      <c r="AZ14" s="9">
        <f t="shared" si="3"/>
        <v>0.5827661249247581</v>
      </c>
    </row>
    <row r="15" spans="1:52" x14ac:dyDescent="0.35">
      <c r="A15" s="2" t="s">
        <v>680</v>
      </c>
      <c r="B15" s="2" t="s">
        <v>746</v>
      </c>
      <c r="C15" s="2" t="s">
        <v>747</v>
      </c>
      <c r="D15" s="2" t="s">
        <v>748</v>
      </c>
      <c r="E15" s="2" t="s">
        <v>49</v>
      </c>
      <c r="F15" s="2">
        <v>45</v>
      </c>
      <c r="G15" s="2" t="s">
        <v>60</v>
      </c>
      <c r="H15" s="2" t="s">
        <v>121</v>
      </c>
      <c r="I15" s="2">
        <v>19183</v>
      </c>
      <c r="J15" s="2"/>
      <c r="K15" s="2"/>
      <c r="L15" s="2"/>
      <c r="M15" s="2"/>
      <c r="N15" s="2"/>
      <c r="O15" s="2"/>
      <c r="P15" s="2" t="s">
        <v>749</v>
      </c>
      <c r="Q15" s="2" t="s">
        <v>1425</v>
      </c>
      <c r="R15" s="2">
        <v>40</v>
      </c>
      <c r="S15" s="2" t="s">
        <v>65</v>
      </c>
      <c r="T15" s="2" t="s">
        <v>121</v>
      </c>
      <c r="U15" s="2">
        <v>1130</v>
      </c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>
        <v>29076</v>
      </c>
      <c r="AI15" s="2">
        <v>1471</v>
      </c>
      <c r="AJ15" s="2">
        <v>24303</v>
      </c>
      <c r="AK15" s="2">
        <v>3127</v>
      </c>
      <c r="AL15" s="2">
        <v>29</v>
      </c>
      <c r="AM15" s="2">
        <v>14</v>
      </c>
      <c r="AN15" s="2">
        <v>0</v>
      </c>
      <c r="AO15" s="2">
        <v>132</v>
      </c>
      <c r="AP15" s="20">
        <v>5.0591553171000135E-2</v>
      </c>
      <c r="AQ15" s="20">
        <v>0.83584399504746187</v>
      </c>
      <c r="AR15" s="20">
        <v>0.10754574219287384</v>
      </c>
      <c r="AS15" s="20">
        <v>6.01870958866419E-3</v>
      </c>
      <c r="AT15" s="25">
        <v>20313</v>
      </c>
      <c r="AU15" s="26">
        <v>69.900000000000006</v>
      </c>
      <c r="AV15" s="2" t="s">
        <v>49</v>
      </c>
      <c r="AW15" s="2">
        <f t="shared" si="0"/>
        <v>18053</v>
      </c>
      <c r="AX15" s="9">
        <f t="shared" si="1"/>
        <v>0.94437060010830498</v>
      </c>
      <c r="AY15" s="9">
        <f t="shared" si="2"/>
        <v>0</v>
      </c>
      <c r="AZ15" s="9">
        <f t="shared" si="3"/>
        <v>5.5629399891694971E-2</v>
      </c>
    </row>
    <row r="16" spans="1:52" x14ac:dyDescent="0.35">
      <c r="A16" s="17" t="s">
        <v>680</v>
      </c>
      <c r="B16" s="17" t="s">
        <v>746</v>
      </c>
      <c r="C16" s="17" t="s">
        <v>750</v>
      </c>
      <c r="D16" s="17" t="s">
        <v>751</v>
      </c>
      <c r="E16" s="17" t="s">
        <v>51</v>
      </c>
      <c r="F16" s="17">
        <v>46</v>
      </c>
      <c r="G16" s="17" t="s">
        <v>65</v>
      </c>
      <c r="H16" s="17" t="s">
        <v>121</v>
      </c>
      <c r="I16" s="17">
        <v>28777</v>
      </c>
      <c r="J16" s="17"/>
      <c r="K16" s="17"/>
      <c r="L16" s="17"/>
      <c r="M16" s="17"/>
      <c r="N16" s="17"/>
      <c r="O16" s="17"/>
      <c r="P16" s="17" t="s">
        <v>752</v>
      </c>
      <c r="Q16" s="17" t="s">
        <v>1425</v>
      </c>
      <c r="R16" s="17">
        <v>41</v>
      </c>
      <c r="S16" s="17" t="s">
        <v>65</v>
      </c>
      <c r="T16" s="17" t="s">
        <v>121</v>
      </c>
      <c r="U16" s="17">
        <v>12855</v>
      </c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>
        <v>56538</v>
      </c>
      <c r="AI16" s="17">
        <v>19881</v>
      </c>
      <c r="AJ16" s="17">
        <v>29074</v>
      </c>
      <c r="AK16" s="17">
        <v>7193</v>
      </c>
      <c r="AL16" s="17">
        <v>93</v>
      </c>
      <c r="AM16" s="17">
        <v>46</v>
      </c>
      <c r="AN16" s="17">
        <v>0</v>
      </c>
      <c r="AO16" s="17">
        <v>251</v>
      </c>
      <c r="AP16" s="18">
        <v>0.35163960522126714</v>
      </c>
      <c r="AQ16" s="18">
        <v>0.51423821146839299</v>
      </c>
      <c r="AR16" s="18">
        <v>0.12722416781633591</v>
      </c>
      <c r="AS16" s="18">
        <v>6.8980154940040325E-3</v>
      </c>
      <c r="AT16" s="27">
        <v>41632</v>
      </c>
      <c r="AU16" s="28">
        <v>73.599999999999994</v>
      </c>
      <c r="AV16" s="17" t="s">
        <v>51</v>
      </c>
      <c r="AW16" s="17">
        <f t="shared" si="0"/>
        <v>15922</v>
      </c>
      <c r="AX16" s="9">
        <f t="shared" si="1"/>
        <v>0.69122309761721756</v>
      </c>
      <c r="AY16" s="9">
        <f t="shared" si="2"/>
        <v>0</v>
      </c>
      <c r="AZ16" s="9">
        <f t="shared" si="3"/>
        <v>0.30877690238278249</v>
      </c>
    </row>
    <row r="17" spans="1:54" x14ac:dyDescent="0.35">
      <c r="A17" s="2" t="s">
        <v>680</v>
      </c>
      <c r="B17" s="2" t="s">
        <v>746</v>
      </c>
      <c r="C17" s="2" t="s">
        <v>754</v>
      </c>
      <c r="D17" s="2" t="s">
        <v>758</v>
      </c>
      <c r="E17" s="2" t="s">
        <v>49</v>
      </c>
      <c r="F17" s="2">
        <v>37</v>
      </c>
      <c r="G17" s="2" t="s">
        <v>65</v>
      </c>
      <c r="H17" s="2" t="s">
        <v>121</v>
      </c>
      <c r="I17" s="2">
        <v>22315</v>
      </c>
      <c r="J17" s="2"/>
      <c r="K17" s="2"/>
      <c r="L17" s="2"/>
      <c r="M17" s="2"/>
      <c r="N17" s="2"/>
      <c r="O17" s="2"/>
      <c r="P17" s="2" t="s">
        <v>755</v>
      </c>
      <c r="Q17" s="2" t="s">
        <v>50</v>
      </c>
      <c r="R17" s="2">
        <v>50</v>
      </c>
      <c r="S17" s="2" t="s">
        <v>65</v>
      </c>
      <c r="T17" s="2" t="s">
        <v>195</v>
      </c>
      <c r="U17" s="2">
        <v>2867</v>
      </c>
      <c r="V17" s="2" t="s">
        <v>757</v>
      </c>
      <c r="W17" s="2" t="s">
        <v>724</v>
      </c>
      <c r="X17" s="2">
        <v>57</v>
      </c>
      <c r="Y17" s="2" t="s">
        <v>65</v>
      </c>
      <c r="Z17" s="2" t="s">
        <v>121</v>
      </c>
      <c r="AA17" s="2">
        <v>218</v>
      </c>
      <c r="AB17" s="2"/>
      <c r="AC17" s="2"/>
      <c r="AD17" s="2"/>
      <c r="AE17" s="2"/>
      <c r="AF17" s="2"/>
      <c r="AG17" s="2"/>
      <c r="AH17" s="2">
        <v>36001</v>
      </c>
      <c r="AI17" s="2">
        <v>4654</v>
      </c>
      <c r="AJ17" s="2">
        <v>28236</v>
      </c>
      <c r="AK17" s="2">
        <v>2942</v>
      </c>
      <c r="AL17" s="2">
        <v>32</v>
      </c>
      <c r="AM17" s="2">
        <v>6</v>
      </c>
      <c r="AN17" s="2">
        <v>1</v>
      </c>
      <c r="AO17" s="2">
        <v>130</v>
      </c>
      <c r="AP17" s="20">
        <v>0.12927418682814365</v>
      </c>
      <c r="AQ17" s="20">
        <v>0.78431154690147498</v>
      </c>
      <c r="AR17" s="20">
        <v>8.1719952223549344E-2</v>
      </c>
      <c r="AS17" s="20">
        <v>4.6943140468320328E-3</v>
      </c>
      <c r="AT17" s="25">
        <v>25400</v>
      </c>
      <c r="AU17" s="26">
        <v>70.599999999999994</v>
      </c>
      <c r="AV17" s="2" t="s">
        <v>49</v>
      </c>
      <c r="AW17" s="2">
        <f t="shared" si="0"/>
        <v>19448</v>
      </c>
      <c r="AX17" s="9">
        <f t="shared" si="1"/>
        <v>0.87854330708661421</v>
      </c>
      <c r="AY17" s="9">
        <f t="shared" si="2"/>
        <v>0</v>
      </c>
      <c r="AZ17" s="9">
        <f t="shared" si="3"/>
        <v>0.11287401574803149</v>
      </c>
    </row>
    <row r="18" spans="1:54" x14ac:dyDescent="0.35">
      <c r="A18" s="2" t="s">
        <v>680</v>
      </c>
      <c r="B18" s="2" t="s">
        <v>759</v>
      </c>
      <c r="C18" s="2" t="s">
        <v>760</v>
      </c>
      <c r="D18" s="2" t="s">
        <v>763</v>
      </c>
      <c r="E18" s="2" t="s">
        <v>49</v>
      </c>
      <c r="F18" s="2">
        <v>62</v>
      </c>
      <c r="G18" s="2" t="s">
        <v>65</v>
      </c>
      <c r="H18" s="2" t="s">
        <v>195</v>
      </c>
      <c r="I18" s="2">
        <v>10680</v>
      </c>
      <c r="J18" s="2"/>
      <c r="K18" s="2"/>
      <c r="L18" s="2"/>
      <c r="M18" s="2"/>
      <c r="N18" s="2"/>
      <c r="O18" s="2"/>
      <c r="P18" s="2" t="s">
        <v>767</v>
      </c>
      <c r="Q18" s="2" t="s">
        <v>1425</v>
      </c>
      <c r="R18" s="2">
        <v>54</v>
      </c>
      <c r="S18" s="2" t="s">
        <v>65</v>
      </c>
      <c r="T18" s="2" t="s">
        <v>195</v>
      </c>
      <c r="U18" s="2">
        <v>1541</v>
      </c>
      <c r="V18" s="2" t="s">
        <v>761</v>
      </c>
      <c r="W18" s="2" t="s">
        <v>587</v>
      </c>
      <c r="X18" s="2">
        <v>37</v>
      </c>
      <c r="Y18" s="2" t="s">
        <v>60</v>
      </c>
      <c r="Z18" s="2" t="s">
        <v>195</v>
      </c>
      <c r="AA18" s="2">
        <v>253</v>
      </c>
      <c r="AB18" s="2" t="s">
        <v>765</v>
      </c>
      <c r="AC18" s="2" t="s">
        <v>64</v>
      </c>
      <c r="AD18" s="2">
        <v>49</v>
      </c>
      <c r="AE18" s="2" t="s">
        <v>65</v>
      </c>
      <c r="AF18" s="2" t="s">
        <v>195</v>
      </c>
      <c r="AG18" s="2">
        <v>1439</v>
      </c>
      <c r="AH18" s="2">
        <v>20479</v>
      </c>
      <c r="AI18" s="2">
        <v>2714</v>
      </c>
      <c r="AJ18" s="2">
        <v>10213</v>
      </c>
      <c r="AK18" s="2">
        <v>7299</v>
      </c>
      <c r="AL18" s="2">
        <v>35</v>
      </c>
      <c r="AM18" s="2">
        <v>12</v>
      </c>
      <c r="AN18" s="2">
        <v>1</v>
      </c>
      <c r="AO18" s="2">
        <v>205</v>
      </c>
      <c r="AP18" s="20">
        <v>0.13252600224620342</v>
      </c>
      <c r="AQ18" s="20">
        <v>0.49870599150349137</v>
      </c>
      <c r="AR18" s="20">
        <v>0.35641388739684554</v>
      </c>
      <c r="AS18" s="20">
        <v>1.2354118853459642E-2</v>
      </c>
      <c r="AT18" s="25">
        <v>13913</v>
      </c>
      <c r="AU18" s="26">
        <v>67.900000000000006</v>
      </c>
      <c r="AV18" s="2" t="s">
        <v>49</v>
      </c>
      <c r="AW18" s="2">
        <f t="shared" si="0"/>
        <v>9139</v>
      </c>
      <c r="AX18" s="9">
        <f t="shared" si="1"/>
        <v>0.76762739883562137</v>
      </c>
      <c r="AY18" s="9">
        <f t="shared" si="2"/>
        <v>0</v>
      </c>
      <c r="AZ18" s="9">
        <f t="shared" si="3"/>
        <v>0.11075972112412852</v>
      </c>
      <c r="BA18" s="8">
        <f>AA18/AH18</f>
        <v>1.2354118853459642E-2</v>
      </c>
      <c r="BB18" s="8">
        <f>AG18/AH18</f>
        <v>7.0267102885883101E-2</v>
      </c>
    </row>
    <row r="19" spans="1:54" x14ac:dyDescent="0.35">
      <c r="A19" s="17" t="s">
        <v>680</v>
      </c>
      <c r="B19" s="17" t="s">
        <v>759</v>
      </c>
      <c r="C19" s="17" t="s">
        <v>768</v>
      </c>
      <c r="D19" s="17" t="s">
        <v>769</v>
      </c>
      <c r="E19" s="17" t="s">
        <v>51</v>
      </c>
      <c r="F19" s="17">
        <v>52</v>
      </c>
      <c r="G19" s="17" t="s">
        <v>65</v>
      </c>
      <c r="H19" s="17" t="s">
        <v>121</v>
      </c>
      <c r="I19" s="17">
        <v>16050</v>
      </c>
      <c r="J19" s="17"/>
      <c r="K19" s="17"/>
      <c r="L19" s="17"/>
      <c r="M19" s="17"/>
      <c r="N19" s="17"/>
      <c r="O19" s="17"/>
      <c r="P19" s="17" t="s">
        <v>770</v>
      </c>
      <c r="Q19" s="17" t="s">
        <v>1425</v>
      </c>
      <c r="R19" s="17">
        <v>58</v>
      </c>
      <c r="S19" s="17" t="s">
        <v>65</v>
      </c>
      <c r="T19" s="17" t="s">
        <v>195</v>
      </c>
      <c r="U19" s="17">
        <v>7353</v>
      </c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>
        <v>31635</v>
      </c>
      <c r="AI19" s="17">
        <v>11409</v>
      </c>
      <c r="AJ19" s="17">
        <v>14578</v>
      </c>
      <c r="AK19" s="17">
        <v>5303</v>
      </c>
      <c r="AL19" s="17">
        <v>93</v>
      </c>
      <c r="AM19" s="17">
        <v>38</v>
      </c>
      <c r="AN19" s="17">
        <v>0</v>
      </c>
      <c r="AO19" s="17">
        <v>214</v>
      </c>
      <c r="AP19" s="18">
        <v>0.36064485538169749</v>
      </c>
      <c r="AQ19" s="18">
        <v>0.46081871345029241</v>
      </c>
      <c r="AR19" s="18">
        <v>0.16763078868342027</v>
      </c>
      <c r="AS19" s="18">
        <v>1.0905642484589853E-2</v>
      </c>
      <c r="AT19" s="27">
        <v>23403</v>
      </c>
      <c r="AU19" s="28">
        <v>74</v>
      </c>
      <c r="AV19" s="17" t="s">
        <v>51</v>
      </c>
      <c r="AW19" s="17">
        <f t="shared" si="0"/>
        <v>8697</v>
      </c>
      <c r="AX19" s="9">
        <f t="shared" si="1"/>
        <v>0.68580951160107684</v>
      </c>
      <c r="AY19" s="9">
        <f t="shared" si="2"/>
        <v>0</v>
      </c>
      <c r="AZ19" s="9">
        <f t="shared" si="3"/>
        <v>0.31419048839892322</v>
      </c>
    </row>
    <row r="20" spans="1:54" x14ac:dyDescent="0.35">
      <c r="A20" s="17" t="s">
        <v>680</v>
      </c>
      <c r="B20" s="17" t="s">
        <v>759</v>
      </c>
      <c r="C20" s="17" t="s">
        <v>772</v>
      </c>
      <c r="D20" s="17" t="s">
        <v>773</v>
      </c>
      <c r="E20" s="17" t="s">
        <v>51</v>
      </c>
      <c r="F20" s="17">
        <v>50</v>
      </c>
      <c r="G20" s="17" t="s">
        <v>65</v>
      </c>
      <c r="H20" s="17" t="s">
        <v>121</v>
      </c>
      <c r="I20" s="17">
        <v>21985</v>
      </c>
      <c r="J20" s="17"/>
      <c r="K20" s="17"/>
      <c r="L20" s="17"/>
      <c r="M20" s="17"/>
      <c r="N20" s="17"/>
      <c r="O20" s="17"/>
      <c r="P20" s="17" t="s">
        <v>775</v>
      </c>
      <c r="Q20" s="17" t="s">
        <v>1425</v>
      </c>
      <c r="R20" s="17">
        <v>44</v>
      </c>
      <c r="S20" s="17" t="s">
        <v>65</v>
      </c>
      <c r="T20" s="17" t="s">
        <v>121</v>
      </c>
      <c r="U20" s="17">
        <v>4810</v>
      </c>
      <c r="V20" s="17" t="s">
        <v>774</v>
      </c>
      <c r="W20" s="17" t="s">
        <v>64</v>
      </c>
      <c r="X20" s="17">
        <v>59</v>
      </c>
      <c r="Y20" s="17" t="s">
        <v>65</v>
      </c>
      <c r="Z20" s="17" t="s">
        <v>195</v>
      </c>
      <c r="AA20" s="17">
        <v>468</v>
      </c>
      <c r="AB20" s="17"/>
      <c r="AC20" s="17"/>
      <c r="AD20" s="17"/>
      <c r="AE20" s="17"/>
      <c r="AF20" s="17"/>
      <c r="AG20" s="17"/>
      <c r="AH20" s="17">
        <v>37496</v>
      </c>
      <c r="AI20" s="17">
        <v>6636</v>
      </c>
      <c r="AJ20" s="17">
        <v>23450</v>
      </c>
      <c r="AK20" s="17">
        <v>7229</v>
      </c>
      <c r="AL20" s="17">
        <v>62</v>
      </c>
      <c r="AM20" s="17">
        <v>15</v>
      </c>
      <c r="AN20" s="17">
        <v>1</v>
      </c>
      <c r="AO20" s="17">
        <v>103</v>
      </c>
      <c r="AP20" s="18">
        <v>0.17697887774695967</v>
      </c>
      <c r="AQ20" s="18">
        <v>0.62540004267121829</v>
      </c>
      <c r="AR20" s="18">
        <v>0.19279389801578836</v>
      </c>
      <c r="AS20" s="18">
        <v>4.8271815660337102E-3</v>
      </c>
      <c r="AT20" s="27">
        <v>27263</v>
      </c>
      <c r="AU20" s="28">
        <v>72.7</v>
      </c>
      <c r="AV20" s="17" t="s">
        <v>51</v>
      </c>
      <c r="AW20" s="17">
        <f t="shared" si="0"/>
        <v>17175</v>
      </c>
      <c r="AX20" s="9">
        <f t="shared" si="1"/>
        <v>0.80640428419469612</v>
      </c>
      <c r="AY20" s="9">
        <f t="shared" si="2"/>
        <v>0</v>
      </c>
      <c r="AZ20" s="9">
        <f t="shared" si="3"/>
        <v>0.17642959322158236</v>
      </c>
    </row>
    <row r="21" spans="1:54" x14ac:dyDescent="0.35">
      <c r="A21" s="2" t="s">
        <v>680</v>
      </c>
      <c r="B21" s="2" t="s">
        <v>776</v>
      </c>
      <c r="C21" s="2" t="s">
        <v>777</v>
      </c>
      <c r="D21" s="2" t="s">
        <v>778</v>
      </c>
      <c r="E21" s="2" t="s">
        <v>49</v>
      </c>
      <c r="F21" s="2">
        <v>46</v>
      </c>
      <c r="G21" s="2" t="s">
        <v>65</v>
      </c>
      <c r="H21" s="2" t="s">
        <v>121</v>
      </c>
      <c r="I21" s="2">
        <v>20641</v>
      </c>
      <c r="J21" s="2"/>
      <c r="K21" s="2"/>
      <c r="L21" s="2"/>
      <c r="M21" s="2"/>
      <c r="N21" s="2"/>
      <c r="O21" s="2"/>
      <c r="P21" s="2" t="s">
        <v>779</v>
      </c>
      <c r="Q21" s="2" t="s">
        <v>52</v>
      </c>
      <c r="R21" s="2">
        <v>43</v>
      </c>
      <c r="S21" s="2" t="s">
        <v>65</v>
      </c>
      <c r="T21" s="2" t="s">
        <v>121</v>
      </c>
      <c r="U21" s="2">
        <v>5322</v>
      </c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>
        <v>36601</v>
      </c>
      <c r="AI21" s="2">
        <v>7804</v>
      </c>
      <c r="AJ21" s="2">
        <v>19248</v>
      </c>
      <c r="AK21" s="2">
        <v>9354</v>
      </c>
      <c r="AL21" s="2">
        <v>49</v>
      </c>
      <c r="AM21" s="2">
        <v>35</v>
      </c>
      <c r="AN21" s="2">
        <v>3</v>
      </c>
      <c r="AO21" s="2">
        <v>108</v>
      </c>
      <c r="AP21" s="20">
        <v>0.21321821808147318</v>
      </c>
      <c r="AQ21" s="20">
        <v>0.52588727083959452</v>
      </c>
      <c r="AR21" s="20">
        <v>0.25556678779268327</v>
      </c>
      <c r="AS21" s="20">
        <v>5.3277232862490092E-3</v>
      </c>
      <c r="AT21" s="25">
        <v>25963</v>
      </c>
      <c r="AU21" s="26">
        <v>70.900000000000006</v>
      </c>
      <c r="AV21" s="2" t="s">
        <v>49</v>
      </c>
      <c r="AW21" s="2">
        <f t="shared" si="0"/>
        <v>15319</v>
      </c>
      <c r="AX21" s="9">
        <f t="shared" si="1"/>
        <v>0.79501598428532916</v>
      </c>
      <c r="AY21" s="9">
        <f t="shared" si="2"/>
        <v>0</v>
      </c>
      <c r="AZ21" s="9">
        <f t="shared" si="3"/>
        <v>0.20498401571467087</v>
      </c>
    </row>
    <row r="22" spans="1:54" x14ac:dyDescent="0.35">
      <c r="A22" s="29" t="s">
        <v>680</v>
      </c>
      <c r="B22" s="29" t="s">
        <v>776</v>
      </c>
      <c r="C22" s="29" t="s">
        <v>781</v>
      </c>
      <c r="D22" s="29" t="s">
        <v>784</v>
      </c>
      <c r="E22" s="29" t="s">
        <v>51</v>
      </c>
      <c r="F22" s="29">
        <v>33</v>
      </c>
      <c r="G22" s="29" t="s">
        <v>60</v>
      </c>
      <c r="H22" s="29" t="s">
        <v>61</v>
      </c>
      <c r="I22" s="29">
        <v>13870</v>
      </c>
      <c r="J22" s="29"/>
      <c r="K22" s="29"/>
      <c r="L22" s="29"/>
      <c r="M22" s="29"/>
      <c r="N22" s="29"/>
      <c r="O22" s="29"/>
      <c r="P22" s="29" t="s">
        <v>782</v>
      </c>
      <c r="Q22" s="29" t="s">
        <v>52</v>
      </c>
      <c r="R22" s="29">
        <v>56</v>
      </c>
      <c r="S22" s="29" t="s">
        <v>65</v>
      </c>
      <c r="T22" s="29" t="s">
        <v>61</v>
      </c>
      <c r="U22" s="29">
        <v>15433</v>
      </c>
      <c r="V22" s="29"/>
      <c r="W22" s="29"/>
      <c r="X22" s="29"/>
      <c r="Y22" s="29"/>
      <c r="Z22" s="29"/>
      <c r="AA22" s="29"/>
      <c r="AB22" s="29"/>
      <c r="AC22" s="29"/>
      <c r="AD22" s="29"/>
      <c r="AE22" s="29"/>
      <c r="AF22" s="29"/>
      <c r="AG22" s="29"/>
      <c r="AH22" s="29">
        <v>38409</v>
      </c>
      <c r="AI22" s="29">
        <v>22801</v>
      </c>
      <c r="AJ22" s="29">
        <v>8656</v>
      </c>
      <c r="AK22" s="29">
        <v>6681</v>
      </c>
      <c r="AL22" s="29">
        <v>61</v>
      </c>
      <c r="AM22" s="29">
        <v>22</v>
      </c>
      <c r="AN22" s="29">
        <v>0</v>
      </c>
      <c r="AO22" s="29">
        <v>188</v>
      </c>
      <c r="AP22" s="30">
        <v>0.59363690801635038</v>
      </c>
      <c r="AQ22" s="30">
        <v>0.22536384701502252</v>
      </c>
      <c r="AR22" s="30">
        <v>0.17394360696711708</v>
      </c>
      <c r="AS22" s="30">
        <v>7.0556380015100624E-3</v>
      </c>
      <c r="AT22" s="33">
        <v>29303</v>
      </c>
      <c r="AU22" s="34">
        <v>76.3</v>
      </c>
      <c r="AV22" s="29" t="s">
        <v>52</v>
      </c>
      <c r="AW22" s="29">
        <f t="shared" si="0"/>
        <v>-1563</v>
      </c>
      <c r="AX22" s="9">
        <f t="shared" si="1"/>
        <v>0.47333037572944747</v>
      </c>
      <c r="AY22" s="9">
        <f t="shared" si="2"/>
        <v>0</v>
      </c>
      <c r="AZ22" s="9">
        <f t="shared" si="3"/>
        <v>0.52666962427055253</v>
      </c>
    </row>
    <row r="23" spans="1:54" x14ac:dyDescent="0.35">
      <c r="A23" s="39" t="s">
        <v>680</v>
      </c>
      <c r="B23" s="39" t="s">
        <v>776</v>
      </c>
      <c r="C23" s="39" t="s">
        <v>786</v>
      </c>
      <c r="D23" s="39"/>
      <c r="E23" s="39"/>
      <c r="F23" s="39"/>
      <c r="G23" s="39"/>
      <c r="H23" s="39"/>
      <c r="I23" s="39"/>
      <c r="J23" s="39" t="s">
        <v>788</v>
      </c>
      <c r="K23" s="39" t="s">
        <v>68</v>
      </c>
      <c r="L23" s="39">
        <v>54</v>
      </c>
      <c r="M23" s="39" t="s">
        <v>65</v>
      </c>
      <c r="N23" s="39" t="s">
        <v>61</v>
      </c>
      <c r="O23" s="39">
        <v>9556</v>
      </c>
      <c r="P23" s="39" t="s">
        <v>787</v>
      </c>
      <c r="Q23" s="39" t="s">
        <v>50</v>
      </c>
      <c r="R23" s="39">
        <v>45</v>
      </c>
      <c r="S23" s="39" t="s">
        <v>65</v>
      </c>
      <c r="T23" s="39" t="s">
        <v>61</v>
      </c>
      <c r="U23" s="39">
        <v>9432</v>
      </c>
      <c r="V23" s="39"/>
      <c r="W23" s="39"/>
      <c r="X23" s="39"/>
      <c r="Y23" s="39"/>
      <c r="Z23" s="39"/>
      <c r="AA23" s="39"/>
      <c r="AB23" s="39"/>
      <c r="AC23" s="39"/>
      <c r="AD23" s="39"/>
      <c r="AE23" s="39"/>
      <c r="AF23" s="39"/>
      <c r="AG23" s="39"/>
      <c r="AH23" s="39">
        <v>26095</v>
      </c>
      <c r="AI23" s="39">
        <v>16644</v>
      </c>
      <c r="AJ23" s="39">
        <v>7236</v>
      </c>
      <c r="AK23" s="39">
        <v>1979</v>
      </c>
      <c r="AL23" s="39">
        <v>24</v>
      </c>
      <c r="AM23" s="39">
        <v>12</v>
      </c>
      <c r="AN23" s="39">
        <v>5</v>
      </c>
      <c r="AO23" s="39">
        <v>195</v>
      </c>
      <c r="AP23" s="40">
        <v>0.63782333780417699</v>
      </c>
      <c r="AQ23" s="40">
        <v>0.27729450086223412</v>
      </c>
      <c r="AR23" s="40">
        <v>7.5838283196014558E-2</v>
      </c>
      <c r="AS23" s="40">
        <v>9.0438781375742471E-3</v>
      </c>
      <c r="AT23" s="41">
        <v>18988</v>
      </c>
      <c r="AU23" s="42">
        <v>72.8</v>
      </c>
      <c r="AV23" s="39" t="s">
        <v>68</v>
      </c>
      <c r="AW23" s="39">
        <f t="shared" si="0"/>
        <v>124</v>
      </c>
      <c r="AX23" s="9">
        <f t="shared" si="1"/>
        <v>0</v>
      </c>
      <c r="AY23" s="9">
        <f t="shared" si="2"/>
        <v>0.50326522013903519</v>
      </c>
      <c r="AZ23" s="9">
        <f t="shared" si="3"/>
        <v>0.49673477986096481</v>
      </c>
    </row>
    <row r="24" spans="1:54" x14ac:dyDescent="0.35">
      <c r="A24" s="2" t="s">
        <v>680</v>
      </c>
      <c r="B24" s="2" t="s">
        <v>789</v>
      </c>
      <c r="C24" s="2" t="s">
        <v>790</v>
      </c>
      <c r="D24" s="2" t="s">
        <v>791</v>
      </c>
      <c r="E24" s="2" t="s">
        <v>49</v>
      </c>
      <c r="F24" s="2">
        <v>42</v>
      </c>
      <c r="G24" s="2" t="s">
        <v>65</v>
      </c>
      <c r="H24" s="2" t="s">
        <v>61</v>
      </c>
      <c r="I24" s="2">
        <v>13257</v>
      </c>
      <c r="J24" s="2"/>
      <c r="K24" s="2"/>
      <c r="L24" s="2"/>
      <c r="M24" s="2"/>
      <c r="N24" s="2"/>
      <c r="O24" s="2"/>
      <c r="P24" s="2" t="s">
        <v>793</v>
      </c>
      <c r="Q24" s="2" t="s">
        <v>1425</v>
      </c>
      <c r="R24" s="2">
        <v>47</v>
      </c>
      <c r="S24" s="2" t="s">
        <v>65</v>
      </c>
      <c r="T24" s="2" t="s">
        <v>121</v>
      </c>
      <c r="U24" s="2">
        <v>4430</v>
      </c>
      <c r="V24" s="2" t="s">
        <v>792</v>
      </c>
      <c r="W24" s="2" t="s">
        <v>214</v>
      </c>
      <c r="X24" s="2">
        <v>65</v>
      </c>
      <c r="Y24" s="2" t="s">
        <v>60</v>
      </c>
      <c r="Z24" s="2" t="s">
        <v>121</v>
      </c>
      <c r="AA24" s="2">
        <v>518</v>
      </c>
      <c r="AB24" s="2"/>
      <c r="AC24" s="2"/>
      <c r="AD24" s="2"/>
      <c r="AE24" s="2"/>
      <c r="AF24" s="2"/>
      <c r="AG24" s="2"/>
      <c r="AH24" s="2">
        <v>29477</v>
      </c>
      <c r="AI24" s="2">
        <v>7636</v>
      </c>
      <c r="AJ24" s="2">
        <v>17526</v>
      </c>
      <c r="AK24" s="2">
        <v>3562</v>
      </c>
      <c r="AL24" s="2">
        <v>67</v>
      </c>
      <c r="AM24" s="2">
        <v>54</v>
      </c>
      <c r="AN24" s="2">
        <v>3</v>
      </c>
      <c r="AO24" s="2">
        <v>629</v>
      </c>
      <c r="AP24" s="20">
        <v>0.25904942836788003</v>
      </c>
      <c r="AQ24" s="20">
        <v>0.5945652542660379</v>
      </c>
      <c r="AR24" s="20">
        <v>0.12083997693116667</v>
      </c>
      <c r="AS24" s="20">
        <v>2.5545340434915357E-2</v>
      </c>
      <c r="AT24" s="25">
        <v>18205</v>
      </c>
      <c r="AU24" s="26">
        <v>61.8</v>
      </c>
      <c r="AV24" s="2" t="s">
        <v>49</v>
      </c>
      <c r="AW24" s="2">
        <f t="shared" si="0"/>
        <v>8827</v>
      </c>
      <c r="AX24" s="9">
        <f t="shared" si="1"/>
        <v>0.72820653666575119</v>
      </c>
      <c r="AY24" s="9">
        <f t="shared" si="2"/>
        <v>0</v>
      </c>
      <c r="AZ24" s="9">
        <f t="shared" si="3"/>
        <v>0.24333974182916782</v>
      </c>
    </row>
    <row r="25" spans="1:54" x14ac:dyDescent="0.35">
      <c r="A25" s="2" t="s">
        <v>680</v>
      </c>
      <c r="B25" s="2" t="s">
        <v>789</v>
      </c>
      <c r="C25" s="2" t="s">
        <v>794</v>
      </c>
      <c r="D25" s="2" t="s">
        <v>798</v>
      </c>
      <c r="E25" s="2" t="s">
        <v>49</v>
      </c>
      <c r="F25" s="2">
        <v>64</v>
      </c>
      <c r="G25" s="2" t="s">
        <v>65</v>
      </c>
      <c r="H25" s="2" t="s">
        <v>121</v>
      </c>
      <c r="I25" s="2">
        <v>8996</v>
      </c>
      <c r="J25" s="2"/>
      <c r="K25" s="2"/>
      <c r="L25" s="2"/>
      <c r="M25" s="2"/>
      <c r="N25" s="2"/>
      <c r="O25" s="2"/>
      <c r="P25" s="2" t="s">
        <v>796</v>
      </c>
      <c r="Q25" s="2" t="s">
        <v>1425</v>
      </c>
      <c r="R25" s="2">
        <v>29</v>
      </c>
      <c r="S25" s="2" t="s">
        <v>65</v>
      </c>
      <c r="T25" s="2" t="s">
        <v>121</v>
      </c>
      <c r="U25" s="2">
        <v>1073</v>
      </c>
      <c r="V25" s="2" t="s">
        <v>795</v>
      </c>
      <c r="W25" s="2" t="s">
        <v>214</v>
      </c>
      <c r="X25" s="2">
        <v>66</v>
      </c>
      <c r="Y25" s="2" t="s">
        <v>65</v>
      </c>
      <c r="Z25" s="2" t="s">
        <v>121</v>
      </c>
      <c r="AA25" s="2">
        <v>437</v>
      </c>
      <c r="AB25" s="2"/>
      <c r="AC25" s="2"/>
      <c r="AD25" s="2"/>
      <c r="AE25" s="2"/>
      <c r="AF25" s="2"/>
      <c r="AG25" s="2"/>
      <c r="AH25" s="2">
        <v>15371</v>
      </c>
      <c r="AI25" s="2">
        <v>1518</v>
      </c>
      <c r="AJ25" s="2">
        <v>12302</v>
      </c>
      <c r="AK25" s="2">
        <v>1439</v>
      </c>
      <c r="AL25" s="2">
        <v>30</v>
      </c>
      <c r="AM25" s="2">
        <v>11</v>
      </c>
      <c r="AN25" s="2">
        <v>0</v>
      </c>
      <c r="AO25" s="2">
        <v>71</v>
      </c>
      <c r="AP25" s="20">
        <v>9.8757400299264844E-2</v>
      </c>
      <c r="AQ25" s="20">
        <v>0.80033829939496459</v>
      </c>
      <c r="AR25" s="20">
        <v>9.3617851798841981E-2</v>
      </c>
      <c r="AS25" s="20">
        <v>7.2864485069286319E-3</v>
      </c>
      <c r="AT25" s="25">
        <v>10506</v>
      </c>
      <c r="AU25" s="26">
        <v>68.3</v>
      </c>
      <c r="AV25" s="2" t="s">
        <v>49</v>
      </c>
      <c r="AW25" s="2">
        <f t="shared" si="0"/>
        <v>7923</v>
      </c>
      <c r="AX25" s="9">
        <f t="shared" si="1"/>
        <v>0.85627260612983058</v>
      </c>
      <c r="AY25" s="9">
        <f t="shared" si="2"/>
        <v>0</v>
      </c>
      <c r="AZ25" s="9">
        <f t="shared" si="3"/>
        <v>0.1021321149819151</v>
      </c>
    </row>
    <row r="26" spans="1:54" x14ac:dyDescent="0.35">
      <c r="A26" s="17" t="s">
        <v>680</v>
      </c>
      <c r="B26" s="17" t="s">
        <v>789</v>
      </c>
      <c r="C26" s="17" t="s">
        <v>799</v>
      </c>
      <c r="D26" s="17" t="s">
        <v>802</v>
      </c>
      <c r="E26" s="17" t="s">
        <v>51</v>
      </c>
      <c r="F26" s="17">
        <v>38</v>
      </c>
      <c r="G26" s="17" t="s">
        <v>65</v>
      </c>
      <c r="H26" s="17" t="s">
        <v>121</v>
      </c>
      <c r="I26" s="17">
        <v>14159</v>
      </c>
      <c r="J26" s="17"/>
      <c r="K26" s="17"/>
      <c r="L26" s="17"/>
      <c r="M26" s="17"/>
      <c r="N26" s="17"/>
      <c r="O26" s="17"/>
      <c r="P26" s="17" t="s">
        <v>801</v>
      </c>
      <c r="Q26" s="17" t="s">
        <v>1425</v>
      </c>
      <c r="R26" s="17">
        <v>28</v>
      </c>
      <c r="S26" s="17" t="s">
        <v>65</v>
      </c>
      <c r="T26" s="17" t="s">
        <v>121</v>
      </c>
      <c r="U26" s="17">
        <v>1204</v>
      </c>
      <c r="V26" s="17" t="s">
        <v>800</v>
      </c>
      <c r="W26" s="17" t="s">
        <v>64</v>
      </c>
      <c r="X26" s="17">
        <v>34</v>
      </c>
      <c r="Y26" s="17" t="s">
        <v>65</v>
      </c>
      <c r="Z26" s="17" t="s">
        <v>61</v>
      </c>
      <c r="AA26" s="17">
        <v>757</v>
      </c>
      <c r="AB26" s="17"/>
      <c r="AC26" s="17"/>
      <c r="AD26" s="17"/>
      <c r="AE26" s="17"/>
      <c r="AF26" s="17"/>
      <c r="AG26" s="17"/>
      <c r="AH26" s="17">
        <v>24532</v>
      </c>
      <c r="AI26" s="17">
        <v>1759</v>
      </c>
      <c r="AJ26" s="17">
        <v>18393</v>
      </c>
      <c r="AK26" s="17">
        <v>4152</v>
      </c>
      <c r="AL26" s="17">
        <v>12</v>
      </c>
      <c r="AM26" s="17">
        <v>13</v>
      </c>
      <c r="AN26" s="17">
        <v>0</v>
      </c>
      <c r="AO26" s="17">
        <v>203</v>
      </c>
      <c r="AP26" s="18">
        <v>7.170226642752324E-2</v>
      </c>
      <c r="AQ26" s="18">
        <v>0.74975542149029839</v>
      </c>
      <c r="AR26" s="18">
        <v>0.16924832871351703</v>
      </c>
      <c r="AS26" s="18">
        <v>9.2939833686613398E-3</v>
      </c>
      <c r="AT26" s="27">
        <v>16120</v>
      </c>
      <c r="AU26" s="28">
        <v>65.7</v>
      </c>
      <c r="AV26" s="17" t="s">
        <v>51</v>
      </c>
      <c r="AW26" s="17">
        <f t="shared" si="0"/>
        <v>12955</v>
      </c>
      <c r="AX26" s="9">
        <f t="shared" si="1"/>
        <v>0.87834987593052105</v>
      </c>
      <c r="AY26" s="9">
        <f t="shared" si="2"/>
        <v>0</v>
      </c>
      <c r="AZ26" s="9">
        <f t="shared" si="3"/>
        <v>7.4689826302729523E-2</v>
      </c>
    </row>
    <row r="27" spans="1:54" x14ac:dyDescent="0.35">
      <c r="A27" s="2" t="s">
        <v>680</v>
      </c>
      <c r="B27" s="2" t="s">
        <v>789</v>
      </c>
      <c r="C27" s="2" t="s">
        <v>803</v>
      </c>
      <c r="D27" s="2" t="s">
        <v>805</v>
      </c>
      <c r="E27" s="2" t="s">
        <v>49</v>
      </c>
      <c r="F27" s="2">
        <v>42</v>
      </c>
      <c r="G27" s="2" t="s">
        <v>65</v>
      </c>
      <c r="H27" s="2" t="s">
        <v>121</v>
      </c>
      <c r="I27" s="2">
        <v>11577</v>
      </c>
      <c r="J27" s="2"/>
      <c r="K27" s="2"/>
      <c r="L27" s="2"/>
      <c r="M27" s="2"/>
      <c r="N27" s="2"/>
      <c r="O27" s="2"/>
      <c r="P27" s="2" t="s">
        <v>807</v>
      </c>
      <c r="Q27" s="2" t="s">
        <v>1425</v>
      </c>
      <c r="R27" s="2">
        <v>44</v>
      </c>
      <c r="S27" s="2" t="s">
        <v>65</v>
      </c>
      <c r="T27" s="2" t="s">
        <v>121</v>
      </c>
      <c r="U27" s="2">
        <v>1808</v>
      </c>
      <c r="V27" s="2" t="s">
        <v>804</v>
      </c>
      <c r="W27" s="2" t="s">
        <v>214</v>
      </c>
      <c r="X27" s="2">
        <v>58</v>
      </c>
      <c r="Y27" s="2" t="s">
        <v>60</v>
      </c>
      <c r="Z27" s="2" t="s">
        <v>121</v>
      </c>
      <c r="AA27" s="2">
        <v>220</v>
      </c>
      <c r="AB27" s="2"/>
      <c r="AC27" s="2"/>
      <c r="AD27" s="2"/>
      <c r="AE27" s="2"/>
      <c r="AF27" s="2"/>
      <c r="AG27" s="2"/>
      <c r="AH27" s="2">
        <v>23257</v>
      </c>
      <c r="AI27" s="2">
        <v>3189</v>
      </c>
      <c r="AJ27" s="2">
        <v>17498</v>
      </c>
      <c r="AK27" s="2">
        <v>1999</v>
      </c>
      <c r="AL27" s="2">
        <v>100</v>
      </c>
      <c r="AM27" s="2">
        <v>72</v>
      </c>
      <c r="AN27" s="2">
        <v>4</v>
      </c>
      <c r="AO27" s="2">
        <v>395</v>
      </c>
      <c r="AP27" s="20">
        <v>0.13712000687964915</v>
      </c>
      <c r="AQ27" s="20">
        <v>0.75237562884292897</v>
      </c>
      <c r="AR27" s="20">
        <v>8.5952616416562752E-2</v>
      </c>
      <c r="AS27" s="20">
        <v>2.4551747860859095E-2</v>
      </c>
      <c r="AT27" s="25">
        <v>13605</v>
      </c>
      <c r="AU27" s="26">
        <v>58.5</v>
      </c>
      <c r="AV27" s="2" t="s">
        <v>49</v>
      </c>
      <c r="AW27" s="2">
        <f t="shared" si="0"/>
        <v>9769</v>
      </c>
      <c r="AX27" s="9">
        <f t="shared" si="1"/>
        <v>0.85093715545755233</v>
      </c>
      <c r="AY27" s="9">
        <f t="shared" si="2"/>
        <v>0</v>
      </c>
      <c r="AZ27" s="9">
        <f t="shared" si="3"/>
        <v>0.13289231900036752</v>
      </c>
    </row>
    <row r="28" spans="1:54" x14ac:dyDescent="0.35">
      <c r="A28" s="2" t="s">
        <v>680</v>
      </c>
      <c r="B28" s="2" t="s">
        <v>809</v>
      </c>
      <c r="C28" s="2" t="s">
        <v>810</v>
      </c>
      <c r="D28" s="2" t="s">
        <v>812</v>
      </c>
      <c r="E28" s="2" t="s">
        <v>49</v>
      </c>
      <c r="F28" s="2">
        <v>66</v>
      </c>
      <c r="G28" s="2" t="s">
        <v>65</v>
      </c>
      <c r="H28" s="2" t="s">
        <v>121</v>
      </c>
      <c r="I28" s="2">
        <v>8261</v>
      </c>
      <c r="J28" s="2"/>
      <c r="K28" s="2"/>
      <c r="L28" s="2"/>
      <c r="M28" s="2"/>
      <c r="N28" s="2"/>
      <c r="O28" s="2"/>
      <c r="P28" s="2" t="s">
        <v>811</v>
      </c>
      <c r="Q28" s="2" t="s">
        <v>1425</v>
      </c>
      <c r="R28" s="2">
        <v>60</v>
      </c>
      <c r="S28" s="2" t="s">
        <v>65</v>
      </c>
      <c r="T28" s="2" t="s">
        <v>121</v>
      </c>
      <c r="U28" s="2">
        <v>1145</v>
      </c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>
        <v>15165</v>
      </c>
      <c r="AI28" s="2">
        <v>1217</v>
      </c>
      <c r="AJ28" s="2">
        <v>11003</v>
      </c>
      <c r="AK28" s="2">
        <v>2808</v>
      </c>
      <c r="AL28" s="2">
        <v>13</v>
      </c>
      <c r="AM28" s="2">
        <v>11</v>
      </c>
      <c r="AN28" s="2">
        <v>0</v>
      </c>
      <c r="AO28" s="2">
        <v>113</v>
      </c>
      <c r="AP28" s="20">
        <v>8.0250576986482025E-2</v>
      </c>
      <c r="AQ28" s="20">
        <v>0.72555225848994398</v>
      </c>
      <c r="AR28" s="20">
        <v>0.18516320474777448</v>
      </c>
      <c r="AS28" s="20">
        <v>9.0339597757995386E-3</v>
      </c>
      <c r="AT28" s="25">
        <v>9406</v>
      </c>
      <c r="AU28" s="26">
        <v>62</v>
      </c>
      <c r="AV28" s="2" t="s">
        <v>49</v>
      </c>
      <c r="AW28" s="2">
        <f t="shared" si="0"/>
        <v>7116</v>
      </c>
      <c r="AX28" s="9">
        <f t="shared" si="1"/>
        <v>0.87826918987880076</v>
      </c>
      <c r="AY28" s="9">
        <f t="shared" si="2"/>
        <v>0</v>
      </c>
      <c r="AZ28" s="9">
        <f t="shared" si="3"/>
        <v>0.12173081012119924</v>
      </c>
    </row>
    <row r="29" spans="1:54" x14ac:dyDescent="0.35">
      <c r="A29" s="2" t="s">
        <v>680</v>
      </c>
      <c r="B29" s="2" t="s">
        <v>809</v>
      </c>
      <c r="C29" s="2" t="s">
        <v>813</v>
      </c>
      <c r="D29" s="2" t="s">
        <v>816</v>
      </c>
      <c r="E29" s="2" t="s">
        <v>49</v>
      </c>
      <c r="F29" s="2">
        <v>36</v>
      </c>
      <c r="G29" s="2" t="s">
        <v>65</v>
      </c>
      <c r="H29" s="2" t="s">
        <v>121</v>
      </c>
      <c r="I29" s="2">
        <v>14921</v>
      </c>
      <c r="J29" s="2"/>
      <c r="K29" s="2"/>
      <c r="L29" s="2"/>
      <c r="M29" s="2"/>
      <c r="N29" s="2"/>
      <c r="O29" s="2"/>
      <c r="P29" s="2" t="s">
        <v>814</v>
      </c>
      <c r="Q29" s="2" t="s">
        <v>1425</v>
      </c>
      <c r="R29" s="2">
        <v>57</v>
      </c>
      <c r="S29" s="2" t="s">
        <v>65</v>
      </c>
      <c r="T29" s="2" t="s">
        <v>195</v>
      </c>
      <c r="U29" s="2">
        <v>845</v>
      </c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>
        <v>21568</v>
      </c>
      <c r="AI29" s="2">
        <v>443</v>
      </c>
      <c r="AJ29" s="2">
        <v>19263</v>
      </c>
      <c r="AK29" s="2">
        <v>1770</v>
      </c>
      <c r="AL29" s="2">
        <v>11</v>
      </c>
      <c r="AM29" s="2">
        <v>8</v>
      </c>
      <c r="AN29" s="2">
        <v>0</v>
      </c>
      <c r="AO29" s="2">
        <v>73</v>
      </c>
      <c r="AP29" s="20">
        <v>2.0539688427299703E-2</v>
      </c>
      <c r="AQ29" s="20">
        <v>0.89312870919881304</v>
      </c>
      <c r="AR29" s="20">
        <v>8.206602373887241E-2</v>
      </c>
      <c r="AS29" s="20">
        <v>4.2655786350148366E-3</v>
      </c>
      <c r="AT29" s="25">
        <v>15766</v>
      </c>
      <c r="AU29" s="26">
        <v>73.099999999999994</v>
      </c>
      <c r="AV29" s="2" t="s">
        <v>49</v>
      </c>
      <c r="AW29" s="2">
        <f t="shared" si="0"/>
        <v>14076</v>
      </c>
      <c r="AX29" s="9">
        <f t="shared" si="1"/>
        <v>0.94640365343143473</v>
      </c>
      <c r="AY29" s="9">
        <f t="shared" si="2"/>
        <v>0</v>
      </c>
      <c r="AZ29" s="9">
        <f t="shared" si="3"/>
        <v>5.3596346568565267E-2</v>
      </c>
    </row>
    <row r="30" spans="1:54" x14ac:dyDescent="0.35">
      <c r="A30" s="2" t="s">
        <v>680</v>
      </c>
      <c r="B30" s="2" t="s">
        <v>809</v>
      </c>
      <c r="C30" s="2" t="s">
        <v>817</v>
      </c>
      <c r="D30" s="2" t="s">
        <v>819</v>
      </c>
      <c r="E30" s="2" t="s">
        <v>49</v>
      </c>
      <c r="F30" s="2">
        <v>44</v>
      </c>
      <c r="G30" s="2" t="s">
        <v>65</v>
      </c>
      <c r="H30" s="2" t="s">
        <v>121</v>
      </c>
      <c r="I30" s="2">
        <v>9279</v>
      </c>
      <c r="J30" s="2"/>
      <c r="K30" s="2"/>
      <c r="L30" s="2"/>
      <c r="M30" s="2"/>
      <c r="N30" s="2"/>
      <c r="O30" s="2"/>
      <c r="P30" s="2" t="s">
        <v>818</v>
      </c>
      <c r="Q30" s="2" t="s">
        <v>50</v>
      </c>
      <c r="R30" s="2">
        <v>47</v>
      </c>
      <c r="S30" s="2" t="s">
        <v>65</v>
      </c>
      <c r="T30" s="2" t="s">
        <v>121</v>
      </c>
      <c r="U30" s="2">
        <v>1435</v>
      </c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>
        <v>15532</v>
      </c>
      <c r="AI30" s="2">
        <v>1898</v>
      </c>
      <c r="AJ30" s="2">
        <v>12076</v>
      </c>
      <c r="AK30" s="2">
        <v>1378</v>
      </c>
      <c r="AL30" s="2">
        <v>48</v>
      </c>
      <c r="AM30" s="2">
        <v>41</v>
      </c>
      <c r="AN30" s="2">
        <v>0</v>
      </c>
      <c r="AO30" s="2">
        <v>91</v>
      </c>
      <c r="AP30" s="20">
        <v>0.12219933041462787</v>
      </c>
      <c r="AQ30" s="20">
        <v>0.77749163018284828</v>
      </c>
      <c r="AR30" s="20">
        <v>8.8720061807880501E-2</v>
      </c>
      <c r="AS30" s="20">
        <v>1.1588977594643318E-2</v>
      </c>
      <c r="AT30" s="25">
        <v>10714</v>
      </c>
      <c r="AU30" s="26">
        <v>69</v>
      </c>
      <c r="AV30" s="2" t="s">
        <v>49</v>
      </c>
      <c r="AW30" s="2">
        <f t="shared" si="0"/>
        <v>7844</v>
      </c>
      <c r="AX30" s="9">
        <f t="shared" si="1"/>
        <v>0.86606309501586709</v>
      </c>
      <c r="AY30" s="9">
        <f t="shared" si="2"/>
        <v>0</v>
      </c>
      <c r="AZ30" s="9">
        <f t="shared" si="3"/>
        <v>0.13393690498413291</v>
      </c>
    </row>
    <row r="31" spans="1:54" x14ac:dyDescent="0.35">
      <c r="A31" s="2" t="s">
        <v>680</v>
      </c>
      <c r="B31" s="2" t="s">
        <v>820</v>
      </c>
      <c r="C31" s="2" t="s">
        <v>821</v>
      </c>
      <c r="D31" s="2" t="s">
        <v>822</v>
      </c>
      <c r="E31" s="2" t="s">
        <v>49</v>
      </c>
      <c r="F31" s="2">
        <v>53</v>
      </c>
      <c r="G31" s="2" t="s">
        <v>65</v>
      </c>
      <c r="H31" s="2" t="s">
        <v>195</v>
      </c>
      <c r="I31" s="2">
        <v>13398</v>
      </c>
      <c r="J31" s="2"/>
      <c r="K31" s="2"/>
      <c r="L31" s="2"/>
      <c r="M31" s="2"/>
      <c r="N31" s="2"/>
      <c r="O31" s="2"/>
      <c r="P31" s="2" t="s">
        <v>823</v>
      </c>
      <c r="Q31" s="2" t="s">
        <v>1425</v>
      </c>
      <c r="R31" s="2">
        <v>43</v>
      </c>
      <c r="S31" s="2" t="s">
        <v>60</v>
      </c>
      <c r="T31" s="2" t="s">
        <v>121</v>
      </c>
      <c r="U31" s="2">
        <v>5054</v>
      </c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>
        <v>26791</v>
      </c>
      <c r="AI31" s="2">
        <v>7233</v>
      </c>
      <c r="AJ31" s="2">
        <v>14853</v>
      </c>
      <c r="AK31" s="2">
        <v>4430</v>
      </c>
      <c r="AL31" s="2">
        <v>78</v>
      </c>
      <c r="AM31" s="2">
        <v>36</v>
      </c>
      <c r="AN31" s="2">
        <v>1</v>
      </c>
      <c r="AO31" s="2">
        <v>160</v>
      </c>
      <c r="AP31" s="20">
        <v>0.26997872419842484</v>
      </c>
      <c r="AQ31" s="20">
        <v>0.55440259788735025</v>
      </c>
      <c r="AR31" s="20">
        <v>0.16535403680340413</v>
      </c>
      <c r="AS31" s="20">
        <v>1.0264641110820798E-2</v>
      </c>
      <c r="AT31" s="25">
        <v>18452</v>
      </c>
      <c r="AU31" s="26">
        <v>68.900000000000006</v>
      </c>
      <c r="AV31" s="2" t="s">
        <v>49</v>
      </c>
      <c r="AW31" s="2">
        <f t="shared" si="0"/>
        <v>8344</v>
      </c>
      <c r="AX31" s="9">
        <f t="shared" si="1"/>
        <v>0.72610015174506826</v>
      </c>
      <c r="AY31" s="9">
        <f t="shared" si="2"/>
        <v>0</v>
      </c>
      <c r="AZ31" s="9">
        <f t="shared" si="3"/>
        <v>0.27389984825493169</v>
      </c>
    </row>
    <row r="32" spans="1:54" x14ac:dyDescent="0.35">
      <c r="A32" s="2" t="s">
        <v>680</v>
      </c>
      <c r="B32" s="2" t="s">
        <v>820</v>
      </c>
      <c r="C32" s="2" t="s">
        <v>824</v>
      </c>
      <c r="D32" s="2" t="s">
        <v>827</v>
      </c>
      <c r="E32" s="2" t="s">
        <v>49</v>
      </c>
      <c r="F32" s="2">
        <v>54</v>
      </c>
      <c r="G32" s="2" t="s">
        <v>60</v>
      </c>
      <c r="H32" s="2" t="s">
        <v>121</v>
      </c>
      <c r="I32" s="2">
        <v>16026</v>
      </c>
      <c r="J32" s="2"/>
      <c r="K32" s="2"/>
      <c r="L32" s="2"/>
      <c r="M32" s="2"/>
      <c r="N32" s="2"/>
      <c r="O32" s="2"/>
      <c r="P32" s="2" t="s">
        <v>828</v>
      </c>
      <c r="Q32" s="2" t="s">
        <v>1425</v>
      </c>
      <c r="R32" s="2">
        <v>64</v>
      </c>
      <c r="S32" s="2" t="s">
        <v>65</v>
      </c>
      <c r="T32" s="2" t="s">
        <v>121</v>
      </c>
      <c r="U32" s="2">
        <v>7738</v>
      </c>
      <c r="V32" s="2" t="s">
        <v>829</v>
      </c>
      <c r="W32" s="2" t="s">
        <v>214</v>
      </c>
      <c r="X32" s="2">
        <v>59</v>
      </c>
      <c r="Y32" s="2" t="s">
        <v>65</v>
      </c>
      <c r="Z32" s="2" t="s">
        <v>61</v>
      </c>
      <c r="AA32" s="2">
        <v>623</v>
      </c>
      <c r="AB32" s="2" t="s">
        <v>825</v>
      </c>
      <c r="AC32" s="2" t="s">
        <v>64</v>
      </c>
      <c r="AD32" s="2">
        <v>53</v>
      </c>
      <c r="AE32" s="2" t="s">
        <v>65</v>
      </c>
      <c r="AF32" s="2" t="s">
        <v>195</v>
      </c>
      <c r="AG32" s="2">
        <v>221</v>
      </c>
      <c r="AH32" s="2">
        <v>34416</v>
      </c>
      <c r="AI32" s="2">
        <v>10559</v>
      </c>
      <c r="AJ32" s="2">
        <v>16599</v>
      </c>
      <c r="AK32" s="2">
        <v>6935</v>
      </c>
      <c r="AL32" s="2">
        <v>52</v>
      </c>
      <c r="AM32" s="2">
        <v>20</v>
      </c>
      <c r="AN32" s="2">
        <v>1</v>
      </c>
      <c r="AO32" s="2">
        <v>250</v>
      </c>
      <c r="AP32" s="20">
        <v>0.30680497443049742</v>
      </c>
      <c r="AQ32" s="20">
        <v>0.48230474198047418</v>
      </c>
      <c r="AR32" s="20">
        <v>0.2015051139005114</v>
      </c>
      <c r="AS32" s="20">
        <v>9.3851696885169696E-3</v>
      </c>
      <c r="AT32" s="25">
        <v>24608</v>
      </c>
      <c r="AU32" s="26">
        <v>71.5</v>
      </c>
      <c r="AV32" s="2" t="s">
        <v>49</v>
      </c>
      <c r="AW32" s="2">
        <f t="shared" si="0"/>
        <v>8288</v>
      </c>
      <c r="AX32" s="9">
        <f t="shared" si="1"/>
        <v>0.65125162548764626</v>
      </c>
      <c r="AY32" s="9">
        <f t="shared" si="2"/>
        <v>0</v>
      </c>
      <c r="AZ32" s="9">
        <f t="shared" si="3"/>
        <v>0.31445058517555269</v>
      </c>
    </row>
    <row r="33" spans="1:52" x14ac:dyDescent="0.35">
      <c r="A33" s="2" t="s">
        <v>680</v>
      </c>
      <c r="B33" s="2" t="s">
        <v>820</v>
      </c>
      <c r="C33" s="2" t="s">
        <v>831</v>
      </c>
      <c r="D33" s="2" t="s">
        <v>832</v>
      </c>
      <c r="E33" s="2" t="s">
        <v>49</v>
      </c>
      <c r="F33" s="2">
        <v>54</v>
      </c>
      <c r="G33" s="2" t="s">
        <v>65</v>
      </c>
      <c r="H33" s="2" t="s">
        <v>121</v>
      </c>
      <c r="I33" s="2">
        <v>21796</v>
      </c>
      <c r="J33" s="2"/>
      <c r="K33" s="2"/>
      <c r="L33" s="2"/>
      <c r="M33" s="2"/>
      <c r="N33" s="2"/>
      <c r="O33" s="2"/>
      <c r="P33" s="2" t="s">
        <v>833</v>
      </c>
      <c r="Q33" s="2" t="s">
        <v>1425</v>
      </c>
      <c r="R33" s="2">
        <v>41</v>
      </c>
      <c r="S33" s="2" t="s">
        <v>65</v>
      </c>
      <c r="T33" s="2" t="s">
        <v>61</v>
      </c>
      <c r="U33" s="2">
        <v>1865</v>
      </c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>
        <v>33106</v>
      </c>
      <c r="AI33" s="2">
        <v>2193</v>
      </c>
      <c r="AJ33" s="2">
        <v>27915</v>
      </c>
      <c r="AK33" s="2">
        <v>2745</v>
      </c>
      <c r="AL33" s="2">
        <v>30</v>
      </c>
      <c r="AM33" s="2">
        <v>25</v>
      </c>
      <c r="AN33" s="2">
        <v>1</v>
      </c>
      <c r="AO33" s="2">
        <v>197</v>
      </c>
      <c r="AP33" s="20">
        <v>6.6241768863650088E-2</v>
      </c>
      <c r="AQ33" s="20">
        <v>0.84320062828490305</v>
      </c>
      <c r="AR33" s="20">
        <v>8.2915483598139314E-2</v>
      </c>
      <c r="AS33" s="20">
        <v>7.6421192533075574E-3</v>
      </c>
      <c r="AT33" s="25">
        <v>23661</v>
      </c>
      <c r="AU33" s="26">
        <v>71.5</v>
      </c>
      <c r="AV33" s="2" t="s">
        <v>49</v>
      </c>
      <c r="AW33" s="2">
        <f t="shared" si="0"/>
        <v>19931</v>
      </c>
      <c r="AX33" s="9">
        <f t="shared" si="1"/>
        <v>0.92117831029964925</v>
      </c>
      <c r="AY33" s="9">
        <f t="shared" si="2"/>
        <v>0</v>
      </c>
      <c r="AZ33" s="9">
        <f t="shared" si="3"/>
        <v>7.8821689700350792E-2</v>
      </c>
    </row>
    <row r="34" spans="1:52" x14ac:dyDescent="0.35">
      <c r="A34" s="2" t="s">
        <v>680</v>
      </c>
      <c r="B34" s="2" t="s">
        <v>834</v>
      </c>
      <c r="C34" s="2" t="s">
        <v>835</v>
      </c>
      <c r="D34" s="2" t="s">
        <v>838</v>
      </c>
      <c r="E34" s="2" t="s">
        <v>49</v>
      </c>
      <c r="F34" s="2">
        <v>34</v>
      </c>
      <c r="G34" s="2" t="s">
        <v>60</v>
      </c>
      <c r="H34" s="2" t="s">
        <v>121</v>
      </c>
      <c r="I34" s="2">
        <v>16384</v>
      </c>
      <c r="J34" s="2"/>
      <c r="K34" s="2"/>
      <c r="L34" s="2"/>
      <c r="M34" s="2"/>
      <c r="N34" s="2"/>
      <c r="O34" s="2"/>
      <c r="P34" s="2" t="s">
        <v>836</v>
      </c>
      <c r="Q34" s="2" t="s">
        <v>50</v>
      </c>
      <c r="R34" s="2">
        <v>64</v>
      </c>
      <c r="S34" s="2" t="s">
        <v>65</v>
      </c>
      <c r="T34" s="2" t="s">
        <v>195</v>
      </c>
      <c r="U34" s="2">
        <v>3950</v>
      </c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>
        <v>31574</v>
      </c>
      <c r="AI34" s="2">
        <v>6992</v>
      </c>
      <c r="AJ34" s="2">
        <v>20382</v>
      </c>
      <c r="AK34" s="2">
        <v>3905</v>
      </c>
      <c r="AL34" s="2">
        <v>16</v>
      </c>
      <c r="AM34" s="2">
        <v>16</v>
      </c>
      <c r="AN34" s="2">
        <v>0</v>
      </c>
      <c r="AO34" s="2">
        <v>263</v>
      </c>
      <c r="AP34" s="20">
        <v>0.221448026857541</v>
      </c>
      <c r="AQ34" s="20">
        <v>0.64553113321086975</v>
      </c>
      <c r="AR34" s="20">
        <v>0.12367770950782289</v>
      </c>
      <c r="AS34" s="20">
        <v>9.3431304237663899E-3</v>
      </c>
      <c r="AT34" s="25">
        <v>20334</v>
      </c>
      <c r="AU34" s="26">
        <v>64.400000000000006</v>
      </c>
      <c r="AV34" s="2" t="s">
        <v>49</v>
      </c>
      <c r="AW34" s="2">
        <f t="shared" si="0"/>
        <v>12434</v>
      </c>
      <c r="AX34" s="9">
        <f t="shared" si="1"/>
        <v>0.80574407396478809</v>
      </c>
      <c r="AY34" s="9">
        <f t="shared" si="2"/>
        <v>0</v>
      </c>
      <c r="AZ34" s="9">
        <f t="shared" si="3"/>
        <v>0.19425592603521197</v>
      </c>
    </row>
    <row r="35" spans="1:52" x14ac:dyDescent="0.35">
      <c r="A35" s="2" t="s">
        <v>680</v>
      </c>
      <c r="B35" s="2" t="s">
        <v>834</v>
      </c>
      <c r="C35" s="2" t="s">
        <v>840</v>
      </c>
      <c r="D35" s="2" t="s">
        <v>841</v>
      </c>
      <c r="E35" s="2" t="s">
        <v>49</v>
      </c>
      <c r="F35" s="2">
        <v>45</v>
      </c>
      <c r="G35" s="2" t="s">
        <v>65</v>
      </c>
      <c r="H35" s="2" t="s">
        <v>121</v>
      </c>
      <c r="I35" s="2">
        <v>12456</v>
      </c>
      <c r="J35" s="2"/>
      <c r="K35" s="2"/>
      <c r="L35" s="2"/>
      <c r="M35" s="2"/>
      <c r="N35" s="2"/>
      <c r="O35" s="2"/>
      <c r="P35" s="2" t="s">
        <v>842</v>
      </c>
      <c r="Q35" s="2" t="s">
        <v>1425</v>
      </c>
      <c r="R35" s="2">
        <v>75</v>
      </c>
      <c r="S35" s="2" t="s">
        <v>65</v>
      </c>
      <c r="T35" s="2" t="s">
        <v>121</v>
      </c>
      <c r="U35" s="2">
        <v>3267</v>
      </c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>
        <v>23085</v>
      </c>
      <c r="AI35" s="2">
        <v>5368</v>
      </c>
      <c r="AJ35" s="2">
        <v>14973</v>
      </c>
      <c r="AK35" s="2">
        <v>2562</v>
      </c>
      <c r="AL35" s="2">
        <v>21</v>
      </c>
      <c r="AM35" s="2">
        <v>20</v>
      </c>
      <c r="AN35" s="2">
        <v>0</v>
      </c>
      <c r="AO35" s="2">
        <v>141</v>
      </c>
      <c r="AP35" s="20">
        <v>0.2325319471518302</v>
      </c>
      <c r="AQ35" s="20">
        <v>0.64860298895386614</v>
      </c>
      <c r="AR35" s="20">
        <v>0.11098115659519169</v>
      </c>
      <c r="AS35" s="20">
        <v>7.8839072991119773E-3</v>
      </c>
      <c r="AT35" s="25">
        <v>15723</v>
      </c>
      <c r="AU35" s="26">
        <v>68.099999999999994</v>
      </c>
      <c r="AV35" s="2" t="s">
        <v>49</v>
      </c>
      <c r="AW35" s="2">
        <f t="shared" si="0"/>
        <v>9189</v>
      </c>
      <c r="AX35" s="9">
        <f t="shared" si="1"/>
        <v>0.79221522610188899</v>
      </c>
      <c r="AY35" s="9">
        <f t="shared" si="2"/>
        <v>0</v>
      </c>
      <c r="AZ35" s="9">
        <f t="shared" si="3"/>
        <v>0.20778477389811104</v>
      </c>
    </row>
    <row r="36" spans="1:52" x14ac:dyDescent="0.35">
      <c r="A36" s="2" t="s">
        <v>680</v>
      </c>
      <c r="B36" s="2" t="s">
        <v>834</v>
      </c>
      <c r="C36" s="2" t="s">
        <v>843</v>
      </c>
      <c r="D36" s="2" t="s">
        <v>844</v>
      </c>
      <c r="E36" s="2" t="s">
        <v>49</v>
      </c>
      <c r="F36" s="2">
        <v>51</v>
      </c>
      <c r="G36" s="2" t="s">
        <v>65</v>
      </c>
      <c r="H36" s="2" t="s">
        <v>121</v>
      </c>
      <c r="I36" s="2">
        <v>40530</v>
      </c>
      <c r="J36" s="2"/>
      <c r="K36" s="2"/>
      <c r="L36" s="2"/>
      <c r="M36" s="2"/>
      <c r="N36" s="2"/>
      <c r="O36" s="2"/>
      <c r="P36" s="2" t="s">
        <v>845</v>
      </c>
      <c r="Q36" s="2" t="s">
        <v>1425</v>
      </c>
      <c r="R36" s="2">
        <v>40</v>
      </c>
      <c r="S36" s="2" t="s">
        <v>65</v>
      </c>
      <c r="T36" s="2" t="s">
        <v>121</v>
      </c>
      <c r="U36" s="2">
        <v>3728</v>
      </c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>
        <v>62734</v>
      </c>
      <c r="AI36" s="2">
        <v>4867</v>
      </c>
      <c r="AJ36" s="2">
        <v>48656</v>
      </c>
      <c r="AK36" s="2">
        <v>8683</v>
      </c>
      <c r="AL36" s="2">
        <v>117</v>
      </c>
      <c r="AM36" s="2">
        <v>71</v>
      </c>
      <c r="AN36" s="2">
        <v>1</v>
      </c>
      <c r="AO36" s="2">
        <v>339</v>
      </c>
      <c r="AP36" s="20">
        <v>7.758153473395607E-2</v>
      </c>
      <c r="AQ36" s="20">
        <v>0.77559218286734466</v>
      </c>
      <c r="AR36" s="20">
        <v>0.13840979373226639</v>
      </c>
      <c r="AS36" s="20">
        <v>8.4164886664328756E-3</v>
      </c>
      <c r="AT36" s="25">
        <v>44258</v>
      </c>
      <c r="AU36" s="26">
        <v>70.5</v>
      </c>
      <c r="AV36" s="2" t="s">
        <v>49</v>
      </c>
      <c r="AW36" s="2">
        <f t="shared" si="0"/>
        <v>36802</v>
      </c>
      <c r="AX36" s="9">
        <f t="shared" si="1"/>
        <v>0.91576664105924355</v>
      </c>
      <c r="AY36" s="9">
        <f t="shared" si="2"/>
        <v>0</v>
      </c>
      <c r="AZ36" s="9">
        <f t="shared" si="3"/>
        <v>8.4233358940756467E-2</v>
      </c>
    </row>
    <row r="37" spans="1:52" x14ac:dyDescent="0.35">
      <c r="A37" s="17" t="s">
        <v>680</v>
      </c>
      <c r="B37" s="17" t="s">
        <v>847</v>
      </c>
      <c r="C37" s="17" t="s">
        <v>848</v>
      </c>
      <c r="D37" s="17" t="s">
        <v>851</v>
      </c>
      <c r="E37" s="17" t="s">
        <v>51</v>
      </c>
      <c r="F37" s="17">
        <v>37</v>
      </c>
      <c r="G37" s="17" t="s">
        <v>65</v>
      </c>
      <c r="H37" s="17" t="s">
        <v>195</v>
      </c>
      <c r="I37" s="17">
        <v>22773</v>
      </c>
      <c r="J37" s="17"/>
      <c r="K37" s="17"/>
      <c r="L37" s="17"/>
      <c r="M37" s="17"/>
      <c r="N37" s="17"/>
      <c r="O37" s="17"/>
      <c r="P37" s="17" t="s">
        <v>853</v>
      </c>
      <c r="Q37" s="17" t="s">
        <v>1425</v>
      </c>
      <c r="R37" s="17">
        <v>54</v>
      </c>
      <c r="S37" s="17" t="s">
        <v>65</v>
      </c>
      <c r="T37" s="17" t="s">
        <v>121</v>
      </c>
      <c r="U37" s="17">
        <v>6065</v>
      </c>
      <c r="V37" s="17" t="s">
        <v>849</v>
      </c>
      <c r="W37" s="17" t="s">
        <v>587</v>
      </c>
      <c r="X37" s="17">
        <v>61</v>
      </c>
      <c r="Y37" s="17" t="s">
        <v>60</v>
      </c>
      <c r="Z37" s="17" t="s">
        <v>121</v>
      </c>
      <c r="AA37" s="17">
        <v>803</v>
      </c>
      <c r="AB37" s="17"/>
      <c r="AC37" s="17"/>
      <c r="AD37" s="17"/>
      <c r="AE37" s="17"/>
      <c r="AF37" s="17"/>
      <c r="AG37" s="17"/>
      <c r="AH37" s="17">
        <v>43529</v>
      </c>
      <c r="AI37" s="17">
        <v>11074</v>
      </c>
      <c r="AJ37" s="17">
        <v>25552</v>
      </c>
      <c r="AK37" s="17">
        <v>6392</v>
      </c>
      <c r="AL37" s="17">
        <v>118</v>
      </c>
      <c r="AM37" s="17">
        <v>50</v>
      </c>
      <c r="AN37" s="17">
        <v>1</v>
      </c>
      <c r="AO37" s="17">
        <v>342</v>
      </c>
      <c r="AP37" s="18">
        <v>0.2544051092375198</v>
      </c>
      <c r="AQ37" s="18">
        <v>0.58701095821176685</v>
      </c>
      <c r="AR37" s="18">
        <v>0.14684463231408945</v>
      </c>
      <c r="AS37" s="18">
        <v>1.1739300236623861E-2</v>
      </c>
      <c r="AT37" s="27">
        <v>29641</v>
      </c>
      <c r="AU37" s="28">
        <v>68.099999999999994</v>
      </c>
      <c r="AV37" s="17" t="s">
        <v>51</v>
      </c>
      <c r="AW37" s="17">
        <f t="shared" si="0"/>
        <v>16708</v>
      </c>
      <c r="AX37" s="9">
        <f t="shared" si="1"/>
        <v>0.76829391720927098</v>
      </c>
      <c r="AY37" s="9">
        <f t="shared" si="2"/>
        <v>0</v>
      </c>
      <c r="AZ37" s="9">
        <f t="shared" si="3"/>
        <v>0.20461522890590736</v>
      </c>
    </row>
    <row r="38" spans="1:52" x14ac:dyDescent="0.35">
      <c r="A38" s="17" t="s">
        <v>680</v>
      </c>
      <c r="B38" s="17" t="s">
        <v>847</v>
      </c>
      <c r="C38" s="17" t="s">
        <v>854</v>
      </c>
      <c r="D38" s="17" t="s">
        <v>855</v>
      </c>
      <c r="E38" s="17" t="s">
        <v>51</v>
      </c>
      <c r="F38" s="17">
        <v>33</v>
      </c>
      <c r="G38" s="17" t="s">
        <v>65</v>
      </c>
      <c r="H38" s="17" t="s">
        <v>61</v>
      </c>
      <c r="I38" s="17">
        <v>14116</v>
      </c>
      <c r="J38" s="17"/>
      <c r="K38" s="17"/>
      <c r="L38" s="17"/>
      <c r="M38" s="17"/>
      <c r="N38" s="17"/>
      <c r="O38" s="17"/>
      <c r="P38" s="17" t="s">
        <v>857</v>
      </c>
      <c r="Q38" s="17" t="s">
        <v>1425</v>
      </c>
      <c r="R38" s="17">
        <v>56</v>
      </c>
      <c r="S38" s="17" t="s">
        <v>65</v>
      </c>
      <c r="T38" s="17" t="s">
        <v>121</v>
      </c>
      <c r="U38" s="17">
        <v>5519</v>
      </c>
      <c r="V38" s="17" t="s">
        <v>858</v>
      </c>
      <c r="W38" s="17" t="s">
        <v>587</v>
      </c>
      <c r="X38" s="17">
        <v>28</v>
      </c>
      <c r="Y38" s="17" t="s">
        <v>60</v>
      </c>
      <c r="Z38" s="17" t="s">
        <v>121</v>
      </c>
      <c r="AA38" s="17">
        <v>472</v>
      </c>
      <c r="AB38" s="17" t="s">
        <v>860</v>
      </c>
      <c r="AC38" s="17" t="s">
        <v>214</v>
      </c>
      <c r="AD38" s="17">
        <v>82</v>
      </c>
      <c r="AE38" s="17" t="s">
        <v>65</v>
      </c>
      <c r="AF38" s="17" t="s">
        <v>195</v>
      </c>
      <c r="AG38" s="17">
        <v>76</v>
      </c>
      <c r="AH38" s="17">
        <v>29890</v>
      </c>
      <c r="AI38" s="17">
        <v>10689</v>
      </c>
      <c r="AJ38" s="17">
        <v>15127</v>
      </c>
      <c r="AK38" s="17">
        <v>3721</v>
      </c>
      <c r="AL38" s="17">
        <v>68</v>
      </c>
      <c r="AM38" s="17">
        <v>28</v>
      </c>
      <c r="AN38" s="17">
        <v>0</v>
      </c>
      <c r="AO38" s="17">
        <v>257</v>
      </c>
      <c r="AP38" s="18">
        <v>0.35761124121779858</v>
      </c>
      <c r="AQ38" s="18">
        <v>0.50608899297423893</v>
      </c>
      <c r="AR38" s="18">
        <v>0.12448979591836734</v>
      </c>
      <c r="AS38" s="18">
        <v>1.1809969889595182E-2</v>
      </c>
      <c r="AT38" s="27">
        <v>20183</v>
      </c>
      <c r="AU38" s="28">
        <v>67.5</v>
      </c>
      <c r="AV38" s="17" t="s">
        <v>51</v>
      </c>
      <c r="AW38" s="17">
        <f t="shared" si="0"/>
        <v>8597</v>
      </c>
      <c r="AX38" s="9">
        <f t="shared" si="1"/>
        <v>0.69940048555715206</v>
      </c>
      <c r="AY38" s="9">
        <f t="shared" si="2"/>
        <v>0</v>
      </c>
      <c r="AZ38" s="9">
        <f t="shared" si="3"/>
        <v>0.27344795124609822</v>
      </c>
    </row>
    <row r="39" spans="1:52" x14ac:dyDescent="0.35">
      <c r="A39" s="17" t="s">
        <v>680</v>
      </c>
      <c r="B39" s="17" t="s">
        <v>847</v>
      </c>
      <c r="C39" s="17" t="s">
        <v>862</v>
      </c>
      <c r="D39" s="17" t="s">
        <v>864</v>
      </c>
      <c r="E39" s="17" t="s">
        <v>51</v>
      </c>
      <c r="F39" s="17">
        <v>50</v>
      </c>
      <c r="G39" s="17" t="s">
        <v>65</v>
      </c>
      <c r="H39" s="17" t="s">
        <v>61</v>
      </c>
      <c r="I39" s="17">
        <v>18939</v>
      </c>
      <c r="J39" s="17"/>
      <c r="K39" s="17"/>
      <c r="L39" s="17"/>
      <c r="M39" s="17"/>
      <c r="N39" s="17"/>
      <c r="O39" s="17"/>
      <c r="P39" s="17" t="s">
        <v>863</v>
      </c>
      <c r="Q39" s="17" t="s">
        <v>50</v>
      </c>
      <c r="R39" s="17">
        <v>59</v>
      </c>
      <c r="S39" s="17" t="s">
        <v>65</v>
      </c>
      <c r="T39" s="17" t="s">
        <v>61</v>
      </c>
      <c r="U39" s="17">
        <v>15718</v>
      </c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>
        <v>47226</v>
      </c>
      <c r="AI39" s="17">
        <v>25066</v>
      </c>
      <c r="AJ39" s="17">
        <v>17072</v>
      </c>
      <c r="AK39" s="17">
        <v>4487</v>
      </c>
      <c r="AL39" s="17">
        <v>174</v>
      </c>
      <c r="AM39" s="17">
        <v>146</v>
      </c>
      <c r="AN39" s="17">
        <v>2</v>
      </c>
      <c r="AO39" s="17">
        <v>279</v>
      </c>
      <c r="AP39" s="18">
        <v>0.53076695040867317</v>
      </c>
      <c r="AQ39" s="18">
        <v>0.36149578621945538</v>
      </c>
      <c r="AR39" s="18">
        <v>9.5011222631601236E-2</v>
      </c>
      <c r="AS39" s="18">
        <v>1.272604074027019E-2</v>
      </c>
      <c r="AT39" s="27">
        <v>34657</v>
      </c>
      <c r="AU39" s="28">
        <v>73.400000000000006</v>
      </c>
      <c r="AV39" s="17" t="s">
        <v>51</v>
      </c>
      <c r="AW39" s="17">
        <f t="shared" si="0"/>
        <v>3221</v>
      </c>
      <c r="AX39" s="9">
        <f t="shared" si="1"/>
        <v>0.5464696886631849</v>
      </c>
      <c r="AY39" s="9">
        <f t="shared" si="2"/>
        <v>0</v>
      </c>
      <c r="AZ39" s="9">
        <f t="shared" si="3"/>
        <v>0.4535303113368151</v>
      </c>
    </row>
    <row r="40" spans="1:52" x14ac:dyDescent="0.35">
      <c r="A40" s="3" t="s">
        <v>680</v>
      </c>
      <c r="B40" s="3" t="s">
        <v>866</v>
      </c>
      <c r="C40" s="3" t="s">
        <v>867</v>
      </c>
      <c r="D40" s="3" t="s">
        <v>870</v>
      </c>
      <c r="E40" s="3" t="s">
        <v>48</v>
      </c>
      <c r="F40" s="3">
        <v>48</v>
      </c>
      <c r="G40" s="3" t="s">
        <v>65</v>
      </c>
      <c r="H40" s="3" t="s">
        <v>61</v>
      </c>
      <c r="I40" s="3">
        <v>15462</v>
      </c>
      <c r="J40" s="3"/>
      <c r="K40" s="3"/>
      <c r="L40" s="3"/>
      <c r="M40" s="3"/>
      <c r="N40" s="3"/>
      <c r="O40" s="3"/>
      <c r="P40" s="3" t="s">
        <v>868</v>
      </c>
      <c r="Q40" s="3" t="s">
        <v>1425</v>
      </c>
      <c r="R40" s="3">
        <v>57</v>
      </c>
      <c r="S40" s="3" t="s">
        <v>65</v>
      </c>
      <c r="T40" s="3" t="s">
        <v>121</v>
      </c>
      <c r="U40" s="3">
        <v>13573</v>
      </c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>
        <v>39754</v>
      </c>
      <c r="AI40" s="3">
        <v>25134</v>
      </c>
      <c r="AJ40" s="3">
        <v>11988</v>
      </c>
      <c r="AK40" s="3">
        <v>2250</v>
      </c>
      <c r="AL40" s="3">
        <v>86</v>
      </c>
      <c r="AM40" s="3">
        <v>53</v>
      </c>
      <c r="AN40" s="3">
        <v>2</v>
      </c>
      <c r="AO40" s="3">
        <v>241</v>
      </c>
      <c r="AP40" s="43">
        <v>0.63223826533179051</v>
      </c>
      <c r="AQ40" s="43">
        <v>0.30155456054736629</v>
      </c>
      <c r="AR40" s="43">
        <v>5.6598078180811993E-2</v>
      </c>
      <c r="AS40" s="43">
        <v>9.6090959400311916E-3</v>
      </c>
      <c r="AT40" s="44">
        <v>29035</v>
      </c>
      <c r="AU40" s="45">
        <v>73</v>
      </c>
      <c r="AV40" s="3" t="s">
        <v>48</v>
      </c>
      <c r="AW40" s="3">
        <f t="shared" si="0"/>
        <v>1889</v>
      </c>
      <c r="AX40" s="9">
        <f t="shared" si="1"/>
        <v>0.53252970552781131</v>
      </c>
      <c r="AY40" s="9">
        <f t="shared" si="2"/>
        <v>0</v>
      </c>
      <c r="AZ40" s="9">
        <f t="shared" si="3"/>
        <v>0.46747029447218874</v>
      </c>
    </row>
    <row r="41" spans="1:52" x14ac:dyDescent="0.35">
      <c r="A41" s="29" t="s">
        <v>680</v>
      </c>
      <c r="B41" s="29" t="s">
        <v>866</v>
      </c>
      <c r="C41" s="29" t="s">
        <v>871</v>
      </c>
      <c r="D41" s="29" t="s">
        <v>872</v>
      </c>
      <c r="E41" s="29" t="s">
        <v>51</v>
      </c>
      <c r="F41" s="29">
        <v>58</v>
      </c>
      <c r="G41" s="29" t="s">
        <v>65</v>
      </c>
      <c r="H41" s="29" t="s">
        <v>61</v>
      </c>
      <c r="I41" s="29">
        <v>8483</v>
      </c>
      <c r="J41" s="29"/>
      <c r="K41" s="29"/>
      <c r="L41" s="29"/>
      <c r="M41" s="29"/>
      <c r="N41" s="29"/>
      <c r="O41" s="29"/>
      <c r="P41" s="29" t="s">
        <v>874</v>
      </c>
      <c r="Q41" s="29" t="s">
        <v>52</v>
      </c>
      <c r="R41" s="29">
        <v>61</v>
      </c>
      <c r="S41" s="29" t="s">
        <v>65</v>
      </c>
      <c r="T41" s="29" t="s">
        <v>61</v>
      </c>
      <c r="U41" s="29">
        <v>9534</v>
      </c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>
        <v>23838</v>
      </c>
      <c r="AI41" s="29">
        <v>15803</v>
      </c>
      <c r="AJ41" s="29">
        <v>6779</v>
      </c>
      <c r="AK41" s="29">
        <v>1017</v>
      </c>
      <c r="AL41" s="29">
        <v>83</v>
      </c>
      <c r="AM41" s="29">
        <v>60</v>
      </c>
      <c r="AN41" s="29">
        <v>1</v>
      </c>
      <c r="AO41" s="29">
        <v>95</v>
      </c>
      <c r="AP41" s="30">
        <v>0.66293313197415893</v>
      </c>
      <c r="AQ41" s="30">
        <v>0.28437788405067538</v>
      </c>
      <c r="AR41" s="30">
        <v>4.2662975081802168E-2</v>
      </c>
      <c r="AS41" s="30">
        <v>1.0026008893363537E-2</v>
      </c>
      <c r="AT41" s="33">
        <v>18017</v>
      </c>
      <c r="AU41" s="34">
        <v>75.599999999999994</v>
      </c>
      <c r="AV41" s="29" t="s">
        <v>52</v>
      </c>
      <c r="AW41" s="29">
        <f t="shared" si="0"/>
        <v>-1051</v>
      </c>
      <c r="AX41" s="9">
        <f t="shared" si="1"/>
        <v>0.47083310207026696</v>
      </c>
      <c r="AY41" s="9">
        <f t="shared" si="2"/>
        <v>0</v>
      </c>
      <c r="AZ41" s="9">
        <f t="shared" si="3"/>
        <v>0.52916689792973304</v>
      </c>
    </row>
    <row r="42" spans="1:52" x14ac:dyDescent="0.35">
      <c r="A42" s="35" t="s">
        <v>680</v>
      </c>
      <c r="B42" s="35" t="s">
        <v>866</v>
      </c>
      <c r="C42" s="35" t="s">
        <v>876</v>
      </c>
      <c r="D42" s="35"/>
      <c r="E42" s="35"/>
      <c r="F42" s="35"/>
      <c r="G42" s="35"/>
      <c r="H42" s="35"/>
      <c r="I42" s="35"/>
      <c r="J42" s="35" t="s">
        <v>877</v>
      </c>
      <c r="K42" s="35" t="s">
        <v>68</v>
      </c>
      <c r="L42" s="35">
        <v>35</v>
      </c>
      <c r="M42" s="35" t="s">
        <v>65</v>
      </c>
      <c r="N42" s="35" t="s">
        <v>61</v>
      </c>
      <c r="O42" s="35">
        <v>6301</v>
      </c>
      <c r="P42" s="35" t="s">
        <v>878</v>
      </c>
      <c r="Q42" s="35" t="s">
        <v>50</v>
      </c>
      <c r="R42" s="35">
        <v>63</v>
      </c>
      <c r="S42" s="35" t="s">
        <v>65</v>
      </c>
      <c r="T42" s="35" t="s">
        <v>61</v>
      </c>
      <c r="U42" s="35">
        <v>7245</v>
      </c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>
        <v>17927</v>
      </c>
      <c r="AI42" s="35">
        <v>12215</v>
      </c>
      <c r="AJ42" s="35">
        <v>4944</v>
      </c>
      <c r="AK42" s="35">
        <v>652</v>
      </c>
      <c r="AL42" s="35">
        <v>23</v>
      </c>
      <c r="AM42" s="35">
        <v>13</v>
      </c>
      <c r="AN42" s="35">
        <v>3</v>
      </c>
      <c r="AO42" s="35">
        <v>77</v>
      </c>
      <c r="AP42" s="36">
        <v>0.68137446310035144</v>
      </c>
      <c r="AQ42" s="36">
        <v>0.27578512857700677</v>
      </c>
      <c r="AR42" s="36">
        <v>3.6369721648909469E-2</v>
      </c>
      <c r="AS42" s="36">
        <v>6.4706866737323588E-3</v>
      </c>
      <c r="AT42" s="37">
        <v>13546</v>
      </c>
      <c r="AU42" s="38">
        <v>75.599999999999994</v>
      </c>
      <c r="AV42" s="35" t="s">
        <v>50</v>
      </c>
      <c r="AW42" s="35">
        <f t="shared" si="0"/>
        <v>-944</v>
      </c>
      <c r="AX42" s="9">
        <f t="shared" si="1"/>
        <v>0</v>
      </c>
      <c r="AY42" s="9">
        <f t="shared" si="2"/>
        <v>0.46515576553964272</v>
      </c>
      <c r="AZ42" s="9">
        <f t="shared" si="3"/>
        <v>0.53484423446035734</v>
      </c>
    </row>
    <row r="43" spans="1:52" x14ac:dyDescent="0.35">
      <c r="A43" s="1"/>
      <c r="B43" s="1"/>
      <c r="C43" s="1"/>
      <c r="D43" s="1"/>
      <c r="E43" s="1"/>
      <c r="F43" s="1"/>
      <c r="G43" s="1"/>
      <c r="H43" s="1"/>
      <c r="I43" s="1">
        <f>SUM(I2:I42)</f>
        <v>542123</v>
      </c>
      <c r="J43" s="1"/>
      <c r="K43" s="1"/>
      <c r="L43" s="1"/>
      <c r="M43" s="1"/>
      <c r="N43" s="1"/>
      <c r="O43" s="1">
        <f>SUM(O2:O42)</f>
        <v>54985</v>
      </c>
      <c r="P43" s="1"/>
      <c r="Q43" s="1"/>
      <c r="R43" s="1"/>
      <c r="S43" s="1"/>
      <c r="T43" s="1"/>
      <c r="U43" s="1">
        <f>SUM(U2:U42)</f>
        <v>285005</v>
      </c>
      <c r="V43" s="1"/>
      <c r="W43" s="1"/>
      <c r="X43" s="1"/>
      <c r="Y43" s="1"/>
      <c r="Z43" s="1"/>
      <c r="AA43" s="1">
        <f>SUM(AA2:AA42)</f>
        <v>4884</v>
      </c>
      <c r="AB43" s="1"/>
      <c r="AC43" s="1"/>
      <c r="AD43" s="1"/>
      <c r="AE43" s="1"/>
      <c r="AF43" s="1"/>
      <c r="AG43" s="1">
        <f>SUM(AG2:AG42)</f>
        <v>2847</v>
      </c>
      <c r="AH43" s="1">
        <v>1234198</v>
      </c>
      <c r="AI43" s="1">
        <v>472282</v>
      </c>
      <c r="AJ43" s="1">
        <v>605686</v>
      </c>
      <c r="AK43" s="1">
        <v>145581</v>
      </c>
      <c r="AL43" s="1">
        <v>2152</v>
      </c>
      <c r="AM43" s="1">
        <v>1290</v>
      </c>
      <c r="AN43" s="1">
        <v>46</v>
      </c>
      <c r="AO43" s="1">
        <v>7161</v>
      </c>
      <c r="AP43" s="9">
        <v>0.38266307351008511</v>
      </c>
      <c r="AQ43" s="9">
        <v>0.49075269932377141</v>
      </c>
      <c r="AR43" s="9">
        <v>0.11795595196232696</v>
      </c>
      <c r="AS43" s="9">
        <v>8.6282752038165673E-3</v>
      </c>
      <c r="AT43" s="23">
        <f>SUM(AT3:AT42)</f>
        <v>889854</v>
      </c>
      <c r="AU43" s="24">
        <f>100*(AT43/AH43)</f>
        <v>72.099776535045436</v>
      </c>
      <c r="AV43" s="1"/>
      <c r="AW43" s="1"/>
      <c r="AX43" s="9">
        <f t="shared" si="1"/>
        <v>0.60922690688584868</v>
      </c>
      <c r="AY43" s="9">
        <f t="shared" si="2"/>
        <v>6.1791035383332547E-2</v>
      </c>
      <c r="AZ43" s="9">
        <f t="shared" si="3"/>
        <v>0.3202828778653577</v>
      </c>
    </row>
    <row r="44" spans="1:52" x14ac:dyDescent="0.35">
      <c r="AP44" s="10"/>
      <c r="AQ44" s="10"/>
      <c r="AR44" s="10"/>
      <c r="AS44" s="10"/>
    </row>
    <row r="45" spans="1:52" x14ac:dyDescent="0.35">
      <c r="D45" t="s">
        <v>49</v>
      </c>
      <c r="E45">
        <f>COUNTIF($E$3:$E$41,D45)</f>
        <v>19</v>
      </c>
      <c r="J45" t="s">
        <v>68</v>
      </c>
      <c r="K45">
        <f>COUNTIF(K3:K42,J45)</f>
        <v>6</v>
      </c>
      <c r="P45" t="s">
        <v>50</v>
      </c>
      <c r="Q45">
        <f>COUNTIF($Q$3:$Q$42,P45)</f>
        <v>11</v>
      </c>
      <c r="AU45" s="5" t="s">
        <v>51</v>
      </c>
      <c r="AV45" s="5">
        <f>COUNTIF($AV$2:$AV$42,AU45)</f>
        <v>7</v>
      </c>
    </row>
    <row r="46" spans="1:52" x14ac:dyDescent="0.35">
      <c r="D46" t="s">
        <v>51</v>
      </c>
      <c r="E46">
        <f>COUNTIF($E$3:$E$41,D46)</f>
        <v>13</v>
      </c>
      <c r="P46" t="s">
        <v>52</v>
      </c>
      <c r="Q46">
        <f>COUNTIF($Q$3:$Q$42,P46)</f>
        <v>9</v>
      </c>
      <c r="AU46" s="5" t="s">
        <v>49</v>
      </c>
      <c r="AV46" s="5">
        <f>COUNTIF($AV$2:$AV$42,AU46)</f>
        <v>19</v>
      </c>
    </row>
    <row r="47" spans="1:52" x14ac:dyDescent="0.35">
      <c r="D47" t="s">
        <v>48</v>
      </c>
      <c r="E47">
        <f>COUNTIF($E$3:$E$41,D47)</f>
        <v>2</v>
      </c>
      <c r="P47" t="s">
        <v>1425</v>
      </c>
      <c r="Q47">
        <f>COUNTIF($Q$3:$Q$42,P47)</f>
        <v>20</v>
      </c>
      <c r="AU47" s="5" t="s">
        <v>48</v>
      </c>
      <c r="AV47" s="5">
        <f>COUNTIF($AV$2:$AV$42,AU47)</f>
        <v>1</v>
      </c>
    </row>
    <row r="48" spans="1:52" x14ac:dyDescent="0.35">
      <c r="E48">
        <f>SUM(E45:E47)</f>
        <v>34</v>
      </c>
      <c r="Q48">
        <f>SUM(Q45:Q47)</f>
        <v>40</v>
      </c>
      <c r="AU48" s="5"/>
      <c r="AV48" s="5"/>
    </row>
    <row r="49" spans="47:48" x14ac:dyDescent="0.35">
      <c r="AU49" s="5" t="s">
        <v>68</v>
      </c>
      <c r="AV49" s="5">
        <f>COUNTIF($AV$2:$AV$42,AU49)</f>
        <v>2</v>
      </c>
    </row>
    <row r="50" spans="47:48" x14ac:dyDescent="0.35">
      <c r="AU50" s="5"/>
      <c r="AV50" s="5"/>
    </row>
    <row r="51" spans="47:48" x14ac:dyDescent="0.35">
      <c r="AU51" s="5" t="s">
        <v>52</v>
      </c>
      <c r="AV51" s="5">
        <f>COUNTIF($AV$2:$AV$42,AU51)</f>
        <v>7</v>
      </c>
    </row>
    <row r="52" spans="47:48" x14ac:dyDescent="0.35">
      <c r="AU52" s="5" t="s">
        <v>50</v>
      </c>
      <c r="AV52" s="5">
        <f>COUNTIF($AV$2:$AV$42,AU52)</f>
        <v>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I68"/>
  <sheetViews>
    <sheetView workbookViewId="0">
      <pane xSplit="5" ySplit="2" topLeftCell="M3" activePane="bottomRight" state="frozen"/>
      <selection pane="topRight" activeCell="C1" sqref="C1"/>
      <selection pane="bottomLeft" activeCell="A3" sqref="A3"/>
      <selection pane="bottomRight" activeCell="E13" sqref="E13"/>
    </sheetView>
  </sheetViews>
  <sheetFormatPr defaultColWidth="8.90625" defaultRowHeight="13" x14ac:dyDescent="0.3"/>
  <cols>
    <col min="1" max="1" width="8.90625" style="5"/>
    <col min="2" max="2" width="7.6328125" style="5" bestFit="1" customWidth="1"/>
    <col min="3" max="3" width="8.36328125" style="5" bestFit="1" customWidth="1"/>
    <col min="4" max="4" width="12.90625" style="5" bestFit="1" customWidth="1"/>
    <col min="5" max="5" width="20.453125" style="5" bestFit="1" customWidth="1"/>
    <col min="6" max="6" width="38.81640625" style="5" bestFit="1" customWidth="1"/>
    <col min="7" max="7" width="8.453125" style="5" bestFit="1" customWidth="1"/>
    <col min="8" max="8" width="3.90625" style="5" bestFit="1" customWidth="1"/>
    <col min="9" max="9" width="6.1796875" style="5" bestFit="1" customWidth="1"/>
    <col min="10" max="10" width="6.81640625" style="5" bestFit="1" customWidth="1"/>
    <col min="11" max="11" width="8.81640625" style="5" bestFit="1" customWidth="1"/>
    <col min="12" max="12" width="37.453125" style="5" bestFit="1" customWidth="1"/>
    <col min="13" max="13" width="5.08984375" style="5" bestFit="1" customWidth="1"/>
    <col min="14" max="14" width="3.90625" style="5" bestFit="1" customWidth="1"/>
    <col min="15" max="15" width="6.1796875" style="5" bestFit="1" customWidth="1"/>
    <col min="16" max="16" width="5.6328125" style="5" bestFit="1" customWidth="1"/>
    <col min="17" max="17" width="8.81640625" style="5" bestFit="1" customWidth="1"/>
    <col min="18" max="18" width="44.453125" style="5" bestFit="1" customWidth="1"/>
    <col min="19" max="19" width="8.54296875" style="5" bestFit="1" customWidth="1"/>
    <col min="20" max="20" width="3.90625" style="5" bestFit="1" customWidth="1"/>
    <col min="21" max="21" width="6.1796875" style="5" bestFit="1" customWidth="1"/>
    <col min="22" max="22" width="6.81640625" style="5" bestFit="1" customWidth="1"/>
    <col min="23" max="23" width="8.81640625" style="5" bestFit="1" customWidth="1"/>
    <col min="24" max="24" width="34.08984375" style="5" bestFit="1" customWidth="1"/>
    <col min="25" max="25" width="6.08984375" style="5" bestFit="1" customWidth="1"/>
    <col min="26" max="26" width="3.90625" style="5" bestFit="1" customWidth="1"/>
    <col min="27" max="27" width="6.1796875" style="5" bestFit="1" customWidth="1"/>
    <col min="28" max="28" width="6.81640625" style="5" bestFit="1" customWidth="1"/>
    <col min="29" max="29" width="8.81640625" style="5" bestFit="1" customWidth="1"/>
    <col min="30" max="30" width="30.90625" style="5" bestFit="1" customWidth="1"/>
    <col min="31" max="31" width="5.90625" style="5" bestFit="1" customWidth="1"/>
    <col min="32" max="32" width="3.90625" style="5" bestFit="1" customWidth="1"/>
    <col min="33" max="33" width="4.81640625" style="5" bestFit="1" customWidth="1"/>
    <col min="34" max="34" width="6.81640625" style="5" bestFit="1" customWidth="1"/>
    <col min="35" max="35" width="8.81640625" style="5" bestFit="1" customWidth="1"/>
    <col min="36" max="36" width="8.36328125" style="5" bestFit="1" customWidth="1"/>
    <col min="37" max="37" width="8.453125" style="5" bestFit="1" customWidth="1"/>
    <col min="38" max="38" width="8" style="5" bestFit="1" customWidth="1"/>
    <col min="39" max="39" width="7" style="5" bestFit="1" customWidth="1"/>
    <col min="40" max="40" width="12" style="5" bestFit="1" customWidth="1"/>
    <col min="41" max="41" width="14.36328125" style="5" bestFit="1" customWidth="1"/>
    <col min="42" max="42" width="11" style="5" bestFit="1" customWidth="1"/>
    <col min="43" max="43" width="9.453125" style="5" bestFit="1" customWidth="1"/>
    <col min="44" max="47" width="6" style="5" bestFit="1" customWidth="1"/>
    <col min="48" max="48" width="8" style="49" bestFit="1" customWidth="1"/>
    <col min="49" max="49" width="8.54296875" style="46" bestFit="1" customWidth="1"/>
    <col min="50" max="50" width="12" style="5" bestFit="1" customWidth="1"/>
    <col min="51" max="51" width="14.36328125" style="46" bestFit="1" customWidth="1"/>
    <col min="52" max="54" width="6" style="46" bestFit="1" customWidth="1"/>
    <col min="55" max="55" width="14.36328125" style="46" customWidth="1"/>
    <col min="56" max="56" width="6" style="5" customWidth="1"/>
    <col min="57" max="59" width="6" style="5" bestFit="1" customWidth="1"/>
    <col min="60" max="60" width="9.54296875" style="5" bestFit="1" customWidth="1"/>
    <col min="61" max="61" width="7.54296875" style="5" bestFit="1" customWidth="1"/>
    <col min="62" max="16384" width="8.90625" style="5"/>
  </cols>
  <sheetData>
    <row r="1" spans="2:61" x14ac:dyDescent="0.3">
      <c r="BE1" s="64" t="s">
        <v>1432</v>
      </c>
      <c r="BF1" s="64"/>
      <c r="BG1" s="64"/>
      <c r="BH1" s="64"/>
      <c r="BI1" s="64"/>
    </row>
    <row r="2" spans="2:61" ht="14.5" x14ac:dyDescent="0.35">
      <c r="B2" s="4" t="s">
        <v>0</v>
      </c>
      <c r="C2" s="4" t="s">
        <v>1</v>
      </c>
      <c r="D2" s="4" t="s">
        <v>2</v>
      </c>
      <c r="E2" s="4" t="s">
        <v>1409</v>
      </c>
      <c r="F2" s="4" t="s">
        <v>1410</v>
      </c>
      <c r="G2" s="4" t="s">
        <v>1400</v>
      </c>
      <c r="H2" s="4" t="s">
        <v>1402</v>
      </c>
      <c r="I2" s="4" t="s">
        <v>1403</v>
      </c>
      <c r="J2" s="4" t="s">
        <v>1404</v>
      </c>
      <c r="K2" s="4" t="s">
        <v>1424</v>
      </c>
      <c r="L2" s="4" t="s">
        <v>1410</v>
      </c>
      <c r="M2" s="4" t="s">
        <v>1400</v>
      </c>
      <c r="N2" s="4" t="s">
        <v>1402</v>
      </c>
      <c r="O2" s="4" t="s">
        <v>1403</v>
      </c>
      <c r="P2" s="4" t="s">
        <v>1404</v>
      </c>
      <c r="Q2" s="4" t="s">
        <v>1424</v>
      </c>
      <c r="R2" s="4" t="s">
        <v>1410</v>
      </c>
      <c r="S2" s="4" t="s">
        <v>1400</v>
      </c>
      <c r="T2" s="4" t="s">
        <v>1402</v>
      </c>
      <c r="U2" s="4" t="s">
        <v>1403</v>
      </c>
      <c r="V2" s="4" t="s">
        <v>1404</v>
      </c>
      <c r="W2" s="4" t="s">
        <v>1424</v>
      </c>
      <c r="X2" s="4" t="s">
        <v>1410</v>
      </c>
      <c r="Y2" s="4" t="s">
        <v>1400</v>
      </c>
      <c r="Z2" s="4" t="s">
        <v>1402</v>
      </c>
      <c r="AA2" s="4" t="s">
        <v>1403</v>
      </c>
      <c r="AB2" s="4" t="s">
        <v>1404</v>
      </c>
      <c r="AC2" s="4" t="s">
        <v>1424</v>
      </c>
      <c r="AD2" s="4" t="s">
        <v>1410</v>
      </c>
      <c r="AE2" s="4" t="s">
        <v>1400</v>
      </c>
      <c r="AF2" s="4" t="s">
        <v>1402</v>
      </c>
      <c r="AG2" s="4" t="s">
        <v>1403</v>
      </c>
      <c r="AH2" s="4" t="s">
        <v>1404</v>
      </c>
      <c r="AI2" s="4" t="s">
        <v>1424</v>
      </c>
      <c r="AJ2" s="1" t="s">
        <v>1412</v>
      </c>
      <c r="AK2" s="1" t="s">
        <v>1413</v>
      </c>
      <c r="AL2" s="1" t="s">
        <v>1414</v>
      </c>
      <c r="AM2" s="1" t="s">
        <v>1415</v>
      </c>
      <c r="AN2" s="1" t="s">
        <v>1416</v>
      </c>
      <c r="AO2" s="1" t="s">
        <v>1417</v>
      </c>
      <c r="AP2" s="1" t="s">
        <v>1418</v>
      </c>
      <c r="AQ2" s="1" t="s">
        <v>1419</v>
      </c>
      <c r="AR2" s="1" t="s">
        <v>1420</v>
      </c>
      <c r="AS2" s="1" t="s">
        <v>1421</v>
      </c>
      <c r="AT2" s="1" t="s">
        <v>1422</v>
      </c>
      <c r="AU2" s="1" t="s">
        <v>1423</v>
      </c>
      <c r="AV2" s="21" t="s">
        <v>1433</v>
      </c>
      <c r="AW2" s="22" t="s">
        <v>1434</v>
      </c>
      <c r="AX2" s="4" t="s">
        <v>1436</v>
      </c>
      <c r="AY2" s="22" t="s">
        <v>1438</v>
      </c>
      <c r="AZ2" s="4" t="s">
        <v>1427</v>
      </c>
      <c r="BA2" s="4" t="s">
        <v>1429</v>
      </c>
      <c r="BB2" s="4" t="s">
        <v>1428</v>
      </c>
      <c r="BC2" s="22"/>
      <c r="BD2" s="1"/>
      <c r="BE2" s="4" t="s">
        <v>1427</v>
      </c>
      <c r="BF2" s="4" t="s">
        <v>1428</v>
      </c>
      <c r="BG2" s="4" t="s">
        <v>1429</v>
      </c>
      <c r="BH2" s="4" t="s">
        <v>1430</v>
      </c>
      <c r="BI2" s="4" t="s">
        <v>1431</v>
      </c>
    </row>
    <row r="3" spans="2:61" ht="14.5" x14ac:dyDescent="0.35">
      <c r="B3" s="4" t="s">
        <v>3</v>
      </c>
      <c r="C3" s="4" t="s">
        <v>4</v>
      </c>
      <c r="D3" s="4" t="s">
        <v>5</v>
      </c>
      <c r="E3" s="4" t="s">
        <v>881</v>
      </c>
      <c r="F3" s="4"/>
      <c r="G3" s="4"/>
      <c r="H3" s="4"/>
      <c r="I3" s="4"/>
      <c r="J3" s="4"/>
      <c r="K3" s="4"/>
      <c r="L3" s="4" t="s">
        <v>884</v>
      </c>
      <c r="M3" s="4" t="s">
        <v>68</v>
      </c>
      <c r="N3" s="4">
        <v>43</v>
      </c>
      <c r="O3" s="4" t="s">
        <v>65</v>
      </c>
      <c r="P3" s="4" t="s">
        <v>61</v>
      </c>
      <c r="Q3" s="4">
        <v>7870</v>
      </c>
      <c r="R3" s="4" t="s">
        <v>882</v>
      </c>
      <c r="S3" s="4" t="s">
        <v>50</v>
      </c>
      <c r="T3" s="4">
        <v>55</v>
      </c>
      <c r="U3" s="4" t="s">
        <v>65</v>
      </c>
      <c r="V3" s="4" t="s">
        <v>61</v>
      </c>
      <c r="W3" s="4">
        <v>7024</v>
      </c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1">
        <v>20026</v>
      </c>
      <c r="AK3" s="1">
        <v>16891</v>
      </c>
      <c r="AL3" s="1">
        <v>2440</v>
      </c>
      <c r="AM3" s="1">
        <v>546</v>
      </c>
      <c r="AN3" s="1">
        <v>13</v>
      </c>
      <c r="AO3" s="1">
        <v>16</v>
      </c>
      <c r="AP3" s="1">
        <v>1</v>
      </c>
      <c r="AQ3" s="1">
        <v>119</v>
      </c>
      <c r="AR3" s="9">
        <v>0.84345351043643269</v>
      </c>
      <c r="AS3" s="9">
        <v>0.12184160591231399</v>
      </c>
      <c r="AT3" s="9">
        <v>2.726455607709977E-2</v>
      </c>
      <c r="AU3" s="9">
        <v>7.4403275741536006E-3</v>
      </c>
      <c r="AV3" s="50">
        <v>14894</v>
      </c>
      <c r="AW3" s="47">
        <v>74.400000000000006</v>
      </c>
      <c r="AX3" s="9" t="s">
        <v>68</v>
      </c>
      <c r="AY3" s="50">
        <f>K3+Q3-W3</f>
        <v>846</v>
      </c>
      <c r="AZ3" s="9">
        <f>K3/AV3</f>
        <v>0</v>
      </c>
      <c r="BA3" s="9">
        <f>Q3/AV3</f>
        <v>0.52840069826775882</v>
      </c>
      <c r="BB3" s="9">
        <f>W3/AV3</f>
        <v>0.47159930173224118</v>
      </c>
      <c r="BC3" s="50"/>
      <c r="BD3" s="9"/>
      <c r="BE3" s="11">
        <v>0.20070915368106745</v>
      </c>
      <c r="BF3" s="12">
        <v>0.43500979751796209</v>
      </c>
      <c r="BG3" s="11">
        <v>0.33750116637118599</v>
      </c>
      <c r="BH3" s="13">
        <v>1.8102080806195762E-2</v>
      </c>
      <c r="BI3" s="13">
        <v>0</v>
      </c>
    </row>
    <row r="4" spans="2:61" ht="14.5" x14ac:dyDescent="0.35">
      <c r="B4" s="4" t="s">
        <v>3</v>
      </c>
      <c r="C4" s="4" t="s">
        <v>4</v>
      </c>
      <c r="D4" s="4" t="s">
        <v>5</v>
      </c>
      <c r="E4" s="4" t="s">
        <v>886</v>
      </c>
      <c r="F4" s="4" t="s">
        <v>887</v>
      </c>
      <c r="G4" s="4" t="s">
        <v>48</v>
      </c>
      <c r="H4" s="4">
        <v>54</v>
      </c>
      <c r="I4" s="4" t="s">
        <v>65</v>
      </c>
      <c r="J4" s="4" t="s">
        <v>61</v>
      </c>
      <c r="K4" s="4">
        <v>9216</v>
      </c>
      <c r="L4" s="4"/>
      <c r="M4" s="4"/>
      <c r="N4" s="4"/>
      <c r="O4" s="4"/>
      <c r="P4" s="4"/>
      <c r="Q4" s="4"/>
      <c r="R4" s="4" t="s">
        <v>889</v>
      </c>
      <c r="S4" s="4" t="s">
        <v>52</v>
      </c>
      <c r="T4" s="4">
        <v>57</v>
      </c>
      <c r="U4" s="4" t="s">
        <v>65</v>
      </c>
      <c r="V4" s="4" t="s">
        <v>61</v>
      </c>
      <c r="W4" s="4">
        <v>13431</v>
      </c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1">
        <v>31816</v>
      </c>
      <c r="AK4" s="1">
        <v>25307</v>
      </c>
      <c r="AL4" s="1">
        <v>4279</v>
      </c>
      <c r="AM4" s="1">
        <v>1983</v>
      </c>
      <c r="AN4" s="1">
        <v>40</v>
      </c>
      <c r="AO4" s="1">
        <v>31</v>
      </c>
      <c r="AP4" s="1">
        <v>3</v>
      </c>
      <c r="AQ4" s="1">
        <v>173</v>
      </c>
      <c r="AR4" s="9">
        <v>0.79541740005028916</v>
      </c>
      <c r="AS4" s="9">
        <v>0.13449207945687705</v>
      </c>
      <c r="AT4" s="9">
        <v>6.2327131003268796E-2</v>
      </c>
      <c r="AU4" s="9">
        <v>7.7633894895649987E-3</v>
      </c>
      <c r="AV4" s="50">
        <v>22647</v>
      </c>
      <c r="AW4" s="47">
        <v>71.2</v>
      </c>
      <c r="AX4" s="9" t="s">
        <v>52</v>
      </c>
      <c r="AY4" s="50">
        <f t="shared" ref="AY4:AY58" si="0">K4+Q4-W4</f>
        <v>-4215</v>
      </c>
      <c r="AZ4" s="9">
        <f t="shared" ref="AZ4:AZ59" si="1">K4/AV4</f>
        <v>0.40694131673069278</v>
      </c>
      <c r="BA4" s="9">
        <f t="shared" ref="BA4:BA59" si="2">Q4/AV4</f>
        <v>0</v>
      </c>
      <c r="BB4" s="9">
        <f t="shared" ref="BB4:BB59" si="3">W4/AV4</f>
        <v>0.59305868326930722</v>
      </c>
      <c r="BC4" s="50"/>
      <c r="BD4" s="9"/>
      <c r="BE4" s="11">
        <v>0.26022953080011357</v>
      </c>
      <c r="BF4" s="12">
        <v>0.43270205604444623</v>
      </c>
      <c r="BG4" s="11">
        <v>0.28853562593779147</v>
      </c>
      <c r="BH4" s="13">
        <v>8.5161604282412099E-3</v>
      </c>
      <c r="BI4" s="13">
        <v>0</v>
      </c>
    </row>
    <row r="5" spans="2:61" ht="14.5" x14ac:dyDescent="0.35">
      <c r="B5" s="4" t="s">
        <v>3</v>
      </c>
      <c r="C5" s="4" t="s">
        <v>6</v>
      </c>
      <c r="D5" s="4" t="s">
        <v>7</v>
      </c>
      <c r="E5" s="4" t="s">
        <v>892</v>
      </c>
      <c r="F5" s="4"/>
      <c r="G5" s="4"/>
      <c r="H5" s="4"/>
      <c r="I5" s="4"/>
      <c r="J5" s="4"/>
      <c r="K5" s="4"/>
      <c r="L5" s="4" t="s">
        <v>893</v>
      </c>
      <c r="M5" s="4" t="s">
        <v>68</v>
      </c>
      <c r="N5" s="4">
        <v>38</v>
      </c>
      <c r="O5" s="4" t="s">
        <v>65</v>
      </c>
      <c r="P5" s="4" t="s">
        <v>61</v>
      </c>
      <c r="Q5" s="4">
        <v>13401</v>
      </c>
      <c r="R5" s="4" t="s">
        <v>894</v>
      </c>
      <c r="S5" s="4" t="s">
        <v>52</v>
      </c>
      <c r="T5" s="4">
        <v>42</v>
      </c>
      <c r="U5" s="4" t="s">
        <v>65</v>
      </c>
      <c r="V5" s="4" t="s">
        <v>61</v>
      </c>
      <c r="W5" s="4">
        <v>16977</v>
      </c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1">
        <v>40786</v>
      </c>
      <c r="AK5" s="1">
        <v>33143</v>
      </c>
      <c r="AL5" s="1">
        <v>6555</v>
      </c>
      <c r="AM5" s="1">
        <v>644</v>
      </c>
      <c r="AN5" s="1">
        <v>59</v>
      </c>
      <c r="AO5" s="1">
        <v>30</v>
      </c>
      <c r="AP5" s="1">
        <v>5</v>
      </c>
      <c r="AQ5" s="1">
        <v>350</v>
      </c>
      <c r="AR5" s="9">
        <v>0.81260726719952925</v>
      </c>
      <c r="AS5" s="9">
        <v>0.16071691266611093</v>
      </c>
      <c r="AT5" s="9">
        <v>1.5789731770705633E-2</v>
      </c>
      <c r="AU5" s="9">
        <v>1.0886088363654196E-2</v>
      </c>
      <c r="AV5" s="50">
        <v>30378</v>
      </c>
      <c r="AW5" s="47">
        <v>74.5</v>
      </c>
      <c r="AX5" s="9" t="s">
        <v>52</v>
      </c>
      <c r="AY5" s="50">
        <f t="shared" si="0"/>
        <v>-3576</v>
      </c>
      <c r="AZ5" s="9">
        <f t="shared" si="1"/>
        <v>0</v>
      </c>
      <c r="BA5" s="9">
        <f t="shared" si="2"/>
        <v>0.44114161564289944</v>
      </c>
      <c r="BB5" s="9">
        <f t="shared" si="3"/>
        <v>0.55885838435710056</v>
      </c>
      <c r="BC5" s="50"/>
      <c r="BD5" s="9"/>
      <c r="BE5" s="11">
        <v>0.23875097580015614</v>
      </c>
      <c r="BF5" s="12">
        <v>0.461608118657299</v>
      </c>
      <c r="BG5" s="11">
        <v>0.28799375487900081</v>
      </c>
      <c r="BH5" s="13">
        <v>4.4340359094457455E-3</v>
      </c>
      <c r="BI5" s="13">
        <v>0</v>
      </c>
    </row>
    <row r="6" spans="2:61" ht="14.5" x14ac:dyDescent="0.35">
      <c r="B6" s="4" t="s">
        <v>3</v>
      </c>
      <c r="C6" s="4" t="s">
        <v>6</v>
      </c>
      <c r="D6" s="4" t="s">
        <v>7</v>
      </c>
      <c r="E6" s="4" t="s">
        <v>896</v>
      </c>
      <c r="F6" s="4" t="s">
        <v>898</v>
      </c>
      <c r="G6" s="4" t="s">
        <v>49</v>
      </c>
      <c r="H6" s="4">
        <v>54</v>
      </c>
      <c r="I6" s="4" t="s">
        <v>65</v>
      </c>
      <c r="J6" s="4" t="s">
        <v>121</v>
      </c>
      <c r="K6" s="4">
        <v>10232</v>
      </c>
      <c r="L6" s="4"/>
      <c r="M6" s="4"/>
      <c r="N6" s="4"/>
      <c r="O6" s="4"/>
      <c r="P6" s="4"/>
      <c r="Q6" s="4"/>
      <c r="R6" s="4" t="s">
        <v>897</v>
      </c>
      <c r="S6" s="4" t="s">
        <v>50</v>
      </c>
      <c r="T6" s="4">
        <v>51</v>
      </c>
      <c r="U6" s="4" t="s">
        <v>65</v>
      </c>
      <c r="V6" s="4" t="s">
        <v>121</v>
      </c>
      <c r="W6" s="4">
        <v>6214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1">
        <v>23936</v>
      </c>
      <c r="AK6" s="1">
        <v>10509</v>
      </c>
      <c r="AL6" s="1">
        <v>12361</v>
      </c>
      <c r="AM6" s="1">
        <v>701</v>
      </c>
      <c r="AN6" s="1">
        <v>75</v>
      </c>
      <c r="AO6" s="1">
        <v>26</v>
      </c>
      <c r="AP6" s="1">
        <v>3</v>
      </c>
      <c r="AQ6" s="1">
        <v>261</v>
      </c>
      <c r="AR6" s="9">
        <v>0.43904578877005346</v>
      </c>
      <c r="AS6" s="9">
        <v>0.51641878342245995</v>
      </c>
      <c r="AT6" s="9">
        <v>2.9286430481283422E-2</v>
      </c>
      <c r="AU6" s="9">
        <v>1.5248997326203209E-2</v>
      </c>
      <c r="AV6" s="50">
        <v>16446</v>
      </c>
      <c r="AW6" s="47">
        <v>68.7</v>
      </c>
      <c r="AX6" s="9" t="s">
        <v>49</v>
      </c>
      <c r="AY6" s="50">
        <f t="shared" si="0"/>
        <v>4018</v>
      </c>
      <c r="AZ6" s="9">
        <f t="shared" si="1"/>
        <v>0.62215736349264261</v>
      </c>
      <c r="BA6" s="9">
        <f t="shared" si="2"/>
        <v>0</v>
      </c>
      <c r="BB6" s="9">
        <f t="shared" si="3"/>
        <v>0.37784263650735739</v>
      </c>
      <c r="BC6" s="50"/>
      <c r="BD6" s="9"/>
      <c r="BE6" s="14">
        <v>0.5147853204878321</v>
      </c>
      <c r="BF6" s="11">
        <v>0.23144177757977391</v>
      </c>
      <c r="BG6" s="11">
        <v>0.24012919752742662</v>
      </c>
      <c r="BH6" s="13">
        <v>4.3437099738263627E-3</v>
      </c>
      <c r="BI6" s="13">
        <v>0</v>
      </c>
    </row>
    <row r="7" spans="2:61" ht="14.5" x14ac:dyDescent="0.35">
      <c r="B7" s="4" t="s">
        <v>3</v>
      </c>
      <c r="C7" s="4" t="s">
        <v>8</v>
      </c>
      <c r="D7" s="4" t="s">
        <v>9</v>
      </c>
      <c r="E7" s="4" t="s">
        <v>900</v>
      </c>
      <c r="F7" s="4" t="s">
        <v>901</v>
      </c>
      <c r="G7" s="4" t="s">
        <v>48</v>
      </c>
      <c r="H7" s="4">
        <v>60</v>
      </c>
      <c r="I7" s="4" t="s">
        <v>65</v>
      </c>
      <c r="J7" s="4" t="s">
        <v>61</v>
      </c>
      <c r="K7" s="4">
        <v>10049</v>
      </c>
      <c r="L7" s="4"/>
      <c r="M7" s="4"/>
      <c r="N7" s="4"/>
      <c r="O7" s="4"/>
      <c r="P7" s="4"/>
      <c r="Q7" s="4"/>
      <c r="R7" s="4" t="s">
        <v>903</v>
      </c>
      <c r="S7" s="4" t="s">
        <v>52</v>
      </c>
      <c r="T7" s="4">
        <v>36</v>
      </c>
      <c r="U7" s="4" t="s">
        <v>65</v>
      </c>
      <c r="V7" s="4" t="s">
        <v>61</v>
      </c>
      <c r="W7" s="4">
        <v>10718</v>
      </c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1">
        <v>30367</v>
      </c>
      <c r="AK7" s="1">
        <v>21272</v>
      </c>
      <c r="AL7" s="1">
        <v>4498</v>
      </c>
      <c r="AM7" s="1">
        <v>3968</v>
      </c>
      <c r="AN7" s="1">
        <v>42</v>
      </c>
      <c r="AO7" s="1">
        <v>33</v>
      </c>
      <c r="AP7" s="1">
        <v>212</v>
      </c>
      <c r="AQ7" s="1">
        <v>342</v>
      </c>
      <c r="AR7" s="9">
        <v>0.70049725030460697</v>
      </c>
      <c r="AS7" s="9">
        <v>0.1481213159021306</v>
      </c>
      <c r="AT7" s="9">
        <v>0.13066815951526328</v>
      </c>
      <c r="AU7" s="9">
        <v>2.0713274277999145E-2</v>
      </c>
      <c r="AV7" s="50">
        <v>20767</v>
      </c>
      <c r="AW7" s="47">
        <v>68.400000000000006</v>
      </c>
      <c r="AX7" s="9" t="s">
        <v>52</v>
      </c>
      <c r="AY7" s="50">
        <f t="shared" si="0"/>
        <v>-669</v>
      </c>
      <c r="AZ7" s="9">
        <f t="shared" si="1"/>
        <v>0.48389271440265808</v>
      </c>
      <c r="BA7" s="9">
        <f t="shared" si="2"/>
        <v>0</v>
      </c>
      <c r="BB7" s="9">
        <f t="shared" si="3"/>
        <v>0.51610728559734198</v>
      </c>
      <c r="BC7" s="50"/>
      <c r="BD7" s="9"/>
      <c r="BE7" s="11">
        <v>0.30266947513218417</v>
      </c>
      <c r="BF7" s="12">
        <v>0.36878304603877404</v>
      </c>
      <c r="BG7" s="11">
        <v>0.29273954348106435</v>
      </c>
      <c r="BH7" s="13">
        <v>1.1735373769505222E-2</v>
      </c>
      <c r="BI7" s="13">
        <v>1.2294201091862614E-2</v>
      </c>
    </row>
    <row r="8" spans="2:61" ht="14.5" x14ac:dyDescent="0.35">
      <c r="B8" s="4" t="s">
        <v>3</v>
      </c>
      <c r="C8" s="4" t="s">
        <v>8</v>
      </c>
      <c r="D8" s="4" t="s">
        <v>9</v>
      </c>
      <c r="E8" s="4" t="s">
        <v>905</v>
      </c>
      <c r="F8" s="4" t="s">
        <v>909</v>
      </c>
      <c r="G8" s="4" t="s">
        <v>49</v>
      </c>
      <c r="H8" s="4">
        <v>58</v>
      </c>
      <c r="I8" s="4" t="s">
        <v>60</v>
      </c>
      <c r="J8" s="4" t="s">
        <v>121</v>
      </c>
      <c r="K8" s="4">
        <v>14862</v>
      </c>
      <c r="L8" s="4"/>
      <c r="M8" s="4"/>
      <c r="N8" s="4"/>
      <c r="O8" s="4"/>
      <c r="P8" s="4"/>
      <c r="Q8" s="4"/>
      <c r="R8" s="4" t="s">
        <v>906</v>
      </c>
      <c r="S8" s="4" t="s">
        <v>1425</v>
      </c>
      <c r="T8" s="4">
        <v>44</v>
      </c>
      <c r="U8" s="4" t="s">
        <v>65</v>
      </c>
      <c r="V8" s="4" t="s">
        <v>121</v>
      </c>
      <c r="W8" s="4">
        <v>10743</v>
      </c>
      <c r="X8" s="4" t="s">
        <v>910</v>
      </c>
      <c r="Y8" s="4" t="s">
        <v>587</v>
      </c>
      <c r="Z8" s="4">
        <v>41</v>
      </c>
      <c r="AA8" s="4" t="s">
        <v>65</v>
      </c>
      <c r="AB8" s="4" t="s">
        <v>195</v>
      </c>
      <c r="AC8" s="4">
        <v>1186</v>
      </c>
      <c r="AD8" s="4" t="s">
        <v>908</v>
      </c>
      <c r="AE8" s="4" t="s">
        <v>214</v>
      </c>
      <c r="AF8" s="4">
        <v>65</v>
      </c>
      <c r="AG8" s="4" t="s">
        <v>65</v>
      </c>
      <c r="AH8" s="4" t="s">
        <v>121</v>
      </c>
      <c r="AI8" s="4">
        <v>527</v>
      </c>
      <c r="AJ8" s="1">
        <v>40015</v>
      </c>
      <c r="AK8" s="1">
        <v>18551</v>
      </c>
      <c r="AL8" s="1">
        <v>12264</v>
      </c>
      <c r="AM8" s="1">
        <v>7209</v>
      </c>
      <c r="AN8" s="1">
        <v>120</v>
      </c>
      <c r="AO8" s="1">
        <v>153</v>
      </c>
      <c r="AP8" s="1">
        <v>1192</v>
      </c>
      <c r="AQ8" s="1">
        <v>526</v>
      </c>
      <c r="AR8" s="9">
        <v>0.46360114956891169</v>
      </c>
      <c r="AS8" s="9">
        <v>0.30648506809946269</v>
      </c>
      <c r="AT8" s="9">
        <v>0.18015744095964015</v>
      </c>
      <c r="AU8" s="9">
        <v>4.9756341371985507E-2</v>
      </c>
      <c r="AV8" s="50">
        <v>27318</v>
      </c>
      <c r="AW8" s="47">
        <v>68.3</v>
      </c>
      <c r="AX8" s="9" t="s">
        <v>49</v>
      </c>
      <c r="AY8" s="50">
        <f t="shared" si="0"/>
        <v>4119</v>
      </c>
      <c r="AZ8" s="9">
        <f t="shared" si="1"/>
        <v>0.54403689874807815</v>
      </c>
      <c r="BA8" s="9">
        <f t="shared" si="2"/>
        <v>0</v>
      </c>
      <c r="BB8" s="9">
        <f t="shared" si="3"/>
        <v>0.39325719305952117</v>
      </c>
      <c r="BC8" s="50"/>
      <c r="BD8" s="9"/>
      <c r="BE8" s="14">
        <v>0.48132155051215103</v>
      </c>
      <c r="BF8" s="11">
        <v>0.27381669679319809</v>
      </c>
      <c r="BG8" s="11">
        <v>0.21168909419562162</v>
      </c>
      <c r="BH8" s="13">
        <v>1.061123384883176E-2</v>
      </c>
      <c r="BI8" s="13">
        <v>9.5400682868045789E-3</v>
      </c>
    </row>
    <row r="9" spans="2:61" ht="14.5" x14ac:dyDescent="0.35">
      <c r="B9" s="4" t="s">
        <v>3</v>
      </c>
      <c r="C9" s="4" t="s">
        <v>8</v>
      </c>
      <c r="D9" s="4" t="s">
        <v>9</v>
      </c>
      <c r="E9" s="4" t="s">
        <v>912</v>
      </c>
      <c r="F9" s="4"/>
      <c r="G9" s="4"/>
      <c r="H9" s="4"/>
      <c r="I9" s="4"/>
      <c r="J9" s="4"/>
      <c r="K9" s="4"/>
      <c r="L9" s="4" t="s">
        <v>915</v>
      </c>
      <c r="M9" s="4" t="s">
        <v>68</v>
      </c>
      <c r="N9" s="4">
        <v>59</v>
      </c>
      <c r="O9" s="4" t="s">
        <v>65</v>
      </c>
      <c r="P9" s="4" t="s">
        <v>61</v>
      </c>
      <c r="Q9" s="4">
        <v>29307</v>
      </c>
      <c r="R9" s="4" t="s">
        <v>913</v>
      </c>
      <c r="S9" s="4" t="s">
        <v>50</v>
      </c>
      <c r="T9" s="4">
        <v>41</v>
      </c>
      <c r="U9" s="4" t="s">
        <v>65</v>
      </c>
      <c r="V9" s="4" t="s">
        <v>61</v>
      </c>
      <c r="W9" s="4">
        <v>32285</v>
      </c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1">
        <v>86282</v>
      </c>
      <c r="AK9" s="1">
        <v>59472</v>
      </c>
      <c r="AL9" s="1">
        <v>11042</v>
      </c>
      <c r="AM9" s="1">
        <v>12168</v>
      </c>
      <c r="AN9" s="1">
        <v>374</v>
      </c>
      <c r="AO9" s="1">
        <v>235</v>
      </c>
      <c r="AP9" s="1">
        <v>1504</v>
      </c>
      <c r="AQ9" s="1">
        <v>1487</v>
      </c>
      <c r="AR9" s="9">
        <v>0.68927470387798151</v>
      </c>
      <c r="AS9" s="9">
        <v>0.12797570756357063</v>
      </c>
      <c r="AT9" s="9">
        <v>0.14102593820263787</v>
      </c>
      <c r="AU9" s="9">
        <v>4.1723650355810021E-2</v>
      </c>
      <c r="AV9" s="50">
        <v>61592</v>
      </c>
      <c r="AW9" s="47">
        <v>71.400000000000006</v>
      </c>
      <c r="AX9" s="9" t="s">
        <v>50</v>
      </c>
      <c r="AY9" s="50">
        <f t="shared" si="0"/>
        <v>-2978</v>
      </c>
      <c r="AZ9" s="9">
        <f t="shared" si="1"/>
        <v>0</v>
      </c>
      <c r="BA9" s="9">
        <f t="shared" si="2"/>
        <v>0.47582478243927784</v>
      </c>
      <c r="BB9" s="9">
        <f t="shared" si="3"/>
        <v>0.52417521756072216</v>
      </c>
      <c r="BC9" s="50"/>
      <c r="BD9" s="9"/>
      <c r="BE9" s="11">
        <v>0.34622209078811178</v>
      </c>
      <c r="BF9" s="12">
        <v>0.42024249593375723</v>
      </c>
      <c r="BG9" s="11">
        <v>0.19352358420819163</v>
      </c>
      <c r="BH9" s="13">
        <v>1.7684459559367146E-2</v>
      </c>
      <c r="BI9" s="13">
        <v>1.2701463847404998E-2</v>
      </c>
    </row>
    <row r="10" spans="2:61" ht="14.5" x14ac:dyDescent="0.35">
      <c r="B10" s="4" t="s">
        <v>3</v>
      </c>
      <c r="C10" s="4" t="s">
        <v>10</v>
      </c>
      <c r="D10" s="4" t="s">
        <v>11</v>
      </c>
      <c r="E10" s="4" t="s">
        <v>917</v>
      </c>
      <c r="F10" s="4"/>
      <c r="G10" s="4"/>
      <c r="H10" s="4"/>
      <c r="I10" s="4"/>
      <c r="J10" s="4"/>
      <c r="K10" s="4"/>
      <c r="L10" s="4" t="s">
        <v>920</v>
      </c>
      <c r="M10" s="4" t="s">
        <v>68</v>
      </c>
      <c r="N10" s="4">
        <v>54</v>
      </c>
      <c r="O10" s="4" t="s">
        <v>65</v>
      </c>
      <c r="P10" s="4" t="s">
        <v>61</v>
      </c>
      <c r="Q10" s="4">
        <v>8605</v>
      </c>
      <c r="R10" s="4" t="s">
        <v>918</v>
      </c>
      <c r="S10" s="4" t="s">
        <v>52</v>
      </c>
      <c r="T10" s="4">
        <v>45</v>
      </c>
      <c r="U10" s="4" t="s">
        <v>65</v>
      </c>
      <c r="V10" s="4" t="s">
        <v>61</v>
      </c>
      <c r="W10" s="4">
        <v>15447</v>
      </c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1">
        <v>31715</v>
      </c>
      <c r="AK10" s="1">
        <v>26372</v>
      </c>
      <c r="AL10" s="1">
        <v>4081</v>
      </c>
      <c r="AM10" s="1">
        <v>806</v>
      </c>
      <c r="AN10" s="1">
        <v>45</v>
      </c>
      <c r="AO10" s="1">
        <v>23</v>
      </c>
      <c r="AP10" s="1">
        <v>0</v>
      </c>
      <c r="AQ10" s="1">
        <v>388</v>
      </c>
      <c r="AR10" s="9">
        <v>0.83153082137789691</v>
      </c>
      <c r="AS10" s="9">
        <v>0.12867728204319723</v>
      </c>
      <c r="AT10" s="9">
        <v>2.5413842030584898E-2</v>
      </c>
      <c r="AU10" s="9">
        <v>1.4378054548320984E-2</v>
      </c>
      <c r="AV10" s="50">
        <v>24052</v>
      </c>
      <c r="AW10" s="47">
        <v>75.8</v>
      </c>
      <c r="AX10" s="9" t="s">
        <v>52</v>
      </c>
      <c r="AY10" s="50">
        <f t="shared" si="0"/>
        <v>-6842</v>
      </c>
      <c r="AZ10" s="9">
        <f t="shared" si="1"/>
        <v>0</v>
      </c>
      <c r="BA10" s="9">
        <f t="shared" si="2"/>
        <v>0.35776650590387493</v>
      </c>
      <c r="BB10" s="9">
        <f t="shared" si="3"/>
        <v>0.64223349409612507</v>
      </c>
      <c r="BC10" s="50"/>
      <c r="BD10" s="9"/>
      <c r="BE10" s="11">
        <v>0.17577846446398859</v>
      </c>
      <c r="BF10" s="12">
        <v>0.3879645036051026</v>
      </c>
      <c r="BG10" s="11">
        <v>0.30429442991839001</v>
      </c>
      <c r="BH10" s="13">
        <v>8.6403613025909196E-2</v>
      </c>
      <c r="BI10" s="13">
        <v>3.5813326994691384E-2</v>
      </c>
    </row>
    <row r="11" spans="2:61" ht="14.5" x14ac:dyDescent="0.35">
      <c r="B11" s="4" t="s">
        <v>3</v>
      </c>
      <c r="C11" s="4" t="s">
        <v>10</v>
      </c>
      <c r="D11" s="4" t="s">
        <v>11</v>
      </c>
      <c r="E11" s="4" t="s">
        <v>922</v>
      </c>
      <c r="F11" s="4" t="s">
        <v>923</v>
      </c>
      <c r="G11" s="4" t="s">
        <v>51</v>
      </c>
      <c r="H11" s="4">
        <v>58</v>
      </c>
      <c r="I11" s="4" t="s">
        <v>65</v>
      </c>
      <c r="J11" s="4" t="s">
        <v>61</v>
      </c>
      <c r="K11" s="4">
        <v>11122</v>
      </c>
      <c r="L11" s="4"/>
      <c r="M11" s="4"/>
      <c r="N11" s="4"/>
      <c r="O11" s="4"/>
      <c r="P11" s="4"/>
      <c r="Q11" s="4"/>
      <c r="R11" s="4" t="s">
        <v>925</v>
      </c>
      <c r="S11" s="4" t="s">
        <v>50</v>
      </c>
      <c r="T11" s="4">
        <v>36</v>
      </c>
      <c r="U11" s="4" t="s">
        <v>60</v>
      </c>
      <c r="V11" s="4" t="s">
        <v>61</v>
      </c>
      <c r="W11" s="4">
        <v>12850</v>
      </c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1">
        <v>30796</v>
      </c>
      <c r="AK11" s="1">
        <v>19470</v>
      </c>
      <c r="AL11" s="1">
        <v>6624</v>
      </c>
      <c r="AM11" s="1">
        <v>4253</v>
      </c>
      <c r="AN11" s="1">
        <v>21</v>
      </c>
      <c r="AO11" s="1">
        <v>13</v>
      </c>
      <c r="AP11" s="1">
        <v>4</v>
      </c>
      <c r="AQ11" s="1">
        <v>411</v>
      </c>
      <c r="AR11" s="9">
        <v>0.63222496428107544</v>
      </c>
      <c r="AS11" s="9">
        <v>0.2150928692037927</v>
      </c>
      <c r="AT11" s="9">
        <v>0.13810235095466944</v>
      </c>
      <c r="AU11" s="9">
        <v>1.4579815560462398E-2</v>
      </c>
      <c r="AV11" s="50">
        <v>23972</v>
      </c>
      <c r="AW11" s="47">
        <v>77.8</v>
      </c>
      <c r="AX11" s="9" t="s">
        <v>50</v>
      </c>
      <c r="AY11" s="50">
        <f t="shared" si="0"/>
        <v>-1728</v>
      </c>
      <c r="AZ11" s="9">
        <f t="shared" si="1"/>
        <v>0.46395795094276654</v>
      </c>
      <c r="BA11" s="9">
        <f t="shared" si="2"/>
        <v>0</v>
      </c>
      <c r="BB11" s="9">
        <f t="shared" si="3"/>
        <v>0.53604204905723341</v>
      </c>
      <c r="BC11" s="50"/>
      <c r="BD11" s="9"/>
      <c r="BE11" s="11">
        <v>0.30673267326732673</v>
      </c>
      <c r="BF11" s="11">
        <v>0.30332673267326732</v>
      </c>
      <c r="BG11" s="15">
        <v>0.31069306930693069</v>
      </c>
      <c r="BH11" s="13">
        <v>5.0653465346534657E-2</v>
      </c>
      <c r="BI11" s="13">
        <v>1.9287128712871287E-2</v>
      </c>
    </row>
    <row r="12" spans="2:61" ht="14.5" x14ac:dyDescent="0.35">
      <c r="B12" s="4" t="s">
        <v>3</v>
      </c>
      <c r="C12" s="4" t="s">
        <v>12</v>
      </c>
      <c r="D12" s="4" t="s">
        <v>13</v>
      </c>
      <c r="E12" s="4" t="s">
        <v>928</v>
      </c>
      <c r="F12" s="4" t="s">
        <v>929</v>
      </c>
      <c r="G12" s="4" t="s">
        <v>51</v>
      </c>
      <c r="H12" s="4">
        <v>36</v>
      </c>
      <c r="I12" s="4" t="s">
        <v>65</v>
      </c>
      <c r="J12" s="4" t="s">
        <v>195</v>
      </c>
      <c r="K12" s="4">
        <v>13795</v>
      </c>
      <c r="L12" s="4"/>
      <c r="M12" s="4"/>
      <c r="N12" s="4"/>
      <c r="O12" s="4"/>
      <c r="P12" s="4"/>
      <c r="Q12" s="4"/>
      <c r="R12" s="4" t="s">
        <v>930</v>
      </c>
      <c r="S12" s="4" t="s">
        <v>50</v>
      </c>
      <c r="T12" s="4">
        <v>42</v>
      </c>
      <c r="U12" s="4" t="s">
        <v>65</v>
      </c>
      <c r="V12" s="4" t="s">
        <v>61</v>
      </c>
      <c r="W12" s="4">
        <v>14672</v>
      </c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1">
        <v>37956</v>
      </c>
      <c r="AK12" s="1">
        <v>22894</v>
      </c>
      <c r="AL12" s="1">
        <v>5853</v>
      </c>
      <c r="AM12" s="1">
        <v>8316</v>
      </c>
      <c r="AN12" s="1">
        <v>74</v>
      </c>
      <c r="AO12" s="1">
        <v>38</v>
      </c>
      <c r="AP12" s="1">
        <v>6</v>
      </c>
      <c r="AQ12" s="1">
        <v>775</v>
      </c>
      <c r="AR12" s="9">
        <v>0.60317209400358307</v>
      </c>
      <c r="AS12" s="9">
        <v>0.15420486879544737</v>
      </c>
      <c r="AT12" s="9">
        <v>0.21909579513120456</v>
      </c>
      <c r="AU12" s="9">
        <v>2.3527242069764993E-2</v>
      </c>
      <c r="AV12" s="50">
        <v>28467</v>
      </c>
      <c r="AW12" s="47">
        <v>75</v>
      </c>
      <c r="AX12" s="9" t="s">
        <v>50</v>
      </c>
      <c r="AY12" s="50">
        <f t="shared" si="0"/>
        <v>-877</v>
      </c>
      <c r="AZ12" s="9">
        <f t="shared" si="1"/>
        <v>0.48459619910773877</v>
      </c>
      <c r="BA12" s="9">
        <f t="shared" si="2"/>
        <v>0</v>
      </c>
      <c r="BB12" s="9">
        <f t="shared" si="3"/>
        <v>0.51540380089226123</v>
      </c>
      <c r="BC12" s="50"/>
      <c r="BD12" s="9"/>
      <c r="BE12" s="14">
        <v>0.39910897206594909</v>
      </c>
      <c r="BF12" s="11">
        <v>0.22301713765406003</v>
      </c>
      <c r="BG12" s="11">
        <v>0.35663880849403273</v>
      </c>
      <c r="BH12" s="13">
        <v>9.4956261584989102E-3</v>
      </c>
      <c r="BI12" s="13">
        <v>0</v>
      </c>
    </row>
    <row r="13" spans="2:61" ht="14.5" x14ac:dyDescent="0.35">
      <c r="B13" s="4" t="s">
        <v>3</v>
      </c>
      <c r="C13" s="4" t="s">
        <v>12</v>
      </c>
      <c r="D13" s="4" t="s">
        <v>13</v>
      </c>
      <c r="E13" s="4" t="s">
        <v>932</v>
      </c>
      <c r="F13" s="4" t="s">
        <v>934</v>
      </c>
      <c r="G13" s="4" t="s">
        <v>51</v>
      </c>
      <c r="H13" s="4">
        <v>51</v>
      </c>
      <c r="I13" s="4" t="s">
        <v>65</v>
      </c>
      <c r="J13" s="4" t="s">
        <v>61</v>
      </c>
      <c r="K13" s="4">
        <v>11271</v>
      </c>
      <c r="L13" s="4"/>
      <c r="M13" s="4"/>
      <c r="N13" s="4"/>
      <c r="O13" s="4"/>
      <c r="P13" s="4"/>
      <c r="Q13" s="4"/>
      <c r="R13" s="4" t="s">
        <v>933</v>
      </c>
      <c r="S13" s="4" t="s">
        <v>52</v>
      </c>
      <c r="T13" s="4">
        <v>45</v>
      </c>
      <c r="U13" s="4" t="s">
        <v>65</v>
      </c>
      <c r="V13" s="4" t="s">
        <v>61</v>
      </c>
      <c r="W13" s="4">
        <v>12183</v>
      </c>
      <c r="X13" s="4" t="s">
        <v>936</v>
      </c>
      <c r="Y13" s="4" t="s">
        <v>64</v>
      </c>
      <c r="Z13" s="4">
        <v>60</v>
      </c>
      <c r="AA13" s="4" t="s">
        <v>65</v>
      </c>
      <c r="AB13" s="4" t="s">
        <v>121</v>
      </c>
      <c r="AC13" s="4">
        <v>194</v>
      </c>
      <c r="AD13" s="4"/>
      <c r="AE13" s="4"/>
      <c r="AF13" s="4"/>
      <c r="AG13" s="4"/>
      <c r="AH13" s="4"/>
      <c r="AI13" s="4"/>
      <c r="AJ13" s="1">
        <v>30662</v>
      </c>
      <c r="AK13" s="1">
        <v>18886</v>
      </c>
      <c r="AL13" s="1">
        <v>4042</v>
      </c>
      <c r="AM13" s="1">
        <v>7424</v>
      </c>
      <c r="AN13" s="1">
        <v>44</v>
      </c>
      <c r="AO13" s="1">
        <v>19</v>
      </c>
      <c r="AP13" s="1">
        <v>2</v>
      </c>
      <c r="AQ13" s="1">
        <v>245</v>
      </c>
      <c r="AR13" s="9">
        <v>0.61594155632378844</v>
      </c>
      <c r="AS13" s="9">
        <v>0.13182440806209642</v>
      </c>
      <c r="AT13" s="9">
        <v>0.24212380144804643</v>
      </c>
      <c r="AU13" s="9">
        <v>1.011023416606875E-2</v>
      </c>
      <c r="AV13" s="50">
        <v>23648</v>
      </c>
      <c r="AW13" s="47">
        <v>77.099999999999994</v>
      </c>
      <c r="AX13" s="9" t="s">
        <v>52</v>
      </c>
      <c r="AY13" s="50">
        <f t="shared" si="0"/>
        <v>-912</v>
      </c>
      <c r="AZ13" s="9">
        <f t="shared" si="1"/>
        <v>0.47661535859269283</v>
      </c>
      <c r="BA13" s="9">
        <f t="shared" si="2"/>
        <v>0</v>
      </c>
      <c r="BB13" s="9">
        <f t="shared" si="3"/>
        <v>0.51518098782138022</v>
      </c>
      <c r="BC13" s="50"/>
      <c r="BD13" s="9"/>
      <c r="BE13" s="14">
        <v>0.38355572998430143</v>
      </c>
      <c r="BF13" s="11">
        <v>0.25588697017268447</v>
      </c>
      <c r="BG13" s="11">
        <v>0.33669544740973312</v>
      </c>
      <c r="BH13" s="13">
        <v>1.0675039246467817E-2</v>
      </c>
      <c r="BI13" s="13">
        <v>0</v>
      </c>
    </row>
    <row r="14" spans="2:61" ht="14.5" x14ac:dyDescent="0.35">
      <c r="B14" s="4" t="s">
        <v>3</v>
      </c>
      <c r="C14" s="4" t="s">
        <v>12</v>
      </c>
      <c r="D14" s="4" t="s">
        <v>13</v>
      </c>
      <c r="E14" s="4" t="s">
        <v>938</v>
      </c>
      <c r="F14" s="4"/>
      <c r="G14" s="4"/>
      <c r="H14" s="4"/>
      <c r="I14" s="4"/>
      <c r="J14" s="4"/>
      <c r="K14" s="4"/>
      <c r="L14" s="4" t="s">
        <v>939</v>
      </c>
      <c r="M14" s="4" t="s">
        <v>68</v>
      </c>
      <c r="N14" s="4">
        <v>71</v>
      </c>
      <c r="O14" s="4" t="s">
        <v>65</v>
      </c>
      <c r="P14" s="4" t="s">
        <v>61</v>
      </c>
      <c r="Q14" s="4">
        <v>11333</v>
      </c>
      <c r="R14" s="4" t="s">
        <v>941</v>
      </c>
      <c r="S14" s="4" t="s">
        <v>50</v>
      </c>
      <c r="T14" s="4">
        <v>50</v>
      </c>
      <c r="U14" s="4" t="s">
        <v>65</v>
      </c>
      <c r="V14" s="4" t="s">
        <v>61</v>
      </c>
      <c r="W14" s="4">
        <v>16731</v>
      </c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1">
        <v>36707</v>
      </c>
      <c r="AK14" s="1">
        <v>29346</v>
      </c>
      <c r="AL14" s="1">
        <v>2469</v>
      </c>
      <c r="AM14" s="1">
        <v>4299</v>
      </c>
      <c r="AN14" s="1">
        <v>119</v>
      </c>
      <c r="AO14" s="1">
        <v>73</v>
      </c>
      <c r="AP14" s="1">
        <v>6</v>
      </c>
      <c r="AQ14" s="1">
        <v>395</v>
      </c>
      <c r="AR14" s="9">
        <v>0.79946604189936521</v>
      </c>
      <c r="AS14" s="9">
        <v>6.7262375023837417E-2</v>
      </c>
      <c r="AT14" s="9">
        <v>0.11711662625657232</v>
      </c>
      <c r="AU14" s="9">
        <v>1.6154956820225025E-2</v>
      </c>
      <c r="AV14" s="50">
        <v>28064</v>
      </c>
      <c r="AW14" s="47">
        <v>76.5</v>
      </c>
      <c r="AX14" s="9" t="s">
        <v>50</v>
      </c>
      <c r="AY14" s="50">
        <f t="shared" si="0"/>
        <v>-5398</v>
      </c>
      <c r="AZ14" s="9">
        <f t="shared" si="1"/>
        <v>0</v>
      </c>
      <c r="BA14" s="9">
        <f t="shared" si="2"/>
        <v>0.40382696693272518</v>
      </c>
      <c r="BB14" s="9">
        <f t="shared" si="3"/>
        <v>0.59617303306727476</v>
      </c>
      <c r="BC14" s="50"/>
      <c r="BD14" s="9"/>
      <c r="BE14" s="11">
        <v>0.29358076249494813</v>
      </c>
      <c r="BF14" s="12">
        <v>0.32921325609591812</v>
      </c>
      <c r="BG14" s="11">
        <v>0.32752930082177018</v>
      </c>
      <c r="BH14" s="13">
        <v>4.0078135524720462E-2</v>
      </c>
      <c r="BI14" s="13">
        <v>0</v>
      </c>
    </row>
    <row r="15" spans="2:61" ht="14.5" x14ac:dyDescent="0.35">
      <c r="B15" s="4" t="s">
        <v>3</v>
      </c>
      <c r="C15" s="4" t="s">
        <v>14</v>
      </c>
      <c r="D15" s="4" t="s">
        <v>15</v>
      </c>
      <c r="E15" s="4" t="s">
        <v>943</v>
      </c>
      <c r="F15" s="4"/>
      <c r="G15" s="4"/>
      <c r="H15" s="4"/>
      <c r="I15" s="4"/>
      <c r="J15" s="4"/>
      <c r="K15" s="4"/>
      <c r="L15" s="4" t="s">
        <v>944</v>
      </c>
      <c r="M15" s="4" t="s">
        <v>68</v>
      </c>
      <c r="N15" s="4">
        <v>54</v>
      </c>
      <c r="O15" s="4" t="s">
        <v>65</v>
      </c>
      <c r="P15" s="4" t="s">
        <v>61</v>
      </c>
      <c r="Q15" s="4">
        <v>13619</v>
      </c>
      <c r="R15" s="4" t="s">
        <v>948</v>
      </c>
      <c r="S15" s="4" t="s">
        <v>50</v>
      </c>
      <c r="T15" s="4">
        <v>49</v>
      </c>
      <c r="U15" s="4" t="s">
        <v>65</v>
      </c>
      <c r="V15" s="4" t="s">
        <v>61</v>
      </c>
      <c r="W15" s="4">
        <v>18494</v>
      </c>
      <c r="X15" s="4" t="s">
        <v>946</v>
      </c>
      <c r="Y15" s="4" t="s">
        <v>64</v>
      </c>
      <c r="Z15" s="4">
        <v>61</v>
      </c>
      <c r="AA15" s="4" t="s">
        <v>65</v>
      </c>
      <c r="AB15" s="4" t="s">
        <v>61</v>
      </c>
      <c r="AC15" s="4">
        <v>1287</v>
      </c>
      <c r="AD15" s="4"/>
      <c r="AE15" s="4"/>
      <c r="AF15" s="4"/>
      <c r="AG15" s="4"/>
      <c r="AH15" s="4"/>
      <c r="AI15" s="4"/>
      <c r="AJ15" s="1">
        <v>45606</v>
      </c>
      <c r="AK15" s="1">
        <v>35021</v>
      </c>
      <c r="AL15" s="1">
        <v>4514</v>
      </c>
      <c r="AM15" s="1">
        <v>3815</v>
      </c>
      <c r="AN15" s="1">
        <v>178</v>
      </c>
      <c r="AO15" s="1">
        <v>137</v>
      </c>
      <c r="AP15" s="1">
        <v>366</v>
      </c>
      <c r="AQ15" s="1">
        <v>1575</v>
      </c>
      <c r="AR15" s="9">
        <v>0.76790334605095822</v>
      </c>
      <c r="AS15" s="9">
        <v>9.8978204622198834E-2</v>
      </c>
      <c r="AT15" s="9">
        <v>8.3651273955181335E-2</v>
      </c>
      <c r="AU15" s="9">
        <v>4.946717537166162E-2</v>
      </c>
      <c r="AV15" s="50">
        <v>33400</v>
      </c>
      <c r="AW15" s="47">
        <v>73.2</v>
      </c>
      <c r="AX15" s="9" t="s">
        <v>50</v>
      </c>
      <c r="AY15" s="50">
        <f t="shared" si="0"/>
        <v>-4875</v>
      </c>
      <c r="AZ15" s="9">
        <f t="shared" si="1"/>
        <v>0</v>
      </c>
      <c r="BA15" s="9">
        <f t="shared" si="2"/>
        <v>0.40775449101796407</v>
      </c>
      <c r="BB15" s="9">
        <f t="shared" si="3"/>
        <v>0.55371257485029945</v>
      </c>
      <c r="BC15" s="50"/>
      <c r="BD15" s="9"/>
      <c r="BE15" s="11">
        <v>0.29887934150885681</v>
      </c>
      <c r="BF15" s="12">
        <v>0.47059314257111873</v>
      </c>
      <c r="BG15" s="11">
        <v>0.17502294151997999</v>
      </c>
      <c r="BH15" s="13">
        <v>3.7512861155140291E-2</v>
      </c>
      <c r="BI15" s="13">
        <v>9.5381107310697696E-3</v>
      </c>
    </row>
    <row r="16" spans="2:61" ht="14.5" x14ac:dyDescent="0.35">
      <c r="B16" s="4" t="s">
        <v>3</v>
      </c>
      <c r="C16" s="4" t="s">
        <v>14</v>
      </c>
      <c r="D16" s="4" t="s">
        <v>15</v>
      </c>
      <c r="E16" s="4" t="s">
        <v>950</v>
      </c>
      <c r="F16" s="4" t="s">
        <v>953</v>
      </c>
      <c r="G16" s="4" t="s">
        <v>51</v>
      </c>
      <c r="H16" s="4">
        <v>35</v>
      </c>
      <c r="I16" s="4" t="s">
        <v>65</v>
      </c>
      <c r="J16" s="4" t="s">
        <v>121</v>
      </c>
      <c r="K16" s="4">
        <v>39168</v>
      </c>
      <c r="L16" s="4"/>
      <c r="M16" s="4"/>
      <c r="N16" s="4"/>
      <c r="O16" s="4"/>
      <c r="P16" s="4"/>
      <c r="Q16" s="4"/>
      <c r="R16" s="4" t="s">
        <v>951</v>
      </c>
      <c r="S16" s="4" t="s">
        <v>50</v>
      </c>
      <c r="T16" s="4">
        <v>27</v>
      </c>
      <c r="U16" s="4" t="s">
        <v>65</v>
      </c>
      <c r="V16" s="4" t="s">
        <v>195</v>
      </c>
      <c r="W16" s="4">
        <v>13510</v>
      </c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1">
        <v>76841</v>
      </c>
      <c r="AK16" s="1">
        <v>24446</v>
      </c>
      <c r="AL16" s="1">
        <v>29732</v>
      </c>
      <c r="AM16" s="1">
        <v>19746</v>
      </c>
      <c r="AN16" s="1">
        <v>396</v>
      </c>
      <c r="AO16" s="1">
        <v>245</v>
      </c>
      <c r="AP16" s="1">
        <v>26</v>
      </c>
      <c r="AQ16" s="1">
        <v>2250</v>
      </c>
      <c r="AR16" s="9">
        <v>0.31813745266199034</v>
      </c>
      <c r="AS16" s="9">
        <v>0.38692885308624303</v>
      </c>
      <c r="AT16" s="9">
        <v>0.25697218932601085</v>
      </c>
      <c r="AU16" s="9">
        <v>3.7961504925755785E-2</v>
      </c>
      <c r="AV16" s="50">
        <v>52678</v>
      </c>
      <c r="AW16" s="47">
        <v>68.599999999999994</v>
      </c>
      <c r="AX16" s="9" t="s">
        <v>51</v>
      </c>
      <c r="AY16" s="50">
        <f t="shared" si="0"/>
        <v>25658</v>
      </c>
      <c r="AZ16" s="9">
        <f t="shared" si="1"/>
        <v>0.74353620107065566</v>
      </c>
      <c r="BA16" s="9">
        <f t="shared" si="2"/>
        <v>0</v>
      </c>
      <c r="BB16" s="9">
        <f t="shared" si="3"/>
        <v>0.25646379892934434</v>
      </c>
      <c r="BC16" s="50"/>
      <c r="BD16" s="9"/>
      <c r="BE16" s="14">
        <v>0.66388308977035493</v>
      </c>
      <c r="BF16" s="11">
        <v>0.2168813754943395</v>
      </c>
      <c r="BG16" s="11">
        <v>9.9512874043145447E-2</v>
      </c>
      <c r="BH16" s="13">
        <v>9.199382181713258E-3</v>
      </c>
      <c r="BI16" s="13">
        <v>3.9377429264898078E-3</v>
      </c>
    </row>
    <row r="17" spans="2:61" ht="14.5" x14ac:dyDescent="0.35">
      <c r="B17" s="4" t="s">
        <v>3</v>
      </c>
      <c r="C17" s="4" t="s">
        <v>14</v>
      </c>
      <c r="D17" s="4" t="s">
        <v>15</v>
      </c>
      <c r="E17" s="4" t="s">
        <v>954</v>
      </c>
      <c r="F17" s="4" t="s">
        <v>957</v>
      </c>
      <c r="G17" s="4" t="s">
        <v>48</v>
      </c>
      <c r="H17" s="4">
        <v>45</v>
      </c>
      <c r="I17" s="4" t="s">
        <v>60</v>
      </c>
      <c r="J17" s="4" t="s">
        <v>61</v>
      </c>
      <c r="K17" s="4">
        <v>22247</v>
      </c>
      <c r="L17" s="4"/>
      <c r="M17" s="4"/>
      <c r="N17" s="4"/>
      <c r="O17" s="4"/>
      <c r="P17" s="4"/>
      <c r="Q17" s="4"/>
      <c r="R17" s="4" t="s">
        <v>959</v>
      </c>
      <c r="S17" s="4" t="s">
        <v>52</v>
      </c>
      <c r="T17" s="4">
        <v>52</v>
      </c>
      <c r="U17" s="4" t="s">
        <v>65</v>
      </c>
      <c r="V17" s="4" t="s">
        <v>61</v>
      </c>
      <c r="W17" s="4">
        <v>21780</v>
      </c>
      <c r="X17" s="4" t="s">
        <v>955</v>
      </c>
      <c r="Y17" s="4" t="s">
        <v>587</v>
      </c>
      <c r="Z17" s="4">
        <v>31</v>
      </c>
      <c r="AA17" s="4" t="s">
        <v>60</v>
      </c>
      <c r="AB17" s="4" t="s">
        <v>61</v>
      </c>
      <c r="AC17" s="4">
        <v>765</v>
      </c>
      <c r="AD17" s="4"/>
      <c r="AE17" s="4"/>
      <c r="AF17" s="4"/>
      <c r="AG17" s="4"/>
      <c r="AH17" s="4"/>
      <c r="AI17" s="4"/>
      <c r="AJ17" s="1">
        <v>62978</v>
      </c>
      <c r="AK17" s="1">
        <v>37187</v>
      </c>
      <c r="AL17" s="1">
        <v>13903</v>
      </c>
      <c r="AM17" s="1">
        <v>9182</v>
      </c>
      <c r="AN17" s="1">
        <v>265</v>
      </c>
      <c r="AO17" s="1">
        <v>153</v>
      </c>
      <c r="AP17" s="1">
        <v>76</v>
      </c>
      <c r="AQ17" s="1">
        <v>2212</v>
      </c>
      <c r="AR17" s="9">
        <v>0.59047603925180225</v>
      </c>
      <c r="AS17" s="9">
        <v>0.22075963034710533</v>
      </c>
      <c r="AT17" s="9">
        <v>0.14579694496490839</v>
      </c>
      <c r="AU17" s="9">
        <v>4.2967385436184065E-2</v>
      </c>
      <c r="AV17" s="50">
        <v>44792</v>
      </c>
      <c r="AW17" s="47">
        <v>71.099999999999994</v>
      </c>
      <c r="AX17" s="9" t="s">
        <v>48</v>
      </c>
      <c r="AY17" s="50">
        <f t="shared" si="0"/>
        <v>467</v>
      </c>
      <c r="AZ17" s="9">
        <f t="shared" si="1"/>
        <v>0.49667351312734415</v>
      </c>
      <c r="BA17" s="9">
        <f t="shared" si="2"/>
        <v>0</v>
      </c>
      <c r="BB17" s="9">
        <f t="shared" si="3"/>
        <v>0.4862475442043222</v>
      </c>
      <c r="BC17" s="50"/>
      <c r="BD17" s="9"/>
      <c r="BE17" s="14">
        <v>0.45720280583383044</v>
      </c>
      <c r="BF17" s="11">
        <v>0.37465287063131258</v>
      </c>
      <c r="BG17" s="11">
        <v>0.14020940900582149</v>
      </c>
      <c r="BH17" s="13">
        <v>1.3247485240573509E-2</v>
      </c>
      <c r="BI17" s="13">
        <v>6.9940139468866354E-3</v>
      </c>
    </row>
    <row r="18" spans="2:61" ht="14.5" x14ac:dyDescent="0.35">
      <c r="B18" s="4" t="s">
        <v>3</v>
      </c>
      <c r="C18" s="4" t="s">
        <v>16</v>
      </c>
      <c r="D18" s="4" t="s">
        <v>17</v>
      </c>
      <c r="E18" s="4" t="s">
        <v>962</v>
      </c>
      <c r="F18" s="4" t="s">
        <v>967</v>
      </c>
      <c r="G18" s="4" t="s">
        <v>51</v>
      </c>
      <c r="H18" s="4">
        <v>44</v>
      </c>
      <c r="I18" s="4" t="s">
        <v>65</v>
      </c>
      <c r="J18" s="4" t="s">
        <v>61</v>
      </c>
      <c r="K18" s="4">
        <v>19678</v>
      </c>
      <c r="L18" s="4"/>
      <c r="M18" s="4"/>
      <c r="N18" s="4"/>
      <c r="O18" s="4"/>
      <c r="P18" s="4"/>
      <c r="Q18" s="4"/>
      <c r="R18" s="4" t="s">
        <v>965</v>
      </c>
      <c r="S18" s="4" t="s">
        <v>52</v>
      </c>
      <c r="T18" s="4">
        <v>37</v>
      </c>
      <c r="U18" s="4" t="s">
        <v>65</v>
      </c>
      <c r="V18" s="4" t="s">
        <v>61</v>
      </c>
      <c r="W18" s="4">
        <v>14493</v>
      </c>
      <c r="X18" s="4" t="s">
        <v>963</v>
      </c>
      <c r="Y18" s="4" t="s">
        <v>64</v>
      </c>
      <c r="Z18" s="4">
        <v>37</v>
      </c>
      <c r="AA18" s="4" t="s">
        <v>65</v>
      </c>
      <c r="AB18" s="4" t="s">
        <v>195</v>
      </c>
      <c r="AC18" s="4">
        <v>430</v>
      </c>
      <c r="AD18" s="4"/>
      <c r="AE18" s="4"/>
      <c r="AF18" s="4"/>
      <c r="AG18" s="4"/>
      <c r="AH18" s="4"/>
      <c r="AI18" s="4"/>
      <c r="AJ18" s="1">
        <v>49055</v>
      </c>
      <c r="AK18" s="1">
        <v>28083</v>
      </c>
      <c r="AL18" s="1">
        <v>6102</v>
      </c>
      <c r="AM18" s="1">
        <v>11375</v>
      </c>
      <c r="AN18" s="1">
        <v>157</v>
      </c>
      <c r="AO18" s="1">
        <v>86</v>
      </c>
      <c r="AP18" s="1">
        <v>59</v>
      </c>
      <c r="AQ18" s="1">
        <v>3193</v>
      </c>
      <c r="AR18" s="9">
        <v>0.57247986953419627</v>
      </c>
      <c r="AS18" s="9">
        <v>0.12439098970543268</v>
      </c>
      <c r="AT18" s="9">
        <v>0.23188258077667923</v>
      </c>
      <c r="AU18" s="9">
        <v>7.1246559983691768E-2</v>
      </c>
      <c r="AV18" s="50">
        <v>34601</v>
      </c>
      <c r="AW18" s="47">
        <v>70.5</v>
      </c>
      <c r="AX18" s="9" t="s">
        <v>51</v>
      </c>
      <c r="AY18" s="50">
        <f t="shared" si="0"/>
        <v>5185</v>
      </c>
      <c r="AZ18" s="9">
        <f t="shared" si="1"/>
        <v>0.56871188693968378</v>
      </c>
      <c r="BA18" s="9">
        <f t="shared" si="2"/>
        <v>0</v>
      </c>
      <c r="BB18" s="9">
        <f t="shared" si="3"/>
        <v>0.4188607265685963</v>
      </c>
      <c r="BC18" s="50"/>
      <c r="BD18" s="9"/>
      <c r="BE18" s="14">
        <v>0.49432409914601122</v>
      </c>
      <c r="BF18" s="11">
        <v>0.31712143303478441</v>
      </c>
      <c r="BG18" s="11">
        <v>0.17017288064986461</v>
      </c>
      <c r="BH18" s="13">
        <v>7.7067277650489478E-3</v>
      </c>
      <c r="BI18" s="13">
        <v>2.9420953967923351E-3</v>
      </c>
    </row>
    <row r="19" spans="2:61" ht="14.5" x14ac:dyDescent="0.35">
      <c r="B19" s="4" t="s">
        <v>3</v>
      </c>
      <c r="C19" s="4" t="s">
        <v>16</v>
      </c>
      <c r="D19" s="4" t="s">
        <v>17</v>
      </c>
      <c r="E19" s="4" t="s">
        <v>969</v>
      </c>
      <c r="F19" s="4"/>
      <c r="G19" s="4"/>
      <c r="H19" s="4"/>
      <c r="I19" s="4"/>
      <c r="J19" s="4"/>
      <c r="K19" s="4"/>
      <c r="L19" s="4" t="s">
        <v>973</v>
      </c>
      <c r="M19" s="4" t="s">
        <v>68</v>
      </c>
      <c r="N19" s="4">
        <v>55</v>
      </c>
      <c r="O19" s="4" t="s">
        <v>65</v>
      </c>
      <c r="P19" s="4" t="s">
        <v>61</v>
      </c>
      <c r="Q19" s="4">
        <v>30241</v>
      </c>
      <c r="R19" s="4" t="s">
        <v>971</v>
      </c>
      <c r="S19" s="4" t="s">
        <v>50</v>
      </c>
      <c r="T19" s="4">
        <v>35</v>
      </c>
      <c r="U19" s="4" t="s">
        <v>65</v>
      </c>
      <c r="V19" s="4" t="s">
        <v>61</v>
      </c>
      <c r="W19" s="4">
        <v>30299</v>
      </c>
      <c r="X19" s="4" t="s">
        <v>970</v>
      </c>
      <c r="Y19" s="4" t="s">
        <v>64</v>
      </c>
      <c r="Z19" s="4">
        <v>55</v>
      </c>
      <c r="AA19" s="4" t="s">
        <v>65</v>
      </c>
      <c r="AB19" s="4" t="s">
        <v>61</v>
      </c>
      <c r="AC19" s="4">
        <v>1076</v>
      </c>
      <c r="AD19" s="4"/>
      <c r="AE19" s="4"/>
      <c r="AF19" s="4"/>
      <c r="AG19" s="4"/>
      <c r="AH19" s="4"/>
      <c r="AI19" s="4"/>
      <c r="AJ19" s="1">
        <v>88480</v>
      </c>
      <c r="AK19" s="1">
        <v>59484</v>
      </c>
      <c r="AL19" s="1">
        <v>10402</v>
      </c>
      <c r="AM19" s="1">
        <v>8282</v>
      </c>
      <c r="AN19" s="1">
        <v>211</v>
      </c>
      <c r="AO19" s="1">
        <v>197</v>
      </c>
      <c r="AP19" s="1">
        <v>923</v>
      </c>
      <c r="AQ19" s="1">
        <v>8981</v>
      </c>
      <c r="AR19" s="9">
        <v>0.67228752260397828</v>
      </c>
      <c r="AS19" s="9">
        <v>0.11756329113924051</v>
      </c>
      <c r="AT19" s="9">
        <v>9.360307414104882E-2</v>
      </c>
      <c r="AU19" s="9">
        <v>0.11654611211573238</v>
      </c>
      <c r="AV19" s="50">
        <v>61616</v>
      </c>
      <c r="AW19" s="47">
        <v>69.599999999999994</v>
      </c>
      <c r="AX19" s="9" t="s">
        <v>50</v>
      </c>
      <c r="AY19" s="50">
        <f t="shared" si="0"/>
        <v>-58</v>
      </c>
      <c r="AZ19" s="9">
        <f t="shared" si="1"/>
        <v>0</v>
      </c>
      <c r="BA19" s="9">
        <f t="shared" si="2"/>
        <v>0.49079784471565829</v>
      </c>
      <c r="BB19" s="9">
        <f t="shared" si="3"/>
        <v>0.49173915866008827</v>
      </c>
      <c r="BC19" s="50"/>
      <c r="BD19" s="9"/>
      <c r="BE19" s="14">
        <v>0.42622070666763406</v>
      </c>
      <c r="BF19" s="11">
        <v>0.36682870202423273</v>
      </c>
      <c r="BG19" s="11">
        <v>0.18612783864180513</v>
      </c>
      <c r="BH19" s="13">
        <v>1.0636291083218457E-2</v>
      </c>
      <c r="BI19" s="13">
        <v>3.7002104041210186E-3</v>
      </c>
    </row>
    <row r="20" spans="2:61" ht="14.5" x14ac:dyDescent="0.35">
      <c r="B20" s="4" t="s">
        <v>3</v>
      </c>
      <c r="C20" s="4" t="s">
        <v>16</v>
      </c>
      <c r="D20" s="4" t="s">
        <v>17</v>
      </c>
      <c r="E20" s="4" t="s">
        <v>975</v>
      </c>
      <c r="F20" s="4" t="s">
        <v>978</v>
      </c>
      <c r="G20" s="4" t="s">
        <v>51</v>
      </c>
      <c r="H20" s="4">
        <v>39</v>
      </c>
      <c r="I20" s="4" t="s">
        <v>60</v>
      </c>
      <c r="J20" s="4" t="s">
        <v>61</v>
      </c>
      <c r="K20" s="4">
        <v>23980</v>
      </c>
      <c r="L20" s="4"/>
      <c r="M20" s="4"/>
      <c r="N20" s="4"/>
      <c r="O20" s="4"/>
      <c r="P20" s="4"/>
      <c r="Q20" s="4"/>
      <c r="R20" s="4" t="s">
        <v>976</v>
      </c>
      <c r="S20" s="4" t="s">
        <v>50</v>
      </c>
      <c r="T20" s="4">
        <v>60</v>
      </c>
      <c r="U20" s="4" t="s">
        <v>65</v>
      </c>
      <c r="V20" s="4" t="s">
        <v>61</v>
      </c>
      <c r="W20" s="4">
        <v>25597</v>
      </c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1">
        <v>71702</v>
      </c>
      <c r="AK20" s="1">
        <v>58692</v>
      </c>
      <c r="AL20" s="1">
        <v>6202</v>
      </c>
      <c r="AM20" s="1">
        <v>2875</v>
      </c>
      <c r="AN20" s="1">
        <v>198</v>
      </c>
      <c r="AO20" s="1">
        <v>125</v>
      </c>
      <c r="AP20" s="1">
        <v>79</v>
      </c>
      <c r="AQ20" s="1">
        <v>3531</v>
      </c>
      <c r="AR20" s="9">
        <v>0.81855457309419544</v>
      </c>
      <c r="AS20" s="9">
        <v>8.6496889905441965E-2</v>
      </c>
      <c r="AT20" s="9">
        <v>4.0096510557585563E-2</v>
      </c>
      <c r="AU20" s="9">
        <v>5.4852026442777049E-2</v>
      </c>
      <c r="AV20" s="50">
        <v>49577</v>
      </c>
      <c r="AW20" s="47">
        <v>69.099999999999994</v>
      </c>
      <c r="AX20" s="9" t="s">
        <v>50</v>
      </c>
      <c r="AY20" s="50">
        <f t="shared" si="0"/>
        <v>-1617</v>
      </c>
      <c r="AZ20" s="9">
        <f t="shared" si="1"/>
        <v>0.48369203461282451</v>
      </c>
      <c r="BA20" s="9">
        <f t="shared" si="2"/>
        <v>0</v>
      </c>
      <c r="BB20" s="9">
        <f t="shared" si="3"/>
        <v>0.51630796538717549</v>
      </c>
      <c r="BC20" s="50"/>
      <c r="BD20" s="9"/>
      <c r="BE20" s="14">
        <v>0.40745817016731933</v>
      </c>
      <c r="BF20" s="11">
        <v>0.3694197223211107</v>
      </c>
      <c r="BG20" s="11">
        <v>0.19277322890708437</v>
      </c>
      <c r="BH20" s="13">
        <v>2.0505517977928087E-2</v>
      </c>
      <c r="BI20" s="13">
        <v>5.1975792096831614E-3</v>
      </c>
    </row>
    <row r="21" spans="2:61" ht="14.5" x14ac:dyDescent="0.35">
      <c r="B21" s="4" t="s">
        <v>3</v>
      </c>
      <c r="C21" s="4" t="s">
        <v>18</v>
      </c>
      <c r="D21" s="4" t="s">
        <v>19</v>
      </c>
      <c r="E21" s="4" t="s">
        <v>981</v>
      </c>
      <c r="F21" s="4" t="s">
        <v>986</v>
      </c>
      <c r="G21" s="4" t="s">
        <v>51</v>
      </c>
      <c r="H21" s="4">
        <v>55</v>
      </c>
      <c r="I21" s="4" t="s">
        <v>65</v>
      </c>
      <c r="J21" s="4" t="s">
        <v>61</v>
      </c>
      <c r="K21" s="4">
        <v>30772</v>
      </c>
      <c r="L21" s="4"/>
      <c r="M21" s="4"/>
      <c r="N21" s="4"/>
      <c r="O21" s="4"/>
      <c r="P21" s="4"/>
      <c r="Q21" s="4"/>
      <c r="R21" s="4" t="s">
        <v>984</v>
      </c>
      <c r="S21" s="4" t="s">
        <v>50</v>
      </c>
      <c r="T21" s="4">
        <v>41</v>
      </c>
      <c r="U21" s="4" t="s">
        <v>60</v>
      </c>
      <c r="V21" s="4" t="s">
        <v>61</v>
      </c>
      <c r="W21" s="4">
        <v>14492</v>
      </c>
      <c r="X21" s="4" t="s">
        <v>982</v>
      </c>
      <c r="Y21" s="4" t="s">
        <v>587</v>
      </c>
      <c r="Z21" s="4">
        <v>24</v>
      </c>
      <c r="AA21" s="4" t="s">
        <v>60</v>
      </c>
      <c r="AB21" s="4" t="s">
        <v>121</v>
      </c>
      <c r="AC21" s="4">
        <v>1462</v>
      </c>
      <c r="AD21" s="4"/>
      <c r="AE21" s="4"/>
      <c r="AF21" s="4"/>
      <c r="AG21" s="4"/>
      <c r="AH21" s="4"/>
      <c r="AI21" s="4"/>
      <c r="AJ21" s="1">
        <v>69501</v>
      </c>
      <c r="AK21" s="1">
        <v>32710</v>
      </c>
      <c r="AL21" s="1">
        <v>28197</v>
      </c>
      <c r="AM21" s="1">
        <v>5020</v>
      </c>
      <c r="AN21" s="1">
        <v>352</v>
      </c>
      <c r="AO21" s="1">
        <v>242</v>
      </c>
      <c r="AP21" s="1">
        <v>6</v>
      </c>
      <c r="AQ21" s="1">
        <v>2974</v>
      </c>
      <c r="AR21" s="9">
        <v>0.47064071020560855</v>
      </c>
      <c r="AS21" s="9">
        <v>0.4057063927137739</v>
      </c>
      <c r="AT21" s="9">
        <v>7.2229176558610664E-2</v>
      </c>
      <c r="AU21" s="9">
        <v>5.1423720522006874E-2</v>
      </c>
      <c r="AV21" s="50">
        <v>46726</v>
      </c>
      <c r="AW21" s="47">
        <v>67.2</v>
      </c>
      <c r="AX21" s="9" t="s">
        <v>51</v>
      </c>
      <c r="AY21" s="50">
        <f t="shared" si="0"/>
        <v>16280</v>
      </c>
      <c r="AZ21" s="9">
        <f t="shared" si="1"/>
        <v>0.65856268458673972</v>
      </c>
      <c r="BA21" s="9">
        <f t="shared" si="2"/>
        <v>0</v>
      </c>
      <c r="BB21" s="9">
        <f t="shared" si="3"/>
        <v>0.3101485254462184</v>
      </c>
      <c r="BC21" s="50"/>
      <c r="BD21" s="9"/>
      <c r="BE21" s="14">
        <v>0.60082091413008032</v>
      </c>
      <c r="BF21" s="11">
        <v>0.20779868423576348</v>
      </c>
      <c r="BG21" s="11">
        <v>9.4616107562767324E-2</v>
      </c>
      <c r="BH21" s="13">
        <v>2.4953487926041008E-2</v>
      </c>
      <c r="BI21" s="13">
        <v>6.567313040642922E-2</v>
      </c>
    </row>
    <row r="22" spans="2:61" ht="14.5" x14ac:dyDescent="0.35">
      <c r="B22" s="4" t="s">
        <v>3</v>
      </c>
      <c r="C22" s="4" t="s">
        <v>18</v>
      </c>
      <c r="D22" s="4" t="s">
        <v>19</v>
      </c>
      <c r="E22" s="4" t="s">
        <v>988</v>
      </c>
      <c r="F22" s="4" t="s">
        <v>989</v>
      </c>
      <c r="G22" s="4" t="s">
        <v>51</v>
      </c>
      <c r="H22" s="4">
        <v>46</v>
      </c>
      <c r="I22" s="4" t="s">
        <v>65</v>
      </c>
      <c r="J22" s="4" t="s">
        <v>61</v>
      </c>
      <c r="K22" s="4">
        <v>26298</v>
      </c>
      <c r="L22" s="4"/>
      <c r="M22" s="4"/>
      <c r="N22" s="4"/>
      <c r="O22" s="4"/>
      <c r="P22" s="4"/>
      <c r="Q22" s="4"/>
      <c r="R22" s="4" t="s">
        <v>991</v>
      </c>
      <c r="S22" s="4" t="s">
        <v>52</v>
      </c>
      <c r="T22" s="4">
        <v>47</v>
      </c>
      <c r="U22" s="4" t="s">
        <v>60</v>
      </c>
      <c r="V22" s="4" t="s">
        <v>61</v>
      </c>
      <c r="W22" s="4">
        <v>19620</v>
      </c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1">
        <v>65650</v>
      </c>
      <c r="AK22" s="1">
        <v>37277</v>
      </c>
      <c r="AL22" s="1">
        <v>15049</v>
      </c>
      <c r="AM22" s="1">
        <v>7948</v>
      </c>
      <c r="AN22" s="1">
        <v>269</v>
      </c>
      <c r="AO22" s="1">
        <v>161</v>
      </c>
      <c r="AP22" s="1">
        <v>11</v>
      </c>
      <c r="AQ22" s="1">
        <v>4935</v>
      </c>
      <c r="AR22" s="9">
        <v>0.56781416603198787</v>
      </c>
      <c r="AS22" s="9">
        <v>0.22923076923076924</v>
      </c>
      <c r="AT22" s="9">
        <v>0.12106626047220106</v>
      </c>
      <c r="AU22" s="9">
        <v>8.1888804265041887E-2</v>
      </c>
      <c r="AV22" s="50">
        <v>45918</v>
      </c>
      <c r="AW22" s="47">
        <v>69.900000000000006</v>
      </c>
      <c r="AX22" s="9" t="s">
        <v>51</v>
      </c>
      <c r="AY22" s="50">
        <f t="shared" si="0"/>
        <v>6678</v>
      </c>
      <c r="AZ22" s="9">
        <f t="shared" si="1"/>
        <v>0.57271658173265383</v>
      </c>
      <c r="BA22" s="9">
        <f t="shared" si="2"/>
        <v>0</v>
      </c>
      <c r="BB22" s="9">
        <f t="shared" si="3"/>
        <v>0.42728341826734612</v>
      </c>
      <c r="BC22" s="50"/>
      <c r="BD22" s="9"/>
      <c r="BE22" s="14">
        <v>0.48143545129718812</v>
      </c>
      <c r="BF22" s="11">
        <v>0.30483921081249027</v>
      </c>
      <c r="BG22" s="11">
        <v>0.12346590026409818</v>
      </c>
      <c r="BH22" s="13">
        <v>2.5302936150380612E-2</v>
      </c>
      <c r="BI22" s="13">
        <v>5.6373310548392105E-2</v>
      </c>
    </row>
    <row r="23" spans="2:61" ht="14.5" x14ac:dyDescent="0.35">
      <c r="B23" s="4" t="s">
        <v>3</v>
      </c>
      <c r="C23" s="4" t="s">
        <v>20</v>
      </c>
      <c r="D23" s="4" t="s">
        <v>21</v>
      </c>
      <c r="E23" s="4" t="s">
        <v>994</v>
      </c>
      <c r="F23" s="4" t="s">
        <v>1000</v>
      </c>
      <c r="G23" s="4" t="s">
        <v>48</v>
      </c>
      <c r="H23" s="4">
        <v>62</v>
      </c>
      <c r="I23" s="4" t="s">
        <v>65</v>
      </c>
      <c r="J23" s="4" t="s">
        <v>61</v>
      </c>
      <c r="K23" s="4">
        <v>27878</v>
      </c>
      <c r="L23" s="4"/>
      <c r="M23" s="4"/>
      <c r="N23" s="4"/>
      <c r="O23" s="4"/>
      <c r="P23" s="4"/>
      <c r="Q23" s="4"/>
      <c r="R23" s="4" t="s">
        <v>997</v>
      </c>
      <c r="S23" s="4" t="s">
        <v>50</v>
      </c>
      <c r="T23" s="4">
        <v>49</v>
      </c>
      <c r="U23" s="4" t="s">
        <v>65</v>
      </c>
      <c r="V23" s="4" t="s">
        <v>61</v>
      </c>
      <c r="W23" s="4">
        <v>17287</v>
      </c>
      <c r="X23" s="4" t="s">
        <v>995</v>
      </c>
      <c r="Y23" s="4" t="s">
        <v>587</v>
      </c>
      <c r="Z23" s="4">
        <v>42</v>
      </c>
      <c r="AA23" s="4" t="s">
        <v>60</v>
      </c>
      <c r="AB23" s="4" t="s">
        <v>61</v>
      </c>
      <c r="AC23" s="4">
        <v>1166</v>
      </c>
      <c r="AD23" s="4" t="s">
        <v>999</v>
      </c>
      <c r="AE23" s="4" t="s">
        <v>64</v>
      </c>
      <c r="AF23" s="4">
        <v>49</v>
      </c>
      <c r="AG23" s="4" t="s">
        <v>65</v>
      </c>
      <c r="AH23" s="4" t="s">
        <v>195</v>
      </c>
      <c r="AI23" s="4">
        <v>171</v>
      </c>
      <c r="AJ23" s="1">
        <v>70776</v>
      </c>
      <c r="AK23" s="1">
        <v>38958</v>
      </c>
      <c r="AL23" s="1">
        <v>21873</v>
      </c>
      <c r="AM23" s="1">
        <v>5338</v>
      </c>
      <c r="AN23" s="1">
        <v>661</v>
      </c>
      <c r="AO23" s="1">
        <v>257</v>
      </c>
      <c r="AP23" s="1">
        <v>9</v>
      </c>
      <c r="AQ23" s="1">
        <v>3680</v>
      </c>
      <c r="AR23" s="9">
        <v>0.55044082739911837</v>
      </c>
      <c r="AS23" s="9">
        <v>0.30904543913190913</v>
      </c>
      <c r="AT23" s="9">
        <v>7.5421046682491236E-2</v>
      </c>
      <c r="AU23" s="9">
        <v>6.5092686786481294E-2</v>
      </c>
      <c r="AV23" s="50">
        <v>46502</v>
      </c>
      <c r="AW23" s="47">
        <v>65.7</v>
      </c>
      <c r="AX23" s="9" t="s">
        <v>48</v>
      </c>
      <c r="AY23" s="50">
        <f t="shared" si="0"/>
        <v>10591</v>
      </c>
      <c r="AZ23" s="9">
        <f t="shared" si="1"/>
        <v>0.59950109672702245</v>
      </c>
      <c r="BA23" s="9">
        <f t="shared" si="2"/>
        <v>0</v>
      </c>
      <c r="BB23" s="9">
        <f t="shared" si="3"/>
        <v>0.37174745172250656</v>
      </c>
      <c r="BC23" s="50"/>
      <c r="BD23" s="9"/>
      <c r="BE23" s="14">
        <v>0.54337643919461087</v>
      </c>
      <c r="BF23" s="11">
        <v>0.29280262740487789</v>
      </c>
      <c r="BG23" s="11">
        <v>0.13043721659295751</v>
      </c>
      <c r="BH23" s="13">
        <v>1.1476235794659352E-2</v>
      </c>
      <c r="BI23" s="13">
        <v>1.7335647241038272E-2</v>
      </c>
    </row>
    <row r="24" spans="2:61" ht="14.5" x14ac:dyDescent="0.35">
      <c r="B24" s="4" t="s">
        <v>3</v>
      </c>
      <c r="C24" s="4" t="s">
        <v>20</v>
      </c>
      <c r="D24" s="4" t="s">
        <v>21</v>
      </c>
      <c r="E24" s="4" t="s">
        <v>1002</v>
      </c>
      <c r="F24" s="4" t="s">
        <v>1004</v>
      </c>
      <c r="G24" s="4" t="s">
        <v>49</v>
      </c>
      <c r="H24" s="4">
        <v>46</v>
      </c>
      <c r="I24" s="4" t="s">
        <v>65</v>
      </c>
      <c r="J24" s="4" t="s">
        <v>121</v>
      </c>
      <c r="K24" s="4">
        <v>42519</v>
      </c>
      <c r="L24" s="4"/>
      <c r="M24" s="4"/>
      <c r="N24" s="4"/>
      <c r="O24" s="4"/>
      <c r="P24" s="4"/>
      <c r="Q24" s="4"/>
      <c r="R24" s="4" t="s">
        <v>1003</v>
      </c>
      <c r="S24" s="4" t="s">
        <v>50</v>
      </c>
      <c r="T24" s="4">
        <v>45</v>
      </c>
      <c r="U24" s="4" t="s">
        <v>65</v>
      </c>
      <c r="V24" s="4" t="s">
        <v>121</v>
      </c>
      <c r="W24" s="4">
        <v>10586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1">
        <v>79579</v>
      </c>
      <c r="AK24" s="1">
        <v>21190</v>
      </c>
      <c r="AL24" s="1">
        <v>49039</v>
      </c>
      <c r="AM24" s="1">
        <v>6493</v>
      </c>
      <c r="AN24" s="1">
        <v>516</v>
      </c>
      <c r="AO24" s="1">
        <v>248</v>
      </c>
      <c r="AP24" s="1">
        <v>19</v>
      </c>
      <c r="AQ24" s="1">
        <v>2074</v>
      </c>
      <c r="AR24" s="9">
        <v>0.26627627891780498</v>
      </c>
      <c r="AS24" s="9">
        <v>0.6162304125460234</v>
      </c>
      <c r="AT24" s="9">
        <v>8.1591877254049441E-2</v>
      </c>
      <c r="AU24" s="9">
        <v>3.590143128212217E-2</v>
      </c>
      <c r="AV24" s="50">
        <v>53105</v>
      </c>
      <c r="AW24" s="47">
        <v>66.7</v>
      </c>
      <c r="AX24" s="9" t="s">
        <v>49</v>
      </c>
      <c r="AY24" s="50">
        <f t="shared" si="0"/>
        <v>31933</v>
      </c>
      <c r="AZ24" s="9">
        <f t="shared" si="1"/>
        <v>0.80065907165050376</v>
      </c>
      <c r="BA24" s="9">
        <f t="shared" si="2"/>
        <v>0</v>
      </c>
      <c r="BB24" s="9">
        <f t="shared" si="3"/>
        <v>0.19934092834949629</v>
      </c>
      <c r="BC24" s="50"/>
      <c r="BD24" s="9"/>
      <c r="BE24" s="14">
        <v>0.72690782871901172</v>
      </c>
      <c r="BF24" s="11">
        <v>0.15218213821579563</v>
      </c>
      <c r="BG24" s="11">
        <v>7.1427396403954665E-2</v>
      </c>
      <c r="BH24" s="13">
        <v>5.428613729457632E-3</v>
      </c>
      <c r="BI24" s="13">
        <v>3.8855714027208867E-2</v>
      </c>
    </row>
    <row r="25" spans="2:61" ht="14.5" x14ac:dyDescent="0.35">
      <c r="B25" s="4" t="s">
        <v>3</v>
      </c>
      <c r="C25" s="4" t="s">
        <v>22</v>
      </c>
      <c r="D25" s="4" t="s">
        <v>23</v>
      </c>
      <c r="E25" s="4" t="s">
        <v>1006</v>
      </c>
      <c r="F25" s="4"/>
      <c r="G25" s="4"/>
      <c r="H25" s="4"/>
      <c r="I25" s="4"/>
      <c r="J25" s="4"/>
      <c r="K25" s="4"/>
      <c r="L25" s="4" t="s">
        <v>1007</v>
      </c>
      <c r="M25" s="4" t="s">
        <v>68</v>
      </c>
      <c r="N25" s="4">
        <v>58</v>
      </c>
      <c r="O25" s="4" t="s">
        <v>65</v>
      </c>
      <c r="P25" s="4" t="s">
        <v>61</v>
      </c>
      <c r="Q25" s="4">
        <v>26755</v>
      </c>
      <c r="R25" s="4" t="s">
        <v>1011</v>
      </c>
      <c r="S25" s="4" t="s">
        <v>50</v>
      </c>
      <c r="T25" s="4">
        <v>55</v>
      </c>
      <c r="U25" s="4" t="s">
        <v>65</v>
      </c>
      <c r="V25" s="4" t="s">
        <v>61</v>
      </c>
      <c r="W25" s="4">
        <v>23741</v>
      </c>
      <c r="X25" s="4" t="s">
        <v>1009</v>
      </c>
      <c r="Y25" s="4" t="s">
        <v>587</v>
      </c>
      <c r="Z25" s="4">
        <v>34</v>
      </c>
      <c r="AA25" s="4" t="s">
        <v>65</v>
      </c>
      <c r="AB25" s="4" t="s">
        <v>61</v>
      </c>
      <c r="AC25" s="4">
        <v>3110</v>
      </c>
      <c r="AD25" s="4"/>
      <c r="AE25" s="4"/>
      <c r="AF25" s="4"/>
      <c r="AG25" s="4"/>
      <c r="AH25" s="4"/>
      <c r="AI25" s="4"/>
      <c r="AJ25" s="1">
        <v>74419</v>
      </c>
      <c r="AK25" s="1">
        <v>42547</v>
      </c>
      <c r="AL25" s="1">
        <v>21165</v>
      </c>
      <c r="AM25" s="1">
        <v>5559</v>
      </c>
      <c r="AN25" s="1">
        <v>388</v>
      </c>
      <c r="AO25" s="1">
        <v>261</v>
      </c>
      <c r="AP25" s="1">
        <v>914</v>
      </c>
      <c r="AQ25" s="1">
        <v>3585</v>
      </c>
      <c r="AR25" s="9">
        <v>0.57172227522541286</v>
      </c>
      <c r="AS25" s="9">
        <v>0.28440317660812425</v>
      </c>
      <c r="AT25" s="9">
        <v>7.4698665663338659E-2</v>
      </c>
      <c r="AU25" s="9">
        <v>6.9175882503124203E-2</v>
      </c>
      <c r="AV25" s="50">
        <v>53606</v>
      </c>
      <c r="AW25" s="47">
        <v>72</v>
      </c>
      <c r="AX25" s="9" t="s">
        <v>68</v>
      </c>
      <c r="AY25" s="50">
        <f t="shared" si="0"/>
        <v>3014</v>
      </c>
      <c r="AZ25" s="9">
        <f t="shared" si="1"/>
        <v>0</v>
      </c>
      <c r="BA25" s="9">
        <f t="shared" si="2"/>
        <v>0.49910457784576351</v>
      </c>
      <c r="BB25" s="9">
        <f t="shared" si="3"/>
        <v>0.44287952841099876</v>
      </c>
      <c r="BC25" s="50"/>
      <c r="BD25" s="9"/>
      <c r="BE25" s="14">
        <v>0.45793759689231811</v>
      </c>
      <c r="BF25" s="11">
        <v>0.29770665906377519</v>
      </c>
      <c r="BG25" s="11">
        <v>0.22013934674530908</v>
      </c>
      <c r="BH25" s="13">
        <v>1.1511252873358399E-2</v>
      </c>
      <c r="BI25" s="13">
        <v>2.5481565958053423E-3</v>
      </c>
    </row>
    <row r="26" spans="2:61" ht="14.5" x14ac:dyDescent="0.35">
      <c r="B26" s="4" t="s">
        <v>3</v>
      </c>
      <c r="C26" s="4" t="s">
        <v>22</v>
      </c>
      <c r="D26" s="4" t="s">
        <v>23</v>
      </c>
      <c r="E26" s="4" t="s">
        <v>1013</v>
      </c>
      <c r="F26" s="4"/>
      <c r="G26" s="4"/>
      <c r="H26" s="4"/>
      <c r="I26" s="4"/>
      <c r="J26" s="4"/>
      <c r="K26" s="4"/>
      <c r="L26" s="4" t="s">
        <v>1014</v>
      </c>
      <c r="M26" s="4" t="s">
        <v>68</v>
      </c>
      <c r="N26" s="4">
        <v>50</v>
      </c>
      <c r="O26" s="4" t="s">
        <v>60</v>
      </c>
      <c r="P26" s="4" t="s">
        <v>61</v>
      </c>
      <c r="Q26" s="4">
        <v>35806</v>
      </c>
      <c r="R26" s="4" t="s">
        <v>1016</v>
      </c>
      <c r="S26" s="4" t="s">
        <v>52</v>
      </c>
      <c r="T26" s="4">
        <v>49</v>
      </c>
      <c r="U26" s="4" t="s">
        <v>65</v>
      </c>
      <c r="V26" s="4" t="s">
        <v>61</v>
      </c>
      <c r="W26" s="4">
        <v>37068</v>
      </c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1">
        <v>97300</v>
      </c>
      <c r="AK26" s="1">
        <v>67149</v>
      </c>
      <c r="AL26" s="1">
        <v>14395</v>
      </c>
      <c r="AM26" s="1">
        <v>12524</v>
      </c>
      <c r="AN26" s="1">
        <v>475</v>
      </c>
      <c r="AO26" s="1">
        <v>332</v>
      </c>
      <c r="AP26" s="1">
        <v>618</v>
      </c>
      <c r="AQ26" s="1">
        <v>1807</v>
      </c>
      <c r="AR26" s="9">
        <v>0.69012332990750258</v>
      </c>
      <c r="AS26" s="9">
        <v>0.14794450154162384</v>
      </c>
      <c r="AT26" s="9">
        <v>0.12871531346351489</v>
      </c>
      <c r="AU26" s="9">
        <v>3.3216855087358686E-2</v>
      </c>
      <c r="AV26" s="50">
        <v>72874</v>
      </c>
      <c r="AW26" s="47">
        <v>74.900000000000006</v>
      </c>
      <c r="AX26" s="9" t="s">
        <v>52</v>
      </c>
      <c r="AY26" s="50">
        <f t="shared" si="0"/>
        <v>-1262</v>
      </c>
      <c r="AZ26" s="9">
        <f t="shared" si="1"/>
        <v>0</v>
      </c>
      <c r="BA26" s="9">
        <f t="shared" si="2"/>
        <v>0.49134121909048495</v>
      </c>
      <c r="BB26" s="9">
        <f t="shared" si="3"/>
        <v>0.50865878090951511</v>
      </c>
      <c r="BC26" s="50"/>
      <c r="BD26" s="9"/>
      <c r="BE26" s="14">
        <v>0.41548479520739728</v>
      </c>
      <c r="BF26" s="11">
        <v>0.31887738490590611</v>
      </c>
      <c r="BG26" s="11">
        <v>0.24021618805756331</v>
      </c>
      <c r="BH26" s="13">
        <v>1.2515465260141955E-2</v>
      </c>
      <c r="BI26" s="13">
        <v>2.695839031060754E-3</v>
      </c>
    </row>
    <row r="27" spans="2:61" ht="14.5" x14ac:dyDescent="0.35">
      <c r="B27" s="4" t="s">
        <v>3</v>
      </c>
      <c r="C27" s="4" t="s">
        <v>24</v>
      </c>
      <c r="D27" s="4" t="s">
        <v>25</v>
      </c>
      <c r="E27" s="4" t="s">
        <v>1019</v>
      </c>
      <c r="F27" s="4" t="s">
        <v>1020</v>
      </c>
      <c r="G27" s="4" t="s">
        <v>51</v>
      </c>
      <c r="H27" s="4">
        <v>59</v>
      </c>
      <c r="I27" s="4" t="s">
        <v>65</v>
      </c>
      <c r="J27" s="4" t="s">
        <v>121</v>
      </c>
      <c r="K27" s="4">
        <v>54794</v>
      </c>
      <c r="L27" s="4"/>
      <c r="M27" s="4"/>
      <c r="N27" s="4"/>
      <c r="O27" s="4"/>
      <c r="P27" s="4"/>
      <c r="Q27" s="4"/>
      <c r="R27" s="4" t="s">
        <v>1022</v>
      </c>
      <c r="S27" s="4" t="s">
        <v>50</v>
      </c>
      <c r="T27" s="4">
        <v>66</v>
      </c>
      <c r="U27" s="4" t="s">
        <v>65</v>
      </c>
      <c r="V27" s="4" t="s">
        <v>121</v>
      </c>
      <c r="W27" s="4">
        <v>20400</v>
      </c>
      <c r="X27" s="4" t="s">
        <v>1024</v>
      </c>
      <c r="Y27" s="4" t="s">
        <v>1027</v>
      </c>
      <c r="Z27" s="4">
        <v>57</v>
      </c>
      <c r="AA27" s="4" t="s">
        <v>65</v>
      </c>
      <c r="AB27" s="4" t="s">
        <v>195</v>
      </c>
      <c r="AC27" s="4">
        <v>2681</v>
      </c>
      <c r="AD27" s="4"/>
      <c r="AE27" s="4"/>
      <c r="AF27" s="4"/>
      <c r="AG27" s="4"/>
      <c r="AH27" s="4"/>
      <c r="AI27" s="4"/>
      <c r="AJ27" s="1">
        <v>109785</v>
      </c>
      <c r="AK27" s="1">
        <v>42834</v>
      </c>
      <c r="AL27" s="1">
        <v>47688</v>
      </c>
      <c r="AM27" s="1">
        <v>15752</v>
      </c>
      <c r="AN27" s="1">
        <v>638</v>
      </c>
      <c r="AO27" s="1">
        <v>372</v>
      </c>
      <c r="AP27" s="1">
        <v>17</v>
      </c>
      <c r="AQ27" s="1">
        <v>2484</v>
      </c>
      <c r="AR27" s="9">
        <v>0.39016259051783031</v>
      </c>
      <c r="AS27" s="9">
        <v>0.43437628091269298</v>
      </c>
      <c r="AT27" s="9">
        <v>0.1434804390399417</v>
      </c>
      <c r="AU27" s="9">
        <v>3.1980689529534999E-2</v>
      </c>
      <c r="AV27" s="50">
        <v>77875</v>
      </c>
      <c r="AW27" s="47">
        <v>70.900000000000006</v>
      </c>
      <c r="AX27" s="9" t="s">
        <v>51</v>
      </c>
      <c r="AY27" s="50">
        <f t="shared" si="0"/>
        <v>34394</v>
      </c>
      <c r="AZ27" s="9">
        <f t="shared" si="1"/>
        <v>0.70361476725521666</v>
      </c>
      <c r="BA27" s="9">
        <f t="shared" si="2"/>
        <v>0</v>
      </c>
      <c r="BB27" s="9">
        <f t="shared" si="3"/>
        <v>0.26195826645264847</v>
      </c>
      <c r="BC27" s="50"/>
      <c r="BD27" s="9"/>
      <c r="BE27" s="14">
        <v>0.65466785820673223</v>
      </c>
      <c r="BF27" s="11">
        <v>0.22658325886207925</v>
      </c>
      <c r="BG27" s="11">
        <v>9.4286565385761092E-2</v>
      </c>
      <c r="BH27" s="13">
        <v>1.0831099195710455E-2</v>
      </c>
      <c r="BI27" s="13">
        <v>6.5177241584748287E-3</v>
      </c>
    </row>
    <row r="28" spans="2:61" ht="14.5" x14ac:dyDescent="0.35">
      <c r="B28" s="4" t="s">
        <v>3</v>
      </c>
      <c r="C28" s="4" t="s">
        <v>24</v>
      </c>
      <c r="D28" s="4" t="s">
        <v>25</v>
      </c>
      <c r="E28" s="4" t="s">
        <v>1028</v>
      </c>
      <c r="F28" s="4" t="s">
        <v>1031</v>
      </c>
      <c r="G28" s="4" t="s">
        <v>48</v>
      </c>
      <c r="H28" s="4">
        <v>56</v>
      </c>
      <c r="I28" s="4" t="s">
        <v>65</v>
      </c>
      <c r="J28" s="4" t="s">
        <v>61</v>
      </c>
      <c r="K28" s="4">
        <v>32492</v>
      </c>
      <c r="L28" s="4"/>
      <c r="M28" s="4"/>
      <c r="N28" s="4"/>
      <c r="O28" s="4"/>
      <c r="P28" s="4"/>
      <c r="Q28" s="4"/>
      <c r="R28" s="4" t="s">
        <v>1029</v>
      </c>
      <c r="S28" s="4" t="s">
        <v>52</v>
      </c>
      <c r="T28" s="4">
        <v>58</v>
      </c>
      <c r="U28" s="4" t="s">
        <v>65</v>
      </c>
      <c r="V28" s="4" t="s">
        <v>61</v>
      </c>
      <c r="W28" s="4">
        <v>40259</v>
      </c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1">
        <v>97415</v>
      </c>
      <c r="AK28" s="1">
        <v>74456</v>
      </c>
      <c r="AL28" s="1">
        <v>9207</v>
      </c>
      <c r="AM28" s="1">
        <v>8943</v>
      </c>
      <c r="AN28" s="1">
        <v>677</v>
      </c>
      <c r="AO28" s="1">
        <v>507</v>
      </c>
      <c r="AP28" s="1">
        <v>10</v>
      </c>
      <c r="AQ28" s="1">
        <v>3615</v>
      </c>
      <c r="AR28" s="9">
        <v>0.76431761022429812</v>
      </c>
      <c r="AS28" s="9">
        <v>9.4513165323615464E-2</v>
      </c>
      <c r="AT28" s="9">
        <v>9.1803110403941901E-2</v>
      </c>
      <c r="AU28" s="9">
        <v>4.936611404814454E-2</v>
      </c>
      <c r="AV28" s="50">
        <v>72751</v>
      </c>
      <c r="AW28" s="47">
        <v>74.7</v>
      </c>
      <c r="AX28" s="9" t="s">
        <v>52</v>
      </c>
      <c r="AY28" s="50">
        <f t="shared" si="0"/>
        <v>-7767</v>
      </c>
      <c r="AZ28" s="9">
        <f t="shared" si="1"/>
        <v>0.44661929045648857</v>
      </c>
      <c r="BA28" s="9">
        <f t="shared" si="2"/>
        <v>0</v>
      </c>
      <c r="BB28" s="9">
        <f t="shared" si="3"/>
        <v>0.55338070954351148</v>
      </c>
      <c r="BC28" s="50"/>
      <c r="BD28" s="9"/>
      <c r="BE28" s="11">
        <v>0.38613256364250981</v>
      </c>
      <c r="BF28" s="12">
        <v>0.45566476844267623</v>
      </c>
      <c r="BG28" s="11">
        <v>0.12390462074524794</v>
      </c>
      <c r="BH28" s="13">
        <v>1.8176144785084641E-2</v>
      </c>
      <c r="BI28" s="13">
        <v>8.0999557947837846E-3</v>
      </c>
    </row>
    <row r="29" spans="2:61" ht="14.5" x14ac:dyDescent="0.35">
      <c r="B29" s="4" t="s">
        <v>3</v>
      </c>
      <c r="C29" s="4" t="s">
        <v>24</v>
      </c>
      <c r="D29" s="4" t="s">
        <v>25</v>
      </c>
      <c r="E29" s="4" t="s">
        <v>1033</v>
      </c>
      <c r="F29" s="4" t="s">
        <v>1034</v>
      </c>
      <c r="G29" s="4" t="s">
        <v>49</v>
      </c>
      <c r="H29" s="4">
        <v>45</v>
      </c>
      <c r="I29" s="4" t="s">
        <v>65</v>
      </c>
      <c r="J29" s="4" t="s">
        <v>121</v>
      </c>
      <c r="K29" s="4">
        <v>54995</v>
      </c>
      <c r="L29" s="4"/>
      <c r="M29" s="4"/>
      <c r="N29" s="4"/>
      <c r="O29" s="4"/>
      <c r="P29" s="4"/>
      <c r="Q29" s="4"/>
      <c r="R29" s="4" t="s">
        <v>1036</v>
      </c>
      <c r="S29" s="4" t="s">
        <v>50</v>
      </c>
      <c r="T29" s="4">
        <v>35</v>
      </c>
      <c r="U29" s="4" t="s">
        <v>65</v>
      </c>
      <c r="V29" s="4" t="s">
        <v>121</v>
      </c>
      <c r="W29" s="4">
        <v>17163</v>
      </c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1">
        <v>104269</v>
      </c>
      <c r="AK29" s="1">
        <v>34787</v>
      </c>
      <c r="AL29" s="1">
        <v>57510</v>
      </c>
      <c r="AM29" s="1">
        <v>9584</v>
      </c>
      <c r="AN29" s="1">
        <v>649</v>
      </c>
      <c r="AO29" s="1">
        <v>385</v>
      </c>
      <c r="AP29" s="1">
        <v>18</v>
      </c>
      <c r="AQ29" s="1">
        <v>1336</v>
      </c>
      <c r="AR29" s="9">
        <v>0.3336274443986228</v>
      </c>
      <c r="AS29" s="9">
        <v>0.55155415319989642</v>
      </c>
      <c r="AT29" s="9">
        <v>9.1916101621766777E-2</v>
      </c>
      <c r="AU29" s="9">
        <v>2.2902300779714009E-2</v>
      </c>
      <c r="AV29" s="50">
        <v>72158</v>
      </c>
      <c r="AW29" s="47">
        <v>69.2</v>
      </c>
      <c r="AX29" s="9" t="s">
        <v>49</v>
      </c>
      <c r="AY29" s="50">
        <f t="shared" si="0"/>
        <v>37832</v>
      </c>
      <c r="AZ29" s="9">
        <f t="shared" si="1"/>
        <v>0.7621469552925525</v>
      </c>
      <c r="BA29" s="9">
        <f t="shared" si="2"/>
        <v>0</v>
      </c>
      <c r="BB29" s="9">
        <f t="shared" si="3"/>
        <v>0.23785304470744756</v>
      </c>
      <c r="BC29" s="50"/>
      <c r="BD29" s="9"/>
      <c r="BE29" s="14">
        <v>0.68947400951851168</v>
      </c>
      <c r="BF29" s="11">
        <v>0.19851659558687187</v>
      </c>
      <c r="BG29" s="11">
        <v>9.1167562890166268E-2</v>
      </c>
      <c r="BH29" s="13">
        <v>8.1340008653192405E-3</v>
      </c>
      <c r="BI29" s="13">
        <v>5.3278941838185304E-3</v>
      </c>
    </row>
    <row r="30" spans="2:61" ht="14.5" x14ac:dyDescent="0.35">
      <c r="B30" s="4" t="s">
        <v>3</v>
      </c>
      <c r="C30" s="4" t="s">
        <v>26</v>
      </c>
      <c r="D30" s="4" t="s">
        <v>27</v>
      </c>
      <c r="E30" s="4" t="s">
        <v>1039</v>
      </c>
      <c r="F30" s="1" t="s">
        <v>1044</v>
      </c>
      <c r="G30" s="4" t="s">
        <v>49</v>
      </c>
      <c r="H30" s="4">
        <v>38</v>
      </c>
      <c r="I30" s="4" t="s">
        <v>60</v>
      </c>
      <c r="J30" s="4" t="s">
        <v>121</v>
      </c>
      <c r="K30" s="4">
        <v>39684</v>
      </c>
      <c r="L30" s="4"/>
      <c r="M30" s="4"/>
      <c r="N30" s="4"/>
      <c r="O30" s="4"/>
      <c r="P30" s="4"/>
      <c r="Q30" s="4"/>
      <c r="R30" s="4" t="s">
        <v>1040</v>
      </c>
      <c r="S30" s="4" t="s">
        <v>50</v>
      </c>
      <c r="T30" s="4">
        <v>31</v>
      </c>
      <c r="U30" s="4" t="s">
        <v>65</v>
      </c>
      <c r="V30" s="4" t="s">
        <v>121</v>
      </c>
      <c r="W30" s="4">
        <v>3524</v>
      </c>
      <c r="X30" s="4" t="s">
        <v>1042</v>
      </c>
      <c r="Y30" s="4" t="s">
        <v>64</v>
      </c>
      <c r="Z30" s="4">
        <v>42</v>
      </c>
      <c r="AA30" s="4" t="s">
        <v>65</v>
      </c>
      <c r="AB30" s="4" t="s">
        <v>121</v>
      </c>
      <c r="AC30" s="4">
        <v>1229</v>
      </c>
      <c r="AD30" s="4"/>
      <c r="AE30" s="4"/>
      <c r="AF30" s="4"/>
      <c r="AG30" s="4"/>
      <c r="AH30" s="4"/>
      <c r="AI30" s="4"/>
      <c r="AJ30" s="1">
        <v>62822</v>
      </c>
      <c r="AK30" s="1">
        <v>7000</v>
      </c>
      <c r="AL30" s="1">
        <v>49385</v>
      </c>
      <c r="AM30" s="1">
        <v>5535</v>
      </c>
      <c r="AN30" s="1">
        <v>313</v>
      </c>
      <c r="AO30" s="1">
        <v>163</v>
      </c>
      <c r="AP30" s="1">
        <v>6</v>
      </c>
      <c r="AQ30" s="1">
        <v>420</v>
      </c>
      <c r="AR30" s="9">
        <v>0.11142593359014358</v>
      </c>
      <c r="AS30" s="9">
        <v>0.7861099614784629</v>
      </c>
      <c r="AT30" s="9">
        <v>8.8106077488777815E-2</v>
      </c>
      <c r="AU30" s="9">
        <v>1.4358027442615644E-2</v>
      </c>
      <c r="AV30" s="50">
        <v>44437</v>
      </c>
      <c r="AW30" s="47">
        <v>70.7</v>
      </c>
      <c r="AX30" s="9" t="s">
        <v>49</v>
      </c>
      <c r="AY30" s="50">
        <f t="shared" si="0"/>
        <v>36160</v>
      </c>
      <c r="AZ30" s="9">
        <f t="shared" si="1"/>
        <v>0.89303958413034179</v>
      </c>
      <c r="BA30" s="9">
        <f t="shared" si="2"/>
        <v>0</v>
      </c>
      <c r="BB30" s="9">
        <f t="shared" si="3"/>
        <v>7.9303283299952745E-2</v>
      </c>
      <c r="BC30" s="50"/>
      <c r="BD30" s="9"/>
      <c r="BE30" s="14">
        <v>0.86891278570552399</v>
      </c>
      <c r="BF30" s="11">
        <v>4.5099562497444491E-2</v>
      </c>
      <c r="BG30" s="11">
        <v>6.3928527619904321E-2</v>
      </c>
      <c r="BH30" s="13">
        <v>0</v>
      </c>
      <c r="BI30" s="13">
        <v>1.1469109048534163E-2</v>
      </c>
    </row>
    <row r="31" spans="2:61" ht="14.5" x14ac:dyDescent="0.35">
      <c r="B31" s="4" t="s">
        <v>3</v>
      </c>
      <c r="C31" s="4" t="s">
        <v>26</v>
      </c>
      <c r="D31" s="4" t="s">
        <v>27</v>
      </c>
      <c r="E31" s="4" t="s">
        <v>1045</v>
      </c>
      <c r="F31" s="4" t="s">
        <v>1050</v>
      </c>
      <c r="G31" s="4" t="s">
        <v>48</v>
      </c>
      <c r="H31" s="4">
        <v>44</v>
      </c>
      <c r="I31" s="4" t="s">
        <v>65</v>
      </c>
      <c r="J31" s="4" t="s">
        <v>61</v>
      </c>
      <c r="K31" s="4">
        <v>37411</v>
      </c>
      <c r="L31" s="4"/>
      <c r="M31" s="4"/>
      <c r="N31" s="4"/>
      <c r="O31" s="4"/>
      <c r="P31" s="4"/>
      <c r="Q31" s="4"/>
      <c r="R31" s="4" t="s">
        <v>1048</v>
      </c>
      <c r="S31" s="4" t="s">
        <v>50</v>
      </c>
      <c r="T31" s="4">
        <v>55</v>
      </c>
      <c r="U31" s="4" t="s">
        <v>65</v>
      </c>
      <c r="V31" s="4" t="s">
        <v>61</v>
      </c>
      <c r="W31" s="4">
        <v>26659</v>
      </c>
      <c r="X31" s="4" t="s">
        <v>1046</v>
      </c>
      <c r="Y31" s="4" t="s">
        <v>587</v>
      </c>
      <c r="Z31" s="4">
        <v>33</v>
      </c>
      <c r="AA31" s="4" t="s">
        <v>65</v>
      </c>
      <c r="AB31" s="4" t="s">
        <v>61</v>
      </c>
      <c r="AC31" s="4">
        <v>1834</v>
      </c>
      <c r="AD31" s="4"/>
      <c r="AE31" s="4"/>
      <c r="AF31" s="4"/>
      <c r="AG31" s="4"/>
      <c r="AH31" s="4"/>
      <c r="AI31" s="4"/>
      <c r="AJ31" s="1">
        <v>93235</v>
      </c>
      <c r="AK31" s="1">
        <v>51445</v>
      </c>
      <c r="AL31" s="1">
        <v>27474</v>
      </c>
      <c r="AM31" s="1">
        <v>11436</v>
      </c>
      <c r="AN31" s="1">
        <v>789</v>
      </c>
      <c r="AO31" s="1">
        <v>385</v>
      </c>
      <c r="AP31" s="1">
        <v>276</v>
      </c>
      <c r="AQ31" s="1">
        <v>1430</v>
      </c>
      <c r="AR31" s="9">
        <v>0.55177776586046012</v>
      </c>
      <c r="AS31" s="9">
        <v>0.29467474660803344</v>
      </c>
      <c r="AT31" s="9">
        <v>0.12265780018233496</v>
      </c>
      <c r="AU31" s="9">
        <v>3.0889687349171448E-2</v>
      </c>
      <c r="AV31" s="50">
        <v>65904</v>
      </c>
      <c r="AW31" s="47">
        <v>70.7</v>
      </c>
      <c r="AX31" s="9" t="s">
        <v>48</v>
      </c>
      <c r="AY31" s="50">
        <f t="shared" si="0"/>
        <v>10752</v>
      </c>
      <c r="AZ31" s="9">
        <f t="shared" si="1"/>
        <v>0.56765901917941253</v>
      </c>
      <c r="BA31" s="9">
        <f t="shared" si="2"/>
        <v>0</v>
      </c>
      <c r="BB31" s="9">
        <f t="shared" si="3"/>
        <v>0.40451262442340374</v>
      </c>
      <c r="BC31" s="50"/>
      <c r="BD31" s="9"/>
      <c r="BE31" s="14">
        <v>0.50750922922027075</v>
      </c>
      <c r="BF31" s="11">
        <v>0.21917999776261327</v>
      </c>
      <c r="BG31" s="11">
        <v>0.24737107058955141</v>
      </c>
      <c r="BH31" s="13">
        <v>0</v>
      </c>
      <c r="BI31" s="13">
        <v>1.6878286161763061E-2</v>
      </c>
    </row>
    <row r="32" spans="2:61" ht="14.5" x14ac:dyDescent="0.35">
      <c r="B32" s="4" t="s">
        <v>3</v>
      </c>
      <c r="C32" s="4" t="s">
        <v>28</v>
      </c>
      <c r="D32" s="4" t="s">
        <v>29</v>
      </c>
      <c r="E32" s="4" t="s">
        <v>1053</v>
      </c>
      <c r="F32" s="4" t="s">
        <v>1054</v>
      </c>
      <c r="G32" s="4" t="s">
        <v>49</v>
      </c>
      <c r="H32" s="4">
        <v>53</v>
      </c>
      <c r="I32" s="4" t="s">
        <v>65</v>
      </c>
      <c r="J32" s="4" t="s">
        <v>121</v>
      </c>
      <c r="K32" s="4">
        <v>71290</v>
      </c>
      <c r="L32" s="4"/>
      <c r="M32" s="4"/>
      <c r="N32" s="4"/>
      <c r="O32" s="4"/>
      <c r="P32" s="4"/>
      <c r="Q32" s="4"/>
      <c r="R32" s="4" t="s">
        <v>1055</v>
      </c>
      <c r="S32" s="4" t="s">
        <v>50</v>
      </c>
      <c r="T32" s="4">
        <v>50</v>
      </c>
      <c r="U32" s="4" t="s">
        <v>65</v>
      </c>
      <c r="V32" s="4" t="s">
        <v>121</v>
      </c>
      <c r="W32" s="4">
        <v>16755</v>
      </c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1">
        <v>123782</v>
      </c>
      <c r="AK32" s="1">
        <v>31199</v>
      </c>
      <c r="AL32" s="1">
        <v>65792</v>
      </c>
      <c r="AM32" s="1">
        <v>23876</v>
      </c>
      <c r="AN32" s="1">
        <v>803</v>
      </c>
      <c r="AO32" s="1">
        <v>589</v>
      </c>
      <c r="AP32" s="1">
        <v>30</v>
      </c>
      <c r="AQ32" s="1">
        <v>1493</v>
      </c>
      <c r="AR32" s="9">
        <v>0.25204795527621138</v>
      </c>
      <c r="AS32" s="9">
        <v>0.53151508296844452</v>
      </c>
      <c r="AT32" s="9">
        <v>0.19288749575867251</v>
      </c>
      <c r="AU32" s="9">
        <v>2.3549465996671567E-2</v>
      </c>
      <c r="AV32" s="50">
        <v>88045</v>
      </c>
      <c r="AW32" s="47">
        <v>71.099999999999994</v>
      </c>
      <c r="AX32" s="9" t="s">
        <v>49</v>
      </c>
      <c r="AY32" s="50">
        <f t="shared" si="0"/>
        <v>54535</v>
      </c>
      <c r="AZ32" s="9">
        <f t="shared" si="1"/>
        <v>0.80969958543926401</v>
      </c>
      <c r="BA32" s="9">
        <f t="shared" si="2"/>
        <v>0</v>
      </c>
      <c r="BB32" s="9">
        <f t="shared" si="3"/>
        <v>0.19030041456073599</v>
      </c>
      <c r="BC32" s="50"/>
      <c r="BD32" s="9"/>
      <c r="BE32" s="14">
        <v>0.76034351467975292</v>
      </c>
      <c r="BF32" s="11">
        <v>0.14097004822743042</v>
      </c>
      <c r="BG32" s="11">
        <v>9.2795498773161858E-2</v>
      </c>
      <c r="BH32" s="13">
        <v>0</v>
      </c>
      <c r="BI32" s="13">
        <v>0</v>
      </c>
    </row>
    <row r="33" spans="2:61" ht="14.5" x14ac:dyDescent="0.35">
      <c r="B33" s="4" t="s">
        <v>3</v>
      </c>
      <c r="C33" s="4" t="s">
        <v>28</v>
      </c>
      <c r="D33" s="4" t="s">
        <v>29</v>
      </c>
      <c r="E33" s="4" t="s">
        <v>1056</v>
      </c>
      <c r="F33" s="4" t="s">
        <v>1057</v>
      </c>
      <c r="G33" s="4" t="s">
        <v>49</v>
      </c>
      <c r="H33" s="4">
        <v>34</v>
      </c>
      <c r="I33" s="4" t="s">
        <v>60</v>
      </c>
      <c r="J33" s="4" t="s">
        <v>121</v>
      </c>
      <c r="K33" s="4">
        <v>60364</v>
      </c>
      <c r="L33" s="4"/>
      <c r="M33" s="4"/>
      <c r="N33" s="4"/>
      <c r="O33" s="4"/>
      <c r="P33" s="4"/>
      <c r="Q33" s="4"/>
      <c r="R33" s="4" t="s">
        <v>1058</v>
      </c>
      <c r="S33" s="4" t="s">
        <v>50</v>
      </c>
      <c r="T33" s="4">
        <v>56</v>
      </c>
      <c r="U33" s="4" t="s">
        <v>65</v>
      </c>
      <c r="V33" s="4" t="s">
        <v>195</v>
      </c>
      <c r="W33" s="4">
        <v>9173</v>
      </c>
      <c r="X33" s="4" t="s">
        <v>1060</v>
      </c>
      <c r="Y33" s="4" t="s">
        <v>587</v>
      </c>
      <c r="Z33" s="4">
        <v>28</v>
      </c>
      <c r="AA33" s="4" t="s">
        <v>65</v>
      </c>
      <c r="AB33" s="4" t="s">
        <v>61</v>
      </c>
      <c r="AC33" s="4">
        <v>4749</v>
      </c>
      <c r="AD33" s="4"/>
      <c r="AE33" s="4"/>
      <c r="AF33" s="4"/>
      <c r="AG33" s="4"/>
      <c r="AH33" s="4"/>
      <c r="AI33" s="4"/>
      <c r="AJ33" s="1">
        <v>111970</v>
      </c>
      <c r="AK33" s="1">
        <v>30608</v>
      </c>
      <c r="AL33" s="1">
        <v>61840</v>
      </c>
      <c r="AM33" s="1">
        <v>15493</v>
      </c>
      <c r="AN33" s="1">
        <v>1184</v>
      </c>
      <c r="AO33" s="1">
        <v>563</v>
      </c>
      <c r="AP33" s="1">
        <v>6</v>
      </c>
      <c r="AQ33" s="1">
        <v>2276</v>
      </c>
      <c r="AR33" s="9">
        <v>0.27335893542913281</v>
      </c>
      <c r="AS33" s="9">
        <v>0.55229079217647581</v>
      </c>
      <c r="AT33" s="9">
        <v>0.13836741984460124</v>
      </c>
      <c r="AU33" s="9">
        <v>3.5982852549790126E-2</v>
      </c>
      <c r="AV33" s="50">
        <v>74286</v>
      </c>
      <c r="AW33" s="47">
        <v>66.3</v>
      </c>
      <c r="AX33" s="9" t="s">
        <v>49</v>
      </c>
      <c r="AY33" s="50">
        <f t="shared" si="0"/>
        <v>51191</v>
      </c>
      <c r="AZ33" s="9">
        <f t="shared" si="1"/>
        <v>0.81258918234929867</v>
      </c>
      <c r="BA33" s="9">
        <f t="shared" si="2"/>
        <v>0</v>
      </c>
      <c r="BB33" s="9">
        <f t="shared" si="3"/>
        <v>0.12348221737608701</v>
      </c>
      <c r="BC33" s="50"/>
      <c r="BD33" s="9"/>
      <c r="BE33" s="14">
        <v>0.8008122461730709</v>
      </c>
      <c r="BF33" s="11">
        <v>0.11180256169946892</v>
      </c>
      <c r="BG33" s="11">
        <v>8.354889097157138E-2</v>
      </c>
      <c r="BH33" s="13">
        <v>0</v>
      </c>
      <c r="BI33" s="13">
        <v>0</v>
      </c>
    </row>
    <row r="34" spans="2:61" ht="14.5" x14ac:dyDescent="0.35">
      <c r="B34" s="4" t="s">
        <v>3</v>
      </c>
      <c r="C34" s="4" t="s">
        <v>30</v>
      </c>
      <c r="D34" s="4" t="s">
        <v>31</v>
      </c>
      <c r="E34" s="4" t="s">
        <v>1063</v>
      </c>
      <c r="F34" s="4" t="s">
        <v>1067</v>
      </c>
      <c r="G34" s="4" t="s">
        <v>51</v>
      </c>
      <c r="H34" s="4">
        <v>50</v>
      </c>
      <c r="I34" s="4" t="s">
        <v>65</v>
      </c>
      <c r="J34" s="4" t="s">
        <v>61</v>
      </c>
      <c r="K34" s="4">
        <v>32367</v>
      </c>
      <c r="L34" s="4"/>
      <c r="M34" s="4"/>
      <c r="N34" s="4"/>
      <c r="O34" s="4"/>
      <c r="P34" s="4"/>
      <c r="Q34" s="4"/>
      <c r="R34" s="4" t="s">
        <v>1069</v>
      </c>
      <c r="S34" s="4" t="s">
        <v>52</v>
      </c>
      <c r="T34" s="4">
        <v>52</v>
      </c>
      <c r="U34" s="4" t="s">
        <v>65</v>
      </c>
      <c r="V34" s="4" t="s">
        <v>61</v>
      </c>
      <c r="W34" s="4">
        <v>21036</v>
      </c>
      <c r="X34" s="4" t="s">
        <v>1065</v>
      </c>
      <c r="Y34" s="4" t="s">
        <v>587</v>
      </c>
      <c r="Z34" s="4">
        <v>34</v>
      </c>
      <c r="AA34" s="4" t="s">
        <v>65</v>
      </c>
      <c r="AB34" s="4" t="s">
        <v>121</v>
      </c>
      <c r="AC34" s="4">
        <v>1357</v>
      </c>
      <c r="AD34" s="4" t="s">
        <v>1064</v>
      </c>
      <c r="AE34" s="4" t="s">
        <v>64</v>
      </c>
      <c r="AF34" s="4">
        <v>30</v>
      </c>
      <c r="AG34" s="4" t="s">
        <v>65</v>
      </c>
      <c r="AH34" s="4" t="s">
        <v>195</v>
      </c>
      <c r="AI34" s="4">
        <v>693</v>
      </c>
      <c r="AJ34" s="1">
        <v>80371</v>
      </c>
      <c r="AK34" s="1">
        <v>41824</v>
      </c>
      <c r="AL34" s="1">
        <v>16569</v>
      </c>
      <c r="AM34" s="1">
        <v>18805</v>
      </c>
      <c r="AN34" s="1">
        <v>909</v>
      </c>
      <c r="AO34" s="1">
        <v>439</v>
      </c>
      <c r="AP34" s="1">
        <v>17</v>
      </c>
      <c r="AQ34" s="1">
        <v>1808</v>
      </c>
      <c r="AR34" s="9">
        <v>0.52038670664792031</v>
      </c>
      <c r="AS34" s="9">
        <v>0.20615644946560327</v>
      </c>
      <c r="AT34" s="9">
        <v>0.23397742966990581</v>
      </c>
      <c r="AU34" s="9">
        <v>3.9479414216570655E-2</v>
      </c>
      <c r="AV34" s="50">
        <v>55453</v>
      </c>
      <c r="AW34" s="47">
        <v>69</v>
      </c>
      <c r="AX34" s="9" t="s">
        <v>51</v>
      </c>
      <c r="AY34" s="50">
        <f t="shared" si="0"/>
        <v>11331</v>
      </c>
      <c r="AZ34" s="9">
        <f t="shared" si="1"/>
        <v>0.58368347970353274</v>
      </c>
      <c r="BA34" s="9">
        <f t="shared" si="2"/>
        <v>0</v>
      </c>
      <c r="BB34" s="9">
        <f t="shared" si="3"/>
        <v>0.37934827691919282</v>
      </c>
      <c r="BC34" s="50"/>
      <c r="BD34" s="9"/>
      <c r="BE34" s="14">
        <v>0.55985626820631795</v>
      </c>
      <c r="BF34" s="11">
        <v>0.21730712204992239</v>
      </c>
      <c r="BG34" s="11">
        <v>0.16183781332309999</v>
      </c>
      <c r="BH34" s="13">
        <v>3.3264142057248515E-2</v>
      </c>
      <c r="BI34" s="13">
        <v>1.6483804008442498E-2</v>
      </c>
    </row>
    <row r="35" spans="2:61" ht="14.5" x14ac:dyDescent="0.35">
      <c r="B35" s="4" t="s">
        <v>3</v>
      </c>
      <c r="C35" s="4" t="s">
        <v>30</v>
      </c>
      <c r="D35" s="4" t="s">
        <v>31</v>
      </c>
      <c r="E35" s="4" t="s">
        <v>1071</v>
      </c>
      <c r="F35" s="4" t="s">
        <v>1072</v>
      </c>
      <c r="G35" s="4" t="s">
        <v>51</v>
      </c>
      <c r="H35" s="4">
        <v>57</v>
      </c>
      <c r="I35" s="4" t="s">
        <v>65</v>
      </c>
      <c r="J35" s="4" t="s">
        <v>61</v>
      </c>
      <c r="K35" s="4">
        <v>22316</v>
      </c>
      <c r="L35" s="4"/>
      <c r="M35" s="4"/>
      <c r="N35" s="4"/>
      <c r="O35" s="4"/>
      <c r="P35" s="4"/>
      <c r="Q35" s="4"/>
      <c r="R35" s="4" t="s">
        <v>1074</v>
      </c>
      <c r="S35" s="4" t="s">
        <v>50</v>
      </c>
      <c r="T35" s="4">
        <v>39</v>
      </c>
      <c r="U35" s="4" t="s">
        <v>65</v>
      </c>
      <c r="V35" s="4" t="s">
        <v>61</v>
      </c>
      <c r="W35" s="4">
        <v>22316</v>
      </c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1">
        <v>61959</v>
      </c>
      <c r="AK35" s="1">
        <v>40301</v>
      </c>
      <c r="AL35" s="1">
        <v>7456</v>
      </c>
      <c r="AM35" s="1">
        <v>12299</v>
      </c>
      <c r="AN35" s="1">
        <v>230</v>
      </c>
      <c r="AO35" s="1">
        <v>121</v>
      </c>
      <c r="AP35" s="1">
        <v>2</v>
      </c>
      <c r="AQ35" s="1">
        <v>1550</v>
      </c>
      <c r="AR35" s="9">
        <v>0.6504462628512403</v>
      </c>
      <c r="AS35" s="9">
        <v>0.1203376426346455</v>
      </c>
      <c r="AT35" s="9">
        <v>0.19850223534918252</v>
      </c>
      <c r="AU35" s="9">
        <v>3.0713859164931648E-2</v>
      </c>
      <c r="AV35" s="50">
        <v>44602</v>
      </c>
      <c r="AW35" s="47">
        <v>72</v>
      </c>
      <c r="AX35" s="9" t="s">
        <v>50</v>
      </c>
      <c r="AY35" s="50">
        <f t="shared" si="0"/>
        <v>0</v>
      </c>
      <c r="AZ35" s="9">
        <f t="shared" si="1"/>
        <v>0.50033630778888838</v>
      </c>
      <c r="BA35" s="9">
        <f t="shared" si="2"/>
        <v>0</v>
      </c>
      <c r="BB35" s="9">
        <f t="shared" si="3"/>
        <v>0.50033630778888838</v>
      </c>
      <c r="BC35" s="50"/>
      <c r="BD35" s="9"/>
      <c r="BE35" s="14">
        <v>0.41047213494294693</v>
      </c>
      <c r="BF35" s="11">
        <v>0.32452042335042169</v>
      </c>
      <c r="BG35" s="11">
        <v>0.20931867041508187</v>
      </c>
      <c r="BH35" s="13">
        <v>2.4164875144699852E-2</v>
      </c>
      <c r="BI35" s="13">
        <v>1.8583595171159251E-2</v>
      </c>
    </row>
    <row r="36" spans="2:61" ht="14.5" x14ac:dyDescent="0.35">
      <c r="B36" s="4" t="s">
        <v>3</v>
      </c>
      <c r="C36" s="4" t="s">
        <v>30</v>
      </c>
      <c r="D36" s="4" t="s">
        <v>31</v>
      </c>
      <c r="E36" s="4" t="s">
        <v>1076</v>
      </c>
      <c r="F36" s="4" t="s">
        <v>1082</v>
      </c>
      <c r="G36" s="4" t="s">
        <v>49</v>
      </c>
      <c r="H36" s="4">
        <v>43</v>
      </c>
      <c r="I36" s="4" t="s">
        <v>65</v>
      </c>
      <c r="J36" s="4" t="s">
        <v>195</v>
      </c>
      <c r="K36" s="4">
        <v>28227</v>
      </c>
      <c r="L36" s="4"/>
      <c r="M36" s="4"/>
      <c r="N36" s="4"/>
      <c r="O36" s="4"/>
      <c r="P36" s="4"/>
      <c r="Q36" s="4"/>
      <c r="R36" s="4" t="s">
        <v>1079</v>
      </c>
      <c r="S36" s="4" t="s">
        <v>1425</v>
      </c>
      <c r="T36" s="4">
        <v>51</v>
      </c>
      <c r="U36" s="4" t="s">
        <v>65</v>
      </c>
      <c r="V36" s="4" t="s">
        <v>195</v>
      </c>
      <c r="W36" s="4">
        <v>3255</v>
      </c>
      <c r="X36" s="4" t="s">
        <v>1077</v>
      </c>
      <c r="Y36" s="4" t="s">
        <v>587</v>
      </c>
      <c r="Z36" s="4">
        <v>46</v>
      </c>
      <c r="AA36" s="4" t="s">
        <v>65</v>
      </c>
      <c r="AB36" s="4" t="s">
        <v>195</v>
      </c>
      <c r="AC36" s="4">
        <v>1390</v>
      </c>
      <c r="AD36" s="4"/>
      <c r="AE36" s="4"/>
      <c r="AF36" s="4"/>
      <c r="AG36" s="4"/>
      <c r="AH36" s="4"/>
      <c r="AI36" s="4"/>
      <c r="AJ36" s="1">
        <v>54238</v>
      </c>
      <c r="AK36" s="1">
        <v>9182</v>
      </c>
      <c r="AL36" s="1">
        <v>33680</v>
      </c>
      <c r="AM36" s="1">
        <v>9322</v>
      </c>
      <c r="AN36" s="1">
        <v>193</v>
      </c>
      <c r="AO36" s="1">
        <v>140</v>
      </c>
      <c r="AP36" s="1">
        <v>13</v>
      </c>
      <c r="AQ36" s="1">
        <v>1708</v>
      </c>
      <c r="AR36" s="9">
        <v>0.16929090305689737</v>
      </c>
      <c r="AS36" s="9">
        <v>0.6209668498100962</v>
      </c>
      <c r="AT36" s="9">
        <v>0.17187211917843578</v>
      </c>
      <c r="AU36" s="9">
        <v>3.78701279545706E-2</v>
      </c>
      <c r="AV36" s="50">
        <v>32872</v>
      </c>
      <c r="AW36" s="47">
        <v>60.6</v>
      </c>
      <c r="AX36" s="9" t="s">
        <v>49</v>
      </c>
      <c r="AY36" s="50">
        <f t="shared" si="0"/>
        <v>24972</v>
      </c>
      <c r="AZ36" s="9">
        <f t="shared" si="1"/>
        <v>0.85869432952056457</v>
      </c>
      <c r="BA36" s="9">
        <f t="shared" si="2"/>
        <v>0</v>
      </c>
      <c r="BB36" s="9">
        <f t="shared" si="3"/>
        <v>9.9020442930153316E-2</v>
      </c>
      <c r="BC36" s="50"/>
      <c r="BD36" s="9"/>
      <c r="BE36" s="14">
        <v>0.84244754849290282</v>
      </c>
      <c r="BF36" s="11">
        <v>5.1574959000169653E-2</v>
      </c>
      <c r="BG36" s="11">
        <v>7.0095572018322685E-2</v>
      </c>
      <c r="BH36" s="13">
        <v>1.6088898942487134E-2</v>
      </c>
      <c r="BI36" s="13">
        <v>1.2780636769778884E-2</v>
      </c>
    </row>
    <row r="37" spans="2:61" ht="14.5" x14ac:dyDescent="0.35">
      <c r="B37" s="4" t="s">
        <v>3</v>
      </c>
      <c r="C37" s="4" t="s">
        <v>32</v>
      </c>
      <c r="D37" s="4" t="s">
        <v>33</v>
      </c>
      <c r="E37" s="4" t="s">
        <v>1084</v>
      </c>
      <c r="F37" s="4" t="s">
        <v>1087</v>
      </c>
      <c r="G37" s="4" t="s">
        <v>49</v>
      </c>
      <c r="H37" s="4">
        <v>43</v>
      </c>
      <c r="I37" s="4" t="s">
        <v>60</v>
      </c>
      <c r="J37" s="4" t="s">
        <v>121</v>
      </c>
      <c r="K37" s="4">
        <v>33640</v>
      </c>
      <c r="L37" s="4"/>
      <c r="M37" s="4"/>
      <c r="N37" s="4"/>
      <c r="O37" s="4"/>
      <c r="P37" s="4"/>
      <c r="Q37" s="4"/>
      <c r="R37" s="4" t="s">
        <v>1085</v>
      </c>
      <c r="S37" s="4" t="s">
        <v>50</v>
      </c>
      <c r="T37" s="4">
        <v>35</v>
      </c>
      <c r="U37" s="4" t="s">
        <v>60</v>
      </c>
      <c r="V37" s="4" t="s">
        <v>121</v>
      </c>
      <c r="W37" s="4">
        <v>3367</v>
      </c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1">
        <v>58357</v>
      </c>
      <c r="AK37" s="1">
        <v>8737</v>
      </c>
      <c r="AL37" s="1">
        <v>42312</v>
      </c>
      <c r="AM37" s="1">
        <v>5868</v>
      </c>
      <c r="AN37" s="1">
        <v>181</v>
      </c>
      <c r="AO37" s="1">
        <v>102</v>
      </c>
      <c r="AP37" s="1">
        <v>1</v>
      </c>
      <c r="AQ37" s="1">
        <v>1156</v>
      </c>
      <c r="AR37" s="9">
        <v>0.1497164007745429</v>
      </c>
      <c r="AS37" s="9">
        <v>0.72505440649793518</v>
      </c>
      <c r="AT37" s="9">
        <v>0.10055348972702503</v>
      </c>
      <c r="AU37" s="9">
        <v>2.467570300049694E-2</v>
      </c>
      <c r="AV37" s="50">
        <v>37007</v>
      </c>
      <c r="AW37" s="47">
        <v>63.4</v>
      </c>
      <c r="AX37" s="9" t="s">
        <v>49</v>
      </c>
      <c r="AY37" s="50">
        <f t="shared" si="0"/>
        <v>30273</v>
      </c>
      <c r="AZ37" s="9">
        <f t="shared" si="1"/>
        <v>0.90901721295971027</v>
      </c>
      <c r="BA37" s="9">
        <f t="shared" si="2"/>
        <v>0</v>
      </c>
      <c r="BB37" s="9">
        <f t="shared" si="3"/>
        <v>9.098278704028967E-2</v>
      </c>
      <c r="BC37" s="50"/>
      <c r="BD37" s="9"/>
      <c r="BE37" s="14">
        <v>0.87459895728895132</v>
      </c>
      <c r="BF37" s="11">
        <v>5.6446761580108279E-2</v>
      </c>
      <c r="BG37" s="11">
        <v>6.4467615801082817E-2</v>
      </c>
      <c r="BH37" s="13">
        <v>0</v>
      </c>
      <c r="BI37" s="13">
        <v>0</v>
      </c>
    </row>
    <row r="38" spans="2:61" ht="14.5" x14ac:dyDescent="0.35">
      <c r="B38" s="4" t="s">
        <v>3</v>
      </c>
      <c r="C38" s="4" t="s">
        <v>32</v>
      </c>
      <c r="D38" s="4" t="s">
        <v>33</v>
      </c>
      <c r="E38" s="4" t="s">
        <v>1088</v>
      </c>
      <c r="F38" s="4" t="s">
        <v>1089</v>
      </c>
      <c r="G38" s="4" t="s">
        <v>49</v>
      </c>
      <c r="H38" s="4">
        <v>35</v>
      </c>
      <c r="I38" s="4" t="s">
        <v>60</v>
      </c>
      <c r="J38" s="4" t="s">
        <v>61</v>
      </c>
      <c r="K38" s="4">
        <v>39845</v>
      </c>
      <c r="L38" s="4"/>
      <c r="M38" s="4"/>
      <c r="N38" s="4"/>
      <c r="O38" s="4"/>
      <c r="P38" s="4"/>
      <c r="Q38" s="4"/>
      <c r="R38" s="4" t="s">
        <v>1092</v>
      </c>
      <c r="S38" s="4" t="s">
        <v>50</v>
      </c>
      <c r="T38" s="4">
        <v>30</v>
      </c>
      <c r="U38" s="4" t="s">
        <v>65</v>
      </c>
      <c r="V38" s="4" t="s">
        <v>61</v>
      </c>
      <c r="W38" s="4">
        <v>4399</v>
      </c>
      <c r="X38" s="4" t="s">
        <v>1090</v>
      </c>
      <c r="Y38" s="4" t="s">
        <v>587</v>
      </c>
      <c r="Z38" s="4">
        <v>28</v>
      </c>
      <c r="AA38" s="4" t="s">
        <v>60</v>
      </c>
      <c r="AB38" s="4" t="s">
        <v>121</v>
      </c>
      <c r="AC38" s="4">
        <v>2496</v>
      </c>
      <c r="AD38" s="4"/>
      <c r="AE38" s="4"/>
      <c r="AF38" s="4"/>
      <c r="AG38" s="4"/>
      <c r="AH38" s="4"/>
      <c r="AI38" s="4"/>
      <c r="AJ38" s="1">
        <v>73038</v>
      </c>
      <c r="AK38" s="1">
        <v>10955</v>
      </c>
      <c r="AL38" s="1">
        <v>53037</v>
      </c>
      <c r="AM38" s="1">
        <v>6217</v>
      </c>
      <c r="AN38" s="1">
        <v>241</v>
      </c>
      <c r="AO38" s="1">
        <v>143</v>
      </c>
      <c r="AP38" s="1">
        <v>6</v>
      </c>
      <c r="AQ38" s="1">
        <v>2439</v>
      </c>
      <c r="AR38" s="9">
        <v>0.14999041594786275</v>
      </c>
      <c r="AS38" s="9">
        <v>0.72615624743284313</v>
      </c>
      <c r="AT38" s="9">
        <v>8.5120074481776609E-2</v>
      </c>
      <c r="AU38" s="9">
        <v>3.8733262137517453E-2</v>
      </c>
      <c r="AV38" s="50">
        <v>46740</v>
      </c>
      <c r="AW38" s="47">
        <v>64</v>
      </c>
      <c r="AX38" s="9" t="s">
        <v>49</v>
      </c>
      <c r="AY38" s="50">
        <f t="shared" si="0"/>
        <v>35446</v>
      </c>
      <c r="AZ38" s="9">
        <f t="shared" si="1"/>
        <v>0.85248181429182712</v>
      </c>
      <c r="BA38" s="9">
        <f t="shared" si="2"/>
        <v>0</v>
      </c>
      <c r="BB38" s="9">
        <f t="shared" si="3"/>
        <v>9.4116388532306375E-2</v>
      </c>
      <c r="BC38" s="50"/>
      <c r="BD38" s="9"/>
      <c r="BE38" s="14">
        <v>0.85244205709738385</v>
      </c>
      <c r="BF38" s="11">
        <v>7.1958619317616629E-2</v>
      </c>
      <c r="BG38" s="11">
        <v>7.104346961106138E-2</v>
      </c>
      <c r="BH38" s="13">
        <v>0</v>
      </c>
      <c r="BI38" s="13">
        <v>0</v>
      </c>
    </row>
    <row r="39" spans="2:61" ht="14.5" x14ac:dyDescent="0.35">
      <c r="B39" s="4" t="s">
        <v>3</v>
      </c>
      <c r="C39" s="4" t="s">
        <v>32</v>
      </c>
      <c r="D39" s="4" t="s">
        <v>33</v>
      </c>
      <c r="E39" s="4" t="s">
        <v>1094</v>
      </c>
      <c r="F39" s="4" t="s">
        <v>1097</v>
      </c>
      <c r="G39" s="4" t="s">
        <v>51</v>
      </c>
      <c r="H39" s="4">
        <v>33</v>
      </c>
      <c r="I39" s="4" t="s">
        <v>60</v>
      </c>
      <c r="J39" s="4" t="s">
        <v>121</v>
      </c>
      <c r="K39" s="4">
        <v>57051</v>
      </c>
      <c r="L39" s="4"/>
      <c r="M39" s="4"/>
      <c r="N39" s="4"/>
      <c r="O39" s="4"/>
      <c r="P39" s="4"/>
      <c r="Q39" s="4"/>
      <c r="R39" s="4" t="s">
        <v>1095</v>
      </c>
      <c r="S39" s="4" t="s">
        <v>1425</v>
      </c>
      <c r="T39" s="4">
        <v>38</v>
      </c>
      <c r="U39" s="4" t="s">
        <v>60</v>
      </c>
      <c r="V39" s="4" t="s">
        <v>61</v>
      </c>
      <c r="W39" s="4">
        <v>15824</v>
      </c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1">
        <v>110583</v>
      </c>
      <c r="AK39" s="1">
        <v>30563</v>
      </c>
      <c r="AL39" s="1">
        <v>64406</v>
      </c>
      <c r="AM39" s="1">
        <v>11887</v>
      </c>
      <c r="AN39" s="1">
        <v>794</v>
      </c>
      <c r="AO39" s="1">
        <v>402</v>
      </c>
      <c r="AP39" s="1">
        <v>605</v>
      </c>
      <c r="AQ39" s="1">
        <v>1926</v>
      </c>
      <c r="AR39" s="9">
        <v>0.27638063716846167</v>
      </c>
      <c r="AS39" s="9">
        <v>0.58242225296835859</v>
      </c>
      <c r="AT39" s="9">
        <v>0.10749391859508242</v>
      </c>
      <c r="AU39" s="9">
        <v>3.3703191268097267E-2</v>
      </c>
      <c r="AV39" s="50">
        <v>72875</v>
      </c>
      <c r="AW39" s="47">
        <v>65.900000000000006</v>
      </c>
      <c r="AX39" s="9" t="s">
        <v>51</v>
      </c>
      <c r="AY39" s="50">
        <f t="shared" si="0"/>
        <v>41227</v>
      </c>
      <c r="AZ39" s="9">
        <f t="shared" si="1"/>
        <v>0.78286106346483708</v>
      </c>
      <c r="BA39" s="9">
        <f t="shared" si="2"/>
        <v>0</v>
      </c>
      <c r="BB39" s="9">
        <f t="shared" si="3"/>
        <v>0.21713893653516295</v>
      </c>
      <c r="BC39" s="50"/>
      <c r="BD39" s="9"/>
      <c r="BE39" s="14">
        <v>0.76221454963959057</v>
      </c>
      <c r="BF39" s="11">
        <v>0.14487855109334302</v>
      </c>
      <c r="BG39" s="11">
        <v>8.830334968804894E-2</v>
      </c>
      <c r="BH39" s="13">
        <v>0</v>
      </c>
      <c r="BI39" s="13">
        <v>0</v>
      </c>
    </row>
    <row r="40" spans="2:61" ht="14.5" x14ac:dyDescent="0.35">
      <c r="B40" s="4" t="s">
        <v>3</v>
      </c>
      <c r="C40" s="4" t="s">
        <v>34</v>
      </c>
      <c r="D40" s="4" t="s">
        <v>35</v>
      </c>
      <c r="E40" s="4" t="s">
        <v>1100</v>
      </c>
      <c r="F40" s="4" t="s">
        <v>1103</v>
      </c>
      <c r="G40" s="4" t="s">
        <v>51</v>
      </c>
      <c r="H40" s="4">
        <v>53</v>
      </c>
      <c r="I40" s="4" t="s">
        <v>65</v>
      </c>
      <c r="J40" s="4" t="s">
        <v>61</v>
      </c>
      <c r="K40" s="4">
        <v>25541</v>
      </c>
      <c r="L40" s="4"/>
      <c r="M40" s="4"/>
      <c r="N40" s="4"/>
      <c r="O40" s="4"/>
      <c r="P40" s="4"/>
      <c r="Q40" s="4"/>
      <c r="R40" s="4" t="s">
        <v>1101</v>
      </c>
      <c r="S40" s="4" t="s">
        <v>52</v>
      </c>
      <c r="T40" s="4">
        <v>57</v>
      </c>
      <c r="U40" s="4" t="s">
        <v>65</v>
      </c>
      <c r="V40" s="4" t="s">
        <v>61</v>
      </c>
      <c r="W40" s="4">
        <v>27527</v>
      </c>
      <c r="X40" s="4" t="s">
        <v>1105</v>
      </c>
      <c r="Y40" s="4" t="s">
        <v>64</v>
      </c>
      <c r="Z40" s="4">
        <v>35</v>
      </c>
      <c r="AA40" s="4" t="s">
        <v>60</v>
      </c>
      <c r="AB40" s="4" t="s">
        <v>61</v>
      </c>
      <c r="AC40" s="4">
        <v>245</v>
      </c>
      <c r="AD40" s="4"/>
      <c r="AE40" s="4"/>
      <c r="AF40" s="4"/>
      <c r="AG40" s="4"/>
      <c r="AH40" s="4"/>
      <c r="AI40" s="4"/>
      <c r="AJ40" s="1">
        <v>72563</v>
      </c>
      <c r="AK40" s="1">
        <v>48061</v>
      </c>
      <c r="AL40" s="1">
        <v>11276</v>
      </c>
      <c r="AM40" s="1">
        <v>6603</v>
      </c>
      <c r="AN40" s="1">
        <v>310</v>
      </c>
      <c r="AO40" s="1">
        <v>221</v>
      </c>
      <c r="AP40" s="1">
        <v>93</v>
      </c>
      <c r="AQ40" s="1">
        <v>5999</v>
      </c>
      <c r="AR40" s="9">
        <v>0.66233479872662371</v>
      </c>
      <c r="AS40" s="9">
        <v>0.15539600071661866</v>
      </c>
      <c r="AT40" s="9">
        <v>9.0996788997147304E-2</v>
      </c>
      <c r="AU40" s="9">
        <v>9.1272411559610273E-2</v>
      </c>
      <c r="AV40" s="50">
        <v>53313</v>
      </c>
      <c r="AW40" s="47">
        <v>73.5</v>
      </c>
      <c r="AX40" s="9" t="s">
        <v>52</v>
      </c>
      <c r="AY40" s="50">
        <f t="shared" si="0"/>
        <v>-1986</v>
      </c>
      <c r="AZ40" s="9">
        <f t="shared" si="1"/>
        <v>0.47907639787669049</v>
      </c>
      <c r="BA40" s="9">
        <f t="shared" si="2"/>
        <v>0</v>
      </c>
      <c r="BB40" s="9">
        <f t="shared" si="3"/>
        <v>0.51632810008815866</v>
      </c>
      <c r="BC40" s="50"/>
      <c r="BD40" s="9"/>
      <c r="BE40" s="11">
        <v>0.34213440376496645</v>
      </c>
      <c r="BF40" s="11">
        <v>0.24102013980206244</v>
      </c>
      <c r="BG40" s="15">
        <v>0.39917987403972593</v>
      </c>
      <c r="BH40" s="13">
        <v>6.4883382933074952E-3</v>
      </c>
      <c r="BI40" s="13">
        <v>4.4466745103467365E-3</v>
      </c>
    </row>
    <row r="41" spans="2:61" ht="14.5" x14ac:dyDescent="0.35">
      <c r="B41" s="4" t="s">
        <v>3</v>
      </c>
      <c r="C41" s="4" t="s">
        <v>34</v>
      </c>
      <c r="D41" s="4" t="s">
        <v>35</v>
      </c>
      <c r="E41" s="4" t="s">
        <v>1107</v>
      </c>
      <c r="F41" s="4" t="s">
        <v>1108</v>
      </c>
      <c r="G41" s="4" t="s">
        <v>51</v>
      </c>
      <c r="H41" s="4">
        <v>33</v>
      </c>
      <c r="I41" s="4" t="s">
        <v>65</v>
      </c>
      <c r="J41" s="4" t="s">
        <v>61</v>
      </c>
      <c r="K41" s="4">
        <v>34628</v>
      </c>
      <c r="L41" s="4"/>
      <c r="M41" s="4"/>
      <c r="N41" s="4"/>
      <c r="O41" s="4"/>
      <c r="P41" s="4"/>
      <c r="Q41" s="4"/>
      <c r="R41" s="4" t="s">
        <v>1110</v>
      </c>
      <c r="S41" s="4" t="s">
        <v>50</v>
      </c>
      <c r="T41" s="4">
        <v>44</v>
      </c>
      <c r="U41" s="4" t="s">
        <v>65</v>
      </c>
      <c r="V41" s="4" t="s">
        <v>61</v>
      </c>
      <c r="W41" s="4">
        <v>28934</v>
      </c>
      <c r="X41" s="4" t="s">
        <v>1112</v>
      </c>
      <c r="Y41" s="4" t="s">
        <v>1027</v>
      </c>
      <c r="Z41" s="4">
        <v>55</v>
      </c>
      <c r="AA41" s="4" t="s">
        <v>65</v>
      </c>
      <c r="AB41" s="4" t="s">
        <v>195</v>
      </c>
      <c r="AC41" s="4">
        <v>895</v>
      </c>
      <c r="AD41" s="4"/>
      <c r="AE41" s="4"/>
      <c r="AF41" s="4"/>
      <c r="AG41" s="4"/>
      <c r="AH41" s="4"/>
      <c r="AI41" s="4"/>
      <c r="AJ41" s="1">
        <v>90130</v>
      </c>
      <c r="AK41" s="1">
        <v>54487</v>
      </c>
      <c r="AL41" s="1">
        <v>22246</v>
      </c>
      <c r="AM41" s="1">
        <v>9946</v>
      </c>
      <c r="AN41" s="1">
        <v>1008</v>
      </c>
      <c r="AO41" s="1">
        <v>564</v>
      </c>
      <c r="AP41" s="1">
        <v>15</v>
      </c>
      <c r="AQ41" s="1">
        <v>1864</v>
      </c>
      <c r="AR41" s="9">
        <v>0.60453788971485634</v>
      </c>
      <c r="AS41" s="9">
        <v>0.2468212581826251</v>
      </c>
      <c r="AT41" s="9">
        <v>0.11035171419061356</v>
      </c>
      <c r="AU41" s="9">
        <v>3.8289137911905025E-2</v>
      </c>
      <c r="AV41" s="50">
        <v>64457</v>
      </c>
      <c r="AW41" s="47">
        <v>71.5</v>
      </c>
      <c r="AX41" s="9" t="s">
        <v>51</v>
      </c>
      <c r="AY41" s="50">
        <f t="shared" si="0"/>
        <v>5694</v>
      </c>
      <c r="AZ41" s="9">
        <f t="shared" si="1"/>
        <v>0.53722636796624101</v>
      </c>
      <c r="BA41" s="9">
        <f t="shared" si="2"/>
        <v>0</v>
      </c>
      <c r="BB41" s="9">
        <f t="shared" si="3"/>
        <v>0.44888840622430459</v>
      </c>
      <c r="BC41" s="50"/>
      <c r="BD41" s="9"/>
      <c r="BE41" s="14">
        <v>0.44295018431366834</v>
      </c>
      <c r="BF41" s="11">
        <v>0.20217679541911326</v>
      </c>
      <c r="BG41" s="11">
        <v>0.33810266198475952</v>
      </c>
      <c r="BH41" s="13">
        <v>6.3089184503081607E-3</v>
      </c>
      <c r="BI41" s="13">
        <v>4.2108023836929754E-3</v>
      </c>
    </row>
    <row r="42" spans="2:61" ht="14.5" x14ac:dyDescent="0.35">
      <c r="B42" s="4" t="s">
        <v>3</v>
      </c>
      <c r="C42" s="4" t="s">
        <v>36</v>
      </c>
      <c r="D42" s="4" t="s">
        <v>37</v>
      </c>
      <c r="E42" s="4" t="s">
        <v>1115</v>
      </c>
      <c r="F42" s="4" t="s">
        <v>1118</v>
      </c>
      <c r="G42" s="4" t="s">
        <v>51</v>
      </c>
      <c r="H42" s="4">
        <v>39</v>
      </c>
      <c r="I42" s="4" t="s">
        <v>65</v>
      </c>
      <c r="J42" s="4" t="s">
        <v>61</v>
      </c>
      <c r="K42" s="4">
        <v>38470</v>
      </c>
      <c r="L42" s="4"/>
      <c r="M42" s="4"/>
      <c r="N42" s="4"/>
      <c r="O42" s="4"/>
      <c r="P42" s="4"/>
      <c r="Q42" s="4"/>
      <c r="R42" s="4" t="s">
        <v>1116</v>
      </c>
      <c r="S42" s="4" t="s">
        <v>52</v>
      </c>
      <c r="T42" s="4">
        <v>38</v>
      </c>
      <c r="U42" s="4" t="s">
        <v>65</v>
      </c>
      <c r="V42" s="4" t="s">
        <v>61</v>
      </c>
      <c r="W42" s="4">
        <v>27636</v>
      </c>
      <c r="X42" s="4" t="s">
        <v>1120</v>
      </c>
      <c r="Y42" s="4" t="s">
        <v>587</v>
      </c>
      <c r="Z42" s="4">
        <v>36</v>
      </c>
      <c r="AA42" s="4" t="s">
        <v>65</v>
      </c>
      <c r="AB42" s="4" t="s">
        <v>61</v>
      </c>
      <c r="AC42" s="4">
        <v>2631</v>
      </c>
      <c r="AD42" s="4"/>
      <c r="AE42" s="4"/>
      <c r="AF42" s="4"/>
      <c r="AG42" s="4"/>
      <c r="AH42" s="4"/>
      <c r="AI42" s="4"/>
      <c r="AJ42" s="1">
        <v>95104</v>
      </c>
      <c r="AK42" s="1">
        <v>68690</v>
      </c>
      <c r="AL42" s="1">
        <v>16448</v>
      </c>
      <c r="AM42" s="1">
        <v>8036</v>
      </c>
      <c r="AN42" s="1">
        <v>532</v>
      </c>
      <c r="AO42" s="1">
        <v>400</v>
      </c>
      <c r="AP42" s="1">
        <v>145</v>
      </c>
      <c r="AQ42" s="1">
        <v>853</v>
      </c>
      <c r="AR42" s="9">
        <v>0.72226194481830419</v>
      </c>
      <c r="AS42" s="9">
        <v>0.17294751009421266</v>
      </c>
      <c r="AT42" s="9">
        <v>8.4496971736204574E-2</v>
      </c>
      <c r="AU42" s="9">
        <v>2.0293573351278599E-2</v>
      </c>
      <c r="AV42" s="50">
        <v>68737</v>
      </c>
      <c r="AW42" s="47">
        <v>72.3</v>
      </c>
      <c r="AX42" s="9" t="s">
        <v>51</v>
      </c>
      <c r="AY42" s="50">
        <f t="shared" si="0"/>
        <v>10834</v>
      </c>
      <c r="AZ42" s="9">
        <f t="shared" si="1"/>
        <v>0.55966946477152046</v>
      </c>
      <c r="BA42" s="9">
        <f t="shared" si="2"/>
        <v>0</v>
      </c>
      <c r="BB42" s="9">
        <f t="shared" si="3"/>
        <v>0.40205420661361418</v>
      </c>
      <c r="BC42" s="50"/>
      <c r="BD42" s="9"/>
      <c r="BE42" s="14">
        <v>0.50547208050877068</v>
      </c>
      <c r="BF42" s="11">
        <v>0.27832832483052622</v>
      </c>
      <c r="BG42" s="11">
        <v>0.18613460060102033</v>
      </c>
      <c r="BH42" s="13">
        <v>2.5648193444685163E-2</v>
      </c>
      <c r="BI42" s="13">
        <v>0</v>
      </c>
    </row>
    <row r="43" spans="2:61" ht="14.5" x14ac:dyDescent="0.35">
      <c r="B43" s="4" t="s">
        <v>3</v>
      </c>
      <c r="C43" s="4" t="s">
        <v>36</v>
      </c>
      <c r="D43" s="4" t="s">
        <v>37</v>
      </c>
      <c r="E43" s="4" t="s">
        <v>1122</v>
      </c>
      <c r="F43" s="4" t="s">
        <v>1125</v>
      </c>
      <c r="G43" s="4" t="s">
        <v>48</v>
      </c>
      <c r="H43" s="4">
        <v>38</v>
      </c>
      <c r="I43" s="4" t="s">
        <v>65</v>
      </c>
      <c r="J43" s="4" t="s">
        <v>61</v>
      </c>
      <c r="K43" s="4">
        <v>29064</v>
      </c>
      <c r="L43" s="4"/>
      <c r="M43" s="4"/>
      <c r="N43" s="4"/>
      <c r="O43" s="4"/>
      <c r="P43" s="4"/>
      <c r="Q43" s="4"/>
      <c r="R43" s="4" t="s">
        <v>1127</v>
      </c>
      <c r="S43" s="4" t="s">
        <v>50</v>
      </c>
      <c r="T43" s="4">
        <v>51</v>
      </c>
      <c r="U43" s="4" t="s">
        <v>60</v>
      </c>
      <c r="V43" s="4" t="s">
        <v>61</v>
      </c>
      <c r="W43" s="4">
        <v>25682</v>
      </c>
      <c r="X43" s="4" t="s">
        <v>1123</v>
      </c>
      <c r="Y43" s="4" t="s">
        <v>587</v>
      </c>
      <c r="Z43" s="4">
        <v>36</v>
      </c>
      <c r="AA43" s="4" t="s">
        <v>60</v>
      </c>
      <c r="AB43" s="4" t="s">
        <v>61</v>
      </c>
      <c r="AC43" s="4">
        <v>1908</v>
      </c>
      <c r="AD43" s="4"/>
      <c r="AE43" s="4"/>
      <c r="AF43" s="4"/>
      <c r="AG43" s="4"/>
      <c r="AH43" s="4"/>
      <c r="AI43" s="4"/>
      <c r="AJ43" s="1">
        <v>75486</v>
      </c>
      <c r="AK43" s="1">
        <v>56536</v>
      </c>
      <c r="AL43" s="1">
        <v>5636</v>
      </c>
      <c r="AM43" s="1">
        <v>11662</v>
      </c>
      <c r="AN43" s="1">
        <v>434</v>
      </c>
      <c r="AO43" s="1">
        <v>188</v>
      </c>
      <c r="AP43" s="1">
        <v>15</v>
      </c>
      <c r="AQ43" s="1">
        <v>1015</v>
      </c>
      <c r="AR43" s="9">
        <v>0.74896007206634341</v>
      </c>
      <c r="AS43" s="9">
        <v>7.4662851389661652E-2</v>
      </c>
      <c r="AT43" s="9">
        <v>0.15449222372360438</v>
      </c>
      <c r="AU43" s="9">
        <v>2.1884852820390537E-2</v>
      </c>
      <c r="AV43" s="50">
        <v>56654</v>
      </c>
      <c r="AW43" s="47">
        <v>75.099999999999994</v>
      </c>
      <c r="AX43" s="9" t="s">
        <v>48</v>
      </c>
      <c r="AY43" s="50">
        <f t="shared" si="0"/>
        <v>3382</v>
      </c>
      <c r="AZ43" s="9">
        <f t="shared" si="1"/>
        <v>0.51300879020016243</v>
      </c>
      <c r="BA43" s="9">
        <f t="shared" si="2"/>
        <v>0</v>
      </c>
      <c r="BB43" s="9">
        <f t="shared" si="3"/>
        <v>0.45331309351502103</v>
      </c>
      <c r="BC43" s="50"/>
      <c r="BD43" s="9"/>
      <c r="BE43" s="14">
        <v>0.39409148873557204</v>
      </c>
      <c r="BF43" s="11">
        <v>0.36029820488506686</v>
      </c>
      <c r="BG43" s="11">
        <v>0.22316319523918518</v>
      </c>
      <c r="BH43" s="13">
        <v>1.463231206879639E-2</v>
      </c>
      <c r="BI43" s="13">
        <v>0</v>
      </c>
    </row>
    <row r="44" spans="2:61" ht="14.5" x14ac:dyDescent="0.35">
      <c r="B44" s="4" t="s">
        <v>3</v>
      </c>
      <c r="C44" s="4" t="s">
        <v>38</v>
      </c>
      <c r="D44" s="4" t="s">
        <v>39</v>
      </c>
      <c r="E44" s="4" t="s">
        <v>1130</v>
      </c>
      <c r="F44" s="4" t="s">
        <v>1135</v>
      </c>
      <c r="G44" s="4" t="s">
        <v>48</v>
      </c>
      <c r="H44" s="4">
        <v>63</v>
      </c>
      <c r="I44" s="4" t="s">
        <v>60</v>
      </c>
      <c r="J44" s="4" t="s">
        <v>61</v>
      </c>
      <c r="K44" s="4">
        <v>26980</v>
      </c>
      <c r="L44" s="4"/>
      <c r="M44" s="4"/>
      <c r="N44" s="4"/>
      <c r="O44" s="4"/>
      <c r="P44" s="4"/>
      <c r="Q44" s="4"/>
      <c r="R44" s="4" t="s">
        <v>1131</v>
      </c>
      <c r="S44" s="4" t="s">
        <v>50</v>
      </c>
      <c r="T44" s="4">
        <v>50</v>
      </c>
      <c r="U44" s="4" t="s">
        <v>65</v>
      </c>
      <c r="V44" s="4" t="s">
        <v>61</v>
      </c>
      <c r="W44" s="4">
        <v>23558</v>
      </c>
      <c r="X44" s="4" t="s">
        <v>1133</v>
      </c>
      <c r="Y44" s="4" t="s">
        <v>1027</v>
      </c>
      <c r="Z44" s="4">
        <v>43</v>
      </c>
      <c r="AA44" s="4" t="s">
        <v>60</v>
      </c>
      <c r="AB44" s="4" t="s">
        <v>195</v>
      </c>
      <c r="AC44" s="4">
        <v>899</v>
      </c>
      <c r="AD44" s="4"/>
      <c r="AE44" s="4"/>
      <c r="AF44" s="4"/>
      <c r="AG44" s="4"/>
      <c r="AH44" s="4"/>
      <c r="AI44" s="4"/>
      <c r="AJ44" s="1">
        <v>65801</v>
      </c>
      <c r="AK44" s="1">
        <v>37588</v>
      </c>
      <c r="AL44" s="1">
        <v>11014</v>
      </c>
      <c r="AM44" s="1">
        <v>16108</v>
      </c>
      <c r="AN44" s="1">
        <v>266</v>
      </c>
      <c r="AO44" s="1">
        <v>131</v>
      </c>
      <c r="AP44" s="1">
        <v>5</v>
      </c>
      <c r="AQ44" s="1">
        <v>689</v>
      </c>
      <c r="AR44" s="9">
        <v>0.57123751918663845</v>
      </c>
      <c r="AS44" s="9">
        <v>0.16738347441528245</v>
      </c>
      <c r="AT44" s="9">
        <v>0.24479871126578623</v>
      </c>
      <c r="AU44" s="9">
        <v>1.6580295132292821E-2</v>
      </c>
      <c r="AV44" s="50">
        <v>51437</v>
      </c>
      <c r="AW44" s="47">
        <v>78.2</v>
      </c>
      <c r="AX44" s="9" t="s">
        <v>48</v>
      </c>
      <c r="AY44" s="50">
        <f t="shared" si="0"/>
        <v>3422</v>
      </c>
      <c r="AZ44" s="9">
        <f t="shared" si="1"/>
        <v>0.52452514726753119</v>
      </c>
      <c r="BA44" s="9">
        <f t="shared" si="2"/>
        <v>0</v>
      </c>
      <c r="BB44" s="9">
        <f t="shared" si="3"/>
        <v>0.45799716157629722</v>
      </c>
      <c r="BC44" s="50"/>
      <c r="BD44" s="9"/>
      <c r="BE44" s="14">
        <v>0.45527746340377373</v>
      </c>
      <c r="BF44" s="11">
        <v>0.32859607784931077</v>
      </c>
      <c r="BG44" s="11">
        <v>0.1862557746896974</v>
      </c>
      <c r="BH44" s="13">
        <v>5.3804337742815265E-3</v>
      </c>
      <c r="BI44" s="13">
        <v>1.5658917605150372E-2</v>
      </c>
    </row>
    <row r="45" spans="2:61" ht="14.5" x14ac:dyDescent="0.35">
      <c r="B45" s="4" t="s">
        <v>3</v>
      </c>
      <c r="C45" s="4" t="s">
        <v>38</v>
      </c>
      <c r="D45" s="4" t="s">
        <v>39</v>
      </c>
      <c r="E45" s="4" t="s">
        <v>1137</v>
      </c>
      <c r="F45" s="4" t="s">
        <v>1138</v>
      </c>
      <c r="G45" s="4" t="s">
        <v>51</v>
      </c>
      <c r="H45" s="4">
        <v>27</v>
      </c>
      <c r="I45" s="4" t="s">
        <v>60</v>
      </c>
      <c r="J45" s="4" t="s">
        <v>61</v>
      </c>
      <c r="K45" s="4">
        <v>22261</v>
      </c>
      <c r="L45" s="4"/>
      <c r="M45" s="4"/>
      <c r="N45" s="4"/>
      <c r="O45" s="4"/>
      <c r="P45" s="4"/>
      <c r="Q45" s="4"/>
      <c r="R45" s="4" t="s">
        <v>1140</v>
      </c>
      <c r="S45" s="4" t="s">
        <v>52</v>
      </c>
      <c r="T45" s="4">
        <v>53</v>
      </c>
      <c r="U45" s="4" t="s">
        <v>65</v>
      </c>
      <c r="V45" s="4" t="s">
        <v>61</v>
      </c>
      <c r="W45" s="4">
        <v>32300</v>
      </c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1">
        <v>68969</v>
      </c>
      <c r="AK45" s="1">
        <v>51317</v>
      </c>
      <c r="AL45" s="1">
        <v>9196</v>
      </c>
      <c r="AM45" s="1">
        <v>7010</v>
      </c>
      <c r="AN45" s="1">
        <v>191</v>
      </c>
      <c r="AO45" s="1">
        <v>110</v>
      </c>
      <c r="AP45" s="1">
        <v>8</v>
      </c>
      <c r="AQ45" s="1">
        <v>1137</v>
      </c>
      <c r="AR45" s="9">
        <v>0.74405892502428628</v>
      </c>
      <c r="AS45" s="9">
        <v>0.13333526656903827</v>
      </c>
      <c r="AT45" s="9">
        <v>0.10163986718670708</v>
      </c>
      <c r="AU45" s="9">
        <v>2.0965941219968393E-2</v>
      </c>
      <c r="AV45" s="50">
        <v>54561</v>
      </c>
      <c r="AW45" s="47">
        <v>79.099999999999994</v>
      </c>
      <c r="AX45" s="9" t="s">
        <v>52</v>
      </c>
      <c r="AY45" s="50">
        <f t="shared" si="0"/>
        <v>-10039</v>
      </c>
      <c r="AZ45" s="9">
        <f t="shared" si="1"/>
        <v>0.40800205274830009</v>
      </c>
      <c r="BA45" s="9">
        <f t="shared" si="2"/>
        <v>0</v>
      </c>
      <c r="BB45" s="9">
        <f t="shared" si="3"/>
        <v>0.59199794725169996</v>
      </c>
      <c r="BC45" s="50"/>
      <c r="BD45" s="9"/>
      <c r="BE45" s="11">
        <v>0.3019321130514061</v>
      </c>
      <c r="BF45" s="12">
        <v>0.41465039624097061</v>
      </c>
      <c r="BG45" s="11">
        <v>0.25131495897328004</v>
      </c>
      <c r="BH45" s="13">
        <v>6.1014096360193565E-3</v>
      </c>
      <c r="BI45" s="13">
        <v>1.8234097762816467E-2</v>
      </c>
    </row>
    <row r="46" spans="2:61" ht="14.5" x14ac:dyDescent="0.35">
      <c r="B46" s="4" t="s">
        <v>3</v>
      </c>
      <c r="C46" s="4" t="s">
        <v>38</v>
      </c>
      <c r="D46" s="4" t="s">
        <v>39</v>
      </c>
      <c r="E46" s="4" t="s">
        <v>1142</v>
      </c>
      <c r="F46" s="4"/>
      <c r="G46" s="4"/>
      <c r="H46" s="4"/>
      <c r="I46" s="4"/>
      <c r="J46" s="4"/>
      <c r="K46" s="4"/>
      <c r="L46" s="4" t="s">
        <v>1145</v>
      </c>
      <c r="M46" s="4" t="s">
        <v>68</v>
      </c>
      <c r="N46" s="4">
        <v>56</v>
      </c>
      <c r="O46" s="4" t="s">
        <v>65</v>
      </c>
      <c r="P46" s="4" t="s">
        <v>61</v>
      </c>
      <c r="Q46" s="4">
        <v>16818</v>
      </c>
      <c r="R46" s="4" t="s">
        <v>1143</v>
      </c>
      <c r="S46" s="4" t="s">
        <v>50</v>
      </c>
      <c r="T46" s="4">
        <v>73</v>
      </c>
      <c r="U46" s="4" t="s">
        <v>65</v>
      </c>
      <c r="V46" s="4" t="s">
        <v>61</v>
      </c>
      <c r="W46" s="4">
        <v>25143</v>
      </c>
      <c r="X46" s="4" t="s">
        <v>1147</v>
      </c>
      <c r="Y46" s="4" t="s">
        <v>214</v>
      </c>
      <c r="Z46" s="4">
        <v>57</v>
      </c>
      <c r="AA46" s="4" t="s">
        <v>65</v>
      </c>
      <c r="AB46" s="4" t="s">
        <v>61</v>
      </c>
      <c r="AC46" s="4">
        <v>742</v>
      </c>
      <c r="AD46" s="4"/>
      <c r="AE46" s="4"/>
      <c r="AF46" s="4"/>
      <c r="AG46" s="4"/>
      <c r="AH46" s="4"/>
      <c r="AI46" s="4"/>
      <c r="AJ46" s="1">
        <v>57613</v>
      </c>
      <c r="AK46" s="1">
        <v>42579</v>
      </c>
      <c r="AL46" s="1">
        <v>8667</v>
      </c>
      <c r="AM46" s="1">
        <v>3901</v>
      </c>
      <c r="AN46" s="1">
        <v>573</v>
      </c>
      <c r="AO46" s="1">
        <v>101</v>
      </c>
      <c r="AP46" s="1">
        <v>99</v>
      </c>
      <c r="AQ46" s="1">
        <v>1693</v>
      </c>
      <c r="AR46" s="9">
        <v>0.7390519500807109</v>
      </c>
      <c r="AS46" s="9">
        <v>0.15043479770190757</v>
      </c>
      <c r="AT46" s="9">
        <v>6.7710412580493984E-2</v>
      </c>
      <c r="AU46" s="9">
        <v>4.280283963688751E-2</v>
      </c>
      <c r="AV46" s="50">
        <v>42703</v>
      </c>
      <c r="AW46" s="47">
        <v>74.099999999999994</v>
      </c>
      <c r="AX46" s="9" t="s">
        <v>50</v>
      </c>
      <c r="AY46" s="50">
        <f t="shared" si="0"/>
        <v>-8325</v>
      </c>
      <c r="AZ46" s="9">
        <f t="shared" si="1"/>
        <v>0</v>
      </c>
      <c r="BA46" s="9">
        <f t="shared" si="2"/>
        <v>0.39383649860665526</v>
      </c>
      <c r="BB46" s="9">
        <f t="shared" si="3"/>
        <v>0.58878767299721335</v>
      </c>
      <c r="BC46" s="50"/>
      <c r="BD46" s="9"/>
      <c r="BE46" s="11">
        <v>0.25757641921397378</v>
      </c>
      <c r="BF46" s="12">
        <v>0.50159388646288205</v>
      </c>
      <c r="BG46" s="11">
        <v>0.21790393013100437</v>
      </c>
      <c r="BH46" s="13">
        <v>7.9475982532751094E-3</v>
      </c>
      <c r="BI46" s="13">
        <v>6.1135371179039302E-3</v>
      </c>
    </row>
    <row r="47" spans="2:61" ht="14.5" x14ac:dyDescent="0.35">
      <c r="B47" s="4" t="s">
        <v>3</v>
      </c>
      <c r="C47" s="4" t="s">
        <v>40</v>
      </c>
      <c r="D47" s="4" t="s">
        <v>41</v>
      </c>
      <c r="E47" s="4" t="s">
        <v>1150</v>
      </c>
      <c r="F47" s="4" t="s">
        <v>1151</v>
      </c>
      <c r="G47" s="4" t="s">
        <v>49</v>
      </c>
      <c r="H47" s="4">
        <v>50</v>
      </c>
      <c r="I47" s="4" t="s">
        <v>65</v>
      </c>
      <c r="J47" s="4" t="s">
        <v>121</v>
      </c>
      <c r="K47" s="4">
        <v>53658</v>
      </c>
      <c r="L47" s="4"/>
      <c r="M47" s="4"/>
      <c r="N47" s="4"/>
      <c r="O47" s="4"/>
      <c r="P47" s="4"/>
      <c r="Q47" s="4"/>
      <c r="R47" s="4" t="s">
        <v>1153</v>
      </c>
      <c r="S47" s="4" t="s">
        <v>1425</v>
      </c>
      <c r="T47" s="4">
        <v>46</v>
      </c>
      <c r="U47" s="4" t="s">
        <v>65</v>
      </c>
      <c r="V47" s="4" t="s">
        <v>121</v>
      </c>
      <c r="W47" s="4">
        <v>7986</v>
      </c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1">
        <v>82826</v>
      </c>
      <c r="AK47" s="1">
        <v>13235</v>
      </c>
      <c r="AL47" s="1">
        <v>56030</v>
      </c>
      <c r="AM47" s="1">
        <v>12554</v>
      </c>
      <c r="AN47" s="1">
        <v>230</v>
      </c>
      <c r="AO47" s="1">
        <v>95</v>
      </c>
      <c r="AP47" s="1">
        <v>5</v>
      </c>
      <c r="AQ47" s="1">
        <v>677</v>
      </c>
      <c r="AR47" s="9">
        <v>0.1597928186801246</v>
      </c>
      <c r="AS47" s="9">
        <v>0.67647840050225772</v>
      </c>
      <c r="AT47" s="9">
        <v>0.15157076280395046</v>
      </c>
      <c r="AU47" s="9">
        <v>1.2158018013667206E-2</v>
      </c>
      <c r="AV47" s="50">
        <v>61644</v>
      </c>
      <c r="AW47" s="47">
        <v>74.400000000000006</v>
      </c>
      <c r="AX47" s="9" t="s">
        <v>49</v>
      </c>
      <c r="AY47" s="50">
        <f t="shared" si="0"/>
        <v>45672</v>
      </c>
      <c r="AZ47" s="9">
        <f t="shared" si="1"/>
        <v>0.87044967880085655</v>
      </c>
      <c r="BA47" s="9">
        <f t="shared" si="2"/>
        <v>0</v>
      </c>
      <c r="BB47" s="9">
        <f t="shared" si="3"/>
        <v>0.12955032119914348</v>
      </c>
      <c r="BC47" s="50"/>
      <c r="BD47" s="9"/>
      <c r="BE47" s="14">
        <v>0.81209753385734362</v>
      </c>
      <c r="BF47" s="11">
        <v>8.9056009388946367E-2</v>
      </c>
      <c r="BG47" s="11">
        <v>7.101934925953951E-2</v>
      </c>
      <c r="BH47" s="13">
        <v>0</v>
      </c>
      <c r="BI47" s="13">
        <v>2.0569204873604398E-2</v>
      </c>
    </row>
    <row r="48" spans="2:61" ht="14.5" x14ac:dyDescent="0.35">
      <c r="B48" s="4" t="s">
        <v>3</v>
      </c>
      <c r="C48" s="4" t="s">
        <v>40</v>
      </c>
      <c r="D48" s="4" t="s">
        <v>41</v>
      </c>
      <c r="E48" s="4" t="s">
        <v>1154</v>
      </c>
      <c r="F48" s="4" t="s">
        <v>1159</v>
      </c>
      <c r="G48" s="4" t="s">
        <v>51</v>
      </c>
      <c r="H48" s="4">
        <v>51</v>
      </c>
      <c r="I48" s="4" t="s">
        <v>65</v>
      </c>
      <c r="J48" s="4" t="s">
        <v>61</v>
      </c>
      <c r="K48" s="4">
        <v>21889</v>
      </c>
      <c r="L48" s="4"/>
      <c r="M48" s="4"/>
      <c r="N48" s="4"/>
      <c r="O48" s="4"/>
      <c r="P48" s="4"/>
      <c r="Q48" s="4"/>
      <c r="R48" s="4" t="s">
        <v>1155</v>
      </c>
      <c r="S48" s="4" t="s">
        <v>52</v>
      </c>
      <c r="T48" s="4">
        <v>59</v>
      </c>
      <c r="U48" s="4" t="s">
        <v>60</v>
      </c>
      <c r="V48" s="4" t="s">
        <v>61</v>
      </c>
      <c r="W48" s="4">
        <v>16658</v>
      </c>
      <c r="X48" s="4" t="s">
        <v>1157</v>
      </c>
      <c r="Y48" s="4" t="s">
        <v>214</v>
      </c>
      <c r="Z48" s="4">
        <v>58</v>
      </c>
      <c r="AA48" s="4" t="s">
        <v>65</v>
      </c>
      <c r="AB48" s="4" t="s">
        <v>61</v>
      </c>
      <c r="AC48" s="4">
        <v>269</v>
      </c>
      <c r="AD48" s="4"/>
      <c r="AE48" s="4"/>
      <c r="AF48" s="4"/>
      <c r="AG48" s="4"/>
      <c r="AH48" s="4"/>
      <c r="AI48" s="4"/>
      <c r="AJ48" s="1">
        <v>51907</v>
      </c>
      <c r="AK48" s="1">
        <v>32109</v>
      </c>
      <c r="AL48" s="1">
        <v>9383</v>
      </c>
      <c r="AM48" s="1">
        <v>8506</v>
      </c>
      <c r="AN48" s="1">
        <v>483</v>
      </c>
      <c r="AO48" s="1">
        <v>189</v>
      </c>
      <c r="AP48" s="1">
        <v>196</v>
      </c>
      <c r="AQ48" s="1">
        <v>1041</v>
      </c>
      <c r="AR48" s="9">
        <v>0.61858708844664501</v>
      </c>
      <c r="AS48" s="9">
        <v>0.18076560001541217</v>
      </c>
      <c r="AT48" s="9">
        <v>0.1638699982661298</v>
      </c>
      <c r="AU48" s="9">
        <v>3.677731327181305E-2</v>
      </c>
      <c r="AV48" s="50">
        <v>38816</v>
      </c>
      <c r="AW48" s="47">
        <v>74.8</v>
      </c>
      <c r="AX48" s="9" t="s">
        <v>51</v>
      </c>
      <c r="AY48" s="50">
        <f t="shared" si="0"/>
        <v>5231</v>
      </c>
      <c r="AZ48" s="9">
        <f t="shared" si="1"/>
        <v>0.56391694146743609</v>
      </c>
      <c r="BA48" s="9">
        <f t="shared" si="2"/>
        <v>0</v>
      </c>
      <c r="BB48" s="9">
        <f t="shared" si="3"/>
        <v>0.42915292662819454</v>
      </c>
      <c r="BC48" s="50"/>
      <c r="BD48" s="9"/>
      <c r="BE48" s="14">
        <v>0.39448163827901939</v>
      </c>
      <c r="BF48" s="11">
        <v>0.30528207147779857</v>
      </c>
      <c r="BG48" s="11">
        <v>0.23816087427389979</v>
      </c>
      <c r="BH48" s="13">
        <v>0</v>
      </c>
      <c r="BI48" s="13">
        <v>5.1319287191099731E-2</v>
      </c>
    </row>
    <row r="49" spans="2:61" ht="14.5" x14ac:dyDescent="0.35">
      <c r="B49" s="4" t="s">
        <v>3</v>
      </c>
      <c r="C49" s="4" t="s">
        <v>40</v>
      </c>
      <c r="D49" s="4" t="s">
        <v>41</v>
      </c>
      <c r="E49" s="4" t="s">
        <v>1161</v>
      </c>
      <c r="F49" s="4" t="s">
        <v>1162</v>
      </c>
      <c r="G49" s="4" t="s">
        <v>49</v>
      </c>
      <c r="H49" s="4">
        <v>48</v>
      </c>
      <c r="I49" s="4" t="s">
        <v>65</v>
      </c>
      <c r="J49" s="4" t="s">
        <v>121</v>
      </c>
      <c r="K49" s="4">
        <v>46999</v>
      </c>
      <c r="L49" s="4"/>
      <c r="M49" s="4"/>
      <c r="N49" s="4"/>
      <c r="O49" s="4"/>
      <c r="P49" s="4"/>
      <c r="Q49" s="4"/>
      <c r="R49" s="4" t="s">
        <v>1164</v>
      </c>
      <c r="S49" s="4" t="s">
        <v>50</v>
      </c>
      <c r="T49" s="4">
        <v>49</v>
      </c>
      <c r="U49" s="4" t="s">
        <v>65</v>
      </c>
      <c r="V49" s="4" t="s">
        <v>195</v>
      </c>
      <c r="W49" s="4">
        <v>6701</v>
      </c>
      <c r="X49" s="4" t="s">
        <v>1166</v>
      </c>
      <c r="Y49" s="4" t="s">
        <v>214</v>
      </c>
      <c r="Z49" s="4">
        <v>61</v>
      </c>
      <c r="AA49" s="4" t="s">
        <v>65</v>
      </c>
      <c r="AB49" s="4" t="s">
        <v>121</v>
      </c>
      <c r="AC49" s="4">
        <v>479</v>
      </c>
      <c r="AD49" s="4"/>
      <c r="AE49" s="4"/>
      <c r="AF49" s="4"/>
      <c r="AG49" s="4"/>
      <c r="AH49" s="4"/>
      <c r="AI49" s="4"/>
      <c r="AJ49" s="1">
        <v>75777</v>
      </c>
      <c r="AK49" s="1">
        <v>11572</v>
      </c>
      <c r="AL49" s="1">
        <v>44904</v>
      </c>
      <c r="AM49" s="1">
        <v>17175</v>
      </c>
      <c r="AN49" s="1">
        <v>835</v>
      </c>
      <c r="AO49" s="1">
        <v>193</v>
      </c>
      <c r="AP49" s="1">
        <v>5</v>
      </c>
      <c r="AQ49" s="1">
        <v>1093</v>
      </c>
      <c r="AR49" s="9">
        <v>0.15271124483682383</v>
      </c>
      <c r="AS49" s="9">
        <v>0.59258086226691475</v>
      </c>
      <c r="AT49" s="9">
        <v>0.2266518864563126</v>
      </c>
      <c r="AU49" s="9">
        <v>2.8056006439948798E-2</v>
      </c>
      <c r="AV49" s="50">
        <v>54179</v>
      </c>
      <c r="AW49" s="47">
        <v>71.5</v>
      </c>
      <c r="AX49" s="9" t="s">
        <v>49</v>
      </c>
      <c r="AY49" s="50">
        <f t="shared" si="0"/>
        <v>40298</v>
      </c>
      <c r="AZ49" s="9">
        <f t="shared" si="1"/>
        <v>0.86747632846674916</v>
      </c>
      <c r="BA49" s="9">
        <f t="shared" si="2"/>
        <v>0</v>
      </c>
      <c r="BB49" s="9">
        <f t="shared" si="3"/>
        <v>0.12368260765241144</v>
      </c>
      <c r="BC49" s="50"/>
      <c r="BD49" s="9"/>
      <c r="BE49" s="14">
        <v>0.8043816823280312</v>
      </c>
      <c r="BF49" s="11">
        <v>8.1894062680455668E-2</v>
      </c>
      <c r="BG49" s="11">
        <v>8.30489789490262E-2</v>
      </c>
      <c r="BH49" s="13">
        <v>0</v>
      </c>
      <c r="BI49" s="13">
        <v>2.3325808878856283E-2</v>
      </c>
    </row>
    <row r="50" spans="2:61" ht="14.5" x14ac:dyDescent="0.35">
      <c r="B50" s="4" t="s">
        <v>3</v>
      </c>
      <c r="C50" s="4" t="s">
        <v>42</v>
      </c>
      <c r="D50" s="4" t="s">
        <v>43</v>
      </c>
      <c r="E50" s="4" t="s">
        <v>1168</v>
      </c>
      <c r="F50" s="4" t="s">
        <v>1169</v>
      </c>
      <c r="G50" s="4" t="s">
        <v>51</v>
      </c>
      <c r="H50" s="4">
        <v>61</v>
      </c>
      <c r="I50" s="4" t="s">
        <v>65</v>
      </c>
      <c r="J50" s="4" t="s">
        <v>195</v>
      </c>
      <c r="K50" s="4">
        <v>54601</v>
      </c>
      <c r="L50" s="4"/>
      <c r="M50" s="4"/>
      <c r="N50" s="4"/>
      <c r="O50" s="4"/>
      <c r="P50" s="4"/>
      <c r="Q50" s="4"/>
      <c r="R50" s="4" t="s">
        <v>1171</v>
      </c>
      <c r="S50" s="4" t="s">
        <v>1425</v>
      </c>
      <c r="T50" s="4">
        <v>67</v>
      </c>
      <c r="U50" s="4" t="s">
        <v>65</v>
      </c>
      <c r="V50" s="4" t="s">
        <v>195</v>
      </c>
      <c r="W50" s="4">
        <v>8252</v>
      </c>
      <c r="X50" s="4" t="s">
        <v>1172</v>
      </c>
      <c r="Y50" s="4" t="s">
        <v>587</v>
      </c>
      <c r="Z50" s="4">
        <v>26</v>
      </c>
      <c r="AA50" s="4" t="s">
        <v>60</v>
      </c>
      <c r="AB50" s="4" t="s">
        <v>195</v>
      </c>
      <c r="AC50" s="4">
        <v>2357</v>
      </c>
      <c r="AD50" s="4" t="s">
        <v>1174</v>
      </c>
      <c r="AE50" s="4" t="s">
        <v>214</v>
      </c>
      <c r="AF50" s="4">
        <v>44</v>
      </c>
      <c r="AG50" s="4" t="s">
        <v>65</v>
      </c>
      <c r="AH50" s="4" t="s">
        <v>195</v>
      </c>
      <c r="AI50" s="4">
        <v>156</v>
      </c>
      <c r="AJ50" s="1">
        <v>90270</v>
      </c>
      <c r="AK50" s="1">
        <v>13553</v>
      </c>
      <c r="AL50" s="1">
        <v>37031</v>
      </c>
      <c r="AM50" s="1">
        <v>37023</v>
      </c>
      <c r="AN50" s="1">
        <v>1490</v>
      </c>
      <c r="AO50" s="1">
        <v>232</v>
      </c>
      <c r="AP50" s="1">
        <v>10</v>
      </c>
      <c r="AQ50" s="1">
        <v>931</v>
      </c>
      <c r="AR50" s="9">
        <v>0.15013847346848344</v>
      </c>
      <c r="AS50" s="9">
        <v>0.41022488091281711</v>
      </c>
      <c r="AT50" s="9">
        <v>0.41013625789298769</v>
      </c>
      <c r="AU50" s="9">
        <v>2.9500387725711754E-2</v>
      </c>
      <c r="AV50" s="50">
        <v>65366</v>
      </c>
      <c r="AW50" s="47">
        <v>72.400000000000006</v>
      </c>
      <c r="AX50" s="9" t="s">
        <v>51</v>
      </c>
      <c r="AY50" s="50">
        <f t="shared" si="0"/>
        <v>46349</v>
      </c>
      <c r="AZ50" s="9">
        <f t="shared" si="1"/>
        <v>0.83531193586880026</v>
      </c>
      <c r="BA50" s="9">
        <f t="shared" si="2"/>
        <v>0</v>
      </c>
      <c r="BB50" s="9">
        <f t="shared" si="3"/>
        <v>0.12624300094850535</v>
      </c>
      <c r="BC50" s="50"/>
      <c r="BD50" s="9"/>
      <c r="BE50" s="14">
        <v>0.79968046149278216</v>
      </c>
      <c r="BF50" s="11">
        <v>0.10054151879763032</v>
      </c>
      <c r="BG50" s="11">
        <v>8.224581842860576E-2</v>
      </c>
      <c r="BH50" s="13">
        <v>4.3830503202454511E-3</v>
      </c>
      <c r="BI50" s="13">
        <v>4.9768829442787058E-3</v>
      </c>
    </row>
    <row r="51" spans="2:61" ht="14.5" x14ac:dyDescent="0.35">
      <c r="B51" s="4" t="s">
        <v>3</v>
      </c>
      <c r="C51" s="4" t="s">
        <v>42</v>
      </c>
      <c r="D51" s="4" t="s">
        <v>43</v>
      </c>
      <c r="E51" s="4" t="s">
        <v>1175</v>
      </c>
      <c r="F51" s="4" t="s">
        <v>1176</v>
      </c>
      <c r="G51" s="4" t="s">
        <v>51</v>
      </c>
      <c r="H51" s="4">
        <v>54</v>
      </c>
      <c r="I51" s="4" t="s">
        <v>65</v>
      </c>
      <c r="J51" s="4" t="s">
        <v>61</v>
      </c>
      <c r="K51" s="4">
        <v>28759</v>
      </c>
      <c r="L51" s="4"/>
      <c r="M51" s="4"/>
      <c r="N51" s="4"/>
      <c r="O51" s="4"/>
      <c r="P51" s="4"/>
      <c r="Q51" s="4"/>
      <c r="R51" s="4" t="s">
        <v>1178</v>
      </c>
      <c r="S51" s="4" t="s">
        <v>1425</v>
      </c>
      <c r="T51" s="4">
        <v>61</v>
      </c>
      <c r="U51" s="4" t="s">
        <v>65</v>
      </c>
      <c r="V51" s="4" t="s">
        <v>61</v>
      </c>
      <c r="W51" s="4">
        <v>28926</v>
      </c>
      <c r="X51" s="4" t="s">
        <v>1180</v>
      </c>
      <c r="Y51" s="4" t="s">
        <v>587</v>
      </c>
      <c r="Z51" s="4">
        <v>27</v>
      </c>
      <c r="AA51" s="4" t="s">
        <v>60</v>
      </c>
      <c r="AB51" s="4" t="s">
        <v>61</v>
      </c>
      <c r="AC51" s="4">
        <v>1341</v>
      </c>
      <c r="AD51" s="4"/>
      <c r="AE51" s="4"/>
      <c r="AF51" s="4"/>
      <c r="AG51" s="4"/>
      <c r="AH51" s="4"/>
      <c r="AI51" s="4"/>
      <c r="AJ51" s="1">
        <v>78605</v>
      </c>
      <c r="AK51" s="1">
        <v>54214</v>
      </c>
      <c r="AL51" s="1">
        <v>10200</v>
      </c>
      <c r="AM51" s="1">
        <v>11910</v>
      </c>
      <c r="AN51" s="1">
        <v>561</v>
      </c>
      <c r="AO51" s="1">
        <v>192</v>
      </c>
      <c r="AP51" s="1">
        <v>17</v>
      </c>
      <c r="AQ51" s="1">
        <v>1511</v>
      </c>
      <c r="AR51" s="9">
        <v>0.68970167292156992</v>
      </c>
      <c r="AS51" s="9">
        <v>0.12976273773932956</v>
      </c>
      <c r="AT51" s="9">
        <v>0.15151707906621717</v>
      </c>
      <c r="AU51" s="9">
        <v>2.9018510272883404E-2</v>
      </c>
      <c r="AV51" s="50">
        <v>78605</v>
      </c>
      <c r="AW51" s="47">
        <v>75.099999999999994</v>
      </c>
      <c r="AX51" s="9" t="s">
        <v>50</v>
      </c>
      <c r="AY51" s="50">
        <f t="shared" si="0"/>
        <v>-167</v>
      </c>
      <c r="AZ51" s="9">
        <f t="shared" si="1"/>
        <v>0.36586731123974303</v>
      </c>
      <c r="BA51" s="9">
        <f t="shared" si="2"/>
        <v>0</v>
      </c>
      <c r="BB51" s="9">
        <f t="shared" si="3"/>
        <v>0.36799185802429873</v>
      </c>
      <c r="BC51" s="50"/>
      <c r="BD51" s="9"/>
      <c r="BE51" s="11">
        <v>0.39161544371878604</v>
      </c>
      <c r="BF51" s="12">
        <v>0.41364131130746573</v>
      </c>
      <c r="BG51" s="11">
        <v>0.16911576386221028</v>
      </c>
      <c r="BH51" s="13">
        <v>1.3830195927775643E-2</v>
      </c>
      <c r="BI51" s="13">
        <v>3.8417210910487898E-3</v>
      </c>
    </row>
    <row r="52" spans="2:61" ht="14.5" x14ac:dyDescent="0.35">
      <c r="B52" s="4" t="s">
        <v>3</v>
      </c>
      <c r="C52" s="4" t="s">
        <v>42</v>
      </c>
      <c r="D52" s="4" t="s">
        <v>43</v>
      </c>
      <c r="E52" s="4" t="s">
        <v>1182</v>
      </c>
      <c r="F52" s="4" t="s">
        <v>1183</v>
      </c>
      <c r="G52" s="4" t="s">
        <v>49</v>
      </c>
      <c r="H52" s="4">
        <v>42</v>
      </c>
      <c r="I52" s="4" t="s">
        <v>65</v>
      </c>
      <c r="J52" s="4" t="s">
        <v>195</v>
      </c>
      <c r="K52" s="4">
        <v>41254</v>
      </c>
      <c r="L52" s="4"/>
      <c r="M52" s="4"/>
      <c r="N52" s="4"/>
      <c r="O52" s="4"/>
      <c r="P52" s="4"/>
      <c r="Q52" s="4"/>
      <c r="R52" s="4" t="s">
        <v>1185</v>
      </c>
      <c r="S52" s="4" t="s">
        <v>50</v>
      </c>
      <c r="T52" s="4">
        <v>55</v>
      </c>
      <c r="U52" s="4" t="s">
        <v>65</v>
      </c>
      <c r="V52" s="4" t="s">
        <v>121</v>
      </c>
      <c r="W52" s="4">
        <v>16966</v>
      </c>
      <c r="X52" s="4" t="s">
        <v>1187</v>
      </c>
      <c r="Y52" s="4" t="s">
        <v>214</v>
      </c>
      <c r="Z52" s="4">
        <v>54</v>
      </c>
      <c r="AA52" s="4" t="s">
        <v>65</v>
      </c>
      <c r="AB52" s="4" t="s">
        <v>195</v>
      </c>
      <c r="AC52" s="4">
        <v>651</v>
      </c>
      <c r="AD52" s="4"/>
      <c r="AE52" s="4"/>
      <c r="AF52" s="4"/>
      <c r="AG52" s="4"/>
      <c r="AH52" s="4"/>
      <c r="AI52" s="4"/>
      <c r="AJ52" s="1">
        <v>81946</v>
      </c>
      <c r="AK52" s="1">
        <v>32624</v>
      </c>
      <c r="AL52" s="1">
        <v>27334</v>
      </c>
      <c r="AM52" s="1">
        <v>18906</v>
      </c>
      <c r="AN52" s="1">
        <v>1319</v>
      </c>
      <c r="AO52" s="1">
        <v>435</v>
      </c>
      <c r="AP52" s="1">
        <v>20</v>
      </c>
      <c r="AQ52" s="1">
        <v>1308</v>
      </c>
      <c r="AR52" s="9">
        <v>0.39811583237741927</v>
      </c>
      <c r="AS52" s="9">
        <v>0.33356112561931028</v>
      </c>
      <c r="AT52" s="9">
        <v>0.23071290850071999</v>
      </c>
      <c r="AU52" s="9">
        <v>3.7610133502550464E-2</v>
      </c>
      <c r="AV52" s="50">
        <v>58871</v>
      </c>
      <c r="AW52" s="47">
        <v>71.8</v>
      </c>
      <c r="AX52" s="9" t="s">
        <v>49</v>
      </c>
      <c r="AY52" s="50">
        <f t="shared" si="0"/>
        <v>24288</v>
      </c>
      <c r="AZ52" s="9">
        <f t="shared" si="1"/>
        <v>0.70075249273836016</v>
      </c>
      <c r="BA52" s="9">
        <f t="shared" si="2"/>
        <v>0</v>
      </c>
      <c r="BB52" s="9">
        <f t="shared" si="3"/>
        <v>0.28818943112907885</v>
      </c>
      <c r="BC52" s="50"/>
      <c r="BD52" s="9"/>
      <c r="BE52" s="14">
        <v>0.64435622894557876</v>
      </c>
      <c r="BF52" s="11">
        <v>0.24465039776052128</v>
      </c>
      <c r="BG52" s="11">
        <v>8.7238450710907967E-2</v>
      </c>
      <c r="BH52" s="13">
        <v>1.3237596672412975E-2</v>
      </c>
      <c r="BI52" s="13">
        <v>3.5901247845134352E-3</v>
      </c>
    </row>
    <row r="53" spans="2:61" ht="14.5" x14ac:dyDescent="0.35">
      <c r="B53" s="4" t="s">
        <v>3</v>
      </c>
      <c r="C53" s="4" t="s">
        <v>44</v>
      </c>
      <c r="D53" s="4" t="s">
        <v>45</v>
      </c>
      <c r="E53" s="4" t="s">
        <v>1190</v>
      </c>
      <c r="F53" s="4"/>
      <c r="G53" s="4"/>
      <c r="H53" s="4"/>
      <c r="I53" s="4"/>
      <c r="J53" s="4"/>
      <c r="K53" s="4"/>
      <c r="L53" s="4" t="s">
        <v>1193</v>
      </c>
      <c r="M53" s="4" t="s">
        <v>68</v>
      </c>
      <c r="N53" s="4">
        <v>39</v>
      </c>
      <c r="O53" s="4" t="s">
        <v>65</v>
      </c>
      <c r="P53" s="4" t="s">
        <v>61</v>
      </c>
      <c r="Q53" s="4">
        <v>19114</v>
      </c>
      <c r="R53" s="4" t="s">
        <v>1191</v>
      </c>
      <c r="S53" s="4" t="s">
        <v>52</v>
      </c>
      <c r="T53" s="4">
        <v>59</v>
      </c>
      <c r="U53" s="4" t="s">
        <v>65</v>
      </c>
      <c r="V53" s="4" t="s">
        <v>61</v>
      </c>
      <c r="W53" s="4">
        <v>30422</v>
      </c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1">
        <v>62907</v>
      </c>
      <c r="AK53" s="1">
        <v>44766</v>
      </c>
      <c r="AL53" s="1">
        <v>5016</v>
      </c>
      <c r="AM53" s="1">
        <v>9013</v>
      </c>
      <c r="AN53" s="1">
        <v>334</v>
      </c>
      <c r="AO53" s="1">
        <v>122</v>
      </c>
      <c r="AP53" s="1">
        <v>2521</v>
      </c>
      <c r="AQ53" s="1">
        <v>1135</v>
      </c>
      <c r="AR53" s="9">
        <v>0.71162191806953123</v>
      </c>
      <c r="AS53" s="9">
        <v>7.9736754256283085E-2</v>
      </c>
      <c r="AT53" s="9">
        <v>0.14327499324399509</v>
      </c>
      <c r="AU53" s="9">
        <v>6.5366334430190604E-2</v>
      </c>
      <c r="AV53" s="50">
        <v>49536</v>
      </c>
      <c r="AW53" s="47">
        <v>78.7</v>
      </c>
      <c r="AX53" s="9" t="s">
        <v>52</v>
      </c>
      <c r="AY53" s="50">
        <f t="shared" si="0"/>
        <v>-11308</v>
      </c>
      <c r="AZ53" s="9">
        <f t="shared" si="1"/>
        <v>0</v>
      </c>
      <c r="BA53" s="9">
        <f t="shared" si="2"/>
        <v>0.38586078811369506</v>
      </c>
      <c r="BB53" s="9">
        <f t="shared" si="3"/>
        <v>0.61413921188630494</v>
      </c>
      <c r="BC53" s="50"/>
      <c r="BD53" s="9"/>
      <c r="BE53" s="11">
        <v>0.25256352663137954</v>
      </c>
      <c r="BF53" s="12">
        <v>0.55633899099591788</v>
      </c>
      <c r="BG53" s="11">
        <v>0.16773765112599856</v>
      </c>
      <c r="BH53" s="13">
        <v>4.7657180804312584E-3</v>
      </c>
      <c r="BI53" s="13">
        <v>5.4883884450868184E-3</v>
      </c>
    </row>
    <row r="54" spans="2:61" ht="14.5" x14ac:dyDescent="0.35">
      <c r="B54" s="4" t="s">
        <v>3</v>
      </c>
      <c r="C54" s="4" t="s">
        <v>44</v>
      </c>
      <c r="D54" s="4" t="s">
        <v>45</v>
      </c>
      <c r="E54" s="4" t="s">
        <v>1195</v>
      </c>
      <c r="F54" s="4" t="s">
        <v>1198</v>
      </c>
      <c r="G54" s="4" t="s">
        <v>49</v>
      </c>
      <c r="H54" s="4">
        <v>49</v>
      </c>
      <c r="I54" s="4" t="s">
        <v>65</v>
      </c>
      <c r="J54" s="4" t="s">
        <v>195</v>
      </c>
      <c r="K54" s="4">
        <v>27223</v>
      </c>
      <c r="L54" s="4"/>
      <c r="M54" s="4"/>
      <c r="N54" s="4"/>
      <c r="O54" s="4"/>
      <c r="P54" s="4"/>
      <c r="Q54" s="4"/>
      <c r="R54" s="4" t="s">
        <v>1197</v>
      </c>
      <c r="S54" s="4" t="s">
        <v>1425</v>
      </c>
      <c r="T54" s="4">
        <v>49</v>
      </c>
      <c r="U54" s="4" t="s">
        <v>65</v>
      </c>
      <c r="V54" s="4" t="s">
        <v>195</v>
      </c>
      <c r="W54" s="4">
        <v>5121</v>
      </c>
      <c r="X54" s="4" t="s">
        <v>1196</v>
      </c>
      <c r="Y54" s="4" t="s">
        <v>64</v>
      </c>
      <c r="Z54" s="4">
        <v>24</v>
      </c>
      <c r="AA54" s="4" t="s">
        <v>65</v>
      </c>
      <c r="AB54" s="4" t="s">
        <v>121</v>
      </c>
      <c r="AC54" s="4">
        <v>1439</v>
      </c>
      <c r="AD54" s="4"/>
      <c r="AE54" s="4"/>
      <c r="AF54" s="4"/>
      <c r="AG54" s="4"/>
      <c r="AH54" s="4"/>
      <c r="AI54" s="4"/>
      <c r="AJ54" s="1">
        <v>44972</v>
      </c>
      <c r="AK54" s="1">
        <v>8129</v>
      </c>
      <c r="AL54" s="1">
        <v>25812</v>
      </c>
      <c r="AM54" s="1">
        <v>10099</v>
      </c>
      <c r="AN54" s="1">
        <v>223</v>
      </c>
      <c r="AO54" s="1">
        <v>48</v>
      </c>
      <c r="AP54" s="1">
        <v>278</v>
      </c>
      <c r="AQ54" s="1">
        <v>383</v>
      </c>
      <c r="AR54" s="9">
        <v>0.18075691541403541</v>
      </c>
      <c r="AS54" s="9">
        <v>0.57395712888019212</v>
      </c>
      <c r="AT54" s="9">
        <v>0.22456194965756471</v>
      </c>
      <c r="AU54" s="9">
        <v>2.0724006048207774E-2</v>
      </c>
      <c r="AV54" s="50">
        <v>33783</v>
      </c>
      <c r="AW54" s="47">
        <v>75.099999999999994</v>
      </c>
      <c r="AX54" s="9" t="s">
        <v>49</v>
      </c>
      <c r="AY54" s="50">
        <f t="shared" si="0"/>
        <v>22102</v>
      </c>
      <c r="AZ54" s="9">
        <f t="shared" si="1"/>
        <v>0.80581949501228434</v>
      </c>
      <c r="BA54" s="9">
        <f t="shared" si="2"/>
        <v>0</v>
      </c>
      <c r="BB54" s="9">
        <f t="shared" si="3"/>
        <v>0.15158511677470918</v>
      </c>
      <c r="BC54" s="50"/>
      <c r="BD54" s="9"/>
      <c r="BE54" s="14">
        <v>0.75399032311884773</v>
      </c>
      <c r="BF54" s="11">
        <v>0.13302930871475446</v>
      </c>
      <c r="BG54" s="11">
        <v>9.2875813358545126E-2</v>
      </c>
      <c r="BH54" s="13">
        <v>3.364662699516156E-3</v>
      </c>
      <c r="BI54" s="13">
        <v>5.8673043768422226E-3</v>
      </c>
    </row>
    <row r="55" spans="2:61" ht="14.5" x14ac:dyDescent="0.35">
      <c r="B55" s="4" t="s">
        <v>3</v>
      </c>
      <c r="C55" s="4" t="s">
        <v>44</v>
      </c>
      <c r="D55" s="4" t="s">
        <v>45</v>
      </c>
      <c r="E55" s="4" t="s">
        <v>1200</v>
      </c>
      <c r="F55" s="4" t="s">
        <v>1202</v>
      </c>
      <c r="G55" s="4" t="s">
        <v>48</v>
      </c>
      <c r="H55" s="4">
        <v>57</v>
      </c>
      <c r="I55" s="4" t="s">
        <v>65</v>
      </c>
      <c r="J55" s="4" t="s">
        <v>61</v>
      </c>
      <c r="K55" s="4">
        <v>15093</v>
      </c>
      <c r="L55" s="4"/>
      <c r="M55" s="4"/>
      <c r="N55" s="4"/>
      <c r="O55" s="4"/>
      <c r="P55" s="4"/>
      <c r="Q55" s="4"/>
      <c r="R55" s="4" t="s">
        <v>1201</v>
      </c>
      <c r="S55" s="4" t="s">
        <v>50</v>
      </c>
      <c r="T55" s="4">
        <v>52</v>
      </c>
      <c r="U55" s="4" t="s">
        <v>65</v>
      </c>
      <c r="V55" s="4" t="s">
        <v>61</v>
      </c>
      <c r="W55" s="4">
        <v>18936</v>
      </c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1">
        <v>43828</v>
      </c>
      <c r="AK55" s="1">
        <v>31144</v>
      </c>
      <c r="AL55" s="1">
        <v>4664</v>
      </c>
      <c r="AM55" s="1">
        <v>6768</v>
      </c>
      <c r="AN55" s="1">
        <v>128</v>
      </c>
      <c r="AO55" s="1">
        <v>113</v>
      </c>
      <c r="AP55" s="1">
        <v>246</v>
      </c>
      <c r="AQ55" s="1">
        <v>765</v>
      </c>
      <c r="AR55" s="9">
        <v>0.71059596604910102</v>
      </c>
      <c r="AS55" s="9">
        <v>0.10641598977822396</v>
      </c>
      <c r="AT55" s="9">
        <v>0.15442183079310029</v>
      </c>
      <c r="AU55" s="9">
        <v>2.8566213379574702E-2</v>
      </c>
      <c r="AV55" s="50">
        <v>34029</v>
      </c>
      <c r="AW55" s="47">
        <v>77.599999999999994</v>
      </c>
      <c r="AX55" s="9" t="s">
        <v>50</v>
      </c>
      <c r="AY55" s="50">
        <f t="shared" si="0"/>
        <v>-3843</v>
      </c>
      <c r="AZ55" s="9">
        <f t="shared" si="1"/>
        <v>0.44353345675747158</v>
      </c>
      <c r="BA55" s="9">
        <f t="shared" si="2"/>
        <v>0</v>
      </c>
      <c r="BB55" s="9">
        <f t="shared" si="3"/>
        <v>0.55646654324252842</v>
      </c>
      <c r="BC55" s="50"/>
      <c r="BD55" s="9"/>
      <c r="BE55" s="11">
        <v>0.29751476588581049</v>
      </c>
      <c r="BF55" s="12">
        <v>0.50243958113390585</v>
      </c>
      <c r="BG55" s="11">
        <v>0.17953034496533227</v>
      </c>
      <c r="BH55" s="13">
        <v>5.9634205495477498E-3</v>
      </c>
      <c r="BI55" s="13">
        <v>5.1074271692298917E-3</v>
      </c>
    </row>
    <row r="56" spans="2:61" ht="14.5" x14ac:dyDescent="0.35">
      <c r="B56" s="4" t="s">
        <v>3</v>
      </c>
      <c r="C56" s="4" t="s">
        <v>46</v>
      </c>
      <c r="D56" s="4" t="s">
        <v>47</v>
      </c>
      <c r="E56" s="4" t="s">
        <v>1205</v>
      </c>
      <c r="F56" s="4" t="s">
        <v>1207</v>
      </c>
      <c r="G56" s="4" t="s">
        <v>51</v>
      </c>
      <c r="H56" s="4">
        <v>62</v>
      </c>
      <c r="I56" s="4" t="s">
        <v>65</v>
      </c>
      <c r="J56" s="4" t="s">
        <v>61</v>
      </c>
      <c r="K56" s="4">
        <v>13860</v>
      </c>
      <c r="L56" s="4"/>
      <c r="M56" s="4"/>
      <c r="N56" s="4"/>
      <c r="O56" s="4"/>
      <c r="P56" s="4"/>
      <c r="Q56" s="4"/>
      <c r="R56" s="4" t="s">
        <v>1206</v>
      </c>
      <c r="S56" s="4" t="s">
        <v>52</v>
      </c>
      <c r="T56" s="4">
        <v>57</v>
      </c>
      <c r="U56" s="4" t="s">
        <v>65</v>
      </c>
      <c r="V56" s="4" t="s">
        <v>61</v>
      </c>
      <c r="W56" s="4">
        <v>11336</v>
      </c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1">
        <v>32312</v>
      </c>
      <c r="AK56" s="1">
        <v>18671</v>
      </c>
      <c r="AL56" s="1">
        <v>8466</v>
      </c>
      <c r="AM56" s="1">
        <v>3785</v>
      </c>
      <c r="AN56" s="1">
        <v>40</v>
      </c>
      <c r="AO56" s="1">
        <v>12</v>
      </c>
      <c r="AP56" s="1">
        <v>1106</v>
      </c>
      <c r="AQ56" s="1">
        <v>232</v>
      </c>
      <c r="AR56" s="9">
        <v>0.57783486011388963</v>
      </c>
      <c r="AS56" s="9">
        <v>0.26200792275315671</v>
      </c>
      <c r="AT56" s="9">
        <v>0.11713914335231493</v>
      </c>
      <c r="AU56" s="9">
        <v>4.3018073780638773E-2</v>
      </c>
      <c r="AV56" s="50">
        <v>25196</v>
      </c>
      <c r="AW56" s="47">
        <v>78</v>
      </c>
      <c r="AX56" s="9" t="s">
        <v>51</v>
      </c>
      <c r="AY56" s="50">
        <f t="shared" si="0"/>
        <v>2524</v>
      </c>
      <c r="AZ56" s="9">
        <f t="shared" si="1"/>
        <v>0.55008731544689637</v>
      </c>
      <c r="BA56" s="9">
        <f t="shared" si="2"/>
        <v>0</v>
      </c>
      <c r="BB56" s="9">
        <f t="shared" si="3"/>
        <v>0.44991268455310368</v>
      </c>
      <c r="BC56" s="50"/>
      <c r="BD56" s="9"/>
      <c r="BE56" s="14">
        <v>0.38872963186481591</v>
      </c>
      <c r="BF56" s="11">
        <v>0.30208961979480992</v>
      </c>
      <c r="BG56" s="11">
        <v>0.28654948702474353</v>
      </c>
      <c r="BH56" s="13">
        <v>5.4315027157513579E-3</v>
      </c>
      <c r="BI56" s="13">
        <v>6.4876282438141222E-3</v>
      </c>
    </row>
    <row r="57" spans="2:61" ht="14.5" x14ac:dyDescent="0.35">
      <c r="B57" s="4" t="s">
        <v>3</v>
      </c>
      <c r="C57" s="4" t="s">
        <v>46</v>
      </c>
      <c r="D57" s="4" t="s">
        <v>47</v>
      </c>
      <c r="E57" s="4" t="s">
        <v>1208</v>
      </c>
      <c r="F57" s="4"/>
      <c r="G57" s="4"/>
      <c r="H57" s="4"/>
      <c r="I57" s="4"/>
      <c r="J57" s="4"/>
      <c r="K57" s="4"/>
      <c r="L57" s="4" t="s">
        <v>1211</v>
      </c>
      <c r="M57" s="4" t="s">
        <v>68</v>
      </c>
      <c r="N57" s="4">
        <v>46</v>
      </c>
      <c r="O57" s="4" t="s">
        <v>65</v>
      </c>
      <c r="P57" s="4" t="s">
        <v>61</v>
      </c>
      <c r="Q57" s="4">
        <v>33154</v>
      </c>
      <c r="R57" s="4" t="s">
        <v>1216</v>
      </c>
      <c r="S57" s="4" t="s">
        <v>50</v>
      </c>
      <c r="T57" s="4">
        <v>65</v>
      </c>
      <c r="U57" s="4" t="s">
        <v>65</v>
      </c>
      <c r="V57" s="4" t="s">
        <v>61</v>
      </c>
      <c r="W57" s="4">
        <v>33561</v>
      </c>
      <c r="X57" s="4" t="s">
        <v>1209</v>
      </c>
      <c r="Y57" s="4" t="s">
        <v>1027</v>
      </c>
      <c r="Z57" s="4">
        <v>37</v>
      </c>
      <c r="AA57" s="4" t="s">
        <v>65</v>
      </c>
      <c r="AB57" s="4" t="s">
        <v>121</v>
      </c>
      <c r="AC57" s="4">
        <v>1782</v>
      </c>
      <c r="AD57" s="4" t="s">
        <v>1212</v>
      </c>
      <c r="AE57" s="4" t="s">
        <v>1215</v>
      </c>
      <c r="AF57" s="4">
        <v>59</v>
      </c>
      <c r="AG57" s="4" t="s">
        <v>65</v>
      </c>
      <c r="AH57" s="4" t="s">
        <v>61</v>
      </c>
      <c r="AI57" s="4">
        <v>668</v>
      </c>
      <c r="AJ57" s="1">
        <v>93931</v>
      </c>
      <c r="AK57" s="1">
        <v>64744</v>
      </c>
      <c r="AL57" s="1">
        <v>13701</v>
      </c>
      <c r="AM57" s="1">
        <v>10024</v>
      </c>
      <c r="AN57" s="1">
        <v>808</v>
      </c>
      <c r="AO57" s="1">
        <v>466</v>
      </c>
      <c r="AP57" s="1">
        <v>2444</v>
      </c>
      <c r="AQ57" s="1">
        <v>1744</v>
      </c>
      <c r="AR57" s="9">
        <v>0.68927191236120133</v>
      </c>
      <c r="AS57" s="9">
        <v>0.1458623883488944</v>
      </c>
      <c r="AT57" s="9">
        <v>0.10671663242167123</v>
      </c>
      <c r="AU57" s="9">
        <v>5.8149066868233068E-2</v>
      </c>
      <c r="AV57" s="50">
        <v>69165</v>
      </c>
      <c r="AW57" s="47">
        <v>73.599999999999994</v>
      </c>
      <c r="AX57" s="9" t="s">
        <v>50</v>
      </c>
      <c r="AY57" s="50">
        <f t="shared" si="0"/>
        <v>-407</v>
      </c>
      <c r="AZ57" s="9">
        <f t="shared" si="1"/>
        <v>0</v>
      </c>
      <c r="BA57" s="9">
        <f t="shared" si="2"/>
        <v>0.47934649027687415</v>
      </c>
      <c r="BB57" s="9">
        <f t="shared" si="3"/>
        <v>0.4852309694209499</v>
      </c>
      <c r="BC57" s="50"/>
      <c r="BD57" s="9"/>
      <c r="BE57" s="14">
        <v>0.38592365744285245</v>
      </c>
      <c r="BF57" s="11">
        <v>0.36508804549928908</v>
      </c>
      <c r="BG57" s="11">
        <v>0.21193809471727004</v>
      </c>
      <c r="BH57" s="13">
        <v>2.1710598271902002E-2</v>
      </c>
      <c r="BI57" s="13">
        <v>6.3846658645958657E-3</v>
      </c>
    </row>
    <row r="58" spans="2:61" ht="14.5" x14ac:dyDescent="0.35">
      <c r="B58" s="4" t="s">
        <v>3</v>
      </c>
      <c r="C58" s="4" t="s">
        <v>46</v>
      </c>
      <c r="D58" s="4" t="s">
        <v>47</v>
      </c>
      <c r="E58" s="4" t="s">
        <v>1218</v>
      </c>
      <c r="F58" s="4" t="s">
        <v>1221</v>
      </c>
      <c r="G58" s="4" t="s">
        <v>49</v>
      </c>
      <c r="H58" s="4">
        <v>49</v>
      </c>
      <c r="I58" s="4" t="s">
        <v>65</v>
      </c>
      <c r="J58" s="4" t="s">
        <v>121</v>
      </c>
      <c r="K58" s="4">
        <v>17984</v>
      </c>
      <c r="L58" s="4"/>
      <c r="M58" s="4"/>
      <c r="N58" s="4"/>
      <c r="O58" s="4"/>
      <c r="P58" s="4"/>
      <c r="Q58" s="4"/>
      <c r="R58" s="4" t="s">
        <v>1219</v>
      </c>
      <c r="S58" s="4" t="s">
        <v>50</v>
      </c>
      <c r="T58" s="4">
        <v>56</v>
      </c>
      <c r="U58" s="4" t="s">
        <v>65</v>
      </c>
      <c r="V58" s="4" t="s">
        <v>61</v>
      </c>
      <c r="W58" s="4">
        <v>16526</v>
      </c>
      <c r="X58" s="4" t="s">
        <v>1222</v>
      </c>
      <c r="Y58" s="4" t="s">
        <v>64</v>
      </c>
      <c r="Z58" s="4">
        <v>35</v>
      </c>
      <c r="AA58" s="4" t="s">
        <v>65</v>
      </c>
      <c r="AB58" s="4" t="s">
        <v>195</v>
      </c>
      <c r="AC58" s="4">
        <v>230</v>
      </c>
      <c r="AD58" s="4"/>
      <c r="AE58" s="4"/>
      <c r="AF58" s="4"/>
      <c r="AG58" s="4"/>
      <c r="AH58" s="4"/>
      <c r="AI58" s="4"/>
      <c r="AJ58" s="1">
        <v>47335</v>
      </c>
      <c r="AK58" s="1">
        <v>26900</v>
      </c>
      <c r="AL58" s="1">
        <v>10679</v>
      </c>
      <c r="AM58" s="1">
        <v>8328</v>
      </c>
      <c r="AN58" s="1">
        <v>419</v>
      </c>
      <c r="AO58" s="1">
        <v>252</v>
      </c>
      <c r="AP58" s="1">
        <v>44</v>
      </c>
      <c r="AQ58" s="1">
        <v>713</v>
      </c>
      <c r="AR58" s="9">
        <v>0.56828984894898071</v>
      </c>
      <c r="AS58" s="9">
        <v>0.22560473222773847</v>
      </c>
      <c r="AT58" s="9">
        <v>0.17593746699059892</v>
      </c>
      <c r="AU58" s="9">
        <v>3.0167951832681946E-2</v>
      </c>
      <c r="AV58" s="50">
        <v>34730</v>
      </c>
      <c r="AW58" s="47">
        <v>73.400000000000006</v>
      </c>
      <c r="AX58" s="9" t="s">
        <v>49</v>
      </c>
      <c r="AY58" s="50">
        <f t="shared" si="0"/>
        <v>1458</v>
      </c>
      <c r="AZ58" s="9">
        <f t="shared" si="1"/>
        <v>0.51782320760149725</v>
      </c>
      <c r="BA58" s="9">
        <f t="shared" si="2"/>
        <v>0</v>
      </c>
      <c r="BB58" s="9">
        <f t="shared" si="3"/>
        <v>0.47584221134465882</v>
      </c>
      <c r="BC58" s="50"/>
      <c r="BD58" s="9"/>
      <c r="BE58" s="14">
        <v>0.47599420741895954</v>
      </c>
      <c r="BF58" s="11">
        <v>0.30753592514202965</v>
      </c>
      <c r="BG58" s="11">
        <v>0.18377520329731536</v>
      </c>
      <c r="BH58" s="13">
        <v>1.5149827336526679E-2</v>
      </c>
      <c r="BI58" s="13">
        <v>7.6027626155731314E-3</v>
      </c>
    </row>
    <row r="59" spans="2:61" ht="14.5" x14ac:dyDescent="0.35">
      <c r="B59" s="4"/>
      <c r="C59" s="4"/>
      <c r="D59" s="4"/>
      <c r="E59" s="4"/>
      <c r="F59" s="4"/>
      <c r="G59" s="4"/>
      <c r="H59" s="4"/>
      <c r="I59" s="4"/>
      <c r="J59" s="4"/>
      <c r="K59" s="4">
        <f>SUM(K2:K58)</f>
        <v>1375827</v>
      </c>
      <c r="L59" s="4"/>
      <c r="M59" s="4"/>
      <c r="N59" s="4"/>
      <c r="O59" s="4"/>
      <c r="P59" s="4"/>
      <c r="Q59" s="4">
        <f>SUM(Q2:Q58)</f>
        <v>246023</v>
      </c>
      <c r="R59" s="4"/>
      <c r="S59" s="4"/>
      <c r="T59" s="4"/>
      <c r="U59" s="4"/>
      <c r="V59" s="4"/>
      <c r="W59" s="4">
        <f>SUM(W2:W58)</f>
        <v>1012543</v>
      </c>
      <c r="X59" s="4"/>
      <c r="Y59" s="4"/>
      <c r="Z59" s="4"/>
      <c r="AA59" s="4"/>
      <c r="AB59" s="4"/>
      <c r="AC59" s="4">
        <f>SUM(AC2:AC58)</f>
        <v>42280</v>
      </c>
      <c r="AD59" s="4"/>
      <c r="AE59" s="4"/>
      <c r="AF59" s="4"/>
      <c r="AG59" s="4"/>
      <c r="AH59" s="4"/>
      <c r="AI59" s="4">
        <f>SUM(AI2:AI58)</f>
        <v>2215</v>
      </c>
      <c r="AJ59" s="1">
        <v>3747057</v>
      </c>
      <c r="AK59" s="1">
        <v>1909667</v>
      </c>
      <c r="AL59" s="1">
        <v>1171140</v>
      </c>
      <c r="AM59" s="1">
        <v>522848</v>
      </c>
      <c r="AN59" s="1">
        <v>22877</v>
      </c>
      <c r="AO59" s="1">
        <v>11509</v>
      </c>
      <c r="AP59" s="1">
        <v>14323</v>
      </c>
      <c r="AQ59" s="1">
        <v>94693</v>
      </c>
      <c r="AR59" s="9">
        <v>0.50964450233876879</v>
      </c>
      <c r="AS59" s="9">
        <v>0.31254928868175746</v>
      </c>
      <c r="AT59" s="9">
        <v>0.13953564090431503</v>
      </c>
      <c r="AU59" s="9">
        <v>3.8270568075158717E-2</v>
      </c>
      <c r="AV59" s="50">
        <f>SUM(AV3:AV58)</f>
        <v>2698427</v>
      </c>
      <c r="AW59" s="47">
        <f>100*(AV59/AJ59)</f>
        <v>72.01457036815826</v>
      </c>
      <c r="AX59" s="9"/>
      <c r="AY59" s="47"/>
      <c r="AZ59" s="9">
        <f t="shared" si="1"/>
        <v>0.50986259772823206</v>
      </c>
      <c r="BA59" s="9">
        <f t="shared" si="2"/>
        <v>9.1172746196209867E-2</v>
      </c>
      <c r="BB59" s="9">
        <f t="shared" si="3"/>
        <v>0.37523453478637742</v>
      </c>
      <c r="BC59" s="47"/>
      <c r="BD59" s="9"/>
      <c r="BE59" s="4"/>
      <c r="BF59" s="4"/>
      <c r="BG59" s="4"/>
      <c r="BH59" s="4"/>
      <c r="BI59" s="4"/>
    </row>
    <row r="60" spans="2:61" ht="14.5" x14ac:dyDescent="0.35">
      <c r="AJ60"/>
      <c r="AK60"/>
      <c r="AL60"/>
      <c r="AM60"/>
      <c r="AN60"/>
      <c r="AO60"/>
      <c r="AP60"/>
      <c r="AQ60"/>
      <c r="AR60" s="10"/>
      <c r="AS60" s="10"/>
      <c r="AT60" s="10"/>
      <c r="AU60" s="10"/>
      <c r="AV60" s="51"/>
      <c r="AW60" s="48"/>
      <c r="AX60" s="10"/>
      <c r="AY60" s="48"/>
      <c r="AZ60" s="48"/>
      <c r="BA60" s="48"/>
      <c r="BB60" s="48"/>
      <c r="BC60" s="48"/>
      <c r="BD60" s="10"/>
    </row>
    <row r="61" spans="2:61" x14ac:dyDescent="0.3">
      <c r="F61" s="5" t="s">
        <v>51</v>
      </c>
      <c r="G61" s="5">
        <f>COUNTIF($G$2:$G$58,F61)</f>
        <v>20</v>
      </c>
      <c r="L61" s="5" t="s">
        <v>68</v>
      </c>
      <c r="M61" s="5">
        <f>COUNTIF(M2:M57,L61)</f>
        <v>12</v>
      </c>
      <c r="R61" s="5" t="s">
        <v>50</v>
      </c>
      <c r="S61" s="5">
        <f>COUNTIF($S$3:$S$58,R61)</f>
        <v>32</v>
      </c>
      <c r="AC61" s="57">
        <f>AC58/AV58</f>
        <v>6.6225165562913907E-3</v>
      </c>
      <c r="AW61" s="5" t="s">
        <v>51</v>
      </c>
      <c r="AX61" s="5">
        <f>COUNTIF($AX$2:$AX$58,AW61)</f>
        <v>12</v>
      </c>
    </row>
    <row r="62" spans="2:61" x14ac:dyDescent="0.3">
      <c r="F62" s="5" t="s">
        <v>49</v>
      </c>
      <c r="G62" s="5">
        <f>COUNTIF($G$2:$G$58,F62)</f>
        <v>15</v>
      </c>
      <c r="R62" s="5" t="s">
        <v>52</v>
      </c>
      <c r="S62" s="5">
        <f>COUNTIF($S$3:$S$58,R62)</f>
        <v>17</v>
      </c>
      <c r="AW62" s="5" t="s">
        <v>49</v>
      </c>
      <c r="AX62" s="5">
        <f>COUNTIF($AX$2:$AX$58,AW62)</f>
        <v>15</v>
      </c>
    </row>
    <row r="63" spans="2:61" x14ac:dyDescent="0.3">
      <c r="F63" s="5" t="s">
        <v>48</v>
      </c>
      <c r="G63" s="5">
        <f>COUNTIF($G$2:$G$58,F63)</f>
        <v>9</v>
      </c>
      <c r="R63" s="5" t="s">
        <v>1425</v>
      </c>
      <c r="S63" s="5">
        <f>COUNTIF($S$3:$S$58,R63)</f>
        <v>7</v>
      </c>
      <c r="AW63" s="5" t="s">
        <v>48</v>
      </c>
      <c r="AX63" s="5">
        <f>COUNTIF($AX$2:$AX$58,AW63)</f>
        <v>5</v>
      </c>
    </row>
    <row r="64" spans="2:61" x14ac:dyDescent="0.3">
      <c r="G64" s="5">
        <f>SUM(G61:G63)</f>
        <v>44</v>
      </c>
      <c r="R64" s="5" t="s">
        <v>1426</v>
      </c>
      <c r="S64" s="5">
        <f>SUM(S61:S63)</f>
        <v>56</v>
      </c>
      <c r="AW64" s="5"/>
    </row>
    <row r="65" spans="49:50" x14ac:dyDescent="0.3">
      <c r="AW65" s="5" t="s">
        <v>68</v>
      </c>
      <c r="AX65" s="5">
        <f>COUNTIF($AX$2:$AX$58,AW65)</f>
        <v>2</v>
      </c>
    </row>
    <row r="66" spans="49:50" x14ac:dyDescent="0.3">
      <c r="AW66" s="5"/>
    </row>
    <row r="67" spans="49:50" x14ac:dyDescent="0.3">
      <c r="AW67" s="5" t="s">
        <v>52</v>
      </c>
      <c r="AX67" s="5">
        <f>COUNTIF($AX$2:$AX$58,AW67)</f>
        <v>10</v>
      </c>
    </row>
    <row r="68" spans="49:50" x14ac:dyDescent="0.3">
      <c r="AW68" s="5" t="s">
        <v>50</v>
      </c>
      <c r="AX68" s="5">
        <f>COUNTIF($AX$2:$AX$58,AW68)</f>
        <v>12</v>
      </c>
    </row>
  </sheetData>
  <mergeCells count="1">
    <mergeCell ref="BE1:BI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9CA17-298E-4167-A9D6-8ADAFDC58660}">
  <dimension ref="A2:BA48"/>
  <sheetViews>
    <sheetView tabSelected="1" workbookViewId="0">
      <pane xSplit="3" ySplit="2" topLeftCell="J15" activePane="bottomRight" state="frozen"/>
      <selection pane="topRight" activeCell="D1" sqref="D1"/>
      <selection pane="bottomLeft" activeCell="A2" sqref="A2"/>
      <selection pane="bottomRight" activeCell="U36" sqref="U36"/>
    </sheetView>
  </sheetViews>
  <sheetFormatPr defaultRowHeight="14.5" outlineLevelCol="1" x14ac:dyDescent="0.35"/>
  <cols>
    <col min="1" max="1" width="14.1796875" bestFit="1" customWidth="1"/>
    <col min="2" max="2" width="16.36328125" bestFit="1" customWidth="1"/>
    <col min="3" max="3" width="17.90625" bestFit="1" customWidth="1"/>
    <col min="4" max="4" width="38.54296875" bestFit="1" customWidth="1"/>
    <col min="5" max="5" width="8.54296875" bestFit="1" customWidth="1"/>
    <col min="6" max="6" width="4" bestFit="1" customWidth="1"/>
    <col min="7" max="7" width="6.6328125" bestFit="1" customWidth="1"/>
    <col min="8" max="8" width="7.08984375" bestFit="1" customWidth="1"/>
    <col min="9" max="9" width="9.36328125" bestFit="1" customWidth="1"/>
    <col min="10" max="10" width="30.6328125" bestFit="1" customWidth="1"/>
    <col min="11" max="11" width="5.1796875" bestFit="1" customWidth="1"/>
    <col min="12" max="12" width="4" bestFit="1" customWidth="1"/>
    <col min="13" max="13" width="6.6328125" bestFit="1" customWidth="1"/>
    <col min="14" max="14" width="5.90625" bestFit="1" customWidth="1"/>
    <col min="15" max="15" width="9.36328125" bestFit="1" customWidth="1"/>
    <col min="16" max="16" width="36.453125" bestFit="1" customWidth="1"/>
    <col min="17" max="17" width="8.90625" bestFit="1" customWidth="1"/>
    <col min="18" max="18" width="4" bestFit="1" customWidth="1"/>
    <col min="19" max="19" width="6.6328125" bestFit="1" customWidth="1"/>
    <col min="20" max="20" width="7.08984375" bestFit="1" customWidth="1"/>
    <col min="21" max="21" width="9.36328125" bestFit="1" customWidth="1"/>
    <col min="22" max="22" width="34.90625" bestFit="1" customWidth="1"/>
    <col min="23" max="23" width="6.36328125" bestFit="1" customWidth="1"/>
    <col min="24" max="24" width="4" bestFit="1" customWidth="1"/>
    <col min="25" max="25" width="5" bestFit="1" customWidth="1"/>
    <col min="26" max="26" width="5.90625" bestFit="1" customWidth="1"/>
    <col min="27" max="27" width="9.36328125" bestFit="1" customWidth="1"/>
    <col min="28" max="28" width="31.54296875" bestFit="1" customWidth="1"/>
    <col min="29" max="29" width="6.1796875" bestFit="1" customWidth="1"/>
    <col min="30" max="30" width="4" bestFit="1" customWidth="1"/>
    <col min="31" max="31" width="5" bestFit="1" customWidth="1"/>
    <col min="32" max="32" width="5.90625" bestFit="1" customWidth="1"/>
    <col min="33" max="33" width="9.36328125" bestFit="1" customWidth="1"/>
    <col min="34" max="34" width="8.36328125" customWidth="1" outlineLevel="1"/>
    <col min="35" max="35" width="8.453125" customWidth="1" outlineLevel="1"/>
    <col min="36" max="37" width="7" customWidth="1" outlineLevel="1"/>
    <col min="38" max="38" width="12" customWidth="1" outlineLevel="1"/>
    <col min="39" max="39" width="14.36328125" customWidth="1" outlineLevel="1"/>
    <col min="40" max="40" width="11" customWidth="1" outlineLevel="1"/>
    <col min="41" max="41" width="9.453125" customWidth="1" outlineLevel="1"/>
    <col min="42" max="44" width="6" customWidth="1" outlineLevel="1"/>
    <col min="45" max="45" width="5" customWidth="1" outlineLevel="1"/>
    <col min="46" max="46" width="7" bestFit="1" customWidth="1"/>
    <col min="47" max="47" width="8.54296875" bestFit="1" customWidth="1"/>
    <col min="48" max="48" width="12" bestFit="1" customWidth="1"/>
    <col min="49" max="49" width="14.36328125" bestFit="1" customWidth="1"/>
    <col min="50" max="52" width="6" bestFit="1" customWidth="1"/>
  </cols>
  <sheetData>
    <row r="2" spans="1:53" x14ac:dyDescent="0.35">
      <c r="A2" s="1" t="s">
        <v>0</v>
      </c>
      <c r="B2" s="1" t="s">
        <v>1408</v>
      </c>
      <c r="C2" s="1" t="s">
        <v>1409</v>
      </c>
      <c r="D2" s="1" t="s">
        <v>1410</v>
      </c>
      <c r="E2" s="1" t="s">
        <v>1400</v>
      </c>
      <c r="F2" s="1" t="s">
        <v>1402</v>
      </c>
      <c r="G2" s="1" t="s">
        <v>1403</v>
      </c>
      <c r="H2" s="1" t="s">
        <v>1404</v>
      </c>
      <c r="I2" s="1" t="s">
        <v>1424</v>
      </c>
      <c r="J2" s="1" t="s">
        <v>1410</v>
      </c>
      <c r="K2" s="1" t="s">
        <v>1400</v>
      </c>
      <c r="L2" s="1" t="s">
        <v>1402</v>
      </c>
      <c r="M2" s="1" t="s">
        <v>1403</v>
      </c>
      <c r="N2" s="1" t="s">
        <v>1404</v>
      </c>
      <c r="O2" s="1" t="s">
        <v>1424</v>
      </c>
      <c r="P2" s="1" t="s">
        <v>1410</v>
      </c>
      <c r="Q2" s="1" t="s">
        <v>1400</v>
      </c>
      <c r="R2" s="1" t="s">
        <v>1402</v>
      </c>
      <c r="S2" s="1" t="s">
        <v>1403</v>
      </c>
      <c r="T2" s="1" t="s">
        <v>1404</v>
      </c>
      <c r="U2" s="1" t="s">
        <v>1424</v>
      </c>
      <c r="V2" s="1" t="s">
        <v>1410</v>
      </c>
      <c r="W2" s="1" t="s">
        <v>1400</v>
      </c>
      <c r="X2" s="1" t="s">
        <v>1402</v>
      </c>
      <c r="Y2" s="1" t="s">
        <v>1403</v>
      </c>
      <c r="Z2" s="1" t="s">
        <v>1404</v>
      </c>
      <c r="AA2" s="1" t="s">
        <v>1424</v>
      </c>
      <c r="AB2" s="1" t="s">
        <v>1410</v>
      </c>
      <c r="AC2" s="1" t="s">
        <v>1400</v>
      </c>
      <c r="AD2" s="1" t="s">
        <v>1402</v>
      </c>
      <c r="AE2" s="1" t="s">
        <v>1403</v>
      </c>
      <c r="AF2" s="1" t="s">
        <v>1404</v>
      </c>
      <c r="AG2" s="1" t="s">
        <v>1424</v>
      </c>
      <c r="AH2" s="1" t="s">
        <v>1412</v>
      </c>
      <c r="AI2" s="1" t="s">
        <v>1413</v>
      </c>
      <c r="AJ2" s="1" t="s">
        <v>1414</v>
      </c>
      <c r="AK2" s="1" t="s">
        <v>1415</v>
      </c>
      <c r="AL2" s="1" t="s">
        <v>1416</v>
      </c>
      <c r="AM2" s="1" t="s">
        <v>1417</v>
      </c>
      <c r="AN2" s="1" t="s">
        <v>1418</v>
      </c>
      <c r="AO2" s="1" t="s">
        <v>1419</v>
      </c>
      <c r="AP2" s="1" t="s">
        <v>1420</v>
      </c>
      <c r="AQ2" s="1" t="s">
        <v>1421</v>
      </c>
      <c r="AR2" s="1" t="s">
        <v>1422</v>
      </c>
      <c r="AS2" s="1" t="s">
        <v>1423</v>
      </c>
      <c r="AT2" s="21" t="s">
        <v>1433</v>
      </c>
      <c r="AU2" s="22" t="s">
        <v>1434</v>
      </c>
      <c r="AV2" s="4" t="s">
        <v>1436</v>
      </c>
      <c r="AW2" s="4" t="s">
        <v>1438</v>
      </c>
      <c r="AX2" s="4" t="s">
        <v>1427</v>
      </c>
      <c r="AY2" s="4" t="s">
        <v>1429</v>
      </c>
      <c r="AZ2" s="4" t="s">
        <v>1428</v>
      </c>
    </row>
    <row r="3" spans="1:53" x14ac:dyDescent="0.35">
      <c r="A3" s="1" t="s">
        <v>1224</v>
      </c>
      <c r="B3" s="1" t="s">
        <v>1225</v>
      </c>
      <c r="C3" s="1" t="s">
        <v>1226</v>
      </c>
      <c r="D3" s="1" t="s">
        <v>1228</v>
      </c>
      <c r="E3" s="1" t="s">
        <v>49</v>
      </c>
      <c r="F3" s="1">
        <v>47</v>
      </c>
      <c r="G3" s="1" t="s">
        <v>65</v>
      </c>
      <c r="H3" s="1" t="s">
        <v>121</v>
      </c>
      <c r="I3" s="1">
        <v>5888</v>
      </c>
      <c r="J3" s="1"/>
      <c r="K3" s="1"/>
      <c r="L3" s="1"/>
      <c r="M3" s="1"/>
      <c r="N3" s="1"/>
      <c r="O3" s="1"/>
      <c r="P3" s="1" t="s">
        <v>1227</v>
      </c>
      <c r="Q3" s="1" t="s">
        <v>50</v>
      </c>
      <c r="R3" s="1">
        <v>53</v>
      </c>
      <c r="S3" s="1" t="s">
        <v>65</v>
      </c>
      <c r="T3" s="1" t="s">
        <v>61</v>
      </c>
      <c r="U3" s="1">
        <v>3688</v>
      </c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>
        <v>14554</v>
      </c>
      <c r="AI3" s="1">
        <v>6735</v>
      </c>
      <c r="AJ3" s="1">
        <v>6441</v>
      </c>
      <c r="AK3" s="1">
        <v>299</v>
      </c>
      <c r="AL3" s="1">
        <v>14</v>
      </c>
      <c r="AM3" s="1">
        <v>16</v>
      </c>
      <c r="AN3" s="1">
        <v>873</v>
      </c>
      <c r="AO3" s="1">
        <v>176</v>
      </c>
      <c r="AP3" s="9">
        <v>0.46275937886491686</v>
      </c>
      <c r="AQ3" s="9">
        <v>0.44255874673629242</v>
      </c>
      <c r="AR3" s="9">
        <v>2.054418029407723E-2</v>
      </c>
      <c r="AS3" s="9">
        <v>7.4137694104713478E-2</v>
      </c>
      <c r="AT3" s="1">
        <v>9576</v>
      </c>
      <c r="AU3" s="1">
        <v>65.8</v>
      </c>
      <c r="AV3" s="1" t="s">
        <v>49</v>
      </c>
      <c r="AW3" s="1"/>
      <c r="AX3" s="9">
        <f>I3/AT3</f>
        <v>0.61487050960735168</v>
      </c>
      <c r="AY3" s="9">
        <f>O3/AT3</f>
        <v>0</v>
      </c>
      <c r="AZ3" s="9">
        <f>U3/AT3</f>
        <v>0.38512949039264827</v>
      </c>
    </row>
    <row r="4" spans="1:53" x14ac:dyDescent="0.35">
      <c r="A4" s="1" t="s">
        <v>1224</v>
      </c>
      <c r="B4" s="1" t="s">
        <v>1225</v>
      </c>
      <c r="C4" s="1" t="s">
        <v>1229</v>
      </c>
      <c r="D4" s="1"/>
      <c r="E4" s="1"/>
      <c r="F4" s="1"/>
      <c r="G4" s="1"/>
      <c r="H4" s="1"/>
      <c r="I4" s="1"/>
      <c r="J4" s="1" t="s">
        <v>1230</v>
      </c>
      <c r="K4" s="1" t="s">
        <v>68</v>
      </c>
      <c r="L4" s="1">
        <v>61</v>
      </c>
      <c r="M4" s="1" t="s">
        <v>65</v>
      </c>
      <c r="N4" s="1" t="s">
        <v>61</v>
      </c>
      <c r="O4" s="1">
        <v>5634</v>
      </c>
      <c r="P4" s="1" t="s">
        <v>1231</v>
      </c>
      <c r="Q4" s="1" t="s">
        <v>52</v>
      </c>
      <c r="R4" s="1">
        <v>65</v>
      </c>
      <c r="S4" s="1" t="s">
        <v>65</v>
      </c>
      <c r="T4" s="1" t="s">
        <v>61</v>
      </c>
      <c r="U4" s="1">
        <v>2844</v>
      </c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>
        <v>12897</v>
      </c>
      <c r="AI4" s="1">
        <v>8447</v>
      </c>
      <c r="AJ4" s="1">
        <v>2574</v>
      </c>
      <c r="AK4" s="1">
        <v>861</v>
      </c>
      <c r="AL4" s="1">
        <v>21</v>
      </c>
      <c r="AM4" s="1">
        <v>3</v>
      </c>
      <c r="AN4" s="1">
        <v>930</v>
      </c>
      <c r="AO4" s="1">
        <v>61</v>
      </c>
      <c r="AP4" s="9">
        <v>0.65495851748468636</v>
      </c>
      <c r="AQ4" s="9">
        <v>0.19958129797627355</v>
      </c>
      <c r="AR4" s="9">
        <v>6.6759711560828106E-2</v>
      </c>
      <c r="AS4" s="9">
        <v>7.8700472978211991E-2</v>
      </c>
      <c r="AT4" s="1">
        <v>8478</v>
      </c>
      <c r="AU4" s="1">
        <v>65.7</v>
      </c>
      <c r="AV4" s="1" t="s">
        <v>68</v>
      </c>
      <c r="AW4" s="1"/>
      <c r="AX4" s="9">
        <f t="shared" ref="AX4:AX39" si="0">I4/AT4</f>
        <v>0</v>
      </c>
      <c r="AY4" s="9">
        <f t="shared" ref="AY4:AY39" si="1">O4/AT4</f>
        <v>0.66454352441613584</v>
      </c>
      <c r="AZ4" s="9">
        <f t="shared" ref="AZ4:AZ39" si="2">U4/AT4</f>
        <v>0.3354564755838641</v>
      </c>
    </row>
    <row r="5" spans="1:53" x14ac:dyDescent="0.35">
      <c r="A5" s="1" t="s">
        <v>1224</v>
      </c>
      <c r="B5" s="1" t="s">
        <v>1225</v>
      </c>
      <c r="C5" s="1" t="s">
        <v>1233</v>
      </c>
      <c r="D5" s="1"/>
      <c r="E5" s="1"/>
      <c r="F5" s="1"/>
      <c r="G5" s="1"/>
      <c r="H5" s="1"/>
      <c r="I5" s="1"/>
      <c r="J5" s="1" t="s">
        <v>1234</v>
      </c>
      <c r="K5" s="1" t="s">
        <v>68</v>
      </c>
      <c r="L5" s="1">
        <v>51</v>
      </c>
      <c r="M5" s="1" t="s">
        <v>65</v>
      </c>
      <c r="N5" s="1" t="s">
        <v>61</v>
      </c>
      <c r="O5" s="1">
        <v>6939</v>
      </c>
      <c r="P5" s="1" t="s">
        <v>1236</v>
      </c>
      <c r="Q5" s="1" t="s">
        <v>52</v>
      </c>
      <c r="R5" s="1">
        <v>45</v>
      </c>
      <c r="S5" s="1" t="s">
        <v>65</v>
      </c>
      <c r="T5" s="1" t="s">
        <v>61</v>
      </c>
      <c r="U5" s="1">
        <v>6404</v>
      </c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>
        <v>20206</v>
      </c>
      <c r="AI5" s="1">
        <v>15968</v>
      </c>
      <c r="AJ5" s="1">
        <v>1152</v>
      </c>
      <c r="AK5" s="1">
        <v>1741</v>
      </c>
      <c r="AL5" s="1">
        <v>68</v>
      </c>
      <c r="AM5" s="1">
        <v>33</v>
      </c>
      <c r="AN5" s="1">
        <v>1179</v>
      </c>
      <c r="AO5" s="1">
        <v>65</v>
      </c>
      <c r="AP5" s="9">
        <v>0.7902603187172127</v>
      </c>
      <c r="AQ5" s="9">
        <v>5.7012768484608532E-2</v>
      </c>
      <c r="AR5" s="9">
        <v>8.6162525982381472E-2</v>
      </c>
      <c r="AS5" s="9">
        <v>6.6564386815797294E-2</v>
      </c>
      <c r="AT5" s="1">
        <v>13343</v>
      </c>
      <c r="AU5" s="1">
        <v>66</v>
      </c>
      <c r="AV5" s="1" t="s">
        <v>68</v>
      </c>
      <c r="AW5" s="1"/>
      <c r="AX5" s="9">
        <f t="shared" si="0"/>
        <v>0</v>
      </c>
      <c r="AY5" s="9">
        <f t="shared" si="1"/>
        <v>0.52004796522521168</v>
      </c>
      <c r="AZ5" s="9">
        <f t="shared" si="2"/>
        <v>0.47995203477478826</v>
      </c>
    </row>
    <row r="6" spans="1:53" x14ac:dyDescent="0.35">
      <c r="A6" s="1" t="s">
        <v>1224</v>
      </c>
      <c r="B6" s="1" t="s">
        <v>1225</v>
      </c>
      <c r="C6" s="1" t="s">
        <v>1238</v>
      </c>
      <c r="D6" s="1" t="s">
        <v>1242</v>
      </c>
      <c r="E6" s="1" t="s">
        <v>48</v>
      </c>
      <c r="F6" s="1">
        <v>65</v>
      </c>
      <c r="G6" s="1" t="s">
        <v>65</v>
      </c>
      <c r="H6" s="1" t="s">
        <v>61</v>
      </c>
      <c r="I6" s="1">
        <v>4598</v>
      </c>
      <c r="J6" s="1"/>
      <c r="K6" s="1"/>
      <c r="L6" s="1"/>
      <c r="M6" s="1"/>
      <c r="N6" s="1"/>
      <c r="O6" s="1"/>
      <c r="P6" s="1" t="s">
        <v>1241</v>
      </c>
      <c r="Q6" s="1" t="s">
        <v>50</v>
      </c>
      <c r="R6" s="1">
        <v>37</v>
      </c>
      <c r="S6" s="1" t="s">
        <v>65</v>
      </c>
      <c r="T6" s="1" t="s">
        <v>61</v>
      </c>
      <c r="U6" s="1">
        <v>4021</v>
      </c>
      <c r="V6" s="1" t="s">
        <v>1239</v>
      </c>
      <c r="W6" s="1" t="s">
        <v>64</v>
      </c>
      <c r="X6" s="1">
        <v>58</v>
      </c>
      <c r="Y6" s="1" t="s">
        <v>65</v>
      </c>
      <c r="Z6" s="1" t="s">
        <v>61</v>
      </c>
      <c r="AA6" s="1">
        <v>364</v>
      </c>
      <c r="AB6" s="1"/>
      <c r="AC6" s="1"/>
      <c r="AD6" s="1"/>
      <c r="AE6" s="1"/>
      <c r="AF6" s="1"/>
      <c r="AG6" s="1"/>
      <c r="AH6" s="1">
        <v>13163</v>
      </c>
      <c r="AI6" s="1">
        <v>8604</v>
      </c>
      <c r="AJ6" s="1">
        <v>3691</v>
      </c>
      <c r="AK6" s="1">
        <v>508</v>
      </c>
      <c r="AL6" s="1">
        <v>22</v>
      </c>
      <c r="AM6" s="1">
        <v>15</v>
      </c>
      <c r="AN6" s="1">
        <v>242</v>
      </c>
      <c r="AO6" s="1">
        <v>81</v>
      </c>
      <c r="AP6" s="9">
        <v>0.65365038365114336</v>
      </c>
      <c r="AQ6" s="9">
        <v>0.2804072020056218</v>
      </c>
      <c r="AR6" s="9">
        <v>3.8593025905948493E-2</v>
      </c>
      <c r="AS6" s="9">
        <v>2.7349388437286334E-2</v>
      </c>
      <c r="AT6" s="1">
        <v>8983</v>
      </c>
      <c r="AU6" s="1">
        <v>68.2</v>
      </c>
      <c r="AV6" s="1" t="s">
        <v>48</v>
      </c>
      <c r="AW6" s="1"/>
      <c r="AX6" s="9">
        <f t="shared" si="0"/>
        <v>0.51185572748524988</v>
      </c>
      <c r="AY6" s="9">
        <f t="shared" si="1"/>
        <v>0</v>
      </c>
      <c r="AZ6" s="9">
        <f t="shared" si="2"/>
        <v>0.44762328843370813</v>
      </c>
    </row>
    <row r="7" spans="1:53" x14ac:dyDescent="0.35">
      <c r="A7" s="1" t="s">
        <v>1224</v>
      </c>
      <c r="B7" s="1" t="s">
        <v>1244</v>
      </c>
      <c r="C7" s="1" t="s">
        <v>1245</v>
      </c>
      <c r="D7" s="1"/>
      <c r="E7" s="1"/>
      <c r="F7" s="1"/>
      <c r="G7" s="1"/>
      <c r="H7" s="1"/>
      <c r="I7" s="1"/>
      <c r="J7" s="1" t="s">
        <v>1248</v>
      </c>
      <c r="K7" s="1" t="s">
        <v>68</v>
      </c>
      <c r="L7" s="1">
        <v>57</v>
      </c>
      <c r="M7" s="1" t="s">
        <v>65</v>
      </c>
      <c r="N7" s="1" t="s">
        <v>61</v>
      </c>
      <c r="O7" s="1">
        <v>9469</v>
      </c>
      <c r="P7" s="1" t="s">
        <v>1246</v>
      </c>
      <c r="Q7" s="1" t="s">
        <v>52</v>
      </c>
      <c r="R7" s="1">
        <v>48</v>
      </c>
      <c r="S7" s="1" t="s">
        <v>65</v>
      </c>
      <c r="T7" s="1" t="s">
        <v>61</v>
      </c>
      <c r="U7" s="1">
        <v>10312</v>
      </c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>
        <v>30287</v>
      </c>
      <c r="AI7" s="1">
        <v>23506</v>
      </c>
      <c r="AJ7" s="1">
        <v>3789</v>
      </c>
      <c r="AK7" s="1">
        <v>2633</v>
      </c>
      <c r="AL7" s="1">
        <v>32</v>
      </c>
      <c r="AM7" s="1">
        <v>34</v>
      </c>
      <c r="AN7" s="1">
        <v>75</v>
      </c>
      <c r="AO7" s="1">
        <v>218</v>
      </c>
      <c r="AP7" s="9">
        <v>0.77610856142899598</v>
      </c>
      <c r="AQ7" s="9">
        <v>0.12510317958199887</v>
      </c>
      <c r="AR7" s="9">
        <v>8.6934988608974154E-2</v>
      </c>
      <c r="AS7" s="9">
        <v>1.1853270380031037E-2</v>
      </c>
      <c r="AT7" s="1">
        <v>19781</v>
      </c>
      <c r="AU7" s="1">
        <v>65.3</v>
      </c>
      <c r="AV7" s="1" t="s">
        <v>52</v>
      </c>
      <c r="AW7" s="1"/>
      <c r="AX7" s="9">
        <f t="shared" si="0"/>
        <v>0</v>
      </c>
      <c r="AY7" s="9">
        <f t="shared" si="1"/>
        <v>0.4786916738284212</v>
      </c>
      <c r="AZ7" s="9">
        <f t="shared" si="2"/>
        <v>0.52130832617157874</v>
      </c>
    </row>
    <row r="8" spans="1:53" x14ac:dyDescent="0.35">
      <c r="A8" s="1" t="s">
        <v>1224</v>
      </c>
      <c r="B8" s="1" t="s">
        <v>1244</v>
      </c>
      <c r="C8" s="1" t="s">
        <v>1250</v>
      </c>
      <c r="D8" s="1"/>
      <c r="E8" s="1"/>
      <c r="F8" s="1"/>
      <c r="G8" s="1"/>
      <c r="H8" s="1"/>
      <c r="I8" s="1"/>
      <c r="J8" s="1" t="s">
        <v>1253</v>
      </c>
      <c r="K8" s="1" t="s">
        <v>68</v>
      </c>
      <c r="L8" s="1">
        <v>57</v>
      </c>
      <c r="M8" s="1" t="s">
        <v>65</v>
      </c>
      <c r="N8" s="1" t="s">
        <v>61</v>
      </c>
      <c r="O8" s="1">
        <v>7940</v>
      </c>
      <c r="P8" s="1" t="s">
        <v>1251</v>
      </c>
      <c r="Q8" s="1" t="s">
        <v>50</v>
      </c>
      <c r="R8" s="1">
        <v>54</v>
      </c>
      <c r="S8" s="1" t="s">
        <v>65</v>
      </c>
      <c r="T8" s="1" t="s">
        <v>61</v>
      </c>
      <c r="U8" s="1">
        <v>7376</v>
      </c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>
        <v>23494</v>
      </c>
      <c r="AI8" s="1">
        <v>21637</v>
      </c>
      <c r="AJ8" s="1">
        <v>383</v>
      </c>
      <c r="AK8" s="1">
        <v>1373</v>
      </c>
      <c r="AL8" s="1">
        <v>17</v>
      </c>
      <c r="AM8" s="1">
        <v>12</v>
      </c>
      <c r="AN8" s="1">
        <v>21</v>
      </c>
      <c r="AO8" s="1">
        <v>51</v>
      </c>
      <c r="AP8" s="9">
        <v>0.92095854260662302</v>
      </c>
      <c r="AQ8" s="9">
        <v>1.6302034562015833E-2</v>
      </c>
      <c r="AR8" s="9">
        <v>5.8440452881586787E-2</v>
      </c>
      <c r="AS8" s="9">
        <v>4.2989699497744107E-3</v>
      </c>
      <c r="AT8" s="1">
        <v>15316</v>
      </c>
      <c r="AU8" s="1">
        <v>65.2</v>
      </c>
      <c r="AV8" s="1" t="s">
        <v>68</v>
      </c>
      <c r="AW8" s="1"/>
      <c r="AX8" s="9">
        <f t="shared" si="0"/>
        <v>0</v>
      </c>
      <c r="AY8" s="9">
        <f t="shared" si="1"/>
        <v>0.51841211804648735</v>
      </c>
      <c r="AZ8" s="9">
        <f t="shared" si="2"/>
        <v>0.48158788195351265</v>
      </c>
    </row>
    <row r="9" spans="1:53" x14ac:dyDescent="0.35">
      <c r="A9" s="1" t="s">
        <v>1224</v>
      </c>
      <c r="B9" s="1" t="s">
        <v>1244</v>
      </c>
      <c r="C9" s="1" t="s">
        <v>1254</v>
      </c>
      <c r="D9" s="1"/>
      <c r="E9" s="1"/>
      <c r="F9" s="1"/>
      <c r="G9" s="1"/>
      <c r="H9" s="1"/>
      <c r="I9" s="1"/>
      <c r="J9" s="1" t="s">
        <v>1255</v>
      </c>
      <c r="K9" s="1" t="s">
        <v>68</v>
      </c>
      <c r="L9" s="1">
        <v>42</v>
      </c>
      <c r="M9" s="1" t="s">
        <v>65</v>
      </c>
      <c r="N9" s="1" t="s">
        <v>61</v>
      </c>
      <c r="O9" s="1">
        <v>5462</v>
      </c>
      <c r="P9" s="1" t="s">
        <v>1257</v>
      </c>
      <c r="Q9" s="1" t="s">
        <v>50</v>
      </c>
      <c r="R9" s="1">
        <v>50</v>
      </c>
      <c r="S9" s="1" t="s">
        <v>65</v>
      </c>
      <c r="T9" s="1" t="s">
        <v>195</v>
      </c>
      <c r="U9" s="1">
        <v>4769</v>
      </c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>
        <v>16332</v>
      </c>
      <c r="AI9" s="1">
        <v>8342</v>
      </c>
      <c r="AJ9" s="1">
        <v>1583</v>
      </c>
      <c r="AK9" s="1">
        <v>5494</v>
      </c>
      <c r="AL9" s="1">
        <v>13</v>
      </c>
      <c r="AM9" s="1">
        <v>20</v>
      </c>
      <c r="AN9" s="1">
        <v>782</v>
      </c>
      <c r="AO9" s="1">
        <v>98</v>
      </c>
      <c r="AP9" s="9">
        <v>0.51077638990938035</v>
      </c>
      <c r="AQ9" s="9">
        <v>9.6926279696301743E-2</v>
      </c>
      <c r="AR9" s="9">
        <v>0.33639480773940728</v>
      </c>
      <c r="AS9" s="9">
        <v>5.5902522654910608E-2</v>
      </c>
      <c r="AT9" s="1">
        <v>10231</v>
      </c>
      <c r="AU9" s="1">
        <v>62.6</v>
      </c>
      <c r="AV9" s="1" t="s">
        <v>68</v>
      </c>
      <c r="AW9" s="1"/>
      <c r="AX9" s="9">
        <f t="shared" si="0"/>
        <v>0</v>
      </c>
      <c r="AY9" s="9">
        <f t="shared" si="1"/>
        <v>0.53386765712051609</v>
      </c>
      <c r="AZ9" s="9">
        <f t="shared" si="2"/>
        <v>0.46613234287948391</v>
      </c>
    </row>
    <row r="10" spans="1:53" x14ac:dyDescent="0.35">
      <c r="A10" s="1" t="s">
        <v>1224</v>
      </c>
      <c r="B10" s="1" t="s">
        <v>1244</v>
      </c>
      <c r="C10" s="1" t="s">
        <v>1258</v>
      </c>
      <c r="D10" s="1" t="s">
        <v>1261</v>
      </c>
      <c r="E10" s="1" t="s">
        <v>49</v>
      </c>
      <c r="F10" s="1">
        <v>45</v>
      </c>
      <c r="G10" s="1" t="s">
        <v>65</v>
      </c>
      <c r="H10" s="1" t="s">
        <v>121</v>
      </c>
      <c r="I10" s="1">
        <v>11939</v>
      </c>
      <c r="J10" s="1"/>
      <c r="K10" s="1"/>
      <c r="L10" s="1"/>
      <c r="M10" s="1"/>
      <c r="N10" s="1"/>
      <c r="O10" s="1"/>
      <c r="P10" s="1" t="s">
        <v>1259</v>
      </c>
      <c r="Q10" s="1" t="s">
        <v>52</v>
      </c>
      <c r="R10" s="1">
        <v>55</v>
      </c>
      <c r="S10" s="1" t="s">
        <v>65</v>
      </c>
      <c r="T10" s="1" t="s">
        <v>195</v>
      </c>
      <c r="U10" s="1">
        <v>3531</v>
      </c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>
        <v>25769</v>
      </c>
      <c r="AI10" s="1">
        <v>7615</v>
      </c>
      <c r="AJ10" s="1">
        <v>15177</v>
      </c>
      <c r="AK10" s="1">
        <v>2730</v>
      </c>
      <c r="AL10" s="1">
        <v>41</v>
      </c>
      <c r="AM10" s="1">
        <v>20</v>
      </c>
      <c r="AN10" s="1">
        <v>12</v>
      </c>
      <c r="AO10" s="1">
        <v>174</v>
      </c>
      <c r="AP10" s="9">
        <v>0.29551010904575264</v>
      </c>
      <c r="AQ10" s="9">
        <v>0.58896348325507397</v>
      </c>
      <c r="AR10" s="9">
        <v>0.10594124723504987</v>
      </c>
      <c r="AS10" s="9">
        <v>9.5851604641235596E-3</v>
      </c>
      <c r="AT10" s="1">
        <v>15470</v>
      </c>
      <c r="AU10" s="1">
        <v>60</v>
      </c>
      <c r="AV10" s="1" t="s">
        <v>49</v>
      </c>
      <c r="AW10" s="1"/>
      <c r="AX10" s="9">
        <f t="shared" si="0"/>
        <v>0.77175177763413061</v>
      </c>
      <c r="AY10" s="9">
        <f t="shared" si="1"/>
        <v>0</v>
      </c>
      <c r="AZ10" s="9">
        <f t="shared" si="2"/>
        <v>0.22824822236586942</v>
      </c>
    </row>
    <row r="11" spans="1:53" x14ac:dyDescent="0.35">
      <c r="A11" s="1" t="s">
        <v>1224</v>
      </c>
      <c r="B11" s="1" t="s">
        <v>1262</v>
      </c>
      <c r="C11" s="1" t="s">
        <v>1263</v>
      </c>
      <c r="D11" s="1"/>
      <c r="E11" s="1"/>
      <c r="F11" s="1"/>
      <c r="G11" s="1"/>
      <c r="H11" s="1"/>
      <c r="I11" s="1"/>
      <c r="J11" s="1" t="s">
        <v>1268</v>
      </c>
      <c r="K11" s="1" t="s">
        <v>68</v>
      </c>
      <c r="L11" s="1">
        <v>45</v>
      </c>
      <c r="M11" s="1" t="s">
        <v>65</v>
      </c>
      <c r="N11" s="1" t="s">
        <v>61</v>
      </c>
      <c r="O11" s="1">
        <v>10040</v>
      </c>
      <c r="P11" s="1" t="s">
        <v>1266</v>
      </c>
      <c r="Q11" s="1" t="s">
        <v>52</v>
      </c>
      <c r="R11" s="1">
        <v>52</v>
      </c>
      <c r="S11" s="1" t="s">
        <v>65</v>
      </c>
      <c r="T11" s="1" t="s">
        <v>61</v>
      </c>
      <c r="U11" s="1">
        <v>9355</v>
      </c>
      <c r="V11" s="1" t="s">
        <v>1264</v>
      </c>
      <c r="W11" s="1" t="s">
        <v>64</v>
      </c>
      <c r="X11" s="1">
        <v>58</v>
      </c>
      <c r="Y11" s="1" t="s">
        <v>65</v>
      </c>
      <c r="Z11" s="1" t="s">
        <v>61</v>
      </c>
      <c r="AA11" s="1">
        <v>404</v>
      </c>
      <c r="AB11" s="1"/>
      <c r="AC11" s="1"/>
      <c r="AD11" s="1"/>
      <c r="AE11" s="1"/>
      <c r="AF11" s="1"/>
      <c r="AG11" s="1"/>
      <c r="AH11" s="1">
        <v>27386</v>
      </c>
      <c r="AI11" s="1">
        <v>20701</v>
      </c>
      <c r="AJ11" s="1">
        <v>4102</v>
      </c>
      <c r="AK11" s="1">
        <v>1458</v>
      </c>
      <c r="AL11" s="1">
        <v>54</v>
      </c>
      <c r="AM11" s="1">
        <v>54</v>
      </c>
      <c r="AN11" s="1">
        <v>683</v>
      </c>
      <c r="AO11" s="1">
        <v>334</v>
      </c>
      <c r="AP11" s="9">
        <v>0.75589717373840648</v>
      </c>
      <c r="AQ11" s="9">
        <v>0.14978456145475791</v>
      </c>
      <c r="AR11" s="9">
        <v>5.3238881180165044E-2</v>
      </c>
      <c r="AS11" s="9">
        <v>4.107938362667056E-2</v>
      </c>
      <c r="AT11" s="1">
        <v>19799</v>
      </c>
      <c r="AU11" s="1">
        <v>72.3</v>
      </c>
      <c r="AV11" s="1" t="s">
        <v>68</v>
      </c>
      <c r="AW11" s="1"/>
      <c r="AX11" s="9">
        <f t="shared" si="0"/>
        <v>0</v>
      </c>
      <c r="AY11" s="9">
        <f t="shared" si="1"/>
        <v>0.50709631799585841</v>
      </c>
      <c r="AZ11" s="9">
        <f t="shared" si="2"/>
        <v>0.47249861104096169</v>
      </c>
    </row>
    <row r="12" spans="1:53" x14ac:dyDescent="0.35">
      <c r="A12" s="1" t="s">
        <v>1224</v>
      </c>
      <c r="B12" s="1" t="s">
        <v>1262</v>
      </c>
      <c r="C12" s="1" t="s">
        <v>1270</v>
      </c>
      <c r="D12" s="1" t="s">
        <v>1275</v>
      </c>
      <c r="E12" s="1" t="s">
        <v>49</v>
      </c>
      <c r="F12" s="1">
        <v>39</v>
      </c>
      <c r="G12" s="1" t="s">
        <v>65</v>
      </c>
      <c r="H12" s="1" t="s">
        <v>195</v>
      </c>
      <c r="I12" s="1">
        <v>19133</v>
      </c>
      <c r="J12" s="1"/>
      <c r="K12" s="1"/>
      <c r="L12" s="1"/>
      <c r="M12" s="1"/>
      <c r="N12" s="1"/>
      <c r="O12" s="1"/>
      <c r="P12" s="1" t="s">
        <v>1271</v>
      </c>
      <c r="Q12" s="1" t="s">
        <v>52</v>
      </c>
      <c r="R12" s="1">
        <v>58</v>
      </c>
      <c r="S12" s="1" t="s">
        <v>65</v>
      </c>
      <c r="T12" s="1" t="s">
        <v>121</v>
      </c>
      <c r="U12" s="1">
        <v>8244</v>
      </c>
      <c r="V12" s="1" t="s">
        <v>1272</v>
      </c>
      <c r="W12" s="1" t="s">
        <v>64</v>
      </c>
      <c r="X12" s="1">
        <v>59</v>
      </c>
      <c r="Y12" s="1" t="s">
        <v>65</v>
      </c>
      <c r="Z12" s="1" t="s">
        <v>61</v>
      </c>
      <c r="AA12" s="1">
        <v>1430</v>
      </c>
      <c r="AB12" s="1" t="s">
        <v>1273</v>
      </c>
      <c r="AC12" s="1" t="s">
        <v>64</v>
      </c>
      <c r="AD12" s="1">
        <v>49</v>
      </c>
      <c r="AE12" s="1" t="s">
        <v>65</v>
      </c>
      <c r="AF12" s="1" t="s">
        <v>195</v>
      </c>
      <c r="AG12" s="1">
        <v>57</v>
      </c>
      <c r="AH12" s="1">
        <v>42168</v>
      </c>
      <c r="AI12" s="1">
        <v>18260</v>
      </c>
      <c r="AJ12" s="1">
        <v>13458</v>
      </c>
      <c r="AK12" s="1">
        <v>9124</v>
      </c>
      <c r="AL12" s="1">
        <v>311</v>
      </c>
      <c r="AM12" s="1">
        <v>221</v>
      </c>
      <c r="AN12" s="1">
        <v>295</v>
      </c>
      <c r="AO12" s="1">
        <v>499</v>
      </c>
      <c r="AP12" s="9">
        <v>0.43302978561942707</v>
      </c>
      <c r="AQ12" s="9">
        <v>0.31915196357427433</v>
      </c>
      <c r="AR12" s="9">
        <v>0.21637260481881995</v>
      </c>
      <c r="AS12" s="9">
        <v>3.1445645987478656E-2</v>
      </c>
      <c r="AT12" s="1">
        <v>28864</v>
      </c>
      <c r="AU12" s="1">
        <v>68.5</v>
      </c>
      <c r="AV12" s="1" t="s">
        <v>49</v>
      </c>
      <c r="AW12" s="1"/>
      <c r="AX12" s="9">
        <f t="shared" si="0"/>
        <v>0.6628672394678492</v>
      </c>
      <c r="AY12" s="9">
        <f t="shared" si="1"/>
        <v>0</v>
      </c>
      <c r="AZ12" s="9">
        <f t="shared" si="2"/>
        <v>0.28561529933481156</v>
      </c>
      <c r="BA12" s="8">
        <f>AA12/AH12</f>
        <v>3.3911971162967181E-2</v>
      </c>
    </row>
    <row r="13" spans="1:53" x14ac:dyDescent="0.35">
      <c r="A13" s="1" t="s">
        <v>1224</v>
      </c>
      <c r="B13" s="1" t="s">
        <v>1262</v>
      </c>
      <c r="C13" s="1" t="s">
        <v>1277</v>
      </c>
      <c r="D13" s="1" t="s">
        <v>1279</v>
      </c>
      <c r="E13" s="1" t="s">
        <v>49</v>
      </c>
      <c r="F13" s="1">
        <v>62</v>
      </c>
      <c r="G13" s="1" t="s">
        <v>65</v>
      </c>
      <c r="H13" s="1" t="s">
        <v>121</v>
      </c>
      <c r="I13" s="1">
        <v>14357</v>
      </c>
      <c r="J13" s="1"/>
      <c r="K13" s="1"/>
      <c r="L13" s="1"/>
      <c r="M13" s="1"/>
      <c r="N13" s="1"/>
      <c r="O13" s="1"/>
      <c r="P13" s="1" t="s">
        <v>1278</v>
      </c>
      <c r="Q13" s="1" t="s">
        <v>1425</v>
      </c>
      <c r="R13" s="1">
        <v>59</v>
      </c>
      <c r="S13" s="1" t="s">
        <v>60</v>
      </c>
      <c r="T13" s="1" t="s">
        <v>121</v>
      </c>
      <c r="U13" s="1">
        <v>853</v>
      </c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>
        <v>23193</v>
      </c>
      <c r="AI13" s="1">
        <v>990</v>
      </c>
      <c r="AJ13" s="1">
        <v>16719</v>
      </c>
      <c r="AK13" s="1">
        <v>4995</v>
      </c>
      <c r="AL13" s="1">
        <v>48</v>
      </c>
      <c r="AM13" s="1">
        <v>19</v>
      </c>
      <c r="AN13" s="1">
        <v>240</v>
      </c>
      <c r="AO13" s="1">
        <v>182</v>
      </c>
      <c r="AP13" s="9">
        <v>4.2685292976329066E-2</v>
      </c>
      <c r="AQ13" s="9">
        <v>0.72086405380933904</v>
      </c>
      <c r="AR13" s="9">
        <v>0.21536670547147846</v>
      </c>
      <c r="AS13" s="9">
        <v>2.1083947742853448E-2</v>
      </c>
      <c r="AT13" s="1">
        <v>15210</v>
      </c>
      <c r="AU13" s="1">
        <v>65.599999999999994</v>
      </c>
      <c r="AV13" s="1" t="s">
        <v>49</v>
      </c>
      <c r="AW13" s="1"/>
      <c r="AX13" s="9">
        <f t="shared" si="0"/>
        <v>0.94391847468770551</v>
      </c>
      <c r="AY13" s="9">
        <f t="shared" si="1"/>
        <v>0</v>
      </c>
      <c r="AZ13" s="9">
        <f t="shared" si="2"/>
        <v>5.6081525312294545E-2</v>
      </c>
    </row>
    <row r="14" spans="1:53" x14ac:dyDescent="0.35">
      <c r="A14" s="1" t="s">
        <v>1224</v>
      </c>
      <c r="B14" s="1" t="s">
        <v>1262</v>
      </c>
      <c r="C14" s="1" t="s">
        <v>1280</v>
      </c>
      <c r="D14" s="1" t="s">
        <v>1281</v>
      </c>
      <c r="E14" s="1" t="s">
        <v>49</v>
      </c>
      <c r="F14" s="1">
        <v>46</v>
      </c>
      <c r="G14" s="1" t="s">
        <v>65</v>
      </c>
      <c r="H14" s="1" t="s">
        <v>121</v>
      </c>
      <c r="I14" s="1">
        <v>5710</v>
      </c>
      <c r="J14" s="1"/>
      <c r="K14" s="1"/>
      <c r="L14" s="1"/>
      <c r="M14" s="1"/>
      <c r="N14" s="1"/>
      <c r="O14" s="1"/>
      <c r="P14" s="1" t="s">
        <v>1284</v>
      </c>
      <c r="Q14" s="1" t="s">
        <v>1425</v>
      </c>
      <c r="R14" s="1">
        <v>55</v>
      </c>
      <c r="S14" s="1" t="s">
        <v>65</v>
      </c>
      <c r="T14" s="1" t="s">
        <v>121</v>
      </c>
      <c r="U14" s="1">
        <v>2642</v>
      </c>
      <c r="V14" s="1" t="s">
        <v>1282</v>
      </c>
      <c r="W14" s="1" t="s">
        <v>587</v>
      </c>
      <c r="X14" s="1">
        <v>35</v>
      </c>
      <c r="Y14" s="1" t="s">
        <v>65</v>
      </c>
      <c r="Z14" s="1" t="s">
        <v>61</v>
      </c>
      <c r="AA14" s="1">
        <v>640</v>
      </c>
      <c r="AB14" s="1"/>
      <c r="AC14" s="1"/>
      <c r="AD14" s="1"/>
      <c r="AE14" s="1"/>
      <c r="AF14" s="1"/>
      <c r="AG14" s="1"/>
      <c r="AH14" s="1">
        <v>13085</v>
      </c>
      <c r="AI14" s="1">
        <v>4925</v>
      </c>
      <c r="AJ14" s="1">
        <v>5836</v>
      </c>
      <c r="AK14" s="1">
        <v>1942</v>
      </c>
      <c r="AL14" s="1">
        <v>50</v>
      </c>
      <c r="AM14" s="1">
        <v>37</v>
      </c>
      <c r="AN14" s="1">
        <v>41</v>
      </c>
      <c r="AO14" s="1">
        <v>254</v>
      </c>
      <c r="AP14" s="9">
        <v>0.37638517386320214</v>
      </c>
      <c r="AQ14" s="9">
        <v>0.44600687810470002</v>
      </c>
      <c r="AR14" s="9">
        <v>0.14841421474971342</v>
      </c>
      <c r="AS14" s="9">
        <v>2.919373328238441E-2</v>
      </c>
      <c r="AT14" s="1">
        <v>8992</v>
      </c>
      <c r="AU14" s="1">
        <v>68.7</v>
      </c>
      <c r="AV14" s="1" t="s">
        <v>49</v>
      </c>
      <c r="AW14" s="1"/>
      <c r="AX14" s="9">
        <f t="shared" si="0"/>
        <v>0.635008896797153</v>
      </c>
      <c r="AY14" s="9">
        <f t="shared" si="1"/>
        <v>0</v>
      </c>
      <c r="AZ14" s="9">
        <f t="shared" si="2"/>
        <v>0.29381672597864766</v>
      </c>
      <c r="BA14" s="8">
        <f>AA14/AH14</f>
        <v>4.8910966755827283E-2</v>
      </c>
    </row>
    <row r="15" spans="1:53" x14ac:dyDescent="0.35">
      <c r="A15" s="1" t="s">
        <v>1224</v>
      </c>
      <c r="B15" s="1" t="s">
        <v>1262</v>
      </c>
      <c r="C15" s="1" t="s">
        <v>1285</v>
      </c>
      <c r="D15" s="1" t="s">
        <v>1288</v>
      </c>
      <c r="E15" s="1" t="s">
        <v>51</v>
      </c>
      <c r="F15" s="1">
        <v>57</v>
      </c>
      <c r="G15" s="1" t="s">
        <v>65</v>
      </c>
      <c r="H15" s="1" t="s">
        <v>61</v>
      </c>
      <c r="I15" s="1">
        <v>12730</v>
      </c>
      <c r="J15" s="1"/>
      <c r="K15" s="1"/>
      <c r="L15" s="1"/>
      <c r="M15" s="1"/>
      <c r="N15" s="1"/>
      <c r="O15" s="1"/>
      <c r="P15" s="1" t="s">
        <v>1286</v>
      </c>
      <c r="Q15" s="1" t="s">
        <v>50</v>
      </c>
      <c r="R15" s="1">
        <v>35</v>
      </c>
      <c r="S15" s="1" t="s">
        <v>65</v>
      </c>
      <c r="T15" s="1" t="s">
        <v>61</v>
      </c>
      <c r="U15" s="1">
        <v>10068</v>
      </c>
      <c r="V15" s="1" t="s">
        <v>1290</v>
      </c>
      <c r="W15" s="1" t="s">
        <v>64</v>
      </c>
      <c r="X15" s="1">
        <v>73</v>
      </c>
      <c r="Y15" s="1" t="s">
        <v>65</v>
      </c>
      <c r="Z15" s="1" t="s">
        <v>61</v>
      </c>
      <c r="AA15" s="1">
        <v>339</v>
      </c>
      <c r="AB15" s="1" t="s">
        <v>1291</v>
      </c>
      <c r="AC15" s="1" t="s">
        <v>64</v>
      </c>
      <c r="AD15" s="1">
        <v>48</v>
      </c>
      <c r="AE15" s="1" t="s">
        <v>65</v>
      </c>
      <c r="AF15" s="1" t="s">
        <v>61</v>
      </c>
      <c r="AG15" s="1">
        <v>83</v>
      </c>
      <c r="AH15" s="1">
        <v>32343</v>
      </c>
      <c r="AI15" s="1">
        <v>22777</v>
      </c>
      <c r="AJ15" s="1">
        <v>6371</v>
      </c>
      <c r="AK15" s="1">
        <v>2573</v>
      </c>
      <c r="AL15" s="1">
        <v>121</v>
      </c>
      <c r="AM15" s="1">
        <v>78</v>
      </c>
      <c r="AN15" s="1">
        <v>20</v>
      </c>
      <c r="AO15" s="1">
        <v>403</v>
      </c>
      <c r="AP15" s="9">
        <v>0.70423275515567507</v>
      </c>
      <c r="AQ15" s="9">
        <v>0.19698234548433974</v>
      </c>
      <c r="AR15" s="9">
        <v>7.9553535540920761E-2</v>
      </c>
      <c r="AS15" s="9">
        <v>1.9231363819064404E-2</v>
      </c>
      <c r="AT15" s="1">
        <v>23220</v>
      </c>
      <c r="AU15" s="1">
        <v>71.8</v>
      </c>
      <c r="AV15" s="1" t="s">
        <v>51</v>
      </c>
      <c r="AW15" s="1"/>
      <c r="AX15" s="9">
        <f t="shared" si="0"/>
        <v>0.54823428079242031</v>
      </c>
      <c r="AY15" s="9">
        <f t="shared" si="1"/>
        <v>0</v>
      </c>
      <c r="AZ15" s="9">
        <f t="shared" si="2"/>
        <v>0.43359173126614986</v>
      </c>
    </row>
    <row r="16" spans="1:53" x14ac:dyDescent="0.35">
      <c r="A16" s="1" t="s">
        <v>1224</v>
      </c>
      <c r="B16" s="1" t="s">
        <v>1262</v>
      </c>
      <c r="C16" s="1" t="s">
        <v>1293</v>
      </c>
      <c r="D16" s="1" t="s">
        <v>1294</v>
      </c>
      <c r="E16" s="1" t="s">
        <v>51</v>
      </c>
      <c r="F16" s="1">
        <v>66</v>
      </c>
      <c r="G16" s="1" t="s">
        <v>60</v>
      </c>
      <c r="H16" s="1" t="s">
        <v>61</v>
      </c>
      <c r="I16" s="1">
        <v>6054</v>
      </c>
      <c r="J16" s="1"/>
      <c r="K16" s="1"/>
      <c r="L16" s="1"/>
      <c r="M16" s="1"/>
      <c r="N16" s="1"/>
      <c r="O16" s="1"/>
      <c r="P16" s="1" t="s">
        <v>1295</v>
      </c>
      <c r="Q16" s="1" t="s">
        <v>50</v>
      </c>
      <c r="R16" s="1">
        <v>38</v>
      </c>
      <c r="S16" s="1" t="s">
        <v>65</v>
      </c>
      <c r="T16" s="1" t="s">
        <v>61</v>
      </c>
      <c r="U16" s="1">
        <v>5725</v>
      </c>
      <c r="V16" s="1" t="s">
        <v>1296</v>
      </c>
      <c r="W16" s="1" t="s">
        <v>64</v>
      </c>
      <c r="X16" s="1">
        <v>60</v>
      </c>
      <c r="Y16" s="1" t="s">
        <v>65</v>
      </c>
      <c r="Z16" s="1" t="s">
        <v>61</v>
      </c>
      <c r="AA16" s="1">
        <v>3079</v>
      </c>
      <c r="AB16" s="1"/>
      <c r="AC16" s="1"/>
      <c r="AD16" s="1"/>
      <c r="AE16" s="1"/>
      <c r="AF16" s="1"/>
      <c r="AG16" s="1"/>
      <c r="AH16" s="1">
        <v>20992</v>
      </c>
      <c r="AI16" s="1">
        <v>15136</v>
      </c>
      <c r="AJ16" s="1">
        <v>3343</v>
      </c>
      <c r="AK16" s="1">
        <v>1780</v>
      </c>
      <c r="AL16" s="1">
        <v>42</v>
      </c>
      <c r="AM16" s="1">
        <v>26</v>
      </c>
      <c r="AN16" s="1">
        <v>2</v>
      </c>
      <c r="AO16" s="1">
        <v>663</v>
      </c>
      <c r="AP16" s="9">
        <v>0.72103658536585369</v>
      </c>
      <c r="AQ16" s="9">
        <v>0.15925114329268292</v>
      </c>
      <c r="AR16" s="9">
        <v>8.479420731707317E-2</v>
      </c>
      <c r="AS16" s="9">
        <v>3.4918064024390245E-2</v>
      </c>
      <c r="AT16" s="1">
        <v>14858</v>
      </c>
      <c r="AU16" s="1">
        <v>70.8</v>
      </c>
      <c r="AV16" s="1" t="s">
        <v>51</v>
      </c>
      <c r="AW16" s="1"/>
      <c r="AX16" s="9">
        <f t="shared" si="0"/>
        <v>0.40745726208103378</v>
      </c>
      <c r="AY16" s="9">
        <f t="shared" si="1"/>
        <v>0</v>
      </c>
      <c r="AZ16" s="9">
        <f t="shared" si="2"/>
        <v>0.38531430878987749</v>
      </c>
    </row>
    <row r="17" spans="1:52" x14ac:dyDescent="0.35">
      <c r="A17" s="1" t="s">
        <v>1224</v>
      </c>
      <c r="B17" s="1" t="s">
        <v>1298</v>
      </c>
      <c r="C17" s="1" t="s">
        <v>1299</v>
      </c>
      <c r="D17" s="1"/>
      <c r="E17" s="1"/>
      <c r="F17" s="1"/>
      <c r="G17" s="1"/>
      <c r="H17" s="1"/>
      <c r="I17" s="1"/>
      <c r="J17" s="1" t="s">
        <v>1301</v>
      </c>
      <c r="K17" s="1" t="s">
        <v>68</v>
      </c>
      <c r="L17" s="1">
        <v>54</v>
      </c>
      <c r="M17" s="1" t="s">
        <v>60</v>
      </c>
      <c r="N17" s="1" t="s">
        <v>61</v>
      </c>
      <c r="O17" s="1">
        <v>4549</v>
      </c>
      <c r="P17" s="1" t="s">
        <v>1300</v>
      </c>
      <c r="Q17" s="1" t="s">
        <v>50</v>
      </c>
      <c r="R17" s="1">
        <v>50</v>
      </c>
      <c r="S17" s="1" t="s">
        <v>65</v>
      </c>
      <c r="T17" s="1" t="s">
        <v>61</v>
      </c>
      <c r="U17" s="1">
        <v>4471</v>
      </c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>
        <v>13408</v>
      </c>
      <c r="AI17" s="1">
        <v>10651</v>
      </c>
      <c r="AJ17" s="1">
        <v>1592</v>
      </c>
      <c r="AK17" s="1">
        <v>724</v>
      </c>
      <c r="AL17" s="1">
        <v>23</v>
      </c>
      <c r="AM17" s="1">
        <v>19</v>
      </c>
      <c r="AN17" s="1">
        <v>286</v>
      </c>
      <c r="AO17" s="1">
        <v>113</v>
      </c>
      <c r="AP17" s="9">
        <v>0.79437649164677804</v>
      </c>
      <c r="AQ17" s="9">
        <v>0.11873508353221957</v>
      </c>
      <c r="AR17" s="9">
        <v>5.3997613365155128E-2</v>
      </c>
      <c r="AS17" s="9">
        <v>3.2890811455847255E-2</v>
      </c>
      <c r="AT17" s="1">
        <v>9020</v>
      </c>
      <c r="AU17" s="1">
        <v>67.3</v>
      </c>
      <c r="AV17" s="1" t="s">
        <v>68</v>
      </c>
      <c r="AW17" s="1"/>
      <c r="AX17" s="9">
        <f t="shared" si="0"/>
        <v>0</v>
      </c>
      <c r="AY17" s="9">
        <f t="shared" si="1"/>
        <v>0.50432372505543233</v>
      </c>
      <c r="AZ17" s="9">
        <f t="shared" si="2"/>
        <v>0.49567627494456762</v>
      </c>
    </row>
    <row r="18" spans="1:52" x14ac:dyDescent="0.35">
      <c r="A18" s="1" t="s">
        <v>1224</v>
      </c>
      <c r="B18" s="1" t="s">
        <v>1298</v>
      </c>
      <c r="C18" s="1" t="s">
        <v>1303</v>
      </c>
      <c r="D18" s="1"/>
      <c r="E18" s="1"/>
      <c r="F18" s="1"/>
      <c r="G18" s="1"/>
      <c r="H18" s="1"/>
      <c r="I18" s="1"/>
      <c r="J18" s="1" t="s">
        <v>1304</v>
      </c>
      <c r="K18" s="1" t="s">
        <v>68</v>
      </c>
      <c r="L18" s="1">
        <v>42</v>
      </c>
      <c r="M18" s="1" t="s">
        <v>65</v>
      </c>
      <c r="N18" s="1" t="s">
        <v>61</v>
      </c>
      <c r="O18" s="1">
        <v>3711</v>
      </c>
      <c r="P18" s="1" t="s">
        <v>1306</v>
      </c>
      <c r="Q18" s="1" t="s">
        <v>50</v>
      </c>
      <c r="R18" s="1">
        <v>71</v>
      </c>
      <c r="S18" s="1" t="s">
        <v>65</v>
      </c>
      <c r="T18" s="1" t="s">
        <v>61</v>
      </c>
      <c r="U18" s="1">
        <v>3341</v>
      </c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>
        <v>10045</v>
      </c>
      <c r="AI18" s="1">
        <v>9192</v>
      </c>
      <c r="AJ18" s="1">
        <v>246</v>
      </c>
      <c r="AK18" s="1">
        <v>36</v>
      </c>
      <c r="AL18" s="1">
        <v>8</v>
      </c>
      <c r="AM18" s="1">
        <v>14</v>
      </c>
      <c r="AN18" s="1">
        <v>487</v>
      </c>
      <c r="AO18" s="1">
        <v>62</v>
      </c>
      <c r="AP18" s="9">
        <v>0.9150821304131409</v>
      </c>
      <c r="AQ18" s="9">
        <v>2.4489795918367346E-2</v>
      </c>
      <c r="AR18" s="9">
        <v>3.5838725734196118E-3</v>
      </c>
      <c r="AS18" s="9">
        <v>5.6844201095072176E-2</v>
      </c>
      <c r="AT18" s="1">
        <v>7052</v>
      </c>
      <c r="AU18" s="1">
        <v>70.2</v>
      </c>
      <c r="AV18" s="1" t="s">
        <v>68</v>
      </c>
      <c r="AW18" s="1"/>
      <c r="AX18" s="9">
        <f t="shared" si="0"/>
        <v>0</v>
      </c>
      <c r="AY18" s="9">
        <f t="shared" si="1"/>
        <v>0.52623369256948382</v>
      </c>
      <c r="AZ18" s="9">
        <f t="shared" si="2"/>
        <v>0.47376630743051618</v>
      </c>
    </row>
    <row r="19" spans="1:52" x14ac:dyDescent="0.35">
      <c r="A19" s="1" t="s">
        <v>1224</v>
      </c>
      <c r="B19" s="1" t="s">
        <v>1298</v>
      </c>
      <c r="C19" s="1" t="s">
        <v>1307</v>
      </c>
      <c r="D19" s="1"/>
      <c r="E19" s="1"/>
      <c r="F19" s="1"/>
      <c r="G19" s="1"/>
      <c r="H19" s="1"/>
      <c r="I19" s="1"/>
      <c r="J19" s="1" t="s">
        <v>1308</v>
      </c>
      <c r="K19" s="1" t="s">
        <v>68</v>
      </c>
      <c r="L19" s="1">
        <v>65</v>
      </c>
      <c r="M19" s="1" t="s">
        <v>65</v>
      </c>
      <c r="N19" s="1" t="s">
        <v>61</v>
      </c>
      <c r="O19" s="1">
        <v>3724</v>
      </c>
      <c r="P19" s="1" t="s">
        <v>1310</v>
      </c>
      <c r="Q19" s="1" t="s">
        <v>50</v>
      </c>
      <c r="R19" s="1">
        <v>53</v>
      </c>
      <c r="S19" s="1" t="s">
        <v>60</v>
      </c>
      <c r="T19" s="1" t="s">
        <v>61</v>
      </c>
      <c r="U19" s="1">
        <v>3062</v>
      </c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>
        <v>9886</v>
      </c>
      <c r="AI19" s="1">
        <v>7914</v>
      </c>
      <c r="AJ19" s="1">
        <v>1533</v>
      </c>
      <c r="AK19" s="1">
        <v>357</v>
      </c>
      <c r="AL19" s="1">
        <v>3</v>
      </c>
      <c r="AM19" s="1">
        <v>15</v>
      </c>
      <c r="AN19" s="1">
        <v>6</v>
      </c>
      <c r="AO19" s="1">
        <v>58</v>
      </c>
      <c r="AP19" s="9">
        <v>0.80052599635848676</v>
      </c>
      <c r="AQ19" s="9">
        <v>0.15506777260772811</v>
      </c>
      <c r="AR19" s="9">
        <v>3.611167307303257E-2</v>
      </c>
      <c r="AS19" s="9">
        <v>8.2945579607525792E-3</v>
      </c>
      <c r="AT19" s="1">
        <v>6786</v>
      </c>
      <c r="AU19" s="1">
        <v>68.599999999999994</v>
      </c>
      <c r="AV19" s="1" t="s">
        <v>68</v>
      </c>
      <c r="AW19" s="1"/>
      <c r="AX19" s="9">
        <f t="shared" si="0"/>
        <v>0</v>
      </c>
      <c r="AY19" s="9">
        <f t="shared" si="1"/>
        <v>0.54877689360447979</v>
      </c>
      <c r="AZ19" s="9">
        <f t="shared" si="2"/>
        <v>0.45122310639552021</v>
      </c>
    </row>
    <row r="20" spans="1:52" x14ac:dyDescent="0.35">
      <c r="A20" s="1" t="s">
        <v>1224</v>
      </c>
      <c r="B20" s="1" t="s">
        <v>1298</v>
      </c>
      <c r="C20" s="1" t="s">
        <v>1311</v>
      </c>
      <c r="D20" s="1" t="s">
        <v>1314</v>
      </c>
      <c r="E20" s="1" t="s">
        <v>51</v>
      </c>
      <c r="F20" s="1">
        <v>44</v>
      </c>
      <c r="G20" s="1" t="s">
        <v>60</v>
      </c>
      <c r="H20" s="1" t="s">
        <v>61</v>
      </c>
      <c r="I20" s="1">
        <v>6222</v>
      </c>
      <c r="J20" s="1"/>
      <c r="K20" s="1"/>
      <c r="L20" s="1"/>
      <c r="M20" s="1"/>
      <c r="N20" s="1"/>
      <c r="O20" s="1"/>
      <c r="P20" s="1" t="s">
        <v>1312</v>
      </c>
      <c r="Q20" s="1" t="s">
        <v>52</v>
      </c>
      <c r="R20" s="1">
        <v>71</v>
      </c>
      <c r="S20" s="1" t="s">
        <v>65</v>
      </c>
      <c r="T20" s="1" t="s">
        <v>61</v>
      </c>
      <c r="U20" s="1">
        <v>5143</v>
      </c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>
        <v>17692</v>
      </c>
      <c r="AI20" s="1">
        <v>11542</v>
      </c>
      <c r="AJ20" s="1">
        <v>4407</v>
      </c>
      <c r="AK20" s="1">
        <v>1554</v>
      </c>
      <c r="AL20" s="1">
        <v>47</v>
      </c>
      <c r="AM20" s="1">
        <v>20</v>
      </c>
      <c r="AN20" s="1">
        <v>5</v>
      </c>
      <c r="AO20" s="1">
        <v>117</v>
      </c>
      <c r="AP20" s="9">
        <v>0.6523852588740674</v>
      </c>
      <c r="AQ20" s="9">
        <v>0.24909563644585123</v>
      </c>
      <c r="AR20" s="9">
        <v>8.7836310196699074E-2</v>
      </c>
      <c r="AS20" s="9">
        <v>1.0682794483382319E-2</v>
      </c>
      <c r="AT20" s="1">
        <v>11365</v>
      </c>
      <c r="AU20" s="1">
        <v>64.2</v>
      </c>
      <c r="AV20" s="1" t="s">
        <v>51</v>
      </c>
      <c r="AW20" s="1"/>
      <c r="AX20" s="9">
        <f t="shared" si="0"/>
        <v>0.5474703035635724</v>
      </c>
      <c r="AY20" s="9">
        <f t="shared" si="1"/>
        <v>0</v>
      </c>
      <c r="AZ20" s="9">
        <f t="shared" si="2"/>
        <v>0.45252969643642765</v>
      </c>
    </row>
    <row r="21" spans="1:52" x14ac:dyDescent="0.35">
      <c r="A21" s="1" t="s">
        <v>1224</v>
      </c>
      <c r="B21" s="1" t="s">
        <v>1298</v>
      </c>
      <c r="C21" s="1" t="s">
        <v>1316</v>
      </c>
      <c r="D21" s="1"/>
      <c r="E21" s="1"/>
      <c r="F21" s="1"/>
      <c r="G21" s="1"/>
      <c r="H21" s="1"/>
      <c r="I21" s="1"/>
      <c r="J21" s="1" t="s">
        <v>1317</v>
      </c>
      <c r="K21" s="1" t="s">
        <v>68</v>
      </c>
      <c r="L21" s="1">
        <v>58</v>
      </c>
      <c r="M21" s="1" t="s">
        <v>65</v>
      </c>
      <c r="N21" s="1" t="s">
        <v>61</v>
      </c>
      <c r="O21" s="1">
        <v>5228</v>
      </c>
      <c r="P21" s="1" t="s">
        <v>1319</v>
      </c>
      <c r="Q21" s="1" t="s">
        <v>52</v>
      </c>
      <c r="R21" s="1">
        <v>76</v>
      </c>
      <c r="S21" s="1" t="s">
        <v>65</v>
      </c>
      <c r="T21" s="1" t="s">
        <v>61</v>
      </c>
      <c r="U21" s="1">
        <v>3111</v>
      </c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>
        <v>12313</v>
      </c>
      <c r="AI21" s="1">
        <v>8961</v>
      </c>
      <c r="AJ21" s="1">
        <v>2005</v>
      </c>
      <c r="AK21" s="1">
        <v>641</v>
      </c>
      <c r="AL21" s="1">
        <v>11</v>
      </c>
      <c r="AM21" s="1">
        <v>14</v>
      </c>
      <c r="AN21" s="1">
        <v>631</v>
      </c>
      <c r="AO21" s="1">
        <v>50</v>
      </c>
      <c r="AP21" s="9">
        <v>0.72776740030861686</v>
      </c>
      <c r="AQ21" s="9">
        <v>0.16283602696337204</v>
      </c>
      <c r="AR21" s="9">
        <v>5.2058799642654106E-2</v>
      </c>
      <c r="AS21" s="9">
        <v>5.7337773085356938E-2</v>
      </c>
      <c r="AT21" s="1">
        <v>8339</v>
      </c>
      <c r="AU21" s="1">
        <v>67.7</v>
      </c>
      <c r="AV21" s="1" t="s">
        <v>68</v>
      </c>
      <c r="AW21" s="1"/>
      <c r="AX21" s="9">
        <f t="shared" si="0"/>
        <v>0</v>
      </c>
      <c r="AY21" s="9">
        <f t="shared" si="1"/>
        <v>0.62693368509413594</v>
      </c>
      <c r="AZ21" s="9">
        <f t="shared" si="2"/>
        <v>0.373066314905864</v>
      </c>
    </row>
    <row r="22" spans="1:52" x14ac:dyDescent="0.35">
      <c r="A22" s="1" t="s">
        <v>1224</v>
      </c>
      <c r="B22" s="1" t="s">
        <v>1321</v>
      </c>
      <c r="C22" s="1" t="s">
        <v>1322</v>
      </c>
      <c r="D22" s="1" t="s">
        <v>1325</v>
      </c>
      <c r="E22" s="1" t="s">
        <v>51</v>
      </c>
      <c r="F22" s="1">
        <v>68</v>
      </c>
      <c r="G22" s="1" t="s">
        <v>65</v>
      </c>
      <c r="H22" s="1" t="s">
        <v>61</v>
      </c>
      <c r="I22" s="1">
        <v>10021</v>
      </c>
      <c r="J22" s="1"/>
      <c r="K22" s="1"/>
      <c r="L22" s="1"/>
      <c r="M22" s="1"/>
      <c r="N22" s="1"/>
      <c r="O22" s="1"/>
      <c r="P22" s="1" t="s">
        <v>1323</v>
      </c>
      <c r="Q22" s="1" t="s">
        <v>50</v>
      </c>
      <c r="R22" s="1">
        <v>44</v>
      </c>
      <c r="S22" s="1" t="s">
        <v>65</v>
      </c>
      <c r="T22" s="1" t="s">
        <v>61</v>
      </c>
      <c r="U22" s="1">
        <v>11661</v>
      </c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>
        <v>30478</v>
      </c>
      <c r="AI22" s="1">
        <v>22734</v>
      </c>
      <c r="AJ22" s="1">
        <v>2413</v>
      </c>
      <c r="AK22" s="1">
        <v>4229</v>
      </c>
      <c r="AL22" s="1">
        <v>181</v>
      </c>
      <c r="AM22" s="1">
        <v>109</v>
      </c>
      <c r="AN22" s="1">
        <v>515</v>
      </c>
      <c r="AO22" s="1">
        <v>297</v>
      </c>
      <c r="AP22" s="9">
        <v>0.74591508629175141</v>
      </c>
      <c r="AQ22" s="9">
        <v>7.91718616707133E-2</v>
      </c>
      <c r="AR22" s="9">
        <v>0.13875582387295754</v>
      </c>
      <c r="AS22" s="9">
        <v>3.6157228164577726E-2</v>
      </c>
      <c r="AT22" s="1">
        <v>21682</v>
      </c>
      <c r="AU22" s="1">
        <v>71.099999999999994</v>
      </c>
      <c r="AV22" s="1" t="s">
        <v>50</v>
      </c>
      <c r="AW22" s="1"/>
      <c r="AX22" s="9">
        <f t="shared" si="0"/>
        <v>0.46218061064477445</v>
      </c>
      <c r="AY22" s="9">
        <f t="shared" si="1"/>
        <v>0</v>
      </c>
      <c r="AZ22" s="9">
        <f t="shared" si="2"/>
        <v>0.53781938935522555</v>
      </c>
    </row>
    <row r="23" spans="1:52" x14ac:dyDescent="0.35">
      <c r="A23" s="1" t="s">
        <v>1224</v>
      </c>
      <c r="B23" s="1" t="s">
        <v>1321</v>
      </c>
      <c r="C23" s="1" t="s">
        <v>1327</v>
      </c>
      <c r="D23" s="1" t="s">
        <v>1331</v>
      </c>
      <c r="E23" s="1" t="s">
        <v>49</v>
      </c>
      <c r="F23" s="1">
        <v>53</v>
      </c>
      <c r="G23" s="1" t="s">
        <v>60</v>
      </c>
      <c r="H23" s="1" t="s">
        <v>121</v>
      </c>
      <c r="I23" s="1">
        <v>24626</v>
      </c>
      <c r="J23" s="1"/>
      <c r="K23" s="1"/>
      <c r="L23" s="1"/>
      <c r="M23" s="1"/>
      <c r="N23" s="1"/>
      <c r="O23" s="1"/>
      <c r="P23" s="1" t="s">
        <v>1328</v>
      </c>
      <c r="Q23" s="1" t="s">
        <v>1425</v>
      </c>
      <c r="R23" s="1">
        <v>64</v>
      </c>
      <c r="S23" s="1" t="s">
        <v>65</v>
      </c>
      <c r="T23" s="1" t="s">
        <v>195</v>
      </c>
      <c r="U23" s="1">
        <v>4942</v>
      </c>
      <c r="V23" s="1" t="s">
        <v>1329</v>
      </c>
      <c r="W23" s="1" t="s">
        <v>64</v>
      </c>
      <c r="X23" s="1">
        <v>51</v>
      </c>
      <c r="Y23" s="1" t="s">
        <v>65</v>
      </c>
      <c r="Z23" s="1" t="s">
        <v>61</v>
      </c>
      <c r="AA23" s="1"/>
      <c r="AB23" s="1"/>
      <c r="AC23" s="1"/>
      <c r="AD23" s="1"/>
      <c r="AE23" s="1"/>
      <c r="AF23" s="1"/>
      <c r="AG23" s="1"/>
      <c r="AH23" s="1">
        <v>46229</v>
      </c>
      <c r="AI23" s="1">
        <v>12264</v>
      </c>
      <c r="AJ23" s="1">
        <v>22768</v>
      </c>
      <c r="AK23" s="1">
        <v>10260</v>
      </c>
      <c r="AL23" s="1">
        <v>177</v>
      </c>
      <c r="AM23" s="1">
        <v>120</v>
      </c>
      <c r="AN23" s="1">
        <v>85</v>
      </c>
      <c r="AO23" s="1">
        <v>555</v>
      </c>
      <c r="AP23" s="9">
        <v>0.26528802266975277</v>
      </c>
      <c r="AQ23" s="9">
        <v>0.49250470483895392</v>
      </c>
      <c r="AR23" s="9">
        <v>0.22193860996344286</v>
      </c>
      <c r="AS23" s="9">
        <v>2.0268662527850482E-2</v>
      </c>
      <c r="AT23" s="1">
        <v>30489</v>
      </c>
      <c r="AU23" s="1">
        <v>66</v>
      </c>
      <c r="AV23" s="1" t="s">
        <v>49</v>
      </c>
      <c r="AW23" s="1"/>
      <c r="AX23" s="9">
        <f t="shared" si="0"/>
        <v>0.80770113811538591</v>
      </c>
      <c r="AY23" s="9">
        <f t="shared" si="1"/>
        <v>0</v>
      </c>
      <c r="AZ23" s="9">
        <f t="shared" si="2"/>
        <v>0.16209124602315589</v>
      </c>
    </row>
    <row r="24" spans="1:52" x14ac:dyDescent="0.35">
      <c r="A24" s="1" t="s">
        <v>1224</v>
      </c>
      <c r="B24" s="1" t="s">
        <v>1321</v>
      </c>
      <c r="C24" s="1" t="s">
        <v>1332</v>
      </c>
      <c r="D24" s="1" t="s">
        <v>1333</v>
      </c>
      <c r="E24" s="1" t="s">
        <v>49</v>
      </c>
      <c r="F24" s="1">
        <v>52</v>
      </c>
      <c r="G24" s="1" t="s">
        <v>65</v>
      </c>
      <c r="H24" s="1" t="s">
        <v>121</v>
      </c>
      <c r="I24" s="1">
        <v>9868</v>
      </c>
      <c r="J24" s="1"/>
      <c r="K24" s="1"/>
      <c r="L24" s="1"/>
      <c r="M24" s="1"/>
      <c r="N24" s="1"/>
      <c r="O24" s="1"/>
      <c r="P24" s="1" t="s">
        <v>1334</v>
      </c>
      <c r="Q24" s="1" t="s">
        <v>1425</v>
      </c>
      <c r="R24" s="1">
        <v>39</v>
      </c>
      <c r="S24" s="1" t="s">
        <v>65</v>
      </c>
      <c r="T24" s="1" t="s">
        <v>121</v>
      </c>
      <c r="U24" s="1">
        <v>3436</v>
      </c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>
        <v>20182</v>
      </c>
      <c r="AI24" s="1">
        <v>5894</v>
      </c>
      <c r="AJ24" s="1">
        <v>9059</v>
      </c>
      <c r="AK24" s="1">
        <v>4559</v>
      </c>
      <c r="AL24" s="1">
        <v>77</v>
      </c>
      <c r="AM24" s="1">
        <v>78</v>
      </c>
      <c r="AN24" s="1">
        <v>12</v>
      </c>
      <c r="AO24" s="1">
        <v>503</v>
      </c>
      <c r="AP24" s="9">
        <v>0.29204241403230602</v>
      </c>
      <c r="AQ24" s="9">
        <v>0.44886532553760777</v>
      </c>
      <c r="AR24" s="9">
        <v>0.22589436131206025</v>
      </c>
      <c r="AS24" s="9">
        <v>3.3197899118025967E-2</v>
      </c>
      <c r="AT24" s="1">
        <v>13304</v>
      </c>
      <c r="AU24" s="1">
        <v>65.900000000000006</v>
      </c>
      <c r="AV24" s="1" t="s">
        <v>49</v>
      </c>
      <c r="AW24" s="1"/>
      <c r="AX24" s="9">
        <f t="shared" si="0"/>
        <v>0.74173180998196031</v>
      </c>
      <c r="AY24" s="9">
        <f t="shared" si="1"/>
        <v>0</v>
      </c>
      <c r="AZ24" s="9">
        <f t="shared" si="2"/>
        <v>0.25826819001803969</v>
      </c>
    </row>
    <row r="25" spans="1:52" x14ac:dyDescent="0.35">
      <c r="A25" s="1" t="s">
        <v>1224</v>
      </c>
      <c r="B25" s="1" t="s">
        <v>1321</v>
      </c>
      <c r="C25" s="1" t="s">
        <v>1335</v>
      </c>
      <c r="D25" s="1" t="s">
        <v>1336</v>
      </c>
      <c r="E25" s="1" t="s">
        <v>49</v>
      </c>
      <c r="F25" s="1">
        <v>61</v>
      </c>
      <c r="G25" s="1" t="s">
        <v>65</v>
      </c>
      <c r="H25" s="1" t="s">
        <v>121</v>
      </c>
      <c r="I25" s="1">
        <v>17039</v>
      </c>
      <c r="J25" s="1"/>
      <c r="K25" s="1"/>
      <c r="L25" s="1"/>
      <c r="M25" s="1"/>
      <c r="N25" s="1"/>
      <c r="O25" s="1"/>
      <c r="P25" s="1" t="s">
        <v>1338</v>
      </c>
      <c r="Q25" s="1" t="s">
        <v>52</v>
      </c>
      <c r="R25" s="1">
        <v>44</v>
      </c>
      <c r="S25" s="1" t="s">
        <v>65</v>
      </c>
      <c r="T25" s="1" t="s">
        <v>195</v>
      </c>
      <c r="U25" s="1">
        <v>2099</v>
      </c>
      <c r="V25" s="1" t="s">
        <v>1337</v>
      </c>
      <c r="W25" s="1" t="s">
        <v>64</v>
      </c>
      <c r="X25" s="1">
        <v>52</v>
      </c>
      <c r="Y25" s="1" t="s">
        <v>65</v>
      </c>
      <c r="Z25" s="1" t="s">
        <v>195</v>
      </c>
      <c r="AA25" s="1">
        <v>163</v>
      </c>
      <c r="AB25" s="1"/>
      <c r="AC25" s="1"/>
      <c r="AD25" s="1"/>
      <c r="AE25" s="1"/>
      <c r="AF25" s="1"/>
      <c r="AG25" s="1"/>
      <c r="AH25" s="1">
        <v>28952</v>
      </c>
      <c r="AI25" s="1">
        <v>3919</v>
      </c>
      <c r="AJ25" s="1">
        <v>16997</v>
      </c>
      <c r="AK25" s="1">
        <v>7440</v>
      </c>
      <c r="AL25" s="1">
        <v>73</v>
      </c>
      <c r="AM25" s="1">
        <v>47</v>
      </c>
      <c r="AN25" s="1">
        <v>1</v>
      </c>
      <c r="AO25" s="1">
        <v>475</v>
      </c>
      <c r="AP25" s="9">
        <v>0.13536197844708484</v>
      </c>
      <c r="AQ25" s="9">
        <v>0.58707515888366957</v>
      </c>
      <c r="AR25" s="9">
        <v>0.25697706548770377</v>
      </c>
      <c r="AS25" s="9">
        <v>2.0585797181541861E-2</v>
      </c>
      <c r="AT25" s="1">
        <v>19301</v>
      </c>
      <c r="AU25" s="1">
        <v>66.7</v>
      </c>
      <c r="AV25" s="1" t="s">
        <v>49</v>
      </c>
      <c r="AW25" s="1"/>
      <c r="AX25" s="9">
        <f t="shared" si="0"/>
        <v>0.88280399979275681</v>
      </c>
      <c r="AY25" s="9">
        <f t="shared" si="1"/>
        <v>0</v>
      </c>
      <c r="AZ25" s="9">
        <f t="shared" si="2"/>
        <v>0.10875084192528885</v>
      </c>
    </row>
    <row r="26" spans="1:52" x14ac:dyDescent="0.35">
      <c r="A26" s="1" t="s">
        <v>1224</v>
      </c>
      <c r="B26" s="1" t="s">
        <v>1321</v>
      </c>
      <c r="C26" s="1" t="s">
        <v>1340</v>
      </c>
      <c r="D26" s="1" t="s">
        <v>1341</v>
      </c>
      <c r="E26" s="1" t="s">
        <v>49</v>
      </c>
      <c r="F26" s="1">
        <v>65</v>
      </c>
      <c r="G26" s="1" t="s">
        <v>65</v>
      </c>
      <c r="H26" s="1" t="s">
        <v>195</v>
      </c>
      <c r="I26" s="1">
        <v>17080</v>
      </c>
      <c r="J26" s="1"/>
      <c r="K26" s="1"/>
      <c r="L26" s="1"/>
      <c r="M26" s="1"/>
      <c r="N26" s="1"/>
      <c r="O26" s="1"/>
      <c r="P26" s="1" t="s">
        <v>1343</v>
      </c>
      <c r="Q26" s="1" t="s">
        <v>1425</v>
      </c>
      <c r="R26" s="1">
        <v>49</v>
      </c>
      <c r="S26" s="1" t="s">
        <v>65</v>
      </c>
      <c r="T26" s="1" t="s">
        <v>121</v>
      </c>
      <c r="U26" s="1">
        <v>4377</v>
      </c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>
        <v>32290</v>
      </c>
      <c r="AI26" s="1">
        <v>7760</v>
      </c>
      <c r="AJ26" s="1">
        <v>15221</v>
      </c>
      <c r="AK26" s="1">
        <v>8786</v>
      </c>
      <c r="AL26" s="1">
        <v>63</v>
      </c>
      <c r="AM26" s="1">
        <v>154</v>
      </c>
      <c r="AN26" s="1">
        <v>6</v>
      </c>
      <c r="AO26" s="1">
        <v>300</v>
      </c>
      <c r="AP26" s="9">
        <v>0.24032208113967171</v>
      </c>
      <c r="AQ26" s="9">
        <v>0.47138432951378134</v>
      </c>
      <c r="AR26" s="9">
        <v>0.27209662434190152</v>
      </c>
      <c r="AS26" s="9">
        <v>1.6196965004645403E-2</v>
      </c>
      <c r="AT26" s="1">
        <v>21457</v>
      </c>
      <c r="AU26" s="1">
        <v>66.5</v>
      </c>
      <c r="AV26" s="1" t="s">
        <v>49</v>
      </c>
      <c r="AW26" s="1"/>
      <c r="AX26" s="9">
        <f t="shared" si="0"/>
        <v>0.79601062590296878</v>
      </c>
      <c r="AY26" s="9">
        <f t="shared" si="1"/>
        <v>0</v>
      </c>
      <c r="AZ26" s="9">
        <f t="shared" si="2"/>
        <v>0.20398937409703127</v>
      </c>
    </row>
    <row r="27" spans="1:52" x14ac:dyDescent="0.35">
      <c r="A27" s="1" t="s">
        <v>1224</v>
      </c>
      <c r="B27" s="1" t="s">
        <v>1345</v>
      </c>
      <c r="C27" s="1" t="s">
        <v>1346</v>
      </c>
      <c r="D27" s="1" t="s">
        <v>1349</v>
      </c>
      <c r="E27" s="1" t="s">
        <v>48</v>
      </c>
      <c r="F27" s="1">
        <v>48</v>
      </c>
      <c r="G27" s="1" t="s">
        <v>60</v>
      </c>
      <c r="H27" s="1" t="s">
        <v>61</v>
      </c>
      <c r="I27" s="1">
        <v>18301</v>
      </c>
      <c r="J27" s="1"/>
      <c r="K27" s="1"/>
      <c r="L27" s="1"/>
      <c r="M27" s="1"/>
      <c r="N27" s="1"/>
      <c r="O27" s="1"/>
      <c r="P27" s="1" t="s">
        <v>1351</v>
      </c>
      <c r="Q27" s="1" t="s">
        <v>52</v>
      </c>
      <c r="R27" s="1">
        <v>57</v>
      </c>
      <c r="S27" s="1" t="s">
        <v>65</v>
      </c>
      <c r="T27" s="1" t="s">
        <v>61</v>
      </c>
      <c r="U27" s="1">
        <v>23840</v>
      </c>
      <c r="V27" s="1" t="s">
        <v>1347</v>
      </c>
      <c r="W27" s="1" t="s">
        <v>64</v>
      </c>
      <c r="X27" s="1">
        <v>26</v>
      </c>
      <c r="Y27" s="1" t="s">
        <v>65</v>
      </c>
      <c r="Z27" s="1" t="s">
        <v>61</v>
      </c>
      <c r="AA27" s="1">
        <v>944</v>
      </c>
      <c r="AB27" s="1"/>
      <c r="AC27" s="1"/>
      <c r="AD27" s="1"/>
      <c r="AE27" s="1"/>
      <c r="AF27" s="1"/>
      <c r="AG27" s="1"/>
      <c r="AH27" s="1">
        <v>60704</v>
      </c>
      <c r="AI27" s="1">
        <v>47054</v>
      </c>
      <c r="AJ27" s="1">
        <v>3773</v>
      </c>
      <c r="AK27" s="1">
        <v>9074</v>
      </c>
      <c r="AL27" s="1">
        <v>150</v>
      </c>
      <c r="AM27" s="1">
        <v>137</v>
      </c>
      <c r="AN27" s="1">
        <v>12</v>
      </c>
      <c r="AO27" s="1">
        <v>504</v>
      </c>
      <c r="AP27" s="9">
        <v>0.77513837638376382</v>
      </c>
      <c r="AQ27" s="9">
        <v>6.2154059040590404E-2</v>
      </c>
      <c r="AR27" s="9">
        <v>0.14947944122298365</v>
      </c>
      <c r="AS27" s="9">
        <v>1.3228123352662099E-2</v>
      </c>
      <c r="AT27" s="1">
        <v>43085</v>
      </c>
      <c r="AU27" s="1">
        <v>71</v>
      </c>
      <c r="AV27" s="1" t="s">
        <v>52</v>
      </c>
      <c r="AW27" s="1"/>
      <c r="AX27" s="9">
        <f t="shared" si="0"/>
        <v>0.42476499941975165</v>
      </c>
      <c r="AY27" s="9">
        <f t="shared" si="1"/>
        <v>0</v>
      </c>
      <c r="AZ27" s="9">
        <f t="shared" si="2"/>
        <v>0.55332482302425434</v>
      </c>
    </row>
    <row r="28" spans="1:52" x14ac:dyDescent="0.35">
      <c r="A28" s="1" t="s">
        <v>1224</v>
      </c>
      <c r="B28" s="1" t="s">
        <v>1345</v>
      </c>
      <c r="C28" s="1" t="s">
        <v>1353</v>
      </c>
      <c r="D28" s="1"/>
      <c r="E28" s="1"/>
      <c r="F28" s="1"/>
      <c r="G28" s="1"/>
      <c r="H28" s="1"/>
      <c r="I28" s="1"/>
      <c r="J28" s="1" t="s">
        <v>1355</v>
      </c>
      <c r="K28" s="1" t="s">
        <v>68</v>
      </c>
      <c r="L28" s="1">
        <v>57</v>
      </c>
      <c r="M28" s="1" t="s">
        <v>65</v>
      </c>
      <c r="N28" s="1" t="s">
        <v>61</v>
      </c>
      <c r="O28" s="1">
        <v>11261</v>
      </c>
      <c r="P28" s="1" t="s">
        <v>1354</v>
      </c>
      <c r="Q28" s="1" t="s">
        <v>50</v>
      </c>
      <c r="R28" s="1">
        <v>72</v>
      </c>
      <c r="S28" s="1" t="s">
        <v>65</v>
      </c>
      <c r="T28" s="1" t="s">
        <v>61</v>
      </c>
      <c r="U28" s="1">
        <v>6926</v>
      </c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>
        <v>25625</v>
      </c>
      <c r="AI28" s="1">
        <v>20804</v>
      </c>
      <c r="AJ28" s="1">
        <v>1631</v>
      </c>
      <c r="AK28" s="1">
        <v>2561</v>
      </c>
      <c r="AL28" s="1">
        <v>39</v>
      </c>
      <c r="AM28" s="1">
        <v>30</v>
      </c>
      <c r="AN28" s="1">
        <v>349</v>
      </c>
      <c r="AO28" s="1">
        <v>211</v>
      </c>
      <c r="AP28" s="9">
        <v>0.81186341463414635</v>
      </c>
      <c r="AQ28" s="9">
        <v>6.3648780487804882E-2</v>
      </c>
      <c r="AR28" s="9">
        <v>9.9941463414634141E-2</v>
      </c>
      <c r="AS28" s="9">
        <v>2.4546341463414636E-2</v>
      </c>
      <c r="AT28" s="1">
        <v>18187</v>
      </c>
      <c r="AU28" s="1">
        <v>71</v>
      </c>
      <c r="AV28" s="1" t="s">
        <v>68</v>
      </c>
      <c r="AW28" s="1"/>
      <c r="AX28" s="9">
        <f t="shared" si="0"/>
        <v>0</v>
      </c>
      <c r="AY28" s="9">
        <f t="shared" si="1"/>
        <v>0.61917853411777646</v>
      </c>
      <c r="AZ28" s="9">
        <f t="shared" si="2"/>
        <v>0.38082146588222354</v>
      </c>
    </row>
    <row r="29" spans="1:52" x14ac:dyDescent="0.35">
      <c r="A29" s="1" t="s">
        <v>1224</v>
      </c>
      <c r="B29" s="1" t="s">
        <v>1345</v>
      </c>
      <c r="C29" s="1" t="s">
        <v>1357</v>
      </c>
      <c r="D29" s="1"/>
      <c r="E29" s="1"/>
      <c r="F29" s="1"/>
      <c r="G29" s="1"/>
      <c r="H29" s="1"/>
      <c r="I29" s="1"/>
      <c r="J29" s="1" t="s">
        <v>1359</v>
      </c>
      <c r="K29" s="1" t="s">
        <v>68</v>
      </c>
      <c r="L29" s="1">
        <v>68</v>
      </c>
      <c r="M29" s="1" t="s">
        <v>65</v>
      </c>
      <c r="N29" s="1" t="s">
        <v>61</v>
      </c>
      <c r="O29" s="1">
        <v>16957</v>
      </c>
      <c r="P29" s="1" t="s">
        <v>1358</v>
      </c>
      <c r="Q29" s="1" t="s">
        <v>52</v>
      </c>
      <c r="R29" s="1">
        <v>59</v>
      </c>
      <c r="S29" s="1" t="s">
        <v>65</v>
      </c>
      <c r="T29" s="1" t="s">
        <v>61</v>
      </c>
      <c r="U29" s="1">
        <v>6677</v>
      </c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>
        <v>32890</v>
      </c>
      <c r="AI29" s="1">
        <v>18115</v>
      </c>
      <c r="AJ29" s="1">
        <v>5172</v>
      </c>
      <c r="AK29" s="1">
        <v>9019</v>
      </c>
      <c r="AL29" s="1">
        <v>146</v>
      </c>
      <c r="AM29" s="1">
        <v>112</v>
      </c>
      <c r="AN29" s="1">
        <v>8</v>
      </c>
      <c r="AO29" s="1">
        <v>318</v>
      </c>
      <c r="AP29" s="9">
        <v>0.55077531164487681</v>
      </c>
      <c r="AQ29" s="9">
        <v>0.15725144420796594</v>
      </c>
      <c r="AR29" s="9">
        <v>0.27421708726056554</v>
      </c>
      <c r="AS29" s="9">
        <v>1.775615688659167E-2</v>
      </c>
      <c r="AT29" s="1">
        <v>23634</v>
      </c>
      <c r="AU29" s="1">
        <v>71.900000000000006</v>
      </c>
      <c r="AV29" s="1" t="s">
        <v>68</v>
      </c>
      <c r="AW29" s="1"/>
      <c r="AX29" s="9">
        <f t="shared" si="0"/>
        <v>0</v>
      </c>
      <c r="AY29" s="9">
        <f t="shared" si="1"/>
        <v>0.71748328679021744</v>
      </c>
      <c r="AZ29" s="9">
        <f t="shared" si="2"/>
        <v>0.2825167132097825</v>
      </c>
    </row>
    <row r="30" spans="1:52" x14ac:dyDescent="0.35">
      <c r="A30" s="1" t="s">
        <v>1224</v>
      </c>
      <c r="B30" s="1" t="s">
        <v>1345</v>
      </c>
      <c r="C30" s="1" t="s">
        <v>1361</v>
      </c>
      <c r="D30" s="1"/>
      <c r="E30" s="1"/>
      <c r="F30" s="1"/>
      <c r="G30" s="1"/>
      <c r="H30" s="1"/>
      <c r="I30" s="1"/>
      <c r="J30" s="1" t="s">
        <v>1362</v>
      </c>
      <c r="K30" s="1" t="s">
        <v>68</v>
      </c>
      <c r="L30" s="1">
        <v>44</v>
      </c>
      <c r="M30" s="1" t="s">
        <v>65</v>
      </c>
      <c r="N30" s="1" t="s">
        <v>61</v>
      </c>
      <c r="O30" s="1">
        <v>5869</v>
      </c>
      <c r="P30" s="1" t="s">
        <v>1363</v>
      </c>
      <c r="Q30" s="1" t="s">
        <v>50</v>
      </c>
      <c r="R30" s="1">
        <v>62</v>
      </c>
      <c r="S30" s="1" t="s">
        <v>65</v>
      </c>
      <c r="T30" s="1" t="s">
        <v>61</v>
      </c>
      <c r="U30" s="1">
        <v>5734</v>
      </c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>
        <v>16510</v>
      </c>
      <c r="AI30" s="1">
        <v>14196</v>
      </c>
      <c r="AJ30" s="1">
        <v>1105</v>
      </c>
      <c r="AK30" s="1">
        <v>853</v>
      </c>
      <c r="AL30" s="1">
        <v>24</v>
      </c>
      <c r="AM30" s="1">
        <v>15</v>
      </c>
      <c r="AN30" s="1">
        <v>189</v>
      </c>
      <c r="AO30" s="1">
        <v>128</v>
      </c>
      <c r="AP30" s="9">
        <v>0.85984251968503933</v>
      </c>
      <c r="AQ30" s="9">
        <v>6.6929133858267723E-2</v>
      </c>
      <c r="AR30" s="9">
        <v>5.1665657177468204E-2</v>
      </c>
      <c r="AS30" s="9">
        <v>2.1562689279224712E-2</v>
      </c>
      <c r="AT30" s="1">
        <v>11603</v>
      </c>
      <c r="AU30" s="1">
        <v>70.3</v>
      </c>
      <c r="AV30" s="1" t="s">
        <v>68</v>
      </c>
      <c r="AW30" s="1"/>
      <c r="AX30" s="9">
        <f t="shared" si="0"/>
        <v>0</v>
      </c>
      <c r="AY30" s="9">
        <f t="shared" si="1"/>
        <v>0.50581746100146519</v>
      </c>
      <c r="AZ30" s="9">
        <f t="shared" si="2"/>
        <v>0.49418253899853487</v>
      </c>
    </row>
    <row r="31" spans="1:52" x14ac:dyDescent="0.35">
      <c r="A31" s="1" t="s">
        <v>1224</v>
      </c>
      <c r="B31" s="1" t="s">
        <v>1365</v>
      </c>
      <c r="C31" s="1" t="s">
        <v>1366</v>
      </c>
      <c r="D31" s="1" t="s">
        <v>1368</v>
      </c>
      <c r="E31" s="1" t="s">
        <v>51</v>
      </c>
      <c r="F31" s="1">
        <v>53</v>
      </c>
      <c r="G31" s="1" t="s">
        <v>65</v>
      </c>
      <c r="H31" s="1" t="s">
        <v>121</v>
      </c>
      <c r="I31" s="1">
        <v>8172</v>
      </c>
      <c r="J31" s="1"/>
      <c r="K31" s="1"/>
      <c r="L31" s="1"/>
      <c r="M31" s="1"/>
      <c r="N31" s="1"/>
      <c r="O31" s="1"/>
      <c r="P31" s="1" t="s">
        <v>1367</v>
      </c>
      <c r="Q31" s="1" t="s">
        <v>1425</v>
      </c>
      <c r="R31" s="1">
        <v>50</v>
      </c>
      <c r="S31" s="1" t="s">
        <v>65</v>
      </c>
      <c r="T31" s="1" t="s">
        <v>121</v>
      </c>
      <c r="U31" s="1">
        <v>1874</v>
      </c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>
        <v>15095</v>
      </c>
      <c r="AI31" s="1">
        <v>3578</v>
      </c>
      <c r="AJ31" s="1">
        <v>8163</v>
      </c>
      <c r="AK31" s="1">
        <v>3234</v>
      </c>
      <c r="AL31" s="1">
        <v>19</v>
      </c>
      <c r="AM31" s="1">
        <v>19</v>
      </c>
      <c r="AN31" s="1">
        <v>6</v>
      </c>
      <c r="AO31" s="1">
        <v>76</v>
      </c>
      <c r="AP31" s="9">
        <v>0.23703212984431932</v>
      </c>
      <c r="AQ31" s="9">
        <v>0.54077509108976485</v>
      </c>
      <c r="AR31" s="9">
        <v>0.21424312686319974</v>
      </c>
      <c r="AS31" s="9">
        <v>7.9496522027161318E-3</v>
      </c>
      <c r="AT31" s="1">
        <v>10046</v>
      </c>
      <c r="AU31" s="1">
        <v>66.599999999999994</v>
      </c>
      <c r="AV31" s="1" t="s">
        <v>49</v>
      </c>
      <c r="AW31" s="1"/>
      <c r="AX31" s="9">
        <f t="shared" si="0"/>
        <v>0.8134580927732431</v>
      </c>
      <c r="AY31" s="9">
        <f t="shared" si="1"/>
        <v>0</v>
      </c>
      <c r="AZ31" s="9">
        <f t="shared" si="2"/>
        <v>0.18654190722675693</v>
      </c>
    </row>
    <row r="32" spans="1:52" x14ac:dyDescent="0.35">
      <c r="A32" s="1" t="s">
        <v>1224</v>
      </c>
      <c r="B32" s="1" t="s">
        <v>1365</v>
      </c>
      <c r="C32" s="1" t="s">
        <v>1369</v>
      </c>
      <c r="D32" s="1" t="s">
        <v>1372</v>
      </c>
      <c r="E32" s="1" t="s">
        <v>49</v>
      </c>
      <c r="F32" s="1">
        <v>47</v>
      </c>
      <c r="G32" s="1" t="s">
        <v>65</v>
      </c>
      <c r="H32" s="1" t="s">
        <v>121</v>
      </c>
      <c r="I32" s="1">
        <v>13696</v>
      </c>
      <c r="J32" s="1"/>
      <c r="K32" s="1"/>
      <c r="L32" s="1"/>
      <c r="M32" s="1"/>
      <c r="N32" s="1"/>
      <c r="O32" s="1"/>
      <c r="P32" s="1" t="s">
        <v>1370</v>
      </c>
      <c r="Q32" s="1" t="s">
        <v>52</v>
      </c>
      <c r="R32" s="1">
        <v>51</v>
      </c>
      <c r="S32" s="1" t="s">
        <v>65</v>
      </c>
      <c r="T32" s="1" t="s">
        <v>195</v>
      </c>
      <c r="U32" s="1">
        <v>3561</v>
      </c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>
        <v>26806</v>
      </c>
      <c r="AI32" s="1">
        <v>6153</v>
      </c>
      <c r="AJ32" s="1">
        <v>13192</v>
      </c>
      <c r="AK32" s="1">
        <v>7022</v>
      </c>
      <c r="AL32" s="1">
        <v>67</v>
      </c>
      <c r="AM32" s="1">
        <v>71</v>
      </c>
      <c r="AN32" s="1">
        <v>0</v>
      </c>
      <c r="AO32" s="1">
        <v>301</v>
      </c>
      <c r="AP32" s="9">
        <v>0.22953816309781391</v>
      </c>
      <c r="AQ32" s="9">
        <v>0.4921286279191226</v>
      </c>
      <c r="AR32" s="9">
        <v>0.2619562784451242</v>
      </c>
      <c r="AS32" s="9">
        <v>1.6376930537939267E-2</v>
      </c>
      <c r="AT32" s="1">
        <v>17257</v>
      </c>
      <c r="AU32" s="1">
        <v>64.400000000000006</v>
      </c>
      <c r="AV32" s="1" t="s">
        <v>49</v>
      </c>
      <c r="AW32" s="1"/>
      <c r="AX32" s="9">
        <f t="shared" si="0"/>
        <v>0.7936489540476328</v>
      </c>
      <c r="AY32" s="9">
        <f t="shared" si="1"/>
        <v>0</v>
      </c>
      <c r="AZ32" s="9">
        <f t="shared" si="2"/>
        <v>0.20635104595236717</v>
      </c>
    </row>
    <row r="33" spans="1:52" x14ac:dyDescent="0.35">
      <c r="A33" s="1" t="s">
        <v>1224</v>
      </c>
      <c r="B33" s="1" t="s">
        <v>1365</v>
      </c>
      <c r="C33" s="1" t="s">
        <v>1373</v>
      </c>
      <c r="D33" s="1"/>
      <c r="E33" s="1"/>
      <c r="F33" s="1"/>
      <c r="G33" s="1"/>
      <c r="H33" s="1"/>
      <c r="I33" s="1"/>
      <c r="J33" s="1" t="s">
        <v>1376</v>
      </c>
      <c r="K33" s="1" t="s">
        <v>68</v>
      </c>
      <c r="L33" s="1">
        <v>46</v>
      </c>
      <c r="M33" s="1" t="s">
        <v>65</v>
      </c>
      <c r="N33" s="1" t="s">
        <v>61</v>
      </c>
      <c r="O33" s="1">
        <v>7495</v>
      </c>
      <c r="P33" s="1" t="s">
        <v>1374</v>
      </c>
      <c r="Q33" s="1" t="s">
        <v>52</v>
      </c>
      <c r="R33" s="1">
        <v>58</v>
      </c>
      <c r="S33" s="1" t="s">
        <v>65</v>
      </c>
      <c r="T33" s="1" t="s">
        <v>61</v>
      </c>
      <c r="U33" s="1">
        <v>10921</v>
      </c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>
        <v>27790</v>
      </c>
      <c r="AI33" s="1">
        <v>20765</v>
      </c>
      <c r="AJ33" s="1">
        <v>1896</v>
      </c>
      <c r="AK33" s="1">
        <v>2774</v>
      </c>
      <c r="AL33" s="1">
        <v>994</v>
      </c>
      <c r="AM33" s="1">
        <v>1055</v>
      </c>
      <c r="AN33" s="1">
        <v>43</v>
      </c>
      <c r="AO33" s="1">
        <v>263</v>
      </c>
      <c r="AP33" s="9">
        <v>0.74721122706009357</v>
      </c>
      <c r="AQ33" s="9">
        <v>6.8225980568549838E-2</v>
      </c>
      <c r="AR33" s="9">
        <v>9.982007916516733E-2</v>
      </c>
      <c r="AS33" s="9">
        <v>8.4742713206189271E-2</v>
      </c>
      <c r="AT33" s="1">
        <v>18416</v>
      </c>
      <c r="AU33" s="1">
        <v>66.3</v>
      </c>
      <c r="AV33" s="1" t="s">
        <v>52</v>
      </c>
      <c r="AW33" s="1"/>
      <c r="AX33" s="9">
        <f t="shared" si="0"/>
        <v>0</v>
      </c>
      <c r="AY33" s="9">
        <f t="shared" si="1"/>
        <v>0.40698305821025194</v>
      </c>
      <c r="AZ33" s="9">
        <f t="shared" si="2"/>
        <v>0.59301694178974806</v>
      </c>
    </row>
    <row r="34" spans="1:52" x14ac:dyDescent="0.35">
      <c r="A34" s="1" t="s">
        <v>1224</v>
      </c>
      <c r="B34" s="1" t="s">
        <v>1365</v>
      </c>
      <c r="C34" s="1" t="s">
        <v>1378</v>
      </c>
      <c r="D34" s="1"/>
      <c r="E34" s="1"/>
      <c r="F34" s="1"/>
      <c r="G34" s="1"/>
      <c r="H34" s="1"/>
      <c r="I34" s="1"/>
      <c r="J34" s="1" t="s">
        <v>1379</v>
      </c>
      <c r="K34" s="1" t="s">
        <v>68</v>
      </c>
      <c r="L34" s="1">
        <v>53</v>
      </c>
      <c r="M34" s="1" t="s">
        <v>65</v>
      </c>
      <c r="N34" s="1" t="s">
        <v>61</v>
      </c>
      <c r="O34" s="1">
        <v>7832</v>
      </c>
      <c r="P34" s="1" t="s">
        <v>1381</v>
      </c>
      <c r="Q34" s="1" t="s">
        <v>50</v>
      </c>
      <c r="R34" s="1">
        <v>53</v>
      </c>
      <c r="S34" s="1" t="s">
        <v>65</v>
      </c>
      <c r="T34" s="1" t="s">
        <v>61</v>
      </c>
      <c r="U34" s="1">
        <v>6371</v>
      </c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>
        <v>20696</v>
      </c>
      <c r="AI34" s="1">
        <v>12607</v>
      </c>
      <c r="AJ34" s="1">
        <v>3567</v>
      </c>
      <c r="AK34" s="1">
        <v>3647</v>
      </c>
      <c r="AL34" s="1">
        <v>157</v>
      </c>
      <c r="AM34" s="1">
        <v>215</v>
      </c>
      <c r="AN34" s="1">
        <v>276</v>
      </c>
      <c r="AO34" s="1">
        <v>227</v>
      </c>
      <c r="AP34" s="9">
        <v>0.60915152686509466</v>
      </c>
      <c r="AQ34" s="9">
        <v>0.17235214534209509</v>
      </c>
      <c r="AR34" s="9">
        <v>0.17621762659451101</v>
      </c>
      <c r="AS34" s="9">
        <v>4.2278701198299191E-2</v>
      </c>
      <c r="AT34" s="1">
        <v>14203</v>
      </c>
      <c r="AU34" s="1">
        <v>68.599999999999994</v>
      </c>
      <c r="AV34" s="1" t="s">
        <v>68</v>
      </c>
      <c r="AW34" s="1"/>
      <c r="AX34" s="9">
        <f t="shared" si="0"/>
        <v>0</v>
      </c>
      <c r="AY34" s="9">
        <f t="shared" si="1"/>
        <v>0.55143279588819261</v>
      </c>
      <c r="AZ34" s="9">
        <f t="shared" si="2"/>
        <v>0.44856720411180734</v>
      </c>
    </row>
    <row r="35" spans="1:52" x14ac:dyDescent="0.35">
      <c r="A35" s="1" t="s">
        <v>1224</v>
      </c>
      <c r="B35" s="1" t="s">
        <v>1365</v>
      </c>
      <c r="C35" s="1" t="s">
        <v>1382</v>
      </c>
      <c r="D35" s="1" t="s">
        <v>1384</v>
      </c>
      <c r="E35" s="1" t="s">
        <v>51</v>
      </c>
      <c r="F35" s="1">
        <v>43</v>
      </c>
      <c r="G35" s="1" t="s">
        <v>65</v>
      </c>
      <c r="H35" s="1" t="s">
        <v>195</v>
      </c>
      <c r="I35" s="1">
        <v>8239</v>
      </c>
      <c r="J35" s="1"/>
      <c r="K35" s="1"/>
      <c r="L35" s="1"/>
      <c r="M35" s="1"/>
      <c r="N35" s="1"/>
      <c r="O35" s="1"/>
      <c r="P35" s="1" t="s">
        <v>1383</v>
      </c>
      <c r="Q35" s="1" t="s">
        <v>50</v>
      </c>
      <c r="R35" s="1">
        <v>61</v>
      </c>
      <c r="S35" s="1" t="s">
        <v>65</v>
      </c>
      <c r="T35" s="1" t="s">
        <v>61</v>
      </c>
      <c r="U35" s="1">
        <v>4243</v>
      </c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>
        <v>19431</v>
      </c>
      <c r="AI35" s="1">
        <v>7267</v>
      </c>
      <c r="AJ35" s="1">
        <v>6101</v>
      </c>
      <c r="AK35" s="1">
        <v>5457</v>
      </c>
      <c r="AL35" s="1">
        <v>198</v>
      </c>
      <c r="AM35" s="1">
        <v>95</v>
      </c>
      <c r="AN35" s="1">
        <v>1</v>
      </c>
      <c r="AO35" s="1">
        <v>312</v>
      </c>
      <c r="AP35" s="9">
        <v>0.37399001595388814</v>
      </c>
      <c r="AQ35" s="9">
        <v>0.31398281097215791</v>
      </c>
      <c r="AR35" s="9">
        <v>0.28083989501312334</v>
      </c>
      <c r="AS35" s="9">
        <v>3.1187278060830631E-2</v>
      </c>
      <c r="AT35" s="1">
        <v>12482</v>
      </c>
      <c r="AU35" s="1">
        <v>64.2</v>
      </c>
      <c r="AV35" s="1" t="s">
        <v>51</v>
      </c>
      <c r="AW35" s="1"/>
      <c r="AX35" s="9">
        <f t="shared" si="0"/>
        <v>0.66007050152219193</v>
      </c>
      <c r="AY35" s="9">
        <f t="shared" si="1"/>
        <v>0</v>
      </c>
      <c r="AZ35" s="9">
        <f t="shared" si="2"/>
        <v>0.33992949847780807</v>
      </c>
    </row>
    <row r="36" spans="1:52" x14ac:dyDescent="0.35">
      <c r="A36" s="1" t="s">
        <v>1224</v>
      </c>
      <c r="B36" s="1" t="s">
        <v>1386</v>
      </c>
      <c r="C36" s="1" t="s">
        <v>1387</v>
      </c>
      <c r="D36" s="1"/>
      <c r="E36" s="1"/>
      <c r="F36" s="1"/>
      <c r="G36" s="1"/>
      <c r="H36" s="1"/>
      <c r="I36" s="1"/>
      <c r="J36" s="1" t="s">
        <v>1390</v>
      </c>
      <c r="K36" s="1" t="s">
        <v>68</v>
      </c>
      <c r="L36" s="1">
        <v>59</v>
      </c>
      <c r="M36" s="1" t="s">
        <v>65</v>
      </c>
      <c r="N36" s="1" t="s">
        <v>61</v>
      </c>
      <c r="O36" s="1">
        <v>8533</v>
      </c>
      <c r="P36" s="1" t="s">
        <v>1388</v>
      </c>
      <c r="Q36" s="1" t="s">
        <v>50</v>
      </c>
      <c r="R36" s="1">
        <v>48</v>
      </c>
      <c r="S36" s="1" t="s">
        <v>65</v>
      </c>
      <c r="T36" s="1" t="s">
        <v>61</v>
      </c>
      <c r="U36" s="1">
        <v>11653</v>
      </c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>
        <v>29648</v>
      </c>
      <c r="AI36" s="1">
        <v>24709</v>
      </c>
      <c r="AJ36" s="1">
        <v>2292</v>
      </c>
      <c r="AK36" s="1">
        <v>1435</v>
      </c>
      <c r="AL36" s="1">
        <v>385</v>
      </c>
      <c r="AM36" s="1">
        <v>634</v>
      </c>
      <c r="AN36" s="1">
        <v>21</v>
      </c>
      <c r="AO36" s="1">
        <v>172</v>
      </c>
      <c r="AP36" s="9">
        <v>0.83341203453858603</v>
      </c>
      <c r="AQ36" s="9">
        <v>7.7307069616837559E-2</v>
      </c>
      <c r="AR36" s="9">
        <v>4.8401241230437132E-2</v>
      </c>
      <c r="AS36" s="9">
        <v>4.0879654614139234E-2</v>
      </c>
      <c r="AT36" s="1">
        <v>20186</v>
      </c>
      <c r="AU36" s="1">
        <v>68.099999999999994</v>
      </c>
      <c r="AV36" s="1" t="s">
        <v>50</v>
      </c>
      <c r="AW36" s="1"/>
      <c r="AX36" s="9">
        <f t="shared" si="0"/>
        <v>0</v>
      </c>
      <c r="AY36" s="9">
        <f t="shared" si="1"/>
        <v>0.42271871594174182</v>
      </c>
      <c r="AZ36" s="9">
        <f t="shared" si="2"/>
        <v>0.57728128405825818</v>
      </c>
    </row>
    <row r="37" spans="1:52" x14ac:dyDescent="0.35">
      <c r="A37" s="1" t="s">
        <v>1224</v>
      </c>
      <c r="B37" s="1" t="s">
        <v>1386</v>
      </c>
      <c r="C37" s="1" t="s">
        <v>1391</v>
      </c>
      <c r="D37" s="1"/>
      <c r="E37" s="1"/>
      <c r="F37" s="1"/>
      <c r="G37" s="1"/>
      <c r="H37" s="1"/>
      <c r="I37" s="1"/>
      <c r="J37" s="1" t="s">
        <v>1394</v>
      </c>
      <c r="K37" s="1" t="s">
        <v>68</v>
      </c>
      <c r="L37" s="1">
        <v>41</v>
      </c>
      <c r="M37" s="1" t="s">
        <v>65</v>
      </c>
      <c r="N37" s="1" t="s">
        <v>61</v>
      </c>
      <c r="O37" s="1">
        <v>8905</v>
      </c>
      <c r="P37" s="1" t="s">
        <v>1392</v>
      </c>
      <c r="Q37" s="1" t="s">
        <v>52</v>
      </c>
      <c r="R37" s="1">
        <v>65</v>
      </c>
      <c r="S37" s="1" t="s">
        <v>65</v>
      </c>
      <c r="T37" s="1" t="s">
        <v>61</v>
      </c>
      <c r="U37" s="1">
        <v>6471</v>
      </c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>
        <v>24602</v>
      </c>
      <c r="AI37" s="1">
        <v>15235</v>
      </c>
      <c r="AJ37" s="1">
        <v>5450</v>
      </c>
      <c r="AK37" s="1">
        <v>3731</v>
      </c>
      <c r="AL37" s="1">
        <v>15</v>
      </c>
      <c r="AM37" s="1">
        <v>19</v>
      </c>
      <c r="AN37" s="1">
        <v>12</v>
      </c>
      <c r="AO37" s="1">
        <v>140</v>
      </c>
      <c r="AP37" s="9">
        <v>0.61925859686204376</v>
      </c>
      <c r="AQ37" s="9">
        <v>0.2215267051459231</v>
      </c>
      <c r="AR37" s="9">
        <v>0.15165433704576864</v>
      </c>
      <c r="AS37" s="9">
        <v>7.5603609462645315E-3</v>
      </c>
      <c r="AT37" s="1">
        <v>15376</v>
      </c>
      <c r="AU37" s="1">
        <v>62.5</v>
      </c>
      <c r="AV37" s="1" t="s">
        <v>68</v>
      </c>
      <c r="AW37" s="1"/>
      <c r="AX37" s="9">
        <f t="shared" si="0"/>
        <v>0</v>
      </c>
      <c r="AY37" s="9">
        <f t="shared" si="1"/>
        <v>0.57914932362122784</v>
      </c>
      <c r="AZ37" s="9">
        <f t="shared" si="2"/>
        <v>0.4208506763787721</v>
      </c>
    </row>
    <row r="38" spans="1:52" x14ac:dyDescent="0.35">
      <c r="A38" s="1" t="s">
        <v>1224</v>
      </c>
      <c r="B38" s="1" t="s">
        <v>1386</v>
      </c>
      <c r="C38" s="1" t="s">
        <v>1396</v>
      </c>
      <c r="D38" s="1" t="s">
        <v>1399</v>
      </c>
      <c r="E38" s="1" t="s">
        <v>49</v>
      </c>
      <c r="F38" s="1">
        <v>49</v>
      </c>
      <c r="G38" s="1" t="s">
        <v>65</v>
      </c>
      <c r="H38" s="1" t="s">
        <v>195</v>
      </c>
      <c r="I38" s="1">
        <v>11507</v>
      </c>
      <c r="J38" s="1"/>
      <c r="K38" s="1"/>
      <c r="L38" s="1"/>
      <c r="M38" s="1"/>
      <c r="N38" s="1"/>
      <c r="O38" s="1"/>
      <c r="P38" s="1" t="s">
        <v>1397</v>
      </c>
      <c r="Q38" s="1" t="s">
        <v>1425</v>
      </c>
      <c r="R38" s="1">
        <v>35</v>
      </c>
      <c r="S38" s="1" t="s">
        <v>60</v>
      </c>
      <c r="T38" s="1" t="s">
        <v>121</v>
      </c>
      <c r="U38" s="1">
        <v>5557</v>
      </c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>
        <v>27284</v>
      </c>
      <c r="AI38" s="1">
        <v>10775</v>
      </c>
      <c r="AJ38" s="1">
        <v>11293</v>
      </c>
      <c r="AK38" s="1">
        <v>4802</v>
      </c>
      <c r="AL38" s="1">
        <v>34</v>
      </c>
      <c r="AM38" s="1">
        <v>28</v>
      </c>
      <c r="AN38" s="1">
        <v>112</v>
      </c>
      <c r="AO38" s="1">
        <v>240</v>
      </c>
      <c r="AP38" s="9">
        <v>0.39492009969212727</v>
      </c>
      <c r="AQ38" s="9">
        <v>0.41390558569124763</v>
      </c>
      <c r="AR38" s="9">
        <v>0.17600058642427796</v>
      </c>
      <c r="AS38" s="9">
        <v>1.5173728192347163E-2</v>
      </c>
      <c r="AT38" s="1">
        <v>17064</v>
      </c>
      <c r="AU38" s="1">
        <v>62.5</v>
      </c>
      <c r="AV38" s="1" t="s">
        <v>49</v>
      </c>
      <c r="AW38" s="1"/>
      <c r="AX38" s="9">
        <f t="shared" si="0"/>
        <v>0.67434364744491326</v>
      </c>
      <c r="AY38" s="9">
        <f t="shared" si="1"/>
        <v>0</v>
      </c>
      <c r="AZ38" s="9">
        <f t="shared" si="2"/>
        <v>0.32565635255508674</v>
      </c>
    </row>
    <row r="39" spans="1:52" x14ac:dyDescent="0.35">
      <c r="A39" s="1"/>
      <c r="B39" s="1"/>
      <c r="C39" s="1"/>
      <c r="D39" s="1"/>
      <c r="E39" s="1"/>
      <c r="F39" s="1"/>
      <c r="G39" s="1"/>
      <c r="H39" s="1"/>
      <c r="I39" s="1">
        <f>SUM(I2:I38)</f>
        <v>225180</v>
      </c>
      <c r="J39" s="1"/>
      <c r="K39" s="1"/>
      <c r="L39" s="1"/>
      <c r="M39" s="1"/>
      <c r="N39" s="1"/>
      <c r="O39" s="1">
        <f>SUM(O2:O38)</f>
        <v>129548</v>
      </c>
      <c r="P39" s="1"/>
      <c r="Q39" s="1"/>
      <c r="R39" s="1"/>
      <c r="S39" s="1"/>
      <c r="T39" s="1"/>
      <c r="U39" s="1">
        <f>SUM(U2:U38)</f>
        <v>219303</v>
      </c>
      <c r="V39" s="1"/>
      <c r="W39" s="1"/>
      <c r="X39" s="1"/>
      <c r="Y39" s="1"/>
      <c r="Z39" s="1"/>
      <c r="AA39" s="1">
        <f>SUM(AA2:AA38)</f>
        <v>7363</v>
      </c>
      <c r="AB39" s="1"/>
      <c r="AC39" s="1"/>
      <c r="AD39" s="1"/>
      <c r="AE39" s="1"/>
      <c r="AF39" s="1"/>
      <c r="AG39" s="1">
        <f>SUM(AG2:AG38)</f>
        <v>140</v>
      </c>
      <c r="AH39" s="1">
        <v>864425</v>
      </c>
      <c r="AI39" s="1">
        <v>485732</v>
      </c>
      <c r="AJ39" s="1">
        <v>224495</v>
      </c>
      <c r="AK39" s="1">
        <v>129706</v>
      </c>
      <c r="AL39" s="1">
        <v>3745</v>
      </c>
      <c r="AM39" s="1">
        <v>3608</v>
      </c>
      <c r="AN39" s="1">
        <v>8458</v>
      </c>
      <c r="AO39" s="1">
        <v>8681</v>
      </c>
      <c r="AP39" s="9">
        <v>0.56191341064869715</v>
      </c>
      <c r="AQ39" s="9">
        <v>0.2597044277988258</v>
      </c>
      <c r="AR39" s="9">
        <v>0.15004887642074211</v>
      </c>
      <c r="AS39" s="9">
        <v>2.833328513173497E-2</v>
      </c>
      <c r="AT39" s="1">
        <f>SUM(AT3:AT38)</f>
        <v>582455</v>
      </c>
      <c r="AU39" s="24">
        <f>100*AT39/AH39</f>
        <v>67.380628741649076</v>
      </c>
      <c r="AV39" s="1"/>
      <c r="AW39" s="1"/>
      <c r="AX39" s="9">
        <f t="shared" si="0"/>
        <v>0.38660497377479808</v>
      </c>
      <c r="AY39" s="9">
        <f t="shared" si="1"/>
        <v>0.22241718244327888</v>
      </c>
      <c r="AZ39" s="9">
        <f t="shared" si="2"/>
        <v>0.37651492389970043</v>
      </c>
    </row>
    <row r="40" spans="1:52" x14ac:dyDescent="0.35">
      <c r="AP40" s="10"/>
      <c r="AQ40" s="10"/>
      <c r="AR40" s="10"/>
      <c r="AS40" s="10"/>
    </row>
    <row r="41" spans="1:52" x14ac:dyDescent="0.35">
      <c r="D41" t="s">
        <v>49</v>
      </c>
      <c r="E41">
        <f>COUNTIF($E$3:$E$38,D41)</f>
        <v>11</v>
      </c>
      <c r="J41" t="s">
        <v>68</v>
      </c>
      <c r="K41">
        <f>COUNTIF(K3:K38,J41)</f>
        <v>17</v>
      </c>
      <c r="P41" t="s">
        <v>50</v>
      </c>
      <c r="Q41">
        <f>COUNTIF($Q$3:$Q$38,P41)</f>
        <v>15</v>
      </c>
      <c r="AU41" s="5" t="s">
        <v>51</v>
      </c>
      <c r="AV41" s="5">
        <f>COUNTIF($AV$2:$AV$38,AU41)</f>
        <v>4</v>
      </c>
    </row>
    <row r="42" spans="1:52" x14ac:dyDescent="0.35">
      <c r="D42" t="s">
        <v>51</v>
      </c>
      <c r="E42">
        <f>COUNTIF($E$3:$E$38,D42)</f>
        <v>6</v>
      </c>
      <c r="P42" t="s">
        <v>52</v>
      </c>
      <c r="Q42">
        <f>COUNTIF($Q$3:$Q$38,P42)</f>
        <v>14</v>
      </c>
      <c r="AU42" s="5" t="s">
        <v>49</v>
      </c>
      <c r="AV42" s="5">
        <f>COUNTIF($AV$2:$AV$38,AU42)</f>
        <v>12</v>
      </c>
    </row>
    <row r="43" spans="1:52" x14ac:dyDescent="0.35">
      <c r="D43" t="s">
        <v>48</v>
      </c>
      <c r="E43">
        <f>COUNTIF($E$3:$E$38,D43)</f>
        <v>2</v>
      </c>
      <c r="P43" t="s">
        <v>1425</v>
      </c>
      <c r="Q43">
        <f>COUNTIF($Q$3:$Q$38,P43)</f>
        <v>7</v>
      </c>
      <c r="AU43" s="5" t="s">
        <v>48</v>
      </c>
      <c r="AV43" s="5">
        <f>COUNTIF($AV$2:$AV$38,AU43)</f>
        <v>1</v>
      </c>
    </row>
    <row r="44" spans="1:52" x14ac:dyDescent="0.35">
      <c r="E44">
        <f>SUM(E41:E43)</f>
        <v>19</v>
      </c>
      <c r="AU44" s="5"/>
      <c r="AV44" s="5"/>
    </row>
    <row r="45" spans="1:52" x14ac:dyDescent="0.35">
      <c r="AU45" s="5" t="s">
        <v>68</v>
      </c>
      <c r="AV45" s="5">
        <f>COUNTIF($AV$2:$AV$38,AU45)</f>
        <v>14</v>
      </c>
    </row>
    <row r="46" spans="1:52" x14ac:dyDescent="0.35">
      <c r="AU46" s="5"/>
      <c r="AV46" s="5"/>
    </row>
    <row r="47" spans="1:52" x14ac:dyDescent="0.35">
      <c r="AU47" s="5" t="s">
        <v>52</v>
      </c>
      <c r="AV47" s="5">
        <f>COUNTIF($AV$2:$AV$38,AU47)</f>
        <v>3</v>
      </c>
    </row>
    <row r="48" spans="1:52" x14ac:dyDescent="0.35">
      <c r="AU48" s="5" t="s">
        <v>50</v>
      </c>
      <c r="AV48" s="5">
        <f>COUNTIF($AV$2:$AV$38,AU48)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Worksheet</vt:lpstr>
      <vt:lpstr>Turnout</vt:lpstr>
      <vt:lpstr>TurnoutWorksheet</vt:lpstr>
      <vt:lpstr>TurnoutbyRace</vt:lpstr>
      <vt:lpstr>Voting</vt:lpstr>
      <vt:lpstr>VotingWorksheet</vt:lpstr>
      <vt:lpstr>VotingbyRace</vt:lpstr>
      <vt:lpstr>Seats</vt:lpstr>
      <vt:lpstr>Kelantan</vt:lpstr>
      <vt:lpstr>Kedah</vt:lpstr>
      <vt:lpstr>Terengganu</vt:lpstr>
      <vt:lpstr>Penang</vt:lpstr>
      <vt:lpstr>Selangor</vt:lpstr>
      <vt:lpstr>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Ong Kian Ming</dc:creator>
  <cp:lastModifiedBy>Kian Ming Ong</cp:lastModifiedBy>
  <dcterms:created xsi:type="dcterms:W3CDTF">2015-06-05T18:17:20Z</dcterms:created>
  <dcterms:modified xsi:type="dcterms:W3CDTF">2026-06-11T00:22:13Z</dcterms:modified>
</cp:coreProperties>
</file>