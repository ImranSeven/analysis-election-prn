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5EEC1AD0-4D64-4AB3-8673-D9302BEA659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ceWorksheet" sheetId="12" r:id="rId1"/>
    <sheet name="P133Tampin" sheetId="10" r:id="rId2"/>
    <sheet name="N36Repah" sheetId="13" r:id="rId3"/>
    <sheet name="Race&amp;Age" sheetId="11" r:id="rId4"/>
    <sheet name="Table 1" sheetId="1" r:id="rId5"/>
    <sheet name="Table 2" sheetId="2" r:id="rId6"/>
    <sheet name="Table 3" sheetId="3" r:id="rId7"/>
    <sheet name="Table 4" sheetId="4" r:id="rId8"/>
    <sheet name="Table 5" sheetId="5" r:id="rId9"/>
    <sheet name="Table 6" sheetId="6" r:id="rId10"/>
    <sheet name="Table 7" sheetId="7" r:id="rId11"/>
    <sheet name="Table 8" sheetId="8" r:id="rId12"/>
    <sheet name="Table 9" sheetId="9" r:id="rId13"/>
  </sheets>
  <definedNames>
    <definedName name="_xlnm._FilterDatabase" localSheetId="1" hidden="1">P133Tampin!$A$1:$AB$160</definedName>
    <definedName name="_xlnm._FilterDatabase" localSheetId="3" hidden="1">'Race&amp;Age'!$A$1:$Y$146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3" l="1"/>
  <c r="AB7" i="13"/>
  <c r="S46" i="13"/>
  <c r="S28" i="13"/>
  <c r="S7" i="13"/>
  <c r="AB166" i="10"/>
  <c r="Z166" i="10"/>
  <c r="Y166" i="10"/>
  <c r="X166" i="10"/>
  <c r="W166" i="10"/>
  <c r="AB165" i="10"/>
  <c r="Z165" i="10"/>
  <c r="Y165" i="10"/>
  <c r="X165" i="10"/>
  <c r="W165" i="10"/>
  <c r="AB164" i="10"/>
  <c r="Z164" i="10"/>
  <c r="Y164" i="10"/>
  <c r="X164" i="10"/>
  <c r="W164" i="10"/>
  <c r="Q166" i="10"/>
  <c r="P166" i="10"/>
  <c r="O166" i="10"/>
  <c r="N166" i="10"/>
  <c r="Q165" i="10"/>
  <c r="P165" i="10"/>
  <c r="O165" i="10"/>
  <c r="N165" i="10"/>
  <c r="Q164" i="10"/>
  <c r="P164" i="10"/>
  <c r="O164" i="10"/>
  <c r="N164" i="10"/>
  <c r="V166" i="10"/>
  <c r="U166" i="10"/>
  <c r="T166" i="10"/>
  <c r="S166" i="10"/>
  <c r="R166" i="10"/>
  <c r="V165" i="10"/>
  <c r="U165" i="10"/>
  <c r="T165" i="10"/>
  <c r="S165" i="10"/>
  <c r="R165" i="10"/>
  <c r="V164" i="10"/>
  <c r="U164" i="10"/>
  <c r="T164" i="10"/>
  <c r="S164" i="10"/>
  <c r="R164" i="10"/>
  <c r="M166" i="10"/>
  <c r="L166" i="10"/>
  <c r="K166" i="10"/>
  <c r="J166" i="10"/>
  <c r="I166" i="10"/>
  <c r="H166" i="10"/>
  <c r="G166" i="10"/>
  <c r="F166" i="10"/>
  <c r="M165" i="10"/>
  <c r="L165" i="10"/>
  <c r="K165" i="10"/>
  <c r="J165" i="10"/>
  <c r="I165" i="10"/>
  <c r="H165" i="10"/>
  <c r="G165" i="10"/>
  <c r="F165" i="10"/>
  <c r="M164" i="10"/>
  <c r="L164" i="10"/>
  <c r="K164" i="10"/>
  <c r="J164" i="10"/>
  <c r="I164" i="10"/>
  <c r="H164" i="10"/>
  <c r="G164" i="10"/>
  <c r="F164" i="10"/>
  <c r="E166" i="10"/>
  <c r="E165" i="10"/>
  <c r="E164" i="10"/>
  <c r="AA162" i="10"/>
  <c r="V162" i="10"/>
  <c r="U162" i="10"/>
  <c r="Z162" i="10" s="1"/>
  <c r="T162" i="10"/>
  <c r="Y162" i="10" s="1"/>
  <c r="S162" i="10"/>
  <c r="X162" i="10" s="1"/>
  <c r="R162" i="10"/>
  <c r="M162" i="10"/>
  <c r="K162" i="10"/>
  <c r="J162" i="10"/>
  <c r="I162" i="10"/>
  <c r="H162" i="10"/>
  <c r="G162" i="10"/>
  <c r="F162" i="10"/>
  <c r="E162" i="10"/>
  <c r="AA160" i="10"/>
  <c r="AB67" i="10"/>
  <c r="AG47" i="12"/>
  <c r="AG8" i="12"/>
  <c r="X8" i="12"/>
  <c r="X47" i="12"/>
  <c r="X27" i="12"/>
  <c r="N166" i="11"/>
  <c r="Y166" i="11" s="1"/>
  <c r="M166" i="11"/>
  <c r="L166" i="11"/>
  <c r="K166" i="11"/>
  <c r="P166" i="11" s="1"/>
  <c r="J166" i="11"/>
  <c r="I166" i="11"/>
  <c r="R166" i="11" s="1"/>
  <c r="H166" i="11"/>
  <c r="Q166" i="11" s="1"/>
  <c r="G166" i="11"/>
  <c r="F166" i="11"/>
  <c r="E166" i="11"/>
  <c r="D166" i="11"/>
  <c r="C166" i="11"/>
  <c r="N151" i="11"/>
  <c r="Y151" i="11" s="1"/>
  <c r="M151" i="11"/>
  <c r="L151" i="11"/>
  <c r="K151" i="11"/>
  <c r="P151" i="11" s="1"/>
  <c r="J151" i="11"/>
  <c r="I151" i="11"/>
  <c r="R151" i="11" s="1"/>
  <c r="H151" i="11"/>
  <c r="Q151" i="11" s="1"/>
  <c r="G151" i="11"/>
  <c r="F151" i="11"/>
  <c r="E151" i="11"/>
  <c r="Y145" i="11"/>
  <c r="R145" i="11"/>
  <c r="W145" i="11" s="1"/>
  <c r="Q145" i="11"/>
  <c r="V145" i="11" s="1"/>
  <c r="P145" i="11"/>
  <c r="U145" i="11" s="1"/>
  <c r="Y144" i="11"/>
  <c r="R144" i="11"/>
  <c r="W144" i="11" s="1"/>
  <c r="Q144" i="11"/>
  <c r="V144" i="11" s="1"/>
  <c r="P144" i="11"/>
  <c r="Y143" i="11"/>
  <c r="R143" i="11"/>
  <c r="W143" i="11" s="1"/>
  <c r="Q143" i="11"/>
  <c r="V143" i="11" s="1"/>
  <c r="P143" i="11"/>
  <c r="Y142" i="11"/>
  <c r="R142" i="11"/>
  <c r="W142" i="11" s="1"/>
  <c r="Q142" i="11"/>
  <c r="V142" i="11" s="1"/>
  <c r="P142" i="11"/>
  <c r="U142" i="11" s="1"/>
  <c r="Y141" i="11"/>
  <c r="R141" i="11"/>
  <c r="W141" i="11" s="1"/>
  <c r="Q141" i="11"/>
  <c r="P141" i="11"/>
  <c r="U141" i="11" s="1"/>
  <c r="Y140" i="11"/>
  <c r="R140" i="11"/>
  <c r="W140" i="11" s="1"/>
  <c r="Q140" i="11"/>
  <c r="V140" i="11" s="1"/>
  <c r="P140" i="11"/>
  <c r="Y139" i="11"/>
  <c r="R139" i="11"/>
  <c r="W139" i="11" s="1"/>
  <c r="Q139" i="11"/>
  <c r="V139" i="11" s="1"/>
  <c r="P139" i="11"/>
  <c r="U139" i="11" s="1"/>
  <c r="Y138" i="11"/>
  <c r="R138" i="11"/>
  <c r="W138" i="11" s="1"/>
  <c r="Q138" i="11"/>
  <c r="V138" i="11" s="1"/>
  <c r="P138" i="11"/>
  <c r="U138" i="11" s="1"/>
  <c r="Y137" i="11"/>
  <c r="R137" i="11"/>
  <c r="W137" i="11" s="1"/>
  <c r="Q137" i="11"/>
  <c r="V137" i="11" s="1"/>
  <c r="P137" i="11"/>
  <c r="Y136" i="11"/>
  <c r="R136" i="11"/>
  <c r="W136" i="11" s="1"/>
  <c r="Q136" i="11"/>
  <c r="V136" i="11" s="1"/>
  <c r="P136" i="11"/>
  <c r="U136" i="11" s="1"/>
  <c r="Y135" i="11"/>
  <c r="R135" i="11"/>
  <c r="W135" i="11" s="1"/>
  <c r="Q135" i="11"/>
  <c r="V135" i="11" s="1"/>
  <c r="P135" i="11"/>
  <c r="U135" i="11" s="1"/>
  <c r="Y134" i="11"/>
  <c r="R134" i="11"/>
  <c r="W134" i="11" s="1"/>
  <c r="Q134" i="11"/>
  <c r="V134" i="11" s="1"/>
  <c r="P134" i="11"/>
  <c r="Y133" i="11"/>
  <c r="R133" i="11"/>
  <c r="W133" i="11" s="1"/>
  <c r="Q133" i="11"/>
  <c r="V133" i="11" s="1"/>
  <c r="P133" i="11"/>
  <c r="U133" i="11" s="1"/>
  <c r="Y132" i="11"/>
  <c r="R132" i="11"/>
  <c r="W132" i="11" s="1"/>
  <c r="Q132" i="11"/>
  <c r="V132" i="11" s="1"/>
  <c r="P132" i="11"/>
  <c r="Y131" i="11"/>
  <c r="R131" i="11"/>
  <c r="W131" i="11" s="1"/>
  <c r="Q131" i="11"/>
  <c r="V131" i="11" s="1"/>
  <c r="P131" i="11"/>
  <c r="U131" i="11" s="1"/>
  <c r="Y124" i="11"/>
  <c r="R124" i="11"/>
  <c r="W124" i="11" s="1"/>
  <c r="Q124" i="11"/>
  <c r="V124" i="11" s="1"/>
  <c r="P124" i="11"/>
  <c r="U124" i="11" s="1"/>
  <c r="Y123" i="11"/>
  <c r="R123" i="11"/>
  <c r="W123" i="11" s="1"/>
  <c r="Q123" i="11"/>
  <c r="V123" i="11" s="1"/>
  <c r="P123" i="11"/>
  <c r="U123" i="11" s="1"/>
  <c r="Y122" i="11"/>
  <c r="R122" i="11"/>
  <c r="W122" i="11" s="1"/>
  <c r="Q122" i="11"/>
  <c r="V122" i="11" s="1"/>
  <c r="P122" i="11"/>
  <c r="Y121" i="11"/>
  <c r="R121" i="11"/>
  <c r="W121" i="11" s="1"/>
  <c r="Q121" i="11"/>
  <c r="V121" i="11" s="1"/>
  <c r="P121" i="11"/>
  <c r="U121" i="11" s="1"/>
  <c r="Y120" i="11"/>
  <c r="R120" i="11"/>
  <c r="W120" i="11" s="1"/>
  <c r="Q120" i="11"/>
  <c r="V120" i="11" s="1"/>
  <c r="P120" i="11"/>
  <c r="Y119" i="11"/>
  <c r="R119" i="11"/>
  <c r="W119" i="11" s="1"/>
  <c r="Q119" i="11"/>
  <c r="V119" i="11" s="1"/>
  <c r="P119" i="11"/>
  <c r="Y118" i="11"/>
  <c r="R118" i="11"/>
  <c r="W118" i="11" s="1"/>
  <c r="Q118" i="11"/>
  <c r="V118" i="11" s="1"/>
  <c r="P118" i="11"/>
  <c r="U118" i="11" s="1"/>
  <c r="Y117" i="11"/>
  <c r="R117" i="11"/>
  <c r="W117" i="11" s="1"/>
  <c r="Q117" i="11"/>
  <c r="V117" i="11" s="1"/>
  <c r="P117" i="11"/>
  <c r="U117" i="11" s="1"/>
  <c r="Y130" i="11"/>
  <c r="R130" i="11"/>
  <c r="W130" i="11" s="1"/>
  <c r="Q130" i="11"/>
  <c r="V130" i="11" s="1"/>
  <c r="P130" i="11"/>
  <c r="Y129" i="11"/>
  <c r="R129" i="11"/>
  <c r="W129" i="11" s="1"/>
  <c r="Q129" i="11"/>
  <c r="V129" i="11" s="1"/>
  <c r="P129" i="11"/>
  <c r="U129" i="11" s="1"/>
  <c r="Y128" i="11"/>
  <c r="R128" i="11"/>
  <c r="W128" i="11" s="1"/>
  <c r="Q128" i="11"/>
  <c r="V128" i="11" s="1"/>
  <c r="P128" i="11"/>
  <c r="Y127" i="11"/>
  <c r="R127" i="11"/>
  <c r="W127" i="11" s="1"/>
  <c r="Q127" i="11"/>
  <c r="V127" i="11" s="1"/>
  <c r="P127" i="11"/>
  <c r="U127" i="11" s="1"/>
  <c r="Y126" i="11"/>
  <c r="R126" i="11"/>
  <c r="W126" i="11" s="1"/>
  <c r="Q126" i="11"/>
  <c r="V126" i="11" s="1"/>
  <c r="P126" i="11"/>
  <c r="U126" i="11" s="1"/>
  <c r="Y125" i="11"/>
  <c r="R125" i="11"/>
  <c r="W125" i="11" s="1"/>
  <c r="Q125" i="11"/>
  <c r="P125" i="11"/>
  <c r="U125" i="11" s="1"/>
  <c r="Y116" i="11"/>
  <c r="R116" i="11"/>
  <c r="W116" i="11" s="1"/>
  <c r="Q116" i="11"/>
  <c r="V116" i="11" s="1"/>
  <c r="P116" i="11"/>
  <c r="Y115" i="11"/>
  <c r="R115" i="11"/>
  <c r="W115" i="11" s="1"/>
  <c r="Q115" i="11"/>
  <c r="V115" i="11" s="1"/>
  <c r="P115" i="11"/>
  <c r="U115" i="11" s="1"/>
  <c r="Y114" i="11"/>
  <c r="R114" i="11"/>
  <c r="W114" i="11" s="1"/>
  <c r="Q114" i="11"/>
  <c r="V114" i="11" s="1"/>
  <c r="P114" i="11"/>
  <c r="Y167" i="11"/>
  <c r="R167" i="11"/>
  <c r="W167" i="11" s="1"/>
  <c r="Q167" i="11"/>
  <c r="V167" i="11" s="1"/>
  <c r="P167" i="11"/>
  <c r="U167" i="11" s="1"/>
  <c r="Y113" i="11"/>
  <c r="R113" i="11"/>
  <c r="W113" i="11" s="1"/>
  <c r="Q113" i="11"/>
  <c r="V113" i="11" s="1"/>
  <c r="P113" i="11"/>
  <c r="U113" i="11" s="1"/>
  <c r="Y112" i="11"/>
  <c r="R112" i="11"/>
  <c r="W112" i="11" s="1"/>
  <c r="Q112" i="11"/>
  <c r="V112" i="11" s="1"/>
  <c r="P112" i="11"/>
  <c r="U112" i="11" s="1"/>
  <c r="Y111" i="11"/>
  <c r="R111" i="11"/>
  <c r="W111" i="11" s="1"/>
  <c r="Q111" i="11"/>
  <c r="V111" i="11" s="1"/>
  <c r="P111" i="11"/>
  <c r="Y110" i="11"/>
  <c r="R110" i="11"/>
  <c r="W110" i="11" s="1"/>
  <c r="Q110" i="11"/>
  <c r="V110" i="11" s="1"/>
  <c r="P110" i="11"/>
  <c r="U110" i="11" s="1"/>
  <c r="Y109" i="11"/>
  <c r="R109" i="11"/>
  <c r="W109" i="11" s="1"/>
  <c r="Q109" i="11"/>
  <c r="V109" i="11" s="1"/>
  <c r="P109" i="11"/>
  <c r="U109" i="11" s="1"/>
  <c r="Y108" i="11"/>
  <c r="R108" i="11"/>
  <c r="W108" i="11" s="1"/>
  <c r="Q108" i="11"/>
  <c r="V108" i="11" s="1"/>
  <c r="P108" i="11"/>
  <c r="Y107" i="11"/>
  <c r="R107" i="11"/>
  <c r="W107" i="11" s="1"/>
  <c r="Q107" i="11"/>
  <c r="V107" i="11" s="1"/>
  <c r="P107" i="11"/>
  <c r="U107" i="11" s="1"/>
  <c r="Y150" i="11"/>
  <c r="R150" i="11"/>
  <c r="W150" i="11" s="1"/>
  <c r="Q150" i="11"/>
  <c r="V150" i="11" s="1"/>
  <c r="P150" i="11"/>
  <c r="U150" i="11" s="1"/>
  <c r="Y103" i="11"/>
  <c r="R103" i="11"/>
  <c r="W103" i="11" s="1"/>
  <c r="Q103" i="11"/>
  <c r="V103" i="11" s="1"/>
  <c r="P103" i="11"/>
  <c r="Y102" i="11"/>
  <c r="R102" i="11"/>
  <c r="W102" i="11" s="1"/>
  <c r="Q102" i="11"/>
  <c r="V102" i="11" s="1"/>
  <c r="P102" i="11"/>
  <c r="U102" i="11" s="1"/>
  <c r="Y101" i="11"/>
  <c r="R101" i="11"/>
  <c r="W101" i="11" s="1"/>
  <c r="Q101" i="11"/>
  <c r="V101" i="11" s="1"/>
  <c r="P101" i="11"/>
  <c r="Y100" i="11"/>
  <c r="R100" i="11"/>
  <c r="W100" i="11" s="1"/>
  <c r="Q100" i="11"/>
  <c r="V100" i="11" s="1"/>
  <c r="P100" i="11"/>
  <c r="U100" i="11" s="1"/>
  <c r="Y99" i="11"/>
  <c r="R99" i="11"/>
  <c r="Q99" i="11"/>
  <c r="V99" i="11" s="1"/>
  <c r="P99" i="11"/>
  <c r="U99" i="11" s="1"/>
  <c r="Y98" i="11"/>
  <c r="R98" i="11"/>
  <c r="W98" i="11" s="1"/>
  <c r="Q98" i="11"/>
  <c r="V98" i="11" s="1"/>
  <c r="P98" i="11"/>
  <c r="U98" i="11" s="1"/>
  <c r="Y97" i="11"/>
  <c r="R97" i="11"/>
  <c r="W97" i="11" s="1"/>
  <c r="Q97" i="11"/>
  <c r="V97" i="11" s="1"/>
  <c r="P97" i="11"/>
  <c r="Y96" i="11"/>
  <c r="R96" i="11"/>
  <c r="W96" i="11" s="1"/>
  <c r="Q96" i="11"/>
  <c r="V96" i="11" s="1"/>
  <c r="P96" i="11"/>
  <c r="U96" i="11" s="1"/>
  <c r="Y106" i="11"/>
  <c r="R106" i="11"/>
  <c r="W106" i="11" s="1"/>
  <c r="Q106" i="11"/>
  <c r="V106" i="11" s="1"/>
  <c r="P106" i="11"/>
  <c r="Y105" i="11"/>
  <c r="R105" i="11"/>
  <c r="W105" i="11" s="1"/>
  <c r="Q105" i="11"/>
  <c r="P105" i="11"/>
  <c r="U105" i="11" s="1"/>
  <c r="Y104" i="11"/>
  <c r="R104" i="11"/>
  <c r="W104" i="11" s="1"/>
  <c r="Q104" i="11"/>
  <c r="V104" i="11" s="1"/>
  <c r="P104" i="11"/>
  <c r="U104" i="11" s="1"/>
  <c r="Y95" i="11"/>
  <c r="R95" i="11"/>
  <c r="W95" i="11" s="1"/>
  <c r="Q95" i="11"/>
  <c r="V95" i="11" s="1"/>
  <c r="P95" i="11"/>
  <c r="U95" i="11" s="1"/>
  <c r="Y94" i="11"/>
  <c r="R94" i="11"/>
  <c r="W94" i="11" s="1"/>
  <c r="Q94" i="11"/>
  <c r="V94" i="11" s="1"/>
  <c r="P94" i="11"/>
  <c r="Y93" i="11"/>
  <c r="R93" i="11"/>
  <c r="W93" i="11" s="1"/>
  <c r="Q93" i="11"/>
  <c r="V93" i="11" s="1"/>
  <c r="P93" i="11"/>
  <c r="U93" i="11" s="1"/>
  <c r="Y92" i="11"/>
  <c r="R92" i="11"/>
  <c r="W92" i="11" s="1"/>
  <c r="Q92" i="11"/>
  <c r="V92" i="11" s="1"/>
  <c r="P92" i="11"/>
  <c r="U92" i="11" s="1"/>
  <c r="Y91" i="11"/>
  <c r="R91" i="11"/>
  <c r="W91" i="11" s="1"/>
  <c r="Q91" i="11"/>
  <c r="V91" i="11" s="1"/>
  <c r="P91" i="11"/>
  <c r="Y90" i="11"/>
  <c r="R90" i="11"/>
  <c r="W90" i="11" s="1"/>
  <c r="Q90" i="11"/>
  <c r="V90" i="11" s="1"/>
  <c r="P90" i="11"/>
  <c r="U90" i="11" s="1"/>
  <c r="Y89" i="11"/>
  <c r="R89" i="11"/>
  <c r="W89" i="11" s="1"/>
  <c r="Q89" i="11"/>
  <c r="V89" i="11" s="1"/>
  <c r="P89" i="11"/>
  <c r="U89" i="11" s="1"/>
  <c r="Y88" i="11"/>
  <c r="R88" i="11"/>
  <c r="W88" i="11" s="1"/>
  <c r="Q88" i="11"/>
  <c r="V88" i="11" s="1"/>
  <c r="P88" i="11"/>
  <c r="U88" i="11" s="1"/>
  <c r="Y87" i="11"/>
  <c r="R87" i="11"/>
  <c r="W87" i="11" s="1"/>
  <c r="Q87" i="11"/>
  <c r="V87" i="11" s="1"/>
  <c r="P87" i="11"/>
  <c r="U87" i="11" s="1"/>
  <c r="Y86" i="11"/>
  <c r="R86" i="11"/>
  <c r="W86" i="11" s="1"/>
  <c r="Q86" i="11"/>
  <c r="V86" i="11" s="1"/>
  <c r="P86" i="11"/>
  <c r="U86" i="11" s="1"/>
  <c r="Y85" i="11"/>
  <c r="R85" i="11"/>
  <c r="W85" i="11" s="1"/>
  <c r="Q85" i="11"/>
  <c r="V85" i="11" s="1"/>
  <c r="P85" i="11"/>
  <c r="Y84" i="11"/>
  <c r="R84" i="11"/>
  <c r="W84" i="11" s="1"/>
  <c r="Q84" i="11"/>
  <c r="V84" i="11" s="1"/>
  <c r="P84" i="11"/>
  <c r="U84" i="11" s="1"/>
  <c r="Y83" i="11"/>
  <c r="R83" i="11"/>
  <c r="W83" i="11" s="1"/>
  <c r="Q83" i="11"/>
  <c r="V83" i="11" s="1"/>
  <c r="P83" i="11"/>
  <c r="U83" i="11" s="1"/>
  <c r="Y82" i="11"/>
  <c r="R82" i="11"/>
  <c r="W82" i="11" s="1"/>
  <c r="Q82" i="11"/>
  <c r="V82" i="11" s="1"/>
  <c r="P82" i="11"/>
  <c r="U82" i="11" s="1"/>
  <c r="Y81" i="11"/>
  <c r="R81" i="11"/>
  <c r="W81" i="11" s="1"/>
  <c r="Q81" i="11"/>
  <c r="V81" i="11" s="1"/>
  <c r="P81" i="11"/>
  <c r="U81" i="11" s="1"/>
  <c r="Y80" i="11"/>
  <c r="R80" i="11"/>
  <c r="W80" i="11" s="1"/>
  <c r="Q80" i="11"/>
  <c r="V80" i="11" s="1"/>
  <c r="P80" i="11"/>
  <c r="U80" i="11" s="1"/>
  <c r="Y79" i="11"/>
  <c r="R79" i="11"/>
  <c r="W79" i="11" s="1"/>
  <c r="Q79" i="11"/>
  <c r="V79" i="11" s="1"/>
  <c r="P79" i="11"/>
  <c r="U79" i="11" s="1"/>
  <c r="Y78" i="11"/>
  <c r="R78" i="11"/>
  <c r="W78" i="11" s="1"/>
  <c r="Q78" i="11"/>
  <c r="V78" i="11" s="1"/>
  <c r="P78" i="11"/>
  <c r="U78" i="11" s="1"/>
  <c r="Y77" i="11"/>
  <c r="R77" i="11"/>
  <c r="W77" i="11" s="1"/>
  <c r="Q77" i="11"/>
  <c r="P77" i="11"/>
  <c r="U77" i="11" s="1"/>
  <c r="Y76" i="11"/>
  <c r="R76" i="11"/>
  <c r="W76" i="11" s="1"/>
  <c r="Q76" i="11"/>
  <c r="V76" i="11" s="1"/>
  <c r="P76" i="11"/>
  <c r="U76" i="11" s="1"/>
  <c r="Y75" i="11"/>
  <c r="R75" i="11"/>
  <c r="Q75" i="11"/>
  <c r="V75" i="11" s="1"/>
  <c r="P75" i="11"/>
  <c r="U75" i="11" s="1"/>
  <c r="Y149" i="11"/>
  <c r="R149" i="11"/>
  <c r="W149" i="11" s="1"/>
  <c r="Q149" i="11"/>
  <c r="V149" i="11" s="1"/>
  <c r="P149" i="11"/>
  <c r="U149" i="11" s="1"/>
  <c r="Y74" i="11"/>
  <c r="R74" i="11"/>
  <c r="W74" i="11" s="1"/>
  <c r="Q74" i="11"/>
  <c r="V74" i="11" s="1"/>
  <c r="P74" i="11"/>
  <c r="U74" i="11" s="1"/>
  <c r="Y73" i="11"/>
  <c r="R73" i="11"/>
  <c r="W73" i="11" s="1"/>
  <c r="Q73" i="11"/>
  <c r="V73" i="11" s="1"/>
  <c r="P73" i="11"/>
  <c r="U73" i="11" s="1"/>
  <c r="Y72" i="11"/>
  <c r="R72" i="11"/>
  <c r="W72" i="11" s="1"/>
  <c r="Q72" i="11"/>
  <c r="V72" i="11" s="1"/>
  <c r="P72" i="11"/>
  <c r="U72" i="11" s="1"/>
  <c r="Y71" i="11"/>
  <c r="R71" i="11"/>
  <c r="W71" i="11" s="1"/>
  <c r="Q71" i="11"/>
  <c r="V71" i="11" s="1"/>
  <c r="P71" i="11"/>
  <c r="U71" i="11" s="1"/>
  <c r="Y165" i="11"/>
  <c r="R165" i="11"/>
  <c r="W165" i="11" s="1"/>
  <c r="Q165" i="11"/>
  <c r="V165" i="11" s="1"/>
  <c r="P165" i="11"/>
  <c r="U165" i="11" s="1"/>
  <c r="Y70" i="11"/>
  <c r="R70" i="11"/>
  <c r="W70" i="11" s="1"/>
  <c r="Q70" i="11"/>
  <c r="V70" i="11" s="1"/>
  <c r="P70" i="11"/>
  <c r="U70" i="11" s="1"/>
  <c r="Y69" i="11"/>
  <c r="R69" i="11"/>
  <c r="W69" i="11" s="1"/>
  <c r="Q69" i="11"/>
  <c r="V69" i="11" s="1"/>
  <c r="P69" i="11"/>
  <c r="U69" i="11" s="1"/>
  <c r="Y68" i="11"/>
  <c r="R68" i="11"/>
  <c r="W68" i="11" s="1"/>
  <c r="Q68" i="11"/>
  <c r="V68" i="11" s="1"/>
  <c r="P68" i="11"/>
  <c r="U68" i="11" s="1"/>
  <c r="Y67" i="11"/>
  <c r="R67" i="11"/>
  <c r="W67" i="11" s="1"/>
  <c r="Q67" i="11"/>
  <c r="V67" i="11" s="1"/>
  <c r="P67" i="11"/>
  <c r="U67" i="11" s="1"/>
  <c r="Y66" i="11"/>
  <c r="R66" i="11"/>
  <c r="W66" i="11" s="1"/>
  <c r="Q66" i="11"/>
  <c r="V66" i="11" s="1"/>
  <c r="P66" i="11"/>
  <c r="U66" i="11" s="1"/>
  <c r="Y61" i="11"/>
  <c r="R61" i="11"/>
  <c r="W61" i="11" s="1"/>
  <c r="Q61" i="11"/>
  <c r="V61" i="11" s="1"/>
  <c r="P61" i="11"/>
  <c r="U61" i="11" s="1"/>
  <c r="Y60" i="11"/>
  <c r="R60" i="11"/>
  <c r="W60" i="11" s="1"/>
  <c r="Q60" i="11"/>
  <c r="V60" i="11" s="1"/>
  <c r="P60" i="11"/>
  <c r="U60" i="11" s="1"/>
  <c r="Y59" i="11"/>
  <c r="R59" i="11"/>
  <c r="W59" i="11" s="1"/>
  <c r="Q59" i="11"/>
  <c r="V59" i="11" s="1"/>
  <c r="P59" i="11"/>
  <c r="U59" i="11" s="1"/>
  <c r="Y58" i="11"/>
  <c r="R58" i="11"/>
  <c r="W58" i="11" s="1"/>
  <c r="Q58" i="11"/>
  <c r="V58" i="11" s="1"/>
  <c r="P58" i="11"/>
  <c r="U58" i="11" s="1"/>
  <c r="Y57" i="11"/>
  <c r="R57" i="11"/>
  <c r="W57" i="11" s="1"/>
  <c r="Q57" i="11"/>
  <c r="P57" i="11"/>
  <c r="U57" i="11" s="1"/>
  <c r="Y56" i="11"/>
  <c r="R56" i="11"/>
  <c r="W56" i="11" s="1"/>
  <c r="Q56" i="11"/>
  <c r="V56" i="11" s="1"/>
  <c r="P56" i="11"/>
  <c r="U56" i="11" s="1"/>
  <c r="Y65" i="11"/>
  <c r="R65" i="11"/>
  <c r="W65" i="11" s="1"/>
  <c r="Q65" i="11"/>
  <c r="V65" i="11" s="1"/>
  <c r="P65" i="11"/>
  <c r="U65" i="11" s="1"/>
  <c r="Y64" i="11"/>
  <c r="R64" i="11"/>
  <c r="W64" i="11" s="1"/>
  <c r="Q64" i="11"/>
  <c r="V64" i="11" s="1"/>
  <c r="P64" i="11"/>
  <c r="U64" i="11" s="1"/>
  <c r="Y63" i="11"/>
  <c r="R63" i="11"/>
  <c r="W63" i="11" s="1"/>
  <c r="Q63" i="11"/>
  <c r="V63" i="11" s="1"/>
  <c r="P63" i="11"/>
  <c r="U63" i="11" s="1"/>
  <c r="Y62" i="11"/>
  <c r="R62" i="11"/>
  <c r="W62" i="11" s="1"/>
  <c r="Q62" i="11"/>
  <c r="P62" i="11"/>
  <c r="U62" i="11" s="1"/>
  <c r="Y164" i="11"/>
  <c r="R164" i="11"/>
  <c r="W164" i="11" s="1"/>
  <c r="Q164" i="11"/>
  <c r="V164" i="11" s="1"/>
  <c r="P164" i="11"/>
  <c r="U164" i="11" s="1"/>
  <c r="Y148" i="11"/>
  <c r="R148" i="11"/>
  <c r="W148" i="11" s="1"/>
  <c r="Q148" i="11"/>
  <c r="V148" i="11" s="1"/>
  <c r="P148" i="11"/>
  <c r="U148" i="11" s="1"/>
  <c r="Y55" i="11"/>
  <c r="R55" i="11"/>
  <c r="W55" i="11" s="1"/>
  <c r="Q55" i="11"/>
  <c r="V55" i="11" s="1"/>
  <c r="P55" i="11"/>
  <c r="U55" i="11" s="1"/>
  <c r="Y54" i="11"/>
  <c r="R54" i="11"/>
  <c r="W54" i="11" s="1"/>
  <c r="Q54" i="11"/>
  <c r="V54" i="11" s="1"/>
  <c r="P54" i="11"/>
  <c r="U54" i="11" s="1"/>
  <c r="Y53" i="11"/>
  <c r="R53" i="11"/>
  <c r="W53" i="11" s="1"/>
  <c r="Q53" i="11"/>
  <c r="V53" i="11" s="1"/>
  <c r="P53" i="11"/>
  <c r="U53" i="11" s="1"/>
  <c r="Y52" i="11"/>
  <c r="R52" i="11"/>
  <c r="W52" i="11" s="1"/>
  <c r="Q52" i="11"/>
  <c r="P52" i="11"/>
  <c r="U52" i="11" s="1"/>
  <c r="Y51" i="11"/>
  <c r="R51" i="11"/>
  <c r="W51" i="11" s="1"/>
  <c r="Q51" i="11"/>
  <c r="P51" i="11"/>
  <c r="U51" i="11" s="1"/>
  <c r="Y50" i="11"/>
  <c r="R50" i="11"/>
  <c r="Q50" i="11"/>
  <c r="V50" i="11" s="1"/>
  <c r="P50" i="11"/>
  <c r="U50" i="11" s="1"/>
  <c r="Y49" i="11"/>
  <c r="R49" i="11"/>
  <c r="W49" i="11" s="1"/>
  <c r="Q49" i="11"/>
  <c r="V49" i="11" s="1"/>
  <c r="P49" i="11"/>
  <c r="U49" i="11" s="1"/>
  <c r="Y48" i="11"/>
  <c r="R48" i="11"/>
  <c r="W48" i="11" s="1"/>
  <c r="Q48" i="11"/>
  <c r="V48" i="11" s="1"/>
  <c r="P48" i="11"/>
  <c r="Y47" i="11"/>
  <c r="R47" i="11"/>
  <c r="W47" i="11" s="1"/>
  <c r="Q47" i="11"/>
  <c r="V47" i="11" s="1"/>
  <c r="P47" i="11"/>
  <c r="U47" i="11" s="1"/>
  <c r="Y46" i="11"/>
  <c r="R46" i="11"/>
  <c r="W46" i="11" s="1"/>
  <c r="Q46" i="11"/>
  <c r="V46" i="11" s="1"/>
  <c r="P46" i="11"/>
  <c r="U46" i="11" s="1"/>
  <c r="Y45" i="11"/>
  <c r="R45" i="11"/>
  <c r="W45" i="11" s="1"/>
  <c r="Q45" i="11"/>
  <c r="P45" i="11"/>
  <c r="U45" i="11" s="1"/>
  <c r="Y44" i="11"/>
  <c r="R44" i="11"/>
  <c r="W44" i="11" s="1"/>
  <c r="Q44" i="11"/>
  <c r="V44" i="11" s="1"/>
  <c r="P44" i="11"/>
  <c r="U44" i="11" s="1"/>
  <c r="Y43" i="11"/>
  <c r="R43" i="11"/>
  <c r="W43" i="11" s="1"/>
  <c r="Q43" i="11"/>
  <c r="V43" i="11" s="1"/>
  <c r="P43" i="11"/>
  <c r="U43" i="11" s="1"/>
  <c r="Y42" i="11"/>
  <c r="R42" i="11"/>
  <c r="W42" i="11" s="1"/>
  <c r="Q42" i="11"/>
  <c r="V42" i="11" s="1"/>
  <c r="P42" i="11"/>
  <c r="U42" i="11" s="1"/>
  <c r="Y41" i="11"/>
  <c r="R41" i="11"/>
  <c r="W41" i="11" s="1"/>
  <c r="Q41" i="11"/>
  <c r="V41" i="11" s="1"/>
  <c r="P41" i="11"/>
  <c r="Y40" i="11"/>
  <c r="R40" i="11"/>
  <c r="W40" i="11" s="1"/>
  <c r="Q40" i="11"/>
  <c r="V40" i="11" s="1"/>
  <c r="P40" i="11"/>
  <c r="U40" i="11" s="1"/>
  <c r="Y39" i="11"/>
  <c r="R39" i="11"/>
  <c r="W39" i="11" s="1"/>
  <c r="Q39" i="11"/>
  <c r="V39" i="11" s="1"/>
  <c r="P39" i="11"/>
  <c r="U39" i="11" s="1"/>
  <c r="Y38" i="11"/>
  <c r="R38" i="11"/>
  <c r="W38" i="11" s="1"/>
  <c r="Q38" i="11"/>
  <c r="V38" i="11" s="1"/>
  <c r="P38" i="11"/>
  <c r="U38" i="11" s="1"/>
  <c r="Y37" i="11"/>
  <c r="R37" i="11"/>
  <c r="W37" i="11" s="1"/>
  <c r="Q37" i="11"/>
  <c r="V37" i="11" s="1"/>
  <c r="P37" i="11"/>
  <c r="U37" i="11" s="1"/>
  <c r="Y33" i="11"/>
  <c r="R33" i="11"/>
  <c r="Q33" i="11"/>
  <c r="V33" i="11" s="1"/>
  <c r="P33" i="11"/>
  <c r="U33" i="11" s="1"/>
  <c r="Y32" i="11"/>
  <c r="R32" i="11"/>
  <c r="W32" i="11" s="1"/>
  <c r="Q32" i="11"/>
  <c r="V32" i="11" s="1"/>
  <c r="P32" i="11"/>
  <c r="Y31" i="11"/>
  <c r="R31" i="11"/>
  <c r="W31" i="11" s="1"/>
  <c r="Q31" i="11"/>
  <c r="P31" i="11"/>
  <c r="U31" i="11" s="1"/>
  <c r="Y30" i="11"/>
  <c r="R30" i="11"/>
  <c r="Q30" i="11"/>
  <c r="V30" i="11" s="1"/>
  <c r="P30" i="11"/>
  <c r="U30" i="11" s="1"/>
  <c r="Y29" i="11"/>
  <c r="R29" i="11"/>
  <c r="W29" i="11" s="1"/>
  <c r="Q29" i="11"/>
  <c r="V29" i="11" s="1"/>
  <c r="P29" i="11"/>
  <c r="Y28" i="11"/>
  <c r="R28" i="11"/>
  <c r="W28" i="11" s="1"/>
  <c r="Q28" i="11"/>
  <c r="V28" i="11" s="1"/>
  <c r="P28" i="11"/>
  <c r="U28" i="11" s="1"/>
  <c r="Y27" i="11"/>
  <c r="R27" i="11"/>
  <c r="W27" i="11" s="1"/>
  <c r="Q27" i="11"/>
  <c r="V27" i="11" s="1"/>
  <c r="P27" i="11"/>
  <c r="U27" i="11" s="1"/>
  <c r="Y36" i="11"/>
  <c r="R36" i="11"/>
  <c r="W36" i="11" s="1"/>
  <c r="Q36" i="11"/>
  <c r="V36" i="11" s="1"/>
  <c r="P36" i="11"/>
  <c r="Y35" i="11"/>
  <c r="R35" i="11"/>
  <c r="W35" i="11" s="1"/>
  <c r="Q35" i="11"/>
  <c r="V35" i="11" s="1"/>
  <c r="P35" i="11"/>
  <c r="U35" i="11" s="1"/>
  <c r="Y34" i="11"/>
  <c r="R34" i="11"/>
  <c r="W34" i="11" s="1"/>
  <c r="Q34" i="11"/>
  <c r="V34" i="11" s="1"/>
  <c r="P34" i="11"/>
  <c r="U34" i="11" s="1"/>
  <c r="Y163" i="11"/>
  <c r="R163" i="11"/>
  <c r="W163" i="11" s="1"/>
  <c r="Q163" i="11"/>
  <c r="V163" i="11" s="1"/>
  <c r="P163" i="11"/>
  <c r="U163" i="11" s="1"/>
  <c r="Y162" i="11"/>
  <c r="R162" i="11"/>
  <c r="W162" i="11" s="1"/>
  <c r="Q162" i="11"/>
  <c r="V162" i="11" s="1"/>
  <c r="P162" i="11"/>
  <c r="U162" i="11" s="1"/>
  <c r="Y161" i="11"/>
  <c r="R161" i="11"/>
  <c r="Q161" i="11"/>
  <c r="V161" i="11" s="1"/>
  <c r="P161" i="11"/>
  <c r="U161" i="11" s="1"/>
  <c r="Y160" i="11"/>
  <c r="R160" i="11"/>
  <c r="W160" i="11" s="1"/>
  <c r="Q160" i="11"/>
  <c r="V160" i="11" s="1"/>
  <c r="P160" i="11"/>
  <c r="Y159" i="11"/>
  <c r="R159" i="11"/>
  <c r="W159" i="11" s="1"/>
  <c r="Q159" i="11"/>
  <c r="P159" i="11"/>
  <c r="U159" i="11" s="1"/>
  <c r="Y158" i="11"/>
  <c r="R158" i="11"/>
  <c r="Q158" i="11"/>
  <c r="V158" i="11" s="1"/>
  <c r="P158" i="11"/>
  <c r="U158" i="11" s="1"/>
  <c r="Y157" i="11"/>
  <c r="R157" i="11"/>
  <c r="W157" i="11" s="1"/>
  <c r="Q157" i="11"/>
  <c r="V157" i="11" s="1"/>
  <c r="P157" i="11"/>
  <c r="Y156" i="11"/>
  <c r="R156" i="11"/>
  <c r="W156" i="11" s="1"/>
  <c r="Q156" i="11"/>
  <c r="V156" i="11" s="1"/>
  <c r="P156" i="11"/>
  <c r="U156" i="11" s="1"/>
  <c r="Y155" i="11"/>
  <c r="R155" i="11"/>
  <c r="W155" i="11" s="1"/>
  <c r="Q155" i="11"/>
  <c r="V155" i="11" s="1"/>
  <c r="P155" i="11"/>
  <c r="Y154" i="11"/>
  <c r="R154" i="11"/>
  <c r="W154" i="11" s="1"/>
  <c r="Q154" i="11"/>
  <c r="V154" i="11" s="1"/>
  <c r="P154" i="11"/>
  <c r="Y26" i="11"/>
  <c r="R26" i="11"/>
  <c r="W26" i="11" s="1"/>
  <c r="Q26" i="11"/>
  <c r="V26" i="11" s="1"/>
  <c r="P26" i="11"/>
  <c r="U26" i="11" s="1"/>
  <c r="Y25" i="11"/>
  <c r="R25" i="11"/>
  <c r="W25" i="11" s="1"/>
  <c r="Q25" i="11"/>
  <c r="P25" i="11"/>
  <c r="U25" i="11" s="1"/>
  <c r="Y24" i="11"/>
  <c r="R24" i="11"/>
  <c r="W24" i="11" s="1"/>
  <c r="Q24" i="11"/>
  <c r="V24" i="11" s="1"/>
  <c r="P24" i="11"/>
  <c r="U24" i="11" s="1"/>
  <c r="Y23" i="11"/>
  <c r="R23" i="11"/>
  <c r="W23" i="11" s="1"/>
  <c r="Q23" i="11"/>
  <c r="V23" i="11" s="1"/>
  <c r="P23" i="11"/>
  <c r="U23" i="11" s="1"/>
  <c r="Y22" i="11"/>
  <c r="R22" i="11"/>
  <c r="W22" i="11" s="1"/>
  <c r="Q22" i="11"/>
  <c r="V22" i="11" s="1"/>
  <c r="P22" i="11"/>
  <c r="U22" i="11" s="1"/>
  <c r="Y21" i="11"/>
  <c r="R21" i="11"/>
  <c r="W21" i="11" s="1"/>
  <c r="Q21" i="11"/>
  <c r="V21" i="11" s="1"/>
  <c r="P21" i="11"/>
  <c r="U21" i="11" s="1"/>
  <c r="Y153" i="11"/>
  <c r="R153" i="11"/>
  <c r="W153" i="11" s="1"/>
  <c r="Q153" i="11"/>
  <c r="V153" i="11" s="1"/>
  <c r="P153" i="11"/>
  <c r="U153" i="11" s="1"/>
  <c r="Y20" i="11"/>
  <c r="R20" i="11"/>
  <c r="W20" i="11" s="1"/>
  <c r="Q20" i="11"/>
  <c r="V20" i="11" s="1"/>
  <c r="P20" i="11"/>
  <c r="U20" i="11" s="1"/>
  <c r="Y19" i="11"/>
  <c r="R19" i="11"/>
  <c r="W19" i="11" s="1"/>
  <c r="Q19" i="11"/>
  <c r="V19" i="11" s="1"/>
  <c r="P19" i="11"/>
  <c r="U19" i="11" s="1"/>
  <c r="Y18" i="11"/>
  <c r="R18" i="11"/>
  <c r="W18" i="11" s="1"/>
  <c r="Q18" i="11"/>
  <c r="V18" i="11" s="1"/>
  <c r="P18" i="11"/>
  <c r="Y17" i="11"/>
  <c r="R17" i="11"/>
  <c r="W17" i="11" s="1"/>
  <c r="Q17" i="11"/>
  <c r="P17" i="11"/>
  <c r="U17" i="11" s="1"/>
  <c r="Y16" i="11"/>
  <c r="R16" i="11"/>
  <c r="W16" i="11" s="1"/>
  <c r="Q16" i="11"/>
  <c r="V16" i="11" s="1"/>
  <c r="P16" i="11"/>
  <c r="U16" i="11" s="1"/>
  <c r="Y15" i="11"/>
  <c r="R15" i="11"/>
  <c r="W15" i="11" s="1"/>
  <c r="Q15" i="11"/>
  <c r="V15" i="11" s="1"/>
  <c r="P15" i="11"/>
  <c r="U15" i="11" s="1"/>
  <c r="Y14" i="11"/>
  <c r="R14" i="11"/>
  <c r="W14" i="11" s="1"/>
  <c r="Q14" i="11"/>
  <c r="V14" i="11" s="1"/>
  <c r="P14" i="11"/>
  <c r="U14" i="11" s="1"/>
  <c r="Y13" i="11"/>
  <c r="R13" i="11"/>
  <c r="W13" i="11" s="1"/>
  <c r="Q13" i="11"/>
  <c r="V13" i="11" s="1"/>
  <c r="P13" i="11"/>
  <c r="Y12" i="11"/>
  <c r="R12" i="11"/>
  <c r="W12" i="11" s="1"/>
  <c r="Q12" i="11"/>
  <c r="V12" i="11" s="1"/>
  <c r="P12" i="11"/>
  <c r="U12" i="11" s="1"/>
  <c r="Y11" i="11"/>
  <c r="R11" i="11"/>
  <c r="W11" i="11" s="1"/>
  <c r="Q11" i="11"/>
  <c r="V11" i="11" s="1"/>
  <c r="P11" i="11"/>
  <c r="Y10" i="11"/>
  <c r="R10" i="11"/>
  <c r="W10" i="11" s="1"/>
  <c r="Q10" i="11"/>
  <c r="V10" i="11" s="1"/>
  <c r="P10" i="11"/>
  <c r="Y9" i="11"/>
  <c r="R9" i="11"/>
  <c r="W9" i="11" s="1"/>
  <c r="Q9" i="11"/>
  <c r="V9" i="11" s="1"/>
  <c r="P9" i="11"/>
  <c r="U9" i="11" s="1"/>
  <c r="Y8" i="11"/>
  <c r="R8" i="11"/>
  <c r="W8" i="11" s="1"/>
  <c r="Q8" i="11"/>
  <c r="V8" i="11" s="1"/>
  <c r="P8" i="11"/>
  <c r="Y7" i="11"/>
  <c r="R7" i="11"/>
  <c r="W7" i="11" s="1"/>
  <c r="Q7" i="11"/>
  <c r="V7" i="11" s="1"/>
  <c r="P7" i="11"/>
  <c r="U7" i="11" s="1"/>
  <c r="Y6" i="11"/>
  <c r="R6" i="11"/>
  <c r="W6" i="11" s="1"/>
  <c r="Q6" i="11"/>
  <c r="V6" i="11" s="1"/>
  <c r="P6" i="11"/>
  <c r="U6" i="11" s="1"/>
  <c r="Y5" i="11"/>
  <c r="R5" i="11"/>
  <c r="W5" i="11" s="1"/>
  <c r="Q5" i="11"/>
  <c r="V5" i="11" s="1"/>
  <c r="P5" i="11"/>
  <c r="U5" i="11" s="1"/>
  <c r="Y4" i="11"/>
  <c r="R4" i="11"/>
  <c r="W4" i="11" s="1"/>
  <c r="Q4" i="11"/>
  <c r="V4" i="11" s="1"/>
  <c r="P4" i="11"/>
  <c r="U4" i="11" s="1"/>
  <c r="Y3" i="11"/>
  <c r="R3" i="11"/>
  <c r="W3" i="11" s="1"/>
  <c r="Q3" i="11"/>
  <c r="V3" i="11" s="1"/>
  <c r="P3" i="11"/>
  <c r="U3" i="11" s="1"/>
  <c r="Y2" i="11"/>
  <c r="R2" i="11"/>
  <c r="W2" i="11" s="1"/>
  <c r="Q2" i="11"/>
  <c r="V2" i="11" s="1"/>
  <c r="P2" i="11"/>
  <c r="N132" i="10"/>
  <c r="N84" i="10"/>
  <c r="N36" i="10"/>
  <c r="L160" i="10"/>
  <c r="AB160" i="10" s="1"/>
  <c r="L159" i="10"/>
  <c r="AB159" i="10" s="1"/>
  <c r="L158" i="10"/>
  <c r="P158" i="10" s="1"/>
  <c r="L157" i="10"/>
  <c r="Q157" i="10" s="1"/>
  <c r="L156" i="10"/>
  <c r="AB156" i="10" s="1"/>
  <c r="L155" i="10"/>
  <c r="P155" i="10" s="1"/>
  <c r="L154" i="10"/>
  <c r="Q154" i="10" s="1"/>
  <c r="L153" i="10"/>
  <c r="N153" i="10" s="1"/>
  <c r="L152" i="10"/>
  <c r="P152" i="10" s="1"/>
  <c r="L151" i="10"/>
  <c r="Q151" i="10" s="1"/>
  <c r="L150" i="10"/>
  <c r="Q150" i="10" s="1"/>
  <c r="L149" i="10"/>
  <c r="AB149" i="10" s="1"/>
  <c r="L148" i="10"/>
  <c r="AB148" i="10" s="1"/>
  <c r="L147" i="10"/>
  <c r="AB147" i="10" s="1"/>
  <c r="L146" i="10"/>
  <c r="P146" i="10" s="1"/>
  <c r="L145" i="10"/>
  <c r="Q145" i="10" s="1"/>
  <c r="L144" i="10"/>
  <c r="AB144" i="10" s="1"/>
  <c r="L143" i="10"/>
  <c r="P143" i="10" s="1"/>
  <c r="L142" i="10"/>
  <c r="Q142" i="10" s="1"/>
  <c r="L141" i="10"/>
  <c r="N141" i="10" s="1"/>
  <c r="L140" i="10"/>
  <c r="P140" i="10" s="1"/>
  <c r="L139" i="10"/>
  <c r="Q139" i="10" s="1"/>
  <c r="L138" i="10"/>
  <c r="Q138" i="10" s="1"/>
  <c r="L137" i="10"/>
  <c r="AB137" i="10" s="1"/>
  <c r="L136" i="10"/>
  <c r="AB136" i="10" s="1"/>
  <c r="L135" i="10"/>
  <c r="AB135" i="10" s="1"/>
  <c r="L134" i="10"/>
  <c r="P134" i="10" s="1"/>
  <c r="L133" i="10"/>
  <c r="Q133" i="10" s="1"/>
  <c r="L132" i="10"/>
  <c r="AB132" i="10" s="1"/>
  <c r="L131" i="10"/>
  <c r="P131" i="10" s="1"/>
  <c r="L130" i="10"/>
  <c r="Q130" i="10" s="1"/>
  <c r="L129" i="10"/>
  <c r="Q129" i="10" s="1"/>
  <c r="L128" i="10"/>
  <c r="P128" i="10" s="1"/>
  <c r="L127" i="10"/>
  <c r="Q127" i="10" s="1"/>
  <c r="L126" i="10"/>
  <c r="Q126" i="10" s="1"/>
  <c r="L125" i="10"/>
  <c r="AB125" i="10" s="1"/>
  <c r="L124" i="10"/>
  <c r="AB124" i="10" s="1"/>
  <c r="L123" i="10"/>
  <c r="AB123" i="10" s="1"/>
  <c r="L122" i="10"/>
  <c r="P122" i="10" s="1"/>
  <c r="L121" i="10"/>
  <c r="Q121" i="10" s="1"/>
  <c r="L120" i="10"/>
  <c r="AB120" i="10" s="1"/>
  <c r="L119" i="10"/>
  <c r="P119" i="10" s="1"/>
  <c r="L118" i="10"/>
  <c r="Q118" i="10" s="1"/>
  <c r="L117" i="10"/>
  <c r="N117" i="10" s="1"/>
  <c r="L116" i="10"/>
  <c r="P116" i="10" s="1"/>
  <c r="L115" i="10"/>
  <c r="Q115" i="10" s="1"/>
  <c r="L114" i="10"/>
  <c r="Q114" i="10" s="1"/>
  <c r="L113" i="10"/>
  <c r="AB113" i="10" s="1"/>
  <c r="L112" i="10"/>
  <c r="AB112" i="10" s="1"/>
  <c r="L111" i="10"/>
  <c r="AB111" i="10" s="1"/>
  <c r="L110" i="10"/>
  <c r="P110" i="10" s="1"/>
  <c r="L109" i="10"/>
  <c r="Q109" i="10" s="1"/>
  <c r="L108" i="10"/>
  <c r="AB108" i="10" s="1"/>
  <c r="L107" i="10"/>
  <c r="P107" i="10" s="1"/>
  <c r="L106" i="10"/>
  <c r="Q106" i="10" s="1"/>
  <c r="L105" i="10"/>
  <c r="Q105" i="10" s="1"/>
  <c r="L104" i="10"/>
  <c r="P104" i="10" s="1"/>
  <c r="L103" i="10"/>
  <c r="Q103" i="10" s="1"/>
  <c r="L102" i="10"/>
  <c r="Q102" i="10" s="1"/>
  <c r="L101" i="10"/>
  <c r="AB101" i="10" s="1"/>
  <c r="L100" i="10"/>
  <c r="AB100" i="10" s="1"/>
  <c r="L99" i="10"/>
  <c r="AB99" i="10" s="1"/>
  <c r="L98" i="10"/>
  <c r="P98" i="10" s="1"/>
  <c r="L97" i="10"/>
  <c r="Q97" i="10" s="1"/>
  <c r="L96" i="10"/>
  <c r="AB96" i="10" s="1"/>
  <c r="L95" i="10"/>
  <c r="P95" i="10" s="1"/>
  <c r="L94" i="10"/>
  <c r="Q94" i="10" s="1"/>
  <c r="L93" i="10"/>
  <c r="N93" i="10" s="1"/>
  <c r="L92" i="10"/>
  <c r="P92" i="10" s="1"/>
  <c r="L91" i="10"/>
  <c r="Q91" i="10" s="1"/>
  <c r="L90" i="10"/>
  <c r="Q90" i="10" s="1"/>
  <c r="L89" i="10"/>
  <c r="AB89" i="10" s="1"/>
  <c r="L88" i="10"/>
  <c r="AB88" i="10" s="1"/>
  <c r="L87" i="10"/>
  <c r="AB87" i="10" s="1"/>
  <c r="L86" i="10"/>
  <c r="P86" i="10" s="1"/>
  <c r="L85" i="10"/>
  <c r="Q85" i="10" s="1"/>
  <c r="L84" i="10"/>
  <c r="AB84" i="10" s="1"/>
  <c r="L83" i="10"/>
  <c r="P83" i="10" s="1"/>
  <c r="L82" i="10"/>
  <c r="Q82" i="10" s="1"/>
  <c r="L81" i="10"/>
  <c r="Q81" i="10" s="1"/>
  <c r="L80" i="10"/>
  <c r="P80" i="10" s="1"/>
  <c r="L79" i="10"/>
  <c r="Q79" i="10" s="1"/>
  <c r="L78" i="10"/>
  <c r="Q78" i="10" s="1"/>
  <c r="L77" i="10"/>
  <c r="AB77" i="10" s="1"/>
  <c r="L76" i="10"/>
  <c r="AB76" i="10" s="1"/>
  <c r="L75" i="10"/>
  <c r="AB75" i="10" s="1"/>
  <c r="L74" i="10"/>
  <c r="P74" i="10" s="1"/>
  <c r="L73" i="10"/>
  <c r="Q73" i="10" s="1"/>
  <c r="L72" i="10"/>
  <c r="AB72" i="10" s="1"/>
  <c r="L71" i="10"/>
  <c r="P71" i="10" s="1"/>
  <c r="L70" i="10"/>
  <c r="Q70" i="10" s="1"/>
  <c r="L69" i="10"/>
  <c r="N69" i="10" s="1"/>
  <c r="L68" i="10"/>
  <c r="P68" i="10" s="1"/>
  <c r="L67" i="10"/>
  <c r="Q67" i="10" s="1"/>
  <c r="L66" i="10"/>
  <c r="Q66" i="10" s="1"/>
  <c r="L65" i="10"/>
  <c r="AB65" i="10" s="1"/>
  <c r="L64" i="10"/>
  <c r="AB64" i="10" s="1"/>
  <c r="L63" i="10"/>
  <c r="AB63" i="10" s="1"/>
  <c r="L62" i="10"/>
  <c r="P62" i="10" s="1"/>
  <c r="L61" i="10"/>
  <c r="Q61" i="10" s="1"/>
  <c r="L60" i="10"/>
  <c r="AB60" i="10" s="1"/>
  <c r="L59" i="10"/>
  <c r="P59" i="10" s="1"/>
  <c r="L58" i="10"/>
  <c r="Q58" i="10" s="1"/>
  <c r="L57" i="10"/>
  <c r="Q57" i="10" s="1"/>
  <c r="L56" i="10"/>
  <c r="P56" i="10" s="1"/>
  <c r="L55" i="10"/>
  <c r="Q55" i="10" s="1"/>
  <c r="L54" i="10"/>
  <c r="Q54" i="10" s="1"/>
  <c r="L53" i="10"/>
  <c r="AB53" i="10" s="1"/>
  <c r="L52" i="10"/>
  <c r="AB52" i="10" s="1"/>
  <c r="L51" i="10"/>
  <c r="AB51" i="10" s="1"/>
  <c r="L50" i="10"/>
  <c r="P50" i="10" s="1"/>
  <c r="L49" i="10"/>
  <c r="Q49" i="10" s="1"/>
  <c r="L48" i="10"/>
  <c r="AB48" i="10" s="1"/>
  <c r="L47" i="10"/>
  <c r="P47" i="10" s="1"/>
  <c r="L46" i="10"/>
  <c r="Q46" i="10" s="1"/>
  <c r="L45" i="10"/>
  <c r="N45" i="10" s="1"/>
  <c r="L44" i="10"/>
  <c r="P44" i="10" s="1"/>
  <c r="L43" i="10"/>
  <c r="Q43" i="10" s="1"/>
  <c r="L42" i="10"/>
  <c r="Q42" i="10" s="1"/>
  <c r="L41" i="10"/>
  <c r="AB41" i="10" s="1"/>
  <c r="L40" i="10"/>
  <c r="AB40" i="10" s="1"/>
  <c r="L39" i="10"/>
  <c r="AB39" i="10" s="1"/>
  <c r="L38" i="10"/>
  <c r="P38" i="10" s="1"/>
  <c r="L37" i="10"/>
  <c r="Q37" i="10" s="1"/>
  <c r="L36" i="10"/>
  <c r="AB36" i="10" s="1"/>
  <c r="L35" i="10"/>
  <c r="P35" i="10" s="1"/>
  <c r="L34" i="10"/>
  <c r="Q34" i="10" s="1"/>
  <c r="L33" i="10"/>
  <c r="Q33" i="10" s="1"/>
  <c r="L32" i="10"/>
  <c r="P32" i="10" s="1"/>
  <c r="L31" i="10"/>
  <c r="Q31" i="10" s="1"/>
  <c r="L30" i="10"/>
  <c r="Q30" i="10" s="1"/>
  <c r="L29" i="10"/>
  <c r="AB29" i="10" s="1"/>
  <c r="L28" i="10"/>
  <c r="AB28" i="10" s="1"/>
  <c r="L27" i="10"/>
  <c r="AB27" i="10" s="1"/>
  <c r="L26" i="10"/>
  <c r="P26" i="10" s="1"/>
  <c r="L25" i="10"/>
  <c r="Q25" i="10" s="1"/>
  <c r="L24" i="10"/>
  <c r="AB24" i="10" s="1"/>
  <c r="L23" i="10"/>
  <c r="P23" i="10" s="1"/>
  <c r="L22" i="10"/>
  <c r="Q22" i="10" s="1"/>
  <c r="L21" i="10"/>
  <c r="Q21" i="10" s="1"/>
  <c r="L20" i="10"/>
  <c r="P20" i="10" s="1"/>
  <c r="L19" i="10"/>
  <c r="Q19" i="10" s="1"/>
  <c r="L18" i="10"/>
  <c r="Q18" i="10" s="1"/>
  <c r="L17" i="10"/>
  <c r="AB17" i="10" s="1"/>
  <c r="L16" i="10"/>
  <c r="AB16" i="10" s="1"/>
  <c r="L15" i="10"/>
  <c r="AB15" i="10" s="1"/>
  <c r="L14" i="10"/>
  <c r="P14" i="10" s="1"/>
  <c r="L13" i="10"/>
  <c r="Q13" i="10" s="1"/>
  <c r="L12" i="10"/>
  <c r="AB12" i="10" s="1"/>
  <c r="L11" i="10"/>
  <c r="P11" i="10" s="1"/>
  <c r="L10" i="10"/>
  <c r="Q10" i="10" s="1"/>
  <c r="L9" i="10"/>
  <c r="Q9" i="10" s="1"/>
  <c r="L8" i="10"/>
  <c r="P8" i="10" s="1"/>
  <c r="L7" i="10"/>
  <c r="Q7" i="10" s="1"/>
  <c r="L6" i="10"/>
  <c r="Q6" i="10" s="1"/>
  <c r="L5" i="10"/>
  <c r="AB5" i="10" s="1"/>
  <c r="L4" i="10"/>
  <c r="AB4" i="10" s="1"/>
  <c r="L3" i="10"/>
  <c r="AB3" i="10" s="1"/>
  <c r="L2" i="10"/>
  <c r="P2" i="10" s="1"/>
  <c r="V151" i="11" l="1"/>
  <c r="V166" i="11"/>
  <c r="W151" i="11"/>
  <c r="W166" i="11"/>
  <c r="U151" i="11"/>
  <c r="U166" i="11"/>
  <c r="N30" i="10"/>
  <c r="N78" i="10"/>
  <c r="N126" i="10"/>
  <c r="AB55" i="10"/>
  <c r="N39" i="10"/>
  <c r="N87" i="10"/>
  <c r="N135" i="10"/>
  <c r="AB79" i="10"/>
  <c r="N42" i="10"/>
  <c r="N90" i="10"/>
  <c r="N138" i="10"/>
  <c r="AB91" i="10"/>
  <c r="N48" i="10"/>
  <c r="N96" i="10"/>
  <c r="N144" i="10"/>
  <c r="AB103" i="10"/>
  <c r="N3" i="10"/>
  <c r="N51" i="10"/>
  <c r="N99" i="10"/>
  <c r="N147" i="10"/>
  <c r="AB115" i="10"/>
  <c r="N6" i="10"/>
  <c r="N54" i="10"/>
  <c r="N102" i="10"/>
  <c r="N150" i="10"/>
  <c r="AB127" i="10"/>
  <c r="N12" i="10"/>
  <c r="N60" i="10"/>
  <c r="N108" i="10"/>
  <c r="N156" i="10"/>
  <c r="AB139" i="10"/>
  <c r="N15" i="10"/>
  <c r="N63" i="10"/>
  <c r="N111" i="10"/>
  <c r="N159" i="10"/>
  <c r="AB7" i="10"/>
  <c r="AB151" i="10"/>
  <c r="N18" i="10"/>
  <c r="N66" i="10"/>
  <c r="N114" i="10"/>
  <c r="AB19" i="10"/>
  <c r="N24" i="10"/>
  <c r="N72" i="10"/>
  <c r="N120" i="10"/>
  <c r="AB31" i="10"/>
  <c r="W162" i="10"/>
  <c r="N27" i="10"/>
  <c r="N75" i="10"/>
  <c r="N123" i="10"/>
  <c r="AB43" i="10"/>
  <c r="Q2" i="10"/>
  <c r="Q5" i="10"/>
  <c r="Q8" i="10"/>
  <c r="Q11" i="10"/>
  <c r="Q14" i="10"/>
  <c r="Q17" i="10"/>
  <c r="Q20" i="10"/>
  <c r="Q23" i="10"/>
  <c r="Q26" i="10"/>
  <c r="Q29" i="10"/>
  <c r="Q32" i="10"/>
  <c r="Q35" i="10"/>
  <c r="Q38" i="10"/>
  <c r="Q41" i="10"/>
  <c r="Q44" i="10"/>
  <c r="Q47" i="10"/>
  <c r="Q50" i="10"/>
  <c r="Q53" i="10"/>
  <c r="Q56" i="10"/>
  <c r="Q59" i="10"/>
  <c r="Q62" i="10"/>
  <c r="Q65" i="10"/>
  <c r="Q68" i="10"/>
  <c r="Q71" i="10"/>
  <c r="Q74" i="10"/>
  <c r="Q77" i="10"/>
  <c r="Q80" i="10"/>
  <c r="Q83" i="10"/>
  <c r="Q86" i="10"/>
  <c r="Q89" i="10"/>
  <c r="Q92" i="10"/>
  <c r="Q95" i="10"/>
  <c r="Q98" i="10"/>
  <c r="Q101" i="10"/>
  <c r="Q104" i="10"/>
  <c r="Q107" i="10"/>
  <c r="Q110" i="10"/>
  <c r="Q113" i="10"/>
  <c r="Q116" i="10"/>
  <c r="Q119" i="10"/>
  <c r="Q122" i="10"/>
  <c r="Q125" i="10"/>
  <c r="Q128" i="10"/>
  <c r="Q131" i="10"/>
  <c r="Q134" i="10"/>
  <c r="Q137" i="10"/>
  <c r="Q140" i="10"/>
  <c r="Q143" i="10"/>
  <c r="Q146" i="10"/>
  <c r="Q149" i="10"/>
  <c r="Q152" i="10"/>
  <c r="Q155" i="10"/>
  <c r="Q158" i="10"/>
  <c r="AB6" i="10"/>
  <c r="AB18" i="10"/>
  <c r="AB30" i="10"/>
  <c r="AB42" i="10"/>
  <c r="AB54" i="10"/>
  <c r="AB66" i="10"/>
  <c r="AB78" i="10"/>
  <c r="AB90" i="10"/>
  <c r="AB102" i="10"/>
  <c r="AB114" i="10"/>
  <c r="AB126" i="10"/>
  <c r="AB138" i="10"/>
  <c r="AB150" i="10"/>
  <c r="N21" i="10"/>
  <c r="N81" i="10"/>
  <c r="O3" i="10"/>
  <c r="O6" i="10"/>
  <c r="O9" i="10"/>
  <c r="O12" i="10"/>
  <c r="O15" i="10"/>
  <c r="O18" i="10"/>
  <c r="O21" i="10"/>
  <c r="O24" i="10"/>
  <c r="O27" i="10"/>
  <c r="O30" i="10"/>
  <c r="O33" i="10"/>
  <c r="O36" i="10"/>
  <c r="O39" i="10"/>
  <c r="O42" i="10"/>
  <c r="O45" i="10"/>
  <c r="O48" i="10"/>
  <c r="O51" i="10"/>
  <c r="O54" i="10"/>
  <c r="O57" i="10"/>
  <c r="O60" i="10"/>
  <c r="O63" i="10"/>
  <c r="O66" i="10"/>
  <c r="O69" i="10"/>
  <c r="O72" i="10"/>
  <c r="O75" i="10"/>
  <c r="O78" i="10"/>
  <c r="O81" i="10"/>
  <c r="O84" i="10"/>
  <c r="O87" i="10"/>
  <c r="O90" i="10"/>
  <c r="O93" i="10"/>
  <c r="O96" i="10"/>
  <c r="O99" i="10"/>
  <c r="O102" i="10"/>
  <c r="O105" i="10"/>
  <c r="O108" i="10"/>
  <c r="O111" i="10"/>
  <c r="O114" i="10"/>
  <c r="O117" i="10"/>
  <c r="O120" i="10"/>
  <c r="O123" i="10"/>
  <c r="O126" i="10"/>
  <c r="O129" i="10"/>
  <c r="O132" i="10"/>
  <c r="O135" i="10"/>
  <c r="O138" i="10"/>
  <c r="O141" i="10"/>
  <c r="O144" i="10"/>
  <c r="O147" i="10"/>
  <c r="O150" i="10"/>
  <c r="O153" i="10"/>
  <c r="O156" i="10"/>
  <c r="O159" i="10"/>
  <c r="AB8" i="10"/>
  <c r="AB20" i="10"/>
  <c r="AB32" i="10"/>
  <c r="AB44" i="10"/>
  <c r="AB56" i="10"/>
  <c r="AB68" i="10"/>
  <c r="AB80" i="10"/>
  <c r="AB92" i="10"/>
  <c r="AB104" i="10"/>
  <c r="AB116" i="10"/>
  <c r="AB128" i="10"/>
  <c r="AB140" i="10"/>
  <c r="AB152" i="10"/>
  <c r="N9" i="10"/>
  <c r="N33" i="10"/>
  <c r="N57" i="10"/>
  <c r="N105" i="10"/>
  <c r="N129" i="10"/>
  <c r="P3" i="10"/>
  <c r="P6" i="10"/>
  <c r="P9" i="10"/>
  <c r="P12" i="10"/>
  <c r="P15" i="10"/>
  <c r="P18" i="10"/>
  <c r="P21" i="10"/>
  <c r="P24" i="10"/>
  <c r="P27" i="10"/>
  <c r="P30" i="10"/>
  <c r="P33" i="10"/>
  <c r="P36" i="10"/>
  <c r="P39" i="10"/>
  <c r="P42" i="10"/>
  <c r="P45" i="10"/>
  <c r="P48" i="10"/>
  <c r="P51" i="10"/>
  <c r="P54" i="10"/>
  <c r="P57" i="10"/>
  <c r="P60" i="10"/>
  <c r="P63" i="10"/>
  <c r="P66" i="10"/>
  <c r="P69" i="10"/>
  <c r="P72" i="10"/>
  <c r="P75" i="10"/>
  <c r="P78" i="10"/>
  <c r="P81" i="10"/>
  <c r="P84" i="10"/>
  <c r="P87" i="10"/>
  <c r="P90" i="10"/>
  <c r="P93" i="10"/>
  <c r="P96" i="10"/>
  <c r="P99" i="10"/>
  <c r="P102" i="10"/>
  <c r="P105" i="10"/>
  <c r="P108" i="10"/>
  <c r="P111" i="10"/>
  <c r="P114" i="10"/>
  <c r="P117" i="10"/>
  <c r="P120" i="10"/>
  <c r="P123" i="10"/>
  <c r="P126" i="10"/>
  <c r="P129" i="10"/>
  <c r="P132" i="10"/>
  <c r="P135" i="10"/>
  <c r="P138" i="10"/>
  <c r="P141" i="10"/>
  <c r="P144" i="10"/>
  <c r="P147" i="10"/>
  <c r="P150" i="10"/>
  <c r="P153" i="10"/>
  <c r="P156" i="10"/>
  <c r="P159" i="10"/>
  <c r="AB9" i="10"/>
  <c r="AB21" i="10"/>
  <c r="AB33" i="10"/>
  <c r="AB45" i="10"/>
  <c r="AB57" i="10"/>
  <c r="AB69" i="10"/>
  <c r="AB81" i="10"/>
  <c r="AB93" i="10"/>
  <c r="AB105" i="10"/>
  <c r="AB117" i="10"/>
  <c r="AB129" i="10"/>
  <c r="AB141" i="10"/>
  <c r="AB153" i="10"/>
  <c r="Q3" i="10"/>
  <c r="Q12" i="10"/>
  <c r="Q15" i="10"/>
  <c r="Q24" i="10"/>
  <c r="Q27" i="10"/>
  <c r="Q36" i="10"/>
  <c r="Q39" i="10"/>
  <c r="Q45" i="10"/>
  <c r="Q48" i="10"/>
  <c r="Q51" i="10"/>
  <c r="Q60" i="10"/>
  <c r="Q63" i="10"/>
  <c r="Q69" i="10"/>
  <c r="Q72" i="10"/>
  <c r="Q75" i="10"/>
  <c r="Q84" i="10"/>
  <c r="Q87" i="10"/>
  <c r="Q93" i="10"/>
  <c r="Q96" i="10"/>
  <c r="Q99" i="10"/>
  <c r="Q108" i="10"/>
  <c r="Q111" i="10"/>
  <c r="Q117" i="10"/>
  <c r="Q120" i="10"/>
  <c r="Q123" i="10"/>
  <c r="Q132" i="10"/>
  <c r="Q135" i="10"/>
  <c r="Q141" i="10"/>
  <c r="Q144" i="10"/>
  <c r="Q147" i="10"/>
  <c r="Q153" i="10"/>
  <c r="Q156" i="10"/>
  <c r="Q159" i="10"/>
  <c r="AB10" i="10"/>
  <c r="AB22" i="10"/>
  <c r="AB34" i="10"/>
  <c r="AB46" i="10"/>
  <c r="AB58" i="10"/>
  <c r="AB70" i="10"/>
  <c r="AB82" i="10"/>
  <c r="AB94" i="10"/>
  <c r="AB106" i="10"/>
  <c r="AB118" i="10"/>
  <c r="AB130" i="10"/>
  <c r="AB142" i="10"/>
  <c r="AB154" i="10"/>
  <c r="N4" i="10"/>
  <c r="N7" i="10"/>
  <c r="N10" i="10"/>
  <c r="N13" i="10"/>
  <c r="N16" i="10"/>
  <c r="N19" i="10"/>
  <c r="N22" i="10"/>
  <c r="N25" i="10"/>
  <c r="N28" i="10"/>
  <c r="N31" i="10"/>
  <c r="N34" i="10"/>
  <c r="N37" i="10"/>
  <c r="N40" i="10"/>
  <c r="N43" i="10"/>
  <c r="N46" i="10"/>
  <c r="N49" i="10"/>
  <c r="N52" i="10"/>
  <c r="N55" i="10"/>
  <c r="N58" i="10"/>
  <c r="N61" i="10"/>
  <c r="N64" i="10"/>
  <c r="N67" i="10"/>
  <c r="N70" i="10"/>
  <c r="N73" i="10"/>
  <c r="N76" i="10"/>
  <c r="N79" i="10"/>
  <c r="N82" i="10"/>
  <c r="N85" i="10"/>
  <c r="N88" i="10"/>
  <c r="N91" i="10"/>
  <c r="N94" i="10"/>
  <c r="N97" i="10"/>
  <c r="N100" i="10"/>
  <c r="N103" i="10"/>
  <c r="N106" i="10"/>
  <c r="N109" i="10"/>
  <c r="N112" i="10"/>
  <c r="N115" i="10"/>
  <c r="N118" i="10"/>
  <c r="N121" i="10"/>
  <c r="N124" i="10"/>
  <c r="N127" i="10"/>
  <c r="N130" i="10"/>
  <c r="N133" i="10"/>
  <c r="N136" i="10"/>
  <c r="N139" i="10"/>
  <c r="N142" i="10"/>
  <c r="N145" i="10"/>
  <c r="N148" i="10"/>
  <c r="N151" i="10"/>
  <c r="N154" i="10"/>
  <c r="N157" i="10"/>
  <c r="N160" i="10"/>
  <c r="AB11" i="10"/>
  <c r="AB23" i="10"/>
  <c r="AB35" i="10"/>
  <c r="AB47" i="10"/>
  <c r="AB59" i="10"/>
  <c r="AB71" i="10"/>
  <c r="AB83" i="10"/>
  <c r="AB95" i="10"/>
  <c r="AB107" i="10"/>
  <c r="AB119" i="10"/>
  <c r="AB131" i="10"/>
  <c r="AB143" i="10"/>
  <c r="AB155" i="10"/>
  <c r="O4" i="10"/>
  <c r="O7" i="10"/>
  <c r="O10" i="10"/>
  <c r="O13" i="10"/>
  <c r="O16" i="10"/>
  <c r="O19" i="10"/>
  <c r="O22" i="10"/>
  <c r="O25" i="10"/>
  <c r="O28" i="10"/>
  <c r="O31" i="10"/>
  <c r="O34" i="10"/>
  <c r="O37" i="10"/>
  <c r="O40" i="10"/>
  <c r="O43" i="10"/>
  <c r="O46" i="10"/>
  <c r="O49" i="10"/>
  <c r="O52" i="10"/>
  <c r="O55" i="10"/>
  <c r="O58" i="10"/>
  <c r="O61" i="10"/>
  <c r="O64" i="10"/>
  <c r="O67" i="10"/>
  <c r="O70" i="10"/>
  <c r="O73" i="10"/>
  <c r="O76" i="10"/>
  <c r="O79" i="10"/>
  <c r="O82" i="10"/>
  <c r="O85" i="10"/>
  <c r="O88" i="10"/>
  <c r="O91" i="10"/>
  <c r="O94" i="10"/>
  <c r="O97" i="10"/>
  <c r="O100" i="10"/>
  <c r="O103" i="10"/>
  <c r="O106" i="10"/>
  <c r="O109" i="10"/>
  <c r="O112" i="10"/>
  <c r="O115" i="10"/>
  <c r="O118" i="10"/>
  <c r="O121" i="10"/>
  <c r="O124" i="10"/>
  <c r="O127" i="10"/>
  <c r="O130" i="10"/>
  <c r="O133" i="10"/>
  <c r="O136" i="10"/>
  <c r="O139" i="10"/>
  <c r="O142" i="10"/>
  <c r="O145" i="10"/>
  <c r="O148" i="10"/>
  <c r="O151" i="10"/>
  <c r="O154" i="10"/>
  <c r="O157" i="10"/>
  <c r="O160" i="10"/>
  <c r="P4" i="10"/>
  <c r="P7" i="10"/>
  <c r="P10" i="10"/>
  <c r="P13" i="10"/>
  <c r="P16" i="10"/>
  <c r="P19" i="10"/>
  <c r="P22" i="10"/>
  <c r="P25" i="10"/>
  <c r="P28" i="10"/>
  <c r="P31" i="10"/>
  <c r="P34" i="10"/>
  <c r="P37" i="10"/>
  <c r="P40" i="10"/>
  <c r="P43" i="10"/>
  <c r="P46" i="10"/>
  <c r="P49" i="10"/>
  <c r="P52" i="10"/>
  <c r="P55" i="10"/>
  <c r="P58" i="10"/>
  <c r="P61" i="10"/>
  <c r="P64" i="10"/>
  <c r="P67" i="10"/>
  <c r="P70" i="10"/>
  <c r="P73" i="10"/>
  <c r="P76" i="10"/>
  <c r="P79" i="10"/>
  <c r="P82" i="10"/>
  <c r="P85" i="10"/>
  <c r="P88" i="10"/>
  <c r="P91" i="10"/>
  <c r="P94" i="10"/>
  <c r="P97" i="10"/>
  <c r="P100" i="10"/>
  <c r="P103" i="10"/>
  <c r="P106" i="10"/>
  <c r="P109" i="10"/>
  <c r="P112" i="10"/>
  <c r="P115" i="10"/>
  <c r="P118" i="10"/>
  <c r="P121" i="10"/>
  <c r="P124" i="10"/>
  <c r="P127" i="10"/>
  <c r="P130" i="10"/>
  <c r="P133" i="10"/>
  <c r="P136" i="10"/>
  <c r="P139" i="10"/>
  <c r="P142" i="10"/>
  <c r="P145" i="10"/>
  <c r="P148" i="10"/>
  <c r="P151" i="10"/>
  <c r="P154" i="10"/>
  <c r="P157" i="10"/>
  <c r="P160" i="10"/>
  <c r="AB13" i="10"/>
  <c r="AB25" i="10"/>
  <c r="AB37" i="10"/>
  <c r="AB49" i="10"/>
  <c r="AB61" i="10"/>
  <c r="AB73" i="10"/>
  <c r="AB85" i="10"/>
  <c r="AB97" i="10"/>
  <c r="AB109" i="10"/>
  <c r="AB121" i="10"/>
  <c r="AB133" i="10"/>
  <c r="AB145" i="10"/>
  <c r="AB157" i="10"/>
  <c r="L162" i="10"/>
  <c r="Q4" i="10"/>
  <c r="Q16" i="10"/>
  <c r="Q28" i="10"/>
  <c r="Q40" i="10"/>
  <c r="Q52" i="10"/>
  <c r="Q64" i="10"/>
  <c r="Q76" i="10"/>
  <c r="Q88" i="10"/>
  <c r="Q100" i="10"/>
  <c r="Q112" i="10"/>
  <c r="Q124" i="10"/>
  <c r="Q136" i="10"/>
  <c r="Q148" i="10"/>
  <c r="Q160" i="10"/>
  <c r="AB2" i="10"/>
  <c r="AB14" i="10"/>
  <c r="AB26" i="10"/>
  <c r="AB38" i="10"/>
  <c r="AB50" i="10"/>
  <c r="AB62" i="10"/>
  <c r="AB74" i="10"/>
  <c r="AB86" i="10"/>
  <c r="AB98" i="10"/>
  <c r="AB110" i="10"/>
  <c r="AB122" i="10"/>
  <c r="AB134" i="10"/>
  <c r="AB146" i="10"/>
  <c r="AB158" i="10"/>
  <c r="N2" i="10"/>
  <c r="N5" i="10"/>
  <c r="N8" i="10"/>
  <c r="N11" i="10"/>
  <c r="N14" i="10"/>
  <c r="N17" i="10"/>
  <c r="N20" i="10"/>
  <c r="N23" i="10"/>
  <c r="N26" i="10"/>
  <c r="N29" i="10"/>
  <c r="N32" i="10"/>
  <c r="N35" i="10"/>
  <c r="N38" i="10"/>
  <c r="N41" i="10"/>
  <c r="N44" i="10"/>
  <c r="N47" i="10"/>
  <c r="N50" i="10"/>
  <c r="N53" i="10"/>
  <c r="N56" i="10"/>
  <c r="N59" i="10"/>
  <c r="N62" i="10"/>
  <c r="N65" i="10"/>
  <c r="N68" i="10"/>
  <c r="N71" i="10"/>
  <c r="N74" i="10"/>
  <c r="N77" i="10"/>
  <c r="N80" i="10"/>
  <c r="N83" i="10"/>
  <c r="N86" i="10"/>
  <c r="N89" i="10"/>
  <c r="N92" i="10"/>
  <c r="N95" i="10"/>
  <c r="N98" i="10"/>
  <c r="N101" i="10"/>
  <c r="N104" i="10"/>
  <c r="N107" i="10"/>
  <c r="N110" i="10"/>
  <c r="N113" i="10"/>
  <c r="N116" i="10"/>
  <c r="N119" i="10"/>
  <c r="N122" i="10"/>
  <c r="N125" i="10"/>
  <c r="N128" i="10"/>
  <c r="N131" i="10"/>
  <c r="N134" i="10"/>
  <c r="N137" i="10"/>
  <c r="N140" i="10"/>
  <c r="N143" i="10"/>
  <c r="N146" i="10"/>
  <c r="N149" i="10"/>
  <c r="N152" i="10"/>
  <c r="N155" i="10"/>
  <c r="N158" i="10"/>
  <c r="O2" i="10"/>
  <c r="O5" i="10"/>
  <c r="O8" i="10"/>
  <c r="O11" i="10"/>
  <c r="O14" i="10"/>
  <c r="O17" i="10"/>
  <c r="O20" i="10"/>
  <c r="O23" i="10"/>
  <c r="O26" i="10"/>
  <c r="O29" i="10"/>
  <c r="O32" i="10"/>
  <c r="O35" i="10"/>
  <c r="O38" i="10"/>
  <c r="O41" i="10"/>
  <c r="O44" i="10"/>
  <c r="O47" i="10"/>
  <c r="O50" i="10"/>
  <c r="O53" i="10"/>
  <c r="O56" i="10"/>
  <c r="O59" i="10"/>
  <c r="O62" i="10"/>
  <c r="O65" i="10"/>
  <c r="O68" i="10"/>
  <c r="O71" i="10"/>
  <c r="O74" i="10"/>
  <c r="O77" i="10"/>
  <c r="O80" i="10"/>
  <c r="O83" i="10"/>
  <c r="O86" i="10"/>
  <c r="O89" i="10"/>
  <c r="O92" i="10"/>
  <c r="O95" i="10"/>
  <c r="O98" i="10"/>
  <c r="O101" i="10"/>
  <c r="O104" i="10"/>
  <c r="O107" i="10"/>
  <c r="O110" i="10"/>
  <c r="O113" i="10"/>
  <c r="O116" i="10"/>
  <c r="O119" i="10"/>
  <c r="O122" i="10"/>
  <c r="O125" i="10"/>
  <c r="O128" i="10"/>
  <c r="O131" i="10"/>
  <c r="O134" i="10"/>
  <c r="O137" i="10"/>
  <c r="O140" i="10"/>
  <c r="O143" i="10"/>
  <c r="O146" i="10"/>
  <c r="O149" i="10"/>
  <c r="O152" i="10"/>
  <c r="O155" i="10"/>
  <c r="O158" i="10"/>
  <c r="P5" i="10"/>
  <c r="P17" i="10"/>
  <c r="P29" i="10"/>
  <c r="P41" i="10"/>
  <c r="P53" i="10"/>
  <c r="P65" i="10"/>
  <c r="P77" i="10"/>
  <c r="P89" i="10"/>
  <c r="P101" i="10"/>
  <c r="P113" i="10"/>
  <c r="P125" i="10"/>
  <c r="P137" i="10"/>
  <c r="P149" i="10"/>
  <c r="S166" i="11"/>
  <c r="X166" i="11" s="1"/>
  <c r="S18" i="11"/>
  <c r="S99" i="11"/>
  <c r="X99" i="11" s="1"/>
  <c r="S151" i="11"/>
  <c r="X151" i="11" s="1"/>
  <c r="S157" i="11"/>
  <c r="S2" i="11"/>
  <c r="X2" i="11" s="1"/>
  <c r="S30" i="11"/>
  <c r="X30" i="11" s="1"/>
  <c r="S164" i="11"/>
  <c r="X164" i="11" s="1"/>
  <c r="S45" i="11"/>
  <c r="X45" i="11" s="1"/>
  <c r="S98" i="11"/>
  <c r="X98" i="11" s="1"/>
  <c r="S137" i="11"/>
  <c r="X137" i="11" s="1"/>
  <c r="U2" i="11"/>
  <c r="S29" i="11"/>
  <c r="X29" i="11" s="1"/>
  <c r="S143" i="11"/>
  <c r="X143" i="11" s="1"/>
  <c r="S158" i="11"/>
  <c r="T158" i="11" s="1"/>
  <c r="S25" i="11"/>
  <c r="X25" i="11" s="1"/>
  <c r="S94" i="11"/>
  <c r="X94" i="11" s="1"/>
  <c r="S104" i="11"/>
  <c r="X104" i="11" s="1"/>
  <c r="S8" i="11"/>
  <c r="T8" i="11" s="1"/>
  <c r="S136" i="11"/>
  <c r="T136" i="11" s="1"/>
  <c r="S55" i="11"/>
  <c r="X55" i="11" s="1"/>
  <c r="S14" i="11"/>
  <c r="T14" i="11" s="1"/>
  <c r="S155" i="11"/>
  <c r="X155" i="11" s="1"/>
  <c r="S91" i="11"/>
  <c r="X91" i="11" s="1"/>
  <c r="W99" i="11"/>
  <c r="S52" i="11"/>
  <c r="X52" i="11" s="1"/>
  <c r="S161" i="11"/>
  <c r="X161" i="11" s="1"/>
  <c r="S54" i="11"/>
  <c r="X54" i="11" s="1"/>
  <c r="S124" i="11"/>
  <c r="X124" i="11" s="1"/>
  <c r="V52" i="11"/>
  <c r="S13" i="11"/>
  <c r="X13" i="11" s="1"/>
  <c r="S162" i="11"/>
  <c r="X162" i="11" s="1"/>
  <c r="S93" i="11"/>
  <c r="X93" i="11" s="1"/>
  <c r="S17" i="11"/>
  <c r="X17" i="11" s="1"/>
  <c r="W158" i="11"/>
  <c r="S31" i="11"/>
  <c r="X31" i="11" s="1"/>
  <c r="S77" i="11"/>
  <c r="X77" i="11" s="1"/>
  <c r="S90" i="11"/>
  <c r="X90" i="11" s="1"/>
  <c r="S105" i="11"/>
  <c r="X105" i="11" s="1"/>
  <c r="S142" i="11"/>
  <c r="X142" i="11" s="1"/>
  <c r="U13" i="11"/>
  <c r="S33" i="11"/>
  <c r="X33" i="11" s="1"/>
  <c r="S40" i="11"/>
  <c r="T40" i="11" s="1"/>
  <c r="S63" i="11"/>
  <c r="X63" i="11" s="1"/>
  <c r="S59" i="11"/>
  <c r="X59" i="11" s="1"/>
  <c r="S69" i="11"/>
  <c r="X69" i="11" s="1"/>
  <c r="S74" i="11"/>
  <c r="X74" i="11" s="1"/>
  <c r="S75" i="11"/>
  <c r="X75" i="11" s="1"/>
  <c r="S79" i="11"/>
  <c r="X79" i="11" s="1"/>
  <c r="S100" i="11"/>
  <c r="X100" i="11" s="1"/>
  <c r="S42" i="11"/>
  <c r="X42" i="11" s="1"/>
  <c r="S50" i="11"/>
  <c r="X50" i="11" s="1"/>
  <c r="V105" i="11"/>
  <c r="S108" i="11"/>
  <c r="X108" i="11" s="1"/>
  <c r="S167" i="11"/>
  <c r="X167" i="11" s="1"/>
  <c r="S21" i="11"/>
  <c r="X21" i="11" s="1"/>
  <c r="S159" i="11"/>
  <c r="X159" i="11" s="1"/>
  <c r="S35" i="11"/>
  <c r="T35" i="11" s="1"/>
  <c r="U29" i="11"/>
  <c r="V31" i="11"/>
  <c r="W75" i="11"/>
  <c r="U108" i="11"/>
  <c r="S127" i="11"/>
  <c r="X127" i="11" s="1"/>
  <c r="S117" i="11"/>
  <c r="X117" i="11" s="1"/>
  <c r="S144" i="11"/>
  <c r="X144" i="11" s="1"/>
  <c r="S27" i="11"/>
  <c r="X27" i="11" s="1"/>
  <c r="S85" i="11"/>
  <c r="X85" i="11" s="1"/>
  <c r="S89" i="11"/>
  <c r="X89" i="11" s="1"/>
  <c r="S119" i="11"/>
  <c r="X119" i="11" s="1"/>
  <c r="S123" i="11"/>
  <c r="X123" i="11" s="1"/>
  <c r="U144" i="11"/>
  <c r="U157" i="11"/>
  <c r="S62" i="11"/>
  <c r="X62" i="11" s="1"/>
  <c r="U85" i="11"/>
  <c r="U119" i="11"/>
  <c r="S3" i="11"/>
  <c r="X3" i="11" s="1"/>
  <c r="S10" i="11"/>
  <c r="T10" i="11" s="1"/>
  <c r="U18" i="11"/>
  <c r="S26" i="11"/>
  <c r="T26" i="11" s="1"/>
  <c r="V159" i="11"/>
  <c r="S107" i="11"/>
  <c r="X107" i="11" s="1"/>
  <c r="S126" i="11"/>
  <c r="S131" i="11"/>
  <c r="X131" i="11" s="1"/>
  <c r="S37" i="11"/>
  <c r="X37" i="11" s="1"/>
  <c r="S51" i="11"/>
  <c r="X51" i="11" s="1"/>
  <c r="V62" i="11"/>
  <c r="S84" i="11"/>
  <c r="U8" i="11"/>
  <c r="V45" i="11"/>
  <c r="S47" i="11"/>
  <c r="X47" i="11" s="1"/>
  <c r="U137" i="11"/>
  <c r="U143" i="11"/>
  <c r="U10" i="11"/>
  <c r="S160" i="11"/>
  <c r="X160" i="11" s="1"/>
  <c r="W30" i="11"/>
  <c r="V51" i="11"/>
  <c r="U91" i="11"/>
  <c r="X157" i="11"/>
  <c r="T157" i="11"/>
  <c r="T18" i="11"/>
  <c r="X18" i="11"/>
  <c r="S135" i="11"/>
  <c r="X135" i="11" s="1"/>
  <c r="S128" i="11"/>
  <c r="X128" i="11" s="1"/>
  <c r="S39" i="11"/>
  <c r="X39" i="11" s="1"/>
  <c r="S57" i="11"/>
  <c r="X57" i="11" s="1"/>
  <c r="S67" i="11"/>
  <c r="X67" i="11" s="1"/>
  <c r="S72" i="11"/>
  <c r="X72" i="11" s="1"/>
  <c r="T99" i="11"/>
  <c r="S150" i="11"/>
  <c r="X150" i="11" s="1"/>
  <c r="U130" i="11"/>
  <c r="S130" i="11"/>
  <c r="X130" i="11" s="1"/>
  <c r="T142" i="11"/>
  <c r="S83" i="11"/>
  <c r="X83" i="11" s="1"/>
  <c r="S34" i="11"/>
  <c r="X34" i="11" s="1"/>
  <c r="S153" i="11"/>
  <c r="X153" i="11" s="1"/>
  <c r="T25" i="11"/>
  <c r="S156" i="11"/>
  <c r="X156" i="11" s="1"/>
  <c r="W161" i="11"/>
  <c r="S28" i="11"/>
  <c r="X28" i="11" s="1"/>
  <c r="W33" i="11"/>
  <c r="S43" i="11"/>
  <c r="X43" i="11" s="1"/>
  <c r="S46" i="11"/>
  <c r="X46" i="11" s="1"/>
  <c r="S64" i="11"/>
  <c r="X64" i="11" s="1"/>
  <c r="S60" i="11"/>
  <c r="X60" i="11" s="1"/>
  <c r="S70" i="11"/>
  <c r="X70" i="11" s="1"/>
  <c r="S149" i="11"/>
  <c r="X149" i="11" s="1"/>
  <c r="S101" i="11"/>
  <c r="X101" i="11" s="1"/>
  <c r="S132" i="11"/>
  <c r="X132" i="11" s="1"/>
  <c r="U111" i="11"/>
  <c r="S111" i="11"/>
  <c r="X111" i="11" s="1"/>
  <c r="S7" i="11"/>
  <c r="X7" i="11" s="1"/>
  <c r="S16" i="11"/>
  <c r="X16" i="11" s="1"/>
  <c r="V17" i="11"/>
  <c r="S32" i="11"/>
  <c r="X32" i="11" s="1"/>
  <c r="W50" i="11"/>
  <c r="S53" i="11"/>
  <c r="X53" i="11" s="1"/>
  <c r="S148" i="11"/>
  <c r="X148" i="11" s="1"/>
  <c r="V57" i="11"/>
  <c r="V77" i="11"/>
  <c r="S88" i="11"/>
  <c r="X88" i="11" s="1"/>
  <c r="U94" i="11"/>
  <c r="T98" i="11"/>
  <c r="S113" i="11"/>
  <c r="X113" i="11" s="1"/>
  <c r="S125" i="11"/>
  <c r="X125" i="11" s="1"/>
  <c r="U128" i="11"/>
  <c r="U134" i="11"/>
  <c r="S134" i="11"/>
  <c r="S6" i="11"/>
  <c r="X6" i="11" s="1"/>
  <c r="S11" i="11"/>
  <c r="X11" i="11" s="1"/>
  <c r="S20" i="11"/>
  <c r="X20" i="11" s="1"/>
  <c r="S24" i="11"/>
  <c r="X24" i="11" s="1"/>
  <c r="V25" i="11"/>
  <c r="U160" i="11"/>
  <c r="S163" i="11"/>
  <c r="X163" i="11" s="1"/>
  <c r="U32" i="11"/>
  <c r="S38" i="11"/>
  <c r="X38" i="11" s="1"/>
  <c r="S82" i="11"/>
  <c r="X82" i="11" s="1"/>
  <c r="U103" i="11"/>
  <c r="S103" i="11"/>
  <c r="V141" i="11"/>
  <c r="S12" i="11"/>
  <c r="X12" i="11" s="1"/>
  <c r="U11" i="11"/>
  <c r="S15" i="11"/>
  <c r="X15" i="11" s="1"/>
  <c r="S49" i="11"/>
  <c r="X49" i="11" s="1"/>
  <c r="S56" i="11"/>
  <c r="X56" i="11" s="1"/>
  <c r="S66" i="11"/>
  <c r="X66" i="11" s="1"/>
  <c r="S71" i="11"/>
  <c r="X71" i="11" s="1"/>
  <c r="S76" i="11"/>
  <c r="X76" i="11" s="1"/>
  <c r="U101" i="11"/>
  <c r="S114" i="11"/>
  <c r="X114" i="11" s="1"/>
  <c r="V125" i="11"/>
  <c r="S118" i="11"/>
  <c r="X118" i="11" s="1"/>
  <c r="U132" i="11"/>
  <c r="S80" i="11"/>
  <c r="X80" i="11" s="1"/>
  <c r="U116" i="11"/>
  <c r="S116" i="11"/>
  <c r="X116" i="11" s="1"/>
  <c r="S141" i="11"/>
  <c r="X141" i="11" s="1"/>
  <c r="S5" i="11"/>
  <c r="X5" i="11" s="1"/>
  <c r="S19" i="11"/>
  <c r="S23" i="11"/>
  <c r="U155" i="11"/>
  <c r="S106" i="11"/>
  <c r="X106" i="11" s="1"/>
  <c r="S120" i="11"/>
  <c r="X120" i="11" s="1"/>
  <c r="S9" i="11"/>
  <c r="X9" i="11" s="1"/>
  <c r="S87" i="11"/>
  <c r="X87" i="11" s="1"/>
  <c r="U97" i="11"/>
  <c r="S97" i="11"/>
  <c r="S112" i="11"/>
  <c r="X112" i="11" s="1"/>
  <c r="U114" i="11"/>
  <c r="U122" i="11"/>
  <c r="S122" i="11"/>
  <c r="S4" i="11"/>
  <c r="X4" i="11" s="1"/>
  <c r="S154" i="11"/>
  <c r="X154" i="11" s="1"/>
  <c r="S36" i="11"/>
  <c r="X36" i="11" s="1"/>
  <c r="S41" i="11"/>
  <c r="X41" i="11" s="1"/>
  <c r="S44" i="11"/>
  <c r="X44" i="11" s="1"/>
  <c r="S48" i="11"/>
  <c r="X48" i="11" s="1"/>
  <c r="T54" i="11"/>
  <c r="S58" i="11"/>
  <c r="X58" i="11" s="1"/>
  <c r="S68" i="11"/>
  <c r="X68" i="11" s="1"/>
  <c r="S73" i="11"/>
  <c r="X73" i="11" s="1"/>
  <c r="S78" i="11"/>
  <c r="X78" i="11" s="1"/>
  <c r="S81" i="11"/>
  <c r="X81" i="11" s="1"/>
  <c r="S92" i="11"/>
  <c r="X92" i="11" s="1"/>
  <c r="S95" i="11"/>
  <c r="X95" i="11" s="1"/>
  <c r="S138" i="11"/>
  <c r="X138" i="11" s="1"/>
  <c r="S22" i="11"/>
  <c r="X22" i="11" s="1"/>
  <c r="U154" i="11"/>
  <c r="U36" i="11"/>
  <c r="U41" i="11"/>
  <c r="U48" i="11"/>
  <c r="S65" i="11"/>
  <c r="X65" i="11" s="1"/>
  <c r="S61" i="11"/>
  <c r="X61" i="11" s="1"/>
  <c r="S165" i="11"/>
  <c r="X165" i="11" s="1"/>
  <c r="S86" i="11"/>
  <c r="X86" i="11" s="1"/>
  <c r="U106" i="11"/>
  <c r="S109" i="11"/>
  <c r="X109" i="11" s="1"/>
  <c r="U120" i="11"/>
  <c r="U140" i="11"/>
  <c r="S140" i="11"/>
  <c r="X140" i="11" s="1"/>
  <c r="S96" i="11"/>
  <c r="X96" i="11" s="1"/>
  <c r="S102" i="11"/>
  <c r="X102" i="11" s="1"/>
  <c r="S110" i="11"/>
  <c r="X110" i="11" s="1"/>
  <c r="S115" i="11"/>
  <c r="X115" i="11" s="1"/>
  <c r="S129" i="11"/>
  <c r="X129" i="11" s="1"/>
  <c r="S121" i="11"/>
  <c r="X121" i="11" s="1"/>
  <c r="S133" i="11"/>
  <c r="X133" i="11" s="1"/>
  <c r="S139" i="11"/>
  <c r="X139" i="11" s="1"/>
  <c r="S145" i="11"/>
  <c r="X145" i="11" s="1"/>
  <c r="T162" i="11" l="1"/>
  <c r="T164" i="11"/>
  <c r="T149" i="11"/>
  <c r="X40" i="11"/>
  <c r="T27" i="11"/>
  <c r="T30" i="11"/>
  <c r="T2" i="11"/>
  <c r="T104" i="11"/>
  <c r="T167" i="11"/>
  <c r="T33" i="11"/>
  <c r="AB162" i="10"/>
  <c r="N162" i="10"/>
  <c r="P162" i="10"/>
  <c r="Q162" i="10"/>
  <c r="O162" i="10"/>
  <c r="T83" i="11"/>
  <c r="T59" i="11"/>
  <c r="T45" i="11"/>
  <c r="T137" i="11"/>
  <c r="T70" i="11"/>
  <c r="X26" i="11"/>
  <c r="T166" i="11"/>
  <c r="X8" i="11"/>
  <c r="T13" i="11"/>
  <c r="T69" i="11"/>
  <c r="T63" i="11"/>
  <c r="T123" i="11"/>
  <c r="X136" i="11"/>
  <c r="T17" i="11"/>
  <c r="T47" i="11"/>
  <c r="T60" i="11"/>
  <c r="T77" i="11"/>
  <c r="T64" i="11"/>
  <c r="T107" i="11"/>
  <c r="T74" i="11"/>
  <c r="T143" i="11"/>
  <c r="T52" i="11"/>
  <c r="T29" i="11"/>
  <c r="T155" i="11"/>
  <c r="T75" i="11"/>
  <c r="T151" i="11"/>
  <c r="T37" i="11"/>
  <c r="T161" i="11"/>
  <c r="T72" i="11"/>
  <c r="T42" i="11"/>
  <c r="T67" i="11"/>
  <c r="X158" i="11"/>
  <c r="T94" i="11"/>
  <c r="T117" i="11"/>
  <c r="T124" i="11"/>
  <c r="T39" i="11"/>
  <c r="T91" i="11"/>
  <c r="T55" i="11"/>
  <c r="T116" i="11"/>
  <c r="T133" i="11"/>
  <c r="T68" i="11"/>
  <c r="T93" i="11"/>
  <c r="T16" i="11"/>
  <c r="T43" i="11"/>
  <c r="T141" i="11"/>
  <c r="T51" i="11"/>
  <c r="T36" i="11"/>
  <c r="T73" i="11"/>
  <c r="T24" i="11"/>
  <c r="T21" i="11"/>
  <c r="T31" i="11"/>
  <c r="T85" i="11"/>
  <c r="T135" i="11"/>
  <c r="T106" i="11"/>
  <c r="T127" i="11"/>
  <c r="T58" i="11"/>
  <c r="T125" i="11"/>
  <c r="T92" i="11"/>
  <c r="T20" i="11"/>
  <c r="T28" i="11"/>
  <c r="T100" i="11"/>
  <c r="T86" i="11"/>
  <c r="T148" i="11"/>
  <c r="T118" i="11"/>
  <c r="T87" i="11"/>
  <c r="T160" i="11"/>
  <c r="T50" i="11"/>
  <c r="T53" i="11"/>
  <c r="T82" i="11"/>
  <c r="T150" i="11"/>
  <c r="X14" i="11"/>
  <c r="T79" i="11"/>
  <c r="X10" i="11"/>
  <c r="T84" i="11"/>
  <c r="X84" i="11"/>
  <c r="T95" i="11"/>
  <c r="T41" i="11"/>
  <c r="T153" i="11"/>
  <c r="T111" i="11"/>
  <c r="X35" i="11"/>
  <c r="T76" i="11"/>
  <c r="T131" i="11"/>
  <c r="T108" i="11"/>
  <c r="T89" i="11"/>
  <c r="T78" i="11"/>
  <c r="T126" i="11"/>
  <c r="X126" i="11"/>
  <c r="T105" i="11"/>
  <c r="T90" i="11"/>
  <c r="T22" i="11"/>
  <c r="T115" i="11"/>
  <c r="T163" i="11"/>
  <c r="T32" i="11"/>
  <c r="T159" i="11"/>
  <c r="T38" i="11"/>
  <c r="T62" i="11"/>
  <c r="T119" i="11"/>
  <c r="T144" i="11"/>
  <c r="T145" i="11"/>
  <c r="T138" i="11"/>
  <c r="T3" i="11"/>
  <c r="X97" i="11"/>
  <c r="T97" i="11"/>
  <c r="T46" i="11"/>
  <c r="T34" i="11"/>
  <c r="T4" i="11"/>
  <c r="T57" i="11"/>
  <c r="T140" i="11"/>
  <c r="T165" i="11"/>
  <c r="T112" i="11"/>
  <c r="T139" i="11"/>
  <c r="T5" i="11"/>
  <c r="T61" i="11"/>
  <c r="T130" i="11"/>
  <c r="T11" i="11"/>
  <c r="T15" i="11"/>
  <c r="T65" i="11"/>
  <c r="T81" i="11"/>
  <c r="T114" i="11"/>
  <c r="T12" i="11"/>
  <c r="T9" i="11"/>
  <c r="T96" i="11"/>
  <c r="T48" i="11"/>
  <c r="T110" i="11"/>
  <c r="T113" i="11"/>
  <c r="T156" i="11"/>
  <c r="T49" i="11"/>
  <c r="T7" i="11"/>
  <c r="T44" i="11"/>
  <c r="T23" i="11"/>
  <c r="X23" i="11"/>
  <c r="T109" i="11"/>
  <c r="X122" i="11"/>
  <c r="T122" i="11"/>
  <c r="T132" i="11"/>
  <c r="T102" i="11"/>
  <c r="T120" i="11"/>
  <c r="X19" i="11"/>
  <c r="T19" i="11"/>
  <c r="T154" i="11"/>
  <c r="T6" i="11"/>
  <c r="T121" i="11"/>
  <c r="T71" i="11"/>
  <c r="X134" i="11"/>
  <c r="T134" i="11"/>
  <c r="T129" i="11"/>
  <c r="T88" i="11"/>
  <c r="T66" i="11"/>
  <c r="X103" i="11"/>
  <c r="T103" i="11"/>
  <c r="T80" i="11"/>
  <c r="T101" i="11"/>
  <c r="T128" i="11"/>
  <c r="T56" i="11"/>
</calcChain>
</file>

<file path=xl/sharedStrings.xml><?xml version="1.0" encoding="utf-8"?>
<sst xmlns="http://schemas.openxmlformats.org/spreadsheetml/2006/main" count="1032" uniqueCount="302">
  <si>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1/9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</si>
  <si>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</si>
  <si>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</si>
  <si>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</si>
  <si>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</si>
  <si>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>Jumlah kertas undi yang patut berada di dalam peti undi 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</si>
  <si>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</si>
  <si>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 xml:space="preserve">Bilangan kertas undi yang ditolak
</t>
    </r>
    <r>
      <rPr>
        <b/>
        <sz val="7"/>
        <rFont val="Arial"/>
        <family val="2"/>
      </rPr>
      <t>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</si>
  <si>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</si>
  <si>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MOHD ISAM BIN MOHD ISA</t>
    </r>
  </si>
  <si>
    <r>
      <rPr>
        <sz val="6"/>
        <rFont val="Arial"/>
        <family val="2"/>
      </rPr>
      <t>USTAZ ZAMANI IBRAHIM</t>
    </r>
  </si>
  <si>
    <r>
      <rPr>
        <sz val="6"/>
        <rFont val="Arial"/>
        <family val="2"/>
      </rPr>
      <t>MEJAR (B) ABDUL HALIM</t>
    </r>
  </si>
  <si>
    <r>
      <rPr>
        <sz val="6"/>
        <rFont val="Arial"/>
        <family val="2"/>
      </rPr>
      <t>FAIZ FADZIL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</si>
  <si>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</si>
  <si>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</si>
  <si>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</si>
  <si>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133/34/00</t>
    </r>
  </si>
  <si>
    <r>
      <rPr>
        <sz val="8"/>
        <rFont val="Arial"/>
        <family val="2"/>
      </rPr>
      <t>RUANG A, DEWAN SERBAGUNA IPD TAMPIN (DUN GEMAS)</t>
    </r>
  </si>
  <si>
    <r>
      <rPr>
        <sz val="8"/>
        <rFont val="Arial"/>
        <family val="2"/>
      </rPr>
      <t>SEKOLAH KEBANGSAAN KEM SYED SIRAJUDDIN (DUN GEMAS)</t>
    </r>
  </si>
  <si>
    <r>
      <rPr>
        <sz val="8"/>
        <rFont val="Arial"/>
        <family val="2"/>
      </rPr>
      <t>UNDI AWAL 133/35/00</t>
    </r>
  </si>
  <si>
    <r>
      <rPr>
        <sz val="8"/>
        <rFont val="Arial"/>
        <family val="2"/>
      </rPr>
      <t>RUANG B, DEWAN SERBAGUNA IPD TAMPIN (DUN GEMENCHEH)</t>
    </r>
  </si>
  <si>
    <r>
      <rPr>
        <sz val="8"/>
        <rFont val="Arial"/>
        <family val="2"/>
      </rPr>
      <t>UNDI AWAL 133/36/00</t>
    </r>
  </si>
  <si>
    <r>
      <rPr>
        <sz val="8"/>
        <rFont val="Arial"/>
        <family val="2"/>
      </rPr>
      <t>RUANG C, SERBAGUNA IPD TAMPIN (DUN REPAH)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</si>
  <si>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2/9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</si>
  <si>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</si>
  <si>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FELDA JELAI 1 &amp; 3 133/34/01</t>
    </r>
  </si>
  <si>
    <r>
      <rPr>
        <sz val="8"/>
        <rFont val="Arial"/>
        <family val="2"/>
      </rPr>
      <t>SEKOLAH KEBANGSAAN JELAI 1</t>
    </r>
  </si>
  <si>
    <r>
      <rPr>
        <sz val="8"/>
        <rFont val="Arial"/>
        <family val="2"/>
      </rPr>
      <t>SEKOLAH KEBANGSAAN JELAI 3 (FELDA )</t>
    </r>
  </si>
  <si>
    <r>
      <rPr>
        <sz val="8"/>
        <rFont val="Arial"/>
        <family val="2"/>
      </rPr>
      <t>PASIR BESAR 133/34/02</t>
    </r>
  </si>
  <si>
    <r>
      <rPr>
        <sz val="8"/>
        <rFont val="Arial"/>
        <family val="2"/>
      </rPr>
      <t>SEKOLAH MENENGAH KEBANGSAAN FELDA PASIR BESAR (FELDA)</t>
    </r>
  </si>
  <si>
    <r>
      <rPr>
        <sz val="8"/>
        <rFont val="Arial"/>
        <family val="2"/>
      </rPr>
      <t>FELDA PASIR BESAR 133/34/03</t>
    </r>
  </si>
  <si>
    <r>
      <rPr>
        <sz val="8"/>
        <rFont val="Arial"/>
        <family val="2"/>
      </rPr>
      <t>SEKOLAH KEBANGSAAN (FELDA) PASIR BESAR</t>
    </r>
  </si>
  <si>
    <r>
      <rPr>
        <sz val="8"/>
        <rFont val="Arial"/>
        <family val="2"/>
      </rPr>
      <t>KAMPONG LADANG 133/34/04</t>
    </r>
  </si>
  <si>
    <r>
      <rPr>
        <sz val="8"/>
        <rFont val="Arial"/>
        <family val="2"/>
      </rPr>
      <t>SEKOLAH KEBANGSAAN KAMPONG LADANG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</si>
  <si>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3/9</t>
    </r>
  </si>
  <si>
    <r>
      <rPr>
        <sz val="8"/>
        <rFont val="Arial"/>
        <family val="2"/>
      </rPr>
      <t>PEKAN GEMAS 133/34/05</t>
    </r>
  </si>
  <si>
    <r>
      <rPr>
        <sz val="8"/>
        <rFont val="Arial"/>
        <family val="2"/>
      </rPr>
      <t>SEKOLAH KEBANGSAAN GEMAS</t>
    </r>
  </si>
  <si>
    <r>
      <rPr>
        <sz val="8"/>
        <rFont val="Arial"/>
        <family val="2"/>
      </rPr>
      <t>TAMAN SENTOSA 133/34/06</t>
    </r>
  </si>
  <si>
    <r>
      <rPr>
        <sz val="8"/>
        <rFont val="Arial"/>
        <family val="2"/>
      </rPr>
      <t>SEKOLAH MENENGAH KEBANGSAAN GEMAS</t>
    </r>
  </si>
  <si>
    <r>
      <rPr>
        <sz val="8"/>
        <rFont val="Arial"/>
        <family val="2"/>
      </rPr>
      <t>SEKOLAH KEBANGSAAN TUANKU ABDUL RAHMAN</t>
    </r>
  </si>
  <si>
    <r>
      <rPr>
        <sz val="8"/>
        <rFont val="Arial"/>
        <family val="2"/>
      </rPr>
      <t>FELDA JELAI 2 &amp; 4 133/34/07</t>
    </r>
  </si>
  <si>
    <r>
      <rPr>
        <sz val="8"/>
        <rFont val="Arial"/>
        <family val="2"/>
      </rPr>
      <t>SEKOLAH KEBANGSAAN JELAI 2 (FELDA)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</si>
  <si>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4/9</t>
    </r>
  </si>
  <si>
    <r>
      <rPr>
        <sz val="8"/>
        <rFont val="Arial"/>
        <family val="2"/>
      </rPr>
      <t>SEKOLAH MENENGAH KEBANGSAAN JELAI (FELDA)</t>
    </r>
  </si>
  <si>
    <r>
      <rPr>
        <sz val="8"/>
        <rFont val="Arial"/>
        <family val="2"/>
      </rPr>
      <t>SUNGAI KELAMAH 133/35/01</t>
    </r>
  </si>
  <si>
    <r>
      <rPr>
        <sz val="8"/>
        <rFont val="Arial"/>
        <family val="2"/>
      </rPr>
      <t>SEKOLAH KEBANGSAAN SUNGAI KELAMAH 'RKTP'</t>
    </r>
  </si>
  <si>
    <r>
      <rPr>
        <sz val="8"/>
        <rFont val="Arial"/>
        <family val="2"/>
      </rPr>
      <t>GEMENCHEH LAMA 133/35/02</t>
    </r>
  </si>
  <si>
    <r>
      <rPr>
        <sz val="8"/>
        <rFont val="Arial"/>
        <family val="2"/>
      </rPr>
      <t>SEKOLAH KEBANGSAAN DATUK ABDULLAH</t>
    </r>
  </si>
  <si>
    <r>
      <rPr>
        <sz val="8"/>
        <rFont val="Arial"/>
        <family val="2"/>
      </rPr>
      <t>GEMENCHEH BAHRU 133/35/03</t>
    </r>
  </si>
  <si>
    <r>
      <rPr>
        <sz val="8"/>
        <rFont val="Arial"/>
        <family val="2"/>
      </rPr>
      <t>SEKOLAH MENENGAH KEBANGSAAN DATO' MOHD TAHA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</si>
  <si>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5/9</t>
    </r>
  </si>
  <si>
    <r>
      <rPr>
        <sz val="8"/>
        <rFont val="Arial"/>
        <family val="2"/>
      </rPr>
      <t>SEKOLAH JENIS KEBANGSAAN (CINA) SIN MIN GEMENCHEH</t>
    </r>
  </si>
  <si>
    <r>
      <rPr>
        <sz val="8"/>
        <rFont val="Arial"/>
        <family val="2"/>
      </rPr>
      <t>KAMPONG BAHRU GEDOK 133/35/04</t>
    </r>
  </si>
  <si>
    <r>
      <rPr>
        <sz val="8"/>
        <rFont val="Arial"/>
        <family val="2"/>
      </rPr>
      <t>SEKOLAH JENIS KEBANGSAAN (CINA) KG. BARU GEDOK</t>
    </r>
  </si>
  <si>
    <r>
      <rPr>
        <sz val="8"/>
        <rFont val="Arial"/>
        <family val="2"/>
      </rPr>
      <t>GEDOK 133/35/05</t>
    </r>
  </si>
  <si>
    <r>
      <rPr>
        <sz val="8"/>
        <rFont val="Arial"/>
        <family val="2"/>
      </rPr>
      <t>SEKOLAH KEBANGSAAN GEDOK</t>
    </r>
  </si>
  <si>
    <r>
      <rPr>
        <sz val="8"/>
        <rFont val="Arial"/>
        <family val="2"/>
      </rPr>
      <t>AYER KUNING SELATAN 133/35/06</t>
    </r>
  </si>
  <si>
    <r>
      <rPr>
        <sz val="8"/>
        <rFont val="Arial"/>
        <family val="2"/>
      </rPr>
      <t>SEKOLAH JENIS KEBANGSAAN (CINA) AIR KUNING SELATAN</t>
    </r>
  </si>
  <si>
    <r>
      <rPr>
        <sz val="8"/>
        <rFont val="Arial"/>
        <family val="2"/>
      </rPr>
      <t>BUKIT JALOR 133/35/07</t>
    </r>
  </si>
  <si>
    <r>
      <rPr>
        <sz val="8"/>
        <rFont val="Arial"/>
        <family val="2"/>
      </rPr>
      <t>SEKOLAH KEBANGSAAN (FELDA) BUKIT JALOR</t>
    </r>
  </si>
  <si>
    <r>
      <rPr>
        <sz val="8"/>
        <rFont val="Arial"/>
        <family val="2"/>
      </rPr>
      <t>KAMPONG TENGAH 133/35/08</t>
    </r>
  </si>
  <si>
    <r>
      <rPr>
        <sz val="8"/>
        <rFont val="Arial"/>
        <family val="2"/>
      </rPr>
      <t>SEKOLAH KEBANGSAAN AIR KUNING SELATAN</t>
    </r>
  </si>
  <si>
    <r>
      <rPr>
        <sz val="8"/>
        <rFont val="Arial"/>
        <family val="2"/>
      </rPr>
      <t>KAMPUNG MANTAI 133/35/09</t>
    </r>
  </si>
  <si>
    <r>
      <rPr>
        <sz val="8"/>
        <rFont val="Arial"/>
        <family val="2"/>
      </rPr>
      <t>BALAI RAYA KAMPUNG MANTAI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</si>
  <si>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6/9</t>
    </r>
  </si>
  <si>
    <r>
      <rPr>
        <sz val="8"/>
        <rFont val="Arial"/>
        <family val="2"/>
      </rPr>
      <t>LADANG REGENT 133/35/10</t>
    </r>
  </si>
  <si>
    <r>
      <rPr>
        <sz val="8"/>
        <rFont val="Arial"/>
        <family val="2"/>
      </rPr>
      <t>SEKOLAH JENIS KEBANGSAAN (TAMIL) LADANG REGENT</t>
    </r>
  </si>
  <si>
    <r>
      <rPr>
        <sz val="8"/>
        <rFont val="Arial"/>
        <family val="2"/>
      </rPr>
      <t>PEKAN BATANG MELAKA 133/35/11</t>
    </r>
  </si>
  <si>
    <r>
      <rPr>
        <sz val="8"/>
        <rFont val="Arial"/>
        <family val="2"/>
      </rPr>
      <t>BALAI RAYA KAMPONG PUNGGOR BATANG MELAKA</t>
    </r>
  </si>
  <si>
    <r>
      <rPr>
        <sz val="8"/>
        <rFont val="Arial"/>
        <family val="2"/>
      </rPr>
      <t>BUKIT ROKAN UTARA 133/35/12</t>
    </r>
  </si>
  <si>
    <r>
      <rPr>
        <sz val="8"/>
        <rFont val="Arial"/>
        <family val="2"/>
      </rPr>
      <t>SEKOLAH KEBANGSAAN BUKIT ROKAN UTARA</t>
    </r>
  </si>
  <si>
    <r>
      <rPr>
        <sz val="8"/>
        <rFont val="Arial"/>
        <family val="2"/>
      </rPr>
      <t>BUKIT ROKAN 133/35/13</t>
    </r>
  </si>
  <si>
    <r>
      <rPr>
        <sz val="8"/>
        <rFont val="Arial"/>
        <family val="2"/>
      </rPr>
      <t>SEKOLAH KEBANGSAAN BUKIT ROKAN (LKTP)</t>
    </r>
  </si>
  <si>
    <r>
      <rPr>
        <sz val="8"/>
        <rFont val="Arial"/>
        <family val="2"/>
      </rPr>
      <t>KAMPONG ROKAN 133/35/14</t>
    </r>
  </si>
  <si>
    <r>
      <rPr>
        <sz val="8"/>
        <rFont val="Arial"/>
        <family val="2"/>
      </rPr>
      <t>SEKOLAH KEBANGSAAN ROKAN</t>
    </r>
  </si>
  <si>
    <r>
      <rPr>
        <sz val="8"/>
        <rFont val="Arial"/>
        <family val="2"/>
      </rPr>
      <t>KAMPONG SUNGAI JERNEH 133/35/15</t>
    </r>
  </si>
  <si>
    <r>
      <rPr>
        <sz val="8"/>
        <rFont val="Arial"/>
        <family val="2"/>
      </rPr>
      <t>SEKOLAH KEBANGSAAN SUNGAI JERNEH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</si>
  <si>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7/9</t>
    </r>
  </si>
  <si>
    <r>
      <rPr>
        <sz val="8"/>
        <rFont val="Arial"/>
        <family val="2"/>
      </rPr>
      <t>REPAH 133/36/01</t>
    </r>
  </si>
  <si>
    <r>
      <rPr>
        <sz val="8"/>
        <rFont val="Arial"/>
        <family val="2"/>
      </rPr>
      <t>SEKOLAH MENENGAH AGAMA REPAH</t>
    </r>
  </si>
  <si>
    <r>
      <rPr>
        <sz val="8"/>
        <rFont val="Arial"/>
        <family val="2"/>
      </rPr>
      <t>SEKOLAH JENIS KEBANGSAAN (TAMIL) LADANG REPAH</t>
    </r>
  </si>
  <si>
    <r>
      <rPr>
        <sz val="8"/>
        <rFont val="Arial"/>
        <family val="2"/>
      </rPr>
      <t>KAMPONG BAHRU TAMPIN 133/36/02</t>
    </r>
  </si>
  <si>
    <r>
      <rPr>
        <sz val="8"/>
        <rFont val="Arial"/>
        <family val="2"/>
      </rPr>
      <t>SEKOLAH JENIS KEBANGSAAN (CINA) KG. BARU TAMPIN</t>
    </r>
  </si>
  <si>
    <r>
      <rPr>
        <sz val="8"/>
        <rFont val="Arial"/>
        <family val="2"/>
      </rPr>
      <t>PEKAN TAMPIN 133/36/03</t>
    </r>
  </si>
  <si>
    <r>
      <rPr>
        <sz val="8"/>
        <rFont val="Arial"/>
        <family val="2"/>
      </rPr>
      <t>SEKOLAH JENIS KEBANGSAAN (TAMIL) TAMPIN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</si>
  <si>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8/9</t>
    </r>
  </si>
  <si>
    <r>
      <rPr>
        <sz val="8"/>
        <rFont val="Arial"/>
        <family val="2"/>
      </rPr>
      <t>KAMPONG BATU BELANG 133/36/04</t>
    </r>
  </si>
  <si>
    <r>
      <rPr>
        <sz val="8"/>
        <rFont val="Arial"/>
        <family val="2"/>
      </rPr>
      <t>SEKOLAH MENENGAH KEBANGSAAN TAMAN INDAH</t>
    </r>
  </si>
  <si>
    <r>
      <rPr>
        <sz val="8"/>
        <rFont val="Arial"/>
        <family val="2"/>
      </rPr>
      <t>SEKOLAH KEBANGSAAN DR. SULAIMAN</t>
    </r>
  </si>
  <si>
    <r>
      <rPr>
        <sz val="8"/>
        <rFont val="Arial"/>
        <family val="2"/>
      </rPr>
      <t>KERU 133/36/05</t>
    </r>
  </si>
  <si>
    <r>
      <rPr>
        <sz val="8"/>
        <rFont val="Arial"/>
        <family val="2"/>
      </rPr>
      <t>SEKOLAH KEBANGSAAN KERU</t>
    </r>
  </si>
  <si>
    <r>
      <rPr>
        <sz val="8"/>
        <rFont val="Arial"/>
        <family val="2"/>
      </rPr>
      <t>TEBONG 133/36/06</t>
    </r>
  </si>
  <si>
    <r>
      <rPr>
        <sz val="8"/>
        <rFont val="Arial"/>
        <family val="2"/>
      </rPr>
      <t>SEKOLAH KEBANGSAAN TUNKU SYED SYAABAN</t>
    </r>
  </si>
  <si>
    <r>
      <rPr>
        <sz val="8"/>
        <rFont val="Arial"/>
        <family val="2"/>
      </rPr>
      <t>KAMPONG ASAHAN 133/36/07</t>
    </r>
  </si>
  <si>
    <r>
      <rPr>
        <sz val="8"/>
        <rFont val="Arial"/>
        <family val="2"/>
      </rPr>
      <t>MAAHAD AHMADI GEMENCHEH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</si>
  <si>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P.133 TAMPIN
</t>
    </r>
    <r>
      <rPr>
        <b/>
        <sz val="10"/>
        <rFont val="Arial"/>
        <family val="2"/>
      </rPr>
      <t>JUMLAH PEMILIH: 81,099                                                                                                                                                                                                 MUKASURAT: 9/9</t>
    </r>
  </si>
  <si>
    <r>
      <rPr>
        <sz val="8"/>
        <rFont val="Arial"/>
        <family val="2"/>
      </rPr>
      <t>TAMAN INDAH 133/36/08</t>
    </r>
  </si>
  <si>
    <r>
      <rPr>
        <sz val="8"/>
        <rFont val="Arial"/>
        <family val="2"/>
      </rPr>
      <t>SEKOLAH KEBANGSAAN TENGKU ZAINUN</t>
    </r>
  </si>
  <si>
    <r>
      <rPr>
        <sz val="8"/>
        <rFont val="Arial"/>
        <family val="2"/>
      </rPr>
      <t>SEKOLAH KEBANGSAAN TUNGKU BESAR TAMPIN</t>
    </r>
  </si>
  <si>
    <r>
      <rPr>
        <b/>
        <sz val="12"/>
        <rFont val="Arial"/>
        <family val="2"/>
      </rPr>
      <t>JUMLAH</t>
    </r>
  </si>
  <si>
    <t>BN</t>
  </si>
  <si>
    <t>PEJUANG</t>
  </si>
  <si>
    <t>PN</t>
  </si>
  <si>
    <t>PH</t>
  </si>
  <si>
    <t>Bil</t>
  </si>
  <si>
    <t>Nama Pusat Mengundi</t>
  </si>
  <si>
    <t>Jumlah undian oleh pemilih</t>
  </si>
  <si>
    <t>UNDI POS</t>
  </si>
  <si>
    <t>UNDI AWAL 133/34/00</t>
  </si>
  <si>
    <t>RUANG A, DEWAN SERBAGUNA IPD TAMPIN (DUN GEMAS)</t>
  </si>
  <si>
    <t>SEKOLAH KEBANGSAAN KEM SYED SIRAJUDDIN (DUN GEMAS)</t>
  </si>
  <si>
    <t>UNDI AWAL 133/35/00</t>
  </si>
  <si>
    <t>RUANG B, DEWAN SERBAGUNA IPD TAMPIN (DUN GEMENCHEH)</t>
  </si>
  <si>
    <t>UNDI AWAL 133/36/00</t>
  </si>
  <si>
    <t>RUANG C, SERBAGUNA IPD TAMPIN (DUN REPAH)</t>
  </si>
  <si>
    <t>Nama &amp; Kod DM</t>
  </si>
  <si>
    <t>Saluran</t>
  </si>
  <si>
    <t>Jumlah kertas undi dikeluarkan</t>
  </si>
  <si>
    <t>Bilangan kertas undi yang ditolak (C)</t>
  </si>
  <si>
    <t>Undi Tidak Dimasukkan</t>
  </si>
  <si>
    <t>FELDA JELAI 1 &amp; 3 133/34/01</t>
  </si>
  <si>
    <t>SEKOLAH KEBANGSAAN JELAI 1</t>
  </si>
  <si>
    <t>SEKOLAH KEBANGSAAN JELAI 3 (FELDA )</t>
  </si>
  <si>
    <t>PASIR BESAR 133/34/02</t>
  </si>
  <si>
    <t>SEKOLAH MENENGAH KEBANGSAAN FELDA PASIR BESAR (FELDA)</t>
  </si>
  <si>
    <t>FELDA PASIR BESAR 133/34/03</t>
  </si>
  <si>
    <t>SEKOLAH KEBANGSAAN (FELDA) PASIR BESAR</t>
  </si>
  <si>
    <t>KAMPONG LADANG 133/34/04</t>
  </si>
  <si>
    <t>SEKOLAH KEBANGSAAN KAMPONG LADANG</t>
  </si>
  <si>
    <t>PEKAN GEMAS 133/34/05</t>
  </si>
  <si>
    <t>SEKOLAH KEBANGSAAN GEMAS</t>
  </si>
  <si>
    <t>TAMAN SENTOSA 133/34/06</t>
  </si>
  <si>
    <t>SEKOLAH MENENGAH KEBANGSAAN GEMAS</t>
  </si>
  <si>
    <t>SEKOLAH KEBANGSAAN TUANKU ABDUL RAHMAN</t>
  </si>
  <si>
    <t>FELDA JELAI 2 &amp; 4 133/34/07</t>
  </si>
  <si>
    <t>SEKOLAH KEBANGSAAN JELAI 2 (FELDA)</t>
  </si>
  <si>
    <t>SEKOLAH MENENGAH KEBANGSAAN JELAI (FELDA)</t>
  </si>
  <si>
    <t>SUNGAI KELAMAH 133/35/01</t>
  </si>
  <si>
    <t>SEKOLAH KEBANGSAAN SUNGAI KELAMAH 'RKTP'</t>
  </si>
  <si>
    <t>GEMENCHEH LAMA 133/35/02</t>
  </si>
  <si>
    <t>SEKOLAH KEBANGSAAN DATUK ABDULLAH</t>
  </si>
  <si>
    <t>GEMENCHEH BAHRU 133/35/03</t>
  </si>
  <si>
    <t>SEKOLAH MENENGAH KEBANGSAAN DATO' MOHD TAHA</t>
  </si>
  <si>
    <t>SEKOLAH JENIS KEBANGSAAN (CINA) SIN MIN GEMENCHEH</t>
  </si>
  <si>
    <t>KAMPONG BAHRU GEDOK 133/35/04</t>
  </si>
  <si>
    <t>SEKOLAH JENIS KEBANGSAAN (CINA) KG. BARU GEDOK</t>
  </si>
  <si>
    <t>GEDOK 133/35/05</t>
  </si>
  <si>
    <t>SEKOLAH KEBANGSAAN GEDOK</t>
  </si>
  <si>
    <t>AYER KUNING SELATAN 133/35/06</t>
  </si>
  <si>
    <t>SEKOLAH JENIS KEBANGSAAN (CINA) AIR KUNING SELATAN</t>
  </si>
  <si>
    <t>BUKIT JALOR 133/35/07</t>
  </si>
  <si>
    <t>SEKOLAH KEBANGSAAN (FELDA) BUKIT JALOR</t>
  </si>
  <si>
    <t>KAMPONG TENGAH 133/35/08</t>
  </si>
  <si>
    <t>SEKOLAH KEBANGSAAN AIR KUNING SELATAN</t>
  </si>
  <si>
    <t>KAMPUNG MANTAI 133/35/09</t>
  </si>
  <si>
    <t>BALAI RAYA KAMPUNG MANTAI</t>
  </si>
  <si>
    <t>LADANG REGENT 133/35/10</t>
  </si>
  <si>
    <t>SEKOLAH JENIS KEBANGSAAN (TAMIL) LADANG REGENT</t>
  </si>
  <si>
    <t>PEKAN BATANG MELAKA 133/35/11</t>
  </si>
  <si>
    <t>BALAI RAYA KAMPONG PUNGGOR BATANG MELAKA</t>
  </si>
  <si>
    <t>BUKIT ROKAN UTARA 133/35/12</t>
  </si>
  <si>
    <t>SEKOLAH KEBANGSAAN BUKIT ROKAN UTARA</t>
  </si>
  <si>
    <t>BUKIT ROKAN 133/35/13</t>
  </si>
  <si>
    <t>SEKOLAH KEBANGSAAN BUKIT ROKAN (LKTP)</t>
  </si>
  <si>
    <t>KAMPONG ROKAN 133/35/14</t>
  </si>
  <si>
    <t>SEKOLAH KEBANGSAAN ROKAN</t>
  </si>
  <si>
    <t>KAMPONG SUNGAI JERNEH 133/35/15</t>
  </si>
  <si>
    <t>SEKOLAH KEBANGSAAN SUNGAI JERNEH</t>
  </si>
  <si>
    <t>REPAH 133/36/01</t>
  </si>
  <si>
    <t>SEKOLAH MENENGAH AGAMA REPAH</t>
  </si>
  <si>
    <t>SEKOLAH JENIS KEBANGSAAN (TAMIL) LADANG REPAH</t>
  </si>
  <si>
    <t>KAMPONG BAHRU TAMPIN 133/36/02</t>
  </si>
  <si>
    <t>SEKOLAH JENIS KEBANGSAAN (CINA) KG. BARU TAMPIN</t>
  </si>
  <si>
    <t>PEKAN TAMPIN 133/36/03</t>
  </si>
  <si>
    <t>SEKOLAH JENIS KEBANGSAAN (TAMIL) TAMPIN</t>
  </si>
  <si>
    <t>KAMPONG BATU BELANG 133/36/04</t>
  </si>
  <si>
    <t>SEKOLAH MENENGAH KEBANGSAAN TAMAN INDAH</t>
  </si>
  <si>
    <t>SEKOLAH KEBANGSAAN DR. SULAIMAN</t>
  </si>
  <si>
    <t>KERU 133/36/05</t>
  </si>
  <si>
    <t>SEKOLAH KEBANGSAAN KERU</t>
  </si>
  <si>
    <t>TEBONG 133/36/06</t>
  </si>
  <si>
    <t>SEKOLAH KEBANGSAAN TUNKU SYED SYAABAN</t>
  </si>
  <si>
    <t>KAMPONG ASAHAN 133/36/07</t>
  </si>
  <si>
    <t>MAAHAD AHMADI GEMENCHEH</t>
  </si>
  <si>
    <t>TAMAN INDAH 133/36/08</t>
  </si>
  <si>
    <t>SEKOLAH KEBANGSAAN TENGKU ZAINUN</t>
  </si>
  <si>
    <t>SEKOLAH KEBANGSAAN TUNGKU BESAR TAMPIN</t>
  </si>
  <si>
    <t>JUMLAH</t>
  </si>
  <si>
    <t>Jumlah Undi</t>
  </si>
  <si>
    <t>PH%</t>
  </si>
  <si>
    <t>PN%</t>
  </si>
  <si>
    <t>BN%</t>
  </si>
  <si>
    <t>PEJUANG%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</si>
  <si>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</si>
  <si>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</si>
  <si>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</si>
  <si>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</si>
  <si>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</si>
  <si>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</si>
  <si>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</si>
  <si>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</si>
  <si>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</si>
  <si>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</si>
  <si>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</si>
  <si>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</si>
  <si>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</si>
  <si>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</si>
  <si>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</si>
  <si>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1333401</t>
  </si>
  <si>
    <t>FELDA JELAI 1 &amp; 3</t>
  </si>
  <si>
    <t>133_TAMPIN</t>
  </si>
  <si>
    <t>1333402</t>
  </si>
  <si>
    <t>PASIR BESAR</t>
  </si>
  <si>
    <t>1333403</t>
  </si>
  <si>
    <t>FELDA PASIR BESAR</t>
  </si>
  <si>
    <t>1333404</t>
  </si>
  <si>
    <t>KAMPONG LADANG</t>
  </si>
  <si>
    <t>1333405</t>
  </si>
  <si>
    <t>PEKAN GEMAS</t>
  </si>
  <si>
    <t>1333406</t>
  </si>
  <si>
    <t>TAMAN SENTOSA</t>
  </si>
  <si>
    <t>1333407</t>
  </si>
  <si>
    <t>FELDA JELAI 2 &amp; 4</t>
  </si>
  <si>
    <t>1333501</t>
  </si>
  <si>
    <t>SUNGAI KELAMAH</t>
  </si>
  <si>
    <t>1333502</t>
  </si>
  <si>
    <t>GEMENCHEH LAMA</t>
  </si>
  <si>
    <t>1333503</t>
  </si>
  <si>
    <t>GEMENCHEH BAHRU</t>
  </si>
  <si>
    <t>POS</t>
  </si>
  <si>
    <t>1333504</t>
  </si>
  <si>
    <t>KAMPONG BAHRU GEDOK</t>
  </si>
  <si>
    <t>1333505</t>
  </si>
  <si>
    <t>GEDOK</t>
  </si>
  <si>
    <t>1333506</t>
  </si>
  <si>
    <t>AYER KUNING SELATAN</t>
  </si>
  <si>
    <t>1333507</t>
  </si>
  <si>
    <t>BUKIT JALOR</t>
  </si>
  <si>
    <t>1333508</t>
  </si>
  <si>
    <t>KAMPONG TENGAH</t>
  </si>
  <si>
    <t>1333509</t>
  </si>
  <si>
    <t>KAMPUNG MANTAI</t>
  </si>
  <si>
    <t>1333510</t>
  </si>
  <si>
    <t>LADANG REGENT</t>
  </si>
  <si>
    <t>1333511</t>
  </si>
  <si>
    <t>PEKAN BATANG MELAKA</t>
  </si>
  <si>
    <t>1333512</t>
  </si>
  <si>
    <t>BUKIT ROKAN UTARA</t>
  </si>
  <si>
    <t>1333513</t>
  </si>
  <si>
    <t>BUKIT ROKAN</t>
  </si>
  <si>
    <t>1333514</t>
  </si>
  <si>
    <t>KAMPONG ROKAN</t>
  </si>
  <si>
    <t>1333515</t>
  </si>
  <si>
    <t>KAMPONG SUNGAI JERNEH</t>
  </si>
  <si>
    <t>1333601</t>
  </si>
  <si>
    <t>REPAH</t>
  </si>
  <si>
    <t>1333602</t>
  </si>
  <si>
    <t>KAMPONG BAHRU TAMPIN</t>
  </si>
  <si>
    <t>1333603</t>
  </si>
  <si>
    <t>PEKAN TAMPIN</t>
  </si>
  <si>
    <t>1333604</t>
  </si>
  <si>
    <t>KAMPONG BATU BELANG</t>
  </si>
  <si>
    <t>1333605</t>
  </si>
  <si>
    <t>KERU</t>
  </si>
  <si>
    <t>1333606</t>
  </si>
  <si>
    <t>TEBONG</t>
  </si>
  <si>
    <t>1333607</t>
  </si>
  <si>
    <t>KAMPONG ASAHAN</t>
  </si>
  <si>
    <t>1333608</t>
  </si>
  <si>
    <t>TAMAN INDAH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</si>
  <si>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</si>
  <si>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</si>
  <si>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</si>
  <si>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</si>
  <si>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</si>
  <si>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</si>
  <si>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</si>
  <si>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</si>
  <si>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</si>
  <si>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</si>
  <si>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</si>
  <si>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PN Malay</t>
  </si>
  <si>
    <t>BN Malay</t>
  </si>
  <si>
    <t>PH Malay</t>
  </si>
  <si>
    <t>PH Chinese</t>
  </si>
  <si>
    <t>BN Chinese</t>
  </si>
  <si>
    <t>PH Indian</t>
  </si>
  <si>
    <t>&gt;100%</t>
  </si>
  <si>
    <t>Turnout%</t>
  </si>
  <si>
    <t>UNDI AWAL</t>
  </si>
  <si>
    <t>N34</t>
  </si>
  <si>
    <t>Gemas</t>
  </si>
  <si>
    <t>N35</t>
  </si>
  <si>
    <t>Gemencheh</t>
  </si>
  <si>
    <t>N36</t>
  </si>
  <si>
    <t>Repah</t>
  </si>
  <si>
    <t>Turnout Malay%</t>
  </si>
  <si>
    <t>Turnout Chinese%</t>
  </si>
  <si>
    <t>Turnout Indian%</t>
  </si>
  <si>
    <t>PH Malay%</t>
  </si>
  <si>
    <t>PH Chinese%</t>
  </si>
  <si>
    <t>PH Indian%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</si>
</sst>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1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right" vertical="top" indent="4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4" fontId="0" fillId="0" borderId="8" xfId="1" applyNumberFormat="1" applyFont="1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9" fontId="0" fillId="3" borderId="0" xfId="1" applyFont="1" applyFill="1" applyAlignment="1">
      <alignment horizontal="left" vertical="top"/>
    </xf>
    <xf numFmtId="164" fontId="0" fillId="3" borderId="0" xfId="1" applyNumberFormat="1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4" borderId="0" xfId="0" applyFill="1" applyAlignment="1">
      <alignment horizontal="left" vertical="top"/>
    </xf>
    <xf numFmtId="0" fontId="11" fillId="0" borderId="8" xfId="0" applyFont="1" applyBorder="1"/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2"/>
    </xf>
    <xf numFmtId="0" fontId="6" fillId="2" borderId="3" xfId="0" applyFont="1" applyFill="1" applyBorder="1" applyAlignment="1">
      <alignment horizontal="left" vertical="top" wrapText="1" indent="12"/>
    </xf>
    <xf numFmtId="0" fontId="6" fillId="2" borderId="4" xfId="0" applyFont="1" applyFill="1" applyBorder="1" applyAlignment="1">
      <alignment horizontal="left" vertical="top" wrapText="1" indent="12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top" wrapText="1" indent="11"/>
    </xf>
    <xf numFmtId="0" fontId="6" fillId="2" borderId="3" xfId="0" applyFont="1" applyFill="1" applyBorder="1" applyAlignment="1">
      <alignment horizontal="left" vertical="top" wrapText="1" indent="11"/>
    </xf>
    <xf numFmtId="0" fontId="6" fillId="2" borderId="4" xfId="0" applyFont="1" applyFill="1" applyBorder="1" applyAlignment="1">
      <alignment horizontal="left" vertical="top" wrapText="1" indent="1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3"/>
    </xf>
    <xf numFmtId="0" fontId="4" fillId="0" borderId="7" xfId="0" applyFont="1" applyBorder="1" applyAlignment="1">
      <alignment horizontal="left" vertical="top" wrapText="1" indent="3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770778652668415E-2"/>
                  <c:y val="-0.47175233304170311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RaceWorksheet!$J$2:$J$145</c:f>
              <c:numCache>
                <c:formatCode>0.0%</c:formatCode>
                <c:ptCount val="144"/>
                <c:pt idx="0">
                  <c:v>0.94222222222222218</c:v>
                </c:pt>
                <c:pt idx="1">
                  <c:v>0.94888888888888889</c:v>
                </c:pt>
                <c:pt idx="2">
                  <c:v>0.9913419913419913</c:v>
                </c:pt>
                <c:pt idx="3">
                  <c:v>0.98270893371757928</c:v>
                </c:pt>
                <c:pt idx="4">
                  <c:v>0.99111111111111116</c:v>
                </c:pt>
                <c:pt idx="5">
                  <c:v>0.98888888888888893</c:v>
                </c:pt>
                <c:pt idx="6">
                  <c:v>0.99839999999999995</c:v>
                </c:pt>
                <c:pt idx="7">
                  <c:v>1</c:v>
                </c:pt>
                <c:pt idx="8">
                  <c:v>1</c:v>
                </c:pt>
                <c:pt idx="9">
                  <c:v>0.97777777777777775</c:v>
                </c:pt>
                <c:pt idx="10">
                  <c:v>0.99361702127659579</c:v>
                </c:pt>
                <c:pt idx="11">
                  <c:v>0.98666666666666669</c:v>
                </c:pt>
                <c:pt idx="12">
                  <c:v>0.99333333333333329</c:v>
                </c:pt>
                <c:pt idx="13">
                  <c:v>1</c:v>
                </c:pt>
                <c:pt idx="14">
                  <c:v>0.99853587115666176</c:v>
                </c:pt>
                <c:pt idx="15">
                  <c:v>0.98750000000000004</c:v>
                </c:pt>
                <c:pt idx="16">
                  <c:v>0.99612403100775193</c:v>
                </c:pt>
                <c:pt idx="17">
                  <c:v>0.99612403100775193</c:v>
                </c:pt>
                <c:pt idx="18">
                  <c:v>0.99806576402321079</c:v>
                </c:pt>
                <c:pt idx="19">
                  <c:v>0.20222222222222222</c:v>
                </c:pt>
                <c:pt idx="20">
                  <c:v>0.2088888888888889</c:v>
                </c:pt>
                <c:pt idx="21">
                  <c:v>0.32222222222222224</c:v>
                </c:pt>
                <c:pt idx="22">
                  <c:v>0.31475409836065577</c:v>
                </c:pt>
                <c:pt idx="23">
                  <c:v>0.36721311475409835</c:v>
                </c:pt>
                <c:pt idx="24">
                  <c:v>0.45588235294117646</c:v>
                </c:pt>
                <c:pt idx="25">
                  <c:v>0.63500000000000001</c:v>
                </c:pt>
                <c:pt idx="26">
                  <c:v>0.57040572792362765</c:v>
                </c:pt>
                <c:pt idx="27">
                  <c:v>0.70883054892601427</c:v>
                </c:pt>
                <c:pt idx="28">
                  <c:v>0.66444444444444439</c:v>
                </c:pt>
                <c:pt idx="29">
                  <c:v>0.69111111111111112</c:v>
                </c:pt>
                <c:pt idx="30">
                  <c:v>0.70076335877862594</c:v>
                </c:pt>
                <c:pt idx="31">
                  <c:v>0.72977099236641219</c:v>
                </c:pt>
                <c:pt idx="32">
                  <c:v>0.77557251908396951</c:v>
                </c:pt>
                <c:pt idx="33">
                  <c:v>0.70381679389312979</c:v>
                </c:pt>
                <c:pt idx="34">
                  <c:v>0.70992366412213737</c:v>
                </c:pt>
                <c:pt idx="35">
                  <c:v>0.99777777777777776</c:v>
                </c:pt>
                <c:pt idx="36">
                  <c:v>0.99555555555555553</c:v>
                </c:pt>
                <c:pt idx="37">
                  <c:v>0.99714285714285711</c:v>
                </c:pt>
                <c:pt idx="38">
                  <c:v>1</c:v>
                </c:pt>
                <c:pt idx="39">
                  <c:v>1</c:v>
                </c:pt>
                <c:pt idx="40">
                  <c:v>0.99555555555555553</c:v>
                </c:pt>
                <c:pt idx="41">
                  <c:v>0.99111111111111116</c:v>
                </c:pt>
                <c:pt idx="42">
                  <c:v>0.99496644295302017</c:v>
                </c:pt>
                <c:pt idx="43">
                  <c:v>1</c:v>
                </c:pt>
                <c:pt idx="44">
                  <c:v>1</c:v>
                </c:pt>
                <c:pt idx="45">
                  <c:v>0.91555555555555557</c:v>
                </c:pt>
                <c:pt idx="46">
                  <c:v>0.95320623916811087</c:v>
                </c:pt>
                <c:pt idx="47">
                  <c:v>0.95320623916811087</c:v>
                </c:pt>
                <c:pt idx="48">
                  <c:v>0.94982698961937717</c:v>
                </c:pt>
                <c:pt idx="49">
                  <c:v>0.52888888888888885</c:v>
                </c:pt>
                <c:pt idx="50">
                  <c:v>0.6333333333333333</c:v>
                </c:pt>
                <c:pt idx="51">
                  <c:v>0.58382642998027612</c:v>
                </c:pt>
                <c:pt idx="52">
                  <c:v>0.58382642998027612</c:v>
                </c:pt>
                <c:pt idx="53">
                  <c:v>0.61417322834645671</c:v>
                </c:pt>
                <c:pt idx="54">
                  <c:v>0.54222222222222227</c:v>
                </c:pt>
                <c:pt idx="55">
                  <c:v>0.3935483870967742</c:v>
                </c:pt>
                <c:pt idx="56">
                  <c:v>0.44193548387096776</c:v>
                </c:pt>
                <c:pt idx="57">
                  <c:v>0.51768488745980712</c:v>
                </c:pt>
                <c:pt idx="58">
                  <c:v>0.12888888888888889</c:v>
                </c:pt>
                <c:pt idx="59">
                  <c:v>0.16444444444444445</c:v>
                </c:pt>
                <c:pt idx="60">
                  <c:v>0.15094339622641509</c:v>
                </c:pt>
                <c:pt idx="61">
                  <c:v>0.22955974842767296</c:v>
                </c:pt>
                <c:pt idx="62">
                  <c:v>0.28773584905660377</c:v>
                </c:pt>
                <c:pt idx="63">
                  <c:v>0.330188679245283</c:v>
                </c:pt>
                <c:pt idx="64">
                  <c:v>5.7142857142857143E-3</c:v>
                </c:pt>
                <c:pt idx="65">
                  <c:v>3.4090909090909088E-2</c:v>
                </c:pt>
                <c:pt idx="66">
                  <c:v>0.88666666666666671</c:v>
                </c:pt>
                <c:pt idx="67">
                  <c:v>0.93764988009592332</c:v>
                </c:pt>
                <c:pt idx="68">
                  <c:v>0.97846889952153115</c:v>
                </c:pt>
                <c:pt idx="69">
                  <c:v>0.16888888888888889</c:v>
                </c:pt>
                <c:pt idx="70">
                  <c:v>0.2688888888888889</c:v>
                </c:pt>
                <c:pt idx="71">
                  <c:v>0.28268551236749118</c:v>
                </c:pt>
                <c:pt idx="72">
                  <c:v>0.34744268077601409</c:v>
                </c:pt>
                <c:pt idx="73">
                  <c:v>0.99555555555555553</c:v>
                </c:pt>
                <c:pt idx="74">
                  <c:v>0.99281609195402298</c:v>
                </c:pt>
                <c:pt idx="75">
                  <c:v>1</c:v>
                </c:pt>
                <c:pt idx="76">
                  <c:v>0.72571428571428576</c:v>
                </c:pt>
                <c:pt idx="77">
                  <c:v>0.8321513002364066</c:v>
                </c:pt>
                <c:pt idx="78">
                  <c:v>0.50609756097560976</c:v>
                </c:pt>
                <c:pt idx="79">
                  <c:v>6.623931623931624E-2</c:v>
                </c:pt>
                <c:pt idx="80">
                  <c:v>0.22865853658536586</c:v>
                </c:pt>
                <c:pt idx="81">
                  <c:v>0.85499999999999998</c:v>
                </c:pt>
                <c:pt idx="82">
                  <c:v>0.90749999999999997</c:v>
                </c:pt>
                <c:pt idx="83">
                  <c:v>0.90211132437619956</c:v>
                </c:pt>
                <c:pt idx="84">
                  <c:v>0.95777351247600773</c:v>
                </c:pt>
                <c:pt idx="85">
                  <c:v>0.9254302103250478</c:v>
                </c:pt>
                <c:pt idx="86">
                  <c:v>0.76444444444444448</c:v>
                </c:pt>
                <c:pt idx="87">
                  <c:v>0.77555555555555555</c:v>
                </c:pt>
                <c:pt idx="88">
                  <c:v>0.85</c:v>
                </c:pt>
                <c:pt idx="89">
                  <c:v>0.84482758620689657</c:v>
                </c:pt>
                <c:pt idx="90">
                  <c:v>0.82817869415807566</c:v>
                </c:pt>
                <c:pt idx="91">
                  <c:v>0.98</c:v>
                </c:pt>
                <c:pt idx="92">
                  <c:v>0.98379629629629628</c:v>
                </c:pt>
                <c:pt idx="93">
                  <c:v>0.98614318706697457</c:v>
                </c:pt>
                <c:pt idx="94">
                  <c:v>0.71750000000000003</c:v>
                </c:pt>
                <c:pt idx="95">
                  <c:v>0.89051094890510951</c:v>
                </c:pt>
                <c:pt idx="96">
                  <c:v>0.95388349514563109</c:v>
                </c:pt>
                <c:pt idx="97">
                  <c:v>0.60444444444444445</c:v>
                </c:pt>
                <c:pt idx="98">
                  <c:v>0.67777777777777781</c:v>
                </c:pt>
                <c:pt idx="99">
                  <c:v>0.55081967213114758</c:v>
                </c:pt>
                <c:pt idx="100">
                  <c:v>0.5311475409836065</c:v>
                </c:pt>
                <c:pt idx="101">
                  <c:v>0.66557377049180333</c:v>
                </c:pt>
                <c:pt idx="102">
                  <c:v>0.69508196721311477</c:v>
                </c:pt>
                <c:pt idx="103">
                  <c:v>0.66885245901639345</c:v>
                </c:pt>
                <c:pt idx="104">
                  <c:v>0.64820846905537455</c:v>
                </c:pt>
                <c:pt idx="105">
                  <c:v>9.7777777777777783E-2</c:v>
                </c:pt>
                <c:pt idx="106">
                  <c:v>0.10888888888888888</c:v>
                </c:pt>
                <c:pt idx="107">
                  <c:v>0.16444444444444445</c:v>
                </c:pt>
                <c:pt idx="108">
                  <c:v>0.15407854984894259</c:v>
                </c:pt>
                <c:pt idx="109">
                  <c:v>0.23413897280966767</c:v>
                </c:pt>
                <c:pt idx="110">
                  <c:v>0.38821752265861026</c:v>
                </c:pt>
                <c:pt idx="111">
                  <c:v>0.32779456193353473</c:v>
                </c:pt>
                <c:pt idx="112">
                  <c:v>0.29333333333333333</c:v>
                </c:pt>
                <c:pt idx="113">
                  <c:v>0.4177777777777778</c:v>
                </c:pt>
                <c:pt idx="114">
                  <c:v>0.61208576998050679</c:v>
                </c:pt>
                <c:pt idx="115">
                  <c:v>0.15111111111111111</c:v>
                </c:pt>
                <c:pt idx="116">
                  <c:v>0.10888888888888888</c:v>
                </c:pt>
                <c:pt idx="117">
                  <c:v>0.13351877607788595</c:v>
                </c:pt>
                <c:pt idx="118">
                  <c:v>0.21835883171070933</c:v>
                </c:pt>
                <c:pt idx="119">
                  <c:v>0.20277777777777778</c:v>
                </c:pt>
                <c:pt idx="120">
                  <c:v>0.21249999999999999</c:v>
                </c:pt>
                <c:pt idx="121">
                  <c:v>0.26666666666666666</c:v>
                </c:pt>
                <c:pt idx="122">
                  <c:v>0.29555555555555557</c:v>
                </c:pt>
                <c:pt idx="123">
                  <c:v>0.21166666666666667</c:v>
                </c:pt>
                <c:pt idx="124">
                  <c:v>0.29783693843594011</c:v>
                </c:pt>
                <c:pt idx="125">
                  <c:v>0.30782029950083195</c:v>
                </c:pt>
                <c:pt idx="126">
                  <c:v>0.28119800332778699</c:v>
                </c:pt>
                <c:pt idx="127">
                  <c:v>0.27953410981697169</c:v>
                </c:pt>
                <c:pt idx="128">
                  <c:v>0.27620632279534107</c:v>
                </c:pt>
                <c:pt idx="129">
                  <c:v>0.98</c:v>
                </c:pt>
                <c:pt idx="130">
                  <c:v>0.99025341130604283</c:v>
                </c:pt>
                <c:pt idx="131">
                  <c:v>0.91749999999999998</c:v>
                </c:pt>
                <c:pt idx="132">
                  <c:v>0.90118577075098816</c:v>
                </c:pt>
                <c:pt idx="133">
                  <c:v>0.72131147540983609</c:v>
                </c:pt>
                <c:pt idx="134">
                  <c:v>0.73224043715846998</c:v>
                </c:pt>
                <c:pt idx="135">
                  <c:v>0.25333333333333335</c:v>
                </c:pt>
                <c:pt idx="136">
                  <c:v>0.19777777777777777</c:v>
                </c:pt>
                <c:pt idx="137">
                  <c:v>0.1676829268292683</c:v>
                </c:pt>
                <c:pt idx="138">
                  <c:v>0.26371951219512196</c:v>
                </c:pt>
                <c:pt idx="139">
                  <c:v>0.26371951219512196</c:v>
                </c:pt>
                <c:pt idx="140">
                  <c:v>0.33384146341463417</c:v>
                </c:pt>
                <c:pt idx="141">
                  <c:v>0.1575</c:v>
                </c:pt>
                <c:pt idx="142">
                  <c:v>0.24090909090909091</c:v>
                </c:pt>
                <c:pt idx="143">
                  <c:v>0.2471655328798186</c:v>
                </c:pt>
              </c:numCache>
            </c:numRef>
          </c:xVal>
          <c:yVal>
            <c:numRef>
              <c:f>RaceWorksheet!$A$2:$A$145</c:f>
              <c:numCache>
                <c:formatCode>0.0%</c:formatCode>
                <c:ptCount val="144"/>
                <c:pt idx="0">
                  <c:v>0.11904761904761904</c:v>
                </c:pt>
                <c:pt idx="1">
                  <c:v>9.3220338983050849E-2</c:v>
                </c:pt>
                <c:pt idx="2">
                  <c:v>0.11350293542074363</c:v>
                </c:pt>
                <c:pt idx="3">
                  <c:v>9.6654275092936809E-2</c:v>
                </c:pt>
                <c:pt idx="4">
                  <c:v>9.264305177111716E-2</c:v>
                </c:pt>
                <c:pt idx="5">
                  <c:v>0.10582010582010581</c:v>
                </c:pt>
                <c:pt idx="6">
                  <c:v>9.8039215686274508E-2</c:v>
                </c:pt>
                <c:pt idx="7">
                  <c:v>0.10810810810810811</c:v>
                </c:pt>
                <c:pt idx="8">
                  <c:v>0.106</c:v>
                </c:pt>
                <c:pt idx="9">
                  <c:v>0.14565826330532214</c:v>
                </c:pt>
                <c:pt idx="10">
                  <c:v>0.14369501466275661</c:v>
                </c:pt>
                <c:pt idx="11">
                  <c:v>6.0509554140127389E-2</c:v>
                </c:pt>
                <c:pt idx="12">
                  <c:v>0.10826210826210826</c:v>
                </c:pt>
                <c:pt idx="13">
                  <c:v>0.12875536480686695</c:v>
                </c:pt>
                <c:pt idx="14">
                  <c:v>0.12007874015748031</c:v>
                </c:pt>
                <c:pt idx="15">
                  <c:v>9.7178683385579931E-2</c:v>
                </c:pt>
                <c:pt idx="16">
                  <c:v>9.4292803970223327E-2</c:v>
                </c:pt>
                <c:pt idx="17">
                  <c:v>0.1164021164021164</c:v>
                </c:pt>
                <c:pt idx="18">
                  <c:v>0.12189054726368159</c:v>
                </c:pt>
                <c:pt idx="19">
                  <c:v>0.60642570281124497</c:v>
                </c:pt>
                <c:pt idx="20">
                  <c:v>0.67182662538699689</c:v>
                </c:pt>
                <c:pt idx="21">
                  <c:v>0.6071428571428571</c:v>
                </c:pt>
                <c:pt idx="22">
                  <c:v>0.62436548223350252</c:v>
                </c:pt>
                <c:pt idx="23">
                  <c:v>0.59681697612732099</c:v>
                </c:pt>
                <c:pt idx="24">
                  <c:v>0.52488687782805432</c:v>
                </c:pt>
                <c:pt idx="25">
                  <c:v>0.25443786982248523</c:v>
                </c:pt>
                <c:pt idx="26">
                  <c:v>0.36690647482014388</c:v>
                </c:pt>
                <c:pt idx="27">
                  <c:v>0.24041811846689895</c:v>
                </c:pt>
                <c:pt idx="28">
                  <c:v>0.27304964539007093</c:v>
                </c:pt>
                <c:pt idx="29">
                  <c:v>0.25386996904024767</c:v>
                </c:pt>
                <c:pt idx="30">
                  <c:v>0.3236842105263158</c:v>
                </c:pt>
                <c:pt idx="31">
                  <c:v>0.34792626728110598</c:v>
                </c:pt>
                <c:pt idx="32">
                  <c:v>0.26415094339622641</c:v>
                </c:pt>
                <c:pt idx="33">
                  <c:v>0.43971631205673761</c:v>
                </c:pt>
                <c:pt idx="34">
                  <c:v>0.3762057877813505</c:v>
                </c:pt>
                <c:pt idx="35">
                  <c:v>6.133333333333333E-2</c:v>
                </c:pt>
                <c:pt idx="36">
                  <c:v>0.10695187165775401</c:v>
                </c:pt>
                <c:pt idx="37">
                  <c:v>8.9353612167300381E-2</c:v>
                </c:pt>
                <c:pt idx="38">
                  <c:v>8.5769980506822607E-2</c:v>
                </c:pt>
                <c:pt idx="39">
                  <c:v>0.1044776119402985</c:v>
                </c:pt>
                <c:pt idx="40">
                  <c:v>8.6842105263157901E-2</c:v>
                </c:pt>
                <c:pt idx="41">
                  <c:v>0.10204081632653061</c:v>
                </c:pt>
                <c:pt idx="42">
                  <c:v>0.12</c:v>
                </c:pt>
                <c:pt idx="43">
                  <c:v>8.3333333333333329E-2</c:v>
                </c:pt>
                <c:pt idx="44">
                  <c:v>7.0953436807095344E-2</c:v>
                </c:pt>
                <c:pt idx="45">
                  <c:v>0.13043478260869565</c:v>
                </c:pt>
                <c:pt idx="46">
                  <c:v>0.11060948081264109</c:v>
                </c:pt>
                <c:pt idx="47">
                  <c:v>0.10922330097087378</c:v>
                </c:pt>
                <c:pt idx="48">
                  <c:v>9.9767981438515077E-2</c:v>
                </c:pt>
                <c:pt idx="49">
                  <c:v>0.38368580060422963</c:v>
                </c:pt>
                <c:pt idx="50">
                  <c:v>0.3415977961432507</c:v>
                </c:pt>
                <c:pt idx="51">
                  <c:v>0.41666666666666669</c:v>
                </c:pt>
                <c:pt idx="52">
                  <c:v>0.42816091954022989</c:v>
                </c:pt>
                <c:pt idx="53">
                  <c:v>0.39895013123359579</c:v>
                </c:pt>
                <c:pt idx="54">
                  <c:v>0.63322884012539182</c:v>
                </c:pt>
                <c:pt idx="55">
                  <c:v>0.70523415977961434</c:v>
                </c:pt>
                <c:pt idx="56">
                  <c:v>0.76334106728538287</c:v>
                </c:pt>
                <c:pt idx="57">
                  <c:v>0.7429906542056075</c:v>
                </c:pt>
                <c:pt idx="58">
                  <c:v>0.66352941176470592</c:v>
                </c:pt>
                <c:pt idx="59">
                  <c:v>0.628</c:v>
                </c:pt>
                <c:pt idx="60">
                  <c:v>0.40591397849462363</c:v>
                </c:pt>
                <c:pt idx="61">
                  <c:v>0.53161592505854804</c:v>
                </c:pt>
                <c:pt idx="62">
                  <c:v>0.50116550116550118</c:v>
                </c:pt>
                <c:pt idx="63">
                  <c:v>0.48195329087048833</c:v>
                </c:pt>
                <c:pt idx="64">
                  <c:v>0.69649805447470814</c:v>
                </c:pt>
                <c:pt idx="65">
                  <c:v>0.79357798165137616</c:v>
                </c:pt>
                <c:pt idx="66">
                  <c:v>0.13725490196078433</c:v>
                </c:pt>
                <c:pt idx="67">
                  <c:v>0.13268608414239483</c:v>
                </c:pt>
                <c:pt idx="68">
                  <c:v>9.5522388059701493E-2</c:v>
                </c:pt>
                <c:pt idx="69">
                  <c:v>0.58745874587458746</c:v>
                </c:pt>
                <c:pt idx="70">
                  <c:v>0.58387096774193548</c:v>
                </c:pt>
                <c:pt idx="71">
                  <c:v>0.5975232198142415</c:v>
                </c:pt>
                <c:pt idx="72">
                  <c:v>0.5128939828080229</c:v>
                </c:pt>
                <c:pt idx="73">
                  <c:v>7.1856287425149698E-2</c:v>
                </c:pt>
                <c:pt idx="74">
                  <c:v>0.13051823416506717</c:v>
                </c:pt>
                <c:pt idx="75">
                  <c:v>8.3333333333333329E-2</c:v>
                </c:pt>
                <c:pt idx="76">
                  <c:v>0.30115830115830117</c:v>
                </c:pt>
                <c:pt idx="77">
                  <c:v>0.24092409240924093</c:v>
                </c:pt>
                <c:pt idx="78">
                  <c:v>0.24528301886792453</c:v>
                </c:pt>
                <c:pt idx="79">
                  <c:v>0.67155425219941345</c:v>
                </c:pt>
                <c:pt idx="80">
                  <c:v>0.67708333333333337</c:v>
                </c:pt>
                <c:pt idx="81">
                  <c:v>0.15064102564102563</c:v>
                </c:pt>
                <c:pt idx="82">
                  <c:v>0.16470588235294117</c:v>
                </c:pt>
                <c:pt idx="83">
                  <c:v>0.16797900262467191</c:v>
                </c:pt>
                <c:pt idx="84">
                  <c:v>0.10512820512820513</c:v>
                </c:pt>
                <c:pt idx="85">
                  <c:v>0.16962025316455695</c:v>
                </c:pt>
                <c:pt idx="86">
                  <c:v>0.27217125382262997</c:v>
                </c:pt>
                <c:pt idx="87">
                  <c:v>0.28337874659400547</c:v>
                </c:pt>
                <c:pt idx="88">
                  <c:v>0.27293064876957496</c:v>
                </c:pt>
                <c:pt idx="89">
                  <c:v>0.24757281553398058</c:v>
                </c:pt>
                <c:pt idx="90">
                  <c:v>0.23903508771929824</c:v>
                </c:pt>
                <c:pt idx="91">
                  <c:v>0.12460063897763578</c:v>
                </c:pt>
                <c:pt idx="92">
                  <c:v>0.14705882352941177</c:v>
                </c:pt>
                <c:pt idx="93">
                  <c:v>0.12849162011173185</c:v>
                </c:pt>
                <c:pt idx="94">
                  <c:v>0.36813186813186816</c:v>
                </c:pt>
                <c:pt idx="95">
                  <c:v>0.32581453634085211</c:v>
                </c:pt>
                <c:pt idx="96">
                  <c:v>0.44047619047619047</c:v>
                </c:pt>
                <c:pt idx="97">
                  <c:v>0.44594594594594594</c:v>
                </c:pt>
                <c:pt idx="98">
                  <c:v>0.38461538461538464</c:v>
                </c:pt>
                <c:pt idx="99">
                  <c:v>0.33484162895927599</c:v>
                </c:pt>
                <c:pt idx="100">
                  <c:v>0.42283298097251587</c:v>
                </c:pt>
                <c:pt idx="101">
                  <c:v>0.41291585127201563</c:v>
                </c:pt>
                <c:pt idx="102">
                  <c:v>0.25</c:v>
                </c:pt>
                <c:pt idx="103">
                  <c:v>0.18541033434650456</c:v>
                </c:pt>
                <c:pt idx="104">
                  <c:v>0.13213213213213212</c:v>
                </c:pt>
                <c:pt idx="105">
                  <c:v>0.78595317725752512</c:v>
                </c:pt>
                <c:pt idx="106">
                  <c:v>0.75271739130434778</c:v>
                </c:pt>
                <c:pt idx="107">
                  <c:v>0.79045092838196285</c:v>
                </c:pt>
                <c:pt idx="108">
                  <c:v>0.77401129943502822</c:v>
                </c:pt>
                <c:pt idx="109">
                  <c:v>0.72631578947368425</c:v>
                </c:pt>
                <c:pt idx="110">
                  <c:v>0.64120370370370372</c:v>
                </c:pt>
                <c:pt idx="111">
                  <c:v>0.66666666666666663</c:v>
                </c:pt>
                <c:pt idx="112">
                  <c:v>0.5901639344262295</c:v>
                </c:pt>
                <c:pt idx="113">
                  <c:v>0.54029850746268659</c:v>
                </c:pt>
                <c:pt idx="114">
                  <c:v>0.47181008902077154</c:v>
                </c:pt>
                <c:pt idx="115">
                  <c:v>0.58841463414634143</c:v>
                </c:pt>
                <c:pt idx="116">
                  <c:v>0.64444444444444449</c:v>
                </c:pt>
                <c:pt idx="117">
                  <c:v>0.71974522292993626</c:v>
                </c:pt>
                <c:pt idx="118">
                  <c:v>0.68008948545861303</c:v>
                </c:pt>
                <c:pt idx="119">
                  <c:v>0.67848699763593379</c:v>
                </c:pt>
                <c:pt idx="120">
                  <c:v>0.71393034825870649</c:v>
                </c:pt>
                <c:pt idx="121">
                  <c:v>0.70935960591133007</c:v>
                </c:pt>
                <c:pt idx="122">
                  <c:v>0.71583514099783085</c:v>
                </c:pt>
                <c:pt idx="123">
                  <c:v>0.75077881619937692</c:v>
                </c:pt>
                <c:pt idx="124">
                  <c:v>0.80219780219780223</c:v>
                </c:pt>
                <c:pt idx="125">
                  <c:v>0.79622641509433967</c:v>
                </c:pt>
                <c:pt idx="126">
                  <c:v>0.73293172690763053</c:v>
                </c:pt>
                <c:pt idx="127">
                  <c:v>0.76729559748427678</c:v>
                </c:pt>
                <c:pt idx="128">
                  <c:v>0.75559701492537312</c:v>
                </c:pt>
                <c:pt idx="129">
                  <c:v>8.1504702194357362E-2</c:v>
                </c:pt>
                <c:pt idx="130">
                  <c:v>7.3232323232323232E-2</c:v>
                </c:pt>
                <c:pt idx="131">
                  <c:v>0.1853035143769968</c:v>
                </c:pt>
                <c:pt idx="132">
                  <c:v>0.20551378446115287</c:v>
                </c:pt>
                <c:pt idx="133">
                  <c:v>0.31272727272727274</c:v>
                </c:pt>
                <c:pt idx="134">
                  <c:v>0.2857142857142857</c:v>
                </c:pt>
                <c:pt idx="135">
                  <c:v>0.68152866242038213</c:v>
                </c:pt>
                <c:pt idx="136">
                  <c:v>0.69414893617021278</c:v>
                </c:pt>
                <c:pt idx="137">
                  <c:v>0.79142300194931769</c:v>
                </c:pt>
                <c:pt idx="138">
                  <c:v>0.7056277056277056</c:v>
                </c:pt>
                <c:pt idx="139">
                  <c:v>0.74259681093394081</c:v>
                </c:pt>
                <c:pt idx="140">
                  <c:v>0.70459081836327342</c:v>
                </c:pt>
                <c:pt idx="141">
                  <c:v>0.72661870503597126</c:v>
                </c:pt>
                <c:pt idx="142">
                  <c:v>0.68506493506493504</c:v>
                </c:pt>
                <c:pt idx="143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D-468E-8FD1-62CAE2A5E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756780402449693E-2"/>
                  <c:y val="-0.23618292505103528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RaceWorksheet!$J$2:$J$145</c:f>
              <c:numCache>
                <c:formatCode>0.0%</c:formatCode>
                <c:ptCount val="144"/>
                <c:pt idx="0">
                  <c:v>0.94222222222222218</c:v>
                </c:pt>
                <c:pt idx="1">
                  <c:v>0.94888888888888889</c:v>
                </c:pt>
                <c:pt idx="2">
                  <c:v>0.9913419913419913</c:v>
                </c:pt>
                <c:pt idx="3">
                  <c:v>0.98270893371757928</c:v>
                </c:pt>
                <c:pt idx="4">
                  <c:v>0.99111111111111116</c:v>
                </c:pt>
                <c:pt idx="5">
                  <c:v>0.98888888888888893</c:v>
                </c:pt>
                <c:pt idx="6">
                  <c:v>0.99839999999999995</c:v>
                </c:pt>
                <c:pt idx="7">
                  <c:v>1</c:v>
                </c:pt>
                <c:pt idx="8">
                  <c:v>1</c:v>
                </c:pt>
                <c:pt idx="9">
                  <c:v>0.97777777777777775</c:v>
                </c:pt>
                <c:pt idx="10">
                  <c:v>0.99361702127659579</c:v>
                </c:pt>
                <c:pt idx="11">
                  <c:v>0.98666666666666669</c:v>
                </c:pt>
                <c:pt idx="12">
                  <c:v>0.99333333333333329</c:v>
                </c:pt>
                <c:pt idx="13">
                  <c:v>1</c:v>
                </c:pt>
                <c:pt idx="14">
                  <c:v>0.99853587115666176</c:v>
                </c:pt>
                <c:pt idx="15">
                  <c:v>0.98750000000000004</c:v>
                </c:pt>
                <c:pt idx="16">
                  <c:v>0.99612403100775193</c:v>
                </c:pt>
                <c:pt idx="17">
                  <c:v>0.99612403100775193</c:v>
                </c:pt>
                <c:pt idx="18">
                  <c:v>0.99806576402321079</c:v>
                </c:pt>
                <c:pt idx="19">
                  <c:v>0.20222222222222222</c:v>
                </c:pt>
                <c:pt idx="20">
                  <c:v>0.2088888888888889</c:v>
                </c:pt>
                <c:pt idx="21">
                  <c:v>0.32222222222222224</c:v>
                </c:pt>
                <c:pt idx="22">
                  <c:v>0.31475409836065577</c:v>
                </c:pt>
                <c:pt idx="23">
                  <c:v>0.36721311475409835</c:v>
                </c:pt>
                <c:pt idx="24">
                  <c:v>0.45588235294117646</c:v>
                </c:pt>
                <c:pt idx="25">
                  <c:v>0.63500000000000001</c:v>
                </c:pt>
                <c:pt idx="26">
                  <c:v>0.57040572792362765</c:v>
                </c:pt>
                <c:pt idx="27">
                  <c:v>0.70883054892601427</c:v>
                </c:pt>
                <c:pt idx="28">
                  <c:v>0.66444444444444439</c:v>
                </c:pt>
                <c:pt idx="29">
                  <c:v>0.69111111111111112</c:v>
                </c:pt>
                <c:pt idx="30">
                  <c:v>0.70076335877862594</c:v>
                </c:pt>
                <c:pt idx="31">
                  <c:v>0.72977099236641219</c:v>
                </c:pt>
                <c:pt idx="32">
                  <c:v>0.77557251908396951</c:v>
                </c:pt>
                <c:pt idx="33">
                  <c:v>0.70381679389312979</c:v>
                </c:pt>
                <c:pt idx="34">
                  <c:v>0.70992366412213737</c:v>
                </c:pt>
                <c:pt idx="35">
                  <c:v>0.99777777777777776</c:v>
                </c:pt>
                <c:pt idx="36">
                  <c:v>0.99555555555555553</c:v>
                </c:pt>
                <c:pt idx="37">
                  <c:v>0.99714285714285711</c:v>
                </c:pt>
                <c:pt idx="38">
                  <c:v>1</c:v>
                </c:pt>
                <c:pt idx="39">
                  <c:v>1</c:v>
                </c:pt>
                <c:pt idx="40">
                  <c:v>0.99555555555555553</c:v>
                </c:pt>
                <c:pt idx="41">
                  <c:v>0.99111111111111116</c:v>
                </c:pt>
                <c:pt idx="42">
                  <c:v>0.99496644295302017</c:v>
                </c:pt>
                <c:pt idx="43">
                  <c:v>1</c:v>
                </c:pt>
                <c:pt idx="44">
                  <c:v>1</c:v>
                </c:pt>
                <c:pt idx="45">
                  <c:v>0.91555555555555557</c:v>
                </c:pt>
                <c:pt idx="46">
                  <c:v>0.95320623916811087</c:v>
                </c:pt>
                <c:pt idx="47">
                  <c:v>0.95320623916811087</c:v>
                </c:pt>
                <c:pt idx="48">
                  <c:v>0.94982698961937717</c:v>
                </c:pt>
                <c:pt idx="49">
                  <c:v>0.52888888888888885</c:v>
                </c:pt>
                <c:pt idx="50">
                  <c:v>0.6333333333333333</c:v>
                </c:pt>
                <c:pt idx="51">
                  <c:v>0.58382642998027612</c:v>
                </c:pt>
                <c:pt idx="52">
                  <c:v>0.58382642998027612</c:v>
                </c:pt>
                <c:pt idx="53">
                  <c:v>0.61417322834645671</c:v>
                </c:pt>
                <c:pt idx="54">
                  <c:v>0.54222222222222227</c:v>
                </c:pt>
                <c:pt idx="55">
                  <c:v>0.3935483870967742</c:v>
                </c:pt>
                <c:pt idx="56">
                  <c:v>0.44193548387096776</c:v>
                </c:pt>
                <c:pt idx="57">
                  <c:v>0.51768488745980712</c:v>
                </c:pt>
                <c:pt idx="58">
                  <c:v>0.12888888888888889</c:v>
                </c:pt>
                <c:pt idx="59">
                  <c:v>0.16444444444444445</c:v>
                </c:pt>
                <c:pt idx="60">
                  <c:v>0.15094339622641509</c:v>
                </c:pt>
                <c:pt idx="61">
                  <c:v>0.22955974842767296</c:v>
                </c:pt>
                <c:pt idx="62">
                  <c:v>0.28773584905660377</c:v>
                </c:pt>
                <c:pt idx="63">
                  <c:v>0.330188679245283</c:v>
                </c:pt>
                <c:pt idx="64">
                  <c:v>5.7142857142857143E-3</c:v>
                </c:pt>
                <c:pt idx="65">
                  <c:v>3.4090909090909088E-2</c:v>
                </c:pt>
                <c:pt idx="66">
                  <c:v>0.88666666666666671</c:v>
                </c:pt>
                <c:pt idx="67">
                  <c:v>0.93764988009592332</c:v>
                </c:pt>
                <c:pt idx="68">
                  <c:v>0.97846889952153115</c:v>
                </c:pt>
                <c:pt idx="69">
                  <c:v>0.16888888888888889</c:v>
                </c:pt>
                <c:pt idx="70">
                  <c:v>0.2688888888888889</c:v>
                </c:pt>
                <c:pt idx="71">
                  <c:v>0.28268551236749118</c:v>
                </c:pt>
                <c:pt idx="72">
                  <c:v>0.34744268077601409</c:v>
                </c:pt>
                <c:pt idx="73">
                  <c:v>0.99555555555555553</c:v>
                </c:pt>
                <c:pt idx="74">
                  <c:v>0.99281609195402298</c:v>
                </c:pt>
                <c:pt idx="75">
                  <c:v>1</c:v>
                </c:pt>
                <c:pt idx="76">
                  <c:v>0.72571428571428576</c:v>
                </c:pt>
                <c:pt idx="77">
                  <c:v>0.8321513002364066</c:v>
                </c:pt>
                <c:pt idx="78">
                  <c:v>0.50609756097560976</c:v>
                </c:pt>
                <c:pt idx="79">
                  <c:v>6.623931623931624E-2</c:v>
                </c:pt>
                <c:pt idx="80">
                  <c:v>0.22865853658536586</c:v>
                </c:pt>
                <c:pt idx="81">
                  <c:v>0.85499999999999998</c:v>
                </c:pt>
                <c:pt idx="82">
                  <c:v>0.90749999999999997</c:v>
                </c:pt>
                <c:pt idx="83">
                  <c:v>0.90211132437619956</c:v>
                </c:pt>
                <c:pt idx="84">
                  <c:v>0.95777351247600773</c:v>
                </c:pt>
                <c:pt idx="85">
                  <c:v>0.9254302103250478</c:v>
                </c:pt>
                <c:pt idx="86">
                  <c:v>0.76444444444444448</c:v>
                </c:pt>
                <c:pt idx="87">
                  <c:v>0.77555555555555555</c:v>
                </c:pt>
                <c:pt idx="88">
                  <c:v>0.85</c:v>
                </c:pt>
                <c:pt idx="89">
                  <c:v>0.84482758620689657</c:v>
                </c:pt>
                <c:pt idx="90">
                  <c:v>0.82817869415807566</c:v>
                </c:pt>
                <c:pt idx="91">
                  <c:v>0.98</c:v>
                </c:pt>
                <c:pt idx="92">
                  <c:v>0.98379629629629628</c:v>
                </c:pt>
                <c:pt idx="93">
                  <c:v>0.98614318706697457</c:v>
                </c:pt>
                <c:pt idx="94">
                  <c:v>0.71750000000000003</c:v>
                </c:pt>
                <c:pt idx="95">
                  <c:v>0.89051094890510951</c:v>
                </c:pt>
                <c:pt idx="96">
                  <c:v>0.95388349514563109</c:v>
                </c:pt>
                <c:pt idx="97">
                  <c:v>0.60444444444444445</c:v>
                </c:pt>
                <c:pt idx="98">
                  <c:v>0.67777777777777781</c:v>
                </c:pt>
                <c:pt idx="99">
                  <c:v>0.55081967213114758</c:v>
                </c:pt>
                <c:pt idx="100">
                  <c:v>0.5311475409836065</c:v>
                </c:pt>
                <c:pt idx="101">
                  <c:v>0.66557377049180333</c:v>
                </c:pt>
                <c:pt idx="102">
                  <c:v>0.69508196721311477</c:v>
                </c:pt>
                <c:pt idx="103">
                  <c:v>0.66885245901639345</c:v>
                </c:pt>
                <c:pt idx="104">
                  <c:v>0.64820846905537455</c:v>
                </c:pt>
                <c:pt idx="105">
                  <c:v>9.7777777777777783E-2</c:v>
                </c:pt>
                <c:pt idx="106">
                  <c:v>0.10888888888888888</c:v>
                </c:pt>
                <c:pt idx="107">
                  <c:v>0.16444444444444445</c:v>
                </c:pt>
                <c:pt idx="108">
                  <c:v>0.15407854984894259</c:v>
                </c:pt>
                <c:pt idx="109">
                  <c:v>0.23413897280966767</c:v>
                </c:pt>
                <c:pt idx="110">
                  <c:v>0.38821752265861026</c:v>
                </c:pt>
                <c:pt idx="111">
                  <c:v>0.32779456193353473</c:v>
                </c:pt>
                <c:pt idx="112">
                  <c:v>0.29333333333333333</c:v>
                </c:pt>
                <c:pt idx="113">
                  <c:v>0.4177777777777778</c:v>
                </c:pt>
                <c:pt idx="114">
                  <c:v>0.61208576998050679</c:v>
                </c:pt>
                <c:pt idx="115">
                  <c:v>0.15111111111111111</c:v>
                </c:pt>
                <c:pt idx="116">
                  <c:v>0.10888888888888888</c:v>
                </c:pt>
                <c:pt idx="117">
                  <c:v>0.13351877607788595</c:v>
                </c:pt>
                <c:pt idx="118">
                  <c:v>0.21835883171070933</c:v>
                </c:pt>
                <c:pt idx="119">
                  <c:v>0.20277777777777778</c:v>
                </c:pt>
                <c:pt idx="120">
                  <c:v>0.21249999999999999</c:v>
                </c:pt>
                <c:pt idx="121">
                  <c:v>0.26666666666666666</c:v>
                </c:pt>
                <c:pt idx="122">
                  <c:v>0.29555555555555557</c:v>
                </c:pt>
                <c:pt idx="123">
                  <c:v>0.21166666666666667</c:v>
                </c:pt>
                <c:pt idx="124">
                  <c:v>0.29783693843594011</c:v>
                </c:pt>
                <c:pt idx="125">
                  <c:v>0.30782029950083195</c:v>
                </c:pt>
                <c:pt idx="126">
                  <c:v>0.28119800332778699</c:v>
                </c:pt>
                <c:pt idx="127">
                  <c:v>0.27953410981697169</c:v>
                </c:pt>
                <c:pt idx="128">
                  <c:v>0.27620632279534107</c:v>
                </c:pt>
                <c:pt idx="129">
                  <c:v>0.98</c:v>
                </c:pt>
                <c:pt idx="130">
                  <c:v>0.99025341130604283</c:v>
                </c:pt>
                <c:pt idx="131">
                  <c:v>0.91749999999999998</c:v>
                </c:pt>
                <c:pt idx="132">
                  <c:v>0.90118577075098816</c:v>
                </c:pt>
                <c:pt idx="133">
                  <c:v>0.72131147540983609</c:v>
                </c:pt>
                <c:pt idx="134">
                  <c:v>0.73224043715846998</c:v>
                </c:pt>
                <c:pt idx="135">
                  <c:v>0.25333333333333335</c:v>
                </c:pt>
                <c:pt idx="136">
                  <c:v>0.19777777777777777</c:v>
                </c:pt>
                <c:pt idx="137">
                  <c:v>0.1676829268292683</c:v>
                </c:pt>
                <c:pt idx="138">
                  <c:v>0.26371951219512196</c:v>
                </c:pt>
                <c:pt idx="139">
                  <c:v>0.26371951219512196</c:v>
                </c:pt>
                <c:pt idx="140">
                  <c:v>0.33384146341463417</c:v>
                </c:pt>
                <c:pt idx="141">
                  <c:v>0.1575</c:v>
                </c:pt>
                <c:pt idx="142">
                  <c:v>0.24090909090909091</c:v>
                </c:pt>
                <c:pt idx="143">
                  <c:v>0.2471655328798186</c:v>
                </c:pt>
              </c:numCache>
            </c:numRef>
          </c:xVal>
          <c:yVal>
            <c:numRef>
              <c:f>RaceWorksheet!$B$2:$B$145</c:f>
              <c:numCache>
                <c:formatCode>0.0%</c:formatCode>
                <c:ptCount val="144"/>
                <c:pt idx="0">
                  <c:v>0.1164021164021164</c:v>
                </c:pt>
                <c:pt idx="1">
                  <c:v>0.24858757062146894</c:v>
                </c:pt>
                <c:pt idx="2">
                  <c:v>0.34833659491193736</c:v>
                </c:pt>
                <c:pt idx="3">
                  <c:v>0.42936802973977695</c:v>
                </c:pt>
                <c:pt idx="4">
                  <c:v>0.11989100817438691</c:v>
                </c:pt>
                <c:pt idx="5">
                  <c:v>0.18518518518518517</c:v>
                </c:pt>
                <c:pt idx="6">
                  <c:v>0.35076252723311546</c:v>
                </c:pt>
                <c:pt idx="7">
                  <c:v>0.36382536382536385</c:v>
                </c:pt>
                <c:pt idx="8">
                  <c:v>0.40799999999999997</c:v>
                </c:pt>
                <c:pt idx="9">
                  <c:v>0.25770308123249297</c:v>
                </c:pt>
                <c:pt idx="10">
                  <c:v>0.44281524926686217</c:v>
                </c:pt>
                <c:pt idx="11">
                  <c:v>0.16560509554140126</c:v>
                </c:pt>
                <c:pt idx="12">
                  <c:v>0.27635327635327633</c:v>
                </c:pt>
                <c:pt idx="13">
                  <c:v>0.40987124463519314</c:v>
                </c:pt>
                <c:pt idx="14">
                  <c:v>0.44094488188976377</c:v>
                </c:pt>
                <c:pt idx="15">
                  <c:v>0.16614420062695925</c:v>
                </c:pt>
                <c:pt idx="16">
                  <c:v>0.29776674937965258</c:v>
                </c:pt>
                <c:pt idx="17">
                  <c:v>0.40476190476190477</c:v>
                </c:pt>
                <c:pt idx="18">
                  <c:v>0.39800995024875624</c:v>
                </c:pt>
                <c:pt idx="19">
                  <c:v>3.2128514056224897E-2</c:v>
                </c:pt>
                <c:pt idx="20">
                  <c:v>6.5015479876160992E-2</c:v>
                </c:pt>
                <c:pt idx="21">
                  <c:v>8.0357142857142863E-2</c:v>
                </c:pt>
                <c:pt idx="22">
                  <c:v>0.13197969543147209</c:v>
                </c:pt>
                <c:pt idx="23">
                  <c:v>0.17771883289124668</c:v>
                </c:pt>
                <c:pt idx="24">
                  <c:v>0.23755656108597284</c:v>
                </c:pt>
                <c:pt idx="25">
                  <c:v>0.17751479289940827</c:v>
                </c:pt>
                <c:pt idx="26">
                  <c:v>0.22661870503597123</c:v>
                </c:pt>
                <c:pt idx="27">
                  <c:v>0.32752613240418116</c:v>
                </c:pt>
                <c:pt idx="28">
                  <c:v>0.38297872340425532</c:v>
                </c:pt>
                <c:pt idx="29">
                  <c:v>0.4086687306501548</c:v>
                </c:pt>
                <c:pt idx="30">
                  <c:v>0.37105263157894736</c:v>
                </c:pt>
                <c:pt idx="31">
                  <c:v>0.38018433179723504</c:v>
                </c:pt>
                <c:pt idx="32">
                  <c:v>0.21886792452830189</c:v>
                </c:pt>
                <c:pt idx="33">
                  <c:v>0.2978723404255319</c:v>
                </c:pt>
                <c:pt idx="34">
                  <c:v>0.40192926045016075</c:v>
                </c:pt>
                <c:pt idx="35">
                  <c:v>0.14933333333333335</c:v>
                </c:pt>
                <c:pt idx="36">
                  <c:v>0.29144385026737968</c:v>
                </c:pt>
                <c:pt idx="37">
                  <c:v>0.37452471482889732</c:v>
                </c:pt>
                <c:pt idx="38">
                  <c:v>0.43469785575048731</c:v>
                </c:pt>
                <c:pt idx="39">
                  <c:v>0.45522388059701491</c:v>
                </c:pt>
                <c:pt idx="40">
                  <c:v>0.13157894736842105</c:v>
                </c:pt>
                <c:pt idx="41">
                  <c:v>0.15051020408163265</c:v>
                </c:pt>
                <c:pt idx="42">
                  <c:v>0.39111111111111113</c:v>
                </c:pt>
                <c:pt idx="43">
                  <c:v>0.45726495726495725</c:v>
                </c:pt>
                <c:pt idx="44">
                  <c:v>0.52993348115299332</c:v>
                </c:pt>
                <c:pt idx="45">
                  <c:v>0.10869565217391304</c:v>
                </c:pt>
                <c:pt idx="46">
                  <c:v>0.26410835214446954</c:v>
                </c:pt>
                <c:pt idx="47">
                  <c:v>0.40776699029126212</c:v>
                </c:pt>
                <c:pt idx="48">
                  <c:v>0.43851508120649652</c:v>
                </c:pt>
                <c:pt idx="49">
                  <c:v>7.8549848942598186E-2</c:v>
                </c:pt>
                <c:pt idx="50">
                  <c:v>0.15977961432506887</c:v>
                </c:pt>
                <c:pt idx="51">
                  <c:v>0.20161290322580644</c:v>
                </c:pt>
                <c:pt idx="52">
                  <c:v>0.23850574712643677</c:v>
                </c:pt>
                <c:pt idx="53">
                  <c:v>0.24409448818897639</c:v>
                </c:pt>
                <c:pt idx="54">
                  <c:v>5.0156739811912224E-2</c:v>
                </c:pt>
                <c:pt idx="55">
                  <c:v>6.3360881542699726E-2</c:v>
                </c:pt>
                <c:pt idx="56">
                  <c:v>5.5684454756380508E-2</c:v>
                </c:pt>
                <c:pt idx="57">
                  <c:v>0.10046728971962617</c:v>
                </c:pt>
                <c:pt idx="58">
                  <c:v>0.12705882352941175</c:v>
                </c:pt>
                <c:pt idx="59">
                  <c:v>0.16600000000000001</c:v>
                </c:pt>
                <c:pt idx="60">
                  <c:v>0.12634408602150538</c:v>
                </c:pt>
                <c:pt idx="61">
                  <c:v>0.15925058548009369</c:v>
                </c:pt>
                <c:pt idx="62">
                  <c:v>0.20046620046620048</c:v>
                </c:pt>
                <c:pt idx="63">
                  <c:v>0.20594479830148621</c:v>
                </c:pt>
                <c:pt idx="64">
                  <c:v>1.9455252918287938E-2</c:v>
                </c:pt>
                <c:pt idx="65">
                  <c:v>3.2110091743119268E-2</c:v>
                </c:pt>
                <c:pt idx="66">
                  <c:v>0.11204481792717087</c:v>
                </c:pt>
                <c:pt idx="67">
                  <c:v>0.25889967637540451</c:v>
                </c:pt>
                <c:pt idx="68">
                  <c:v>0.30447761194029849</c:v>
                </c:pt>
                <c:pt idx="69">
                  <c:v>2.3102310231023101E-2</c:v>
                </c:pt>
                <c:pt idx="70">
                  <c:v>7.4193548387096769E-2</c:v>
                </c:pt>
                <c:pt idx="71">
                  <c:v>0.13931888544891641</c:v>
                </c:pt>
                <c:pt idx="72">
                  <c:v>0.16905444126074498</c:v>
                </c:pt>
                <c:pt idx="73">
                  <c:v>0.11976047904191617</c:v>
                </c:pt>
                <c:pt idx="74">
                  <c:v>0.2687140115163148</c:v>
                </c:pt>
                <c:pt idx="75">
                  <c:v>0.38178294573643412</c:v>
                </c:pt>
                <c:pt idx="76">
                  <c:v>0.10424710424710425</c:v>
                </c:pt>
                <c:pt idx="77">
                  <c:v>0.25742574257425743</c:v>
                </c:pt>
                <c:pt idx="78">
                  <c:v>0.12264150943396226</c:v>
                </c:pt>
                <c:pt idx="79">
                  <c:v>6.1583577712609971E-2</c:v>
                </c:pt>
                <c:pt idx="80">
                  <c:v>6.458333333333334E-2</c:v>
                </c:pt>
                <c:pt idx="81">
                  <c:v>8.9743589743589744E-2</c:v>
                </c:pt>
                <c:pt idx="82">
                  <c:v>0.14705882352941177</c:v>
                </c:pt>
                <c:pt idx="83">
                  <c:v>0.35958005249343833</c:v>
                </c:pt>
                <c:pt idx="84">
                  <c:v>0.42307692307692307</c:v>
                </c:pt>
                <c:pt idx="85">
                  <c:v>0.37721518987341773</c:v>
                </c:pt>
                <c:pt idx="86">
                  <c:v>0.1743119266055046</c:v>
                </c:pt>
                <c:pt idx="87">
                  <c:v>0.2561307901907357</c:v>
                </c:pt>
                <c:pt idx="88">
                  <c:v>0.31096196868008946</c:v>
                </c:pt>
                <c:pt idx="89">
                  <c:v>0.36165048543689321</c:v>
                </c:pt>
                <c:pt idx="90">
                  <c:v>0.34649122807017546</c:v>
                </c:pt>
                <c:pt idx="91">
                  <c:v>0.21405750798722045</c:v>
                </c:pt>
                <c:pt idx="92">
                  <c:v>0.27647058823529413</c:v>
                </c:pt>
                <c:pt idx="93">
                  <c:v>0.24022346368715083</c:v>
                </c:pt>
                <c:pt idx="94">
                  <c:v>9.6153846153846159E-2</c:v>
                </c:pt>
                <c:pt idx="95">
                  <c:v>0.14536340852130325</c:v>
                </c:pt>
                <c:pt idx="96">
                  <c:v>0.18650793650793651</c:v>
                </c:pt>
                <c:pt idx="97">
                  <c:v>0.22072072072072071</c:v>
                </c:pt>
                <c:pt idx="98">
                  <c:v>0.28054298642533937</c:v>
                </c:pt>
                <c:pt idx="99">
                  <c:v>0.29864253393665158</c:v>
                </c:pt>
                <c:pt idx="100">
                  <c:v>0.27061310782241016</c:v>
                </c:pt>
                <c:pt idx="101">
                  <c:v>0.31115459882583169</c:v>
                </c:pt>
                <c:pt idx="102">
                  <c:v>0.12162162162162163</c:v>
                </c:pt>
                <c:pt idx="103">
                  <c:v>0.24012158054711247</c:v>
                </c:pt>
                <c:pt idx="104">
                  <c:v>0.38138138138138139</c:v>
                </c:pt>
                <c:pt idx="105">
                  <c:v>2.0066889632107024E-2</c:v>
                </c:pt>
                <c:pt idx="106">
                  <c:v>3.5326086956521736E-2</c:v>
                </c:pt>
                <c:pt idx="107">
                  <c:v>3.1830238726790451E-2</c:v>
                </c:pt>
                <c:pt idx="108">
                  <c:v>6.0263653483992465E-2</c:v>
                </c:pt>
                <c:pt idx="109">
                  <c:v>0.12210526315789473</c:v>
                </c:pt>
                <c:pt idx="110">
                  <c:v>0.16435185185185186</c:v>
                </c:pt>
                <c:pt idx="111">
                  <c:v>0.13786008230452676</c:v>
                </c:pt>
                <c:pt idx="112">
                  <c:v>6.8852459016393447E-2</c:v>
                </c:pt>
                <c:pt idx="113">
                  <c:v>0.13432835820895522</c:v>
                </c:pt>
                <c:pt idx="114">
                  <c:v>0.27893175074183979</c:v>
                </c:pt>
                <c:pt idx="115">
                  <c:v>6.402439024390244E-2</c:v>
                </c:pt>
                <c:pt idx="116">
                  <c:v>8.0555555555555561E-2</c:v>
                </c:pt>
                <c:pt idx="117">
                  <c:v>9.5541401273885357E-2</c:v>
                </c:pt>
                <c:pt idx="118">
                  <c:v>0.12527964205816555</c:v>
                </c:pt>
                <c:pt idx="119">
                  <c:v>0.16548463356973994</c:v>
                </c:pt>
                <c:pt idx="120">
                  <c:v>0.13432835820895522</c:v>
                </c:pt>
                <c:pt idx="121">
                  <c:v>0.13054187192118227</c:v>
                </c:pt>
                <c:pt idx="122">
                  <c:v>0.14316702819956617</c:v>
                </c:pt>
                <c:pt idx="123">
                  <c:v>5.2959501557632398E-2</c:v>
                </c:pt>
                <c:pt idx="124">
                  <c:v>5.4945054945054944E-2</c:v>
                </c:pt>
                <c:pt idx="125">
                  <c:v>6.0377358490566038E-2</c:v>
                </c:pt>
                <c:pt idx="126">
                  <c:v>0.12851405622489959</c:v>
                </c:pt>
                <c:pt idx="127">
                  <c:v>0.10272536687631027</c:v>
                </c:pt>
                <c:pt idx="128">
                  <c:v>0.12313432835820895</c:v>
                </c:pt>
                <c:pt idx="129">
                  <c:v>0.20376175548589343</c:v>
                </c:pt>
                <c:pt idx="130">
                  <c:v>0.37121212121212122</c:v>
                </c:pt>
                <c:pt idx="131">
                  <c:v>0.17252396166134185</c:v>
                </c:pt>
                <c:pt idx="132">
                  <c:v>0.32832080200501251</c:v>
                </c:pt>
                <c:pt idx="133">
                  <c:v>0.21454545454545454</c:v>
                </c:pt>
                <c:pt idx="134">
                  <c:v>0.37857142857142856</c:v>
                </c:pt>
                <c:pt idx="135">
                  <c:v>7.32484076433121E-2</c:v>
                </c:pt>
                <c:pt idx="136">
                  <c:v>6.1170212765957445E-2</c:v>
                </c:pt>
                <c:pt idx="137">
                  <c:v>6.6276803118908378E-2</c:v>
                </c:pt>
                <c:pt idx="138">
                  <c:v>0.12770562770562771</c:v>
                </c:pt>
                <c:pt idx="139">
                  <c:v>0.11617312072892938</c:v>
                </c:pt>
                <c:pt idx="140">
                  <c:v>0.15768463073852296</c:v>
                </c:pt>
                <c:pt idx="141">
                  <c:v>8.2733812949640287E-2</c:v>
                </c:pt>
                <c:pt idx="142">
                  <c:v>9.7402597402597407E-2</c:v>
                </c:pt>
                <c:pt idx="143">
                  <c:v>0.11803278688524591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1-4549-865E-16D7A6DE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46456692913386"/>
                  <c:y val="-0.12515748031496063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RaceWorksheet!$J$2:$J$145</c:f>
              <c:numCache>
                <c:formatCode>0.0%</c:formatCode>
                <c:ptCount val="144"/>
                <c:pt idx="0">
                  <c:v>0.94222222222222218</c:v>
                </c:pt>
                <c:pt idx="1">
                  <c:v>0.94888888888888889</c:v>
                </c:pt>
                <c:pt idx="2">
                  <c:v>0.9913419913419913</c:v>
                </c:pt>
                <c:pt idx="3">
                  <c:v>0.98270893371757928</c:v>
                </c:pt>
                <c:pt idx="4">
                  <c:v>0.99111111111111116</c:v>
                </c:pt>
                <c:pt idx="5">
                  <c:v>0.98888888888888893</c:v>
                </c:pt>
                <c:pt idx="6">
                  <c:v>0.99839999999999995</c:v>
                </c:pt>
                <c:pt idx="7">
                  <c:v>1</c:v>
                </c:pt>
                <c:pt idx="8">
                  <c:v>1</c:v>
                </c:pt>
                <c:pt idx="9">
                  <c:v>0.97777777777777775</c:v>
                </c:pt>
                <c:pt idx="10">
                  <c:v>0.99361702127659579</c:v>
                </c:pt>
                <c:pt idx="11">
                  <c:v>0.98666666666666669</c:v>
                </c:pt>
                <c:pt idx="12">
                  <c:v>0.99333333333333329</c:v>
                </c:pt>
                <c:pt idx="13">
                  <c:v>1</c:v>
                </c:pt>
                <c:pt idx="14">
                  <c:v>0.99853587115666176</c:v>
                </c:pt>
                <c:pt idx="15">
                  <c:v>0.98750000000000004</c:v>
                </c:pt>
                <c:pt idx="16">
                  <c:v>0.99612403100775193</c:v>
                </c:pt>
                <c:pt idx="17">
                  <c:v>0.99612403100775193</c:v>
                </c:pt>
                <c:pt idx="18">
                  <c:v>0.99806576402321079</c:v>
                </c:pt>
                <c:pt idx="19">
                  <c:v>0.20222222222222222</c:v>
                </c:pt>
                <c:pt idx="20">
                  <c:v>0.2088888888888889</c:v>
                </c:pt>
                <c:pt idx="21">
                  <c:v>0.32222222222222224</c:v>
                </c:pt>
                <c:pt idx="22">
                  <c:v>0.31475409836065577</c:v>
                </c:pt>
                <c:pt idx="23">
                  <c:v>0.36721311475409835</c:v>
                </c:pt>
                <c:pt idx="24">
                  <c:v>0.45588235294117646</c:v>
                </c:pt>
                <c:pt idx="25">
                  <c:v>0.63500000000000001</c:v>
                </c:pt>
                <c:pt idx="26">
                  <c:v>0.57040572792362765</c:v>
                </c:pt>
                <c:pt idx="27">
                  <c:v>0.70883054892601427</c:v>
                </c:pt>
                <c:pt idx="28">
                  <c:v>0.66444444444444439</c:v>
                </c:pt>
                <c:pt idx="29">
                  <c:v>0.69111111111111112</c:v>
                </c:pt>
                <c:pt idx="30">
                  <c:v>0.70076335877862594</c:v>
                </c:pt>
                <c:pt idx="31">
                  <c:v>0.72977099236641219</c:v>
                </c:pt>
                <c:pt idx="32">
                  <c:v>0.77557251908396951</c:v>
                </c:pt>
                <c:pt idx="33">
                  <c:v>0.70381679389312979</c:v>
                </c:pt>
                <c:pt idx="34">
                  <c:v>0.70992366412213737</c:v>
                </c:pt>
                <c:pt idx="35">
                  <c:v>0.99777777777777776</c:v>
                </c:pt>
                <c:pt idx="36">
                  <c:v>0.99555555555555553</c:v>
                </c:pt>
                <c:pt idx="37">
                  <c:v>0.99714285714285711</c:v>
                </c:pt>
                <c:pt idx="38">
                  <c:v>1</c:v>
                </c:pt>
                <c:pt idx="39">
                  <c:v>1</c:v>
                </c:pt>
                <c:pt idx="40">
                  <c:v>0.99555555555555553</c:v>
                </c:pt>
                <c:pt idx="41">
                  <c:v>0.99111111111111116</c:v>
                </c:pt>
                <c:pt idx="42">
                  <c:v>0.99496644295302017</c:v>
                </c:pt>
                <c:pt idx="43">
                  <c:v>1</c:v>
                </c:pt>
                <c:pt idx="44">
                  <c:v>1</c:v>
                </c:pt>
                <c:pt idx="45">
                  <c:v>0.91555555555555557</c:v>
                </c:pt>
                <c:pt idx="46">
                  <c:v>0.95320623916811087</c:v>
                </c:pt>
                <c:pt idx="47">
                  <c:v>0.95320623916811087</c:v>
                </c:pt>
                <c:pt idx="48">
                  <c:v>0.94982698961937717</c:v>
                </c:pt>
                <c:pt idx="49">
                  <c:v>0.52888888888888885</c:v>
                </c:pt>
                <c:pt idx="50">
                  <c:v>0.6333333333333333</c:v>
                </c:pt>
                <c:pt idx="51">
                  <c:v>0.58382642998027612</c:v>
                </c:pt>
                <c:pt idx="52">
                  <c:v>0.58382642998027612</c:v>
                </c:pt>
                <c:pt idx="53">
                  <c:v>0.61417322834645671</c:v>
                </c:pt>
                <c:pt idx="54">
                  <c:v>0.54222222222222227</c:v>
                </c:pt>
                <c:pt idx="55">
                  <c:v>0.3935483870967742</c:v>
                </c:pt>
                <c:pt idx="56">
                  <c:v>0.44193548387096776</c:v>
                </c:pt>
                <c:pt idx="57">
                  <c:v>0.51768488745980712</c:v>
                </c:pt>
                <c:pt idx="58">
                  <c:v>0.12888888888888889</c:v>
                </c:pt>
                <c:pt idx="59">
                  <c:v>0.16444444444444445</c:v>
                </c:pt>
                <c:pt idx="60">
                  <c:v>0.15094339622641509</c:v>
                </c:pt>
                <c:pt idx="61">
                  <c:v>0.22955974842767296</c:v>
                </c:pt>
                <c:pt idx="62">
                  <c:v>0.28773584905660377</c:v>
                </c:pt>
                <c:pt idx="63">
                  <c:v>0.330188679245283</c:v>
                </c:pt>
                <c:pt idx="64">
                  <c:v>5.7142857142857143E-3</c:v>
                </c:pt>
                <c:pt idx="65">
                  <c:v>3.4090909090909088E-2</c:v>
                </c:pt>
                <c:pt idx="66">
                  <c:v>0.88666666666666671</c:v>
                </c:pt>
                <c:pt idx="67">
                  <c:v>0.93764988009592332</c:v>
                </c:pt>
                <c:pt idx="68">
                  <c:v>0.97846889952153115</c:v>
                </c:pt>
                <c:pt idx="69">
                  <c:v>0.16888888888888889</c:v>
                </c:pt>
                <c:pt idx="70">
                  <c:v>0.2688888888888889</c:v>
                </c:pt>
                <c:pt idx="71">
                  <c:v>0.28268551236749118</c:v>
                </c:pt>
                <c:pt idx="72">
                  <c:v>0.34744268077601409</c:v>
                </c:pt>
                <c:pt idx="73">
                  <c:v>0.99555555555555553</c:v>
                </c:pt>
                <c:pt idx="74">
                  <c:v>0.99281609195402298</c:v>
                </c:pt>
                <c:pt idx="75">
                  <c:v>1</c:v>
                </c:pt>
                <c:pt idx="76">
                  <c:v>0.72571428571428576</c:v>
                </c:pt>
                <c:pt idx="77">
                  <c:v>0.8321513002364066</c:v>
                </c:pt>
                <c:pt idx="78">
                  <c:v>0.50609756097560976</c:v>
                </c:pt>
                <c:pt idx="79">
                  <c:v>6.623931623931624E-2</c:v>
                </c:pt>
                <c:pt idx="80">
                  <c:v>0.22865853658536586</c:v>
                </c:pt>
                <c:pt idx="81">
                  <c:v>0.85499999999999998</c:v>
                </c:pt>
                <c:pt idx="82">
                  <c:v>0.90749999999999997</c:v>
                </c:pt>
                <c:pt idx="83">
                  <c:v>0.90211132437619956</c:v>
                </c:pt>
                <c:pt idx="84">
                  <c:v>0.95777351247600773</c:v>
                </c:pt>
                <c:pt idx="85">
                  <c:v>0.9254302103250478</c:v>
                </c:pt>
                <c:pt idx="86">
                  <c:v>0.76444444444444448</c:v>
                </c:pt>
                <c:pt idx="87">
                  <c:v>0.77555555555555555</c:v>
                </c:pt>
                <c:pt idx="88">
                  <c:v>0.85</c:v>
                </c:pt>
                <c:pt idx="89">
                  <c:v>0.84482758620689657</c:v>
                </c:pt>
                <c:pt idx="90">
                  <c:v>0.82817869415807566</c:v>
                </c:pt>
                <c:pt idx="91">
                  <c:v>0.98</c:v>
                </c:pt>
                <c:pt idx="92">
                  <c:v>0.98379629629629628</c:v>
                </c:pt>
                <c:pt idx="93">
                  <c:v>0.98614318706697457</c:v>
                </c:pt>
                <c:pt idx="94">
                  <c:v>0.71750000000000003</c:v>
                </c:pt>
                <c:pt idx="95">
                  <c:v>0.89051094890510951</c:v>
                </c:pt>
                <c:pt idx="96">
                  <c:v>0.95388349514563109</c:v>
                </c:pt>
                <c:pt idx="97">
                  <c:v>0.60444444444444445</c:v>
                </c:pt>
                <c:pt idx="98">
                  <c:v>0.67777777777777781</c:v>
                </c:pt>
                <c:pt idx="99">
                  <c:v>0.55081967213114758</c:v>
                </c:pt>
                <c:pt idx="100">
                  <c:v>0.5311475409836065</c:v>
                </c:pt>
                <c:pt idx="101">
                  <c:v>0.66557377049180333</c:v>
                </c:pt>
                <c:pt idx="102">
                  <c:v>0.69508196721311477</c:v>
                </c:pt>
                <c:pt idx="103">
                  <c:v>0.66885245901639345</c:v>
                </c:pt>
                <c:pt idx="104">
                  <c:v>0.64820846905537455</c:v>
                </c:pt>
                <c:pt idx="105">
                  <c:v>9.7777777777777783E-2</c:v>
                </c:pt>
                <c:pt idx="106">
                  <c:v>0.10888888888888888</c:v>
                </c:pt>
                <c:pt idx="107">
                  <c:v>0.16444444444444445</c:v>
                </c:pt>
                <c:pt idx="108">
                  <c:v>0.15407854984894259</c:v>
                </c:pt>
                <c:pt idx="109">
                  <c:v>0.23413897280966767</c:v>
                </c:pt>
                <c:pt idx="110">
                  <c:v>0.38821752265861026</c:v>
                </c:pt>
                <c:pt idx="111">
                  <c:v>0.32779456193353473</c:v>
                </c:pt>
                <c:pt idx="112">
                  <c:v>0.29333333333333333</c:v>
                </c:pt>
                <c:pt idx="113">
                  <c:v>0.4177777777777778</c:v>
                </c:pt>
                <c:pt idx="114">
                  <c:v>0.61208576998050679</c:v>
                </c:pt>
                <c:pt idx="115">
                  <c:v>0.15111111111111111</c:v>
                </c:pt>
                <c:pt idx="116">
                  <c:v>0.10888888888888888</c:v>
                </c:pt>
                <c:pt idx="117">
                  <c:v>0.13351877607788595</c:v>
                </c:pt>
                <c:pt idx="118">
                  <c:v>0.21835883171070933</c:v>
                </c:pt>
                <c:pt idx="119">
                  <c:v>0.20277777777777778</c:v>
                </c:pt>
                <c:pt idx="120">
                  <c:v>0.21249999999999999</c:v>
                </c:pt>
                <c:pt idx="121">
                  <c:v>0.26666666666666666</c:v>
                </c:pt>
                <c:pt idx="122">
                  <c:v>0.29555555555555557</c:v>
                </c:pt>
                <c:pt idx="123">
                  <c:v>0.21166666666666667</c:v>
                </c:pt>
                <c:pt idx="124">
                  <c:v>0.29783693843594011</c:v>
                </c:pt>
                <c:pt idx="125">
                  <c:v>0.30782029950083195</c:v>
                </c:pt>
                <c:pt idx="126">
                  <c:v>0.28119800332778699</c:v>
                </c:pt>
                <c:pt idx="127">
                  <c:v>0.27953410981697169</c:v>
                </c:pt>
                <c:pt idx="128">
                  <c:v>0.27620632279534107</c:v>
                </c:pt>
                <c:pt idx="129">
                  <c:v>0.98</c:v>
                </c:pt>
                <c:pt idx="130">
                  <c:v>0.99025341130604283</c:v>
                </c:pt>
                <c:pt idx="131">
                  <c:v>0.91749999999999998</c:v>
                </c:pt>
                <c:pt idx="132">
                  <c:v>0.90118577075098816</c:v>
                </c:pt>
                <c:pt idx="133">
                  <c:v>0.72131147540983609</c:v>
                </c:pt>
                <c:pt idx="134">
                  <c:v>0.73224043715846998</c:v>
                </c:pt>
                <c:pt idx="135">
                  <c:v>0.25333333333333335</c:v>
                </c:pt>
                <c:pt idx="136">
                  <c:v>0.19777777777777777</c:v>
                </c:pt>
                <c:pt idx="137">
                  <c:v>0.1676829268292683</c:v>
                </c:pt>
                <c:pt idx="138">
                  <c:v>0.26371951219512196</c:v>
                </c:pt>
                <c:pt idx="139">
                  <c:v>0.26371951219512196</c:v>
                </c:pt>
                <c:pt idx="140">
                  <c:v>0.33384146341463417</c:v>
                </c:pt>
                <c:pt idx="141">
                  <c:v>0.1575</c:v>
                </c:pt>
                <c:pt idx="142">
                  <c:v>0.24090909090909091</c:v>
                </c:pt>
                <c:pt idx="143">
                  <c:v>0.2471655328798186</c:v>
                </c:pt>
              </c:numCache>
            </c:numRef>
          </c:xVal>
          <c:yVal>
            <c:numRef>
              <c:f>RaceWorksheet!$C$2:$C$145</c:f>
              <c:numCache>
                <c:formatCode>0.0%</c:formatCode>
                <c:ptCount val="144"/>
                <c:pt idx="0">
                  <c:v>0.72486772486772488</c:v>
                </c:pt>
                <c:pt idx="1">
                  <c:v>0.62994350282485878</c:v>
                </c:pt>
                <c:pt idx="2">
                  <c:v>0.51272015655577297</c:v>
                </c:pt>
                <c:pt idx="3">
                  <c:v>0.46654275092936803</c:v>
                </c:pt>
                <c:pt idx="4">
                  <c:v>0.75476839237057225</c:v>
                </c:pt>
                <c:pt idx="5">
                  <c:v>0.68253968253968256</c:v>
                </c:pt>
                <c:pt idx="6">
                  <c:v>0.53594771241830064</c:v>
                </c:pt>
                <c:pt idx="7">
                  <c:v>0.51975051975051978</c:v>
                </c:pt>
                <c:pt idx="8">
                  <c:v>0.48199999999999998</c:v>
                </c:pt>
                <c:pt idx="9">
                  <c:v>0.58263305322128855</c:v>
                </c:pt>
                <c:pt idx="10">
                  <c:v>0.40175953079178883</c:v>
                </c:pt>
                <c:pt idx="11">
                  <c:v>0.73566878980891715</c:v>
                </c:pt>
                <c:pt idx="12">
                  <c:v>0.57834757834757833</c:v>
                </c:pt>
                <c:pt idx="13">
                  <c:v>0.43991416309012876</c:v>
                </c:pt>
                <c:pt idx="14">
                  <c:v>0.42716535433070868</c:v>
                </c:pt>
                <c:pt idx="15">
                  <c:v>0.70532915360501569</c:v>
                </c:pt>
                <c:pt idx="16">
                  <c:v>0.59553349875930517</c:v>
                </c:pt>
                <c:pt idx="17">
                  <c:v>0.45767195767195767</c:v>
                </c:pt>
                <c:pt idx="18">
                  <c:v>0.45522388059701491</c:v>
                </c:pt>
                <c:pt idx="19">
                  <c:v>0.27710843373493976</c:v>
                </c:pt>
                <c:pt idx="20">
                  <c:v>0.21981424148606812</c:v>
                </c:pt>
                <c:pt idx="21">
                  <c:v>0.2767857142857143</c:v>
                </c:pt>
                <c:pt idx="22">
                  <c:v>0.20558375634517767</c:v>
                </c:pt>
                <c:pt idx="23">
                  <c:v>0.20954907161803712</c:v>
                </c:pt>
                <c:pt idx="24">
                  <c:v>0.22624434389140272</c:v>
                </c:pt>
                <c:pt idx="25">
                  <c:v>0.53846153846153844</c:v>
                </c:pt>
                <c:pt idx="26">
                  <c:v>0.38489208633093525</c:v>
                </c:pt>
                <c:pt idx="27">
                  <c:v>0.37630662020905925</c:v>
                </c:pt>
                <c:pt idx="28">
                  <c:v>0.2978723404255319</c:v>
                </c:pt>
                <c:pt idx="29">
                  <c:v>0.32198142414860681</c:v>
                </c:pt>
                <c:pt idx="30">
                  <c:v>0.29210526315789476</c:v>
                </c:pt>
                <c:pt idx="31">
                  <c:v>0.26036866359447003</c:v>
                </c:pt>
                <c:pt idx="32">
                  <c:v>0.43018867924528303</c:v>
                </c:pt>
                <c:pt idx="33">
                  <c:v>0.24822695035460993</c:v>
                </c:pt>
                <c:pt idx="34">
                  <c:v>0.20578778135048231</c:v>
                </c:pt>
                <c:pt idx="35">
                  <c:v>0.7493333333333333</c:v>
                </c:pt>
                <c:pt idx="36">
                  <c:v>0.5802139037433155</c:v>
                </c:pt>
                <c:pt idx="37">
                  <c:v>0.52091254752851712</c:v>
                </c:pt>
                <c:pt idx="38">
                  <c:v>0.46588693957115007</c:v>
                </c:pt>
                <c:pt idx="39">
                  <c:v>0.43283582089552236</c:v>
                </c:pt>
                <c:pt idx="40">
                  <c:v>0.75</c:v>
                </c:pt>
                <c:pt idx="41">
                  <c:v>0.72448979591836737</c:v>
                </c:pt>
                <c:pt idx="42">
                  <c:v>0.47333333333333333</c:v>
                </c:pt>
                <c:pt idx="43">
                  <c:v>0.4358974358974359</c:v>
                </c:pt>
                <c:pt idx="44">
                  <c:v>0.3902439024390244</c:v>
                </c:pt>
                <c:pt idx="45">
                  <c:v>0.73291925465838514</c:v>
                </c:pt>
                <c:pt idx="46">
                  <c:v>0.60045146726862297</c:v>
                </c:pt>
                <c:pt idx="47">
                  <c:v>0.46116504854368934</c:v>
                </c:pt>
                <c:pt idx="48">
                  <c:v>0.45475638051044082</c:v>
                </c:pt>
                <c:pt idx="49">
                  <c:v>0.49546827794561932</c:v>
                </c:pt>
                <c:pt idx="50">
                  <c:v>0.46831955922865015</c:v>
                </c:pt>
                <c:pt idx="51">
                  <c:v>0.35483870967741937</c:v>
                </c:pt>
                <c:pt idx="52">
                  <c:v>0.30747126436781608</c:v>
                </c:pt>
                <c:pt idx="53">
                  <c:v>0.34383202099737531</c:v>
                </c:pt>
                <c:pt idx="54">
                  <c:v>0.2507836990595611</c:v>
                </c:pt>
                <c:pt idx="55">
                  <c:v>0.20110192837465565</c:v>
                </c:pt>
                <c:pt idx="56">
                  <c:v>0.16241299303944315</c:v>
                </c:pt>
                <c:pt idx="57">
                  <c:v>0.15186915887850466</c:v>
                </c:pt>
                <c:pt idx="58">
                  <c:v>0.19294117647058823</c:v>
                </c:pt>
                <c:pt idx="59">
                  <c:v>0.20200000000000001</c:v>
                </c:pt>
                <c:pt idx="60">
                  <c:v>0.43817204301075269</c:v>
                </c:pt>
                <c:pt idx="61">
                  <c:v>0.27166276346604218</c:v>
                </c:pt>
                <c:pt idx="62">
                  <c:v>0.26107226107226106</c:v>
                </c:pt>
                <c:pt idx="63">
                  <c:v>0.30360934182590232</c:v>
                </c:pt>
                <c:pt idx="64">
                  <c:v>0.28015564202334631</c:v>
                </c:pt>
                <c:pt idx="65">
                  <c:v>0.15596330275229359</c:v>
                </c:pt>
                <c:pt idx="66">
                  <c:v>0.71708683473389356</c:v>
                </c:pt>
                <c:pt idx="67">
                  <c:v>0.57281553398058249</c:v>
                </c:pt>
                <c:pt idx="68">
                  <c:v>0.58805970149253728</c:v>
                </c:pt>
                <c:pt idx="69">
                  <c:v>0.33993399339933994</c:v>
                </c:pt>
                <c:pt idx="70">
                  <c:v>0.32903225806451614</c:v>
                </c:pt>
                <c:pt idx="71">
                  <c:v>0.23839009287925697</c:v>
                </c:pt>
                <c:pt idx="72">
                  <c:v>0.30659025787965616</c:v>
                </c:pt>
                <c:pt idx="73">
                  <c:v>0.78143712574850299</c:v>
                </c:pt>
                <c:pt idx="74">
                  <c:v>0.5700575815738963</c:v>
                </c:pt>
                <c:pt idx="75">
                  <c:v>0.52713178294573648</c:v>
                </c:pt>
                <c:pt idx="76">
                  <c:v>0.56756756756756754</c:v>
                </c:pt>
                <c:pt idx="77">
                  <c:v>0.49174917491749176</c:v>
                </c:pt>
                <c:pt idx="78">
                  <c:v>0.58490566037735847</c:v>
                </c:pt>
                <c:pt idx="79">
                  <c:v>0.21994134897360704</c:v>
                </c:pt>
                <c:pt idx="80">
                  <c:v>0.22708333333333333</c:v>
                </c:pt>
                <c:pt idx="81">
                  <c:v>0.71474358974358976</c:v>
                </c:pt>
                <c:pt idx="82">
                  <c:v>0.65294117647058825</c:v>
                </c:pt>
                <c:pt idx="83">
                  <c:v>0.45669291338582679</c:v>
                </c:pt>
                <c:pt idx="84">
                  <c:v>0.46153846153846156</c:v>
                </c:pt>
                <c:pt idx="85">
                  <c:v>0.45063291139240508</c:v>
                </c:pt>
                <c:pt idx="86">
                  <c:v>0.49235474006116209</c:v>
                </c:pt>
                <c:pt idx="87">
                  <c:v>0.43869209809264303</c:v>
                </c:pt>
                <c:pt idx="88">
                  <c:v>0.38031319910514544</c:v>
                </c:pt>
                <c:pt idx="89">
                  <c:v>0.36893203883495146</c:v>
                </c:pt>
                <c:pt idx="90">
                  <c:v>0.40789473684210525</c:v>
                </c:pt>
                <c:pt idx="91">
                  <c:v>0.61022364217252401</c:v>
                </c:pt>
                <c:pt idx="92">
                  <c:v>0.54705882352941182</c:v>
                </c:pt>
                <c:pt idx="93">
                  <c:v>0.57821229050279332</c:v>
                </c:pt>
                <c:pt idx="94">
                  <c:v>0.51648351648351654</c:v>
                </c:pt>
                <c:pt idx="95">
                  <c:v>0.49373433583959897</c:v>
                </c:pt>
                <c:pt idx="96">
                  <c:v>0.34325396825396826</c:v>
                </c:pt>
                <c:pt idx="97">
                  <c:v>0.31531531531531531</c:v>
                </c:pt>
                <c:pt idx="98">
                  <c:v>0.30769230769230771</c:v>
                </c:pt>
                <c:pt idx="99">
                  <c:v>0.35520361990950228</c:v>
                </c:pt>
                <c:pt idx="100">
                  <c:v>0.29175475687103591</c:v>
                </c:pt>
                <c:pt idx="101">
                  <c:v>0.26810176125244617</c:v>
                </c:pt>
                <c:pt idx="102">
                  <c:v>0.59121621621621623</c:v>
                </c:pt>
                <c:pt idx="103">
                  <c:v>0.55623100303951367</c:v>
                </c:pt>
                <c:pt idx="104">
                  <c:v>0.45945945945945948</c:v>
                </c:pt>
                <c:pt idx="105">
                  <c:v>0.17391304347826086</c:v>
                </c:pt>
                <c:pt idx="106">
                  <c:v>0.18478260869565216</c:v>
                </c:pt>
                <c:pt idx="107">
                  <c:v>0.14323607427055704</c:v>
                </c:pt>
                <c:pt idx="108">
                  <c:v>0.14689265536723164</c:v>
                </c:pt>
                <c:pt idx="109">
                  <c:v>0.14105263157894737</c:v>
                </c:pt>
                <c:pt idx="110">
                  <c:v>0.1875</c:v>
                </c:pt>
                <c:pt idx="111">
                  <c:v>0.17901234567901234</c:v>
                </c:pt>
                <c:pt idx="112">
                  <c:v>0.31475409836065577</c:v>
                </c:pt>
                <c:pt idx="113">
                  <c:v>0.31044776119402984</c:v>
                </c:pt>
                <c:pt idx="114">
                  <c:v>0.23738872403560832</c:v>
                </c:pt>
                <c:pt idx="115">
                  <c:v>0.29878048780487804</c:v>
                </c:pt>
                <c:pt idx="116">
                  <c:v>0.25277777777777777</c:v>
                </c:pt>
                <c:pt idx="117">
                  <c:v>0.16560509554140126</c:v>
                </c:pt>
                <c:pt idx="118">
                  <c:v>0.17449664429530201</c:v>
                </c:pt>
                <c:pt idx="119">
                  <c:v>0.13711583924349882</c:v>
                </c:pt>
                <c:pt idx="120">
                  <c:v>0.13432835820895522</c:v>
                </c:pt>
                <c:pt idx="121">
                  <c:v>0.14532019704433496</c:v>
                </c:pt>
                <c:pt idx="122">
                  <c:v>0.13449023861171366</c:v>
                </c:pt>
                <c:pt idx="123">
                  <c:v>0.17133956386292834</c:v>
                </c:pt>
                <c:pt idx="124">
                  <c:v>0.12362637362637363</c:v>
                </c:pt>
                <c:pt idx="125">
                  <c:v>0.12264150943396226</c:v>
                </c:pt>
                <c:pt idx="126">
                  <c:v>0.12048192771084337</c:v>
                </c:pt>
                <c:pt idx="127">
                  <c:v>9.0146750524109018E-2</c:v>
                </c:pt>
                <c:pt idx="128">
                  <c:v>0.1044776119402985</c:v>
                </c:pt>
                <c:pt idx="129">
                  <c:v>0.68652037617554862</c:v>
                </c:pt>
                <c:pt idx="130">
                  <c:v>0.54040404040404044</c:v>
                </c:pt>
                <c:pt idx="131">
                  <c:v>0.60702875399361023</c:v>
                </c:pt>
                <c:pt idx="132">
                  <c:v>0.43859649122807015</c:v>
                </c:pt>
                <c:pt idx="133">
                  <c:v>0.44363636363636366</c:v>
                </c:pt>
                <c:pt idx="134">
                  <c:v>0.32857142857142857</c:v>
                </c:pt>
                <c:pt idx="135">
                  <c:v>0.19745222929936307</c:v>
                </c:pt>
                <c:pt idx="136">
                  <c:v>0.20744680851063829</c:v>
                </c:pt>
                <c:pt idx="137">
                  <c:v>0.12085769980506822</c:v>
                </c:pt>
                <c:pt idx="138">
                  <c:v>0.15800865800865802</c:v>
                </c:pt>
                <c:pt idx="139">
                  <c:v>0.12300683371298406</c:v>
                </c:pt>
                <c:pt idx="140">
                  <c:v>0.12574850299401197</c:v>
                </c:pt>
                <c:pt idx="141">
                  <c:v>0.14388489208633093</c:v>
                </c:pt>
                <c:pt idx="142">
                  <c:v>0.17532467532467533</c:v>
                </c:pt>
                <c:pt idx="143">
                  <c:v>9.8360655737704916E-2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E-47A9-BE55-29B6192FA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954724409448818E-2"/>
                  <c:y val="-4.5468431029454651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RaceWorksheet!$K$2:$K$145</c:f>
              <c:numCache>
                <c:formatCode>0.0%</c:formatCode>
                <c:ptCount val="144"/>
                <c:pt idx="0">
                  <c:v>3.3333333333333333E-2</c:v>
                </c:pt>
                <c:pt idx="1">
                  <c:v>3.7777777777777778E-2</c:v>
                </c:pt>
                <c:pt idx="2">
                  <c:v>2.886002886002886E-3</c:v>
                </c:pt>
                <c:pt idx="3">
                  <c:v>1.2968299711815562E-2</c:v>
                </c:pt>
                <c:pt idx="4">
                  <c:v>4.4444444444444444E-3</c:v>
                </c:pt>
                <c:pt idx="5">
                  <c:v>4.4444444444444444E-3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2.2222222222222222E-3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5.0000000000000001E-3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0.63111111111111107</c:v>
                </c:pt>
                <c:pt idx="20">
                  <c:v>0.64666666666666661</c:v>
                </c:pt>
                <c:pt idx="21">
                  <c:v>0.5444444444444444</c:v>
                </c:pt>
                <c:pt idx="22">
                  <c:v>0.53278688524590168</c:v>
                </c:pt>
                <c:pt idx="23">
                  <c:v>0.48360655737704916</c:v>
                </c:pt>
                <c:pt idx="24">
                  <c:v>0.3562091503267974</c:v>
                </c:pt>
                <c:pt idx="25">
                  <c:v>7.0000000000000007E-2</c:v>
                </c:pt>
                <c:pt idx="26">
                  <c:v>0.13842482100238662</c:v>
                </c:pt>
                <c:pt idx="27">
                  <c:v>0.10501193317422435</c:v>
                </c:pt>
                <c:pt idx="28">
                  <c:v>0.12666666666666668</c:v>
                </c:pt>
                <c:pt idx="29">
                  <c:v>0.12222222222222222</c:v>
                </c:pt>
                <c:pt idx="30">
                  <c:v>8.8549618320610687E-2</c:v>
                </c:pt>
                <c:pt idx="31">
                  <c:v>9.7709923664122136E-2</c:v>
                </c:pt>
                <c:pt idx="32">
                  <c:v>7.6335877862595422E-2</c:v>
                </c:pt>
                <c:pt idx="33">
                  <c:v>0.15572519083969466</c:v>
                </c:pt>
                <c:pt idx="34">
                  <c:v>0.1099236641221374</c:v>
                </c:pt>
                <c:pt idx="35">
                  <c:v>2.2222222222222222E-3</c:v>
                </c:pt>
                <c:pt idx="36">
                  <c:v>2.2222222222222222E-3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1.3333333333333334E-2</c:v>
                </c:pt>
                <c:pt idx="46">
                  <c:v>3.4662045060658577E-3</c:v>
                </c:pt>
                <c:pt idx="47">
                  <c:v>0</c:v>
                </c:pt>
                <c:pt idx="48">
                  <c:v>0</c:v>
                </c:pt>
                <c:pt idx="49">
                  <c:v>0.38444444444444442</c:v>
                </c:pt>
                <c:pt idx="50">
                  <c:v>0.29333333333333333</c:v>
                </c:pt>
                <c:pt idx="51">
                  <c:v>0.29388560157790927</c:v>
                </c:pt>
                <c:pt idx="52">
                  <c:v>0.2978303747534517</c:v>
                </c:pt>
                <c:pt idx="53">
                  <c:v>0.26181102362204722</c:v>
                </c:pt>
                <c:pt idx="54">
                  <c:v>0.21333333333333335</c:v>
                </c:pt>
                <c:pt idx="55">
                  <c:v>0.28870967741935483</c:v>
                </c:pt>
                <c:pt idx="56">
                  <c:v>0.31612903225806449</c:v>
                </c:pt>
                <c:pt idx="57">
                  <c:v>0.23633440514469453</c:v>
                </c:pt>
                <c:pt idx="58">
                  <c:v>0.5822222222222222</c:v>
                </c:pt>
                <c:pt idx="59">
                  <c:v>0.54222222222222227</c:v>
                </c:pt>
                <c:pt idx="60">
                  <c:v>0.47327044025157233</c:v>
                </c:pt>
                <c:pt idx="61">
                  <c:v>0.42452830188679247</c:v>
                </c:pt>
                <c:pt idx="62">
                  <c:v>0.36949685534591192</c:v>
                </c:pt>
                <c:pt idx="63">
                  <c:v>0.29559748427672955</c:v>
                </c:pt>
                <c:pt idx="64">
                  <c:v>0.8828571428571429</c:v>
                </c:pt>
                <c:pt idx="65">
                  <c:v>0.84375</c:v>
                </c:pt>
                <c:pt idx="66">
                  <c:v>8.2222222222222224E-2</c:v>
                </c:pt>
                <c:pt idx="67">
                  <c:v>5.2757793764988008E-2</c:v>
                </c:pt>
                <c:pt idx="68">
                  <c:v>1.9138755980861243E-2</c:v>
                </c:pt>
                <c:pt idx="69">
                  <c:v>0.68</c:v>
                </c:pt>
                <c:pt idx="70">
                  <c:v>0.5444444444444444</c:v>
                </c:pt>
                <c:pt idx="71">
                  <c:v>0.4575971731448763</c:v>
                </c:pt>
                <c:pt idx="72">
                  <c:v>0.40211640211640209</c:v>
                </c:pt>
                <c:pt idx="73">
                  <c:v>4.4444444444444444E-3</c:v>
                </c:pt>
                <c:pt idx="74">
                  <c:v>5.7471264367816091E-3</c:v>
                </c:pt>
                <c:pt idx="75">
                  <c:v>0</c:v>
                </c:pt>
                <c:pt idx="76">
                  <c:v>0.12285714285714286</c:v>
                </c:pt>
                <c:pt idx="77">
                  <c:v>0.1182033096926714</c:v>
                </c:pt>
                <c:pt idx="78">
                  <c:v>0.16463414634146342</c:v>
                </c:pt>
                <c:pt idx="79">
                  <c:v>0.37393162393162394</c:v>
                </c:pt>
                <c:pt idx="80">
                  <c:v>0.54268292682926833</c:v>
                </c:pt>
                <c:pt idx="81">
                  <c:v>7.2499999999999995E-2</c:v>
                </c:pt>
                <c:pt idx="82">
                  <c:v>3.2500000000000001E-2</c:v>
                </c:pt>
                <c:pt idx="83">
                  <c:v>3.0710172744721688E-2</c:v>
                </c:pt>
                <c:pt idx="84">
                  <c:v>9.5969289827255271E-3</c:v>
                </c:pt>
                <c:pt idx="85">
                  <c:v>2.2944550669216062E-2</c:v>
                </c:pt>
                <c:pt idx="86">
                  <c:v>0.10444444444444445</c:v>
                </c:pt>
                <c:pt idx="87">
                  <c:v>9.555555555555556E-2</c:v>
                </c:pt>
                <c:pt idx="88">
                  <c:v>3.9655172413793106E-2</c:v>
                </c:pt>
                <c:pt idx="89">
                  <c:v>4.4827586206896551E-2</c:v>
                </c:pt>
                <c:pt idx="90">
                  <c:v>6.1855670103092786E-2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0.06</c:v>
                </c:pt>
                <c:pt idx="95">
                  <c:v>2.4330900243309003E-3</c:v>
                </c:pt>
                <c:pt idx="96">
                  <c:v>7.2815533980582527E-3</c:v>
                </c:pt>
                <c:pt idx="97">
                  <c:v>0.16888888888888889</c:v>
                </c:pt>
                <c:pt idx="98">
                  <c:v>0.13555555555555557</c:v>
                </c:pt>
                <c:pt idx="99">
                  <c:v>0.2</c:v>
                </c:pt>
                <c:pt idx="100">
                  <c:v>0.21803278688524591</c:v>
                </c:pt>
                <c:pt idx="101">
                  <c:v>0.16229508196721312</c:v>
                </c:pt>
                <c:pt idx="102">
                  <c:v>0.14262295081967213</c:v>
                </c:pt>
                <c:pt idx="103">
                  <c:v>0.16721311475409836</c:v>
                </c:pt>
                <c:pt idx="104">
                  <c:v>0.13680781758957655</c:v>
                </c:pt>
                <c:pt idx="105">
                  <c:v>0.79777777777777781</c:v>
                </c:pt>
                <c:pt idx="106">
                  <c:v>0.76222222222222225</c:v>
                </c:pt>
                <c:pt idx="107">
                  <c:v>0.72444444444444445</c:v>
                </c:pt>
                <c:pt idx="108">
                  <c:v>0.71148036253776437</c:v>
                </c:pt>
                <c:pt idx="109">
                  <c:v>0.52719033232628398</c:v>
                </c:pt>
                <c:pt idx="110">
                  <c:v>0.39123867069486407</c:v>
                </c:pt>
                <c:pt idx="111">
                  <c:v>0.43202416918429004</c:v>
                </c:pt>
                <c:pt idx="112">
                  <c:v>0.52888888888888885</c:v>
                </c:pt>
                <c:pt idx="113">
                  <c:v>0.4622222222222222</c:v>
                </c:pt>
                <c:pt idx="114">
                  <c:v>0.28849902534113059</c:v>
                </c:pt>
                <c:pt idx="115">
                  <c:v>0.67555555555555558</c:v>
                </c:pt>
                <c:pt idx="116">
                  <c:v>0.65777777777777779</c:v>
                </c:pt>
                <c:pt idx="117">
                  <c:v>0.69680111265646727</c:v>
                </c:pt>
                <c:pt idx="118">
                  <c:v>0.62030598052851182</c:v>
                </c:pt>
                <c:pt idx="119">
                  <c:v>0.59305555555555556</c:v>
                </c:pt>
                <c:pt idx="120">
                  <c:v>0.56805555555555554</c:v>
                </c:pt>
                <c:pt idx="121">
                  <c:v>0.47333333333333333</c:v>
                </c:pt>
                <c:pt idx="122">
                  <c:v>0.50444444444444447</c:v>
                </c:pt>
                <c:pt idx="123">
                  <c:v>0.45333333333333331</c:v>
                </c:pt>
                <c:pt idx="124">
                  <c:v>0.47088186356073214</c:v>
                </c:pt>
                <c:pt idx="125">
                  <c:v>0.50083194675540765</c:v>
                </c:pt>
                <c:pt idx="126">
                  <c:v>0.52911813643926786</c:v>
                </c:pt>
                <c:pt idx="127">
                  <c:v>0.52412645590682194</c:v>
                </c:pt>
                <c:pt idx="128">
                  <c:v>0.50582362728785357</c:v>
                </c:pt>
                <c:pt idx="129">
                  <c:v>1.2500000000000001E-2</c:v>
                </c:pt>
                <c:pt idx="130">
                  <c:v>3.8986354775828458E-3</c:v>
                </c:pt>
                <c:pt idx="131">
                  <c:v>2.5000000000000001E-2</c:v>
                </c:pt>
                <c:pt idx="132">
                  <c:v>1.9762845849802372E-2</c:v>
                </c:pt>
                <c:pt idx="133">
                  <c:v>0.1448087431693989</c:v>
                </c:pt>
                <c:pt idx="134">
                  <c:v>0.13934426229508196</c:v>
                </c:pt>
                <c:pt idx="135">
                  <c:v>0.56222222222222218</c:v>
                </c:pt>
                <c:pt idx="136">
                  <c:v>0.63111111111111107</c:v>
                </c:pt>
                <c:pt idx="137">
                  <c:v>0.625</c:v>
                </c:pt>
                <c:pt idx="138">
                  <c:v>0.53810975609756095</c:v>
                </c:pt>
                <c:pt idx="139">
                  <c:v>0.58384146341463417</c:v>
                </c:pt>
                <c:pt idx="140">
                  <c:v>0.51219512195121952</c:v>
                </c:pt>
                <c:pt idx="141">
                  <c:v>0.625</c:v>
                </c:pt>
                <c:pt idx="142">
                  <c:v>0.54318181818181821</c:v>
                </c:pt>
                <c:pt idx="143">
                  <c:v>0.52380952380952384</c:v>
                </c:pt>
              </c:numCache>
            </c:numRef>
          </c:xVal>
          <c:yVal>
            <c:numRef>
              <c:f>RaceWorksheet!$A$2:$A$145</c:f>
              <c:numCache>
                <c:formatCode>0.0%</c:formatCode>
                <c:ptCount val="144"/>
                <c:pt idx="0">
                  <c:v>0.11904761904761904</c:v>
                </c:pt>
                <c:pt idx="1">
                  <c:v>9.3220338983050849E-2</c:v>
                </c:pt>
                <c:pt idx="2">
                  <c:v>0.11350293542074363</c:v>
                </c:pt>
                <c:pt idx="3">
                  <c:v>9.6654275092936809E-2</c:v>
                </c:pt>
                <c:pt idx="4">
                  <c:v>9.264305177111716E-2</c:v>
                </c:pt>
                <c:pt idx="5">
                  <c:v>0.10582010582010581</c:v>
                </c:pt>
                <c:pt idx="6">
                  <c:v>9.8039215686274508E-2</c:v>
                </c:pt>
                <c:pt idx="7">
                  <c:v>0.10810810810810811</c:v>
                </c:pt>
                <c:pt idx="8">
                  <c:v>0.106</c:v>
                </c:pt>
                <c:pt idx="9">
                  <c:v>0.14565826330532214</c:v>
                </c:pt>
                <c:pt idx="10">
                  <c:v>0.14369501466275661</c:v>
                </c:pt>
                <c:pt idx="11">
                  <c:v>6.0509554140127389E-2</c:v>
                </c:pt>
                <c:pt idx="12">
                  <c:v>0.10826210826210826</c:v>
                </c:pt>
                <c:pt idx="13">
                  <c:v>0.12875536480686695</c:v>
                </c:pt>
                <c:pt idx="14">
                  <c:v>0.12007874015748031</c:v>
                </c:pt>
                <c:pt idx="15">
                  <c:v>9.7178683385579931E-2</c:v>
                </c:pt>
                <c:pt idx="16">
                  <c:v>9.4292803970223327E-2</c:v>
                </c:pt>
                <c:pt idx="17">
                  <c:v>0.1164021164021164</c:v>
                </c:pt>
                <c:pt idx="18">
                  <c:v>0.12189054726368159</c:v>
                </c:pt>
                <c:pt idx="19">
                  <c:v>0.60642570281124497</c:v>
                </c:pt>
                <c:pt idx="20">
                  <c:v>0.67182662538699689</c:v>
                </c:pt>
                <c:pt idx="21">
                  <c:v>0.6071428571428571</c:v>
                </c:pt>
                <c:pt idx="22">
                  <c:v>0.62436548223350252</c:v>
                </c:pt>
                <c:pt idx="23">
                  <c:v>0.59681697612732099</c:v>
                </c:pt>
                <c:pt idx="24">
                  <c:v>0.52488687782805432</c:v>
                </c:pt>
                <c:pt idx="25">
                  <c:v>0.25443786982248523</c:v>
                </c:pt>
                <c:pt idx="26">
                  <c:v>0.36690647482014388</c:v>
                </c:pt>
                <c:pt idx="27">
                  <c:v>0.24041811846689895</c:v>
                </c:pt>
                <c:pt idx="28">
                  <c:v>0.27304964539007093</c:v>
                </c:pt>
                <c:pt idx="29">
                  <c:v>0.25386996904024767</c:v>
                </c:pt>
                <c:pt idx="30">
                  <c:v>0.3236842105263158</c:v>
                </c:pt>
                <c:pt idx="31">
                  <c:v>0.34792626728110598</c:v>
                </c:pt>
                <c:pt idx="32">
                  <c:v>0.26415094339622641</c:v>
                </c:pt>
                <c:pt idx="33">
                  <c:v>0.43971631205673761</c:v>
                </c:pt>
                <c:pt idx="34">
                  <c:v>0.3762057877813505</c:v>
                </c:pt>
                <c:pt idx="35">
                  <c:v>6.133333333333333E-2</c:v>
                </c:pt>
                <c:pt idx="36">
                  <c:v>0.10695187165775401</c:v>
                </c:pt>
                <c:pt idx="37">
                  <c:v>8.9353612167300381E-2</c:v>
                </c:pt>
                <c:pt idx="38">
                  <c:v>8.5769980506822607E-2</c:v>
                </c:pt>
                <c:pt idx="39">
                  <c:v>0.1044776119402985</c:v>
                </c:pt>
                <c:pt idx="40">
                  <c:v>8.6842105263157901E-2</c:v>
                </c:pt>
                <c:pt idx="41">
                  <c:v>0.10204081632653061</c:v>
                </c:pt>
                <c:pt idx="42">
                  <c:v>0.12</c:v>
                </c:pt>
                <c:pt idx="43">
                  <c:v>8.3333333333333329E-2</c:v>
                </c:pt>
                <c:pt idx="44">
                  <c:v>7.0953436807095344E-2</c:v>
                </c:pt>
                <c:pt idx="45">
                  <c:v>0.13043478260869565</c:v>
                </c:pt>
                <c:pt idx="46">
                  <c:v>0.11060948081264109</c:v>
                </c:pt>
                <c:pt idx="47">
                  <c:v>0.10922330097087378</c:v>
                </c:pt>
                <c:pt idx="48">
                  <c:v>9.9767981438515077E-2</c:v>
                </c:pt>
                <c:pt idx="49">
                  <c:v>0.38368580060422963</c:v>
                </c:pt>
                <c:pt idx="50">
                  <c:v>0.3415977961432507</c:v>
                </c:pt>
                <c:pt idx="51">
                  <c:v>0.41666666666666669</c:v>
                </c:pt>
                <c:pt idx="52">
                  <c:v>0.42816091954022989</c:v>
                </c:pt>
                <c:pt idx="53">
                  <c:v>0.39895013123359579</c:v>
                </c:pt>
                <c:pt idx="54">
                  <c:v>0.63322884012539182</c:v>
                </c:pt>
                <c:pt idx="55">
                  <c:v>0.70523415977961434</c:v>
                </c:pt>
                <c:pt idx="56">
                  <c:v>0.76334106728538287</c:v>
                </c:pt>
                <c:pt idx="57">
                  <c:v>0.7429906542056075</c:v>
                </c:pt>
                <c:pt idx="58">
                  <c:v>0.66352941176470592</c:v>
                </c:pt>
                <c:pt idx="59">
                  <c:v>0.628</c:v>
                </c:pt>
                <c:pt idx="60">
                  <c:v>0.40591397849462363</c:v>
                </c:pt>
                <c:pt idx="61">
                  <c:v>0.53161592505854804</c:v>
                </c:pt>
                <c:pt idx="62">
                  <c:v>0.50116550116550118</c:v>
                </c:pt>
                <c:pt idx="63">
                  <c:v>0.48195329087048833</c:v>
                </c:pt>
                <c:pt idx="64">
                  <c:v>0.69649805447470814</c:v>
                </c:pt>
                <c:pt idx="65">
                  <c:v>0.79357798165137616</c:v>
                </c:pt>
                <c:pt idx="66">
                  <c:v>0.13725490196078433</c:v>
                </c:pt>
                <c:pt idx="67">
                  <c:v>0.13268608414239483</c:v>
                </c:pt>
                <c:pt idx="68">
                  <c:v>9.5522388059701493E-2</c:v>
                </c:pt>
                <c:pt idx="69">
                  <c:v>0.58745874587458746</c:v>
                </c:pt>
                <c:pt idx="70">
                  <c:v>0.58387096774193548</c:v>
                </c:pt>
                <c:pt idx="71">
                  <c:v>0.5975232198142415</c:v>
                </c:pt>
                <c:pt idx="72">
                  <c:v>0.5128939828080229</c:v>
                </c:pt>
                <c:pt idx="73">
                  <c:v>7.1856287425149698E-2</c:v>
                </c:pt>
                <c:pt idx="74">
                  <c:v>0.13051823416506717</c:v>
                </c:pt>
                <c:pt idx="75">
                  <c:v>8.3333333333333329E-2</c:v>
                </c:pt>
                <c:pt idx="76">
                  <c:v>0.30115830115830117</c:v>
                </c:pt>
                <c:pt idx="77">
                  <c:v>0.24092409240924093</c:v>
                </c:pt>
                <c:pt idx="78">
                  <c:v>0.24528301886792453</c:v>
                </c:pt>
                <c:pt idx="79">
                  <c:v>0.67155425219941345</c:v>
                </c:pt>
                <c:pt idx="80">
                  <c:v>0.67708333333333337</c:v>
                </c:pt>
                <c:pt idx="81">
                  <c:v>0.15064102564102563</c:v>
                </c:pt>
                <c:pt idx="82">
                  <c:v>0.16470588235294117</c:v>
                </c:pt>
                <c:pt idx="83">
                  <c:v>0.16797900262467191</c:v>
                </c:pt>
                <c:pt idx="84">
                  <c:v>0.10512820512820513</c:v>
                </c:pt>
                <c:pt idx="85">
                  <c:v>0.16962025316455695</c:v>
                </c:pt>
                <c:pt idx="86">
                  <c:v>0.27217125382262997</c:v>
                </c:pt>
                <c:pt idx="87">
                  <c:v>0.28337874659400547</c:v>
                </c:pt>
                <c:pt idx="88">
                  <c:v>0.27293064876957496</c:v>
                </c:pt>
                <c:pt idx="89">
                  <c:v>0.24757281553398058</c:v>
                </c:pt>
                <c:pt idx="90">
                  <c:v>0.23903508771929824</c:v>
                </c:pt>
                <c:pt idx="91">
                  <c:v>0.12460063897763578</c:v>
                </c:pt>
                <c:pt idx="92">
                  <c:v>0.14705882352941177</c:v>
                </c:pt>
                <c:pt idx="93">
                  <c:v>0.12849162011173185</c:v>
                </c:pt>
                <c:pt idx="94">
                  <c:v>0.36813186813186816</c:v>
                </c:pt>
                <c:pt idx="95">
                  <c:v>0.32581453634085211</c:v>
                </c:pt>
                <c:pt idx="96">
                  <c:v>0.44047619047619047</c:v>
                </c:pt>
                <c:pt idx="97">
                  <c:v>0.44594594594594594</c:v>
                </c:pt>
                <c:pt idx="98">
                  <c:v>0.38461538461538464</c:v>
                </c:pt>
                <c:pt idx="99">
                  <c:v>0.33484162895927599</c:v>
                </c:pt>
                <c:pt idx="100">
                  <c:v>0.42283298097251587</c:v>
                </c:pt>
                <c:pt idx="101">
                  <c:v>0.41291585127201563</c:v>
                </c:pt>
                <c:pt idx="102">
                  <c:v>0.25</c:v>
                </c:pt>
                <c:pt idx="103">
                  <c:v>0.18541033434650456</c:v>
                </c:pt>
                <c:pt idx="104">
                  <c:v>0.13213213213213212</c:v>
                </c:pt>
                <c:pt idx="105">
                  <c:v>0.78595317725752512</c:v>
                </c:pt>
                <c:pt idx="106">
                  <c:v>0.75271739130434778</c:v>
                </c:pt>
                <c:pt idx="107">
                  <c:v>0.79045092838196285</c:v>
                </c:pt>
                <c:pt idx="108">
                  <c:v>0.77401129943502822</c:v>
                </c:pt>
                <c:pt idx="109">
                  <c:v>0.72631578947368425</c:v>
                </c:pt>
                <c:pt idx="110">
                  <c:v>0.64120370370370372</c:v>
                </c:pt>
                <c:pt idx="111">
                  <c:v>0.66666666666666663</c:v>
                </c:pt>
                <c:pt idx="112">
                  <c:v>0.5901639344262295</c:v>
                </c:pt>
                <c:pt idx="113">
                  <c:v>0.54029850746268659</c:v>
                </c:pt>
                <c:pt idx="114">
                  <c:v>0.47181008902077154</c:v>
                </c:pt>
                <c:pt idx="115">
                  <c:v>0.58841463414634143</c:v>
                </c:pt>
                <c:pt idx="116">
                  <c:v>0.64444444444444449</c:v>
                </c:pt>
                <c:pt idx="117">
                  <c:v>0.71974522292993626</c:v>
                </c:pt>
                <c:pt idx="118">
                  <c:v>0.68008948545861303</c:v>
                </c:pt>
                <c:pt idx="119">
                  <c:v>0.67848699763593379</c:v>
                </c:pt>
                <c:pt idx="120">
                  <c:v>0.71393034825870649</c:v>
                </c:pt>
                <c:pt idx="121">
                  <c:v>0.70935960591133007</c:v>
                </c:pt>
                <c:pt idx="122">
                  <c:v>0.71583514099783085</c:v>
                </c:pt>
                <c:pt idx="123">
                  <c:v>0.75077881619937692</c:v>
                </c:pt>
                <c:pt idx="124">
                  <c:v>0.80219780219780223</c:v>
                </c:pt>
                <c:pt idx="125">
                  <c:v>0.79622641509433967</c:v>
                </c:pt>
                <c:pt idx="126">
                  <c:v>0.73293172690763053</c:v>
                </c:pt>
                <c:pt idx="127">
                  <c:v>0.76729559748427678</c:v>
                </c:pt>
                <c:pt idx="128">
                  <c:v>0.75559701492537312</c:v>
                </c:pt>
                <c:pt idx="129">
                  <c:v>8.1504702194357362E-2</c:v>
                </c:pt>
                <c:pt idx="130">
                  <c:v>7.3232323232323232E-2</c:v>
                </c:pt>
                <c:pt idx="131">
                  <c:v>0.1853035143769968</c:v>
                </c:pt>
                <c:pt idx="132">
                  <c:v>0.20551378446115287</c:v>
                </c:pt>
                <c:pt idx="133">
                  <c:v>0.31272727272727274</c:v>
                </c:pt>
                <c:pt idx="134">
                  <c:v>0.2857142857142857</c:v>
                </c:pt>
                <c:pt idx="135">
                  <c:v>0.68152866242038213</c:v>
                </c:pt>
                <c:pt idx="136">
                  <c:v>0.69414893617021278</c:v>
                </c:pt>
                <c:pt idx="137">
                  <c:v>0.79142300194931769</c:v>
                </c:pt>
                <c:pt idx="138">
                  <c:v>0.7056277056277056</c:v>
                </c:pt>
                <c:pt idx="139">
                  <c:v>0.74259681093394081</c:v>
                </c:pt>
                <c:pt idx="140">
                  <c:v>0.70459081836327342</c:v>
                </c:pt>
                <c:pt idx="141">
                  <c:v>0.72661870503597126</c:v>
                </c:pt>
                <c:pt idx="142">
                  <c:v>0.68506493506493504</c:v>
                </c:pt>
                <c:pt idx="143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9-4852-AE41-591268F7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Chinese%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292869641294839E-2"/>
                  <c:y val="-0.50848024205307674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RaceWorksheet!$K$2:$K$145</c:f>
              <c:numCache>
                <c:formatCode>0.0%</c:formatCode>
                <c:ptCount val="144"/>
                <c:pt idx="0">
                  <c:v>3.3333333333333333E-2</c:v>
                </c:pt>
                <c:pt idx="1">
                  <c:v>3.7777777777777778E-2</c:v>
                </c:pt>
                <c:pt idx="2">
                  <c:v>2.886002886002886E-3</c:v>
                </c:pt>
                <c:pt idx="3">
                  <c:v>1.2968299711815562E-2</c:v>
                </c:pt>
                <c:pt idx="4">
                  <c:v>4.4444444444444444E-3</c:v>
                </c:pt>
                <c:pt idx="5">
                  <c:v>4.4444444444444444E-3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2.2222222222222222E-3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5.0000000000000001E-3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0.63111111111111107</c:v>
                </c:pt>
                <c:pt idx="20">
                  <c:v>0.64666666666666661</c:v>
                </c:pt>
                <c:pt idx="21">
                  <c:v>0.5444444444444444</c:v>
                </c:pt>
                <c:pt idx="22">
                  <c:v>0.53278688524590168</c:v>
                </c:pt>
                <c:pt idx="23">
                  <c:v>0.48360655737704916</c:v>
                </c:pt>
                <c:pt idx="24">
                  <c:v>0.3562091503267974</c:v>
                </c:pt>
                <c:pt idx="25">
                  <c:v>7.0000000000000007E-2</c:v>
                </c:pt>
                <c:pt idx="26">
                  <c:v>0.13842482100238662</c:v>
                </c:pt>
                <c:pt idx="27">
                  <c:v>0.10501193317422435</c:v>
                </c:pt>
                <c:pt idx="28">
                  <c:v>0.12666666666666668</c:v>
                </c:pt>
                <c:pt idx="29">
                  <c:v>0.12222222222222222</c:v>
                </c:pt>
                <c:pt idx="30">
                  <c:v>8.8549618320610687E-2</c:v>
                </c:pt>
                <c:pt idx="31">
                  <c:v>9.7709923664122136E-2</c:v>
                </c:pt>
                <c:pt idx="32">
                  <c:v>7.6335877862595422E-2</c:v>
                </c:pt>
                <c:pt idx="33">
                  <c:v>0.15572519083969466</c:v>
                </c:pt>
                <c:pt idx="34">
                  <c:v>0.1099236641221374</c:v>
                </c:pt>
                <c:pt idx="35">
                  <c:v>2.2222222222222222E-3</c:v>
                </c:pt>
                <c:pt idx="36">
                  <c:v>2.2222222222222222E-3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1.3333333333333334E-2</c:v>
                </c:pt>
                <c:pt idx="46">
                  <c:v>3.4662045060658577E-3</c:v>
                </c:pt>
                <c:pt idx="47">
                  <c:v>0</c:v>
                </c:pt>
                <c:pt idx="48">
                  <c:v>0</c:v>
                </c:pt>
                <c:pt idx="49">
                  <c:v>0.38444444444444442</c:v>
                </c:pt>
                <c:pt idx="50">
                  <c:v>0.29333333333333333</c:v>
                </c:pt>
                <c:pt idx="51">
                  <c:v>0.29388560157790927</c:v>
                </c:pt>
                <c:pt idx="52">
                  <c:v>0.2978303747534517</c:v>
                </c:pt>
                <c:pt idx="53">
                  <c:v>0.26181102362204722</c:v>
                </c:pt>
                <c:pt idx="54">
                  <c:v>0.21333333333333335</c:v>
                </c:pt>
                <c:pt idx="55">
                  <c:v>0.28870967741935483</c:v>
                </c:pt>
                <c:pt idx="56">
                  <c:v>0.31612903225806449</c:v>
                </c:pt>
                <c:pt idx="57">
                  <c:v>0.23633440514469453</c:v>
                </c:pt>
                <c:pt idx="58">
                  <c:v>0.5822222222222222</c:v>
                </c:pt>
                <c:pt idx="59">
                  <c:v>0.54222222222222227</c:v>
                </c:pt>
                <c:pt idx="60">
                  <c:v>0.47327044025157233</c:v>
                </c:pt>
                <c:pt idx="61">
                  <c:v>0.42452830188679247</c:v>
                </c:pt>
                <c:pt idx="62">
                  <c:v>0.36949685534591192</c:v>
                </c:pt>
                <c:pt idx="63">
                  <c:v>0.29559748427672955</c:v>
                </c:pt>
                <c:pt idx="64">
                  <c:v>0.8828571428571429</c:v>
                </c:pt>
                <c:pt idx="65">
                  <c:v>0.84375</c:v>
                </c:pt>
                <c:pt idx="66">
                  <c:v>8.2222222222222224E-2</c:v>
                </c:pt>
                <c:pt idx="67">
                  <c:v>5.2757793764988008E-2</c:v>
                </c:pt>
                <c:pt idx="68">
                  <c:v>1.9138755980861243E-2</c:v>
                </c:pt>
                <c:pt idx="69">
                  <c:v>0.68</c:v>
                </c:pt>
                <c:pt idx="70">
                  <c:v>0.5444444444444444</c:v>
                </c:pt>
                <c:pt idx="71">
                  <c:v>0.4575971731448763</c:v>
                </c:pt>
                <c:pt idx="72">
                  <c:v>0.40211640211640209</c:v>
                </c:pt>
                <c:pt idx="73">
                  <c:v>4.4444444444444444E-3</c:v>
                </c:pt>
                <c:pt idx="74">
                  <c:v>5.7471264367816091E-3</c:v>
                </c:pt>
                <c:pt idx="75">
                  <c:v>0</c:v>
                </c:pt>
                <c:pt idx="76">
                  <c:v>0.12285714285714286</c:v>
                </c:pt>
                <c:pt idx="77">
                  <c:v>0.1182033096926714</c:v>
                </c:pt>
                <c:pt idx="78">
                  <c:v>0.16463414634146342</c:v>
                </c:pt>
                <c:pt idx="79">
                  <c:v>0.37393162393162394</c:v>
                </c:pt>
                <c:pt idx="80">
                  <c:v>0.54268292682926833</c:v>
                </c:pt>
                <c:pt idx="81">
                  <c:v>7.2499999999999995E-2</c:v>
                </c:pt>
                <c:pt idx="82">
                  <c:v>3.2500000000000001E-2</c:v>
                </c:pt>
                <c:pt idx="83">
                  <c:v>3.0710172744721688E-2</c:v>
                </c:pt>
                <c:pt idx="84">
                  <c:v>9.5969289827255271E-3</c:v>
                </c:pt>
                <c:pt idx="85">
                  <c:v>2.2944550669216062E-2</c:v>
                </c:pt>
                <c:pt idx="86">
                  <c:v>0.10444444444444445</c:v>
                </c:pt>
                <c:pt idx="87">
                  <c:v>9.555555555555556E-2</c:v>
                </c:pt>
                <c:pt idx="88">
                  <c:v>3.9655172413793106E-2</c:v>
                </c:pt>
                <c:pt idx="89">
                  <c:v>4.4827586206896551E-2</c:v>
                </c:pt>
                <c:pt idx="90">
                  <c:v>6.1855670103092786E-2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0.06</c:v>
                </c:pt>
                <c:pt idx="95">
                  <c:v>2.4330900243309003E-3</c:v>
                </c:pt>
                <c:pt idx="96">
                  <c:v>7.2815533980582527E-3</c:v>
                </c:pt>
                <c:pt idx="97">
                  <c:v>0.16888888888888889</c:v>
                </c:pt>
                <c:pt idx="98">
                  <c:v>0.13555555555555557</c:v>
                </c:pt>
                <c:pt idx="99">
                  <c:v>0.2</c:v>
                </c:pt>
                <c:pt idx="100">
                  <c:v>0.21803278688524591</c:v>
                </c:pt>
                <c:pt idx="101">
                  <c:v>0.16229508196721312</c:v>
                </c:pt>
                <c:pt idx="102">
                  <c:v>0.14262295081967213</c:v>
                </c:pt>
                <c:pt idx="103">
                  <c:v>0.16721311475409836</c:v>
                </c:pt>
                <c:pt idx="104">
                  <c:v>0.13680781758957655</c:v>
                </c:pt>
                <c:pt idx="105">
                  <c:v>0.79777777777777781</c:v>
                </c:pt>
                <c:pt idx="106">
                  <c:v>0.76222222222222225</c:v>
                </c:pt>
                <c:pt idx="107">
                  <c:v>0.72444444444444445</c:v>
                </c:pt>
                <c:pt idx="108">
                  <c:v>0.71148036253776437</c:v>
                </c:pt>
                <c:pt idx="109">
                  <c:v>0.52719033232628398</c:v>
                </c:pt>
                <c:pt idx="110">
                  <c:v>0.39123867069486407</c:v>
                </c:pt>
                <c:pt idx="111">
                  <c:v>0.43202416918429004</c:v>
                </c:pt>
                <c:pt idx="112">
                  <c:v>0.52888888888888885</c:v>
                </c:pt>
                <c:pt idx="113">
                  <c:v>0.4622222222222222</c:v>
                </c:pt>
                <c:pt idx="114">
                  <c:v>0.28849902534113059</c:v>
                </c:pt>
                <c:pt idx="115">
                  <c:v>0.67555555555555558</c:v>
                </c:pt>
                <c:pt idx="116">
                  <c:v>0.65777777777777779</c:v>
                </c:pt>
                <c:pt idx="117">
                  <c:v>0.69680111265646727</c:v>
                </c:pt>
                <c:pt idx="118">
                  <c:v>0.62030598052851182</c:v>
                </c:pt>
                <c:pt idx="119">
                  <c:v>0.59305555555555556</c:v>
                </c:pt>
                <c:pt idx="120">
                  <c:v>0.56805555555555554</c:v>
                </c:pt>
                <c:pt idx="121">
                  <c:v>0.47333333333333333</c:v>
                </c:pt>
                <c:pt idx="122">
                  <c:v>0.50444444444444447</c:v>
                </c:pt>
                <c:pt idx="123">
                  <c:v>0.45333333333333331</c:v>
                </c:pt>
                <c:pt idx="124">
                  <c:v>0.47088186356073214</c:v>
                </c:pt>
                <c:pt idx="125">
                  <c:v>0.50083194675540765</c:v>
                </c:pt>
                <c:pt idx="126">
                  <c:v>0.52911813643926786</c:v>
                </c:pt>
                <c:pt idx="127">
                  <c:v>0.52412645590682194</c:v>
                </c:pt>
                <c:pt idx="128">
                  <c:v>0.50582362728785357</c:v>
                </c:pt>
                <c:pt idx="129">
                  <c:v>1.2500000000000001E-2</c:v>
                </c:pt>
                <c:pt idx="130">
                  <c:v>3.8986354775828458E-3</c:v>
                </c:pt>
                <c:pt idx="131">
                  <c:v>2.5000000000000001E-2</c:v>
                </c:pt>
                <c:pt idx="132">
                  <c:v>1.9762845849802372E-2</c:v>
                </c:pt>
                <c:pt idx="133">
                  <c:v>0.1448087431693989</c:v>
                </c:pt>
                <c:pt idx="134">
                  <c:v>0.13934426229508196</c:v>
                </c:pt>
                <c:pt idx="135">
                  <c:v>0.56222222222222218</c:v>
                </c:pt>
                <c:pt idx="136">
                  <c:v>0.63111111111111107</c:v>
                </c:pt>
                <c:pt idx="137">
                  <c:v>0.625</c:v>
                </c:pt>
                <c:pt idx="138">
                  <c:v>0.53810975609756095</c:v>
                </c:pt>
                <c:pt idx="139">
                  <c:v>0.58384146341463417</c:v>
                </c:pt>
                <c:pt idx="140">
                  <c:v>0.51219512195121952</c:v>
                </c:pt>
                <c:pt idx="141">
                  <c:v>0.625</c:v>
                </c:pt>
                <c:pt idx="142">
                  <c:v>0.54318181818181821</c:v>
                </c:pt>
                <c:pt idx="143">
                  <c:v>0.52380952380952384</c:v>
                </c:pt>
              </c:numCache>
            </c:numRef>
          </c:xVal>
          <c:yVal>
            <c:numRef>
              <c:f>RaceWorksheet!$C$2:$C$145</c:f>
              <c:numCache>
                <c:formatCode>0.0%</c:formatCode>
                <c:ptCount val="144"/>
                <c:pt idx="0">
                  <c:v>0.72486772486772488</c:v>
                </c:pt>
                <c:pt idx="1">
                  <c:v>0.62994350282485878</c:v>
                </c:pt>
                <c:pt idx="2">
                  <c:v>0.51272015655577297</c:v>
                </c:pt>
                <c:pt idx="3">
                  <c:v>0.46654275092936803</c:v>
                </c:pt>
                <c:pt idx="4">
                  <c:v>0.75476839237057225</c:v>
                </c:pt>
                <c:pt idx="5">
                  <c:v>0.68253968253968256</c:v>
                </c:pt>
                <c:pt idx="6">
                  <c:v>0.53594771241830064</c:v>
                </c:pt>
                <c:pt idx="7">
                  <c:v>0.51975051975051978</c:v>
                </c:pt>
                <c:pt idx="8">
                  <c:v>0.48199999999999998</c:v>
                </c:pt>
                <c:pt idx="9">
                  <c:v>0.58263305322128855</c:v>
                </c:pt>
                <c:pt idx="10">
                  <c:v>0.40175953079178883</c:v>
                </c:pt>
                <c:pt idx="11">
                  <c:v>0.73566878980891715</c:v>
                </c:pt>
                <c:pt idx="12">
                  <c:v>0.57834757834757833</c:v>
                </c:pt>
                <c:pt idx="13">
                  <c:v>0.43991416309012876</c:v>
                </c:pt>
                <c:pt idx="14">
                  <c:v>0.42716535433070868</c:v>
                </c:pt>
                <c:pt idx="15">
                  <c:v>0.70532915360501569</c:v>
                </c:pt>
                <c:pt idx="16">
                  <c:v>0.59553349875930517</c:v>
                </c:pt>
                <c:pt idx="17">
                  <c:v>0.45767195767195767</c:v>
                </c:pt>
                <c:pt idx="18">
                  <c:v>0.45522388059701491</c:v>
                </c:pt>
                <c:pt idx="19">
                  <c:v>0.27710843373493976</c:v>
                </c:pt>
                <c:pt idx="20">
                  <c:v>0.21981424148606812</c:v>
                </c:pt>
                <c:pt idx="21">
                  <c:v>0.2767857142857143</c:v>
                </c:pt>
                <c:pt idx="22">
                  <c:v>0.20558375634517767</c:v>
                </c:pt>
                <c:pt idx="23">
                  <c:v>0.20954907161803712</c:v>
                </c:pt>
                <c:pt idx="24">
                  <c:v>0.22624434389140272</c:v>
                </c:pt>
                <c:pt idx="25">
                  <c:v>0.53846153846153844</c:v>
                </c:pt>
                <c:pt idx="26">
                  <c:v>0.38489208633093525</c:v>
                </c:pt>
                <c:pt idx="27">
                  <c:v>0.37630662020905925</c:v>
                </c:pt>
                <c:pt idx="28">
                  <c:v>0.2978723404255319</c:v>
                </c:pt>
                <c:pt idx="29">
                  <c:v>0.32198142414860681</c:v>
                </c:pt>
                <c:pt idx="30">
                  <c:v>0.29210526315789476</c:v>
                </c:pt>
                <c:pt idx="31">
                  <c:v>0.26036866359447003</c:v>
                </c:pt>
                <c:pt idx="32">
                  <c:v>0.43018867924528303</c:v>
                </c:pt>
                <c:pt idx="33">
                  <c:v>0.24822695035460993</c:v>
                </c:pt>
                <c:pt idx="34">
                  <c:v>0.20578778135048231</c:v>
                </c:pt>
                <c:pt idx="35">
                  <c:v>0.7493333333333333</c:v>
                </c:pt>
                <c:pt idx="36">
                  <c:v>0.5802139037433155</c:v>
                </c:pt>
                <c:pt idx="37">
                  <c:v>0.52091254752851712</c:v>
                </c:pt>
                <c:pt idx="38">
                  <c:v>0.46588693957115007</c:v>
                </c:pt>
                <c:pt idx="39">
                  <c:v>0.43283582089552236</c:v>
                </c:pt>
                <c:pt idx="40">
                  <c:v>0.75</c:v>
                </c:pt>
                <c:pt idx="41">
                  <c:v>0.72448979591836737</c:v>
                </c:pt>
                <c:pt idx="42">
                  <c:v>0.47333333333333333</c:v>
                </c:pt>
                <c:pt idx="43">
                  <c:v>0.4358974358974359</c:v>
                </c:pt>
                <c:pt idx="44">
                  <c:v>0.3902439024390244</c:v>
                </c:pt>
                <c:pt idx="45">
                  <c:v>0.73291925465838514</c:v>
                </c:pt>
                <c:pt idx="46">
                  <c:v>0.60045146726862297</c:v>
                </c:pt>
                <c:pt idx="47">
                  <c:v>0.46116504854368934</c:v>
                </c:pt>
                <c:pt idx="48">
                  <c:v>0.45475638051044082</c:v>
                </c:pt>
                <c:pt idx="49">
                  <c:v>0.49546827794561932</c:v>
                </c:pt>
                <c:pt idx="50">
                  <c:v>0.46831955922865015</c:v>
                </c:pt>
                <c:pt idx="51">
                  <c:v>0.35483870967741937</c:v>
                </c:pt>
                <c:pt idx="52">
                  <c:v>0.30747126436781608</c:v>
                </c:pt>
                <c:pt idx="53">
                  <c:v>0.34383202099737531</c:v>
                </c:pt>
                <c:pt idx="54">
                  <c:v>0.2507836990595611</c:v>
                </c:pt>
                <c:pt idx="55">
                  <c:v>0.20110192837465565</c:v>
                </c:pt>
                <c:pt idx="56">
                  <c:v>0.16241299303944315</c:v>
                </c:pt>
                <c:pt idx="57">
                  <c:v>0.15186915887850466</c:v>
                </c:pt>
                <c:pt idx="58">
                  <c:v>0.19294117647058823</c:v>
                </c:pt>
                <c:pt idx="59">
                  <c:v>0.20200000000000001</c:v>
                </c:pt>
                <c:pt idx="60">
                  <c:v>0.43817204301075269</c:v>
                </c:pt>
                <c:pt idx="61">
                  <c:v>0.27166276346604218</c:v>
                </c:pt>
                <c:pt idx="62">
                  <c:v>0.26107226107226106</c:v>
                </c:pt>
                <c:pt idx="63">
                  <c:v>0.30360934182590232</c:v>
                </c:pt>
                <c:pt idx="64">
                  <c:v>0.28015564202334631</c:v>
                </c:pt>
                <c:pt idx="65">
                  <c:v>0.15596330275229359</c:v>
                </c:pt>
                <c:pt idx="66">
                  <c:v>0.71708683473389356</c:v>
                </c:pt>
                <c:pt idx="67">
                  <c:v>0.57281553398058249</c:v>
                </c:pt>
                <c:pt idx="68">
                  <c:v>0.58805970149253728</c:v>
                </c:pt>
                <c:pt idx="69">
                  <c:v>0.33993399339933994</c:v>
                </c:pt>
                <c:pt idx="70">
                  <c:v>0.32903225806451614</c:v>
                </c:pt>
                <c:pt idx="71">
                  <c:v>0.23839009287925697</c:v>
                </c:pt>
                <c:pt idx="72">
                  <c:v>0.30659025787965616</c:v>
                </c:pt>
                <c:pt idx="73">
                  <c:v>0.78143712574850299</c:v>
                </c:pt>
                <c:pt idx="74">
                  <c:v>0.5700575815738963</c:v>
                </c:pt>
                <c:pt idx="75">
                  <c:v>0.52713178294573648</c:v>
                </c:pt>
                <c:pt idx="76">
                  <c:v>0.56756756756756754</c:v>
                </c:pt>
                <c:pt idx="77">
                  <c:v>0.49174917491749176</c:v>
                </c:pt>
                <c:pt idx="78">
                  <c:v>0.58490566037735847</c:v>
                </c:pt>
                <c:pt idx="79">
                  <c:v>0.21994134897360704</c:v>
                </c:pt>
                <c:pt idx="80">
                  <c:v>0.22708333333333333</c:v>
                </c:pt>
                <c:pt idx="81">
                  <c:v>0.71474358974358976</c:v>
                </c:pt>
                <c:pt idx="82">
                  <c:v>0.65294117647058825</c:v>
                </c:pt>
                <c:pt idx="83">
                  <c:v>0.45669291338582679</c:v>
                </c:pt>
                <c:pt idx="84">
                  <c:v>0.46153846153846156</c:v>
                </c:pt>
                <c:pt idx="85">
                  <c:v>0.45063291139240508</c:v>
                </c:pt>
                <c:pt idx="86">
                  <c:v>0.49235474006116209</c:v>
                </c:pt>
                <c:pt idx="87">
                  <c:v>0.43869209809264303</c:v>
                </c:pt>
                <c:pt idx="88">
                  <c:v>0.38031319910514544</c:v>
                </c:pt>
                <c:pt idx="89">
                  <c:v>0.36893203883495146</c:v>
                </c:pt>
                <c:pt idx="90">
                  <c:v>0.40789473684210525</c:v>
                </c:pt>
                <c:pt idx="91">
                  <c:v>0.61022364217252401</c:v>
                </c:pt>
                <c:pt idx="92">
                  <c:v>0.54705882352941182</c:v>
                </c:pt>
                <c:pt idx="93">
                  <c:v>0.57821229050279332</c:v>
                </c:pt>
                <c:pt idx="94">
                  <c:v>0.51648351648351654</c:v>
                </c:pt>
                <c:pt idx="95">
                  <c:v>0.49373433583959897</c:v>
                </c:pt>
                <c:pt idx="96">
                  <c:v>0.34325396825396826</c:v>
                </c:pt>
                <c:pt idx="97">
                  <c:v>0.31531531531531531</c:v>
                </c:pt>
                <c:pt idx="98">
                  <c:v>0.30769230769230771</c:v>
                </c:pt>
                <c:pt idx="99">
                  <c:v>0.35520361990950228</c:v>
                </c:pt>
                <c:pt idx="100">
                  <c:v>0.29175475687103591</c:v>
                </c:pt>
                <c:pt idx="101">
                  <c:v>0.26810176125244617</c:v>
                </c:pt>
                <c:pt idx="102">
                  <c:v>0.59121621621621623</c:v>
                </c:pt>
                <c:pt idx="103">
                  <c:v>0.55623100303951367</c:v>
                </c:pt>
                <c:pt idx="104">
                  <c:v>0.45945945945945948</c:v>
                </c:pt>
                <c:pt idx="105">
                  <c:v>0.17391304347826086</c:v>
                </c:pt>
                <c:pt idx="106">
                  <c:v>0.18478260869565216</c:v>
                </c:pt>
                <c:pt idx="107">
                  <c:v>0.14323607427055704</c:v>
                </c:pt>
                <c:pt idx="108">
                  <c:v>0.14689265536723164</c:v>
                </c:pt>
                <c:pt idx="109">
                  <c:v>0.14105263157894737</c:v>
                </c:pt>
                <c:pt idx="110">
                  <c:v>0.1875</c:v>
                </c:pt>
                <c:pt idx="111">
                  <c:v>0.17901234567901234</c:v>
                </c:pt>
                <c:pt idx="112">
                  <c:v>0.31475409836065577</c:v>
                </c:pt>
                <c:pt idx="113">
                  <c:v>0.31044776119402984</c:v>
                </c:pt>
                <c:pt idx="114">
                  <c:v>0.23738872403560832</c:v>
                </c:pt>
                <c:pt idx="115">
                  <c:v>0.29878048780487804</c:v>
                </c:pt>
                <c:pt idx="116">
                  <c:v>0.25277777777777777</c:v>
                </c:pt>
                <c:pt idx="117">
                  <c:v>0.16560509554140126</c:v>
                </c:pt>
                <c:pt idx="118">
                  <c:v>0.17449664429530201</c:v>
                </c:pt>
                <c:pt idx="119">
                  <c:v>0.13711583924349882</c:v>
                </c:pt>
                <c:pt idx="120">
                  <c:v>0.13432835820895522</c:v>
                </c:pt>
                <c:pt idx="121">
                  <c:v>0.14532019704433496</c:v>
                </c:pt>
                <c:pt idx="122">
                  <c:v>0.13449023861171366</c:v>
                </c:pt>
                <c:pt idx="123">
                  <c:v>0.17133956386292834</c:v>
                </c:pt>
                <c:pt idx="124">
                  <c:v>0.12362637362637363</c:v>
                </c:pt>
                <c:pt idx="125">
                  <c:v>0.12264150943396226</c:v>
                </c:pt>
                <c:pt idx="126">
                  <c:v>0.12048192771084337</c:v>
                </c:pt>
                <c:pt idx="127">
                  <c:v>9.0146750524109018E-2</c:v>
                </c:pt>
                <c:pt idx="128">
                  <c:v>0.1044776119402985</c:v>
                </c:pt>
                <c:pt idx="129">
                  <c:v>0.68652037617554862</c:v>
                </c:pt>
                <c:pt idx="130">
                  <c:v>0.54040404040404044</c:v>
                </c:pt>
                <c:pt idx="131">
                  <c:v>0.60702875399361023</c:v>
                </c:pt>
                <c:pt idx="132">
                  <c:v>0.43859649122807015</c:v>
                </c:pt>
                <c:pt idx="133">
                  <c:v>0.44363636363636366</c:v>
                </c:pt>
                <c:pt idx="134">
                  <c:v>0.32857142857142857</c:v>
                </c:pt>
                <c:pt idx="135">
                  <c:v>0.19745222929936307</c:v>
                </c:pt>
                <c:pt idx="136">
                  <c:v>0.20744680851063829</c:v>
                </c:pt>
                <c:pt idx="137">
                  <c:v>0.12085769980506822</c:v>
                </c:pt>
                <c:pt idx="138">
                  <c:v>0.15800865800865802</c:v>
                </c:pt>
                <c:pt idx="139">
                  <c:v>0.12300683371298406</c:v>
                </c:pt>
                <c:pt idx="140">
                  <c:v>0.12574850299401197</c:v>
                </c:pt>
                <c:pt idx="141">
                  <c:v>0.14388489208633093</c:v>
                </c:pt>
                <c:pt idx="142">
                  <c:v>0.17532467532467533</c:v>
                </c:pt>
                <c:pt idx="143">
                  <c:v>9.8360655737704916E-2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E-40A0-86F5-24E8D693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P133 Tampin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446675415573056"/>
                  <c:y val="6.4398148148148149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RaceWorksheet!$L$2:$L$145</c:f>
              <c:numCache>
                <c:formatCode>0.0%</c:formatCode>
                <c:ptCount val="144"/>
                <c:pt idx="0">
                  <c:v>2.4444444444444446E-2</c:v>
                </c:pt>
                <c:pt idx="1">
                  <c:v>1.1111111111111112E-2</c:v>
                </c:pt>
                <c:pt idx="2">
                  <c:v>5.772005772005772E-3</c:v>
                </c:pt>
                <c:pt idx="3">
                  <c:v>4.3227665706051877E-3</c:v>
                </c:pt>
                <c:pt idx="4">
                  <c:v>4.4444444444444444E-3</c:v>
                </c:pt>
                <c:pt idx="5">
                  <c:v>6.6666666666666671E-3</c:v>
                </c:pt>
                <c:pt idx="6">
                  <c:v>1.6000000000000001E-3</c:v>
                </c:pt>
                <c:pt idx="7">
                  <c:v>0</c:v>
                </c:pt>
                <c:pt idx="8">
                  <c:v>0</c:v>
                </c:pt>
                <c:pt idx="9">
                  <c:v>1.5555555555555555E-2</c:v>
                </c:pt>
                <c:pt idx="10">
                  <c:v>6.382978723404255E-3</c:v>
                </c:pt>
                <c:pt idx="11">
                  <c:v>8.8888888888888889E-3</c:v>
                </c:pt>
                <c:pt idx="12">
                  <c:v>2.2222222222222222E-3</c:v>
                </c:pt>
                <c:pt idx="13">
                  <c:v>0</c:v>
                </c:pt>
                <c:pt idx="14">
                  <c:v>0</c:v>
                </c:pt>
                <c:pt idx="15">
                  <c:v>5.0000000000000001E-3</c:v>
                </c:pt>
                <c:pt idx="16">
                  <c:v>0</c:v>
                </c:pt>
                <c:pt idx="17">
                  <c:v>3.875968992248062E-3</c:v>
                </c:pt>
                <c:pt idx="18">
                  <c:v>1.9342359767891683E-3</c:v>
                </c:pt>
                <c:pt idx="19">
                  <c:v>0.16666666666666666</c:v>
                </c:pt>
                <c:pt idx="20">
                  <c:v>0.13777777777777778</c:v>
                </c:pt>
                <c:pt idx="21">
                  <c:v>0.12888888888888889</c:v>
                </c:pt>
                <c:pt idx="22">
                  <c:v>0.14262295081967213</c:v>
                </c:pt>
                <c:pt idx="23">
                  <c:v>0.14426229508196722</c:v>
                </c:pt>
                <c:pt idx="24">
                  <c:v>0.18627450980392157</c:v>
                </c:pt>
                <c:pt idx="25">
                  <c:v>0.27500000000000002</c:v>
                </c:pt>
                <c:pt idx="26">
                  <c:v>0.28878281622911695</c:v>
                </c:pt>
                <c:pt idx="27">
                  <c:v>0.18615751789976134</c:v>
                </c:pt>
                <c:pt idx="28">
                  <c:v>0.20666666666666667</c:v>
                </c:pt>
                <c:pt idx="29">
                  <c:v>0.14888888888888888</c:v>
                </c:pt>
                <c:pt idx="30">
                  <c:v>0.10687022900763359</c:v>
                </c:pt>
                <c:pt idx="31">
                  <c:v>8.5496183206106871E-2</c:v>
                </c:pt>
                <c:pt idx="32">
                  <c:v>9.465648854961832E-2</c:v>
                </c:pt>
                <c:pt idx="33">
                  <c:v>0.12366412213740458</c:v>
                </c:pt>
                <c:pt idx="34">
                  <c:v>0.16183206106870229</c:v>
                </c:pt>
                <c:pt idx="35">
                  <c:v>0</c:v>
                </c:pt>
                <c:pt idx="36">
                  <c:v>2.2222222222222222E-3</c:v>
                </c:pt>
                <c:pt idx="37">
                  <c:v>1.4285714285714286E-3</c:v>
                </c:pt>
                <c:pt idx="38">
                  <c:v>0</c:v>
                </c:pt>
                <c:pt idx="39">
                  <c:v>0</c:v>
                </c:pt>
                <c:pt idx="40">
                  <c:v>2.2222222222222222E-3</c:v>
                </c:pt>
                <c:pt idx="41">
                  <c:v>6.6666666666666671E-3</c:v>
                </c:pt>
                <c:pt idx="42">
                  <c:v>5.0335570469798654E-3</c:v>
                </c:pt>
                <c:pt idx="43">
                  <c:v>0</c:v>
                </c:pt>
                <c:pt idx="44">
                  <c:v>0</c:v>
                </c:pt>
                <c:pt idx="45">
                  <c:v>6.8888888888888888E-2</c:v>
                </c:pt>
                <c:pt idx="46">
                  <c:v>3.9861351819757362E-2</c:v>
                </c:pt>
                <c:pt idx="47">
                  <c:v>4.6793760831889082E-2</c:v>
                </c:pt>
                <c:pt idx="48">
                  <c:v>5.0173010380622836E-2</c:v>
                </c:pt>
                <c:pt idx="49">
                  <c:v>8.666666666666667E-2</c:v>
                </c:pt>
                <c:pt idx="50">
                  <c:v>7.3333333333333334E-2</c:v>
                </c:pt>
                <c:pt idx="51">
                  <c:v>0.1222879684418146</c:v>
                </c:pt>
                <c:pt idx="52">
                  <c:v>0.11834319526627218</c:v>
                </c:pt>
                <c:pt idx="53">
                  <c:v>0.12401574803149606</c:v>
                </c:pt>
                <c:pt idx="54">
                  <c:v>0.24</c:v>
                </c:pt>
                <c:pt idx="55">
                  <c:v>0.31612903225806449</c:v>
                </c:pt>
                <c:pt idx="56">
                  <c:v>0.24193548387096775</c:v>
                </c:pt>
                <c:pt idx="57">
                  <c:v>0.2427652733118971</c:v>
                </c:pt>
                <c:pt idx="58">
                  <c:v>0.28666666666666668</c:v>
                </c:pt>
                <c:pt idx="59">
                  <c:v>0.29333333333333333</c:v>
                </c:pt>
                <c:pt idx="60">
                  <c:v>0.37264150943396224</c:v>
                </c:pt>
                <c:pt idx="61">
                  <c:v>0.34433962264150941</c:v>
                </c:pt>
                <c:pt idx="62">
                  <c:v>0.34276729559748426</c:v>
                </c:pt>
                <c:pt idx="63">
                  <c:v>0.37421383647798739</c:v>
                </c:pt>
                <c:pt idx="64">
                  <c:v>0.11142857142857143</c:v>
                </c:pt>
                <c:pt idx="65">
                  <c:v>0.12215909090909091</c:v>
                </c:pt>
                <c:pt idx="66">
                  <c:v>3.111111111111111E-2</c:v>
                </c:pt>
                <c:pt idx="67">
                  <c:v>7.1942446043165471E-3</c:v>
                </c:pt>
                <c:pt idx="68">
                  <c:v>2.3923444976076554E-3</c:v>
                </c:pt>
                <c:pt idx="69">
                  <c:v>0.15111111111111111</c:v>
                </c:pt>
                <c:pt idx="70">
                  <c:v>0.18666666666666668</c:v>
                </c:pt>
                <c:pt idx="71">
                  <c:v>0.25795053003533569</c:v>
                </c:pt>
                <c:pt idx="72">
                  <c:v>0.25044091710758376</c:v>
                </c:pt>
                <c:pt idx="73">
                  <c:v>0</c:v>
                </c:pt>
                <c:pt idx="74">
                  <c:v>1.4367816091954023E-3</c:v>
                </c:pt>
                <c:pt idx="75">
                  <c:v>0</c:v>
                </c:pt>
                <c:pt idx="76">
                  <c:v>0.14857142857142858</c:v>
                </c:pt>
                <c:pt idx="77">
                  <c:v>4.7281323877068557E-2</c:v>
                </c:pt>
                <c:pt idx="78">
                  <c:v>0.32317073170731708</c:v>
                </c:pt>
                <c:pt idx="79">
                  <c:v>0.55769230769230771</c:v>
                </c:pt>
                <c:pt idx="80">
                  <c:v>0.22713414634146342</c:v>
                </c:pt>
                <c:pt idx="81">
                  <c:v>7.2499999999999995E-2</c:v>
                </c:pt>
                <c:pt idx="82">
                  <c:v>5.5E-2</c:v>
                </c:pt>
                <c:pt idx="83">
                  <c:v>6.3339731285988479E-2</c:v>
                </c:pt>
                <c:pt idx="84">
                  <c:v>3.2629558541266791E-2</c:v>
                </c:pt>
                <c:pt idx="85">
                  <c:v>4.9713193116634802E-2</c:v>
                </c:pt>
                <c:pt idx="86">
                  <c:v>0.12888888888888889</c:v>
                </c:pt>
                <c:pt idx="87">
                  <c:v>0.12888888888888889</c:v>
                </c:pt>
                <c:pt idx="88">
                  <c:v>0.1103448275862069</c:v>
                </c:pt>
                <c:pt idx="89">
                  <c:v>0.1103448275862069</c:v>
                </c:pt>
                <c:pt idx="90">
                  <c:v>0.10996563573883161</c:v>
                </c:pt>
                <c:pt idx="91">
                  <c:v>0.02</c:v>
                </c:pt>
                <c:pt idx="92">
                  <c:v>1.6203703703703703E-2</c:v>
                </c:pt>
                <c:pt idx="93">
                  <c:v>0</c:v>
                </c:pt>
                <c:pt idx="94">
                  <c:v>0.22</c:v>
                </c:pt>
                <c:pt idx="95">
                  <c:v>0.10462287104622871</c:v>
                </c:pt>
                <c:pt idx="96">
                  <c:v>3.8834951456310676E-2</c:v>
                </c:pt>
                <c:pt idx="97">
                  <c:v>0.22</c:v>
                </c:pt>
                <c:pt idx="98">
                  <c:v>0.18222222222222223</c:v>
                </c:pt>
                <c:pt idx="99">
                  <c:v>0.24918032786885247</c:v>
                </c:pt>
                <c:pt idx="100">
                  <c:v>0.25081967213114753</c:v>
                </c:pt>
                <c:pt idx="101">
                  <c:v>0.1721311475409836</c:v>
                </c:pt>
                <c:pt idx="102">
                  <c:v>0.15901639344262294</c:v>
                </c:pt>
                <c:pt idx="103">
                  <c:v>0.16229508196721312</c:v>
                </c:pt>
                <c:pt idx="104">
                  <c:v>0.21498371335504887</c:v>
                </c:pt>
                <c:pt idx="105">
                  <c:v>0.10222222222222223</c:v>
                </c:pt>
                <c:pt idx="106">
                  <c:v>0.12888888888888889</c:v>
                </c:pt>
                <c:pt idx="107">
                  <c:v>0.10888888888888888</c:v>
                </c:pt>
                <c:pt idx="108">
                  <c:v>0.13141993957703926</c:v>
                </c:pt>
                <c:pt idx="109">
                  <c:v>0.22809667673716011</c:v>
                </c:pt>
                <c:pt idx="110">
                  <c:v>0.22054380664652568</c:v>
                </c:pt>
                <c:pt idx="111">
                  <c:v>0.24018126888217523</c:v>
                </c:pt>
                <c:pt idx="112">
                  <c:v>0.17333333333333334</c:v>
                </c:pt>
                <c:pt idx="113">
                  <c:v>0.11777777777777777</c:v>
                </c:pt>
                <c:pt idx="114">
                  <c:v>9.3567251461988299E-2</c:v>
                </c:pt>
                <c:pt idx="115">
                  <c:v>0.16888888888888889</c:v>
                </c:pt>
                <c:pt idx="116">
                  <c:v>0.22888888888888889</c:v>
                </c:pt>
                <c:pt idx="117">
                  <c:v>0.16689847009735745</c:v>
                </c:pt>
                <c:pt idx="118">
                  <c:v>0.15438108484005564</c:v>
                </c:pt>
                <c:pt idx="119">
                  <c:v>0.2</c:v>
                </c:pt>
                <c:pt idx="120">
                  <c:v>0.21944444444444444</c:v>
                </c:pt>
                <c:pt idx="121">
                  <c:v>0.24888888888888888</c:v>
                </c:pt>
                <c:pt idx="122">
                  <c:v>0.19333333333333333</c:v>
                </c:pt>
                <c:pt idx="123">
                  <c:v>0.32666666666666666</c:v>
                </c:pt>
                <c:pt idx="124">
                  <c:v>0.22628951747088186</c:v>
                </c:pt>
                <c:pt idx="125">
                  <c:v>0.18469217970049917</c:v>
                </c:pt>
                <c:pt idx="126">
                  <c:v>0.18136439267886856</c:v>
                </c:pt>
                <c:pt idx="127">
                  <c:v>0.19633943427620631</c:v>
                </c:pt>
                <c:pt idx="128">
                  <c:v>0.21797004991680533</c:v>
                </c:pt>
                <c:pt idx="129">
                  <c:v>7.4999999999999997E-3</c:v>
                </c:pt>
                <c:pt idx="130">
                  <c:v>3.8986354775828458E-3</c:v>
                </c:pt>
                <c:pt idx="131">
                  <c:v>1.4999999999999999E-2</c:v>
                </c:pt>
                <c:pt idx="132">
                  <c:v>2.1739130434782608E-2</c:v>
                </c:pt>
                <c:pt idx="133">
                  <c:v>0.13387978142076504</c:v>
                </c:pt>
                <c:pt idx="134">
                  <c:v>0.12841530054644809</c:v>
                </c:pt>
                <c:pt idx="135">
                  <c:v>0.18</c:v>
                </c:pt>
                <c:pt idx="136">
                  <c:v>0.16888888888888889</c:v>
                </c:pt>
                <c:pt idx="137">
                  <c:v>0.20579268292682926</c:v>
                </c:pt>
                <c:pt idx="138">
                  <c:v>0.19054878048780488</c:v>
                </c:pt>
                <c:pt idx="139">
                  <c:v>0.1524390243902439</c:v>
                </c:pt>
                <c:pt idx="140">
                  <c:v>0.15396341463414634</c:v>
                </c:pt>
                <c:pt idx="141">
                  <c:v>0.19500000000000001</c:v>
                </c:pt>
                <c:pt idx="142">
                  <c:v>0.18181818181818182</c:v>
                </c:pt>
                <c:pt idx="143">
                  <c:v>0.20861678004535147</c:v>
                </c:pt>
              </c:numCache>
            </c:numRef>
          </c:xVal>
          <c:yVal>
            <c:numRef>
              <c:f>RaceWorksheet!$A$2:$A$145</c:f>
              <c:numCache>
                <c:formatCode>0.0%</c:formatCode>
                <c:ptCount val="144"/>
                <c:pt idx="0">
                  <c:v>0.11904761904761904</c:v>
                </c:pt>
                <c:pt idx="1">
                  <c:v>9.3220338983050849E-2</c:v>
                </c:pt>
                <c:pt idx="2">
                  <c:v>0.11350293542074363</c:v>
                </c:pt>
                <c:pt idx="3">
                  <c:v>9.6654275092936809E-2</c:v>
                </c:pt>
                <c:pt idx="4">
                  <c:v>9.264305177111716E-2</c:v>
                </c:pt>
                <c:pt idx="5">
                  <c:v>0.10582010582010581</c:v>
                </c:pt>
                <c:pt idx="6">
                  <c:v>9.8039215686274508E-2</c:v>
                </c:pt>
                <c:pt idx="7">
                  <c:v>0.10810810810810811</c:v>
                </c:pt>
                <c:pt idx="8">
                  <c:v>0.106</c:v>
                </c:pt>
                <c:pt idx="9">
                  <c:v>0.14565826330532214</c:v>
                </c:pt>
                <c:pt idx="10">
                  <c:v>0.14369501466275661</c:v>
                </c:pt>
                <c:pt idx="11">
                  <c:v>6.0509554140127389E-2</c:v>
                </c:pt>
                <c:pt idx="12">
                  <c:v>0.10826210826210826</c:v>
                </c:pt>
                <c:pt idx="13">
                  <c:v>0.12875536480686695</c:v>
                </c:pt>
                <c:pt idx="14">
                  <c:v>0.12007874015748031</c:v>
                </c:pt>
                <c:pt idx="15">
                  <c:v>9.7178683385579931E-2</c:v>
                </c:pt>
                <c:pt idx="16">
                  <c:v>9.4292803970223327E-2</c:v>
                </c:pt>
                <c:pt idx="17">
                  <c:v>0.1164021164021164</c:v>
                </c:pt>
                <c:pt idx="18">
                  <c:v>0.12189054726368159</c:v>
                </c:pt>
                <c:pt idx="19">
                  <c:v>0.60642570281124497</c:v>
                </c:pt>
                <c:pt idx="20">
                  <c:v>0.67182662538699689</c:v>
                </c:pt>
                <c:pt idx="21">
                  <c:v>0.6071428571428571</c:v>
                </c:pt>
                <c:pt idx="22">
                  <c:v>0.62436548223350252</c:v>
                </c:pt>
                <c:pt idx="23">
                  <c:v>0.59681697612732099</c:v>
                </c:pt>
                <c:pt idx="24">
                  <c:v>0.52488687782805432</c:v>
                </c:pt>
                <c:pt idx="25">
                  <c:v>0.25443786982248523</c:v>
                </c:pt>
                <c:pt idx="26">
                  <c:v>0.36690647482014388</c:v>
                </c:pt>
                <c:pt idx="27">
                  <c:v>0.24041811846689895</c:v>
                </c:pt>
                <c:pt idx="28">
                  <c:v>0.27304964539007093</c:v>
                </c:pt>
                <c:pt idx="29">
                  <c:v>0.25386996904024767</c:v>
                </c:pt>
                <c:pt idx="30">
                  <c:v>0.3236842105263158</c:v>
                </c:pt>
                <c:pt idx="31">
                  <c:v>0.34792626728110598</c:v>
                </c:pt>
                <c:pt idx="32">
                  <c:v>0.26415094339622641</c:v>
                </c:pt>
                <c:pt idx="33">
                  <c:v>0.43971631205673761</c:v>
                </c:pt>
                <c:pt idx="34">
                  <c:v>0.3762057877813505</c:v>
                </c:pt>
                <c:pt idx="35">
                  <c:v>6.133333333333333E-2</c:v>
                </c:pt>
                <c:pt idx="36">
                  <c:v>0.10695187165775401</c:v>
                </c:pt>
                <c:pt idx="37">
                  <c:v>8.9353612167300381E-2</c:v>
                </c:pt>
                <c:pt idx="38">
                  <c:v>8.5769980506822607E-2</c:v>
                </c:pt>
                <c:pt idx="39">
                  <c:v>0.1044776119402985</c:v>
                </c:pt>
                <c:pt idx="40">
                  <c:v>8.6842105263157901E-2</c:v>
                </c:pt>
                <c:pt idx="41">
                  <c:v>0.10204081632653061</c:v>
                </c:pt>
                <c:pt idx="42">
                  <c:v>0.12</c:v>
                </c:pt>
                <c:pt idx="43">
                  <c:v>8.3333333333333329E-2</c:v>
                </c:pt>
                <c:pt idx="44">
                  <c:v>7.0953436807095344E-2</c:v>
                </c:pt>
                <c:pt idx="45">
                  <c:v>0.13043478260869565</c:v>
                </c:pt>
                <c:pt idx="46">
                  <c:v>0.11060948081264109</c:v>
                </c:pt>
                <c:pt idx="47">
                  <c:v>0.10922330097087378</c:v>
                </c:pt>
                <c:pt idx="48">
                  <c:v>9.9767981438515077E-2</c:v>
                </c:pt>
                <c:pt idx="49">
                  <c:v>0.38368580060422963</c:v>
                </c:pt>
                <c:pt idx="50">
                  <c:v>0.3415977961432507</c:v>
                </c:pt>
                <c:pt idx="51">
                  <c:v>0.41666666666666669</c:v>
                </c:pt>
                <c:pt idx="52">
                  <c:v>0.42816091954022989</c:v>
                </c:pt>
                <c:pt idx="53">
                  <c:v>0.39895013123359579</c:v>
                </c:pt>
                <c:pt idx="54">
                  <c:v>0.63322884012539182</c:v>
                </c:pt>
                <c:pt idx="55">
                  <c:v>0.70523415977961434</c:v>
                </c:pt>
                <c:pt idx="56">
                  <c:v>0.76334106728538287</c:v>
                </c:pt>
                <c:pt idx="57">
                  <c:v>0.7429906542056075</c:v>
                </c:pt>
                <c:pt idx="58">
                  <c:v>0.66352941176470592</c:v>
                </c:pt>
                <c:pt idx="59">
                  <c:v>0.628</c:v>
                </c:pt>
                <c:pt idx="60">
                  <c:v>0.40591397849462363</c:v>
                </c:pt>
                <c:pt idx="61">
                  <c:v>0.53161592505854804</c:v>
                </c:pt>
                <c:pt idx="62">
                  <c:v>0.50116550116550118</c:v>
                </c:pt>
                <c:pt idx="63">
                  <c:v>0.48195329087048833</c:v>
                </c:pt>
                <c:pt idx="64">
                  <c:v>0.69649805447470814</c:v>
                </c:pt>
                <c:pt idx="65">
                  <c:v>0.79357798165137616</c:v>
                </c:pt>
                <c:pt idx="66">
                  <c:v>0.13725490196078433</c:v>
                </c:pt>
                <c:pt idx="67">
                  <c:v>0.13268608414239483</c:v>
                </c:pt>
                <c:pt idx="68">
                  <c:v>9.5522388059701493E-2</c:v>
                </c:pt>
                <c:pt idx="69">
                  <c:v>0.58745874587458746</c:v>
                </c:pt>
                <c:pt idx="70">
                  <c:v>0.58387096774193548</c:v>
                </c:pt>
                <c:pt idx="71">
                  <c:v>0.5975232198142415</c:v>
                </c:pt>
                <c:pt idx="72">
                  <c:v>0.5128939828080229</c:v>
                </c:pt>
                <c:pt idx="73">
                  <c:v>7.1856287425149698E-2</c:v>
                </c:pt>
                <c:pt idx="74">
                  <c:v>0.13051823416506717</c:v>
                </c:pt>
                <c:pt idx="75">
                  <c:v>8.3333333333333329E-2</c:v>
                </c:pt>
                <c:pt idx="76">
                  <c:v>0.30115830115830117</c:v>
                </c:pt>
                <c:pt idx="77">
                  <c:v>0.24092409240924093</c:v>
                </c:pt>
                <c:pt idx="78">
                  <c:v>0.24528301886792453</c:v>
                </c:pt>
                <c:pt idx="79">
                  <c:v>0.67155425219941345</c:v>
                </c:pt>
                <c:pt idx="80">
                  <c:v>0.67708333333333337</c:v>
                </c:pt>
                <c:pt idx="81">
                  <c:v>0.15064102564102563</c:v>
                </c:pt>
                <c:pt idx="82">
                  <c:v>0.16470588235294117</c:v>
                </c:pt>
                <c:pt idx="83">
                  <c:v>0.16797900262467191</c:v>
                </c:pt>
                <c:pt idx="84">
                  <c:v>0.10512820512820513</c:v>
                </c:pt>
                <c:pt idx="85">
                  <c:v>0.16962025316455695</c:v>
                </c:pt>
                <c:pt idx="86">
                  <c:v>0.27217125382262997</c:v>
                </c:pt>
                <c:pt idx="87">
                  <c:v>0.28337874659400547</c:v>
                </c:pt>
                <c:pt idx="88">
                  <c:v>0.27293064876957496</c:v>
                </c:pt>
                <c:pt idx="89">
                  <c:v>0.24757281553398058</c:v>
                </c:pt>
                <c:pt idx="90">
                  <c:v>0.23903508771929824</c:v>
                </c:pt>
                <c:pt idx="91">
                  <c:v>0.12460063897763578</c:v>
                </c:pt>
                <c:pt idx="92">
                  <c:v>0.14705882352941177</c:v>
                </c:pt>
                <c:pt idx="93">
                  <c:v>0.12849162011173185</c:v>
                </c:pt>
                <c:pt idx="94">
                  <c:v>0.36813186813186816</c:v>
                </c:pt>
                <c:pt idx="95">
                  <c:v>0.32581453634085211</c:v>
                </c:pt>
                <c:pt idx="96">
                  <c:v>0.44047619047619047</c:v>
                </c:pt>
                <c:pt idx="97">
                  <c:v>0.44594594594594594</c:v>
                </c:pt>
                <c:pt idx="98">
                  <c:v>0.38461538461538464</c:v>
                </c:pt>
                <c:pt idx="99">
                  <c:v>0.33484162895927599</c:v>
                </c:pt>
                <c:pt idx="100">
                  <c:v>0.42283298097251587</c:v>
                </c:pt>
                <c:pt idx="101">
                  <c:v>0.41291585127201563</c:v>
                </c:pt>
                <c:pt idx="102">
                  <c:v>0.25</c:v>
                </c:pt>
                <c:pt idx="103">
                  <c:v>0.18541033434650456</c:v>
                </c:pt>
                <c:pt idx="104">
                  <c:v>0.13213213213213212</c:v>
                </c:pt>
                <c:pt idx="105">
                  <c:v>0.78595317725752512</c:v>
                </c:pt>
                <c:pt idx="106">
                  <c:v>0.75271739130434778</c:v>
                </c:pt>
                <c:pt idx="107">
                  <c:v>0.79045092838196285</c:v>
                </c:pt>
                <c:pt idx="108">
                  <c:v>0.77401129943502822</c:v>
                </c:pt>
                <c:pt idx="109">
                  <c:v>0.72631578947368425</c:v>
                </c:pt>
                <c:pt idx="110">
                  <c:v>0.64120370370370372</c:v>
                </c:pt>
                <c:pt idx="111">
                  <c:v>0.66666666666666663</c:v>
                </c:pt>
                <c:pt idx="112">
                  <c:v>0.5901639344262295</c:v>
                </c:pt>
                <c:pt idx="113">
                  <c:v>0.54029850746268659</c:v>
                </c:pt>
                <c:pt idx="114">
                  <c:v>0.47181008902077154</c:v>
                </c:pt>
                <c:pt idx="115">
                  <c:v>0.58841463414634143</c:v>
                </c:pt>
                <c:pt idx="116">
                  <c:v>0.64444444444444449</c:v>
                </c:pt>
                <c:pt idx="117">
                  <c:v>0.71974522292993626</c:v>
                </c:pt>
                <c:pt idx="118">
                  <c:v>0.68008948545861303</c:v>
                </c:pt>
                <c:pt idx="119">
                  <c:v>0.67848699763593379</c:v>
                </c:pt>
                <c:pt idx="120">
                  <c:v>0.71393034825870649</c:v>
                </c:pt>
                <c:pt idx="121">
                  <c:v>0.70935960591133007</c:v>
                </c:pt>
                <c:pt idx="122">
                  <c:v>0.71583514099783085</c:v>
                </c:pt>
                <c:pt idx="123">
                  <c:v>0.75077881619937692</c:v>
                </c:pt>
                <c:pt idx="124">
                  <c:v>0.80219780219780223</c:v>
                </c:pt>
                <c:pt idx="125">
                  <c:v>0.79622641509433967</c:v>
                </c:pt>
                <c:pt idx="126">
                  <c:v>0.73293172690763053</c:v>
                </c:pt>
                <c:pt idx="127">
                  <c:v>0.76729559748427678</c:v>
                </c:pt>
                <c:pt idx="128">
                  <c:v>0.75559701492537312</c:v>
                </c:pt>
                <c:pt idx="129">
                  <c:v>8.1504702194357362E-2</c:v>
                </c:pt>
                <c:pt idx="130">
                  <c:v>7.3232323232323232E-2</c:v>
                </c:pt>
                <c:pt idx="131">
                  <c:v>0.1853035143769968</c:v>
                </c:pt>
                <c:pt idx="132">
                  <c:v>0.20551378446115287</c:v>
                </c:pt>
                <c:pt idx="133">
                  <c:v>0.31272727272727274</c:v>
                </c:pt>
                <c:pt idx="134">
                  <c:v>0.2857142857142857</c:v>
                </c:pt>
                <c:pt idx="135">
                  <c:v>0.68152866242038213</c:v>
                </c:pt>
                <c:pt idx="136">
                  <c:v>0.69414893617021278</c:v>
                </c:pt>
                <c:pt idx="137">
                  <c:v>0.79142300194931769</c:v>
                </c:pt>
                <c:pt idx="138">
                  <c:v>0.7056277056277056</c:v>
                </c:pt>
                <c:pt idx="139">
                  <c:v>0.74259681093394081</c:v>
                </c:pt>
                <c:pt idx="140">
                  <c:v>0.70459081836327342</c:v>
                </c:pt>
                <c:pt idx="141">
                  <c:v>0.72661870503597126</c:v>
                </c:pt>
                <c:pt idx="142">
                  <c:v>0.68506493506493504</c:v>
                </c:pt>
                <c:pt idx="143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A-4908-968D-9B865B85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51199"/>
        <c:axId val="341694335"/>
      </c:scatterChart>
      <c:valAx>
        <c:axId val="4663511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94335"/>
        <c:crosses val="autoZero"/>
        <c:crossBetween val="midCat"/>
      </c:valAx>
      <c:valAx>
        <c:axId val="341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1972878390201E-2"/>
                  <c:y val="0.156252551764362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N36Repah!$E$2:$E$51</c:f>
              <c:numCache>
                <c:formatCode>0.0%</c:formatCode>
                <c:ptCount val="50"/>
                <c:pt idx="0">
                  <c:v>0.60444444444444445</c:v>
                </c:pt>
                <c:pt idx="1">
                  <c:v>0.67777777777777781</c:v>
                </c:pt>
                <c:pt idx="2">
                  <c:v>0.55081967213114758</c:v>
                </c:pt>
                <c:pt idx="3">
                  <c:v>0.5311475409836065</c:v>
                </c:pt>
                <c:pt idx="4">
                  <c:v>0.66557377049180333</c:v>
                </c:pt>
                <c:pt idx="5">
                  <c:v>0.69508196721311477</c:v>
                </c:pt>
                <c:pt idx="6">
                  <c:v>0.66885245901639345</c:v>
                </c:pt>
                <c:pt idx="7">
                  <c:v>0.64820846905537455</c:v>
                </c:pt>
                <c:pt idx="8">
                  <c:v>0.71750000000000003</c:v>
                </c:pt>
                <c:pt idx="9">
                  <c:v>0.89051094890510951</c:v>
                </c:pt>
                <c:pt idx="10">
                  <c:v>0.95388349514563109</c:v>
                </c:pt>
                <c:pt idx="11">
                  <c:v>9.7777777777777783E-2</c:v>
                </c:pt>
                <c:pt idx="12">
                  <c:v>0.10888888888888888</c:v>
                </c:pt>
                <c:pt idx="13">
                  <c:v>0.16444444444444445</c:v>
                </c:pt>
                <c:pt idx="14">
                  <c:v>0.15407854984894259</c:v>
                </c:pt>
                <c:pt idx="15">
                  <c:v>0.23413897280966767</c:v>
                </c:pt>
                <c:pt idx="16">
                  <c:v>0.38821752265861026</c:v>
                </c:pt>
                <c:pt idx="17">
                  <c:v>0.32779456193353473</c:v>
                </c:pt>
                <c:pt idx="18">
                  <c:v>0.29333333333333333</c:v>
                </c:pt>
                <c:pt idx="19">
                  <c:v>0.4177777777777778</c:v>
                </c:pt>
                <c:pt idx="20">
                  <c:v>0.61208576998050679</c:v>
                </c:pt>
                <c:pt idx="21">
                  <c:v>0.26666666666666666</c:v>
                </c:pt>
                <c:pt idx="22">
                  <c:v>0.29555555555555557</c:v>
                </c:pt>
                <c:pt idx="23">
                  <c:v>0.21166666666666667</c:v>
                </c:pt>
                <c:pt idx="24">
                  <c:v>0.29783693843594011</c:v>
                </c:pt>
                <c:pt idx="25">
                  <c:v>0.30782029950083195</c:v>
                </c:pt>
                <c:pt idx="26">
                  <c:v>0.28119800332778699</c:v>
                </c:pt>
                <c:pt idx="27">
                  <c:v>0.27953410981697169</c:v>
                </c:pt>
                <c:pt idx="28">
                  <c:v>0.27620632279534107</c:v>
                </c:pt>
                <c:pt idx="29">
                  <c:v>0.15111111111111111</c:v>
                </c:pt>
                <c:pt idx="30">
                  <c:v>0.10888888888888888</c:v>
                </c:pt>
                <c:pt idx="31">
                  <c:v>0.13351877607788595</c:v>
                </c:pt>
                <c:pt idx="32">
                  <c:v>0.21835883171070933</c:v>
                </c:pt>
                <c:pt idx="33">
                  <c:v>0.20277777777777778</c:v>
                </c:pt>
                <c:pt idx="34">
                  <c:v>0.21249999999999999</c:v>
                </c:pt>
                <c:pt idx="35">
                  <c:v>0.98</c:v>
                </c:pt>
                <c:pt idx="36">
                  <c:v>0.99025341130604283</c:v>
                </c:pt>
                <c:pt idx="37">
                  <c:v>0.91749999999999998</c:v>
                </c:pt>
                <c:pt idx="38">
                  <c:v>0.90118577075098816</c:v>
                </c:pt>
                <c:pt idx="39">
                  <c:v>0.72131147540983609</c:v>
                </c:pt>
                <c:pt idx="40">
                  <c:v>0.73224043715846998</c:v>
                </c:pt>
                <c:pt idx="41">
                  <c:v>0.25333333333333335</c:v>
                </c:pt>
                <c:pt idx="42">
                  <c:v>0.19777777777777777</c:v>
                </c:pt>
                <c:pt idx="43">
                  <c:v>0.1676829268292683</c:v>
                </c:pt>
                <c:pt idx="44">
                  <c:v>0.26371951219512196</c:v>
                </c:pt>
                <c:pt idx="45">
                  <c:v>0.26371951219512196</c:v>
                </c:pt>
                <c:pt idx="46">
                  <c:v>0.33384146341463417</c:v>
                </c:pt>
                <c:pt idx="47">
                  <c:v>0.1575</c:v>
                </c:pt>
                <c:pt idx="48">
                  <c:v>0.24090909090909091</c:v>
                </c:pt>
                <c:pt idx="49">
                  <c:v>0.2471655328798186</c:v>
                </c:pt>
              </c:numCache>
            </c:numRef>
          </c:xVal>
          <c:yVal>
            <c:numRef>
              <c:f>N36Repah!$A$2:$A$51</c:f>
              <c:numCache>
                <c:formatCode>0.0%</c:formatCode>
                <c:ptCount val="50"/>
                <c:pt idx="0">
                  <c:v>0.80888888888888888</c:v>
                </c:pt>
                <c:pt idx="1">
                  <c:v>0.88666666666666671</c:v>
                </c:pt>
                <c:pt idx="2">
                  <c:v>0.82622950819672136</c:v>
                </c:pt>
                <c:pt idx="3">
                  <c:v>0.72786885245901645</c:v>
                </c:pt>
                <c:pt idx="4">
                  <c:v>0.72459016393442621</c:v>
                </c:pt>
                <c:pt idx="5">
                  <c:v>0.72459016393442621</c:v>
                </c:pt>
                <c:pt idx="6">
                  <c:v>0.77540983606557379</c:v>
                </c:pt>
                <c:pt idx="7">
                  <c:v>0.83224755700325737</c:v>
                </c:pt>
                <c:pt idx="8">
                  <c:v>0.74</c:v>
                </c:pt>
                <c:pt idx="9">
                  <c:v>0.8004866180048662</c:v>
                </c:pt>
                <c:pt idx="10">
                  <c:v>0.80825242718446599</c:v>
                </c:pt>
                <c:pt idx="11">
                  <c:v>0.66444444444444439</c:v>
                </c:pt>
                <c:pt idx="12">
                  <c:v>0.81777777777777783</c:v>
                </c:pt>
                <c:pt idx="13">
                  <c:v>0.83777777777777773</c:v>
                </c:pt>
                <c:pt idx="14">
                  <c:v>0.80211480362537768</c:v>
                </c:pt>
                <c:pt idx="15">
                  <c:v>0.71752265861027187</c:v>
                </c:pt>
                <c:pt idx="16">
                  <c:v>0.65256797583081572</c:v>
                </c:pt>
                <c:pt idx="17">
                  <c:v>0.73413897280966767</c:v>
                </c:pt>
                <c:pt idx="18">
                  <c:v>0.67777777777777781</c:v>
                </c:pt>
                <c:pt idx="19">
                  <c:v>0.74444444444444446</c:v>
                </c:pt>
                <c:pt idx="20">
                  <c:v>0.65692007797270957</c:v>
                </c:pt>
                <c:pt idx="21">
                  <c:v>0.72888888888888892</c:v>
                </c:pt>
                <c:pt idx="22">
                  <c:v>0.8</c:v>
                </c:pt>
                <c:pt idx="23">
                  <c:v>0.78500000000000003</c:v>
                </c:pt>
                <c:pt idx="24">
                  <c:v>0.7437603993344426</c:v>
                </c:pt>
                <c:pt idx="25">
                  <c:v>0.70382695507487525</c:v>
                </c:pt>
                <c:pt idx="26">
                  <c:v>0.6688851913477537</c:v>
                </c:pt>
                <c:pt idx="27">
                  <c:v>0.67554076539101493</c:v>
                </c:pt>
                <c:pt idx="28">
                  <c:v>0.76705490848585689</c:v>
                </c:pt>
                <c:pt idx="29">
                  <c:v>0.71333333333333337</c:v>
                </c:pt>
                <c:pt idx="30">
                  <c:v>0.80888888888888888</c:v>
                </c:pt>
                <c:pt idx="31">
                  <c:v>0.73713490959666206</c:v>
                </c:pt>
                <c:pt idx="32">
                  <c:v>0.69262865090403336</c:v>
                </c:pt>
                <c:pt idx="33">
                  <c:v>0.66249999999999998</c:v>
                </c:pt>
                <c:pt idx="34">
                  <c:v>0.74444444444444446</c:v>
                </c:pt>
                <c:pt idx="35">
                  <c:v>0.79749999999999999</c:v>
                </c:pt>
                <c:pt idx="36">
                  <c:v>0.77192982456140347</c:v>
                </c:pt>
                <c:pt idx="37">
                  <c:v>0.78249999999999997</c:v>
                </c:pt>
                <c:pt idx="38">
                  <c:v>0.78853754940711462</c:v>
                </c:pt>
                <c:pt idx="39">
                  <c:v>0.75136612021857918</c:v>
                </c:pt>
                <c:pt idx="40">
                  <c:v>0.76502732240437155</c:v>
                </c:pt>
                <c:pt idx="41">
                  <c:v>0.69777777777777783</c:v>
                </c:pt>
                <c:pt idx="42">
                  <c:v>0.83555555555555561</c:v>
                </c:pt>
                <c:pt idx="43">
                  <c:v>0.78201219512195119</c:v>
                </c:pt>
                <c:pt idx="44">
                  <c:v>0.70426829268292679</c:v>
                </c:pt>
                <c:pt idx="45">
                  <c:v>0.66920731707317072</c:v>
                </c:pt>
                <c:pt idx="46">
                  <c:v>0.76371951219512191</c:v>
                </c:pt>
                <c:pt idx="47">
                  <c:v>0.69499999999999995</c:v>
                </c:pt>
                <c:pt idx="48">
                  <c:v>0.7</c:v>
                </c:pt>
                <c:pt idx="49">
                  <c:v>0.69160997732426299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B-494A-82C9-26A4D598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1972878390201E-2"/>
                  <c:y val="0.156252551764362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N36Repah!$F$2:$F$51</c:f>
              <c:numCache>
                <c:formatCode>0.0%</c:formatCode>
                <c:ptCount val="50"/>
                <c:pt idx="0">
                  <c:v>0.16888888888888889</c:v>
                </c:pt>
                <c:pt idx="1">
                  <c:v>0.13555555555555557</c:v>
                </c:pt>
                <c:pt idx="2">
                  <c:v>0.2</c:v>
                </c:pt>
                <c:pt idx="3">
                  <c:v>0.21803278688524591</c:v>
                </c:pt>
                <c:pt idx="4">
                  <c:v>0.16229508196721312</c:v>
                </c:pt>
                <c:pt idx="5">
                  <c:v>0.14262295081967213</c:v>
                </c:pt>
                <c:pt idx="6">
                  <c:v>0.16721311475409836</c:v>
                </c:pt>
                <c:pt idx="7">
                  <c:v>0.13680781758957655</c:v>
                </c:pt>
                <c:pt idx="8">
                  <c:v>0.06</c:v>
                </c:pt>
                <c:pt idx="9">
                  <c:v>2.4330900243309003E-3</c:v>
                </c:pt>
                <c:pt idx="10">
                  <c:v>7.2815533980582527E-3</c:v>
                </c:pt>
                <c:pt idx="11">
                  <c:v>0.79777777777777781</c:v>
                </c:pt>
                <c:pt idx="12">
                  <c:v>0.76222222222222225</c:v>
                </c:pt>
                <c:pt idx="13">
                  <c:v>0.72444444444444445</c:v>
                </c:pt>
                <c:pt idx="14">
                  <c:v>0.71148036253776437</c:v>
                </c:pt>
                <c:pt idx="15">
                  <c:v>0.52719033232628398</c:v>
                </c:pt>
                <c:pt idx="16">
                  <c:v>0.39123867069486407</c:v>
                </c:pt>
                <c:pt idx="17">
                  <c:v>0.43202416918429004</c:v>
                </c:pt>
                <c:pt idx="18">
                  <c:v>0.52888888888888885</c:v>
                </c:pt>
                <c:pt idx="19">
                  <c:v>0.4622222222222222</c:v>
                </c:pt>
                <c:pt idx="20">
                  <c:v>0.28849902534113059</c:v>
                </c:pt>
                <c:pt idx="21">
                  <c:v>0.47333333333333333</c:v>
                </c:pt>
                <c:pt idx="22">
                  <c:v>0.50444444444444447</c:v>
                </c:pt>
                <c:pt idx="23">
                  <c:v>0.45333333333333331</c:v>
                </c:pt>
                <c:pt idx="24">
                  <c:v>0.47088186356073214</c:v>
                </c:pt>
                <c:pt idx="25">
                  <c:v>0.50083194675540765</c:v>
                </c:pt>
                <c:pt idx="26">
                  <c:v>0.52911813643926786</c:v>
                </c:pt>
                <c:pt idx="27">
                  <c:v>0.52412645590682194</c:v>
                </c:pt>
                <c:pt idx="28">
                  <c:v>0.50582362728785357</c:v>
                </c:pt>
                <c:pt idx="29">
                  <c:v>0.67555555555555558</c:v>
                </c:pt>
                <c:pt idx="30">
                  <c:v>0.65777777777777779</c:v>
                </c:pt>
                <c:pt idx="31">
                  <c:v>0.69680111265646727</c:v>
                </c:pt>
                <c:pt idx="32">
                  <c:v>0.62030598052851182</c:v>
                </c:pt>
                <c:pt idx="33">
                  <c:v>0.59305555555555556</c:v>
                </c:pt>
                <c:pt idx="34">
                  <c:v>0.56805555555555554</c:v>
                </c:pt>
                <c:pt idx="35">
                  <c:v>1.2500000000000001E-2</c:v>
                </c:pt>
                <c:pt idx="36">
                  <c:v>3.8986354775828458E-3</c:v>
                </c:pt>
                <c:pt idx="37">
                  <c:v>2.5000000000000001E-2</c:v>
                </c:pt>
                <c:pt idx="38">
                  <c:v>1.9762845849802372E-2</c:v>
                </c:pt>
                <c:pt idx="39">
                  <c:v>0.1448087431693989</c:v>
                </c:pt>
                <c:pt idx="40">
                  <c:v>0.13934426229508196</c:v>
                </c:pt>
                <c:pt idx="41">
                  <c:v>0.56222222222222218</c:v>
                </c:pt>
                <c:pt idx="42">
                  <c:v>0.63111111111111107</c:v>
                </c:pt>
                <c:pt idx="43">
                  <c:v>0.625</c:v>
                </c:pt>
                <c:pt idx="44">
                  <c:v>0.53810975609756095</c:v>
                </c:pt>
                <c:pt idx="45">
                  <c:v>0.58384146341463417</c:v>
                </c:pt>
                <c:pt idx="46">
                  <c:v>0.51219512195121952</c:v>
                </c:pt>
                <c:pt idx="47">
                  <c:v>0.625</c:v>
                </c:pt>
                <c:pt idx="48">
                  <c:v>0.54318181818181821</c:v>
                </c:pt>
                <c:pt idx="49">
                  <c:v>0.52380952380952384</c:v>
                </c:pt>
              </c:numCache>
            </c:numRef>
          </c:xVal>
          <c:yVal>
            <c:numRef>
              <c:f>N36Repah!$A$2:$A$51</c:f>
              <c:numCache>
                <c:formatCode>0.0%</c:formatCode>
                <c:ptCount val="50"/>
                <c:pt idx="0">
                  <c:v>0.80888888888888888</c:v>
                </c:pt>
                <c:pt idx="1">
                  <c:v>0.88666666666666671</c:v>
                </c:pt>
                <c:pt idx="2">
                  <c:v>0.82622950819672136</c:v>
                </c:pt>
                <c:pt idx="3">
                  <c:v>0.72786885245901645</c:v>
                </c:pt>
                <c:pt idx="4">
                  <c:v>0.72459016393442621</c:v>
                </c:pt>
                <c:pt idx="5">
                  <c:v>0.72459016393442621</c:v>
                </c:pt>
                <c:pt idx="6">
                  <c:v>0.77540983606557379</c:v>
                </c:pt>
                <c:pt idx="7">
                  <c:v>0.83224755700325737</c:v>
                </c:pt>
                <c:pt idx="8">
                  <c:v>0.74</c:v>
                </c:pt>
                <c:pt idx="9">
                  <c:v>0.8004866180048662</c:v>
                </c:pt>
                <c:pt idx="10">
                  <c:v>0.80825242718446599</c:v>
                </c:pt>
                <c:pt idx="11">
                  <c:v>0.66444444444444439</c:v>
                </c:pt>
                <c:pt idx="12">
                  <c:v>0.81777777777777783</c:v>
                </c:pt>
                <c:pt idx="13">
                  <c:v>0.83777777777777773</c:v>
                </c:pt>
                <c:pt idx="14">
                  <c:v>0.80211480362537768</c:v>
                </c:pt>
                <c:pt idx="15">
                  <c:v>0.71752265861027187</c:v>
                </c:pt>
                <c:pt idx="16">
                  <c:v>0.65256797583081572</c:v>
                </c:pt>
                <c:pt idx="17">
                  <c:v>0.73413897280966767</c:v>
                </c:pt>
                <c:pt idx="18">
                  <c:v>0.67777777777777781</c:v>
                </c:pt>
                <c:pt idx="19">
                  <c:v>0.74444444444444446</c:v>
                </c:pt>
                <c:pt idx="20">
                  <c:v>0.65692007797270957</c:v>
                </c:pt>
                <c:pt idx="21">
                  <c:v>0.72888888888888892</c:v>
                </c:pt>
                <c:pt idx="22">
                  <c:v>0.8</c:v>
                </c:pt>
                <c:pt idx="23">
                  <c:v>0.78500000000000003</c:v>
                </c:pt>
                <c:pt idx="24">
                  <c:v>0.7437603993344426</c:v>
                </c:pt>
                <c:pt idx="25">
                  <c:v>0.70382695507487525</c:v>
                </c:pt>
                <c:pt idx="26">
                  <c:v>0.6688851913477537</c:v>
                </c:pt>
                <c:pt idx="27">
                  <c:v>0.67554076539101493</c:v>
                </c:pt>
                <c:pt idx="28">
                  <c:v>0.76705490848585689</c:v>
                </c:pt>
                <c:pt idx="29">
                  <c:v>0.71333333333333337</c:v>
                </c:pt>
                <c:pt idx="30">
                  <c:v>0.80888888888888888</c:v>
                </c:pt>
                <c:pt idx="31">
                  <c:v>0.73713490959666206</c:v>
                </c:pt>
                <c:pt idx="32">
                  <c:v>0.69262865090403336</c:v>
                </c:pt>
                <c:pt idx="33">
                  <c:v>0.66249999999999998</c:v>
                </c:pt>
                <c:pt idx="34">
                  <c:v>0.74444444444444446</c:v>
                </c:pt>
                <c:pt idx="35">
                  <c:v>0.79749999999999999</c:v>
                </c:pt>
                <c:pt idx="36">
                  <c:v>0.77192982456140347</c:v>
                </c:pt>
                <c:pt idx="37">
                  <c:v>0.78249999999999997</c:v>
                </c:pt>
                <c:pt idx="38">
                  <c:v>0.78853754940711462</c:v>
                </c:pt>
                <c:pt idx="39">
                  <c:v>0.75136612021857918</c:v>
                </c:pt>
                <c:pt idx="40">
                  <c:v>0.76502732240437155</c:v>
                </c:pt>
                <c:pt idx="41">
                  <c:v>0.69777777777777783</c:v>
                </c:pt>
                <c:pt idx="42">
                  <c:v>0.83555555555555561</c:v>
                </c:pt>
                <c:pt idx="43">
                  <c:v>0.78201219512195119</c:v>
                </c:pt>
                <c:pt idx="44">
                  <c:v>0.70426829268292679</c:v>
                </c:pt>
                <c:pt idx="45">
                  <c:v>0.66920731707317072</c:v>
                </c:pt>
                <c:pt idx="46">
                  <c:v>0.76371951219512191</c:v>
                </c:pt>
                <c:pt idx="47">
                  <c:v>0.69499999999999995</c:v>
                </c:pt>
                <c:pt idx="48">
                  <c:v>0.7</c:v>
                </c:pt>
                <c:pt idx="49">
                  <c:v>0.69160997732426299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F-4002-85F1-55C849FA3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1972878390201E-2"/>
                  <c:y val="0.156252551764362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N36Repah!$G$2:$G$51</c:f>
              <c:numCache>
                <c:formatCode>0.0%</c:formatCode>
                <c:ptCount val="50"/>
                <c:pt idx="0">
                  <c:v>0.22</c:v>
                </c:pt>
                <c:pt idx="1">
                  <c:v>0.18222222222222223</c:v>
                </c:pt>
                <c:pt idx="2">
                  <c:v>0.24918032786885247</c:v>
                </c:pt>
                <c:pt idx="3">
                  <c:v>0.25081967213114753</c:v>
                </c:pt>
                <c:pt idx="4">
                  <c:v>0.1721311475409836</c:v>
                </c:pt>
                <c:pt idx="5">
                  <c:v>0.15901639344262294</c:v>
                </c:pt>
                <c:pt idx="6">
                  <c:v>0.16229508196721312</c:v>
                </c:pt>
                <c:pt idx="7">
                  <c:v>0.21498371335504887</c:v>
                </c:pt>
                <c:pt idx="8">
                  <c:v>0.22</c:v>
                </c:pt>
                <c:pt idx="9">
                  <c:v>0.10462287104622871</c:v>
                </c:pt>
                <c:pt idx="10">
                  <c:v>3.8834951456310676E-2</c:v>
                </c:pt>
                <c:pt idx="11">
                  <c:v>0.10222222222222223</c:v>
                </c:pt>
                <c:pt idx="12">
                  <c:v>0.12888888888888889</c:v>
                </c:pt>
                <c:pt idx="13">
                  <c:v>0.10888888888888888</c:v>
                </c:pt>
                <c:pt idx="14">
                  <c:v>0.13141993957703926</c:v>
                </c:pt>
                <c:pt idx="15">
                  <c:v>0.22809667673716011</c:v>
                </c:pt>
                <c:pt idx="16">
                  <c:v>0.22054380664652568</c:v>
                </c:pt>
                <c:pt idx="17">
                  <c:v>0.24018126888217523</c:v>
                </c:pt>
                <c:pt idx="18">
                  <c:v>0.17333333333333334</c:v>
                </c:pt>
                <c:pt idx="19">
                  <c:v>0.11777777777777777</c:v>
                </c:pt>
                <c:pt idx="20">
                  <c:v>9.3567251461988299E-2</c:v>
                </c:pt>
                <c:pt idx="21">
                  <c:v>0.24888888888888888</c:v>
                </c:pt>
                <c:pt idx="22">
                  <c:v>0.19333333333333333</c:v>
                </c:pt>
                <c:pt idx="23">
                  <c:v>0.32666666666666666</c:v>
                </c:pt>
                <c:pt idx="24">
                  <c:v>0.22628951747088186</c:v>
                </c:pt>
                <c:pt idx="25">
                  <c:v>0.18469217970049917</c:v>
                </c:pt>
                <c:pt idx="26">
                  <c:v>0.18136439267886856</c:v>
                </c:pt>
                <c:pt idx="27">
                  <c:v>0.19633943427620631</c:v>
                </c:pt>
                <c:pt idx="28">
                  <c:v>0.21797004991680533</c:v>
                </c:pt>
                <c:pt idx="29">
                  <c:v>0.16888888888888889</c:v>
                </c:pt>
                <c:pt idx="30">
                  <c:v>0.22888888888888889</c:v>
                </c:pt>
                <c:pt idx="31">
                  <c:v>0.16689847009735745</c:v>
                </c:pt>
                <c:pt idx="32">
                  <c:v>0.15438108484005564</c:v>
                </c:pt>
                <c:pt idx="33">
                  <c:v>0.2</c:v>
                </c:pt>
                <c:pt idx="34">
                  <c:v>0.21944444444444444</c:v>
                </c:pt>
                <c:pt idx="35">
                  <c:v>7.4999999999999997E-3</c:v>
                </c:pt>
                <c:pt idx="36">
                  <c:v>3.8986354775828458E-3</c:v>
                </c:pt>
                <c:pt idx="37">
                  <c:v>1.4999999999999999E-2</c:v>
                </c:pt>
                <c:pt idx="38">
                  <c:v>2.1739130434782608E-2</c:v>
                </c:pt>
                <c:pt idx="39">
                  <c:v>0.13387978142076504</c:v>
                </c:pt>
                <c:pt idx="40">
                  <c:v>0.12841530054644809</c:v>
                </c:pt>
                <c:pt idx="41">
                  <c:v>0.18</c:v>
                </c:pt>
                <c:pt idx="42">
                  <c:v>0.16888888888888889</c:v>
                </c:pt>
                <c:pt idx="43">
                  <c:v>0.20579268292682926</c:v>
                </c:pt>
                <c:pt idx="44">
                  <c:v>0.19054878048780488</c:v>
                </c:pt>
                <c:pt idx="45">
                  <c:v>0.1524390243902439</c:v>
                </c:pt>
                <c:pt idx="46">
                  <c:v>0.15396341463414634</c:v>
                </c:pt>
                <c:pt idx="47">
                  <c:v>0.19500000000000001</c:v>
                </c:pt>
                <c:pt idx="48">
                  <c:v>0.18181818181818182</c:v>
                </c:pt>
                <c:pt idx="49">
                  <c:v>0.20861678004535147</c:v>
                </c:pt>
              </c:numCache>
            </c:numRef>
          </c:xVal>
          <c:yVal>
            <c:numRef>
              <c:f>N36Repah!$A$2:$A$51</c:f>
              <c:numCache>
                <c:formatCode>0.0%</c:formatCode>
                <c:ptCount val="50"/>
                <c:pt idx="0">
                  <c:v>0.80888888888888888</c:v>
                </c:pt>
                <c:pt idx="1">
                  <c:v>0.88666666666666671</c:v>
                </c:pt>
                <c:pt idx="2">
                  <c:v>0.82622950819672136</c:v>
                </c:pt>
                <c:pt idx="3">
                  <c:v>0.72786885245901645</c:v>
                </c:pt>
                <c:pt idx="4">
                  <c:v>0.72459016393442621</c:v>
                </c:pt>
                <c:pt idx="5">
                  <c:v>0.72459016393442621</c:v>
                </c:pt>
                <c:pt idx="6">
                  <c:v>0.77540983606557379</c:v>
                </c:pt>
                <c:pt idx="7">
                  <c:v>0.83224755700325737</c:v>
                </c:pt>
                <c:pt idx="8">
                  <c:v>0.74</c:v>
                </c:pt>
                <c:pt idx="9">
                  <c:v>0.8004866180048662</c:v>
                </c:pt>
                <c:pt idx="10">
                  <c:v>0.80825242718446599</c:v>
                </c:pt>
                <c:pt idx="11">
                  <c:v>0.66444444444444439</c:v>
                </c:pt>
                <c:pt idx="12">
                  <c:v>0.81777777777777783</c:v>
                </c:pt>
                <c:pt idx="13">
                  <c:v>0.83777777777777773</c:v>
                </c:pt>
                <c:pt idx="14">
                  <c:v>0.80211480362537768</c:v>
                </c:pt>
                <c:pt idx="15">
                  <c:v>0.71752265861027187</c:v>
                </c:pt>
                <c:pt idx="16">
                  <c:v>0.65256797583081572</c:v>
                </c:pt>
                <c:pt idx="17">
                  <c:v>0.73413897280966767</c:v>
                </c:pt>
                <c:pt idx="18">
                  <c:v>0.67777777777777781</c:v>
                </c:pt>
                <c:pt idx="19">
                  <c:v>0.74444444444444446</c:v>
                </c:pt>
                <c:pt idx="20">
                  <c:v>0.65692007797270957</c:v>
                </c:pt>
                <c:pt idx="21">
                  <c:v>0.72888888888888892</c:v>
                </c:pt>
                <c:pt idx="22">
                  <c:v>0.8</c:v>
                </c:pt>
                <c:pt idx="23">
                  <c:v>0.78500000000000003</c:v>
                </c:pt>
                <c:pt idx="24">
                  <c:v>0.7437603993344426</c:v>
                </c:pt>
                <c:pt idx="25">
                  <c:v>0.70382695507487525</c:v>
                </c:pt>
                <c:pt idx="26">
                  <c:v>0.6688851913477537</c:v>
                </c:pt>
                <c:pt idx="27">
                  <c:v>0.67554076539101493</c:v>
                </c:pt>
                <c:pt idx="28">
                  <c:v>0.76705490848585689</c:v>
                </c:pt>
                <c:pt idx="29">
                  <c:v>0.71333333333333337</c:v>
                </c:pt>
                <c:pt idx="30">
                  <c:v>0.80888888888888888</c:v>
                </c:pt>
                <c:pt idx="31">
                  <c:v>0.73713490959666206</c:v>
                </c:pt>
                <c:pt idx="32">
                  <c:v>0.69262865090403336</c:v>
                </c:pt>
                <c:pt idx="33">
                  <c:v>0.66249999999999998</c:v>
                </c:pt>
                <c:pt idx="34">
                  <c:v>0.74444444444444446</c:v>
                </c:pt>
                <c:pt idx="35">
                  <c:v>0.79749999999999999</c:v>
                </c:pt>
                <c:pt idx="36">
                  <c:v>0.77192982456140347</c:v>
                </c:pt>
                <c:pt idx="37">
                  <c:v>0.78249999999999997</c:v>
                </c:pt>
                <c:pt idx="38">
                  <c:v>0.78853754940711462</c:v>
                </c:pt>
                <c:pt idx="39">
                  <c:v>0.75136612021857918</c:v>
                </c:pt>
                <c:pt idx="40">
                  <c:v>0.76502732240437155</c:v>
                </c:pt>
                <c:pt idx="41">
                  <c:v>0.69777777777777783</c:v>
                </c:pt>
                <c:pt idx="42">
                  <c:v>0.83555555555555561</c:v>
                </c:pt>
                <c:pt idx="43">
                  <c:v>0.78201219512195119</c:v>
                </c:pt>
                <c:pt idx="44">
                  <c:v>0.70426829268292679</c:v>
                </c:pt>
                <c:pt idx="45">
                  <c:v>0.66920731707317072</c:v>
                </c:pt>
                <c:pt idx="46">
                  <c:v>0.76371951219512191</c:v>
                </c:pt>
                <c:pt idx="47">
                  <c:v>0.69499999999999995</c:v>
                </c:pt>
                <c:pt idx="48">
                  <c:v>0.7</c:v>
                </c:pt>
                <c:pt idx="49">
                  <c:v>0.69160997732426299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7-4D32-8C54-E399ABCA5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166666666666669E-3"/>
                  <c:y val="-0.438562263050452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N36Repah!$E$2:$E$51</c:f>
              <c:numCache>
                <c:formatCode>0.0%</c:formatCode>
                <c:ptCount val="50"/>
                <c:pt idx="0">
                  <c:v>0.60444444444444445</c:v>
                </c:pt>
                <c:pt idx="1">
                  <c:v>0.67777777777777781</c:v>
                </c:pt>
                <c:pt idx="2">
                  <c:v>0.55081967213114758</c:v>
                </c:pt>
                <c:pt idx="3">
                  <c:v>0.5311475409836065</c:v>
                </c:pt>
                <c:pt idx="4">
                  <c:v>0.66557377049180333</c:v>
                </c:pt>
                <c:pt idx="5">
                  <c:v>0.69508196721311477</c:v>
                </c:pt>
                <c:pt idx="6">
                  <c:v>0.66885245901639345</c:v>
                </c:pt>
                <c:pt idx="7">
                  <c:v>0.64820846905537455</c:v>
                </c:pt>
                <c:pt idx="8">
                  <c:v>0.71750000000000003</c:v>
                </c:pt>
                <c:pt idx="9">
                  <c:v>0.89051094890510951</c:v>
                </c:pt>
                <c:pt idx="10">
                  <c:v>0.95388349514563109</c:v>
                </c:pt>
                <c:pt idx="11">
                  <c:v>9.7777777777777783E-2</c:v>
                </c:pt>
                <c:pt idx="12">
                  <c:v>0.10888888888888888</c:v>
                </c:pt>
                <c:pt idx="13">
                  <c:v>0.16444444444444445</c:v>
                </c:pt>
                <c:pt idx="14">
                  <c:v>0.15407854984894259</c:v>
                </c:pt>
                <c:pt idx="15">
                  <c:v>0.23413897280966767</c:v>
                </c:pt>
                <c:pt idx="16">
                  <c:v>0.38821752265861026</c:v>
                </c:pt>
                <c:pt idx="17">
                  <c:v>0.32779456193353473</c:v>
                </c:pt>
                <c:pt idx="18">
                  <c:v>0.29333333333333333</c:v>
                </c:pt>
                <c:pt idx="19">
                  <c:v>0.4177777777777778</c:v>
                </c:pt>
                <c:pt idx="20">
                  <c:v>0.61208576998050679</c:v>
                </c:pt>
                <c:pt idx="21">
                  <c:v>0.26666666666666666</c:v>
                </c:pt>
                <c:pt idx="22">
                  <c:v>0.29555555555555557</c:v>
                </c:pt>
                <c:pt idx="23">
                  <c:v>0.21166666666666667</c:v>
                </c:pt>
                <c:pt idx="24">
                  <c:v>0.29783693843594011</c:v>
                </c:pt>
                <c:pt idx="25">
                  <c:v>0.30782029950083195</c:v>
                </c:pt>
                <c:pt idx="26">
                  <c:v>0.28119800332778699</c:v>
                </c:pt>
                <c:pt idx="27">
                  <c:v>0.27953410981697169</c:v>
                </c:pt>
                <c:pt idx="28">
                  <c:v>0.27620632279534107</c:v>
                </c:pt>
                <c:pt idx="29">
                  <c:v>0.15111111111111111</c:v>
                </c:pt>
                <c:pt idx="30">
                  <c:v>0.10888888888888888</c:v>
                </c:pt>
                <c:pt idx="31">
                  <c:v>0.13351877607788595</c:v>
                </c:pt>
                <c:pt idx="32">
                  <c:v>0.21835883171070933</c:v>
                </c:pt>
                <c:pt idx="33">
                  <c:v>0.20277777777777778</c:v>
                </c:pt>
                <c:pt idx="34">
                  <c:v>0.21249999999999999</c:v>
                </c:pt>
                <c:pt idx="35">
                  <c:v>0.98</c:v>
                </c:pt>
                <c:pt idx="36">
                  <c:v>0.99025341130604283</c:v>
                </c:pt>
                <c:pt idx="37">
                  <c:v>0.91749999999999998</c:v>
                </c:pt>
                <c:pt idx="38">
                  <c:v>0.90118577075098816</c:v>
                </c:pt>
                <c:pt idx="39">
                  <c:v>0.72131147540983609</c:v>
                </c:pt>
                <c:pt idx="40">
                  <c:v>0.73224043715846998</c:v>
                </c:pt>
                <c:pt idx="41">
                  <c:v>0.25333333333333335</c:v>
                </c:pt>
                <c:pt idx="42">
                  <c:v>0.19777777777777777</c:v>
                </c:pt>
                <c:pt idx="43">
                  <c:v>0.1676829268292683</c:v>
                </c:pt>
                <c:pt idx="44">
                  <c:v>0.26371951219512196</c:v>
                </c:pt>
                <c:pt idx="45">
                  <c:v>0.26371951219512196</c:v>
                </c:pt>
                <c:pt idx="46">
                  <c:v>0.33384146341463417</c:v>
                </c:pt>
                <c:pt idx="47">
                  <c:v>0.1575</c:v>
                </c:pt>
                <c:pt idx="48">
                  <c:v>0.24090909090909091</c:v>
                </c:pt>
                <c:pt idx="49">
                  <c:v>0.2471655328798186</c:v>
                </c:pt>
              </c:numCache>
            </c:numRef>
          </c:xVal>
          <c:yVal>
            <c:numRef>
              <c:f>N36Repah!$B$2:$B$51</c:f>
              <c:numCache>
                <c:formatCode>0.0%</c:formatCode>
                <c:ptCount val="50"/>
                <c:pt idx="0">
                  <c:v>0.36813186813186816</c:v>
                </c:pt>
                <c:pt idx="1">
                  <c:v>0.32581453634085211</c:v>
                </c:pt>
                <c:pt idx="2">
                  <c:v>0.44047619047619047</c:v>
                </c:pt>
                <c:pt idx="3">
                  <c:v>0.44594594594594594</c:v>
                </c:pt>
                <c:pt idx="4">
                  <c:v>0.38461538461538464</c:v>
                </c:pt>
                <c:pt idx="5">
                  <c:v>0.33484162895927599</c:v>
                </c:pt>
                <c:pt idx="6">
                  <c:v>0.42283298097251587</c:v>
                </c:pt>
                <c:pt idx="7">
                  <c:v>0.41291585127201563</c:v>
                </c:pt>
                <c:pt idx="8">
                  <c:v>0.25</c:v>
                </c:pt>
                <c:pt idx="9">
                  <c:v>0.18541033434650456</c:v>
                </c:pt>
                <c:pt idx="10">
                  <c:v>0.13213213213213212</c:v>
                </c:pt>
                <c:pt idx="11">
                  <c:v>0.78595317725752512</c:v>
                </c:pt>
                <c:pt idx="12">
                  <c:v>0.75271739130434778</c:v>
                </c:pt>
                <c:pt idx="13">
                  <c:v>0.79045092838196285</c:v>
                </c:pt>
                <c:pt idx="14">
                  <c:v>0.77401129943502822</c:v>
                </c:pt>
                <c:pt idx="15">
                  <c:v>0.72631578947368425</c:v>
                </c:pt>
                <c:pt idx="16">
                  <c:v>0.64120370370370372</c:v>
                </c:pt>
                <c:pt idx="17">
                  <c:v>0.66666666666666663</c:v>
                </c:pt>
                <c:pt idx="18">
                  <c:v>0.5901639344262295</c:v>
                </c:pt>
                <c:pt idx="19">
                  <c:v>0.54029850746268659</c:v>
                </c:pt>
                <c:pt idx="20">
                  <c:v>0.47181008902077154</c:v>
                </c:pt>
                <c:pt idx="21">
                  <c:v>0.58841463414634143</c:v>
                </c:pt>
                <c:pt idx="22">
                  <c:v>0.64444444444444449</c:v>
                </c:pt>
                <c:pt idx="23">
                  <c:v>0.71974522292993626</c:v>
                </c:pt>
                <c:pt idx="24">
                  <c:v>0.68008948545861303</c:v>
                </c:pt>
                <c:pt idx="25">
                  <c:v>0.67848699763593379</c:v>
                </c:pt>
                <c:pt idx="26">
                  <c:v>0.71393034825870649</c:v>
                </c:pt>
                <c:pt idx="27">
                  <c:v>0.70935960591133007</c:v>
                </c:pt>
                <c:pt idx="28">
                  <c:v>0.71583514099783085</c:v>
                </c:pt>
                <c:pt idx="29">
                  <c:v>0.75077881619937692</c:v>
                </c:pt>
                <c:pt idx="30">
                  <c:v>0.80219780219780223</c:v>
                </c:pt>
                <c:pt idx="31">
                  <c:v>0.79622641509433967</c:v>
                </c:pt>
                <c:pt idx="32">
                  <c:v>0.73293172690763053</c:v>
                </c:pt>
                <c:pt idx="33">
                  <c:v>0.76729559748427678</c:v>
                </c:pt>
                <c:pt idx="34">
                  <c:v>0.75559701492537312</c:v>
                </c:pt>
                <c:pt idx="35">
                  <c:v>8.1504702194357362E-2</c:v>
                </c:pt>
                <c:pt idx="36">
                  <c:v>7.3232323232323232E-2</c:v>
                </c:pt>
                <c:pt idx="37">
                  <c:v>0.1853035143769968</c:v>
                </c:pt>
                <c:pt idx="38">
                  <c:v>0.20551378446115287</c:v>
                </c:pt>
                <c:pt idx="39">
                  <c:v>0.31272727272727274</c:v>
                </c:pt>
                <c:pt idx="40">
                  <c:v>0.2857142857142857</c:v>
                </c:pt>
                <c:pt idx="41">
                  <c:v>0.68152866242038213</c:v>
                </c:pt>
                <c:pt idx="42">
                  <c:v>0.69414893617021278</c:v>
                </c:pt>
                <c:pt idx="43">
                  <c:v>0.79142300194931769</c:v>
                </c:pt>
                <c:pt idx="44">
                  <c:v>0.7056277056277056</c:v>
                </c:pt>
                <c:pt idx="45">
                  <c:v>0.74259681093394081</c:v>
                </c:pt>
                <c:pt idx="46">
                  <c:v>0.70459081836327342</c:v>
                </c:pt>
                <c:pt idx="47">
                  <c:v>0.72661870503597126</c:v>
                </c:pt>
                <c:pt idx="48">
                  <c:v>0.68506493506493504</c:v>
                </c:pt>
                <c:pt idx="49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3-45DB-B733-919C794A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780402449693786E-3"/>
                  <c:y val="0.29296296296296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N36Repah!$F$2:$F$51</c:f>
              <c:numCache>
                <c:formatCode>0.0%</c:formatCode>
                <c:ptCount val="50"/>
                <c:pt idx="0">
                  <c:v>0.16888888888888889</c:v>
                </c:pt>
                <c:pt idx="1">
                  <c:v>0.13555555555555557</c:v>
                </c:pt>
                <c:pt idx="2">
                  <c:v>0.2</c:v>
                </c:pt>
                <c:pt idx="3">
                  <c:v>0.21803278688524591</c:v>
                </c:pt>
                <c:pt idx="4">
                  <c:v>0.16229508196721312</c:v>
                </c:pt>
                <c:pt idx="5">
                  <c:v>0.14262295081967213</c:v>
                </c:pt>
                <c:pt idx="6">
                  <c:v>0.16721311475409836</c:v>
                </c:pt>
                <c:pt idx="7">
                  <c:v>0.13680781758957655</c:v>
                </c:pt>
                <c:pt idx="8">
                  <c:v>0.06</c:v>
                </c:pt>
                <c:pt idx="9">
                  <c:v>2.4330900243309003E-3</c:v>
                </c:pt>
                <c:pt idx="10">
                  <c:v>7.2815533980582527E-3</c:v>
                </c:pt>
                <c:pt idx="11">
                  <c:v>0.79777777777777781</c:v>
                </c:pt>
                <c:pt idx="12">
                  <c:v>0.76222222222222225</c:v>
                </c:pt>
                <c:pt idx="13">
                  <c:v>0.72444444444444445</c:v>
                </c:pt>
                <c:pt idx="14">
                  <c:v>0.71148036253776437</c:v>
                </c:pt>
                <c:pt idx="15">
                  <c:v>0.52719033232628398</c:v>
                </c:pt>
                <c:pt idx="16">
                  <c:v>0.39123867069486407</c:v>
                </c:pt>
                <c:pt idx="17">
                  <c:v>0.43202416918429004</c:v>
                </c:pt>
                <c:pt idx="18">
                  <c:v>0.52888888888888885</c:v>
                </c:pt>
                <c:pt idx="19">
                  <c:v>0.4622222222222222</c:v>
                </c:pt>
                <c:pt idx="20">
                  <c:v>0.28849902534113059</c:v>
                </c:pt>
                <c:pt idx="21">
                  <c:v>0.47333333333333333</c:v>
                </c:pt>
                <c:pt idx="22">
                  <c:v>0.50444444444444447</c:v>
                </c:pt>
                <c:pt idx="23">
                  <c:v>0.45333333333333331</c:v>
                </c:pt>
                <c:pt idx="24">
                  <c:v>0.47088186356073214</c:v>
                </c:pt>
                <c:pt idx="25">
                  <c:v>0.50083194675540765</c:v>
                </c:pt>
                <c:pt idx="26">
                  <c:v>0.52911813643926786</c:v>
                </c:pt>
                <c:pt idx="27">
                  <c:v>0.52412645590682194</c:v>
                </c:pt>
                <c:pt idx="28">
                  <c:v>0.50582362728785357</c:v>
                </c:pt>
                <c:pt idx="29">
                  <c:v>0.67555555555555558</c:v>
                </c:pt>
                <c:pt idx="30">
                  <c:v>0.65777777777777779</c:v>
                </c:pt>
                <c:pt idx="31">
                  <c:v>0.69680111265646727</c:v>
                </c:pt>
                <c:pt idx="32">
                  <c:v>0.62030598052851182</c:v>
                </c:pt>
                <c:pt idx="33">
                  <c:v>0.59305555555555556</c:v>
                </c:pt>
                <c:pt idx="34">
                  <c:v>0.56805555555555554</c:v>
                </c:pt>
                <c:pt idx="35">
                  <c:v>1.2500000000000001E-2</c:v>
                </c:pt>
                <c:pt idx="36">
                  <c:v>3.8986354775828458E-3</c:v>
                </c:pt>
                <c:pt idx="37">
                  <c:v>2.5000000000000001E-2</c:v>
                </c:pt>
                <c:pt idx="38">
                  <c:v>1.9762845849802372E-2</c:v>
                </c:pt>
                <c:pt idx="39">
                  <c:v>0.1448087431693989</c:v>
                </c:pt>
                <c:pt idx="40">
                  <c:v>0.13934426229508196</c:v>
                </c:pt>
                <c:pt idx="41">
                  <c:v>0.56222222222222218</c:v>
                </c:pt>
                <c:pt idx="42">
                  <c:v>0.63111111111111107</c:v>
                </c:pt>
                <c:pt idx="43">
                  <c:v>0.625</c:v>
                </c:pt>
                <c:pt idx="44">
                  <c:v>0.53810975609756095</c:v>
                </c:pt>
                <c:pt idx="45">
                  <c:v>0.58384146341463417</c:v>
                </c:pt>
                <c:pt idx="46">
                  <c:v>0.51219512195121952</c:v>
                </c:pt>
                <c:pt idx="47">
                  <c:v>0.625</c:v>
                </c:pt>
                <c:pt idx="48">
                  <c:v>0.54318181818181821</c:v>
                </c:pt>
                <c:pt idx="49">
                  <c:v>0.52380952380952384</c:v>
                </c:pt>
              </c:numCache>
            </c:numRef>
          </c:xVal>
          <c:yVal>
            <c:numRef>
              <c:f>N36Repah!$B$2:$B$51</c:f>
              <c:numCache>
                <c:formatCode>0.0%</c:formatCode>
                <c:ptCount val="50"/>
                <c:pt idx="0">
                  <c:v>0.36813186813186816</c:v>
                </c:pt>
                <c:pt idx="1">
                  <c:v>0.32581453634085211</c:v>
                </c:pt>
                <c:pt idx="2">
                  <c:v>0.44047619047619047</c:v>
                </c:pt>
                <c:pt idx="3">
                  <c:v>0.44594594594594594</c:v>
                </c:pt>
                <c:pt idx="4">
                  <c:v>0.38461538461538464</c:v>
                </c:pt>
                <c:pt idx="5">
                  <c:v>0.33484162895927599</c:v>
                </c:pt>
                <c:pt idx="6">
                  <c:v>0.42283298097251587</c:v>
                </c:pt>
                <c:pt idx="7">
                  <c:v>0.41291585127201563</c:v>
                </c:pt>
                <c:pt idx="8">
                  <c:v>0.25</c:v>
                </c:pt>
                <c:pt idx="9">
                  <c:v>0.18541033434650456</c:v>
                </c:pt>
                <c:pt idx="10">
                  <c:v>0.13213213213213212</c:v>
                </c:pt>
                <c:pt idx="11">
                  <c:v>0.78595317725752512</c:v>
                </c:pt>
                <c:pt idx="12">
                  <c:v>0.75271739130434778</c:v>
                </c:pt>
                <c:pt idx="13">
                  <c:v>0.79045092838196285</c:v>
                </c:pt>
                <c:pt idx="14">
                  <c:v>0.77401129943502822</c:v>
                </c:pt>
                <c:pt idx="15">
                  <c:v>0.72631578947368425</c:v>
                </c:pt>
                <c:pt idx="16">
                  <c:v>0.64120370370370372</c:v>
                </c:pt>
                <c:pt idx="17">
                  <c:v>0.66666666666666663</c:v>
                </c:pt>
                <c:pt idx="18">
                  <c:v>0.5901639344262295</c:v>
                </c:pt>
                <c:pt idx="19">
                  <c:v>0.54029850746268659</c:v>
                </c:pt>
                <c:pt idx="20">
                  <c:v>0.47181008902077154</c:v>
                </c:pt>
                <c:pt idx="21">
                  <c:v>0.58841463414634143</c:v>
                </c:pt>
                <c:pt idx="22">
                  <c:v>0.64444444444444449</c:v>
                </c:pt>
                <c:pt idx="23">
                  <c:v>0.71974522292993626</c:v>
                </c:pt>
                <c:pt idx="24">
                  <c:v>0.68008948545861303</c:v>
                </c:pt>
                <c:pt idx="25">
                  <c:v>0.67848699763593379</c:v>
                </c:pt>
                <c:pt idx="26">
                  <c:v>0.71393034825870649</c:v>
                </c:pt>
                <c:pt idx="27">
                  <c:v>0.70935960591133007</c:v>
                </c:pt>
                <c:pt idx="28">
                  <c:v>0.71583514099783085</c:v>
                </c:pt>
                <c:pt idx="29">
                  <c:v>0.75077881619937692</c:v>
                </c:pt>
                <c:pt idx="30">
                  <c:v>0.80219780219780223</c:v>
                </c:pt>
                <c:pt idx="31">
                  <c:v>0.79622641509433967</c:v>
                </c:pt>
                <c:pt idx="32">
                  <c:v>0.73293172690763053</c:v>
                </c:pt>
                <c:pt idx="33">
                  <c:v>0.76729559748427678</c:v>
                </c:pt>
                <c:pt idx="34">
                  <c:v>0.75559701492537312</c:v>
                </c:pt>
                <c:pt idx="35">
                  <c:v>8.1504702194357362E-2</c:v>
                </c:pt>
                <c:pt idx="36">
                  <c:v>7.3232323232323232E-2</c:v>
                </c:pt>
                <c:pt idx="37">
                  <c:v>0.1853035143769968</c:v>
                </c:pt>
                <c:pt idx="38">
                  <c:v>0.20551378446115287</c:v>
                </c:pt>
                <c:pt idx="39">
                  <c:v>0.31272727272727274</c:v>
                </c:pt>
                <c:pt idx="40">
                  <c:v>0.2857142857142857</c:v>
                </c:pt>
                <c:pt idx="41">
                  <c:v>0.68152866242038213</c:v>
                </c:pt>
                <c:pt idx="42">
                  <c:v>0.69414893617021278</c:v>
                </c:pt>
                <c:pt idx="43">
                  <c:v>0.79142300194931769</c:v>
                </c:pt>
                <c:pt idx="44">
                  <c:v>0.7056277056277056</c:v>
                </c:pt>
                <c:pt idx="45">
                  <c:v>0.74259681093394081</c:v>
                </c:pt>
                <c:pt idx="46">
                  <c:v>0.70459081836327342</c:v>
                </c:pt>
                <c:pt idx="47">
                  <c:v>0.72661870503597126</c:v>
                </c:pt>
                <c:pt idx="48">
                  <c:v>0.68506493506493504</c:v>
                </c:pt>
                <c:pt idx="49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6-477E-AEDF-372B2C21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N36Repah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780402449693786E-3"/>
                  <c:y val="0.29296296296296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N36Repah!$G$2:$G$51</c:f>
              <c:numCache>
                <c:formatCode>0.0%</c:formatCode>
                <c:ptCount val="50"/>
                <c:pt idx="0">
                  <c:v>0.22</c:v>
                </c:pt>
                <c:pt idx="1">
                  <c:v>0.18222222222222223</c:v>
                </c:pt>
                <c:pt idx="2">
                  <c:v>0.24918032786885247</c:v>
                </c:pt>
                <c:pt idx="3">
                  <c:v>0.25081967213114753</c:v>
                </c:pt>
                <c:pt idx="4">
                  <c:v>0.1721311475409836</c:v>
                </c:pt>
                <c:pt idx="5">
                  <c:v>0.15901639344262294</c:v>
                </c:pt>
                <c:pt idx="6">
                  <c:v>0.16229508196721312</c:v>
                </c:pt>
                <c:pt idx="7">
                  <c:v>0.21498371335504887</c:v>
                </c:pt>
                <c:pt idx="8">
                  <c:v>0.22</c:v>
                </c:pt>
                <c:pt idx="9">
                  <c:v>0.10462287104622871</c:v>
                </c:pt>
                <c:pt idx="10">
                  <c:v>3.8834951456310676E-2</c:v>
                </c:pt>
                <c:pt idx="11">
                  <c:v>0.10222222222222223</c:v>
                </c:pt>
                <c:pt idx="12">
                  <c:v>0.12888888888888889</c:v>
                </c:pt>
                <c:pt idx="13">
                  <c:v>0.10888888888888888</c:v>
                </c:pt>
                <c:pt idx="14">
                  <c:v>0.13141993957703926</c:v>
                </c:pt>
                <c:pt idx="15">
                  <c:v>0.22809667673716011</c:v>
                </c:pt>
                <c:pt idx="16">
                  <c:v>0.22054380664652568</c:v>
                </c:pt>
                <c:pt idx="17">
                  <c:v>0.24018126888217523</c:v>
                </c:pt>
                <c:pt idx="18">
                  <c:v>0.17333333333333334</c:v>
                </c:pt>
                <c:pt idx="19">
                  <c:v>0.11777777777777777</c:v>
                </c:pt>
                <c:pt idx="20">
                  <c:v>9.3567251461988299E-2</c:v>
                </c:pt>
                <c:pt idx="21">
                  <c:v>0.24888888888888888</c:v>
                </c:pt>
                <c:pt idx="22">
                  <c:v>0.19333333333333333</c:v>
                </c:pt>
                <c:pt idx="23">
                  <c:v>0.32666666666666666</c:v>
                </c:pt>
                <c:pt idx="24">
                  <c:v>0.22628951747088186</c:v>
                </c:pt>
                <c:pt idx="25">
                  <c:v>0.18469217970049917</c:v>
                </c:pt>
                <c:pt idx="26">
                  <c:v>0.18136439267886856</c:v>
                </c:pt>
                <c:pt idx="27">
                  <c:v>0.19633943427620631</c:v>
                </c:pt>
                <c:pt idx="28">
                  <c:v>0.21797004991680533</c:v>
                </c:pt>
                <c:pt idx="29">
                  <c:v>0.16888888888888889</c:v>
                </c:pt>
                <c:pt idx="30">
                  <c:v>0.22888888888888889</c:v>
                </c:pt>
                <c:pt idx="31">
                  <c:v>0.16689847009735745</c:v>
                </c:pt>
                <c:pt idx="32">
                  <c:v>0.15438108484005564</c:v>
                </c:pt>
                <c:pt idx="33">
                  <c:v>0.2</c:v>
                </c:pt>
                <c:pt idx="34">
                  <c:v>0.21944444444444444</c:v>
                </c:pt>
                <c:pt idx="35">
                  <c:v>7.4999999999999997E-3</c:v>
                </c:pt>
                <c:pt idx="36">
                  <c:v>3.8986354775828458E-3</c:v>
                </c:pt>
                <c:pt idx="37">
                  <c:v>1.4999999999999999E-2</c:v>
                </c:pt>
                <c:pt idx="38">
                  <c:v>2.1739130434782608E-2</c:v>
                </c:pt>
                <c:pt idx="39">
                  <c:v>0.13387978142076504</c:v>
                </c:pt>
                <c:pt idx="40">
                  <c:v>0.12841530054644809</c:v>
                </c:pt>
                <c:pt idx="41">
                  <c:v>0.18</c:v>
                </c:pt>
                <c:pt idx="42">
                  <c:v>0.16888888888888889</c:v>
                </c:pt>
                <c:pt idx="43">
                  <c:v>0.20579268292682926</c:v>
                </c:pt>
                <c:pt idx="44">
                  <c:v>0.19054878048780488</c:v>
                </c:pt>
                <c:pt idx="45">
                  <c:v>0.1524390243902439</c:v>
                </c:pt>
                <c:pt idx="46">
                  <c:v>0.15396341463414634</c:v>
                </c:pt>
                <c:pt idx="47">
                  <c:v>0.19500000000000001</c:v>
                </c:pt>
                <c:pt idx="48">
                  <c:v>0.18181818181818182</c:v>
                </c:pt>
                <c:pt idx="49">
                  <c:v>0.20861678004535147</c:v>
                </c:pt>
              </c:numCache>
            </c:numRef>
          </c:xVal>
          <c:yVal>
            <c:numRef>
              <c:f>N36Repah!$B$2:$B$51</c:f>
              <c:numCache>
                <c:formatCode>0.0%</c:formatCode>
                <c:ptCount val="50"/>
                <c:pt idx="0">
                  <c:v>0.36813186813186816</c:v>
                </c:pt>
                <c:pt idx="1">
                  <c:v>0.32581453634085211</c:v>
                </c:pt>
                <c:pt idx="2">
                  <c:v>0.44047619047619047</c:v>
                </c:pt>
                <c:pt idx="3">
                  <c:v>0.44594594594594594</c:v>
                </c:pt>
                <c:pt idx="4">
                  <c:v>0.38461538461538464</c:v>
                </c:pt>
                <c:pt idx="5">
                  <c:v>0.33484162895927599</c:v>
                </c:pt>
                <c:pt idx="6">
                  <c:v>0.42283298097251587</c:v>
                </c:pt>
                <c:pt idx="7">
                  <c:v>0.41291585127201563</c:v>
                </c:pt>
                <c:pt idx="8">
                  <c:v>0.25</c:v>
                </c:pt>
                <c:pt idx="9">
                  <c:v>0.18541033434650456</c:v>
                </c:pt>
                <c:pt idx="10">
                  <c:v>0.13213213213213212</c:v>
                </c:pt>
                <c:pt idx="11">
                  <c:v>0.78595317725752512</c:v>
                </c:pt>
                <c:pt idx="12">
                  <c:v>0.75271739130434778</c:v>
                </c:pt>
                <c:pt idx="13">
                  <c:v>0.79045092838196285</c:v>
                </c:pt>
                <c:pt idx="14">
                  <c:v>0.77401129943502822</c:v>
                </c:pt>
                <c:pt idx="15">
                  <c:v>0.72631578947368425</c:v>
                </c:pt>
                <c:pt idx="16">
                  <c:v>0.64120370370370372</c:v>
                </c:pt>
                <c:pt idx="17">
                  <c:v>0.66666666666666663</c:v>
                </c:pt>
                <c:pt idx="18">
                  <c:v>0.5901639344262295</c:v>
                </c:pt>
                <c:pt idx="19">
                  <c:v>0.54029850746268659</c:v>
                </c:pt>
                <c:pt idx="20">
                  <c:v>0.47181008902077154</c:v>
                </c:pt>
                <c:pt idx="21">
                  <c:v>0.58841463414634143</c:v>
                </c:pt>
                <c:pt idx="22">
                  <c:v>0.64444444444444449</c:v>
                </c:pt>
                <c:pt idx="23">
                  <c:v>0.71974522292993626</c:v>
                </c:pt>
                <c:pt idx="24">
                  <c:v>0.68008948545861303</c:v>
                </c:pt>
                <c:pt idx="25">
                  <c:v>0.67848699763593379</c:v>
                </c:pt>
                <c:pt idx="26">
                  <c:v>0.71393034825870649</c:v>
                </c:pt>
                <c:pt idx="27">
                  <c:v>0.70935960591133007</c:v>
                </c:pt>
                <c:pt idx="28">
                  <c:v>0.71583514099783085</c:v>
                </c:pt>
                <c:pt idx="29">
                  <c:v>0.75077881619937692</c:v>
                </c:pt>
                <c:pt idx="30">
                  <c:v>0.80219780219780223</c:v>
                </c:pt>
                <c:pt idx="31">
                  <c:v>0.79622641509433967</c:v>
                </c:pt>
                <c:pt idx="32">
                  <c:v>0.73293172690763053</c:v>
                </c:pt>
                <c:pt idx="33">
                  <c:v>0.76729559748427678</c:v>
                </c:pt>
                <c:pt idx="34">
                  <c:v>0.75559701492537312</c:v>
                </c:pt>
                <c:pt idx="35">
                  <c:v>8.1504702194357362E-2</c:v>
                </c:pt>
                <c:pt idx="36">
                  <c:v>7.3232323232323232E-2</c:v>
                </c:pt>
                <c:pt idx="37">
                  <c:v>0.1853035143769968</c:v>
                </c:pt>
                <c:pt idx="38">
                  <c:v>0.20551378446115287</c:v>
                </c:pt>
                <c:pt idx="39">
                  <c:v>0.31272727272727274</c:v>
                </c:pt>
                <c:pt idx="40">
                  <c:v>0.2857142857142857</c:v>
                </c:pt>
                <c:pt idx="41">
                  <c:v>0.68152866242038213</c:v>
                </c:pt>
                <c:pt idx="42">
                  <c:v>0.69414893617021278</c:v>
                </c:pt>
                <c:pt idx="43">
                  <c:v>0.79142300194931769</c:v>
                </c:pt>
                <c:pt idx="44">
                  <c:v>0.7056277056277056</c:v>
                </c:pt>
                <c:pt idx="45">
                  <c:v>0.74259681093394081</c:v>
                </c:pt>
                <c:pt idx="46">
                  <c:v>0.70459081836327342</c:v>
                </c:pt>
                <c:pt idx="47">
                  <c:v>0.72661870503597126</c:v>
                </c:pt>
                <c:pt idx="48">
                  <c:v>0.68506493506493504</c:v>
                </c:pt>
                <c:pt idx="49">
                  <c:v>0.77049180327868849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75-46EF-B33A-F9CBA31E4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50527"/>
        <c:axId val="277626127"/>
      </c:scatterChart>
      <c:valAx>
        <c:axId val="13840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26127"/>
        <c:crosses val="autoZero"/>
        <c:crossBetween val="midCat"/>
      </c:valAx>
      <c:valAx>
        <c:axId val="2776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39DAD3-E749-475E-9AE9-AA16F8C7C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304800</xdr:colOff>
      <xdr:row>38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4861D-B375-4621-84E5-F7AFC43E4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42</xdr:row>
      <xdr:rowOff>0</xdr:rowOff>
    </xdr:from>
    <xdr:to>
      <xdr:col>22</xdr:col>
      <xdr:colOff>304800</xdr:colOff>
      <xdr:row>58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7DF59A-A222-49F8-BA77-8FBC66DFD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3</xdr:row>
      <xdr:rowOff>0</xdr:rowOff>
    </xdr:from>
    <xdr:to>
      <xdr:col>31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395D84-716B-43F0-BFEC-5A3D89A68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42</xdr:row>
      <xdr:rowOff>0</xdr:rowOff>
    </xdr:from>
    <xdr:to>
      <xdr:col>31</xdr:col>
      <xdr:colOff>304800</xdr:colOff>
      <xdr:row>58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CB3BBB-9CA8-4D09-BDCD-BCB18A258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40</xdr:col>
      <xdr:colOff>304800</xdr:colOff>
      <xdr:row>19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365081-BDE9-433B-BB77-A558A3F72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83826</xdr:colOff>
      <xdr:row>3</xdr:row>
      <xdr:rowOff>140970</xdr:rowOff>
    </xdr:from>
    <xdr:to>
      <xdr:col>17</xdr:col>
      <xdr:colOff>388626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CDC4E-41DB-6CA7-6DE2-D8191B3F0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17</xdr:col>
      <xdr:colOff>304800</xdr:colOff>
      <xdr:row>39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D54CB-FD3B-40E2-B440-B03B0F1A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160020</xdr:colOff>
      <xdr:row>42</xdr:row>
      <xdr:rowOff>45720</xdr:rowOff>
    </xdr:from>
    <xdr:to>
      <xdr:col>17</xdr:col>
      <xdr:colOff>464820</xdr:colOff>
      <xdr:row>58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2A5E7-4951-4D66-AA61-9B5B81374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20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290D9-CE28-4D18-8A6B-9FB90E1D9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729B86-C019-4820-A1AD-790FB125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30480</xdr:colOff>
      <xdr:row>42</xdr:row>
      <xdr:rowOff>68580</xdr:rowOff>
    </xdr:from>
    <xdr:to>
      <xdr:col>26</xdr:col>
      <xdr:colOff>335280</xdr:colOff>
      <xdr:row>58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DD1E69-A35C-48D2-B4EB-90BBC9539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542544</xdr:colOff>
      <xdr:row>19</xdr:row>
      <xdr:rowOff>0</xdr:rowOff>
    </xdr:from>
    <xdr:ext cx="3313429" cy="375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234696</xdr:colOff>
      <xdr:row>3</xdr:row>
      <xdr:rowOff>49142</xdr:rowOff>
    </xdr:from>
    <xdr:ext cx="381000" cy="29028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330695</xdr:colOff>
      <xdr:row>3</xdr:row>
      <xdr:rowOff>49142</xdr:rowOff>
    </xdr:from>
    <xdr:ext cx="193523" cy="290285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4</xdr:col>
      <xdr:colOff>541654</xdr:colOff>
      <xdr:row>20</xdr:row>
      <xdr:rowOff>0</xdr:rowOff>
    </xdr:from>
    <xdr:ext cx="4008120" cy="241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008120" cy="241300"/>
        </a:xfrm>
        <a:custGeom>
          <a:avLst/>
          <a:gdLst/>
          <a:ahLst/>
          <a:cxnLst/>
          <a:rect l="0" t="0" r="0" b="0"/>
          <a:pathLst>
            <a:path w="4008120" h="241300">
              <a:moveTo>
                <a:pt x="691896" y="0"/>
              </a:moveTo>
              <a:lnTo>
                <a:pt x="0" y="0"/>
              </a:lnTo>
              <a:lnTo>
                <a:pt x="0" y="240792"/>
              </a:lnTo>
              <a:lnTo>
                <a:pt x="691896" y="240792"/>
              </a:lnTo>
              <a:lnTo>
                <a:pt x="691896" y="0"/>
              </a:lnTo>
              <a:close/>
            </a:path>
            <a:path w="4008120" h="241300">
              <a:moveTo>
                <a:pt x="1520952" y="0"/>
              </a:moveTo>
              <a:lnTo>
                <a:pt x="694944" y="0"/>
              </a:lnTo>
              <a:lnTo>
                <a:pt x="694944" y="240792"/>
              </a:lnTo>
              <a:lnTo>
                <a:pt x="1520952" y="240792"/>
              </a:lnTo>
              <a:lnTo>
                <a:pt x="1520952" y="0"/>
              </a:lnTo>
              <a:close/>
            </a:path>
            <a:path w="4008120" h="241300">
              <a:moveTo>
                <a:pt x="2350008" y="0"/>
              </a:moveTo>
              <a:lnTo>
                <a:pt x="1524000" y="0"/>
              </a:lnTo>
              <a:lnTo>
                <a:pt x="1524000" y="240792"/>
              </a:lnTo>
              <a:lnTo>
                <a:pt x="2350008" y="240792"/>
              </a:lnTo>
              <a:lnTo>
                <a:pt x="2350008" y="0"/>
              </a:lnTo>
              <a:close/>
            </a:path>
            <a:path w="4008120" h="241300">
              <a:moveTo>
                <a:pt x="3179064" y="0"/>
              </a:moveTo>
              <a:lnTo>
                <a:pt x="2353056" y="0"/>
              </a:lnTo>
              <a:lnTo>
                <a:pt x="2353056" y="240792"/>
              </a:lnTo>
              <a:lnTo>
                <a:pt x="3179064" y="240792"/>
              </a:lnTo>
              <a:lnTo>
                <a:pt x="3179064" y="0"/>
              </a:lnTo>
              <a:close/>
            </a:path>
            <a:path w="4008120" h="241300">
              <a:moveTo>
                <a:pt x="4008120" y="0"/>
              </a:moveTo>
              <a:lnTo>
                <a:pt x="3182112" y="0"/>
              </a:lnTo>
              <a:lnTo>
                <a:pt x="3182112" y="240792"/>
              </a:lnTo>
              <a:lnTo>
                <a:pt x="4008120" y="240792"/>
              </a:lnTo>
              <a:lnTo>
                <a:pt x="40081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2095</xdr:colOff>
      <xdr:row>4</xdr:row>
      <xdr:rowOff>1524</xdr:rowOff>
    </xdr:from>
    <xdr:ext cx="702945" cy="2413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02945" cy="241300"/>
        </a:xfrm>
        <a:custGeom>
          <a:avLst/>
          <a:gdLst/>
          <a:ahLst/>
          <a:cxnLst/>
          <a:rect l="0" t="0" r="0" b="0"/>
          <a:pathLst>
            <a:path w="702945" h="241300">
              <a:moveTo>
                <a:pt x="702564" y="0"/>
              </a:moveTo>
              <a:lnTo>
                <a:pt x="0" y="0"/>
              </a:lnTo>
              <a:lnTo>
                <a:pt x="0" y="240791"/>
              </a:lnTo>
              <a:lnTo>
                <a:pt x="702564" y="240791"/>
              </a:lnTo>
              <a:lnTo>
                <a:pt x="70256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198754</xdr:colOff>
      <xdr:row>21</xdr:row>
      <xdr:rowOff>0</xdr:rowOff>
    </xdr:from>
    <xdr:ext cx="7315200" cy="3197860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610234" y="5753100"/>
          <a:ext cx="7315200" cy="3197860"/>
          <a:chOff x="0" y="0"/>
          <a:chExt cx="7315200" cy="3197860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0"/>
            <a:ext cx="7315200" cy="2897505"/>
          </a:xfrm>
          <a:custGeom>
            <a:avLst/>
            <a:gdLst/>
            <a:ahLst/>
            <a:cxnLst/>
            <a:rect l="0" t="0" r="0" b="0"/>
            <a:pathLst>
              <a:path w="7315200" h="2897505">
                <a:moveTo>
                  <a:pt x="339852" y="2485644"/>
                </a:moveTo>
                <a:lnTo>
                  <a:pt x="0" y="2485644"/>
                </a:lnTo>
                <a:lnTo>
                  <a:pt x="0" y="2897124"/>
                </a:lnTo>
                <a:lnTo>
                  <a:pt x="339852" y="2897124"/>
                </a:lnTo>
                <a:lnTo>
                  <a:pt x="339852" y="2485644"/>
                </a:lnTo>
                <a:close/>
              </a:path>
              <a:path w="7315200" h="2897505">
                <a:moveTo>
                  <a:pt x="339852" y="0"/>
                </a:moveTo>
                <a:lnTo>
                  <a:pt x="0" y="0"/>
                </a:lnTo>
                <a:lnTo>
                  <a:pt x="0" y="2482596"/>
                </a:lnTo>
                <a:lnTo>
                  <a:pt x="339852" y="2482596"/>
                </a:lnTo>
                <a:lnTo>
                  <a:pt x="339852" y="0"/>
                </a:lnTo>
                <a:close/>
              </a:path>
              <a:path w="7315200" h="2897505">
                <a:moveTo>
                  <a:pt x="1376172" y="0"/>
                </a:moveTo>
                <a:lnTo>
                  <a:pt x="342900" y="0"/>
                </a:lnTo>
                <a:lnTo>
                  <a:pt x="342900" y="2482596"/>
                </a:lnTo>
                <a:lnTo>
                  <a:pt x="1376172" y="2482596"/>
                </a:lnTo>
                <a:lnTo>
                  <a:pt x="1376172" y="0"/>
                </a:lnTo>
                <a:close/>
              </a:path>
              <a:path w="7315200" h="2897505">
                <a:moveTo>
                  <a:pt x="2753868" y="416052"/>
                </a:moveTo>
                <a:lnTo>
                  <a:pt x="1379220" y="416052"/>
                </a:lnTo>
                <a:lnTo>
                  <a:pt x="1379220" y="2482596"/>
                </a:lnTo>
                <a:lnTo>
                  <a:pt x="2753868" y="2482596"/>
                </a:lnTo>
                <a:lnTo>
                  <a:pt x="2753868" y="416052"/>
                </a:lnTo>
                <a:close/>
              </a:path>
              <a:path w="7315200" h="2897505">
                <a:moveTo>
                  <a:pt x="2753868" y="0"/>
                </a:moveTo>
                <a:lnTo>
                  <a:pt x="1379220" y="0"/>
                </a:lnTo>
                <a:lnTo>
                  <a:pt x="1379220" y="413004"/>
                </a:lnTo>
                <a:lnTo>
                  <a:pt x="2753868" y="413004"/>
                </a:lnTo>
                <a:lnTo>
                  <a:pt x="2753868" y="0"/>
                </a:lnTo>
                <a:close/>
              </a:path>
              <a:path w="7315200" h="2897505">
                <a:moveTo>
                  <a:pt x="3304032" y="2278380"/>
                </a:moveTo>
                <a:lnTo>
                  <a:pt x="2756916" y="2278380"/>
                </a:lnTo>
                <a:lnTo>
                  <a:pt x="2756916" y="2482596"/>
                </a:lnTo>
                <a:lnTo>
                  <a:pt x="3304032" y="2482596"/>
                </a:lnTo>
                <a:lnTo>
                  <a:pt x="3304032" y="2278380"/>
                </a:lnTo>
                <a:close/>
              </a:path>
              <a:path w="7315200" h="2897505">
                <a:moveTo>
                  <a:pt x="3304032" y="2071116"/>
                </a:moveTo>
                <a:lnTo>
                  <a:pt x="2756916" y="2071116"/>
                </a:lnTo>
                <a:lnTo>
                  <a:pt x="2756916" y="2275332"/>
                </a:lnTo>
                <a:lnTo>
                  <a:pt x="3304032" y="2275332"/>
                </a:lnTo>
                <a:lnTo>
                  <a:pt x="3304032" y="2071116"/>
                </a:lnTo>
                <a:close/>
              </a:path>
              <a:path w="7315200" h="2897505">
                <a:moveTo>
                  <a:pt x="3304032" y="1863852"/>
                </a:moveTo>
                <a:lnTo>
                  <a:pt x="2756916" y="1863852"/>
                </a:lnTo>
                <a:lnTo>
                  <a:pt x="2756916" y="2068068"/>
                </a:lnTo>
                <a:lnTo>
                  <a:pt x="3304032" y="2068068"/>
                </a:lnTo>
                <a:lnTo>
                  <a:pt x="3304032" y="1863852"/>
                </a:lnTo>
                <a:close/>
              </a:path>
              <a:path w="7315200" h="2897505">
                <a:moveTo>
                  <a:pt x="3304032" y="1656588"/>
                </a:moveTo>
                <a:lnTo>
                  <a:pt x="2756916" y="1656588"/>
                </a:lnTo>
                <a:lnTo>
                  <a:pt x="2756916" y="1860816"/>
                </a:lnTo>
                <a:lnTo>
                  <a:pt x="3304032" y="1860816"/>
                </a:lnTo>
                <a:lnTo>
                  <a:pt x="3304032" y="1656588"/>
                </a:lnTo>
                <a:close/>
              </a:path>
              <a:path w="7315200" h="2897505">
                <a:moveTo>
                  <a:pt x="3304032" y="1450848"/>
                </a:moveTo>
                <a:lnTo>
                  <a:pt x="2756916" y="1450848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50848"/>
                </a:lnTo>
                <a:close/>
              </a:path>
              <a:path w="7315200" h="2897505">
                <a:moveTo>
                  <a:pt x="3304032" y="1243584"/>
                </a:moveTo>
                <a:lnTo>
                  <a:pt x="2756916" y="1243584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3584"/>
                </a:lnTo>
                <a:close/>
              </a:path>
              <a:path w="7315200" h="2897505">
                <a:moveTo>
                  <a:pt x="3304032" y="1036320"/>
                </a:moveTo>
                <a:lnTo>
                  <a:pt x="2756916" y="1036320"/>
                </a:lnTo>
                <a:lnTo>
                  <a:pt x="2756916" y="1240536"/>
                </a:lnTo>
                <a:lnTo>
                  <a:pt x="3304032" y="1240536"/>
                </a:lnTo>
                <a:lnTo>
                  <a:pt x="3304032" y="1036320"/>
                </a:lnTo>
                <a:close/>
              </a:path>
              <a:path w="7315200" h="2897505">
                <a:moveTo>
                  <a:pt x="3304032" y="829056"/>
                </a:moveTo>
                <a:lnTo>
                  <a:pt x="2756916" y="829056"/>
                </a:lnTo>
                <a:lnTo>
                  <a:pt x="2756916" y="1033272"/>
                </a:lnTo>
                <a:lnTo>
                  <a:pt x="3304032" y="1033272"/>
                </a:lnTo>
                <a:lnTo>
                  <a:pt x="3304032" y="829056"/>
                </a:lnTo>
                <a:close/>
              </a:path>
              <a:path w="7315200" h="2897505">
                <a:moveTo>
                  <a:pt x="3304032" y="623316"/>
                </a:moveTo>
                <a:lnTo>
                  <a:pt x="2756916" y="623316"/>
                </a:lnTo>
                <a:lnTo>
                  <a:pt x="2756916" y="826008"/>
                </a:lnTo>
                <a:lnTo>
                  <a:pt x="3304032" y="826008"/>
                </a:lnTo>
                <a:lnTo>
                  <a:pt x="3304032" y="623316"/>
                </a:lnTo>
                <a:close/>
              </a:path>
              <a:path w="7315200" h="2897505">
                <a:moveTo>
                  <a:pt x="3304032" y="416052"/>
                </a:moveTo>
                <a:lnTo>
                  <a:pt x="2756916" y="416052"/>
                </a:lnTo>
                <a:lnTo>
                  <a:pt x="2756916" y="620268"/>
                </a:lnTo>
                <a:lnTo>
                  <a:pt x="3304032" y="620268"/>
                </a:lnTo>
                <a:lnTo>
                  <a:pt x="3304032" y="416052"/>
                </a:lnTo>
                <a:close/>
              </a:path>
              <a:path w="7315200" h="2897505">
                <a:moveTo>
                  <a:pt x="3304032" y="0"/>
                </a:moveTo>
                <a:lnTo>
                  <a:pt x="2756916" y="0"/>
                </a:lnTo>
                <a:lnTo>
                  <a:pt x="2756916" y="413004"/>
                </a:lnTo>
                <a:lnTo>
                  <a:pt x="3304032" y="413004"/>
                </a:lnTo>
                <a:lnTo>
                  <a:pt x="3304032" y="0"/>
                </a:lnTo>
                <a:close/>
              </a:path>
              <a:path w="7315200" h="2897505">
                <a:moveTo>
                  <a:pt x="3998976" y="2278380"/>
                </a:moveTo>
                <a:lnTo>
                  <a:pt x="3307080" y="2278380"/>
                </a:lnTo>
                <a:lnTo>
                  <a:pt x="3307080" y="2482596"/>
                </a:lnTo>
                <a:lnTo>
                  <a:pt x="3998976" y="2482596"/>
                </a:lnTo>
                <a:lnTo>
                  <a:pt x="3998976" y="2278380"/>
                </a:lnTo>
                <a:close/>
              </a:path>
              <a:path w="7315200" h="2897505">
                <a:moveTo>
                  <a:pt x="3998976" y="2071116"/>
                </a:moveTo>
                <a:lnTo>
                  <a:pt x="3307080" y="2071116"/>
                </a:lnTo>
                <a:lnTo>
                  <a:pt x="3307080" y="2275332"/>
                </a:lnTo>
                <a:lnTo>
                  <a:pt x="3998976" y="2275332"/>
                </a:lnTo>
                <a:lnTo>
                  <a:pt x="3998976" y="2071116"/>
                </a:lnTo>
                <a:close/>
              </a:path>
              <a:path w="7315200" h="2897505">
                <a:moveTo>
                  <a:pt x="3998976" y="1863852"/>
                </a:moveTo>
                <a:lnTo>
                  <a:pt x="3307080" y="1863852"/>
                </a:lnTo>
                <a:lnTo>
                  <a:pt x="3307080" y="2068068"/>
                </a:lnTo>
                <a:lnTo>
                  <a:pt x="3998976" y="2068068"/>
                </a:lnTo>
                <a:lnTo>
                  <a:pt x="3998976" y="1863852"/>
                </a:lnTo>
                <a:close/>
              </a:path>
              <a:path w="7315200" h="2897505">
                <a:moveTo>
                  <a:pt x="3998976" y="1656588"/>
                </a:moveTo>
                <a:lnTo>
                  <a:pt x="3307080" y="1656588"/>
                </a:lnTo>
                <a:lnTo>
                  <a:pt x="3307080" y="1860816"/>
                </a:lnTo>
                <a:lnTo>
                  <a:pt x="3998976" y="1860816"/>
                </a:lnTo>
                <a:lnTo>
                  <a:pt x="3998976" y="1656588"/>
                </a:lnTo>
                <a:close/>
              </a:path>
              <a:path w="7315200" h="2897505">
                <a:moveTo>
                  <a:pt x="3998976" y="1450848"/>
                </a:moveTo>
                <a:lnTo>
                  <a:pt x="3307080" y="1450848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50848"/>
                </a:lnTo>
                <a:close/>
              </a:path>
              <a:path w="7315200" h="2897505">
                <a:moveTo>
                  <a:pt x="3998976" y="1243584"/>
                </a:moveTo>
                <a:lnTo>
                  <a:pt x="3307080" y="1243584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3584"/>
                </a:lnTo>
                <a:close/>
              </a:path>
              <a:path w="7315200" h="2897505">
                <a:moveTo>
                  <a:pt x="3998976" y="1036320"/>
                </a:moveTo>
                <a:lnTo>
                  <a:pt x="3307080" y="1036320"/>
                </a:lnTo>
                <a:lnTo>
                  <a:pt x="3307080" y="1240536"/>
                </a:lnTo>
                <a:lnTo>
                  <a:pt x="3998976" y="1240536"/>
                </a:lnTo>
                <a:lnTo>
                  <a:pt x="3998976" y="1036320"/>
                </a:lnTo>
                <a:close/>
              </a:path>
              <a:path w="7315200" h="2897505">
                <a:moveTo>
                  <a:pt x="3998976" y="829056"/>
                </a:moveTo>
                <a:lnTo>
                  <a:pt x="3307080" y="829056"/>
                </a:lnTo>
                <a:lnTo>
                  <a:pt x="3307080" y="1033272"/>
                </a:lnTo>
                <a:lnTo>
                  <a:pt x="3998976" y="1033272"/>
                </a:lnTo>
                <a:lnTo>
                  <a:pt x="3998976" y="829056"/>
                </a:lnTo>
                <a:close/>
              </a:path>
              <a:path w="7315200" h="2897505">
                <a:moveTo>
                  <a:pt x="3998976" y="623316"/>
                </a:moveTo>
                <a:lnTo>
                  <a:pt x="3307080" y="623316"/>
                </a:lnTo>
                <a:lnTo>
                  <a:pt x="3307080" y="826008"/>
                </a:lnTo>
                <a:lnTo>
                  <a:pt x="3998976" y="826008"/>
                </a:lnTo>
                <a:lnTo>
                  <a:pt x="3998976" y="623316"/>
                </a:lnTo>
                <a:close/>
              </a:path>
              <a:path w="7315200" h="2897505">
                <a:moveTo>
                  <a:pt x="3998976" y="416052"/>
                </a:moveTo>
                <a:lnTo>
                  <a:pt x="3307080" y="416052"/>
                </a:lnTo>
                <a:lnTo>
                  <a:pt x="3307080" y="620268"/>
                </a:lnTo>
                <a:lnTo>
                  <a:pt x="3998976" y="620268"/>
                </a:lnTo>
                <a:lnTo>
                  <a:pt x="3998976" y="416052"/>
                </a:lnTo>
                <a:close/>
              </a:path>
              <a:path w="7315200" h="2897505">
                <a:moveTo>
                  <a:pt x="3998976" y="0"/>
                </a:moveTo>
                <a:lnTo>
                  <a:pt x="3307080" y="0"/>
                </a:lnTo>
                <a:lnTo>
                  <a:pt x="3307080" y="413004"/>
                </a:lnTo>
                <a:lnTo>
                  <a:pt x="3998976" y="413004"/>
                </a:lnTo>
                <a:lnTo>
                  <a:pt x="3998976" y="0"/>
                </a:lnTo>
                <a:close/>
              </a:path>
              <a:path w="7315200" h="2897505">
                <a:moveTo>
                  <a:pt x="4828032" y="2278380"/>
                </a:moveTo>
                <a:lnTo>
                  <a:pt x="4002024" y="2278380"/>
                </a:lnTo>
                <a:lnTo>
                  <a:pt x="4002024" y="2482596"/>
                </a:lnTo>
                <a:lnTo>
                  <a:pt x="4828032" y="2482596"/>
                </a:lnTo>
                <a:lnTo>
                  <a:pt x="4828032" y="2278380"/>
                </a:lnTo>
                <a:close/>
              </a:path>
              <a:path w="7315200" h="2897505">
                <a:moveTo>
                  <a:pt x="4828032" y="2071116"/>
                </a:moveTo>
                <a:lnTo>
                  <a:pt x="4002024" y="2071116"/>
                </a:lnTo>
                <a:lnTo>
                  <a:pt x="4002024" y="2275332"/>
                </a:lnTo>
                <a:lnTo>
                  <a:pt x="4828032" y="2275332"/>
                </a:lnTo>
                <a:lnTo>
                  <a:pt x="4828032" y="2071116"/>
                </a:lnTo>
                <a:close/>
              </a:path>
              <a:path w="7315200" h="2897505">
                <a:moveTo>
                  <a:pt x="4828032" y="1863852"/>
                </a:moveTo>
                <a:lnTo>
                  <a:pt x="4002024" y="1863852"/>
                </a:lnTo>
                <a:lnTo>
                  <a:pt x="4002024" y="2068068"/>
                </a:lnTo>
                <a:lnTo>
                  <a:pt x="4828032" y="2068068"/>
                </a:lnTo>
                <a:lnTo>
                  <a:pt x="4828032" y="1863852"/>
                </a:lnTo>
                <a:close/>
              </a:path>
              <a:path w="7315200" h="2897505">
                <a:moveTo>
                  <a:pt x="4828032" y="1656588"/>
                </a:moveTo>
                <a:lnTo>
                  <a:pt x="4002024" y="1656588"/>
                </a:lnTo>
                <a:lnTo>
                  <a:pt x="4002024" y="1860816"/>
                </a:lnTo>
                <a:lnTo>
                  <a:pt x="4828032" y="1860816"/>
                </a:lnTo>
                <a:lnTo>
                  <a:pt x="4828032" y="1656588"/>
                </a:lnTo>
                <a:close/>
              </a:path>
              <a:path w="7315200" h="2897505">
                <a:moveTo>
                  <a:pt x="4828032" y="1450848"/>
                </a:moveTo>
                <a:lnTo>
                  <a:pt x="4002024" y="1450848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50848"/>
                </a:lnTo>
                <a:close/>
              </a:path>
              <a:path w="7315200" h="2897505">
                <a:moveTo>
                  <a:pt x="4828032" y="1243584"/>
                </a:moveTo>
                <a:lnTo>
                  <a:pt x="4002024" y="1243584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3584"/>
                </a:lnTo>
                <a:close/>
              </a:path>
              <a:path w="7315200" h="2897505">
                <a:moveTo>
                  <a:pt x="4828032" y="1036320"/>
                </a:moveTo>
                <a:lnTo>
                  <a:pt x="4002024" y="1036320"/>
                </a:lnTo>
                <a:lnTo>
                  <a:pt x="4002024" y="1240536"/>
                </a:lnTo>
                <a:lnTo>
                  <a:pt x="4828032" y="1240536"/>
                </a:lnTo>
                <a:lnTo>
                  <a:pt x="4828032" y="1036320"/>
                </a:lnTo>
                <a:close/>
              </a:path>
              <a:path w="7315200" h="2897505">
                <a:moveTo>
                  <a:pt x="4828032" y="829056"/>
                </a:moveTo>
                <a:lnTo>
                  <a:pt x="4002024" y="829056"/>
                </a:lnTo>
                <a:lnTo>
                  <a:pt x="4002024" y="1033272"/>
                </a:lnTo>
                <a:lnTo>
                  <a:pt x="4828032" y="1033272"/>
                </a:lnTo>
                <a:lnTo>
                  <a:pt x="4828032" y="829056"/>
                </a:lnTo>
                <a:close/>
              </a:path>
              <a:path w="7315200" h="2897505">
                <a:moveTo>
                  <a:pt x="4828032" y="623316"/>
                </a:moveTo>
                <a:lnTo>
                  <a:pt x="4002024" y="623316"/>
                </a:lnTo>
                <a:lnTo>
                  <a:pt x="4002024" y="826008"/>
                </a:lnTo>
                <a:lnTo>
                  <a:pt x="4828032" y="826008"/>
                </a:lnTo>
                <a:lnTo>
                  <a:pt x="4828032" y="623316"/>
                </a:lnTo>
                <a:close/>
              </a:path>
              <a:path w="7315200" h="2897505">
                <a:moveTo>
                  <a:pt x="4828032" y="416052"/>
                </a:moveTo>
                <a:lnTo>
                  <a:pt x="4002024" y="416052"/>
                </a:lnTo>
                <a:lnTo>
                  <a:pt x="4002024" y="620268"/>
                </a:lnTo>
                <a:lnTo>
                  <a:pt x="4828032" y="620268"/>
                </a:lnTo>
                <a:lnTo>
                  <a:pt x="4828032" y="416052"/>
                </a:lnTo>
                <a:close/>
              </a:path>
              <a:path w="7315200" h="2897505">
                <a:moveTo>
                  <a:pt x="4828032" y="0"/>
                </a:moveTo>
                <a:lnTo>
                  <a:pt x="4002024" y="0"/>
                </a:lnTo>
                <a:lnTo>
                  <a:pt x="4002024" y="413004"/>
                </a:lnTo>
                <a:lnTo>
                  <a:pt x="4828032" y="413004"/>
                </a:lnTo>
                <a:lnTo>
                  <a:pt x="4828032" y="0"/>
                </a:lnTo>
                <a:close/>
              </a:path>
              <a:path w="7315200" h="2897505">
                <a:moveTo>
                  <a:pt x="5657088" y="2278380"/>
                </a:moveTo>
                <a:lnTo>
                  <a:pt x="4831080" y="2278380"/>
                </a:lnTo>
                <a:lnTo>
                  <a:pt x="4831080" y="2482596"/>
                </a:lnTo>
                <a:lnTo>
                  <a:pt x="5657088" y="2482596"/>
                </a:lnTo>
                <a:lnTo>
                  <a:pt x="5657088" y="2278380"/>
                </a:lnTo>
                <a:close/>
              </a:path>
              <a:path w="7315200" h="2897505">
                <a:moveTo>
                  <a:pt x="5657088" y="2071116"/>
                </a:moveTo>
                <a:lnTo>
                  <a:pt x="4831080" y="2071116"/>
                </a:lnTo>
                <a:lnTo>
                  <a:pt x="4831080" y="2275332"/>
                </a:lnTo>
                <a:lnTo>
                  <a:pt x="5657088" y="2275332"/>
                </a:lnTo>
                <a:lnTo>
                  <a:pt x="5657088" y="2071116"/>
                </a:lnTo>
                <a:close/>
              </a:path>
              <a:path w="7315200" h="2897505">
                <a:moveTo>
                  <a:pt x="5657088" y="1863852"/>
                </a:moveTo>
                <a:lnTo>
                  <a:pt x="4831080" y="1863852"/>
                </a:lnTo>
                <a:lnTo>
                  <a:pt x="4831080" y="2068068"/>
                </a:lnTo>
                <a:lnTo>
                  <a:pt x="5657088" y="2068068"/>
                </a:lnTo>
                <a:lnTo>
                  <a:pt x="5657088" y="1863852"/>
                </a:lnTo>
                <a:close/>
              </a:path>
              <a:path w="7315200" h="2897505">
                <a:moveTo>
                  <a:pt x="5657088" y="1656588"/>
                </a:moveTo>
                <a:lnTo>
                  <a:pt x="4831080" y="1656588"/>
                </a:lnTo>
                <a:lnTo>
                  <a:pt x="4831080" y="1860816"/>
                </a:lnTo>
                <a:lnTo>
                  <a:pt x="5657088" y="1860816"/>
                </a:lnTo>
                <a:lnTo>
                  <a:pt x="5657088" y="1656588"/>
                </a:lnTo>
                <a:close/>
              </a:path>
              <a:path w="7315200" h="2897505">
                <a:moveTo>
                  <a:pt x="5657088" y="1450848"/>
                </a:moveTo>
                <a:lnTo>
                  <a:pt x="4831080" y="1450848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50848"/>
                </a:lnTo>
                <a:close/>
              </a:path>
              <a:path w="7315200" h="2897505">
                <a:moveTo>
                  <a:pt x="5657088" y="1243584"/>
                </a:moveTo>
                <a:lnTo>
                  <a:pt x="4831080" y="1243584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3584"/>
                </a:lnTo>
                <a:close/>
              </a:path>
              <a:path w="7315200" h="2897505">
                <a:moveTo>
                  <a:pt x="5657088" y="1036320"/>
                </a:moveTo>
                <a:lnTo>
                  <a:pt x="4831080" y="1036320"/>
                </a:lnTo>
                <a:lnTo>
                  <a:pt x="4831080" y="1240536"/>
                </a:lnTo>
                <a:lnTo>
                  <a:pt x="5657088" y="1240536"/>
                </a:lnTo>
                <a:lnTo>
                  <a:pt x="5657088" y="1036320"/>
                </a:lnTo>
                <a:close/>
              </a:path>
              <a:path w="7315200" h="2897505">
                <a:moveTo>
                  <a:pt x="5657088" y="829056"/>
                </a:moveTo>
                <a:lnTo>
                  <a:pt x="4831080" y="829056"/>
                </a:lnTo>
                <a:lnTo>
                  <a:pt x="4831080" y="1033272"/>
                </a:lnTo>
                <a:lnTo>
                  <a:pt x="5657088" y="1033272"/>
                </a:lnTo>
                <a:lnTo>
                  <a:pt x="5657088" y="829056"/>
                </a:lnTo>
                <a:close/>
              </a:path>
              <a:path w="7315200" h="2897505">
                <a:moveTo>
                  <a:pt x="5657088" y="623316"/>
                </a:moveTo>
                <a:lnTo>
                  <a:pt x="4831080" y="623316"/>
                </a:lnTo>
                <a:lnTo>
                  <a:pt x="4831080" y="826008"/>
                </a:lnTo>
                <a:lnTo>
                  <a:pt x="5657088" y="826008"/>
                </a:lnTo>
                <a:lnTo>
                  <a:pt x="5657088" y="623316"/>
                </a:lnTo>
                <a:close/>
              </a:path>
              <a:path w="7315200" h="2897505">
                <a:moveTo>
                  <a:pt x="5657088" y="416052"/>
                </a:moveTo>
                <a:lnTo>
                  <a:pt x="4831080" y="416052"/>
                </a:lnTo>
                <a:lnTo>
                  <a:pt x="4831080" y="620268"/>
                </a:lnTo>
                <a:lnTo>
                  <a:pt x="5657088" y="620268"/>
                </a:lnTo>
                <a:lnTo>
                  <a:pt x="5657088" y="416052"/>
                </a:lnTo>
                <a:close/>
              </a:path>
              <a:path w="7315200" h="2897505">
                <a:moveTo>
                  <a:pt x="5657088" y="0"/>
                </a:moveTo>
                <a:lnTo>
                  <a:pt x="4831080" y="0"/>
                </a:lnTo>
                <a:lnTo>
                  <a:pt x="4831080" y="413004"/>
                </a:lnTo>
                <a:lnTo>
                  <a:pt x="5657088" y="413004"/>
                </a:lnTo>
                <a:lnTo>
                  <a:pt x="5657088" y="0"/>
                </a:lnTo>
                <a:close/>
              </a:path>
              <a:path w="7315200" h="2897505">
                <a:moveTo>
                  <a:pt x="6486144" y="2278380"/>
                </a:moveTo>
                <a:lnTo>
                  <a:pt x="5660136" y="2278380"/>
                </a:lnTo>
                <a:lnTo>
                  <a:pt x="5660136" y="2482596"/>
                </a:lnTo>
                <a:lnTo>
                  <a:pt x="6486144" y="2482596"/>
                </a:lnTo>
                <a:lnTo>
                  <a:pt x="6486144" y="2278380"/>
                </a:lnTo>
                <a:close/>
              </a:path>
              <a:path w="7315200" h="2897505">
                <a:moveTo>
                  <a:pt x="6486144" y="2071116"/>
                </a:moveTo>
                <a:lnTo>
                  <a:pt x="5660136" y="2071116"/>
                </a:lnTo>
                <a:lnTo>
                  <a:pt x="5660136" y="2275332"/>
                </a:lnTo>
                <a:lnTo>
                  <a:pt x="6486144" y="2275332"/>
                </a:lnTo>
                <a:lnTo>
                  <a:pt x="6486144" y="2071116"/>
                </a:lnTo>
                <a:close/>
              </a:path>
              <a:path w="7315200" h="2897505">
                <a:moveTo>
                  <a:pt x="6486144" y="1863852"/>
                </a:moveTo>
                <a:lnTo>
                  <a:pt x="5660136" y="1863852"/>
                </a:lnTo>
                <a:lnTo>
                  <a:pt x="5660136" y="2068068"/>
                </a:lnTo>
                <a:lnTo>
                  <a:pt x="6486144" y="2068068"/>
                </a:lnTo>
                <a:lnTo>
                  <a:pt x="6486144" y="1863852"/>
                </a:lnTo>
                <a:close/>
              </a:path>
              <a:path w="7315200" h="2897505">
                <a:moveTo>
                  <a:pt x="6486144" y="1656588"/>
                </a:moveTo>
                <a:lnTo>
                  <a:pt x="5660136" y="1656588"/>
                </a:lnTo>
                <a:lnTo>
                  <a:pt x="5660136" y="1860816"/>
                </a:lnTo>
                <a:lnTo>
                  <a:pt x="6486144" y="1860816"/>
                </a:lnTo>
                <a:lnTo>
                  <a:pt x="6486144" y="1656588"/>
                </a:lnTo>
                <a:close/>
              </a:path>
              <a:path w="7315200" h="2897505">
                <a:moveTo>
                  <a:pt x="6486144" y="1450848"/>
                </a:moveTo>
                <a:lnTo>
                  <a:pt x="5660136" y="1450848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50848"/>
                </a:lnTo>
                <a:close/>
              </a:path>
              <a:path w="7315200" h="2897505">
                <a:moveTo>
                  <a:pt x="6486144" y="1243584"/>
                </a:moveTo>
                <a:lnTo>
                  <a:pt x="5660136" y="1243584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3584"/>
                </a:lnTo>
                <a:close/>
              </a:path>
              <a:path w="7315200" h="2897505">
                <a:moveTo>
                  <a:pt x="6486144" y="1036320"/>
                </a:moveTo>
                <a:lnTo>
                  <a:pt x="5660136" y="1036320"/>
                </a:lnTo>
                <a:lnTo>
                  <a:pt x="5660136" y="1240536"/>
                </a:lnTo>
                <a:lnTo>
                  <a:pt x="6486144" y="1240536"/>
                </a:lnTo>
                <a:lnTo>
                  <a:pt x="6486144" y="1036320"/>
                </a:lnTo>
                <a:close/>
              </a:path>
              <a:path w="7315200" h="2897505">
                <a:moveTo>
                  <a:pt x="6486144" y="829056"/>
                </a:moveTo>
                <a:lnTo>
                  <a:pt x="5660136" y="829056"/>
                </a:lnTo>
                <a:lnTo>
                  <a:pt x="5660136" y="1033272"/>
                </a:lnTo>
                <a:lnTo>
                  <a:pt x="6486144" y="1033272"/>
                </a:lnTo>
                <a:lnTo>
                  <a:pt x="6486144" y="829056"/>
                </a:lnTo>
                <a:close/>
              </a:path>
              <a:path w="7315200" h="2897505">
                <a:moveTo>
                  <a:pt x="6486144" y="623316"/>
                </a:moveTo>
                <a:lnTo>
                  <a:pt x="5660136" y="623316"/>
                </a:lnTo>
                <a:lnTo>
                  <a:pt x="5660136" y="826008"/>
                </a:lnTo>
                <a:lnTo>
                  <a:pt x="6486144" y="826008"/>
                </a:lnTo>
                <a:lnTo>
                  <a:pt x="6486144" y="623316"/>
                </a:lnTo>
                <a:close/>
              </a:path>
              <a:path w="7315200" h="2897505">
                <a:moveTo>
                  <a:pt x="6486144" y="416052"/>
                </a:moveTo>
                <a:lnTo>
                  <a:pt x="5660136" y="416052"/>
                </a:lnTo>
                <a:lnTo>
                  <a:pt x="5660136" y="620268"/>
                </a:lnTo>
                <a:lnTo>
                  <a:pt x="6486144" y="620268"/>
                </a:lnTo>
                <a:lnTo>
                  <a:pt x="6486144" y="416052"/>
                </a:lnTo>
                <a:close/>
              </a:path>
              <a:path w="7315200" h="2897505">
                <a:moveTo>
                  <a:pt x="6486144" y="0"/>
                </a:moveTo>
                <a:lnTo>
                  <a:pt x="5660136" y="0"/>
                </a:lnTo>
                <a:lnTo>
                  <a:pt x="5660136" y="413004"/>
                </a:lnTo>
                <a:lnTo>
                  <a:pt x="6486144" y="413004"/>
                </a:lnTo>
                <a:lnTo>
                  <a:pt x="6486144" y="0"/>
                </a:lnTo>
                <a:close/>
              </a:path>
              <a:path w="7315200" h="2897505">
                <a:moveTo>
                  <a:pt x="7315200" y="2278380"/>
                </a:moveTo>
                <a:lnTo>
                  <a:pt x="6489192" y="2278380"/>
                </a:lnTo>
                <a:lnTo>
                  <a:pt x="6489192" y="2482596"/>
                </a:lnTo>
                <a:lnTo>
                  <a:pt x="7315200" y="2482596"/>
                </a:lnTo>
                <a:lnTo>
                  <a:pt x="7315200" y="2278380"/>
                </a:lnTo>
                <a:close/>
              </a:path>
              <a:path w="7315200" h="2897505">
                <a:moveTo>
                  <a:pt x="7315200" y="2071116"/>
                </a:moveTo>
                <a:lnTo>
                  <a:pt x="6489192" y="2071116"/>
                </a:lnTo>
                <a:lnTo>
                  <a:pt x="6489192" y="2275332"/>
                </a:lnTo>
                <a:lnTo>
                  <a:pt x="7315200" y="2275332"/>
                </a:lnTo>
                <a:lnTo>
                  <a:pt x="7315200" y="2071116"/>
                </a:lnTo>
                <a:close/>
              </a:path>
              <a:path w="7315200" h="2897505">
                <a:moveTo>
                  <a:pt x="7315200" y="1863852"/>
                </a:moveTo>
                <a:lnTo>
                  <a:pt x="6489192" y="1863852"/>
                </a:lnTo>
                <a:lnTo>
                  <a:pt x="6489192" y="2068068"/>
                </a:lnTo>
                <a:lnTo>
                  <a:pt x="7315200" y="2068068"/>
                </a:lnTo>
                <a:lnTo>
                  <a:pt x="7315200" y="1863852"/>
                </a:lnTo>
                <a:close/>
              </a:path>
              <a:path w="7315200" h="2897505">
                <a:moveTo>
                  <a:pt x="7315200" y="1656588"/>
                </a:moveTo>
                <a:lnTo>
                  <a:pt x="6489192" y="1656588"/>
                </a:lnTo>
                <a:lnTo>
                  <a:pt x="6489192" y="1860816"/>
                </a:lnTo>
                <a:lnTo>
                  <a:pt x="7315200" y="1860816"/>
                </a:lnTo>
                <a:lnTo>
                  <a:pt x="7315200" y="1656588"/>
                </a:lnTo>
                <a:close/>
              </a:path>
              <a:path w="7315200" h="2897505">
                <a:moveTo>
                  <a:pt x="7315200" y="1450848"/>
                </a:moveTo>
                <a:lnTo>
                  <a:pt x="6489192" y="1450848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50848"/>
                </a:lnTo>
                <a:close/>
              </a:path>
              <a:path w="7315200" h="2897505">
                <a:moveTo>
                  <a:pt x="7315200" y="1243584"/>
                </a:moveTo>
                <a:lnTo>
                  <a:pt x="6489192" y="1243584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3584"/>
                </a:lnTo>
                <a:close/>
              </a:path>
              <a:path w="7315200" h="2897505">
                <a:moveTo>
                  <a:pt x="7315200" y="1036320"/>
                </a:moveTo>
                <a:lnTo>
                  <a:pt x="6489192" y="1036320"/>
                </a:lnTo>
                <a:lnTo>
                  <a:pt x="6489192" y="1240536"/>
                </a:lnTo>
                <a:lnTo>
                  <a:pt x="7315200" y="1240536"/>
                </a:lnTo>
                <a:lnTo>
                  <a:pt x="7315200" y="1036320"/>
                </a:lnTo>
                <a:close/>
              </a:path>
              <a:path w="7315200" h="2897505">
                <a:moveTo>
                  <a:pt x="7315200" y="829056"/>
                </a:moveTo>
                <a:lnTo>
                  <a:pt x="6489192" y="829056"/>
                </a:lnTo>
                <a:lnTo>
                  <a:pt x="6489192" y="1033272"/>
                </a:lnTo>
                <a:lnTo>
                  <a:pt x="7315200" y="1033272"/>
                </a:lnTo>
                <a:lnTo>
                  <a:pt x="7315200" y="829056"/>
                </a:lnTo>
                <a:close/>
              </a:path>
              <a:path w="7315200" h="2897505">
                <a:moveTo>
                  <a:pt x="7315200" y="623316"/>
                </a:moveTo>
                <a:lnTo>
                  <a:pt x="6489192" y="623316"/>
                </a:lnTo>
                <a:lnTo>
                  <a:pt x="6489192" y="826008"/>
                </a:lnTo>
                <a:lnTo>
                  <a:pt x="7315200" y="826008"/>
                </a:lnTo>
                <a:lnTo>
                  <a:pt x="7315200" y="623316"/>
                </a:lnTo>
                <a:close/>
              </a:path>
              <a:path w="7315200" h="2897505">
                <a:moveTo>
                  <a:pt x="7315200" y="416052"/>
                </a:moveTo>
                <a:lnTo>
                  <a:pt x="6489192" y="416052"/>
                </a:lnTo>
                <a:lnTo>
                  <a:pt x="6489192" y="620268"/>
                </a:lnTo>
                <a:lnTo>
                  <a:pt x="7315200" y="620268"/>
                </a:lnTo>
                <a:lnTo>
                  <a:pt x="7315200" y="416052"/>
                </a:lnTo>
                <a:close/>
              </a:path>
              <a:path w="7315200" h="2897505">
                <a:moveTo>
                  <a:pt x="7315200" y="0"/>
                </a:moveTo>
                <a:lnTo>
                  <a:pt x="6489192" y="0"/>
                </a:lnTo>
                <a:lnTo>
                  <a:pt x="6489192" y="413004"/>
                </a:lnTo>
                <a:lnTo>
                  <a:pt x="7315200" y="413004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2485643"/>
            <a:ext cx="7315200" cy="711835"/>
          </a:xfrm>
          <a:custGeom>
            <a:avLst/>
            <a:gdLst/>
            <a:ahLst/>
            <a:cxnLst/>
            <a:rect l="0" t="0" r="0" b="0"/>
            <a:pathLst>
              <a:path w="7315200" h="711835">
                <a:moveTo>
                  <a:pt x="339852" y="414528"/>
                </a:moveTo>
                <a:lnTo>
                  <a:pt x="0" y="414528"/>
                </a:lnTo>
                <a:lnTo>
                  <a:pt x="0" y="711708"/>
                </a:lnTo>
                <a:lnTo>
                  <a:pt x="339852" y="711708"/>
                </a:lnTo>
                <a:lnTo>
                  <a:pt x="339852" y="414528"/>
                </a:lnTo>
                <a:close/>
              </a:path>
              <a:path w="7315200" h="711835">
                <a:moveTo>
                  <a:pt x="339852" y="0"/>
                </a:moveTo>
                <a:lnTo>
                  <a:pt x="0" y="0"/>
                </a:lnTo>
                <a:lnTo>
                  <a:pt x="0" y="411480"/>
                </a:lnTo>
                <a:lnTo>
                  <a:pt x="339852" y="411480"/>
                </a:lnTo>
                <a:lnTo>
                  <a:pt x="339852" y="0"/>
                </a:lnTo>
                <a:close/>
              </a:path>
              <a:path w="7315200" h="711835">
                <a:moveTo>
                  <a:pt x="1376172" y="414528"/>
                </a:moveTo>
                <a:lnTo>
                  <a:pt x="342900" y="414528"/>
                </a:lnTo>
                <a:lnTo>
                  <a:pt x="342900" y="711708"/>
                </a:lnTo>
                <a:lnTo>
                  <a:pt x="1376172" y="711708"/>
                </a:lnTo>
                <a:lnTo>
                  <a:pt x="1376172" y="414528"/>
                </a:lnTo>
                <a:close/>
              </a:path>
              <a:path w="7315200" h="711835">
                <a:moveTo>
                  <a:pt x="1376172" y="0"/>
                </a:moveTo>
                <a:lnTo>
                  <a:pt x="342900" y="0"/>
                </a:lnTo>
                <a:lnTo>
                  <a:pt x="342900" y="411480"/>
                </a:lnTo>
                <a:lnTo>
                  <a:pt x="1376172" y="411480"/>
                </a:lnTo>
                <a:lnTo>
                  <a:pt x="1376172" y="0"/>
                </a:lnTo>
                <a:close/>
              </a:path>
              <a:path w="7315200" h="711835">
                <a:moveTo>
                  <a:pt x="2753868" y="414528"/>
                </a:moveTo>
                <a:lnTo>
                  <a:pt x="1379220" y="414528"/>
                </a:lnTo>
                <a:lnTo>
                  <a:pt x="1379220" y="711708"/>
                </a:lnTo>
                <a:lnTo>
                  <a:pt x="2753868" y="711708"/>
                </a:lnTo>
                <a:lnTo>
                  <a:pt x="2753868" y="414528"/>
                </a:lnTo>
                <a:close/>
              </a:path>
              <a:path w="7315200" h="711835">
                <a:moveTo>
                  <a:pt x="2753868" y="0"/>
                </a:moveTo>
                <a:lnTo>
                  <a:pt x="1379220" y="0"/>
                </a:lnTo>
                <a:lnTo>
                  <a:pt x="1379220" y="411480"/>
                </a:lnTo>
                <a:lnTo>
                  <a:pt x="2753868" y="411480"/>
                </a:lnTo>
                <a:lnTo>
                  <a:pt x="2753868" y="0"/>
                </a:lnTo>
                <a:close/>
              </a:path>
              <a:path w="7315200" h="711835">
                <a:moveTo>
                  <a:pt x="3304032" y="414528"/>
                </a:moveTo>
                <a:lnTo>
                  <a:pt x="2756916" y="414528"/>
                </a:lnTo>
                <a:lnTo>
                  <a:pt x="2756916" y="711708"/>
                </a:lnTo>
                <a:lnTo>
                  <a:pt x="3304032" y="711708"/>
                </a:lnTo>
                <a:lnTo>
                  <a:pt x="3304032" y="414528"/>
                </a:lnTo>
                <a:close/>
              </a:path>
              <a:path w="7315200" h="711835">
                <a:moveTo>
                  <a:pt x="3304032" y="0"/>
                </a:moveTo>
                <a:lnTo>
                  <a:pt x="2756916" y="0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0"/>
                </a:lnTo>
                <a:close/>
              </a:path>
              <a:path w="7315200" h="711835">
                <a:moveTo>
                  <a:pt x="3998976" y="414528"/>
                </a:moveTo>
                <a:lnTo>
                  <a:pt x="3307080" y="414528"/>
                </a:lnTo>
                <a:lnTo>
                  <a:pt x="3307080" y="711708"/>
                </a:lnTo>
                <a:lnTo>
                  <a:pt x="3998976" y="711708"/>
                </a:lnTo>
                <a:lnTo>
                  <a:pt x="3998976" y="414528"/>
                </a:lnTo>
                <a:close/>
              </a:path>
              <a:path w="7315200" h="711835">
                <a:moveTo>
                  <a:pt x="3998976" y="0"/>
                </a:moveTo>
                <a:lnTo>
                  <a:pt x="3307080" y="0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0"/>
                </a:lnTo>
                <a:close/>
              </a:path>
              <a:path w="7315200" h="711835">
                <a:moveTo>
                  <a:pt x="4828032" y="414528"/>
                </a:moveTo>
                <a:lnTo>
                  <a:pt x="4002024" y="414528"/>
                </a:lnTo>
                <a:lnTo>
                  <a:pt x="4002024" y="711708"/>
                </a:lnTo>
                <a:lnTo>
                  <a:pt x="4828032" y="711708"/>
                </a:lnTo>
                <a:lnTo>
                  <a:pt x="4828032" y="414528"/>
                </a:lnTo>
                <a:close/>
              </a:path>
              <a:path w="7315200" h="711835">
                <a:moveTo>
                  <a:pt x="4828032" y="0"/>
                </a:moveTo>
                <a:lnTo>
                  <a:pt x="4002024" y="0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0"/>
                </a:lnTo>
                <a:close/>
              </a:path>
              <a:path w="7315200" h="711835">
                <a:moveTo>
                  <a:pt x="5657088" y="414528"/>
                </a:moveTo>
                <a:lnTo>
                  <a:pt x="4831080" y="414528"/>
                </a:lnTo>
                <a:lnTo>
                  <a:pt x="4831080" y="711708"/>
                </a:lnTo>
                <a:lnTo>
                  <a:pt x="5657088" y="711708"/>
                </a:lnTo>
                <a:lnTo>
                  <a:pt x="5657088" y="414528"/>
                </a:lnTo>
                <a:close/>
              </a:path>
              <a:path w="7315200" h="711835">
                <a:moveTo>
                  <a:pt x="5657088" y="0"/>
                </a:moveTo>
                <a:lnTo>
                  <a:pt x="4831080" y="0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0"/>
                </a:lnTo>
                <a:close/>
              </a:path>
              <a:path w="7315200" h="711835">
                <a:moveTo>
                  <a:pt x="6486144" y="414528"/>
                </a:moveTo>
                <a:lnTo>
                  <a:pt x="5660136" y="414528"/>
                </a:lnTo>
                <a:lnTo>
                  <a:pt x="5660136" y="711708"/>
                </a:lnTo>
                <a:lnTo>
                  <a:pt x="6486144" y="711708"/>
                </a:lnTo>
                <a:lnTo>
                  <a:pt x="6486144" y="414528"/>
                </a:lnTo>
                <a:close/>
              </a:path>
              <a:path w="7315200" h="711835">
                <a:moveTo>
                  <a:pt x="6486144" y="0"/>
                </a:moveTo>
                <a:lnTo>
                  <a:pt x="5660136" y="0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0"/>
                </a:lnTo>
                <a:close/>
              </a:path>
              <a:path w="7315200" h="711835">
                <a:moveTo>
                  <a:pt x="7315200" y="414528"/>
                </a:moveTo>
                <a:lnTo>
                  <a:pt x="6489192" y="414528"/>
                </a:lnTo>
                <a:lnTo>
                  <a:pt x="6489192" y="711708"/>
                </a:lnTo>
                <a:lnTo>
                  <a:pt x="7315200" y="711708"/>
                </a:lnTo>
                <a:lnTo>
                  <a:pt x="7315200" y="414528"/>
                </a:lnTo>
                <a:close/>
              </a:path>
              <a:path w="7315200" h="711835">
                <a:moveTo>
                  <a:pt x="7315200" y="0"/>
                </a:moveTo>
                <a:lnTo>
                  <a:pt x="6489192" y="0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540131</xdr:colOff>
      <xdr:row>22</xdr:row>
      <xdr:rowOff>0</xdr:rowOff>
    </xdr:from>
    <xdr:ext cx="702945" cy="319786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02945" cy="3197860"/>
        </a:xfrm>
        <a:custGeom>
          <a:avLst/>
          <a:gdLst/>
          <a:ahLst/>
          <a:cxnLst/>
          <a:rect l="0" t="0" r="0" b="0"/>
          <a:pathLst>
            <a:path w="702945" h="3197860">
              <a:moveTo>
                <a:pt x="702564" y="2900172"/>
              </a:moveTo>
              <a:lnTo>
                <a:pt x="0" y="2900172"/>
              </a:lnTo>
              <a:lnTo>
                <a:pt x="0" y="3197352"/>
              </a:lnTo>
              <a:lnTo>
                <a:pt x="702564" y="3197352"/>
              </a:lnTo>
              <a:lnTo>
                <a:pt x="702564" y="2900172"/>
              </a:lnTo>
              <a:close/>
            </a:path>
            <a:path w="702945" h="3197860">
              <a:moveTo>
                <a:pt x="702564" y="2485644"/>
              </a:moveTo>
              <a:lnTo>
                <a:pt x="0" y="2485644"/>
              </a:lnTo>
              <a:lnTo>
                <a:pt x="0" y="2897124"/>
              </a:lnTo>
              <a:lnTo>
                <a:pt x="702564" y="2897124"/>
              </a:lnTo>
              <a:lnTo>
                <a:pt x="702564" y="2485644"/>
              </a:lnTo>
              <a:close/>
            </a:path>
            <a:path w="702945" h="3197860">
              <a:moveTo>
                <a:pt x="702564" y="2278380"/>
              </a:moveTo>
              <a:lnTo>
                <a:pt x="0" y="2278380"/>
              </a:lnTo>
              <a:lnTo>
                <a:pt x="0" y="2482596"/>
              </a:lnTo>
              <a:lnTo>
                <a:pt x="702564" y="2482596"/>
              </a:lnTo>
              <a:lnTo>
                <a:pt x="702564" y="2278380"/>
              </a:lnTo>
              <a:close/>
            </a:path>
            <a:path w="702945" h="3197860">
              <a:moveTo>
                <a:pt x="702564" y="2071116"/>
              </a:moveTo>
              <a:lnTo>
                <a:pt x="0" y="2071116"/>
              </a:lnTo>
              <a:lnTo>
                <a:pt x="0" y="2275332"/>
              </a:lnTo>
              <a:lnTo>
                <a:pt x="702564" y="2275332"/>
              </a:lnTo>
              <a:lnTo>
                <a:pt x="702564" y="2071116"/>
              </a:lnTo>
              <a:close/>
            </a:path>
            <a:path w="702945" h="3197860">
              <a:moveTo>
                <a:pt x="702564" y="1863852"/>
              </a:moveTo>
              <a:lnTo>
                <a:pt x="0" y="1863852"/>
              </a:lnTo>
              <a:lnTo>
                <a:pt x="0" y="2068068"/>
              </a:lnTo>
              <a:lnTo>
                <a:pt x="702564" y="2068068"/>
              </a:lnTo>
              <a:lnTo>
                <a:pt x="702564" y="1863852"/>
              </a:lnTo>
              <a:close/>
            </a:path>
            <a:path w="702945" h="3197860">
              <a:moveTo>
                <a:pt x="702564" y="1656588"/>
              </a:moveTo>
              <a:lnTo>
                <a:pt x="0" y="1656588"/>
              </a:lnTo>
              <a:lnTo>
                <a:pt x="0" y="1860816"/>
              </a:lnTo>
              <a:lnTo>
                <a:pt x="702564" y="1860816"/>
              </a:lnTo>
              <a:lnTo>
                <a:pt x="702564" y="1656588"/>
              </a:lnTo>
              <a:close/>
            </a:path>
            <a:path w="702945" h="3197860">
              <a:moveTo>
                <a:pt x="702564" y="1450848"/>
              </a:moveTo>
              <a:lnTo>
                <a:pt x="0" y="1450848"/>
              </a:lnTo>
              <a:lnTo>
                <a:pt x="0" y="1653540"/>
              </a:lnTo>
              <a:lnTo>
                <a:pt x="702564" y="1653540"/>
              </a:lnTo>
              <a:lnTo>
                <a:pt x="702564" y="1450848"/>
              </a:lnTo>
              <a:close/>
            </a:path>
            <a:path w="702945" h="3197860">
              <a:moveTo>
                <a:pt x="702564" y="1243584"/>
              </a:moveTo>
              <a:lnTo>
                <a:pt x="0" y="1243584"/>
              </a:lnTo>
              <a:lnTo>
                <a:pt x="0" y="1447800"/>
              </a:lnTo>
              <a:lnTo>
                <a:pt x="702564" y="1447800"/>
              </a:lnTo>
              <a:lnTo>
                <a:pt x="702564" y="1243584"/>
              </a:lnTo>
              <a:close/>
            </a:path>
            <a:path w="702945" h="3197860">
              <a:moveTo>
                <a:pt x="702564" y="1036320"/>
              </a:moveTo>
              <a:lnTo>
                <a:pt x="0" y="1036320"/>
              </a:lnTo>
              <a:lnTo>
                <a:pt x="0" y="1240536"/>
              </a:lnTo>
              <a:lnTo>
                <a:pt x="702564" y="1240536"/>
              </a:lnTo>
              <a:lnTo>
                <a:pt x="702564" y="1036320"/>
              </a:lnTo>
              <a:close/>
            </a:path>
            <a:path w="702945" h="3197860">
              <a:moveTo>
                <a:pt x="702564" y="829056"/>
              </a:moveTo>
              <a:lnTo>
                <a:pt x="0" y="829056"/>
              </a:lnTo>
              <a:lnTo>
                <a:pt x="0" y="1033272"/>
              </a:lnTo>
              <a:lnTo>
                <a:pt x="702564" y="1033272"/>
              </a:lnTo>
              <a:lnTo>
                <a:pt x="702564" y="829056"/>
              </a:lnTo>
              <a:close/>
            </a:path>
            <a:path w="702945" h="3197860">
              <a:moveTo>
                <a:pt x="702564" y="623316"/>
              </a:moveTo>
              <a:lnTo>
                <a:pt x="0" y="623316"/>
              </a:lnTo>
              <a:lnTo>
                <a:pt x="0" y="826008"/>
              </a:lnTo>
              <a:lnTo>
                <a:pt x="702564" y="826008"/>
              </a:lnTo>
              <a:lnTo>
                <a:pt x="702564" y="623316"/>
              </a:lnTo>
              <a:close/>
            </a:path>
            <a:path w="702945" h="3197860">
              <a:moveTo>
                <a:pt x="702564" y="416052"/>
              </a:moveTo>
              <a:lnTo>
                <a:pt x="0" y="416052"/>
              </a:lnTo>
              <a:lnTo>
                <a:pt x="0" y="620268"/>
              </a:lnTo>
              <a:lnTo>
                <a:pt x="702564" y="620268"/>
              </a:lnTo>
              <a:lnTo>
                <a:pt x="702564" y="416052"/>
              </a:lnTo>
              <a:close/>
            </a:path>
            <a:path w="702945" h="3197860">
              <a:moveTo>
                <a:pt x="702564" y="0"/>
              </a:moveTo>
              <a:lnTo>
                <a:pt x="0" y="0"/>
              </a:lnTo>
              <a:lnTo>
                <a:pt x="0" y="413004"/>
              </a:lnTo>
              <a:lnTo>
                <a:pt x="702564" y="413004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23</xdr:row>
      <xdr:rowOff>206501</xdr:rowOff>
    </xdr:from>
    <xdr:ext cx="3313429" cy="37528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234695</xdr:colOff>
      <xdr:row>3</xdr:row>
      <xdr:rowOff>49142</xdr:rowOff>
    </xdr:from>
    <xdr:ext cx="381000" cy="290285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235457</xdr:colOff>
      <xdr:row>3</xdr:row>
      <xdr:rowOff>762</xdr:rowOff>
    </xdr:from>
    <xdr:ext cx="381000" cy="381000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17" name="image4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25</xdr:row>
      <xdr:rowOff>0</xdr:rowOff>
    </xdr:from>
    <xdr:ext cx="7315200" cy="393065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610234" y="6073140"/>
          <a:ext cx="7315200" cy="3930650"/>
          <a:chOff x="0" y="0"/>
          <a:chExt cx="7315200" cy="393065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862328"/>
                </a:moveTo>
                <a:lnTo>
                  <a:pt x="0" y="1862328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1862328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862328"/>
                </a:moveTo>
                <a:lnTo>
                  <a:pt x="342900" y="1862328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1862328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862328"/>
                </a:moveTo>
                <a:lnTo>
                  <a:pt x="1379220" y="1862328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862328"/>
                </a:lnTo>
                <a:close/>
              </a:path>
              <a:path w="7315200" h="2273935">
                <a:moveTo>
                  <a:pt x="2753868" y="827532"/>
                </a:moveTo>
                <a:lnTo>
                  <a:pt x="1379220" y="827532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827532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2273935">
                <a:moveTo>
                  <a:pt x="3304032" y="1447800"/>
                </a:moveTo>
                <a:lnTo>
                  <a:pt x="2756916" y="1447800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7800"/>
                </a:lnTo>
                <a:close/>
              </a:path>
              <a:path w="7315200" h="2273935">
                <a:moveTo>
                  <a:pt x="3304032" y="1240536"/>
                </a:moveTo>
                <a:lnTo>
                  <a:pt x="2756916" y="1240536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0536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7488"/>
                </a:lnTo>
                <a:lnTo>
                  <a:pt x="3304032" y="1237488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3004"/>
                </a:moveTo>
                <a:lnTo>
                  <a:pt x="2756916" y="413004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3004"/>
                </a:lnTo>
                <a:close/>
              </a:path>
              <a:path w="7315200" h="2273935">
                <a:moveTo>
                  <a:pt x="3304032" y="205740"/>
                </a:moveTo>
                <a:lnTo>
                  <a:pt x="2756916" y="205740"/>
                </a:lnTo>
                <a:lnTo>
                  <a:pt x="2756916" y="409956"/>
                </a:lnTo>
                <a:lnTo>
                  <a:pt x="3304032" y="409956"/>
                </a:lnTo>
                <a:lnTo>
                  <a:pt x="3304032" y="205740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2692"/>
                </a:lnTo>
                <a:lnTo>
                  <a:pt x="3304032" y="202692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2273935">
                <a:moveTo>
                  <a:pt x="3998976" y="1447800"/>
                </a:moveTo>
                <a:lnTo>
                  <a:pt x="3307080" y="1447800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7800"/>
                </a:lnTo>
                <a:close/>
              </a:path>
              <a:path w="7315200" h="2273935">
                <a:moveTo>
                  <a:pt x="3998976" y="1240536"/>
                </a:moveTo>
                <a:lnTo>
                  <a:pt x="3307080" y="1240536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0536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7488"/>
                </a:lnTo>
                <a:lnTo>
                  <a:pt x="3998976" y="1237488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3004"/>
                </a:moveTo>
                <a:lnTo>
                  <a:pt x="3307080" y="413004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3004"/>
                </a:lnTo>
                <a:close/>
              </a:path>
              <a:path w="7315200" h="2273935">
                <a:moveTo>
                  <a:pt x="3998976" y="205740"/>
                </a:moveTo>
                <a:lnTo>
                  <a:pt x="3307080" y="205740"/>
                </a:lnTo>
                <a:lnTo>
                  <a:pt x="3307080" y="409956"/>
                </a:lnTo>
                <a:lnTo>
                  <a:pt x="3998976" y="409956"/>
                </a:lnTo>
                <a:lnTo>
                  <a:pt x="3998976" y="205740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2692"/>
                </a:lnTo>
                <a:lnTo>
                  <a:pt x="3998976" y="202692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2273935">
                <a:moveTo>
                  <a:pt x="4828032" y="1447800"/>
                </a:moveTo>
                <a:lnTo>
                  <a:pt x="4002024" y="1447800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7800"/>
                </a:lnTo>
                <a:close/>
              </a:path>
              <a:path w="7315200" h="2273935">
                <a:moveTo>
                  <a:pt x="4828032" y="1240536"/>
                </a:moveTo>
                <a:lnTo>
                  <a:pt x="4002024" y="1240536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0536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7488"/>
                </a:lnTo>
                <a:lnTo>
                  <a:pt x="4828032" y="1237488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3004"/>
                </a:moveTo>
                <a:lnTo>
                  <a:pt x="4002024" y="413004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3004"/>
                </a:lnTo>
                <a:close/>
              </a:path>
              <a:path w="7315200" h="2273935">
                <a:moveTo>
                  <a:pt x="4828032" y="205740"/>
                </a:moveTo>
                <a:lnTo>
                  <a:pt x="4002024" y="205740"/>
                </a:lnTo>
                <a:lnTo>
                  <a:pt x="4002024" y="409956"/>
                </a:lnTo>
                <a:lnTo>
                  <a:pt x="4828032" y="409956"/>
                </a:lnTo>
                <a:lnTo>
                  <a:pt x="4828032" y="205740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2692"/>
                </a:lnTo>
                <a:lnTo>
                  <a:pt x="4828032" y="202692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2273935">
                <a:moveTo>
                  <a:pt x="5657088" y="1447800"/>
                </a:moveTo>
                <a:lnTo>
                  <a:pt x="4831080" y="1447800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7800"/>
                </a:lnTo>
                <a:close/>
              </a:path>
              <a:path w="7315200" h="2273935">
                <a:moveTo>
                  <a:pt x="5657088" y="1240536"/>
                </a:moveTo>
                <a:lnTo>
                  <a:pt x="4831080" y="1240536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0536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7488"/>
                </a:lnTo>
                <a:lnTo>
                  <a:pt x="5657088" y="1237488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3004"/>
                </a:moveTo>
                <a:lnTo>
                  <a:pt x="4831080" y="413004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3004"/>
                </a:lnTo>
                <a:close/>
              </a:path>
              <a:path w="7315200" h="2273935">
                <a:moveTo>
                  <a:pt x="5657088" y="205740"/>
                </a:moveTo>
                <a:lnTo>
                  <a:pt x="4831080" y="205740"/>
                </a:lnTo>
                <a:lnTo>
                  <a:pt x="4831080" y="409956"/>
                </a:lnTo>
                <a:lnTo>
                  <a:pt x="5657088" y="409956"/>
                </a:lnTo>
                <a:lnTo>
                  <a:pt x="5657088" y="205740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2692"/>
                </a:lnTo>
                <a:lnTo>
                  <a:pt x="5657088" y="202692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2273935">
                <a:moveTo>
                  <a:pt x="6486144" y="1447800"/>
                </a:moveTo>
                <a:lnTo>
                  <a:pt x="5660136" y="1447800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7800"/>
                </a:lnTo>
                <a:close/>
              </a:path>
              <a:path w="7315200" h="2273935">
                <a:moveTo>
                  <a:pt x="6486144" y="1240536"/>
                </a:moveTo>
                <a:lnTo>
                  <a:pt x="5660136" y="1240536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0536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7488"/>
                </a:lnTo>
                <a:lnTo>
                  <a:pt x="6486144" y="1237488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3004"/>
                </a:moveTo>
                <a:lnTo>
                  <a:pt x="5660136" y="413004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3004"/>
                </a:lnTo>
                <a:close/>
              </a:path>
              <a:path w="7315200" h="2273935">
                <a:moveTo>
                  <a:pt x="6486144" y="205740"/>
                </a:moveTo>
                <a:lnTo>
                  <a:pt x="5660136" y="205740"/>
                </a:lnTo>
                <a:lnTo>
                  <a:pt x="5660136" y="409956"/>
                </a:lnTo>
                <a:lnTo>
                  <a:pt x="6486144" y="409956"/>
                </a:lnTo>
                <a:lnTo>
                  <a:pt x="6486144" y="205740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2692"/>
                </a:lnTo>
                <a:lnTo>
                  <a:pt x="6486144" y="202692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2273935">
                <a:moveTo>
                  <a:pt x="7315200" y="1447800"/>
                </a:moveTo>
                <a:lnTo>
                  <a:pt x="6489192" y="1447800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7800"/>
                </a:lnTo>
                <a:close/>
              </a:path>
              <a:path w="7315200" h="2273935">
                <a:moveTo>
                  <a:pt x="7315200" y="1240536"/>
                </a:moveTo>
                <a:lnTo>
                  <a:pt x="6489192" y="1240536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0536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7488"/>
                </a:lnTo>
                <a:lnTo>
                  <a:pt x="7315200" y="1237488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3004"/>
                </a:moveTo>
                <a:lnTo>
                  <a:pt x="6489192" y="413004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3004"/>
                </a:lnTo>
                <a:close/>
              </a:path>
              <a:path w="7315200" h="2273935">
                <a:moveTo>
                  <a:pt x="7315200" y="205740"/>
                </a:moveTo>
                <a:lnTo>
                  <a:pt x="6489192" y="205740"/>
                </a:lnTo>
                <a:lnTo>
                  <a:pt x="6489192" y="409956"/>
                </a:lnTo>
                <a:lnTo>
                  <a:pt x="7315200" y="409956"/>
                </a:lnTo>
                <a:lnTo>
                  <a:pt x="7315200" y="205740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2692"/>
                </a:lnTo>
                <a:lnTo>
                  <a:pt x="7315200" y="202692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0" y="2069591"/>
            <a:ext cx="7315200" cy="1861185"/>
          </a:xfrm>
          <a:custGeom>
            <a:avLst/>
            <a:gdLst/>
            <a:ahLst/>
            <a:cxnLst/>
            <a:rect l="0" t="0" r="0" b="0"/>
            <a:pathLst>
              <a:path w="7315200" h="1861185">
                <a:moveTo>
                  <a:pt x="339852" y="1034796"/>
                </a:moveTo>
                <a:lnTo>
                  <a:pt x="0" y="1034796"/>
                </a:lnTo>
                <a:lnTo>
                  <a:pt x="0" y="1860804"/>
                </a:lnTo>
                <a:lnTo>
                  <a:pt x="339852" y="1860804"/>
                </a:lnTo>
                <a:lnTo>
                  <a:pt x="339852" y="1034796"/>
                </a:lnTo>
                <a:close/>
              </a:path>
              <a:path w="7315200" h="1861185">
                <a:moveTo>
                  <a:pt x="339852" y="207264"/>
                </a:moveTo>
                <a:lnTo>
                  <a:pt x="0" y="207264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207264"/>
                </a:lnTo>
                <a:close/>
              </a:path>
              <a:path w="7315200" h="1861185">
                <a:moveTo>
                  <a:pt x="1376172" y="1034796"/>
                </a:moveTo>
                <a:lnTo>
                  <a:pt x="342900" y="1034796"/>
                </a:lnTo>
                <a:lnTo>
                  <a:pt x="342900" y="1860804"/>
                </a:lnTo>
                <a:lnTo>
                  <a:pt x="1376172" y="1860804"/>
                </a:lnTo>
                <a:lnTo>
                  <a:pt x="1376172" y="1034796"/>
                </a:lnTo>
                <a:close/>
              </a:path>
              <a:path w="7315200" h="1861185">
                <a:moveTo>
                  <a:pt x="1376172" y="207264"/>
                </a:moveTo>
                <a:lnTo>
                  <a:pt x="342900" y="207264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207264"/>
                </a:lnTo>
                <a:close/>
              </a:path>
              <a:path w="7315200" h="1861185">
                <a:moveTo>
                  <a:pt x="2753868" y="1034796"/>
                </a:moveTo>
                <a:lnTo>
                  <a:pt x="1379220" y="1034796"/>
                </a:lnTo>
                <a:lnTo>
                  <a:pt x="1379220" y="1860804"/>
                </a:lnTo>
                <a:lnTo>
                  <a:pt x="2753868" y="1860804"/>
                </a:lnTo>
                <a:lnTo>
                  <a:pt x="2753868" y="1034796"/>
                </a:lnTo>
                <a:close/>
              </a:path>
              <a:path w="7315200" h="1861185">
                <a:moveTo>
                  <a:pt x="2753868" y="207264"/>
                </a:moveTo>
                <a:lnTo>
                  <a:pt x="1379220" y="207264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207264"/>
                </a:lnTo>
                <a:close/>
              </a:path>
              <a:path w="7315200" h="1861185">
                <a:moveTo>
                  <a:pt x="3304032" y="1656600"/>
                </a:moveTo>
                <a:lnTo>
                  <a:pt x="2756916" y="1656600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656600"/>
                </a:lnTo>
                <a:close/>
              </a:path>
              <a:path w="7315200" h="186118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186118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186118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1861185">
                <a:moveTo>
                  <a:pt x="3304032" y="829056"/>
                </a:moveTo>
                <a:lnTo>
                  <a:pt x="2756916" y="829056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9056"/>
                </a:lnTo>
                <a:close/>
              </a:path>
              <a:path w="7315200" h="1861185">
                <a:moveTo>
                  <a:pt x="3304032" y="621792"/>
                </a:moveTo>
                <a:lnTo>
                  <a:pt x="2756916" y="621792"/>
                </a:lnTo>
                <a:lnTo>
                  <a:pt x="2756916" y="826008"/>
                </a:lnTo>
                <a:lnTo>
                  <a:pt x="3304032" y="826008"/>
                </a:lnTo>
                <a:lnTo>
                  <a:pt x="3304032" y="621792"/>
                </a:lnTo>
                <a:close/>
              </a:path>
              <a:path w="7315200" h="1861185">
                <a:moveTo>
                  <a:pt x="3304032" y="414528"/>
                </a:moveTo>
                <a:lnTo>
                  <a:pt x="2756916" y="414528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4528"/>
                </a:lnTo>
                <a:close/>
              </a:path>
              <a:path w="7315200" h="186118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861185">
                <a:moveTo>
                  <a:pt x="3998976" y="1656600"/>
                </a:moveTo>
                <a:lnTo>
                  <a:pt x="3307080" y="1656600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656600"/>
                </a:lnTo>
                <a:close/>
              </a:path>
              <a:path w="7315200" h="186118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186118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186118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1861185">
                <a:moveTo>
                  <a:pt x="3998976" y="829056"/>
                </a:moveTo>
                <a:lnTo>
                  <a:pt x="3307080" y="829056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9056"/>
                </a:lnTo>
                <a:close/>
              </a:path>
              <a:path w="7315200" h="1861185">
                <a:moveTo>
                  <a:pt x="3998976" y="621792"/>
                </a:moveTo>
                <a:lnTo>
                  <a:pt x="3307080" y="621792"/>
                </a:lnTo>
                <a:lnTo>
                  <a:pt x="3307080" y="826008"/>
                </a:lnTo>
                <a:lnTo>
                  <a:pt x="3998976" y="826008"/>
                </a:lnTo>
                <a:lnTo>
                  <a:pt x="3998976" y="621792"/>
                </a:lnTo>
                <a:close/>
              </a:path>
              <a:path w="7315200" h="1861185">
                <a:moveTo>
                  <a:pt x="3998976" y="414528"/>
                </a:moveTo>
                <a:lnTo>
                  <a:pt x="3307080" y="414528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4528"/>
                </a:lnTo>
                <a:close/>
              </a:path>
              <a:path w="7315200" h="186118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861185">
                <a:moveTo>
                  <a:pt x="4828032" y="1656600"/>
                </a:moveTo>
                <a:lnTo>
                  <a:pt x="4002024" y="1656600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656600"/>
                </a:lnTo>
                <a:close/>
              </a:path>
              <a:path w="7315200" h="186118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186118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186118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1861185">
                <a:moveTo>
                  <a:pt x="4828032" y="829056"/>
                </a:moveTo>
                <a:lnTo>
                  <a:pt x="4002024" y="829056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9056"/>
                </a:lnTo>
                <a:close/>
              </a:path>
              <a:path w="7315200" h="1861185">
                <a:moveTo>
                  <a:pt x="4828032" y="621792"/>
                </a:moveTo>
                <a:lnTo>
                  <a:pt x="4002024" y="621792"/>
                </a:lnTo>
                <a:lnTo>
                  <a:pt x="4002024" y="826008"/>
                </a:lnTo>
                <a:lnTo>
                  <a:pt x="4828032" y="826008"/>
                </a:lnTo>
                <a:lnTo>
                  <a:pt x="4828032" y="621792"/>
                </a:lnTo>
                <a:close/>
              </a:path>
              <a:path w="7315200" h="1861185">
                <a:moveTo>
                  <a:pt x="4828032" y="414528"/>
                </a:moveTo>
                <a:lnTo>
                  <a:pt x="4002024" y="414528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4528"/>
                </a:lnTo>
                <a:close/>
              </a:path>
              <a:path w="7315200" h="186118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861185">
                <a:moveTo>
                  <a:pt x="5657088" y="1656600"/>
                </a:moveTo>
                <a:lnTo>
                  <a:pt x="4831080" y="1656600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656600"/>
                </a:lnTo>
                <a:close/>
              </a:path>
              <a:path w="7315200" h="186118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186118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186118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1861185">
                <a:moveTo>
                  <a:pt x="5657088" y="829056"/>
                </a:moveTo>
                <a:lnTo>
                  <a:pt x="4831080" y="829056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9056"/>
                </a:lnTo>
                <a:close/>
              </a:path>
              <a:path w="7315200" h="1861185">
                <a:moveTo>
                  <a:pt x="5657088" y="621792"/>
                </a:moveTo>
                <a:lnTo>
                  <a:pt x="4831080" y="621792"/>
                </a:lnTo>
                <a:lnTo>
                  <a:pt x="4831080" y="826008"/>
                </a:lnTo>
                <a:lnTo>
                  <a:pt x="5657088" y="826008"/>
                </a:lnTo>
                <a:lnTo>
                  <a:pt x="5657088" y="621792"/>
                </a:lnTo>
                <a:close/>
              </a:path>
              <a:path w="7315200" h="1861185">
                <a:moveTo>
                  <a:pt x="5657088" y="414528"/>
                </a:moveTo>
                <a:lnTo>
                  <a:pt x="4831080" y="414528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4528"/>
                </a:lnTo>
                <a:close/>
              </a:path>
              <a:path w="7315200" h="186118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86118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1861185">
                <a:moveTo>
                  <a:pt x="6486144" y="1656600"/>
                </a:moveTo>
                <a:lnTo>
                  <a:pt x="5660136" y="1656600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656600"/>
                </a:lnTo>
                <a:close/>
              </a:path>
              <a:path w="7315200" h="186118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186118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186118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1861185">
                <a:moveTo>
                  <a:pt x="6486144" y="829056"/>
                </a:moveTo>
                <a:lnTo>
                  <a:pt x="5660136" y="829056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9056"/>
                </a:lnTo>
                <a:close/>
              </a:path>
              <a:path w="7315200" h="1861185">
                <a:moveTo>
                  <a:pt x="6486144" y="621792"/>
                </a:moveTo>
                <a:lnTo>
                  <a:pt x="5660136" y="621792"/>
                </a:lnTo>
                <a:lnTo>
                  <a:pt x="5660136" y="826008"/>
                </a:lnTo>
                <a:lnTo>
                  <a:pt x="6486144" y="826008"/>
                </a:lnTo>
                <a:lnTo>
                  <a:pt x="6486144" y="621792"/>
                </a:lnTo>
                <a:close/>
              </a:path>
              <a:path w="7315200" h="1861185">
                <a:moveTo>
                  <a:pt x="6486144" y="414528"/>
                </a:moveTo>
                <a:lnTo>
                  <a:pt x="5660136" y="414528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4528"/>
                </a:lnTo>
                <a:close/>
              </a:path>
              <a:path w="7315200" h="186118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86118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861185">
                <a:moveTo>
                  <a:pt x="7315200" y="1656600"/>
                </a:moveTo>
                <a:lnTo>
                  <a:pt x="6489192" y="1656600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656600"/>
                </a:lnTo>
                <a:close/>
              </a:path>
              <a:path w="7315200" h="186118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186118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186118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1861185">
                <a:moveTo>
                  <a:pt x="7315200" y="829056"/>
                </a:moveTo>
                <a:lnTo>
                  <a:pt x="6489192" y="829056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9056"/>
                </a:lnTo>
                <a:close/>
              </a:path>
              <a:path w="7315200" h="1861185">
                <a:moveTo>
                  <a:pt x="7315200" y="621792"/>
                </a:moveTo>
                <a:lnTo>
                  <a:pt x="6489192" y="621792"/>
                </a:lnTo>
                <a:lnTo>
                  <a:pt x="6489192" y="826008"/>
                </a:lnTo>
                <a:lnTo>
                  <a:pt x="7315200" y="826008"/>
                </a:lnTo>
                <a:lnTo>
                  <a:pt x="7315200" y="621792"/>
                </a:lnTo>
                <a:close/>
              </a:path>
              <a:path w="7315200" h="1861185">
                <a:moveTo>
                  <a:pt x="7315200" y="414528"/>
                </a:moveTo>
                <a:lnTo>
                  <a:pt x="6489192" y="414528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4528"/>
                </a:lnTo>
                <a:close/>
              </a:path>
              <a:path w="7315200" h="186118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186118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539496</xdr:colOff>
      <xdr:row>26</xdr:row>
      <xdr:rowOff>0</xdr:rowOff>
    </xdr:from>
    <xdr:ext cx="702945" cy="39306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0"/>
          <a:ext cx="702945" cy="3930650"/>
        </a:xfrm>
        <a:custGeom>
          <a:avLst/>
          <a:gdLst/>
          <a:ahLst/>
          <a:cxnLst/>
          <a:rect l="0" t="0" r="0" b="0"/>
          <a:pathLst>
            <a:path w="702945" h="3930650">
              <a:moveTo>
                <a:pt x="702564" y="3726192"/>
              </a:moveTo>
              <a:lnTo>
                <a:pt x="0" y="3726192"/>
              </a:lnTo>
              <a:lnTo>
                <a:pt x="0" y="3930396"/>
              </a:lnTo>
              <a:lnTo>
                <a:pt x="702564" y="3930396"/>
              </a:lnTo>
              <a:lnTo>
                <a:pt x="702564" y="3726192"/>
              </a:lnTo>
              <a:close/>
            </a:path>
            <a:path w="702945" h="3930650">
              <a:moveTo>
                <a:pt x="702564" y="3518916"/>
              </a:moveTo>
              <a:lnTo>
                <a:pt x="0" y="3518916"/>
              </a:lnTo>
              <a:lnTo>
                <a:pt x="0" y="3723132"/>
              </a:lnTo>
              <a:lnTo>
                <a:pt x="702564" y="3723132"/>
              </a:lnTo>
              <a:lnTo>
                <a:pt x="702564" y="3518916"/>
              </a:lnTo>
              <a:close/>
            </a:path>
            <a:path w="702945" h="393065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393065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3930650">
              <a:moveTo>
                <a:pt x="702564" y="2898648"/>
              </a:moveTo>
              <a:lnTo>
                <a:pt x="0" y="2898648"/>
              </a:lnTo>
              <a:lnTo>
                <a:pt x="0" y="3101340"/>
              </a:lnTo>
              <a:lnTo>
                <a:pt x="702564" y="3101340"/>
              </a:lnTo>
              <a:lnTo>
                <a:pt x="702564" y="2898648"/>
              </a:lnTo>
              <a:close/>
            </a:path>
            <a:path w="702945" h="3930650">
              <a:moveTo>
                <a:pt x="702564" y="2691384"/>
              </a:moveTo>
              <a:lnTo>
                <a:pt x="0" y="2691384"/>
              </a:lnTo>
              <a:lnTo>
                <a:pt x="0" y="2895600"/>
              </a:lnTo>
              <a:lnTo>
                <a:pt x="702564" y="2895600"/>
              </a:lnTo>
              <a:lnTo>
                <a:pt x="702564" y="2691384"/>
              </a:lnTo>
              <a:close/>
            </a:path>
            <a:path w="702945" h="3930650">
              <a:moveTo>
                <a:pt x="702564" y="2484120"/>
              </a:moveTo>
              <a:lnTo>
                <a:pt x="0" y="2484120"/>
              </a:lnTo>
              <a:lnTo>
                <a:pt x="0" y="2688336"/>
              </a:lnTo>
              <a:lnTo>
                <a:pt x="702564" y="2688336"/>
              </a:lnTo>
              <a:lnTo>
                <a:pt x="702564" y="2484120"/>
              </a:lnTo>
              <a:close/>
            </a:path>
            <a:path w="702945" h="393065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93065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93065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930650">
              <a:moveTo>
                <a:pt x="702564" y="1655064"/>
              </a:moveTo>
              <a:lnTo>
                <a:pt x="0" y="1655064"/>
              </a:lnTo>
              <a:lnTo>
                <a:pt x="0" y="1859280"/>
              </a:lnTo>
              <a:lnTo>
                <a:pt x="702564" y="1859280"/>
              </a:lnTo>
              <a:lnTo>
                <a:pt x="702564" y="1655064"/>
              </a:lnTo>
              <a:close/>
            </a:path>
            <a:path w="702945" h="3930650">
              <a:moveTo>
                <a:pt x="702564" y="1447800"/>
              </a:moveTo>
              <a:lnTo>
                <a:pt x="0" y="1447800"/>
              </a:lnTo>
              <a:lnTo>
                <a:pt x="0" y="1652016"/>
              </a:lnTo>
              <a:lnTo>
                <a:pt x="702564" y="1652016"/>
              </a:lnTo>
              <a:lnTo>
                <a:pt x="702564" y="1447800"/>
              </a:lnTo>
              <a:close/>
            </a:path>
            <a:path w="702945" h="3930650">
              <a:moveTo>
                <a:pt x="702564" y="1240536"/>
              </a:moveTo>
              <a:lnTo>
                <a:pt x="0" y="1240536"/>
              </a:lnTo>
              <a:lnTo>
                <a:pt x="0" y="1444752"/>
              </a:lnTo>
              <a:lnTo>
                <a:pt x="702564" y="1444752"/>
              </a:lnTo>
              <a:lnTo>
                <a:pt x="702564" y="1240536"/>
              </a:lnTo>
              <a:close/>
            </a:path>
            <a:path w="702945" h="3930650">
              <a:moveTo>
                <a:pt x="702564" y="1034796"/>
              </a:moveTo>
              <a:lnTo>
                <a:pt x="0" y="1034796"/>
              </a:lnTo>
              <a:lnTo>
                <a:pt x="0" y="1237488"/>
              </a:lnTo>
              <a:lnTo>
                <a:pt x="702564" y="1237488"/>
              </a:lnTo>
              <a:lnTo>
                <a:pt x="702564" y="1034796"/>
              </a:lnTo>
              <a:close/>
            </a:path>
            <a:path w="702945" h="393065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93065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930650">
              <a:moveTo>
                <a:pt x="702564" y="413004"/>
              </a:moveTo>
              <a:lnTo>
                <a:pt x="0" y="413004"/>
              </a:lnTo>
              <a:lnTo>
                <a:pt x="0" y="617220"/>
              </a:lnTo>
              <a:lnTo>
                <a:pt x="702564" y="617220"/>
              </a:lnTo>
              <a:lnTo>
                <a:pt x="702564" y="413004"/>
              </a:lnTo>
              <a:close/>
            </a:path>
            <a:path w="702945" h="3930650">
              <a:moveTo>
                <a:pt x="702564" y="205740"/>
              </a:moveTo>
              <a:lnTo>
                <a:pt x="0" y="205740"/>
              </a:lnTo>
              <a:lnTo>
                <a:pt x="0" y="409956"/>
              </a:lnTo>
              <a:lnTo>
                <a:pt x="702564" y="409956"/>
              </a:lnTo>
              <a:lnTo>
                <a:pt x="702564" y="205740"/>
              </a:lnTo>
              <a:close/>
            </a:path>
            <a:path w="702945" h="3930650">
              <a:moveTo>
                <a:pt x="702564" y="0"/>
              </a:moveTo>
              <a:lnTo>
                <a:pt x="0" y="0"/>
              </a:lnTo>
              <a:lnTo>
                <a:pt x="0" y="202692"/>
              </a:lnTo>
              <a:lnTo>
                <a:pt x="702564" y="202692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24</xdr:row>
      <xdr:rowOff>206501</xdr:rowOff>
    </xdr:from>
    <xdr:ext cx="3313429" cy="37528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23" name="image1.jpe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24" name="image2.jpe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25" name="image3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26" name="image4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26</xdr:row>
      <xdr:rowOff>0</xdr:rowOff>
    </xdr:from>
    <xdr:ext cx="7315200" cy="4343400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610234" y="6263640"/>
          <a:ext cx="7315200" cy="4343400"/>
          <a:chOff x="0" y="0"/>
          <a:chExt cx="7315200" cy="434340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0" y="0"/>
            <a:ext cx="7315200" cy="2481580"/>
          </a:xfrm>
          <a:custGeom>
            <a:avLst/>
            <a:gdLst/>
            <a:ahLst/>
            <a:cxnLst/>
            <a:rect l="0" t="0" r="0" b="0"/>
            <a:pathLst>
              <a:path w="7315200" h="2481580">
                <a:moveTo>
                  <a:pt x="339852" y="0"/>
                </a:moveTo>
                <a:lnTo>
                  <a:pt x="0" y="0"/>
                </a:lnTo>
                <a:lnTo>
                  <a:pt x="0" y="1239012"/>
                </a:lnTo>
                <a:lnTo>
                  <a:pt x="339852" y="1239012"/>
                </a:lnTo>
                <a:lnTo>
                  <a:pt x="339852" y="0"/>
                </a:lnTo>
                <a:close/>
              </a:path>
              <a:path w="7315200" h="2481580">
                <a:moveTo>
                  <a:pt x="1376172" y="0"/>
                </a:moveTo>
                <a:lnTo>
                  <a:pt x="342900" y="0"/>
                </a:lnTo>
                <a:lnTo>
                  <a:pt x="342900" y="1239012"/>
                </a:lnTo>
                <a:lnTo>
                  <a:pt x="1376172" y="1239012"/>
                </a:lnTo>
                <a:lnTo>
                  <a:pt x="1376172" y="0"/>
                </a:lnTo>
                <a:close/>
              </a:path>
              <a:path w="7315200" h="2481580">
                <a:moveTo>
                  <a:pt x="2753868" y="0"/>
                </a:moveTo>
                <a:lnTo>
                  <a:pt x="1379220" y="0"/>
                </a:lnTo>
                <a:lnTo>
                  <a:pt x="1379220" y="1239012"/>
                </a:lnTo>
                <a:lnTo>
                  <a:pt x="2753868" y="1239012"/>
                </a:lnTo>
                <a:lnTo>
                  <a:pt x="2753868" y="0"/>
                </a:lnTo>
                <a:close/>
              </a:path>
              <a:path w="7315200" h="248158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48158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48158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4815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4815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4815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4815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4815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4815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815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4815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48158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481580">
                <a:moveTo>
                  <a:pt x="3998976" y="2276856"/>
                </a:moveTo>
                <a:lnTo>
                  <a:pt x="3307080" y="2276856"/>
                </a:lnTo>
                <a:lnTo>
                  <a:pt x="3307080" y="2481072"/>
                </a:lnTo>
                <a:lnTo>
                  <a:pt x="3998976" y="2481072"/>
                </a:lnTo>
                <a:lnTo>
                  <a:pt x="3998976" y="2276856"/>
                </a:lnTo>
                <a:close/>
              </a:path>
              <a:path w="7315200" h="248158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48158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4815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4815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4815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4815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4815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4815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815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4815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158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48158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48158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4815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4815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4815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4815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4815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4815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815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4815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158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48158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48158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4815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4815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4815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4815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4815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4815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815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4815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158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48158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48158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4815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4815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4815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4815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4815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4815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815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4815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158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48158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48158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4815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4815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4815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4815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4815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4815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815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4815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48158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0" y="1242059"/>
            <a:ext cx="7315200" cy="3101340"/>
          </a:xfrm>
          <a:custGeom>
            <a:avLst/>
            <a:gdLst/>
            <a:ahLst/>
            <a:cxnLst/>
            <a:rect l="0" t="0" r="0" b="0"/>
            <a:pathLst>
              <a:path w="7315200" h="3101340">
                <a:moveTo>
                  <a:pt x="339852" y="0"/>
                </a:moveTo>
                <a:lnTo>
                  <a:pt x="0" y="0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0"/>
                </a:lnTo>
                <a:close/>
              </a:path>
              <a:path w="7315200" h="3101340">
                <a:moveTo>
                  <a:pt x="1376172" y="0"/>
                </a:moveTo>
                <a:lnTo>
                  <a:pt x="342900" y="0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0"/>
                </a:lnTo>
                <a:close/>
              </a:path>
              <a:path w="7315200" h="3101340">
                <a:moveTo>
                  <a:pt x="2753868" y="2069592"/>
                </a:moveTo>
                <a:lnTo>
                  <a:pt x="1379220" y="2069592"/>
                </a:lnTo>
                <a:lnTo>
                  <a:pt x="1379220" y="3101340"/>
                </a:lnTo>
                <a:lnTo>
                  <a:pt x="2753868" y="3101340"/>
                </a:lnTo>
                <a:lnTo>
                  <a:pt x="2753868" y="2069592"/>
                </a:lnTo>
                <a:close/>
              </a:path>
              <a:path w="7315200" h="3101340">
                <a:moveTo>
                  <a:pt x="2753868" y="1447800"/>
                </a:moveTo>
                <a:lnTo>
                  <a:pt x="1379220" y="1447800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447800"/>
                </a:lnTo>
                <a:close/>
              </a:path>
              <a:path w="7315200" h="3101340">
                <a:moveTo>
                  <a:pt x="2753868" y="0"/>
                </a:moveTo>
                <a:lnTo>
                  <a:pt x="1379220" y="0"/>
                </a:lnTo>
                <a:lnTo>
                  <a:pt x="1379220" y="1444752"/>
                </a:lnTo>
                <a:lnTo>
                  <a:pt x="2753868" y="1444752"/>
                </a:lnTo>
                <a:lnTo>
                  <a:pt x="2753868" y="0"/>
                </a:lnTo>
                <a:close/>
              </a:path>
              <a:path w="7315200" h="3101340">
                <a:moveTo>
                  <a:pt x="3304032" y="2897124"/>
                </a:moveTo>
                <a:lnTo>
                  <a:pt x="2756916" y="2897124"/>
                </a:lnTo>
                <a:lnTo>
                  <a:pt x="2756916" y="3101340"/>
                </a:lnTo>
                <a:lnTo>
                  <a:pt x="3304032" y="3101340"/>
                </a:lnTo>
                <a:lnTo>
                  <a:pt x="3304032" y="2897124"/>
                </a:lnTo>
                <a:close/>
              </a:path>
              <a:path w="7315200" h="3101340">
                <a:moveTo>
                  <a:pt x="3304032" y="2689860"/>
                </a:moveTo>
                <a:lnTo>
                  <a:pt x="2756916" y="2689860"/>
                </a:lnTo>
                <a:lnTo>
                  <a:pt x="2756916" y="2894076"/>
                </a:lnTo>
                <a:lnTo>
                  <a:pt x="3304032" y="2894076"/>
                </a:lnTo>
                <a:lnTo>
                  <a:pt x="3304032" y="2689860"/>
                </a:lnTo>
                <a:close/>
              </a:path>
              <a:path w="7315200" h="3101340">
                <a:moveTo>
                  <a:pt x="3304032" y="2484120"/>
                </a:moveTo>
                <a:lnTo>
                  <a:pt x="2756916" y="2484120"/>
                </a:lnTo>
                <a:lnTo>
                  <a:pt x="2756916" y="2686812"/>
                </a:lnTo>
                <a:lnTo>
                  <a:pt x="3304032" y="2686812"/>
                </a:lnTo>
                <a:lnTo>
                  <a:pt x="3304032" y="2484120"/>
                </a:lnTo>
                <a:close/>
              </a:path>
              <a:path w="7315200" h="3101340">
                <a:moveTo>
                  <a:pt x="3304032" y="2276856"/>
                </a:moveTo>
                <a:lnTo>
                  <a:pt x="2756916" y="2276856"/>
                </a:lnTo>
                <a:lnTo>
                  <a:pt x="2756916" y="2479548"/>
                </a:lnTo>
                <a:lnTo>
                  <a:pt x="3304032" y="2479548"/>
                </a:lnTo>
                <a:lnTo>
                  <a:pt x="3304032" y="2276856"/>
                </a:lnTo>
                <a:close/>
              </a:path>
              <a:path w="7315200" h="310134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310134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3101340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3101340">
                <a:moveTo>
                  <a:pt x="3304032" y="1447800"/>
                </a:moveTo>
                <a:lnTo>
                  <a:pt x="2756916" y="1447800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7800"/>
                </a:lnTo>
                <a:close/>
              </a:path>
              <a:path w="7315200" h="3101340">
                <a:moveTo>
                  <a:pt x="3304032" y="1242060"/>
                </a:moveTo>
                <a:lnTo>
                  <a:pt x="2756916" y="1242060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2060"/>
                </a:lnTo>
                <a:close/>
              </a:path>
              <a:path w="7315200" h="3101340">
                <a:moveTo>
                  <a:pt x="3998976" y="2897124"/>
                </a:moveTo>
                <a:lnTo>
                  <a:pt x="3307080" y="2897124"/>
                </a:lnTo>
                <a:lnTo>
                  <a:pt x="3307080" y="3101340"/>
                </a:lnTo>
                <a:lnTo>
                  <a:pt x="3998976" y="3101340"/>
                </a:lnTo>
                <a:lnTo>
                  <a:pt x="3998976" y="2897124"/>
                </a:lnTo>
                <a:close/>
              </a:path>
              <a:path w="7315200" h="3101340">
                <a:moveTo>
                  <a:pt x="3998976" y="2689860"/>
                </a:moveTo>
                <a:lnTo>
                  <a:pt x="3307080" y="2689860"/>
                </a:lnTo>
                <a:lnTo>
                  <a:pt x="3307080" y="2894076"/>
                </a:lnTo>
                <a:lnTo>
                  <a:pt x="3998976" y="2894076"/>
                </a:lnTo>
                <a:lnTo>
                  <a:pt x="3998976" y="2689860"/>
                </a:lnTo>
                <a:close/>
              </a:path>
              <a:path w="7315200" h="3101340">
                <a:moveTo>
                  <a:pt x="3998976" y="2484120"/>
                </a:moveTo>
                <a:lnTo>
                  <a:pt x="3307080" y="2484120"/>
                </a:lnTo>
                <a:lnTo>
                  <a:pt x="3307080" y="2686812"/>
                </a:lnTo>
                <a:lnTo>
                  <a:pt x="3998976" y="2686812"/>
                </a:lnTo>
                <a:lnTo>
                  <a:pt x="3998976" y="2484120"/>
                </a:lnTo>
                <a:close/>
              </a:path>
              <a:path w="7315200" h="3101340">
                <a:moveTo>
                  <a:pt x="3998976" y="2276856"/>
                </a:moveTo>
                <a:lnTo>
                  <a:pt x="3307080" y="2276856"/>
                </a:lnTo>
                <a:lnTo>
                  <a:pt x="3307080" y="2479548"/>
                </a:lnTo>
                <a:lnTo>
                  <a:pt x="3998976" y="2479548"/>
                </a:lnTo>
                <a:lnTo>
                  <a:pt x="3998976" y="2276856"/>
                </a:lnTo>
                <a:close/>
              </a:path>
              <a:path w="7315200" h="310134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310134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3101340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3101340">
                <a:moveTo>
                  <a:pt x="3998976" y="1447800"/>
                </a:moveTo>
                <a:lnTo>
                  <a:pt x="3307080" y="1447800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7800"/>
                </a:lnTo>
                <a:close/>
              </a:path>
              <a:path w="7315200" h="3101340">
                <a:moveTo>
                  <a:pt x="3998976" y="1242060"/>
                </a:moveTo>
                <a:lnTo>
                  <a:pt x="3307080" y="1242060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2060"/>
                </a:lnTo>
                <a:close/>
              </a:path>
              <a:path w="7315200" h="310134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3101340">
                <a:moveTo>
                  <a:pt x="4828032" y="2897124"/>
                </a:moveTo>
                <a:lnTo>
                  <a:pt x="4002024" y="2897124"/>
                </a:lnTo>
                <a:lnTo>
                  <a:pt x="4002024" y="3101340"/>
                </a:lnTo>
                <a:lnTo>
                  <a:pt x="4828032" y="3101340"/>
                </a:lnTo>
                <a:lnTo>
                  <a:pt x="4828032" y="2897124"/>
                </a:lnTo>
                <a:close/>
              </a:path>
              <a:path w="7315200" h="3101340">
                <a:moveTo>
                  <a:pt x="4828032" y="2689860"/>
                </a:moveTo>
                <a:lnTo>
                  <a:pt x="4002024" y="2689860"/>
                </a:lnTo>
                <a:lnTo>
                  <a:pt x="4002024" y="2894076"/>
                </a:lnTo>
                <a:lnTo>
                  <a:pt x="4828032" y="2894076"/>
                </a:lnTo>
                <a:lnTo>
                  <a:pt x="4828032" y="2689860"/>
                </a:lnTo>
                <a:close/>
              </a:path>
              <a:path w="7315200" h="3101340">
                <a:moveTo>
                  <a:pt x="4828032" y="2484120"/>
                </a:moveTo>
                <a:lnTo>
                  <a:pt x="4002024" y="2484120"/>
                </a:lnTo>
                <a:lnTo>
                  <a:pt x="4002024" y="2686812"/>
                </a:lnTo>
                <a:lnTo>
                  <a:pt x="4828032" y="2686812"/>
                </a:lnTo>
                <a:lnTo>
                  <a:pt x="4828032" y="2484120"/>
                </a:lnTo>
                <a:close/>
              </a:path>
              <a:path w="7315200" h="3101340">
                <a:moveTo>
                  <a:pt x="4828032" y="2276856"/>
                </a:moveTo>
                <a:lnTo>
                  <a:pt x="4002024" y="2276856"/>
                </a:lnTo>
                <a:lnTo>
                  <a:pt x="4002024" y="2479548"/>
                </a:lnTo>
                <a:lnTo>
                  <a:pt x="4828032" y="2479548"/>
                </a:lnTo>
                <a:lnTo>
                  <a:pt x="4828032" y="2276856"/>
                </a:lnTo>
                <a:close/>
              </a:path>
              <a:path w="7315200" h="310134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310134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3101340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3101340">
                <a:moveTo>
                  <a:pt x="4828032" y="1447800"/>
                </a:moveTo>
                <a:lnTo>
                  <a:pt x="4002024" y="1447800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7800"/>
                </a:lnTo>
                <a:close/>
              </a:path>
              <a:path w="7315200" h="3101340">
                <a:moveTo>
                  <a:pt x="4828032" y="1242060"/>
                </a:moveTo>
                <a:lnTo>
                  <a:pt x="4002024" y="1242060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2060"/>
                </a:lnTo>
                <a:close/>
              </a:path>
              <a:path w="7315200" h="310134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3101340">
                <a:moveTo>
                  <a:pt x="5657088" y="2897124"/>
                </a:moveTo>
                <a:lnTo>
                  <a:pt x="4831080" y="2897124"/>
                </a:lnTo>
                <a:lnTo>
                  <a:pt x="4831080" y="3101340"/>
                </a:lnTo>
                <a:lnTo>
                  <a:pt x="5657088" y="3101340"/>
                </a:lnTo>
                <a:lnTo>
                  <a:pt x="5657088" y="2897124"/>
                </a:lnTo>
                <a:close/>
              </a:path>
              <a:path w="7315200" h="3101340">
                <a:moveTo>
                  <a:pt x="5657088" y="2689860"/>
                </a:moveTo>
                <a:lnTo>
                  <a:pt x="4831080" y="2689860"/>
                </a:lnTo>
                <a:lnTo>
                  <a:pt x="4831080" y="2894076"/>
                </a:lnTo>
                <a:lnTo>
                  <a:pt x="5657088" y="2894076"/>
                </a:lnTo>
                <a:lnTo>
                  <a:pt x="5657088" y="2689860"/>
                </a:lnTo>
                <a:close/>
              </a:path>
              <a:path w="7315200" h="3101340">
                <a:moveTo>
                  <a:pt x="5657088" y="2484120"/>
                </a:moveTo>
                <a:lnTo>
                  <a:pt x="4831080" y="2484120"/>
                </a:lnTo>
                <a:lnTo>
                  <a:pt x="4831080" y="2686812"/>
                </a:lnTo>
                <a:lnTo>
                  <a:pt x="5657088" y="2686812"/>
                </a:lnTo>
                <a:lnTo>
                  <a:pt x="5657088" y="2484120"/>
                </a:lnTo>
                <a:close/>
              </a:path>
              <a:path w="7315200" h="3101340">
                <a:moveTo>
                  <a:pt x="5657088" y="2276856"/>
                </a:moveTo>
                <a:lnTo>
                  <a:pt x="4831080" y="2276856"/>
                </a:lnTo>
                <a:lnTo>
                  <a:pt x="4831080" y="2479548"/>
                </a:lnTo>
                <a:lnTo>
                  <a:pt x="5657088" y="2479548"/>
                </a:lnTo>
                <a:lnTo>
                  <a:pt x="5657088" y="2276856"/>
                </a:lnTo>
                <a:close/>
              </a:path>
              <a:path w="7315200" h="310134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310134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3101340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3101340">
                <a:moveTo>
                  <a:pt x="5657088" y="1447800"/>
                </a:moveTo>
                <a:lnTo>
                  <a:pt x="4831080" y="1447800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7800"/>
                </a:lnTo>
                <a:close/>
              </a:path>
              <a:path w="7315200" h="3101340">
                <a:moveTo>
                  <a:pt x="5657088" y="1242060"/>
                </a:moveTo>
                <a:lnTo>
                  <a:pt x="4831080" y="1242060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2060"/>
                </a:lnTo>
                <a:close/>
              </a:path>
              <a:path w="7315200" h="310134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3101340">
                <a:moveTo>
                  <a:pt x="6486144" y="2897124"/>
                </a:moveTo>
                <a:lnTo>
                  <a:pt x="5660136" y="2897124"/>
                </a:lnTo>
                <a:lnTo>
                  <a:pt x="5660136" y="3101340"/>
                </a:lnTo>
                <a:lnTo>
                  <a:pt x="6486144" y="3101340"/>
                </a:lnTo>
                <a:lnTo>
                  <a:pt x="6486144" y="2897124"/>
                </a:lnTo>
                <a:close/>
              </a:path>
              <a:path w="7315200" h="3101340">
                <a:moveTo>
                  <a:pt x="6486144" y="2689860"/>
                </a:moveTo>
                <a:lnTo>
                  <a:pt x="5660136" y="2689860"/>
                </a:lnTo>
                <a:lnTo>
                  <a:pt x="5660136" y="2894076"/>
                </a:lnTo>
                <a:lnTo>
                  <a:pt x="6486144" y="2894076"/>
                </a:lnTo>
                <a:lnTo>
                  <a:pt x="6486144" y="2689860"/>
                </a:lnTo>
                <a:close/>
              </a:path>
              <a:path w="7315200" h="3101340">
                <a:moveTo>
                  <a:pt x="6486144" y="2484120"/>
                </a:moveTo>
                <a:lnTo>
                  <a:pt x="5660136" y="2484120"/>
                </a:lnTo>
                <a:lnTo>
                  <a:pt x="5660136" y="2686812"/>
                </a:lnTo>
                <a:lnTo>
                  <a:pt x="6486144" y="2686812"/>
                </a:lnTo>
                <a:lnTo>
                  <a:pt x="6486144" y="2484120"/>
                </a:lnTo>
                <a:close/>
              </a:path>
              <a:path w="7315200" h="3101340">
                <a:moveTo>
                  <a:pt x="6486144" y="2276856"/>
                </a:moveTo>
                <a:lnTo>
                  <a:pt x="5660136" y="2276856"/>
                </a:lnTo>
                <a:lnTo>
                  <a:pt x="5660136" y="2479548"/>
                </a:lnTo>
                <a:lnTo>
                  <a:pt x="6486144" y="2479548"/>
                </a:lnTo>
                <a:lnTo>
                  <a:pt x="6486144" y="2276856"/>
                </a:lnTo>
                <a:close/>
              </a:path>
              <a:path w="7315200" h="310134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310134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3101340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3101340">
                <a:moveTo>
                  <a:pt x="6486144" y="1447800"/>
                </a:moveTo>
                <a:lnTo>
                  <a:pt x="5660136" y="1447800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7800"/>
                </a:lnTo>
                <a:close/>
              </a:path>
              <a:path w="7315200" h="3101340">
                <a:moveTo>
                  <a:pt x="6486144" y="1242060"/>
                </a:moveTo>
                <a:lnTo>
                  <a:pt x="5660136" y="1242060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2060"/>
                </a:lnTo>
                <a:close/>
              </a:path>
              <a:path w="7315200" h="310134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3101340">
                <a:moveTo>
                  <a:pt x="7315200" y="2897124"/>
                </a:moveTo>
                <a:lnTo>
                  <a:pt x="6489192" y="2897124"/>
                </a:lnTo>
                <a:lnTo>
                  <a:pt x="6489192" y="3101340"/>
                </a:lnTo>
                <a:lnTo>
                  <a:pt x="7315200" y="3101340"/>
                </a:lnTo>
                <a:lnTo>
                  <a:pt x="7315200" y="2897124"/>
                </a:lnTo>
                <a:close/>
              </a:path>
              <a:path w="7315200" h="3101340">
                <a:moveTo>
                  <a:pt x="7315200" y="2689860"/>
                </a:moveTo>
                <a:lnTo>
                  <a:pt x="6489192" y="2689860"/>
                </a:lnTo>
                <a:lnTo>
                  <a:pt x="6489192" y="2894076"/>
                </a:lnTo>
                <a:lnTo>
                  <a:pt x="7315200" y="2894076"/>
                </a:lnTo>
                <a:lnTo>
                  <a:pt x="7315200" y="2689860"/>
                </a:lnTo>
                <a:close/>
              </a:path>
              <a:path w="7315200" h="3101340">
                <a:moveTo>
                  <a:pt x="7315200" y="2484120"/>
                </a:moveTo>
                <a:lnTo>
                  <a:pt x="6489192" y="2484120"/>
                </a:lnTo>
                <a:lnTo>
                  <a:pt x="6489192" y="2686812"/>
                </a:lnTo>
                <a:lnTo>
                  <a:pt x="7315200" y="2686812"/>
                </a:lnTo>
                <a:lnTo>
                  <a:pt x="7315200" y="2484120"/>
                </a:lnTo>
                <a:close/>
              </a:path>
              <a:path w="7315200" h="3101340">
                <a:moveTo>
                  <a:pt x="7315200" y="2276856"/>
                </a:moveTo>
                <a:lnTo>
                  <a:pt x="6489192" y="2276856"/>
                </a:lnTo>
                <a:lnTo>
                  <a:pt x="6489192" y="2479548"/>
                </a:lnTo>
                <a:lnTo>
                  <a:pt x="7315200" y="2479548"/>
                </a:lnTo>
                <a:lnTo>
                  <a:pt x="7315200" y="2276856"/>
                </a:lnTo>
                <a:close/>
              </a:path>
              <a:path w="7315200" h="310134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310134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3101340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3101340">
                <a:moveTo>
                  <a:pt x="7315200" y="1447800"/>
                </a:moveTo>
                <a:lnTo>
                  <a:pt x="6489192" y="1447800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7800"/>
                </a:lnTo>
                <a:close/>
              </a:path>
              <a:path w="7315200" h="3101340">
                <a:moveTo>
                  <a:pt x="7315200" y="1242060"/>
                </a:moveTo>
                <a:lnTo>
                  <a:pt x="6489192" y="1242060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2060"/>
                </a:lnTo>
                <a:close/>
              </a:path>
              <a:path w="7315200" h="310134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27</xdr:row>
      <xdr:rowOff>0</xdr:rowOff>
    </xdr:from>
    <xdr:ext cx="702945" cy="43434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0" y="0"/>
          <a:ext cx="702945" cy="4343400"/>
        </a:xfrm>
        <a:custGeom>
          <a:avLst/>
          <a:gdLst/>
          <a:ahLst/>
          <a:cxnLst/>
          <a:rect l="0" t="0" r="0" b="0"/>
          <a:pathLst>
            <a:path w="702945" h="4343400">
              <a:moveTo>
                <a:pt x="702564" y="4139184"/>
              </a:moveTo>
              <a:lnTo>
                <a:pt x="0" y="4139184"/>
              </a:lnTo>
              <a:lnTo>
                <a:pt x="0" y="4343400"/>
              </a:lnTo>
              <a:lnTo>
                <a:pt x="702564" y="4343400"/>
              </a:lnTo>
              <a:lnTo>
                <a:pt x="702564" y="4139184"/>
              </a:lnTo>
              <a:close/>
            </a:path>
            <a:path w="702945" h="434340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34340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34340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34340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34340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34340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34340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34340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34340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34340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34340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34340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34340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34340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34340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34340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34340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34340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34340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34340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23</xdr:row>
      <xdr:rowOff>206501</xdr:rowOff>
    </xdr:from>
    <xdr:ext cx="3313429" cy="37528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33" name="image2.jpe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34" name="image3.jpe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35" name="image4.jpe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25</xdr:row>
      <xdr:rowOff>0</xdr:rowOff>
    </xdr:from>
    <xdr:ext cx="7315200" cy="4136390"/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pSpPr/>
      </xdr:nvGrpSpPr>
      <xdr:grpSpPr>
        <a:xfrm>
          <a:off x="610234" y="6050280"/>
          <a:ext cx="7315200" cy="4136390"/>
          <a:chOff x="0" y="0"/>
          <a:chExt cx="7315200" cy="4136390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034796"/>
                </a:moveTo>
                <a:lnTo>
                  <a:pt x="0" y="1034796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1034796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034796"/>
                </a:moveTo>
                <a:lnTo>
                  <a:pt x="342900" y="1034796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1034796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034796"/>
                </a:moveTo>
                <a:lnTo>
                  <a:pt x="1379220" y="1034796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1034796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0" y="1862327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034796"/>
                </a:moveTo>
                <a:lnTo>
                  <a:pt x="1379220" y="1034796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034796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3852"/>
                </a:moveTo>
                <a:lnTo>
                  <a:pt x="2756916" y="1863852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3852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1792"/>
                </a:moveTo>
                <a:lnTo>
                  <a:pt x="2756916" y="621792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1792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3852"/>
                </a:moveTo>
                <a:lnTo>
                  <a:pt x="3307080" y="1863852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3852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1792"/>
                </a:moveTo>
                <a:lnTo>
                  <a:pt x="3307080" y="621792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1792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3852"/>
                </a:moveTo>
                <a:lnTo>
                  <a:pt x="4002024" y="1863852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3852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1792"/>
                </a:moveTo>
                <a:lnTo>
                  <a:pt x="4002024" y="621792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1792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3852"/>
                </a:moveTo>
                <a:lnTo>
                  <a:pt x="4831080" y="1863852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3852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1792"/>
                </a:moveTo>
                <a:lnTo>
                  <a:pt x="4831080" y="621792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1792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3852"/>
                </a:moveTo>
                <a:lnTo>
                  <a:pt x="5660136" y="1863852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3852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1792"/>
                </a:moveTo>
                <a:lnTo>
                  <a:pt x="5660136" y="621792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1792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273935">
                <a:moveTo>
                  <a:pt x="7315200" y="1863852"/>
                </a:moveTo>
                <a:lnTo>
                  <a:pt x="6489192" y="1863852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3852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1792"/>
                </a:moveTo>
                <a:lnTo>
                  <a:pt x="6489192" y="621792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1792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26</xdr:row>
      <xdr:rowOff>0</xdr:rowOff>
    </xdr:from>
    <xdr:ext cx="702945" cy="413639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0" y="0"/>
          <a:ext cx="702945" cy="4136390"/>
        </a:xfrm>
        <a:custGeom>
          <a:avLst/>
          <a:gdLst/>
          <a:ahLst/>
          <a:cxnLst/>
          <a:rect l="0" t="0" r="0" b="0"/>
          <a:pathLst>
            <a:path w="702945" h="413639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13639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13639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13639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13639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13639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13639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13639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13639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13639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13639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13639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13639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13639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13639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13639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13639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13639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13639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13639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23</xdr:row>
      <xdr:rowOff>0</xdr:rowOff>
    </xdr:from>
    <xdr:ext cx="3313429" cy="37528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41" name="image1.jpe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42" name="image2.jpe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43" name="image3.jpe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44" name="image4.jpe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24</xdr:row>
      <xdr:rowOff>0</xdr:rowOff>
    </xdr:from>
    <xdr:ext cx="7315200" cy="4025265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pSpPr/>
      </xdr:nvGrpSpPr>
      <xdr:grpSpPr>
        <a:xfrm>
          <a:off x="610234" y="5920740"/>
          <a:ext cx="7315200" cy="4025265"/>
          <a:chOff x="0" y="0"/>
          <a:chExt cx="7315200" cy="402526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/>
        </xdr:nvSpPr>
        <xdr:spPr>
          <a:xfrm>
            <a:off x="0" y="0"/>
            <a:ext cx="7315200" cy="2275840"/>
          </a:xfrm>
          <a:custGeom>
            <a:avLst/>
            <a:gdLst/>
            <a:ahLst/>
            <a:cxnLst/>
            <a:rect l="0" t="0" r="0" b="0"/>
            <a:pathLst>
              <a:path w="7315200" h="2275840">
                <a:moveTo>
                  <a:pt x="339852" y="1243584"/>
                </a:moveTo>
                <a:lnTo>
                  <a:pt x="0" y="1243584"/>
                </a:lnTo>
                <a:lnTo>
                  <a:pt x="0" y="1860804"/>
                </a:lnTo>
                <a:lnTo>
                  <a:pt x="339852" y="1860804"/>
                </a:lnTo>
                <a:lnTo>
                  <a:pt x="339852" y="1243584"/>
                </a:lnTo>
                <a:close/>
              </a:path>
              <a:path w="7315200" h="2275840">
                <a:moveTo>
                  <a:pt x="339852" y="827532"/>
                </a:moveTo>
                <a:lnTo>
                  <a:pt x="0" y="827532"/>
                </a:lnTo>
                <a:lnTo>
                  <a:pt x="0" y="1240536"/>
                </a:lnTo>
                <a:lnTo>
                  <a:pt x="339852" y="1240536"/>
                </a:lnTo>
                <a:lnTo>
                  <a:pt x="339852" y="827532"/>
                </a:lnTo>
                <a:close/>
              </a:path>
              <a:path w="7315200" h="2275840">
                <a:moveTo>
                  <a:pt x="339852" y="0"/>
                </a:moveTo>
                <a:lnTo>
                  <a:pt x="0" y="0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0"/>
                </a:lnTo>
                <a:close/>
              </a:path>
              <a:path w="7315200" h="2275840">
                <a:moveTo>
                  <a:pt x="1376172" y="1243584"/>
                </a:moveTo>
                <a:lnTo>
                  <a:pt x="342900" y="1243584"/>
                </a:lnTo>
                <a:lnTo>
                  <a:pt x="342900" y="1860804"/>
                </a:lnTo>
                <a:lnTo>
                  <a:pt x="1376172" y="1860804"/>
                </a:lnTo>
                <a:lnTo>
                  <a:pt x="1376172" y="1243584"/>
                </a:lnTo>
                <a:close/>
              </a:path>
              <a:path w="7315200" h="2275840">
                <a:moveTo>
                  <a:pt x="1376172" y="827532"/>
                </a:moveTo>
                <a:lnTo>
                  <a:pt x="342900" y="827532"/>
                </a:lnTo>
                <a:lnTo>
                  <a:pt x="342900" y="1240536"/>
                </a:lnTo>
                <a:lnTo>
                  <a:pt x="1376172" y="1240536"/>
                </a:lnTo>
                <a:lnTo>
                  <a:pt x="1376172" y="827532"/>
                </a:lnTo>
                <a:close/>
              </a:path>
              <a:path w="7315200" h="2275840">
                <a:moveTo>
                  <a:pt x="1376172" y="0"/>
                </a:moveTo>
                <a:lnTo>
                  <a:pt x="342900" y="0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0"/>
                </a:lnTo>
                <a:close/>
              </a:path>
              <a:path w="7315200" h="2275840">
                <a:moveTo>
                  <a:pt x="2753868" y="1243584"/>
                </a:moveTo>
                <a:lnTo>
                  <a:pt x="1379220" y="1243584"/>
                </a:lnTo>
                <a:lnTo>
                  <a:pt x="1379220" y="1860804"/>
                </a:lnTo>
                <a:lnTo>
                  <a:pt x="2753868" y="1860804"/>
                </a:lnTo>
                <a:lnTo>
                  <a:pt x="2753868" y="1243584"/>
                </a:lnTo>
                <a:close/>
              </a:path>
              <a:path w="7315200" h="2275840">
                <a:moveTo>
                  <a:pt x="2753868" y="827532"/>
                </a:moveTo>
                <a:lnTo>
                  <a:pt x="1379220" y="827532"/>
                </a:lnTo>
                <a:lnTo>
                  <a:pt x="1379220" y="1240536"/>
                </a:lnTo>
                <a:lnTo>
                  <a:pt x="2753868" y="1240536"/>
                </a:lnTo>
                <a:lnTo>
                  <a:pt x="2753868" y="827532"/>
                </a:lnTo>
                <a:close/>
              </a:path>
              <a:path w="7315200" h="2275840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275840">
                <a:moveTo>
                  <a:pt x="3304032" y="2071116"/>
                </a:moveTo>
                <a:lnTo>
                  <a:pt x="2756916" y="2071116"/>
                </a:lnTo>
                <a:lnTo>
                  <a:pt x="2756916" y="2275332"/>
                </a:lnTo>
                <a:lnTo>
                  <a:pt x="3304032" y="2275332"/>
                </a:lnTo>
                <a:lnTo>
                  <a:pt x="3304032" y="2071116"/>
                </a:lnTo>
                <a:close/>
              </a:path>
              <a:path w="7315200" h="2275840">
                <a:moveTo>
                  <a:pt x="3304032" y="1863852"/>
                </a:moveTo>
                <a:lnTo>
                  <a:pt x="2756916" y="1863852"/>
                </a:lnTo>
                <a:lnTo>
                  <a:pt x="2756916" y="2068068"/>
                </a:lnTo>
                <a:lnTo>
                  <a:pt x="3304032" y="2068068"/>
                </a:lnTo>
                <a:lnTo>
                  <a:pt x="3304032" y="1863852"/>
                </a:lnTo>
                <a:close/>
              </a:path>
              <a:path w="7315200" h="2275840">
                <a:moveTo>
                  <a:pt x="3304032" y="1656588"/>
                </a:moveTo>
                <a:lnTo>
                  <a:pt x="2756916" y="1656588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656588"/>
                </a:lnTo>
                <a:close/>
              </a:path>
              <a:path w="7315200" h="2275840">
                <a:moveTo>
                  <a:pt x="3304032" y="1450848"/>
                </a:moveTo>
                <a:lnTo>
                  <a:pt x="2756916" y="1450848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50848"/>
                </a:lnTo>
                <a:close/>
              </a:path>
              <a:path w="7315200" h="2275840">
                <a:moveTo>
                  <a:pt x="3304032" y="1243584"/>
                </a:moveTo>
                <a:lnTo>
                  <a:pt x="2756916" y="1243584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3584"/>
                </a:lnTo>
                <a:close/>
              </a:path>
              <a:path w="7315200" h="2275840">
                <a:moveTo>
                  <a:pt x="3304032" y="1034796"/>
                </a:moveTo>
                <a:lnTo>
                  <a:pt x="2756916" y="1034796"/>
                </a:lnTo>
                <a:lnTo>
                  <a:pt x="2756916" y="1240536"/>
                </a:lnTo>
                <a:lnTo>
                  <a:pt x="3304032" y="1240536"/>
                </a:lnTo>
                <a:lnTo>
                  <a:pt x="3304032" y="1034796"/>
                </a:lnTo>
                <a:close/>
              </a:path>
              <a:path w="7315200" h="227584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584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584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584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584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5840">
                <a:moveTo>
                  <a:pt x="3998976" y="2071116"/>
                </a:moveTo>
                <a:lnTo>
                  <a:pt x="3307080" y="2071116"/>
                </a:lnTo>
                <a:lnTo>
                  <a:pt x="3307080" y="2275332"/>
                </a:lnTo>
                <a:lnTo>
                  <a:pt x="3998976" y="2275332"/>
                </a:lnTo>
                <a:lnTo>
                  <a:pt x="3998976" y="2071116"/>
                </a:lnTo>
                <a:close/>
              </a:path>
              <a:path w="7315200" h="2275840">
                <a:moveTo>
                  <a:pt x="3998976" y="1863852"/>
                </a:moveTo>
                <a:lnTo>
                  <a:pt x="3307080" y="1863852"/>
                </a:lnTo>
                <a:lnTo>
                  <a:pt x="3307080" y="2068068"/>
                </a:lnTo>
                <a:lnTo>
                  <a:pt x="3998976" y="2068068"/>
                </a:lnTo>
                <a:lnTo>
                  <a:pt x="3998976" y="1863852"/>
                </a:lnTo>
                <a:close/>
              </a:path>
              <a:path w="7315200" h="2275840">
                <a:moveTo>
                  <a:pt x="3998976" y="1656588"/>
                </a:moveTo>
                <a:lnTo>
                  <a:pt x="3307080" y="1656588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656588"/>
                </a:lnTo>
                <a:close/>
              </a:path>
              <a:path w="7315200" h="2275840">
                <a:moveTo>
                  <a:pt x="3998976" y="1450848"/>
                </a:moveTo>
                <a:lnTo>
                  <a:pt x="3307080" y="1450848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50848"/>
                </a:lnTo>
                <a:close/>
              </a:path>
              <a:path w="7315200" h="2275840">
                <a:moveTo>
                  <a:pt x="3998976" y="1243584"/>
                </a:moveTo>
                <a:lnTo>
                  <a:pt x="3307080" y="1243584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3584"/>
                </a:lnTo>
                <a:close/>
              </a:path>
              <a:path w="7315200" h="2275840">
                <a:moveTo>
                  <a:pt x="3998976" y="1034796"/>
                </a:moveTo>
                <a:lnTo>
                  <a:pt x="3307080" y="1034796"/>
                </a:lnTo>
                <a:lnTo>
                  <a:pt x="3307080" y="1240536"/>
                </a:lnTo>
                <a:lnTo>
                  <a:pt x="3998976" y="1240536"/>
                </a:lnTo>
                <a:lnTo>
                  <a:pt x="3998976" y="1034796"/>
                </a:lnTo>
                <a:close/>
              </a:path>
              <a:path w="7315200" h="227584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584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584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584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584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5840">
                <a:moveTo>
                  <a:pt x="4828032" y="1863852"/>
                </a:moveTo>
                <a:lnTo>
                  <a:pt x="4002024" y="1863852"/>
                </a:lnTo>
                <a:lnTo>
                  <a:pt x="4002024" y="2068068"/>
                </a:lnTo>
                <a:lnTo>
                  <a:pt x="4828032" y="2068068"/>
                </a:lnTo>
                <a:lnTo>
                  <a:pt x="4828032" y="1863852"/>
                </a:lnTo>
                <a:close/>
              </a:path>
              <a:path w="7315200" h="2275840">
                <a:moveTo>
                  <a:pt x="4828032" y="1656588"/>
                </a:moveTo>
                <a:lnTo>
                  <a:pt x="4002024" y="1656588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656588"/>
                </a:lnTo>
                <a:close/>
              </a:path>
              <a:path w="7315200" h="2275840">
                <a:moveTo>
                  <a:pt x="4828032" y="1450848"/>
                </a:moveTo>
                <a:lnTo>
                  <a:pt x="4002024" y="1450848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50848"/>
                </a:lnTo>
                <a:close/>
              </a:path>
              <a:path w="7315200" h="2275840">
                <a:moveTo>
                  <a:pt x="4828032" y="1243584"/>
                </a:moveTo>
                <a:lnTo>
                  <a:pt x="4002024" y="1243584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3584"/>
                </a:lnTo>
                <a:close/>
              </a:path>
              <a:path w="7315200" h="2275840">
                <a:moveTo>
                  <a:pt x="4828032" y="1034796"/>
                </a:moveTo>
                <a:lnTo>
                  <a:pt x="4002024" y="1034796"/>
                </a:lnTo>
                <a:lnTo>
                  <a:pt x="4002024" y="1240536"/>
                </a:lnTo>
                <a:lnTo>
                  <a:pt x="4828032" y="1240536"/>
                </a:lnTo>
                <a:lnTo>
                  <a:pt x="4828032" y="1034796"/>
                </a:lnTo>
                <a:close/>
              </a:path>
              <a:path w="7315200" h="227584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584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584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584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584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5840">
                <a:moveTo>
                  <a:pt x="5657088" y="1863852"/>
                </a:moveTo>
                <a:lnTo>
                  <a:pt x="4831080" y="1863852"/>
                </a:lnTo>
                <a:lnTo>
                  <a:pt x="4831080" y="2068068"/>
                </a:lnTo>
                <a:lnTo>
                  <a:pt x="5657088" y="2068068"/>
                </a:lnTo>
                <a:lnTo>
                  <a:pt x="5657088" y="1863852"/>
                </a:lnTo>
                <a:close/>
              </a:path>
              <a:path w="7315200" h="2275840">
                <a:moveTo>
                  <a:pt x="5657088" y="1656588"/>
                </a:moveTo>
                <a:lnTo>
                  <a:pt x="4831080" y="1656588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656588"/>
                </a:lnTo>
                <a:close/>
              </a:path>
              <a:path w="7315200" h="2275840">
                <a:moveTo>
                  <a:pt x="5657088" y="1450848"/>
                </a:moveTo>
                <a:lnTo>
                  <a:pt x="4831080" y="1450848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50848"/>
                </a:lnTo>
                <a:close/>
              </a:path>
              <a:path w="7315200" h="2275840">
                <a:moveTo>
                  <a:pt x="5657088" y="1243584"/>
                </a:moveTo>
                <a:lnTo>
                  <a:pt x="4831080" y="1243584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3584"/>
                </a:lnTo>
                <a:close/>
              </a:path>
              <a:path w="7315200" h="2275840">
                <a:moveTo>
                  <a:pt x="5657088" y="1034796"/>
                </a:moveTo>
                <a:lnTo>
                  <a:pt x="4831080" y="1034796"/>
                </a:lnTo>
                <a:lnTo>
                  <a:pt x="4831080" y="1240536"/>
                </a:lnTo>
                <a:lnTo>
                  <a:pt x="5657088" y="1240536"/>
                </a:lnTo>
                <a:lnTo>
                  <a:pt x="5657088" y="1034796"/>
                </a:lnTo>
                <a:close/>
              </a:path>
              <a:path w="7315200" h="227584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584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584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584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584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5840">
                <a:moveTo>
                  <a:pt x="6486144" y="1863852"/>
                </a:moveTo>
                <a:lnTo>
                  <a:pt x="5660136" y="1863852"/>
                </a:lnTo>
                <a:lnTo>
                  <a:pt x="5660136" y="2068068"/>
                </a:lnTo>
                <a:lnTo>
                  <a:pt x="6486144" y="2068068"/>
                </a:lnTo>
                <a:lnTo>
                  <a:pt x="6486144" y="1863852"/>
                </a:lnTo>
                <a:close/>
              </a:path>
              <a:path w="7315200" h="2275840">
                <a:moveTo>
                  <a:pt x="6486144" y="1656588"/>
                </a:moveTo>
                <a:lnTo>
                  <a:pt x="5660136" y="1656588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656588"/>
                </a:lnTo>
                <a:close/>
              </a:path>
              <a:path w="7315200" h="2275840">
                <a:moveTo>
                  <a:pt x="6486144" y="1450848"/>
                </a:moveTo>
                <a:lnTo>
                  <a:pt x="5660136" y="1450848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50848"/>
                </a:lnTo>
                <a:close/>
              </a:path>
              <a:path w="7315200" h="2275840">
                <a:moveTo>
                  <a:pt x="6486144" y="1243584"/>
                </a:moveTo>
                <a:lnTo>
                  <a:pt x="5660136" y="1243584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3584"/>
                </a:lnTo>
                <a:close/>
              </a:path>
              <a:path w="7315200" h="2275840">
                <a:moveTo>
                  <a:pt x="6486144" y="1034796"/>
                </a:moveTo>
                <a:lnTo>
                  <a:pt x="5660136" y="1034796"/>
                </a:lnTo>
                <a:lnTo>
                  <a:pt x="5660136" y="1240536"/>
                </a:lnTo>
                <a:lnTo>
                  <a:pt x="6486144" y="1240536"/>
                </a:lnTo>
                <a:lnTo>
                  <a:pt x="6486144" y="1034796"/>
                </a:lnTo>
                <a:close/>
              </a:path>
              <a:path w="7315200" h="227584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584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584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584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584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5840">
                <a:moveTo>
                  <a:pt x="7315200" y="1863852"/>
                </a:moveTo>
                <a:lnTo>
                  <a:pt x="6489192" y="1863852"/>
                </a:lnTo>
                <a:lnTo>
                  <a:pt x="6489192" y="2068068"/>
                </a:lnTo>
                <a:lnTo>
                  <a:pt x="7315200" y="2068068"/>
                </a:lnTo>
                <a:lnTo>
                  <a:pt x="7315200" y="1863852"/>
                </a:lnTo>
                <a:close/>
              </a:path>
              <a:path w="7315200" h="2275840">
                <a:moveTo>
                  <a:pt x="7315200" y="1656588"/>
                </a:moveTo>
                <a:lnTo>
                  <a:pt x="6489192" y="1656588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656588"/>
                </a:lnTo>
                <a:close/>
              </a:path>
              <a:path w="7315200" h="2275840">
                <a:moveTo>
                  <a:pt x="7315200" y="1450848"/>
                </a:moveTo>
                <a:lnTo>
                  <a:pt x="6489192" y="1450848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50848"/>
                </a:lnTo>
                <a:close/>
              </a:path>
              <a:path w="7315200" h="2275840">
                <a:moveTo>
                  <a:pt x="7315200" y="1243584"/>
                </a:moveTo>
                <a:lnTo>
                  <a:pt x="6489192" y="1243584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3584"/>
                </a:lnTo>
                <a:close/>
              </a:path>
              <a:path w="7315200" h="2275840">
                <a:moveTo>
                  <a:pt x="7315200" y="1034796"/>
                </a:moveTo>
                <a:lnTo>
                  <a:pt x="6489192" y="1034796"/>
                </a:lnTo>
                <a:lnTo>
                  <a:pt x="6489192" y="1240536"/>
                </a:lnTo>
                <a:lnTo>
                  <a:pt x="7315200" y="1240536"/>
                </a:lnTo>
                <a:lnTo>
                  <a:pt x="7315200" y="1034796"/>
                </a:lnTo>
                <a:close/>
              </a:path>
              <a:path w="7315200" h="227584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584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584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584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584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/>
        </xdr:nvSpPr>
        <xdr:spPr>
          <a:xfrm>
            <a:off x="0" y="1863851"/>
            <a:ext cx="7315200" cy="2161540"/>
          </a:xfrm>
          <a:custGeom>
            <a:avLst/>
            <a:gdLst/>
            <a:ahLst/>
            <a:cxnLst/>
            <a:rect l="0" t="0" r="0" b="0"/>
            <a:pathLst>
              <a:path w="7315200" h="2161540">
                <a:moveTo>
                  <a:pt x="339852" y="1862328"/>
                </a:moveTo>
                <a:lnTo>
                  <a:pt x="0" y="1862328"/>
                </a:lnTo>
                <a:lnTo>
                  <a:pt x="0" y="2161032"/>
                </a:lnTo>
                <a:lnTo>
                  <a:pt x="339852" y="2161032"/>
                </a:lnTo>
                <a:lnTo>
                  <a:pt x="339852" y="1862328"/>
                </a:lnTo>
                <a:close/>
              </a:path>
              <a:path w="7315200" h="2161540">
                <a:moveTo>
                  <a:pt x="339852" y="1449324"/>
                </a:moveTo>
                <a:lnTo>
                  <a:pt x="0" y="1449324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1449324"/>
                </a:lnTo>
                <a:close/>
              </a:path>
              <a:path w="7315200" h="2161540">
                <a:moveTo>
                  <a:pt x="339852" y="829056"/>
                </a:moveTo>
                <a:lnTo>
                  <a:pt x="0" y="829056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829056"/>
                </a:lnTo>
                <a:close/>
              </a:path>
              <a:path w="7315200" h="2161540">
                <a:moveTo>
                  <a:pt x="339852" y="0"/>
                </a:moveTo>
                <a:lnTo>
                  <a:pt x="0" y="0"/>
                </a:lnTo>
                <a:lnTo>
                  <a:pt x="0" y="826008"/>
                </a:lnTo>
                <a:lnTo>
                  <a:pt x="339852" y="826008"/>
                </a:lnTo>
                <a:lnTo>
                  <a:pt x="339852" y="0"/>
                </a:lnTo>
                <a:close/>
              </a:path>
              <a:path w="7315200" h="2161540">
                <a:moveTo>
                  <a:pt x="1376172" y="1862328"/>
                </a:moveTo>
                <a:lnTo>
                  <a:pt x="342900" y="1862328"/>
                </a:lnTo>
                <a:lnTo>
                  <a:pt x="342900" y="2161032"/>
                </a:lnTo>
                <a:lnTo>
                  <a:pt x="1376172" y="2161032"/>
                </a:lnTo>
                <a:lnTo>
                  <a:pt x="1376172" y="1862328"/>
                </a:lnTo>
                <a:close/>
              </a:path>
              <a:path w="7315200" h="2161540">
                <a:moveTo>
                  <a:pt x="1376172" y="1449324"/>
                </a:moveTo>
                <a:lnTo>
                  <a:pt x="342900" y="1449324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1449324"/>
                </a:lnTo>
                <a:close/>
              </a:path>
              <a:path w="7315200" h="2161540">
                <a:moveTo>
                  <a:pt x="1376172" y="829056"/>
                </a:moveTo>
                <a:lnTo>
                  <a:pt x="342900" y="829056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829056"/>
                </a:lnTo>
                <a:close/>
              </a:path>
              <a:path w="7315200" h="2161540">
                <a:moveTo>
                  <a:pt x="1376172" y="0"/>
                </a:moveTo>
                <a:lnTo>
                  <a:pt x="342900" y="0"/>
                </a:lnTo>
                <a:lnTo>
                  <a:pt x="342900" y="826008"/>
                </a:lnTo>
                <a:lnTo>
                  <a:pt x="1376172" y="826008"/>
                </a:lnTo>
                <a:lnTo>
                  <a:pt x="1376172" y="0"/>
                </a:lnTo>
                <a:close/>
              </a:path>
              <a:path w="7315200" h="2161540">
                <a:moveTo>
                  <a:pt x="2753868" y="1862328"/>
                </a:moveTo>
                <a:lnTo>
                  <a:pt x="1379220" y="1862328"/>
                </a:lnTo>
                <a:lnTo>
                  <a:pt x="1379220" y="2161032"/>
                </a:lnTo>
                <a:lnTo>
                  <a:pt x="2753868" y="2161032"/>
                </a:lnTo>
                <a:lnTo>
                  <a:pt x="2753868" y="1862328"/>
                </a:lnTo>
                <a:close/>
              </a:path>
              <a:path w="7315200" h="2161540">
                <a:moveTo>
                  <a:pt x="2753868" y="1449324"/>
                </a:moveTo>
                <a:lnTo>
                  <a:pt x="1379220" y="1449324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1449324"/>
                </a:lnTo>
                <a:close/>
              </a:path>
              <a:path w="7315200" h="2161540">
                <a:moveTo>
                  <a:pt x="2753868" y="829056"/>
                </a:moveTo>
                <a:lnTo>
                  <a:pt x="1379220" y="829056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829056"/>
                </a:lnTo>
                <a:close/>
              </a:path>
              <a:path w="7315200" h="2161540">
                <a:moveTo>
                  <a:pt x="2753868" y="0"/>
                </a:moveTo>
                <a:lnTo>
                  <a:pt x="1379220" y="0"/>
                </a:lnTo>
                <a:lnTo>
                  <a:pt x="1379220" y="826008"/>
                </a:lnTo>
                <a:lnTo>
                  <a:pt x="2753868" y="826008"/>
                </a:lnTo>
                <a:lnTo>
                  <a:pt x="2753868" y="0"/>
                </a:lnTo>
                <a:close/>
              </a:path>
              <a:path w="7315200" h="2161540">
                <a:moveTo>
                  <a:pt x="3304032" y="1862328"/>
                </a:moveTo>
                <a:lnTo>
                  <a:pt x="2756916" y="1862328"/>
                </a:lnTo>
                <a:lnTo>
                  <a:pt x="2756916" y="2161032"/>
                </a:lnTo>
                <a:lnTo>
                  <a:pt x="3304032" y="2161032"/>
                </a:lnTo>
                <a:lnTo>
                  <a:pt x="3304032" y="1862328"/>
                </a:lnTo>
                <a:close/>
              </a:path>
              <a:path w="7315200" h="2161540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216154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16154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16154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161540">
                <a:moveTo>
                  <a:pt x="3304032" y="829056"/>
                </a:moveTo>
                <a:lnTo>
                  <a:pt x="2756916" y="829056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9056"/>
                </a:lnTo>
                <a:close/>
              </a:path>
              <a:path w="7315200" h="2161540">
                <a:moveTo>
                  <a:pt x="3304032" y="621792"/>
                </a:moveTo>
                <a:lnTo>
                  <a:pt x="2756916" y="621792"/>
                </a:lnTo>
                <a:lnTo>
                  <a:pt x="2756916" y="826008"/>
                </a:lnTo>
                <a:lnTo>
                  <a:pt x="3304032" y="826008"/>
                </a:lnTo>
                <a:lnTo>
                  <a:pt x="3304032" y="621792"/>
                </a:lnTo>
                <a:close/>
              </a:path>
              <a:path w="7315200" h="2161540">
                <a:moveTo>
                  <a:pt x="3304032" y="414528"/>
                </a:moveTo>
                <a:lnTo>
                  <a:pt x="2756916" y="414528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4528"/>
                </a:lnTo>
                <a:close/>
              </a:path>
              <a:path w="7315200" h="2161540">
                <a:moveTo>
                  <a:pt x="3998976" y="1862328"/>
                </a:moveTo>
                <a:lnTo>
                  <a:pt x="3307080" y="1862328"/>
                </a:lnTo>
                <a:lnTo>
                  <a:pt x="3307080" y="2161032"/>
                </a:lnTo>
                <a:lnTo>
                  <a:pt x="3998976" y="2161032"/>
                </a:lnTo>
                <a:lnTo>
                  <a:pt x="3998976" y="1862328"/>
                </a:lnTo>
                <a:close/>
              </a:path>
              <a:path w="7315200" h="2161540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216154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16154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16154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161540">
                <a:moveTo>
                  <a:pt x="3998976" y="829056"/>
                </a:moveTo>
                <a:lnTo>
                  <a:pt x="3307080" y="829056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9056"/>
                </a:lnTo>
                <a:close/>
              </a:path>
              <a:path w="7315200" h="2161540">
                <a:moveTo>
                  <a:pt x="3998976" y="621792"/>
                </a:moveTo>
                <a:lnTo>
                  <a:pt x="3307080" y="621792"/>
                </a:lnTo>
                <a:lnTo>
                  <a:pt x="3307080" y="826008"/>
                </a:lnTo>
                <a:lnTo>
                  <a:pt x="3998976" y="826008"/>
                </a:lnTo>
                <a:lnTo>
                  <a:pt x="3998976" y="621792"/>
                </a:lnTo>
                <a:close/>
              </a:path>
              <a:path w="7315200" h="2161540">
                <a:moveTo>
                  <a:pt x="3998976" y="414528"/>
                </a:moveTo>
                <a:lnTo>
                  <a:pt x="3307080" y="414528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4528"/>
                </a:lnTo>
                <a:close/>
              </a:path>
              <a:path w="7315200" h="216154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161540">
                <a:moveTo>
                  <a:pt x="4828032" y="1862328"/>
                </a:moveTo>
                <a:lnTo>
                  <a:pt x="4002024" y="1862328"/>
                </a:lnTo>
                <a:lnTo>
                  <a:pt x="4002024" y="2161032"/>
                </a:lnTo>
                <a:lnTo>
                  <a:pt x="4828032" y="2161032"/>
                </a:lnTo>
                <a:lnTo>
                  <a:pt x="4828032" y="1862328"/>
                </a:lnTo>
                <a:close/>
              </a:path>
              <a:path w="7315200" h="2161540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216154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16154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16154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161540">
                <a:moveTo>
                  <a:pt x="4828032" y="829056"/>
                </a:moveTo>
                <a:lnTo>
                  <a:pt x="4002024" y="829056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9056"/>
                </a:lnTo>
                <a:close/>
              </a:path>
              <a:path w="7315200" h="2161540">
                <a:moveTo>
                  <a:pt x="4828032" y="621792"/>
                </a:moveTo>
                <a:lnTo>
                  <a:pt x="4002024" y="621792"/>
                </a:lnTo>
                <a:lnTo>
                  <a:pt x="4002024" y="826008"/>
                </a:lnTo>
                <a:lnTo>
                  <a:pt x="4828032" y="826008"/>
                </a:lnTo>
                <a:lnTo>
                  <a:pt x="4828032" y="621792"/>
                </a:lnTo>
                <a:close/>
              </a:path>
              <a:path w="7315200" h="2161540">
                <a:moveTo>
                  <a:pt x="4828032" y="414528"/>
                </a:moveTo>
                <a:lnTo>
                  <a:pt x="4002024" y="414528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4528"/>
                </a:lnTo>
                <a:close/>
              </a:path>
              <a:path w="7315200" h="216154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161540">
                <a:moveTo>
                  <a:pt x="5657088" y="1862328"/>
                </a:moveTo>
                <a:lnTo>
                  <a:pt x="4831080" y="1862328"/>
                </a:lnTo>
                <a:lnTo>
                  <a:pt x="4831080" y="2161032"/>
                </a:lnTo>
                <a:lnTo>
                  <a:pt x="5657088" y="2161032"/>
                </a:lnTo>
                <a:lnTo>
                  <a:pt x="5657088" y="1862328"/>
                </a:lnTo>
                <a:close/>
              </a:path>
              <a:path w="7315200" h="2161540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216154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16154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16154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161540">
                <a:moveTo>
                  <a:pt x="5657088" y="829056"/>
                </a:moveTo>
                <a:lnTo>
                  <a:pt x="4831080" y="829056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9056"/>
                </a:lnTo>
                <a:close/>
              </a:path>
              <a:path w="7315200" h="2161540">
                <a:moveTo>
                  <a:pt x="5657088" y="621792"/>
                </a:moveTo>
                <a:lnTo>
                  <a:pt x="4831080" y="621792"/>
                </a:lnTo>
                <a:lnTo>
                  <a:pt x="4831080" y="826008"/>
                </a:lnTo>
                <a:lnTo>
                  <a:pt x="5657088" y="826008"/>
                </a:lnTo>
                <a:lnTo>
                  <a:pt x="5657088" y="621792"/>
                </a:lnTo>
                <a:close/>
              </a:path>
              <a:path w="7315200" h="2161540">
                <a:moveTo>
                  <a:pt x="5657088" y="414528"/>
                </a:moveTo>
                <a:lnTo>
                  <a:pt x="4831080" y="414528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4528"/>
                </a:lnTo>
                <a:close/>
              </a:path>
              <a:path w="7315200" h="216154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161540">
                <a:moveTo>
                  <a:pt x="6486144" y="1862328"/>
                </a:moveTo>
                <a:lnTo>
                  <a:pt x="5660136" y="1862328"/>
                </a:lnTo>
                <a:lnTo>
                  <a:pt x="5660136" y="2161032"/>
                </a:lnTo>
                <a:lnTo>
                  <a:pt x="6486144" y="2161032"/>
                </a:lnTo>
                <a:lnTo>
                  <a:pt x="6486144" y="1862328"/>
                </a:lnTo>
                <a:close/>
              </a:path>
              <a:path w="7315200" h="2161540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216154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16154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16154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161540">
                <a:moveTo>
                  <a:pt x="6486144" y="829056"/>
                </a:moveTo>
                <a:lnTo>
                  <a:pt x="5660136" y="829056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9056"/>
                </a:lnTo>
                <a:close/>
              </a:path>
              <a:path w="7315200" h="2161540">
                <a:moveTo>
                  <a:pt x="6486144" y="621792"/>
                </a:moveTo>
                <a:lnTo>
                  <a:pt x="5660136" y="621792"/>
                </a:lnTo>
                <a:lnTo>
                  <a:pt x="5660136" y="826008"/>
                </a:lnTo>
                <a:lnTo>
                  <a:pt x="6486144" y="826008"/>
                </a:lnTo>
                <a:lnTo>
                  <a:pt x="6486144" y="621792"/>
                </a:lnTo>
                <a:close/>
              </a:path>
              <a:path w="7315200" h="2161540">
                <a:moveTo>
                  <a:pt x="6486144" y="414528"/>
                </a:moveTo>
                <a:lnTo>
                  <a:pt x="5660136" y="414528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4528"/>
                </a:lnTo>
                <a:close/>
              </a:path>
              <a:path w="7315200" h="216154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161540">
                <a:moveTo>
                  <a:pt x="7315200" y="1862328"/>
                </a:moveTo>
                <a:lnTo>
                  <a:pt x="6489192" y="1862328"/>
                </a:lnTo>
                <a:lnTo>
                  <a:pt x="6489192" y="2161032"/>
                </a:lnTo>
                <a:lnTo>
                  <a:pt x="7315200" y="2161032"/>
                </a:lnTo>
                <a:lnTo>
                  <a:pt x="7315200" y="1862328"/>
                </a:lnTo>
                <a:close/>
              </a:path>
              <a:path w="7315200" h="2161540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216154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16154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16154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161540">
                <a:moveTo>
                  <a:pt x="7315200" y="829056"/>
                </a:moveTo>
                <a:lnTo>
                  <a:pt x="6489192" y="829056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9056"/>
                </a:lnTo>
                <a:close/>
              </a:path>
              <a:path w="7315200" h="2161540">
                <a:moveTo>
                  <a:pt x="7315200" y="621792"/>
                </a:moveTo>
                <a:lnTo>
                  <a:pt x="6489192" y="621792"/>
                </a:lnTo>
                <a:lnTo>
                  <a:pt x="6489192" y="826008"/>
                </a:lnTo>
                <a:lnTo>
                  <a:pt x="7315200" y="826008"/>
                </a:lnTo>
                <a:lnTo>
                  <a:pt x="7315200" y="621792"/>
                </a:lnTo>
                <a:close/>
              </a:path>
              <a:path w="7315200" h="2161540">
                <a:moveTo>
                  <a:pt x="7315200" y="414528"/>
                </a:moveTo>
                <a:lnTo>
                  <a:pt x="6489192" y="414528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4528"/>
                </a:lnTo>
                <a:close/>
              </a:path>
              <a:path w="7315200" h="216154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25</xdr:row>
      <xdr:rowOff>0</xdr:rowOff>
    </xdr:from>
    <xdr:ext cx="702945" cy="402526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0" y="0"/>
          <a:ext cx="702945" cy="4025265"/>
        </a:xfrm>
        <a:custGeom>
          <a:avLst/>
          <a:gdLst/>
          <a:ahLst/>
          <a:cxnLst/>
          <a:rect l="0" t="0" r="0" b="0"/>
          <a:pathLst>
            <a:path w="702945" h="4025265">
              <a:moveTo>
                <a:pt x="702564" y="3726180"/>
              </a:moveTo>
              <a:lnTo>
                <a:pt x="0" y="3726180"/>
              </a:lnTo>
              <a:lnTo>
                <a:pt x="0" y="4024884"/>
              </a:lnTo>
              <a:lnTo>
                <a:pt x="702564" y="4024884"/>
              </a:lnTo>
              <a:lnTo>
                <a:pt x="702564" y="3726180"/>
              </a:lnTo>
              <a:close/>
            </a:path>
            <a:path w="702945" h="4025265">
              <a:moveTo>
                <a:pt x="702564" y="3518916"/>
              </a:moveTo>
              <a:lnTo>
                <a:pt x="0" y="3518916"/>
              </a:lnTo>
              <a:lnTo>
                <a:pt x="0" y="3723132"/>
              </a:lnTo>
              <a:lnTo>
                <a:pt x="702564" y="3723132"/>
              </a:lnTo>
              <a:lnTo>
                <a:pt x="702564" y="3518916"/>
              </a:lnTo>
              <a:close/>
            </a:path>
            <a:path w="702945" h="4025265">
              <a:moveTo>
                <a:pt x="702564" y="3313176"/>
              </a:moveTo>
              <a:lnTo>
                <a:pt x="0" y="3313176"/>
              </a:lnTo>
              <a:lnTo>
                <a:pt x="0" y="3517392"/>
              </a:lnTo>
              <a:lnTo>
                <a:pt x="702564" y="3517392"/>
              </a:lnTo>
              <a:lnTo>
                <a:pt x="702564" y="3313176"/>
              </a:lnTo>
              <a:close/>
            </a:path>
            <a:path w="702945" h="4025265">
              <a:moveTo>
                <a:pt x="702564" y="3105912"/>
              </a:moveTo>
              <a:lnTo>
                <a:pt x="0" y="3105912"/>
              </a:lnTo>
              <a:lnTo>
                <a:pt x="0" y="3310128"/>
              </a:lnTo>
              <a:lnTo>
                <a:pt x="702564" y="3310128"/>
              </a:lnTo>
              <a:lnTo>
                <a:pt x="702564" y="3105912"/>
              </a:lnTo>
              <a:close/>
            </a:path>
            <a:path w="702945" h="4025265">
              <a:moveTo>
                <a:pt x="702564" y="2898648"/>
              </a:moveTo>
              <a:lnTo>
                <a:pt x="0" y="2898648"/>
              </a:lnTo>
              <a:lnTo>
                <a:pt x="0" y="3102864"/>
              </a:lnTo>
              <a:lnTo>
                <a:pt x="702564" y="3102864"/>
              </a:lnTo>
              <a:lnTo>
                <a:pt x="702564" y="2898648"/>
              </a:lnTo>
              <a:close/>
            </a:path>
            <a:path w="702945" h="4025265">
              <a:moveTo>
                <a:pt x="702564" y="2692908"/>
              </a:moveTo>
              <a:lnTo>
                <a:pt x="0" y="2692908"/>
              </a:lnTo>
              <a:lnTo>
                <a:pt x="0" y="2895600"/>
              </a:lnTo>
              <a:lnTo>
                <a:pt x="702564" y="2895600"/>
              </a:lnTo>
              <a:lnTo>
                <a:pt x="702564" y="2692908"/>
              </a:lnTo>
              <a:close/>
            </a:path>
            <a:path w="702945" h="4025265">
              <a:moveTo>
                <a:pt x="702564" y="2485644"/>
              </a:moveTo>
              <a:lnTo>
                <a:pt x="0" y="2485644"/>
              </a:lnTo>
              <a:lnTo>
                <a:pt x="0" y="2689860"/>
              </a:lnTo>
              <a:lnTo>
                <a:pt x="702564" y="2689860"/>
              </a:lnTo>
              <a:lnTo>
                <a:pt x="702564" y="2485644"/>
              </a:lnTo>
              <a:close/>
            </a:path>
            <a:path w="702945" h="4025265">
              <a:moveTo>
                <a:pt x="702564" y="2278380"/>
              </a:moveTo>
              <a:lnTo>
                <a:pt x="0" y="2278380"/>
              </a:lnTo>
              <a:lnTo>
                <a:pt x="0" y="2482596"/>
              </a:lnTo>
              <a:lnTo>
                <a:pt x="702564" y="2482596"/>
              </a:lnTo>
              <a:lnTo>
                <a:pt x="702564" y="2278380"/>
              </a:lnTo>
              <a:close/>
            </a:path>
            <a:path w="702945" h="4025265">
              <a:moveTo>
                <a:pt x="702564" y="2071116"/>
              </a:moveTo>
              <a:lnTo>
                <a:pt x="0" y="2071116"/>
              </a:lnTo>
              <a:lnTo>
                <a:pt x="0" y="2275332"/>
              </a:lnTo>
              <a:lnTo>
                <a:pt x="702564" y="2275332"/>
              </a:lnTo>
              <a:lnTo>
                <a:pt x="702564" y="2071116"/>
              </a:lnTo>
              <a:close/>
            </a:path>
            <a:path w="702945" h="4025265">
              <a:moveTo>
                <a:pt x="702564" y="1863852"/>
              </a:moveTo>
              <a:lnTo>
                <a:pt x="0" y="1863852"/>
              </a:lnTo>
              <a:lnTo>
                <a:pt x="0" y="2068068"/>
              </a:lnTo>
              <a:lnTo>
                <a:pt x="702564" y="2068068"/>
              </a:lnTo>
              <a:lnTo>
                <a:pt x="702564" y="1863852"/>
              </a:lnTo>
              <a:close/>
            </a:path>
            <a:path w="702945" h="4025265">
              <a:moveTo>
                <a:pt x="702564" y="1656588"/>
              </a:moveTo>
              <a:lnTo>
                <a:pt x="0" y="1656588"/>
              </a:lnTo>
              <a:lnTo>
                <a:pt x="0" y="1860804"/>
              </a:lnTo>
              <a:lnTo>
                <a:pt x="702564" y="1860804"/>
              </a:lnTo>
              <a:lnTo>
                <a:pt x="702564" y="1656588"/>
              </a:lnTo>
              <a:close/>
            </a:path>
            <a:path w="702945" h="4025265">
              <a:moveTo>
                <a:pt x="702564" y="1450848"/>
              </a:moveTo>
              <a:lnTo>
                <a:pt x="0" y="1450848"/>
              </a:lnTo>
              <a:lnTo>
                <a:pt x="0" y="1653540"/>
              </a:lnTo>
              <a:lnTo>
                <a:pt x="702564" y="1653540"/>
              </a:lnTo>
              <a:lnTo>
                <a:pt x="702564" y="1450848"/>
              </a:lnTo>
              <a:close/>
            </a:path>
            <a:path w="702945" h="4025265">
              <a:moveTo>
                <a:pt x="702564" y="1243584"/>
              </a:moveTo>
              <a:lnTo>
                <a:pt x="0" y="1243584"/>
              </a:lnTo>
              <a:lnTo>
                <a:pt x="0" y="1447800"/>
              </a:lnTo>
              <a:lnTo>
                <a:pt x="702564" y="1447800"/>
              </a:lnTo>
              <a:lnTo>
                <a:pt x="702564" y="1243584"/>
              </a:lnTo>
              <a:close/>
            </a:path>
            <a:path w="702945" h="4025265">
              <a:moveTo>
                <a:pt x="702564" y="1034796"/>
              </a:moveTo>
              <a:lnTo>
                <a:pt x="0" y="1034796"/>
              </a:lnTo>
              <a:lnTo>
                <a:pt x="0" y="1240536"/>
              </a:lnTo>
              <a:lnTo>
                <a:pt x="702564" y="1240536"/>
              </a:lnTo>
              <a:lnTo>
                <a:pt x="702564" y="1034796"/>
              </a:lnTo>
              <a:close/>
            </a:path>
            <a:path w="702945" h="402526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02526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02526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02526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02526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19</xdr:row>
      <xdr:rowOff>0</xdr:rowOff>
    </xdr:from>
    <xdr:ext cx="3313429" cy="37528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50" name="image1.jpe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51" name="image2.jpe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52" name="image3.jpe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53" name="image4.jpe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20</xdr:row>
      <xdr:rowOff>0</xdr:rowOff>
    </xdr:from>
    <xdr:ext cx="7315200" cy="3726179"/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pSpPr/>
      </xdr:nvGrpSpPr>
      <xdr:grpSpPr>
        <a:xfrm>
          <a:off x="610234" y="5577840"/>
          <a:ext cx="7315200" cy="3726179"/>
          <a:chOff x="0" y="0"/>
          <a:chExt cx="7315200" cy="3726179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SpPr/>
        </xdr:nvSpPr>
        <xdr:spPr>
          <a:xfrm>
            <a:off x="0" y="0"/>
            <a:ext cx="7315200" cy="2689860"/>
          </a:xfrm>
          <a:custGeom>
            <a:avLst/>
            <a:gdLst/>
            <a:ahLst/>
            <a:cxnLst/>
            <a:rect l="0" t="0" r="0" b="0"/>
            <a:pathLst>
              <a:path w="7315200" h="2689860">
                <a:moveTo>
                  <a:pt x="339852" y="830580"/>
                </a:moveTo>
                <a:lnTo>
                  <a:pt x="0" y="830580"/>
                </a:lnTo>
                <a:lnTo>
                  <a:pt x="0" y="1862328"/>
                </a:lnTo>
                <a:lnTo>
                  <a:pt x="339852" y="1862328"/>
                </a:lnTo>
                <a:lnTo>
                  <a:pt x="339852" y="830580"/>
                </a:lnTo>
                <a:close/>
              </a:path>
              <a:path w="7315200" h="2689860">
                <a:moveTo>
                  <a:pt x="339852" y="414528"/>
                </a:moveTo>
                <a:lnTo>
                  <a:pt x="0" y="414528"/>
                </a:lnTo>
                <a:lnTo>
                  <a:pt x="0" y="827532"/>
                </a:lnTo>
                <a:lnTo>
                  <a:pt x="339852" y="827532"/>
                </a:lnTo>
                <a:lnTo>
                  <a:pt x="339852" y="414528"/>
                </a:lnTo>
                <a:close/>
              </a:path>
              <a:path w="7315200" h="2689860">
                <a:moveTo>
                  <a:pt x="339852" y="0"/>
                </a:moveTo>
                <a:lnTo>
                  <a:pt x="0" y="0"/>
                </a:lnTo>
                <a:lnTo>
                  <a:pt x="0" y="411480"/>
                </a:lnTo>
                <a:lnTo>
                  <a:pt x="339852" y="411480"/>
                </a:lnTo>
                <a:lnTo>
                  <a:pt x="339852" y="0"/>
                </a:lnTo>
                <a:close/>
              </a:path>
              <a:path w="7315200" h="2689860">
                <a:moveTo>
                  <a:pt x="1376172" y="830580"/>
                </a:moveTo>
                <a:lnTo>
                  <a:pt x="342900" y="830580"/>
                </a:lnTo>
                <a:lnTo>
                  <a:pt x="342900" y="1862328"/>
                </a:lnTo>
                <a:lnTo>
                  <a:pt x="1376172" y="1862328"/>
                </a:lnTo>
                <a:lnTo>
                  <a:pt x="1376172" y="830580"/>
                </a:lnTo>
                <a:close/>
              </a:path>
              <a:path w="7315200" h="2689860">
                <a:moveTo>
                  <a:pt x="1376172" y="414528"/>
                </a:moveTo>
                <a:lnTo>
                  <a:pt x="342900" y="414528"/>
                </a:lnTo>
                <a:lnTo>
                  <a:pt x="342900" y="827532"/>
                </a:lnTo>
                <a:lnTo>
                  <a:pt x="1376172" y="827532"/>
                </a:lnTo>
                <a:lnTo>
                  <a:pt x="1376172" y="414528"/>
                </a:lnTo>
                <a:close/>
              </a:path>
              <a:path w="7315200" h="2689860">
                <a:moveTo>
                  <a:pt x="1376172" y="0"/>
                </a:moveTo>
                <a:lnTo>
                  <a:pt x="342900" y="0"/>
                </a:lnTo>
                <a:lnTo>
                  <a:pt x="342900" y="411480"/>
                </a:lnTo>
                <a:lnTo>
                  <a:pt x="1376172" y="411480"/>
                </a:lnTo>
                <a:lnTo>
                  <a:pt x="1376172" y="0"/>
                </a:lnTo>
                <a:close/>
              </a:path>
              <a:path w="7315200" h="2689860">
                <a:moveTo>
                  <a:pt x="2753868" y="830580"/>
                </a:moveTo>
                <a:lnTo>
                  <a:pt x="1379220" y="830580"/>
                </a:lnTo>
                <a:lnTo>
                  <a:pt x="1379220" y="1862328"/>
                </a:lnTo>
                <a:lnTo>
                  <a:pt x="2753868" y="1862328"/>
                </a:lnTo>
                <a:lnTo>
                  <a:pt x="2753868" y="830580"/>
                </a:lnTo>
                <a:close/>
              </a:path>
              <a:path w="7315200" h="2689860">
                <a:moveTo>
                  <a:pt x="2753868" y="414528"/>
                </a:moveTo>
                <a:lnTo>
                  <a:pt x="1379220" y="414528"/>
                </a:lnTo>
                <a:lnTo>
                  <a:pt x="1379220" y="827532"/>
                </a:lnTo>
                <a:lnTo>
                  <a:pt x="2753868" y="827532"/>
                </a:lnTo>
                <a:lnTo>
                  <a:pt x="2753868" y="414528"/>
                </a:lnTo>
                <a:close/>
              </a:path>
              <a:path w="7315200" h="2689860">
                <a:moveTo>
                  <a:pt x="2753868" y="0"/>
                </a:moveTo>
                <a:lnTo>
                  <a:pt x="1379220" y="0"/>
                </a:lnTo>
                <a:lnTo>
                  <a:pt x="1379220" y="411480"/>
                </a:lnTo>
                <a:lnTo>
                  <a:pt x="2753868" y="411480"/>
                </a:lnTo>
                <a:lnTo>
                  <a:pt x="2753868" y="0"/>
                </a:lnTo>
                <a:close/>
              </a:path>
              <a:path w="7315200" h="2689860">
                <a:moveTo>
                  <a:pt x="3304032" y="2485644"/>
                </a:moveTo>
                <a:lnTo>
                  <a:pt x="2756916" y="2485644"/>
                </a:lnTo>
                <a:lnTo>
                  <a:pt x="2756916" y="2689860"/>
                </a:lnTo>
                <a:lnTo>
                  <a:pt x="3304032" y="2689860"/>
                </a:lnTo>
                <a:lnTo>
                  <a:pt x="3304032" y="2485644"/>
                </a:lnTo>
                <a:close/>
              </a:path>
              <a:path w="7315200" h="2689860">
                <a:moveTo>
                  <a:pt x="3304032" y="2278380"/>
                </a:moveTo>
                <a:lnTo>
                  <a:pt x="2756916" y="2278380"/>
                </a:lnTo>
                <a:lnTo>
                  <a:pt x="2756916" y="2482596"/>
                </a:lnTo>
                <a:lnTo>
                  <a:pt x="3304032" y="2482596"/>
                </a:lnTo>
                <a:lnTo>
                  <a:pt x="3304032" y="2278380"/>
                </a:lnTo>
                <a:close/>
              </a:path>
              <a:path w="7315200" h="2689860">
                <a:moveTo>
                  <a:pt x="3304032" y="2072640"/>
                </a:moveTo>
                <a:lnTo>
                  <a:pt x="2756916" y="2072640"/>
                </a:lnTo>
                <a:lnTo>
                  <a:pt x="2756916" y="2275332"/>
                </a:lnTo>
                <a:lnTo>
                  <a:pt x="3304032" y="2275332"/>
                </a:lnTo>
                <a:lnTo>
                  <a:pt x="3304032" y="2072640"/>
                </a:lnTo>
                <a:close/>
              </a:path>
              <a:path w="7315200" h="2689860">
                <a:moveTo>
                  <a:pt x="3304032" y="1865376"/>
                </a:moveTo>
                <a:lnTo>
                  <a:pt x="2756916" y="1865376"/>
                </a:lnTo>
                <a:lnTo>
                  <a:pt x="2756916" y="2069592"/>
                </a:lnTo>
                <a:lnTo>
                  <a:pt x="3304032" y="2069592"/>
                </a:lnTo>
                <a:lnTo>
                  <a:pt x="3304032" y="1865376"/>
                </a:lnTo>
                <a:close/>
              </a:path>
              <a:path w="7315200" h="2689860">
                <a:moveTo>
                  <a:pt x="3304032" y="1658112"/>
                </a:moveTo>
                <a:lnTo>
                  <a:pt x="2756916" y="1658112"/>
                </a:lnTo>
                <a:lnTo>
                  <a:pt x="2756916" y="1862328"/>
                </a:lnTo>
                <a:lnTo>
                  <a:pt x="3304032" y="1862328"/>
                </a:lnTo>
                <a:lnTo>
                  <a:pt x="3304032" y="1658112"/>
                </a:lnTo>
                <a:close/>
              </a:path>
              <a:path w="7315200" h="2689860">
                <a:moveTo>
                  <a:pt x="3304032" y="1450848"/>
                </a:moveTo>
                <a:lnTo>
                  <a:pt x="2756916" y="1450848"/>
                </a:lnTo>
                <a:lnTo>
                  <a:pt x="2756916" y="1655064"/>
                </a:lnTo>
                <a:lnTo>
                  <a:pt x="3304032" y="1655064"/>
                </a:lnTo>
                <a:lnTo>
                  <a:pt x="3304032" y="1450848"/>
                </a:lnTo>
                <a:close/>
              </a:path>
              <a:path w="7315200" h="2689860">
                <a:moveTo>
                  <a:pt x="3304032" y="1245108"/>
                </a:moveTo>
                <a:lnTo>
                  <a:pt x="2756916" y="1245108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5108"/>
                </a:lnTo>
                <a:close/>
              </a:path>
              <a:path w="7315200" h="2689860">
                <a:moveTo>
                  <a:pt x="3304032" y="1037844"/>
                </a:moveTo>
                <a:lnTo>
                  <a:pt x="2756916" y="1037844"/>
                </a:lnTo>
                <a:lnTo>
                  <a:pt x="2756916" y="1242060"/>
                </a:lnTo>
                <a:lnTo>
                  <a:pt x="3304032" y="1242060"/>
                </a:lnTo>
                <a:lnTo>
                  <a:pt x="3304032" y="1037844"/>
                </a:lnTo>
                <a:close/>
              </a:path>
              <a:path w="7315200" h="2689860">
                <a:moveTo>
                  <a:pt x="3304032" y="830580"/>
                </a:moveTo>
                <a:lnTo>
                  <a:pt x="2756916" y="830580"/>
                </a:lnTo>
                <a:lnTo>
                  <a:pt x="2756916" y="1034796"/>
                </a:lnTo>
                <a:lnTo>
                  <a:pt x="3304032" y="1034796"/>
                </a:lnTo>
                <a:lnTo>
                  <a:pt x="3304032" y="830580"/>
                </a:lnTo>
                <a:close/>
              </a:path>
              <a:path w="7315200" h="2689860">
                <a:moveTo>
                  <a:pt x="3304032" y="414528"/>
                </a:moveTo>
                <a:lnTo>
                  <a:pt x="2756916" y="414528"/>
                </a:lnTo>
                <a:lnTo>
                  <a:pt x="2756916" y="827532"/>
                </a:lnTo>
                <a:lnTo>
                  <a:pt x="3304032" y="827532"/>
                </a:lnTo>
                <a:lnTo>
                  <a:pt x="3304032" y="414528"/>
                </a:lnTo>
                <a:close/>
              </a:path>
              <a:path w="7315200" h="2689860">
                <a:moveTo>
                  <a:pt x="3304032" y="0"/>
                </a:moveTo>
                <a:lnTo>
                  <a:pt x="2756916" y="0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0"/>
                </a:lnTo>
                <a:close/>
              </a:path>
              <a:path w="7315200" h="2689860">
                <a:moveTo>
                  <a:pt x="3998976" y="2485644"/>
                </a:moveTo>
                <a:lnTo>
                  <a:pt x="3307080" y="2485644"/>
                </a:lnTo>
                <a:lnTo>
                  <a:pt x="3307080" y="2689860"/>
                </a:lnTo>
                <a:lnTo>
                  <a:pt x="3998976" y="2689860"/>
                </a:lnTo>
                <a:lnTo>
                  <a:pt x="3998976" y="2485644"/>
                </a:lnTo>
                <a:close/>
              </a:path>
              <a:path w="7315200" h="2689860">
                <a:moveTo>
                  <a:pt x="3998976" y="2278380"/>
                </a:moveTo>
                <a:lnTo>
                  <a:pt x="3307080" y="2278380"/>
                </a:lnTo>
                <a:lnTo>
                  <a:pt x="3307080" y="2482596"/>
                </a:lnTo>
                <a:lnTo>
                  <a:pt x="3998976" y="2482596"/>
                </a:lnTo>
                <a:lnTo>
                  <a:pt x="3998976" y="2278380"/>
                </a:lnTo>
                <a:close/>
              </a:path>
              <a:path w="7315200" h="2689860">
                <a:moveTo>
                  <a:pt x="3998976" y="2072640"/>
                </a:moveTo>
                <a:lnTo>
                  <a:pt x="3307080" y="2072640"/>
                </a:lnTo>
                <a:lnTo>
                  <a:pt x="3307080" y="2275332"/>
                </a:lnTo>
                <a:lnTo>
                  <a:pt x="3998976" y="2275332"/>
                </a:lnTo>
                <a:lnTo>
                  <a:pt x="3998976" y="2072640"/>
                </a:lnTo>
                <a:close/>
              </a:path>
              <a:path w="7315200" h="2689860">
                <a:moveTo>
                  <a:pt x="3998976" y="1865376"/>
                </a:moveTo>
                <a:lnTo>
                  <a:pt x="3307080" y="1865376"/>
                </a:lnTo>
                <a:lnTo>
                  <a:pt x="3307080" y="2069592"/>
                </a:lnTo>
                <a:lnTo>
                  <a:pt x="3998976" y="2069592"/>
                </a:lnTo>
                <a:lnTo>
                  <a:pt x="3998976" y="1865376"/>
                </a:lnTo>
                <a:close/>
              </a:path>
              <a:path w="7315200" h="2689860">
                <a:moveTo>
                  <a:pt x="3998976" y="1658112"/>
                </a:moveTo>
                <a:lnTo>
                  <a:pt x="3307080" y="1658112"/>
                </a:lnTo>
                <a:lnTo>
                  <a:pt x="3307080" y="1862328"/>
                </a:lnTo>
                <a:lnTo>
                  <a:pt x="3998976" y="1862328"/>
                </a:lnTo>
                <a:lnTo>
                  <a:pt x="3998976" y="1658112"/>
                </a:lnTo>
                <a:close/>
              </a:path>
              <a:path w="7315200" h="2689860">
                <a:moveTo>
                  <a:pt x="3998976" y="1450848"/>
                </a:moveTo>
                <a:lnTo>
                  <a:pt x="3307080" y="1450848"/>
                </a:lnTo>
                <a:lnTo>
                  <a:pt x="3307080" y="1655064"/>
                </a:lnTo>
                <a:lnTo>
                  <a:pt x="3998976" y="1655064"/>
                </a:lnTo>
                <a:lnTo>
                  <a:pt x="3998976" y="1450848"/>
                </a:lnTo>
                <a:close/>
              </a:path>
              <a:path w="7315200" h="2689860">
                <a:moveTo>
                  <a:pt x="3998976" y="1245108"/>
                </a:moveTo>
                <a:lnTo>
                  <a:pt x="3307080" y="1245108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5108"/>
                </a:lnTo>
                <a:close/>
              </a:path>
              <a:path w="7315200" h="2689860">
                <a:moveTo>
                  <a:pt x="3998976" y="1037844"/>
                </a:moveTo>
                <a:lnTo>
                  <a:pt x="3307080" y="1037844"/>
                </a:lnTo>
                <a:lnTo>
                  <a:pt x="3307080" y="1242060"/>
                </a:lnTo>
                <a:lnTo>
                  <a:pt x="3998976" y="1242060"/>
                </a:lnTo>
                <a:lnTo>
                  <a:pt x="3998976" y="1037844"/>
                </a:lnTo>
                <a:close/>
              </a:path>
              <a:path w="7315200" h="2689860">
                <a:moveTo>
                  <a:pt x="3998976" y="830580"/>
                </a:moveTo>
                <a:lnTo>
                  <a:pt x="3307080" y="830580"/>
                </a:lnTo>
                <a:lnTo>
                  <a:pt x="3307080" y="1034796"/>
                </a:lnTo>
                <a:lnTo>
                  <a:pt x="3998976" y="1034796"/>
                </a:lnTo>
                <a:lnTo>
                  <a:pt x="3998976" y="830580"/>
                </a:lnTo>
                <a:close/>
              </a:path>
              <a:path w="7315200" h="2689860">
                <a:moveTo>
                  <a:pt x="3998976" y="414528"/>
                </a:moveTo>
                <a:lnTo>
                  <a:pt x="3307080" y="414528"/>
                </a:lnTo>
                <a:lnTo>
                  <a:pt x="3307080" y="827532"/>
                </a:lnTo>
                <a:lnTo>
                  <a:pt x="3998976" y="827532"/>
                </a:lnTo>
                <a:lnTo>
                  <a:pt x="3998976" y="414528"/>
                </a:lnTo>
                <a:close/>
              </a:path>
              <a:path w="7315200" h="2689860">
                <a:moveTo>
                  <a:pt x="3998976" y="0"/>
                </a:moveTo>
                <a:lnTo>
                  <a:pt x="3307080" y="0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0"/>
                </a:lnTo>
                <a:close/>
              </a:path>
              <a:path w="7315200" h="2689860">
                <a:moveTo>
                  <a:pt x="4828032" y="2278380"/>
                </a:moveTo>
                <a:lnTo>
                  <a:pt x="4002024" y="2278380"/>
                </a:lnTo>
                <a:lnTo>
                  <a:pt x="4002024" y="2482596"/>
                </a:lnTo>
                <a:lnTo>
                  <a:pt x="4828032" y="2482596"/>
                </a:lnTo>
                <a:lnTo>
                  <a:pt x="4828032" y="2278380"/>
                </a:lnTo>
                <a:close/>
              </a:path>
              <a:path w="7315200" h="2689860">
                <a:moveTo>
                  <a:pt x="4828032" y="2072640"/>
                </a:moveTo>
                <a:lnTo>
                  <a:pt x="4002024" y="2072640"/>
                </a:lnTo>
                <a:lnTo>
                  <a:pt x="4002024" y="2275332"/>
                </a:lnTo>
                <a:lnTo>
                  <a:pt x="4828032" y="2275332"/>
                </a:lnTo>
                <a:lnTo>
                  <a:pt x="4828032" y="2072640"/>
                </a:lnTo>
                <a:close/>
              </a:path>
              <a:path w="7315200" h="2689860">
                <a:moveTo>
                  <a:pt x="4828032" y="1865376"/>
                </a:moveTo>
                <a:lnTo>
                  <a:pt x="4002024" y="1865376"/>
                </a:lnTo>
                <a:lnTo>
                  <a:pt x="4002024" y="2069592"/>
                </a:lnTo>
                <a:lnTo>
                  <a:pt x="4828032" y="2069592"/>
                </a:lnTo>
                <a:lnTo>
                  <a:pt x="4828032" y="1865376"/>
                </a:lnTo>
                <a:close/>
              </a:path>
              <a:path w="7315200" h="2689860">
                <a:moveTo>
                  <a:pt x="4828032" y="1658112"/>
                </a:moveTo>
                <a:lnTo>
                  <a:pt x="4002024" y="1658112"/>
                </a:lnTo>
                <a:lnTo>
                  <a:pt x="4002024" y="1862328"/>
                </a:lnTo>
                <a:lnTo>
                  <a:pt x="4828032" y="1862328"/>
                </a:lnTo>
                <a:lnTo>
                  <a:pt x="4828032" y="1658112"/>
                </a:lnTo>
                <a:close/>
              </a:path>
              <a:path w="7315200" h="2689860">
                <a:moveTo>
                  <a:pt x="4828032" y="1450848"/>
                </a:moveTo>
                <a:lnTo>
                  <a:pt x="4002024" y="1450848"/>
                </a:lnTo>
                <a:lnTo>
                  <a:pt x="4002024" y="1655064"/>
                </a:lnTo>
                <a:lnTo>
                  <a:pt x="4828032" y="1655064"/>
                </a:lnTo>
                <a:lnTo>
                  <a:pt x="4828032" y="1450848"/>
                </a:lnTo>
                <a:close/>
              </a:path>
              <a:path w="7315200" h="2689860">
                <a:moveTo>
                  <a:pt x="4828032" y="1245108"/>
                </a:moveTo>
                <a:lnTo>
                  <a:pt x="4002024" y="1245108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5108"/>
                </a:lnTo>
                <a:close/>
              </a:path>
              <a:path w="7315200" h="2689860">
                <a:moveTo>
                  <a:pt x="4828032" y="1037844"/>
                </a:moveTo>
                <a:lnTo>
                  <a:pt x="4002024" y="1037844"/>
                </a:lnTo>
                <a:lnTo>
                  <a:pt x="4002024" y="1242060"/>
                </a:lnTo>
                <a:lnTo>
                  <a:pt x="4828032" y="1242060"/>
                </a:lnTo>
                <a:lnTo>
                  <a:pt x="4828032" y="1037844"/>
                </a:lnTo>
                <a:close/>
              </a:path>
              <a:path w="7315200" h="2689860">
                <a:moveTo>
                  <a:pt x="4828032" y="830580"/>
                </a:moveTo>
                <a:lnTo>
                  <a:pt x="4002024" y="830580"/>
                </a:lnTo>
                <a:lnTo>
                  <a:pt x="4002024" y="1034796"/>
                </a:lnTo>
                <a:lnTo>
                  <a:pt x="4828032" y="1034796"/>
                </a:lnTo>
                <a:lnTo>
                  <a:pt x="4828032" y="830580"/>
                </a:lnTo>
                <a:close/>
              </a:path>
              <a:path w="7315200" h="2689860">
                <a:moveTo>
                  <a:pt x="4828032" y="414528"/>
                </a:moveTo>
                <a:lnTo>
                  <a:pt x="4002024" y="414528"/>
                </a:lnTo>
                <a:lnTo>
                  <a:pt x="4002024" y="827532"/>
                </a:lnTo>
                <a:lnTo>
                  <a:pt x="4828032" y="827532"/>
                </a:lnTo>
                <a:lnTo>
                  <a:pt x="4828032" y="414528"/>
                </a:lnTo>
                <a:close/>
              </a:path>
              <a:path w="7315200" h="2689860">
                <a:moveTo>
                  <a:pt x="4828032" y="0"/>
                </a:moveTo>
                <a:lnTo>
                  <a:pt x="4002024" y="0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0"/>
                </a:lnTo>
                <a:close/>
              </a:path>
              <a:path w="7315200" h="2689860">
                <a:moveTo>
                  <a:pt x="5657088" y="2278380"/>
                </a:moveTo>
                <a:lnTo>
                  <a:pt x="4831080" y="2278380"/>
                </a:lnTo>
                <a:lnTo>
                  <a:pt x="4831080" y="2482596"/>
                </a:lnTo>
                <a:lnTo>
                  <a:pt x="5657088" y="2482596"/>
                </a:lnTo>
                <a:lnTo>
                  <a:pt x="5657088" y="2278380"/>
                </a:lnTo>
                <a:close/>
              </a:path>
              <a:path w="7315200" h="2689860">
                <a:moveTo>
                  <a:pt x="5657088" y="2072640"/>
                </a:moveTo>
                <a:lnTo>
                  <a:pt x="4831080" y="2072640"/>
                </a:lnTo>
                <a:lnTo>
                  <a:pt x="4831080" y="2275332"/>
                </a:lnTo>
                <a:lnTo>
                  <a:pt x="5657088" y="2275332"/>
                </a:lnTo>
                <a:lnTo>
                  <a:pt x="5657088" y="2072640"/>
                </a:lnTo>
                <a:close/>
              </a:path>
              <a:path w="7315200" h="2689860">
                <a:moveTo>
                  <a:pt x="5657088" y="1865376"/>
                </a:moveTo>
                <a:lnTo>
                  <a:pt x="4831080" y="1865376"/>
                </a:lnTo>
                <a:lnTo>
                  <a:pt x="4831080" y="2069592"/>
                </a:lnTo>
                <a:lnTo>
                  <a:pt x="5657088" y="2069592"/>
                </a:lnTo>
                <a:lnTo>
                  <a:pt x="5657088" y="1865376"/>
                </a:lnTo>
                <a:close/>
              </a:path>
              <a:path w="7315200" h="2689860">
                <a:moveTo>
                  <a:pt x="5657088" y="1658112"/>
                </a:moveTo>
                <a:lnTo>
                  <a:pt x="4831080" y="1658112"/>
                </a:lnTo>
                <a:lnTo>
                  <a:pt x="4831080" y="1862328"/>
                </a:lnTo>
                <a:lnTo>
                  <a:pt x="5657088" y="1862328"/>
                </a:lnTo>
                <a:lnTo>
                  <a:pt x="5657088" y="1658112"/>
                </a:lnTo>
                <a:close/>
              </a:path>
              <a:path w="7315200" h="2689860">
                <a:moveTo>
                  <a:pt x="5657088" y="1450848"/>
                </a:moveTo>
                <a:lnTo>
                  <a:pt x="4831080" y="1450848"/>
                </a:lnTo>
                <a:lnTo>
                  <a:pt x="4831080" y="1655064"/>
                </a:lnTo>
                <a:lnTo>
                  <a:pt x="5657088" y="1655064"/>
                </a:lnTo>
                <a:lnTo>
                  <a:pt x="5657088" y="1450848"/>
                </a:lnTo>
                <a:close/>
              </a:path>
              <a:path w="7315200" h="2689860">
                <a:moveTo>
                  <a:pt x="5657088" y="1245108"/>
                </a:moveTo>
                <a:lnTo>
                  <a:pt x="4831080" y="1245108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5108"/>
                </a:lnTo>
                <a:close/>
              </a:path>
              <a:path w="7315200" h="2689860">
                <a:moveTo>
                  <a:pt x="5657088" y="1037844"/>
                </a:moveTo>
                <a:lnTo>
                  <a:pt x="4831080" y="1037844"/>
                </a:lnTo>
                <a:lnTo>
                  <a:pt x="4831080" y="1242060"/>
                </a:lnTo>
                <a:lnTo>
                  <a:pt x="5657088" y="1242060"/>
                </a:lnTo>
                <a:lnTo>
                  <a:pt x="5657088" y="1037844"/>
                </a:lnTo>
                <a:close/>
              </a:path>
              <a:path w="7315200" h="2689860">
                <a:moveTo>
                  <a:pt x="5657088" y="830580"/>
                </a:moveTo>
                <a:lnTo>
                  <a:pt x="4831080" y="830580"/>
                </a:lnTo>
                <a:lnTo>
                  <a:pt x="4831080" y="1034796"/>
                </a:lnTo>
                <a:lnTo>
                  <a:pt x="5657088" y="1034796"/>
                </a:lnTo>
                <a:lnTo>
                  <a:pt x="5657088" y="830580"/>
                </a:lnTo>
                <a:close/>
              </a:path>
              <a:path w="7315200" h="2689860">
                <a:moveTo>
                  <a:pt x="5657088" y="414528"/>
                </a:moveTo>
                <a:lnTo>
                  <a:pt x="4831080" y="414528"/>
                </a:lnTo>
                <a:lnTo>
                  <a:pt x="4831080" y="827532"/>
                </a:lnTo>
                <a:lnTo>
                  <a:pt x="5657088" y="827532"/>
                </a:lnTo>
                <a:lnTo>
                  <a:pt x="5657088" y="414528"/>
                </a:lnTo>
                <a:close/>
              </a:path>
              <a:path w="7315200" h="2689860">
                <a:moveTo>
                  <a:pt x="5657088" y="0"/>
                </a:moveTo>
                <a:lnTo>
                  <a:pt x="4831080" y="0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0"/>
                </a:lnTo>
                <a:close/>
              </a:path>
              <a:path w="7315200" h="2689860">
                <a:moveTo>
                  <a:pt x="6486144" y="2278380"/>
                </a:moveTo>
                <a:lnTo>
                  <a:pt x="5660136" y="2278380"/>
                </a:lnTo>
                <a:lnTo>
                  <a:pt x="5660136" y="2482596"/>
                </a:lnTo>
                <a:lnTo>
                  <a:pt x="6486144" y="2482596"/>
                </a:lnTo>
                <a:lnTo>
                  <a:pt x="6486144" y="2278380"/>
                </a:lnTo>
                <a:close/>
              </a:path>
              <a:path w="7315200" h="2689860">
                <a:moveTo>
                  <a:pt x="6486144" y="2072640"/>
                </a:moveTo>
                <a:lnTo>
                  <a:pt x="5660136" y="2072640"/>
                </a:lnTo>
                <a:lnTo>
                  <a:pt x="5660136" y="2275332"/>
                </a:lnTo>
                <a:lnTo>
                  <a:pt x="6486144" y="2275332"/>
                </a:lnTo>
                <a:lnTo>
                  <a:pt x="6486144" y="2072640"/>
                </a:lnTo>
                <a:close/>
              </a:path>
              <a:path w="7315200" h="2689860">
                <a:moveTo>
                  <a:pt x="6486144" y="1865376"/>
                </a:moveTo>
                <a:lnTo>
                  <a:pt x="5660136" y="1865376"/>
                </a:lnTo>
                <a:lnTo>
                  <a:pt x="5660136" y="2069592"/>
                </a:lnTo>
                <a:lnTo>
                  <a:pt x="6486144" y="2069592"/>
                </a:lnTo>
                <a:lnTo>
                  <a:pt x="6486144" y="1865376"/>
                </a:lnTo>
                <a:close/>
              </a:path>
              <a:path w="7315200" h="2689860">
                <a:moveTo>
                  <a:pt x="6486144" y="1658112"/>
                </a:moveTo>
                <a:lnTo>
                  <a:pt x="5660136" y="1658112"/>
                </a:lnTo>
                <a:lnTo>
                  <a:pt x="5660136" y="1862328"/>
                </a:lnTo>
                <a:lnTo>
                  <a:pt x="6486144" y="1862328"/>
                </a:lnTo>
                <a:lnTo>
                  <a:pt x="6486144" y="1658112"/>
                </a:lnTo>
                <a:close/>
              </a:path>
              <a:path w="7315200" h="2689860">
                <a:moveTo>
                  <a:pt x="6486144" y="1450848"/>
                </a:moveTo>
                <a:lnTo>
                  <a:pt x="5660136" y="1450848"/>
                </a:lnTo>
                <a:lnTo>
                  <a:pt x="5660136" y="1655064"/>
                </a:lnTo>
                <a:lnTo>
                  <a:pt x="6486144" y="1655064"/>
                </a:lnTo>
                <a:lnTo>
                  <a:pt x="6486144" y="1450848"/>
                </a:lnTo>
                <a:close/>
              </a:path>
              <a:path w="7315200" h="2689860">
                <a:moveTo>
                  <a:pt x="6486144" y="1245108"/>
                </a:moveTo>
                <a:lnTo>
                  <a:pt x="5660136" y="1245108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5108"/>
                </a:lnTo>
                <a:close/>
              </a:path>
              <a:path w="7315200" h="2689860">
                <a:moveTo>
                  <a:pt x="6486144" y="1037844"/>
                </a:moveTo>
                <a:lnTo>
                  <a:pt x="5660136" y="1037844"/>
                </a:lnTo>
                <a:lnTo>
                  <a:pt x="5660136" y="1242060"/>
                </a:lnTo>
                <a:lnTo>
                  <a:pt x="6486144" y="1242060"/>
                </a:lnTo>
                <a:lnTo>
                  <a:pt x="6486144" y="1037844"/>
                </a:lnTo>
                <a:close/>
              </a:path>
              <a:path w="7315200" h="2689860">
                <a:moveTo>
                  <a:pt x="6486144" y="830580"/>
                </a:moveTo>
                <a:lnTo>
                  <a:pt x="5660136" y="830580"/>
                </a:lnTo>
                <a:lnTo>
                  <a:pt x="5660136" y="1034796"/>
                </a:lnTo>
                <a:lnTo>
                  <a:pt x="6486144" y="1034796"/>
                </a:lnTo>
                <a:lnTo>
                  <a:pt x="6486144" y="830580"/>
                </a:lnTo>
                <a:close/>
              </a:path>
              <a:path w="7315200" h="2689860">
                <a:moveTo>
                  <a:pt x="6486144" y="414528"/>
                </a:moveTo>
                <a:lnTo>
                  <a:pt x="5660136" y="414528"/>
                </a:lnTo>
                <a:lnTo>
                  <a:pt x="5660136" y="827532"/>
                </a:lnTo>
                <a:lnTo>
                  <a:pt x="6486144" y="827532"/>
                </a:lnTo>
                <a:lnTo>
                  <a:pt x="6486144" y="414528"/>
                </a:lnTo>
                <a:close/>
              </a:path>
              <a:path w="7315200" h="2689860">
                <a:moveTo>
                  <a:pt x="6486144" y="0"/>
                </a:moveTo>
                <a:lnTo>
                  <a:pt x="5660136" y="0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0"/>
                </a:lnTo>
                <a:close/>
              </a:path>
              <a:path w="7315200" h="2689860">
                <a:moveTo>
                  <a:pt x="7315200" y="2278380"/>
                </a:moveTo>
                <a:lnTo>
                  <a:pt x="6489192" y="2278380"/>
                </a:lnTo>
                <a:lnTo>
                  <a:pt x="6489192" y="2482596"/>
                </a:lnTo>
                <a:lnTo>
                  <a:pt x="7315200" y="2482596"/>
                </a:lnTo>
                <a:lnTo>
                  <a:pt x="7315200" y="2278380"/>
                </a:lnTo>
                <a:close/>
              </a:path>
              <a:path w="7315200" h="2689860">
                <a:moveTo>
                  <a:pt x="7315200" y="2072640"/>
                </a:moveTo>
                <a:lnTo>
                  <a:pt x="6489192" y="2072640"/>
                </a:lnTo>
                <a:lnTo>
                  <a:pt x="6489192" y="2275332"/>
                </a:lnTo>
                <a:lnTo>
                  <a:pt x="7315200" y="2275332"/>
                </a:lnTo>
                <a:lnTo>
                  <a:pt x="7315200" y="2072640"/>
                </a:lnTo>
                <a:close/>
              </a:path>
              <a:path w="7315200" h="2689860">
                <a:moveTo>
                  <a:pt x="7315200" y="1865376"/>
                </a:moveTo>
                <a:lnTo>
                  <a:pt x="6489192" y="1865376"/>
                </a:lnTo>
                <a:lnTo>
                  <a:pt x="6489192" y="2069592"/>
                </a:lnTo>
                <a:lnTo>
                  <a:pt x="7315200" y="2069592"/>
                </a:lnTo>
                <a:lnTo>
                  <a:pt x="7315200" y="1865376"/>
                </a:lnTo>
                <a:close/>
              </a:path>
              <a:path w="7315200" h="2689860">
                <a:moveTo>
                  <a:pt x="7315200" y="1658112"/>
                </a:moveTo>
                <a:lnTo>
                  <a:pt x="6489192" y="1658112"/>
                </a:lnTo>
                <a:lnTo>
                  <a:pt x="6489192" y="1862328"/>
                </a:lnTo>
                <a:lnTo>
                  <a:pt x="7315200" y="1862328"/>
                </a:lnTo>
                <a:lnTo>
                  <a:pt x="7315200" y="1658112"/>
                </a:lnTo>
                <a:close/>
              </a:path>
              <a:path w="7315200" h="2689860">
                <a:moveTo>
                  <a:pt x="7315200" y="1450848"/>
                </a:moveTo>
                <a:lnTo>
                  <a:pt x="6489192" y="1450848"/>
                </a:lnTo>
                <a:lnTo>
                  <a:pt x="6489192" y="1655064"/>
                </a:lnTo>
                <a:lnTo>
                  <a:pt x="7315200" y="1655064"/>
                </a:lnTo>
                <a:lnTo>
                  <a:pt x="7315200" y="1450848"/>
                </a:lnTo>
                <a:close/>
              </a:path>
              <a:path w="7315200" h="2689860">
                <a:moveTo>
                  <a:pt x="7315200" y="1245108"/>
                </a:moveTo>
                <a:lnTo>
                  <a:pt x="6489192" y="1245108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5108"/>
                </a:lnTo>
                <a:close/>
              </a:path>
              <a:path w="7315200" h="2689860">
                <a:moveTo>
                  <a:pt x="7315200" y="1037844"/>
                </a:moveTo>
                <a:lnTo>
                  <a:pt x="6489192" y="1037844"/>
                </a:lnTo>
                <a:lnTo>
                  <a:pt x="6489192" y="1242060"/>
                </a:lnTo>
                <a:lnTo>
                  <a:pt x="7315200" y="1242060"/>
                </a:lnTo>
                <a:lnTo>
                  <a:pt x="7315200" y="1037844"/>
                </a:lnTo>
                <a:close/>
              </a:path>
              <a:path w="7315200" h="2689860">
                <a:moveTo>
                  <a:pt x="7315200" y="830580"/>
                </a:moveTo>
                <a:lnTo>
                  <a:pt x="6489192" y="830580"/>
                </a:lnTo>
                <a:lnTo>
                  <a:pt x="6489192" y="1034796"/>
                </a:lnTo>
                <a:lnTo>
                  <a:pt x="7315200" y="1034796"/>
                </a:lnTo>
                <a:lnTo>
                  <a:pt x="7315200" y="830580"/>
                </a:lnTo>
                <a:close/>
              </a:path>
              <a:path w="7315200" h="2689860">
                <a:moveTo>
                  <a:pt x="7315200" y="414528"/>
                </a:moveTo>
                <a:lnTo>
                  <a:pt x="6489192" y="414528"/>
                </a:lnTo>
                <a:lnTo>
                  <a:pt x="6489192" y="827532"/>
                </a:lnTo>
                <a:lnTo>
                  <a:pt x="7315200" y="827532"/>
                </a:lnTo>
                <a:lnTo>
                  <a:pt x="7315200" y="414528"/>
                </a:lnTo>
                <a:close/>
              </a:path>
              <a:path w="7315200" h="2689860">
                <a:moveTo>
                  <a:pt x="7315200" y="0"/>
                </a:moveTo>
                <a:lnTo>
                  <a:pt x="6489192" y="0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SpPr/>
        </xdr:nvSpPr>
        <xdr:spPr>
          <a:xfrm>
            <a:off x="0" y="1865375"/>
            <a:ext cx="7315200" cy="1861185"/>
          </a:xfrm>
          <a:custGeom>
            <a:avLst/>
            <a:gdLst/>
            <a:ahLst/>
            <a:cxnLst/>
            <a:rect l="0" t="0" r="0" b="0"/>
            <a:pathLst>
              <a:path w="7315200" h="1861185">
                <a:moveTo>
                  <a:pt x="339852" y="1447800"/>
                </a:moveTo>
                <a:lnTo>
                  <a:pt x="0" y="1447800"/>
                </a:lnTo>
                <a:lnTo>
                  <a:pt x="0" y="1860804"/>
                </a:lnTo>
                <a:lnTo>
                  <a:pt x="339852" y="1860804"/>
                </a:lnTo>
                <a:lnTo>
                  <a:pt x="339852" y="1447800"/>
                </a:lnTo>
                <a:close/>
              </a:path>
              <a:path w="7315200" h="1861185">
                <a:moveTo>
                  <a:pt x="339852" y="1034796"/>
                </a:moveTo>
                <a:lnTo>
                  <a:pt x="0" y="1034796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1034796"/>
                </a:lnTo>
                <a:close/>
              </a:path>
              <a:path w="7315200" h="186118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1861185">
                <a:moveTo>
                  <a:pt x="1376172" y="1447800"/>
                </a:moveTo>
                <a:lnTo>
                  <a:pt x="342900" y="1447800"/>
                </a:lnTo>
                <a:lnTo>
                  <a:pt x="342900" y="1860804"/>
                </a:lnTo>
                <a:lnTo>
                  <a:pt x="1376172" y="1860804"/>
                </a:lnTo>
                <a:lnTo>
                  <a:pt x="1376172" y="1447800"/>
                </a:lnTo>
                <a:close/>
              </a:path>
              <a:path w="7315200" h="1861185">
                <a:moveTo>
                  <a:pt x="1376172" y="1034796"/>
                </a:moveTo>
                <a:lnTo>
                  <a:pt x="342900" y="1034796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1034796"/>
                </a:lnTo>
                <a:close/>
              </a:path>
              <a:path w="7315200" h="186118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1861185">
                <a:moveTo>
                  <a:pt x="2753868" y="1447800"/>
                </a:moveTo>
                <a:lnTo>
                  <a:pt x="1379220" y="1447800"/>
                </a:lnTo>
                <a:lnTo>
                  <a:pt x="1379220" y="1860804"/>
                </a:lnTo>
                <a:lnTo>
                  <a:pt x="2753868" y="1860804"/>
                </a:lnTo>
                <a:lnTo>
                  <a:pt x="2753868" y="1447800"/>
                </a:lnTo>
                <a:close/>
              </a:path>
              <a:path w="7315200" h="1861185">
                <a:moveTo>
                  <a:pt x="2753868" y="1034796"/>
                </a:moveTo>
                <a:lnTo>
                  <a:pt x="1379220" y="1034796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1034796"/>
                </a:lnTo>
                <a:close/>
              </a:path>
              <a:path w="7315200" h="186118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1861185">
                <a:moveTo>
                  <a:pt x="3304032" y="1447800"/>
                </a:moveTo>
                <a:lnTo>
                  <a:pt x="2756916" y="1447800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447800"/>
                </a:lnTo>
                <a:close/>
              </a:path>
              <a:path w="7315200" h="1861185">
                <a:moveTo>
                  <a:pt x="3304032" y="1242060"/>
                </a:moveTo>
                <a:lnTo>
                  <a:pt x="2756916" y="1242060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2060"/>
                </a:lnTo>
                <a:close/>
              </a:path>
              <a:path w="7315200" h="186118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186118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1861185">
                <a:moveTo>
                  <a:pt x="3998976" y="1447800"/>
                </a:moveTo>
                <a:lnTo>
                  <a:pt x="3307080" y="1447800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447800"/>
                </a:lnTo>
                <a:close/>
              </a:path>
              <a:path w="7315200" h="1861185">
                <a:moveTo>
                  <a:pt x="3998976" y="1242060"/>
                </a:moveTo>
                <a:lnTo>
                  <a:pt x="3307080" y="1242060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2060"/>
                </a:lnTo>
                <a:close/>
              </a:path>
              <a:path w="7315200" h="186118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186118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186118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861185">
                <a:moveTo>
                  <a:pt x="4828032" y="1447800"/>
                </a:moveTo>
                <a:lnTo>
                  <a:pt x="4002024" y="1447800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447800"/>
                </a:lnTo>
                <a:close/>
              </a:path>
              <a:path w="7315200" h="1861185">
                <a:moveTo>
                  <a:pt x="4828032" y="1242060"/>
                </a:moveTo>
                <a:lnTo>
                  <a:pt x="4002024" y="1242060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2060"/>
                </a:lnTo>
                <a:close/>
              </a:path>
              <a:path w="7315200" h="186118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186118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186118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861185">
                <a:moveTo>
                  <a:pt x="5657088" y="1447800"/>
                </a:moveTo>
                <a:lnTo>
                  <a:pt x="4831080" y="1447800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447800"/>
                </a:lnTo>
                <a:close/>
              </a:path>
              <a:path w="7315200" h="1861185">
                <a:moveTo>
                  <a:pt x="5657088" y="1242060"/>
                </a:moveTo>
                <a:lnTo>
                  <a:pt x="4831080" y="1242060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2060"/>
                </a:lnTo>
                <a:close/>
              </a:path>
              <a:path w="7315200" h="186118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186118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186118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861185">
                <a:moveTo>
                  <a:pt x="6486144" y="1447800"/>
                </a:moveTo>
                <a:lnTo>
                  <a:pt x="5660136" y="1447800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447800"/>
                </a:lnTo>
                <a:close/>
              </a:path>
              <a:path w="7315200" h="1861185">
                <a:moveTo>
                  <a:pt x="6486144" y="1242060"/>
                </a:moveTo>
                <a:lnTo>
                  <a:pt x="5660136" y="1242060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2060"/>
                </a:lnTo>
                <a:close/>
              </a:path>
              <a:path w="7315200" h="186118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186118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186118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861185">
                <a:moveTo>
                  <a:pt x="7315200" y="1447800"/>
                </a:moveTo>
                <a:lnTo>
                  <a:pt x="6489192" y="1447800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447800"/>
                </a:lnTo>
                <a:close/>
              </a:path>
              <a:path w="7315200" h="1861185">
                <a:moveTo>
                  <a:pt x="7315200" y="1242060"/>
                </a:moveTo>
                <a:lnTo>
                  <a:pt x="6489192" y="1242060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2060"/>
                </a:lnTo>
                <a:close/>
              </a:path>
              <a:path w="7315200" h="186118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186118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186118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21</xdr:row>
      <xdr:rowOff>0</xdr:rowOff>
    </xdr:from>
    <xdr:ext cx="702945" cy="3726179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0" y="0"/>
          <a:ext cx="702945" cy="3726179"/>
        </a:xfrm>
        <a:custGeom>
          <a:avLst/>
          <a:gdLst/>
          <a:ahLst/>
          <a:cxnLst/>
          <a:rect l="0" t="0" r="0" b="0"/>
          <a:pathLst>
            <a:path w="702945" h="3726179">
              <a:moveTo>
                <a:pt x="702564" y="3313176"/>
              </a:moveTo>
              <a:lnTo>
                <a:pt x="0" y="3313176"/>
              </a:lnTo>
              <a:lnTo>
                <a:pt x="0" y="3726180"/>
              </a:lnTo>
              <a:lnTo>
                <a:pt x="702564" y="3726180"/>
              </a:lnTo>
              <a:lnTo>
                <a:pt x="702564" y="3313176"/>
              </a:lnTo>
              <a:close/>
            </a:path>
            <a:path w="702945" h="3726179">
              <a:moveTo>
                <a:pt x="702564" y="3107436"/>
              </a:moveTo>
              <a:lnTo>
                <a:pt x="0" y="3107436"/>
              </a:lnTo>
              <a:lnTo>
                <a:pt x="0" y="3310128"/>
              </a:lnTo>
              <a:lnTo>
                <a:pt x="702564" y="3310128"/>
              </a:lnTo>
              <a:lnTo>
                <a:pt x="702564" y="3107436"/>
              </a:lnTo>
              <a:close/>
            </a:path>
            <a:path w="702945" h="3726179">
              <a:moveTo>
                <a:pt x="702564" y="2900172"/>
              </a:moveTo>
              <a:lnTo>
                <a:pt x="0" y="2900172"/>
              </a:lnTo>
              <a:lnTo>
                <a:pt x="0" y="3104388"/>
              </a:lnTo>
              <a:lnTo>
                <a:pt x="702564" y="3104388"/>
              </a:lnTo>
              <a:lnTo>
                <a:pt x="702564" y="2900172"/>
              </a:lnTo>
              <a:close/>
            </a:path>
            <a:path w="702945" h="3726179">
              <a:moveTo>
                <a:pt x="702564" y="2692908"/>
              </a:moveTo>
              <a:lnTo>
                <a:pt x="0" y="2692908"/>
              </a:lnTo>
              <a:lnTo>
                <a:pt x="0" y="2897124"/>
              </a:lnTo>
              <a:lnTo>
                <a:pt x="702564" y="2897124"/>
              </a:lnTo>
              <a:lnTo>
                <a:pt x="702564" y="2692908"/>
              </a:lnTo>
              <a:close/>
            </a:path>
            <a:path w="702945" h="3726179">
              <a:moveTo>
                <a:pt x="702564" y="2485644"/>
              </a:moveTo>
              <a:lnTo>
                <a:pt x="0" y="2485644"/>
              </a:lnTo>
              <a:lnTo>
                <a:pt x="0" y="2689860"/>
              </a:lnTo>
              <a:lnTo>
                <a:pt x="702564" y="2689860"/>
              </a:lnTo>
              <a:lnTo>
                <a:pt x="702564" y="2485644"/>
              </a:lnTo>
              <a:close/>
            </a:path>
            <a:path w="702945" h="3726179">
              <a:moveTo>
                <a:pt x="702564" y="2278380"/>
              </a:moveTo>
              <a:lnTo>
                <a:pt x="0" y="2278380"/>
              </a:lnTo>
              <a:lnTo>
                <a:pt x="0" y="2482596"/>
              </a:lnTo>
              <a:lnTo>
                <a:pt x="702564" y="2482596"/>
              </a:lnTo>
              <a:lnTo>
                <a:pt x="702564" y="2278380"/>
              </a:lnTo>
              <a:close/>
            </a:path>
            <a:path w="702945" h="3726179">
              <a:moveTo>
                <a:pt x="702564" y="2072640"/>
              </a:moveTo>
              <a:lnTo>
                <a:pt x="0" y="2072640"/>
              </a:lnTo>
              <a:lnTo>
                <a:pt x="0" y="2275332"/>
              </a:lnTo>
              <a:lnTo>
                <a:pt x="702564" y="2275332"/>
              </a:lnTo>
              <a:lnTo>
                <a:pt x="702564" y="2072640"/>
              </a:lnTo>
              <a:close/>
            </a:path>
            <a:path w="702945" h="3726179">
              <a:moveTo>
                <a:pt x="702564" y="1865376"/>
              </a:moveTo>
              <a:lnTo>
                <a:pt x="0" y="1865376"/>
              </a:lnTo>
              <a:lnTo>
                <a:pt x="0" y="2069592"/>
              </a:lnTo>
              <a:lnTo>
                <a:pt x="702564" y="2069592"/>
              </a:lnTo>
              <a:lnTo>
                <a:pt x="702564" y="1865376"/>
              </a:lnTo>
              <a:close/>
            </a:path>
            <a:path w="702945" h="3726179">
              <a:moveTo>
                <a:pt x="702564" y="1658112"/>
              </a:moveTo>
              <a:lnTo>
                <a:pt x="0" y="1658112"/>
              </a:lnTo>
              <a:lnTo>
                <a:pt x="0" y="1862328"/>
              </a:lnTo>
              <a:lnTo>
                <a:pt x="702564" y="1862328"/>
              </a:lnTo>
              <a:lnTo>
                <a:pt x="702564" y="1658112"/>
              </a:lnTo>
              <a:close/>
            </a:path>
            <a:path w="702945" h="3726179">
              <a:moveTo>
                <a:pt x="702564" y="1450848"/>
              </a:moveTo>
              <a:lnTo>
                <a:pt x="0" y="1450848"/>
              </a:lnTo>
              <a:lnTo>
                <a:pt x="0" y="1655064"/>
              </a:lnTo>
              <a:lnTo>
                <a:pt x="702564" y="1655064"/>
              </a:lnTo>
              <a:lnTo>
                <a:pt x="702564" y="1450848"/>
              </a:lnTo>
              <a:close/>
            </a:path>
            <a:path w="702945" h="3726179">
              <a:moveTo>
                <a:pt x="702564" y="1245108"/>
              </a:moveTo>
              <a:lnTo>
                <a:pt x="0" y="1245108"/>
              </a:lnTo>
              <a:lnTo>
                <a:pt x="0" y="1447800"/>
              </a:lnTo>
              <a:lnTo>
                <a:pt x="702564" y="1447800"/>
              </a:lnTo>
              <a:lnTo>
                <a:pt x="702564" y="1245108"/>
              </a:lnTo>
              <a:close/>
            </a:path>
            <a:path w="702945" h="3726179">
              <a:moveTo>
                <a:pt x="702564" y="1037844"/>
              </a:moveTo>
              <a:lnTo>
                <a:pt x="0" y="1037844"/>
              </a:lnTo>
              <a:lnTo>
                <a:pt x="0" y="1242060"/>
              </a:lnTo>
              <a:lnTo>
                <a:pt x="702564" y="1242060"/>
              </a:lnTo>
              <a:lnTo>
                <a:pt x="702564" y="1037844"/>
              </a:lnTo>
              <a:close/>
            </a:path>
            <a:path w="702945" h="3726179">
              <a:moveTo>
                <a:pt x="702564" y="830580"/>
              </a:moveTo>
              <a:lnTo>
                <a:pt x="0" y="830580"/>
              </a:lnTo>
              <a:lnTo>
                <a:pt x="0" y="1034796"/>
              </a:lnTo>
              <a:lnTo>
                <a:pt x="702564" y="1034796"/>
              </a:lnTo>
              <a:lnTo>
                <a:pt x="702564" y="830580"/>
              </a:lnTo>
              <a:close/>
            </a:path>
            <a:path w="702945" h="3726179">
              <a:moveTo>
                <a:pt x="702564" y="414528"/>
              </a:moveTo>
              <a:lnTo>
                <a:pt x="0" y="414528"/>
              </a:lnTo>
              <a:lnTo>
                <a:pt x="0" y="827532"/>
              </a:lnTo>
              <a:lnTo>
                <a:pt x="702564" y="827532"/>
              </a:lnTo>
              <a:lnTo>
                <a:pt x="702564" y="414528"/>
              </a:lnTo>
              <a:close/>
            </a:path>
            <a:path w="702945" h="3726179">
              <a:moveTo>
                <a:pt x="702564" y="0"/>
              </a:moveTo>
              <a:lnTo>
                <a:pt x="0" y="0"/>
              </a:lnTo>
              <a:lnTo>
                <a:pt x="0" y="411480"/>
              </a:lnTo>
              <a:lnTo>
                <a:pt x="702564" y="411480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24</xdr:row>
      <xdr:rowOff>206501</xdr:rowOff>
    </xdr:from>
    <xdr:ext cx="3313429" cy="37528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59" name="image1.jpe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60" name="image2.jpe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61" name="image3.jpe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62" name="image4.jpe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26</xdr:row>
      <xdr:rowOff>0</xdr:rowOff>
    </xdr:from>
    <xdr:ext cx="7315200" cy="4343400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GrpSpPr/>
      </xdr:nvGrpSpPr>
      <xdr:grpSpPr>
        <a:xfrm>
          <a:off x="610234" y="6263640"/>
          <a:ext cx="7315200" cy="4343400"/>
          <a:chOff x="0" y="0"/>
          <a:chExt cx="7315200" cy="4343400"/>
        </a:xfrm>
      </xdr:grpSpPr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/>
        </xdr:nvSpPr>
        <xdr:spPr>
          <a:xfrm>
            <a:off x="0" y="0"/>
            <a:ext cx="7315200" cy="2481580"/>
          </a:xfrm>
          <a:custGeom>
            <a:avLst/>
            <a:gdLst/>
            <a:ahLst/>
            <a:cxnLst/>
            <a:rect l="0" t="0" r="0" b="0"/>
            <a:pathLst>
              <a:path w="7315200" h="2481580">
                <a:moveTo>
                  <a:pt x="339852" y="0"/>
                </a:moveTo>
                <a:lnTo>
                  <a:pt x="0" y="0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0"/>
                </a:lnTo>
                <a:close/>
              </a:path>
              <a:path w="7315200" h="2481580">
                <a:moveTo>
                  <a:pt x="1376172" y="0"/>
                </a:moveTo>
                <a:lnTo>
                  <a:pt x="342900" y="0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0"/>
                </a:lnTo>
                <a:close/>
              </a:path>
              <a:path w="7315200" h="2481580">
                <a:moveTo>
                  <a:pt x="2753868" y="1656588"/>
                </a:moveTo>
                <a:lnTo>
                  <a:pt x="1379220" y="1656588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656588"/>
                </a:lnTo>
                <a:close/>
              </a:path>
              <a:path w="7315200" h="2481580">
                <a:moveTo>
                  <a:pt x="2753868" y="0"/>
                </a:moveTo>
                <a:lnTo>
                  <a:pt x="1379220" y="0"/>
                </a:lnTo>
                <a:lnTo>
                  <a:pt x="1379220" y="1653540"/>
                </a:lnTo>
                <a:lnTo>
                  <a:pt x="2753868" y="1653540"/>
                </a:lnTo>
                <a:lnTo>
                  <a:pt x="2753868" y="0"/>
                </a:lnTo>
                <a:close/>
              </a:path>
              <a:path w="7315200" h="248158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48158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48158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4815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4815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4815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4815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4815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4815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815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4815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48158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48158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48158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4815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4815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4815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4815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4815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4815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815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4815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158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48158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48158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4815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4815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4815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4815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4815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4815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815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4815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158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48158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48158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4815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4815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4815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4815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4815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4815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815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4815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158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48158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48158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4815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4815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4815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4815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4815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4815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815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4815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158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48158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48158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4815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4815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4815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4815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4815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4815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815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4815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48158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SpPr/>
        </xdr:nvSpPr>
        <xdr:spPr>
          <a:xfrm>
            <a:off x="0" y="2276855"/>
            <a:ext cx="7315200" cy="2066925"/>
          </a:xfrm>
          <a:custGeom>
            <a:avLst/>
            <a:gdLst/>
            <a:ahLst/>
            <a:cxnLst/>
            <a:rect l="0" t="0" r="0" b="0"/>
            <a:pathLst>
              <a:path w="7315200" h="2066925">
                <a:moveTo>
                  <a:pt x="339852" y="1449324"/>
                </a:moveTo>
                <a:lnTo>
                  <a:pt x="0" y="1449324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1449324"/>
                </a:lnTo>
                <a:close/>
              </a:path>
              <a:path w="7315200" h="2066925">
                <a:moveTo>
                  <a:pt x="339852" y="0"/>
                </a:moveTo>
                <a:lnTo>
                  <a:pt x="0" y="0"/>
                </a:lnTo>
                <a:lnTo>
                  <a:pt x="0" y="1444752"/>
                </a:lnTo>
                <a:lnTo>
                  <a:pt x="339852" y="1444752"/>
                </a:lnTo>
                <a:lnTo>
                  <a:pt x="339852" y="0"/>
                </a:lnTo>
                <a:close/>
              </a:path>
              <a:path w="7315200" h="2066925">
                <a:moveTo>
                  <a:pt x="1376172" y="1449324"/>
                </a:moveTo>
                <a:lnTo>
                  <a:pt x="342900" y="1449324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1449324"/>
                </a:lnTo>
                <a:close/>
              </a:path>
              <a:path w="7315200" h="2066925">
                <a:moveTo>
                  <a:pt x="1376172" y="0"/>
                </a:moveTo>
                <a:lnTo>
                  <a:pt x="342900" y="0"/>
                </a:lnTo>
                <a:lnTo>
                  <a:pt x="342900" y="1444752"/>
                </a:lnTo>
                <a:lnTo>
                  <a:pt x="1376172" y="1444752"/>
                </a:lnTo>
                <a:lnTo>
                  <a:pt x="1376172" y="0"/>
                </a:lnTo>
                <a:close/>
              </a:path>
              <a:path w="7315200" h="2066925">
                <a:moveTo>
                  <a:pt x="2753868" y="1449324"/>
                </a:moveTo>
                <a:lnTo>
                  <a:pt x="1379220" y="1449324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449324"/>
                </a:lnTo>
                <a:close/>
              </a:path>
              <a:path w="7315200" h="2066925">
                <a:moveTo>
                  <a:pt x="2753868" y="0"/>
                </a:moveTo>
                <a:lnTo>
                  <a:pt x="1379220" y="0"/>
                </a:lnTo>
                <a:lnTo>
                  <a:pt x="1379220" y="1444752"/>
                </a:lnTo>
                <a:lnTo>
                  <a:pt x="2753868" y="1444752"/>
                </a:lnTo>
                <a:lnTo>
                  <a:pt x="2753868" y="0"/>
                </a:lnTo>
                <a:close/>
              </a:path>
              <a:path w="7315200" h="206692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066925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2066925">
                <a:moveTo>
                  <a:pt x="3304032" y="1449324"/>
                </a:moveTo>
                <a:lnTo>
                  <a:pt x="2756916" y="1449324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9324"/>
                </a:lnTo>
                <a:close/>
              </a:path>
              <a:path w="7315200" h="2066925">
                <a:moveTo>
                  <a:pt x="3304032" y="1242060"/>
                </a:moveTo>
                <a:lnTo>
                  <a:pt x="2756916" y="1242060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2060"/>
                </a:lnTo>
                <a:close/>
              </a:path>
              <a:path w="7315200" h="206692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06692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06692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066925">
                <a:moveTo>
                  <a:pt x="3304032" y="413004"/>
                </a:moveTo>
                <a:lnTo>
                  <a:pt x="2756916" y="413004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3004"/>
                </a:lnTo>
                <a:close/>
              </a:path>
              <a:path w="7315200" h="2066925">
                <a:moveTo>
                  <a:pt x="3304032" y="207264"/>
                </a:moveTo>
                <a:lnTo>
                  <a:pt x="2756916" y="207264"/>
                </a:lnTo>
                <a:lnTo>
                  <a:pt x="2756916" y="409956"/>
                </a:lnTo>
                <a:lnTo>
                  <a:pt x="3304032" y="409956"/>
                </a:lnTo>
                <a:lnTo>
                  <a:pt x="3304032" y="207264"/>
                </a:lnTo>
                <a:close/>
              </a:path>
              <a:path w="7315200" h="206692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06692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066925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2066925">
                <a:moveTo>
                  <a:pt x="3998976" y="1449324"/>
                </a:moveTo>
                <a:lnTo>
                  <a:pt x="3307080" y="1449324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9324"/>
                </a:lnTo>
                <a:close/>
              </a:path>
              <a:path w="7315200" h="2066925">
                <a:moveTo>
                  <a:pt x="3998976" y="1242060"/>
                </a:moveTo>
                <a:lnTo>
                  <a:pt x="3307080" y="1242060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2060"/>
                </a:lnTo>
                <a:close/>
              </a:path>
              <a:path w="7315200" h="206692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06692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06692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066925">
                <a:moveTo>
                  <a:pt x="3998976" y="413004"/>
                </a:moveTo>
                <a:lnTo>
                  <a:pt x="3307080" y="413004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3004"/>
                </a:lnTo>
                <a:close/>
              </a:path>
              <a:path w="7315200" h="2066925">
                <a:moveTo>
                  <a:pt x="3998976" y="207264"/>
                </a:moveTo>
                <a:lnTo>
                  <a:pt x="3307080" y="207264"/>
                </a:lnTo>
                <a:lnTo>
                  <a:pt x="3307080" y="409956"/>
                </a:lnTo>
                <a:lnTo>
                  <a:pt x="3998976" y="409956"/>
                </a:lnTo>
                <a:lnTo>
                  <a:pt x="3998976" y="207264"/>
                </a:lnTo>
                <a:close/>
              </a:path>
              <a:path w="7315200" h="206692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06692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066925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2066925">
                <a:moveTo>
                  <a:pt x="4828032" y="1449324"/>
                </a:moveTo>
                <a:lnTo>
                  <a:pt x="4002024" y="1449324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9324"/>
                </a:lnTo>
                <a:close/>
              </a:path>
              <a:path w="7315200" h="2066925">
                <a:moveTo>
                  <a:pt x="4828032" y="1242060"/>
                </a:moveTo>
                <a:lnTo>
                  <a:pt x="4002024" y="1242060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2060"/>
                </a:lnTo>
                <a:close/>
              </a:path>
              <a:path w="7315200" h="206692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06692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06692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066925">
                <a:moveTo>
                  <a:pt x="4828032" y="413004"/>
                </a:moveTo>
                <a:lnTo>
                  <a:pt x="4002024" y="413004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3004"/>
                </a:lnTo>
                <a:close/>
              </a:path>
              <a:path w="7315200" h="2066925">
                <a:moveTo>
                  <a:pt x="4828032" y="207264"/>
                </a:moveTo>
                <a:lnTo>
                  <a:pt x="4002024" y="207264"/>
                </a:lnTo>
                <a:lnTo>
                  <a:pt x="4002024" y="409956"/>
                </a:lnTo>
                <a:lnTo>
                  <a:pt x="4828032" y="409956"/>
                </a:lnTo>
                <a:lnTo>
                  <a:pt x="4828032" y="207264"/>
                </a:lnTo>
                <a:close/>
              </a:path>
              <a:path w="7315200" h="206692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06692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066925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2066925">
                <a:moveTo>
                  <a:pt x="5657088" y="1449324"/>
                </a:moveTo>
                <a:lnTo>
                  <a:pt x="4831080" y="1449324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9324"/>
                </a:lnTo>
                <a:close/>
              </a:path>
              <a:path w="7315200" h="2066925">
                <a:moveTo>
                  <a:pt x="5657088" y="1242060"/>
                </a:moveTo>
                <a:lnTo>
                  <a:pt x="4831080" y="1242060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2060"/>
                </a:lnTo>
                <a:close/>
              </a:path>
              <a:path w="7315200" h="206692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06692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06692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066925">
                <a:moveTo>
                  <a:pt x="5657088" y="413004"/>
                </a:moveTo>
                <a:lnTo>
                  <a:pt x="4831080" y="413004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3004"/>
                </a:lnTo>
                <a:close/>
              </a:path>
              <a:path w="7315200" h="2066925">
                <a:moveTo>
                  <a:pt x="5657088" y="207264"/>
                </a:moveTo>
                <a:lnTo>
                  <a:pt x="4831080" y="207264"/>
                </a:lnTo>
                <a:lnTo>
                  <a:pt x="4831080" y="409956"/>
                </a:lnTo>
                <a:lnTo>
                  <a:pt x="5657088" y="409956"/>
                </a:lnTo>
                <a:lnTo>
                  <a:pt x="5657088" y="207264"/>
                </a:lnTo>
                <a:close/>
              </a:path>
              <a:path w="7315200" h="206692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06692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066925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2066925">
                <a:moveTo>
                  <a:pt x="6486144" y="1449324"/>
                </a:moveTo>
                <a:lnTo>
                  <a:pt x="5660136" y="1449324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9324"/>
                </a:lnTo>
                <a:close/>
              </a:path>
              <a:path w="7315200" h="2066925">
                <a:moveTo>
                  <a:pt x="6486144" y="1242060"/>
                </a:moveTo>
                <a:lnTo>
                  <a:pt x="5660136" y="1242060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2060"/>
                </a:lnTo>
                <a:close/>
              </a:path>
              <a:path w="7315200" h="206692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06692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06692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066925">
                <a:moveTo>
                  <a:pt x="6486144" y="413004"/>
                </a:moveTo>
                <a:lnTo>
                  <a:pt x="5660136" y="413004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3004"/>
                </a:lnTo>
                <a:close/>
              </a:path>
              <a:path w="7315200" h="2066925">
                <a:moveTo>
                  <a:pt x="6486144" y="207264"/>
                </a:moveTo>
                <a:lnTo>
                  <a:pt x="5660136" y="207264"/>
                </a:lnTo>
                <a:lnTo>
                  <a:pt x="5660136" y="409956"/>
                </a:lnTo>
                <a:lnTo>
                  <a:pt x="6486144" y="409956"/>
                </a:lnTo>
                <a:lnTo>
                  <a:pt x="6486144" y="207264"/>
                </a:lnTo>
                <a:close/>
              </a:path>
              <a:path w="7315200" h="206692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06692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066925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2066925">
                <a:moveTo>
                  <a:pt x="7315200" y="1449324"/>
                </a:moveTo>
                <a:lnTo>
                  <a:pt x="6489192" y="1449324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9324"/>
                </a:lnTo>
                <a:close/>
              </a:path>
              <a:path w="7315200" h="2066925">
                <a:moveTo>
                  <a:pt x="7315200" y="1242060"/>
                </a:moveTo>
                <a:lnTo>
                  <a:pt x="6489192" y="1242060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2060"/>
                </a:lnTo>
                <a:close/>
              </a:path>
              <a:path w="7315200" h="206692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06692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06692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066925">
                <a:moveTo>
                  <a:pt x="7315200" y="413004"/>
                </a:moveTo>
                <a:lnTo>
                  <a:pt x="6489192" y="413004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3004"/>
                </a:lnTo>
                <a:close/>
              </a:path>
              <a:path w="7315200" h="2066925">
                <a:moveTo>
                  <a:pt x="7315200" y="207264"/>
                </a:moveTo>
                <a:lnTo>
                  <a:pt x="6489192" y="207264"/>
                </a:lnTo>
                <a:lnTo>
                  <a:pt x="6489192" y="409956"/>
                </a:lnTo>
                <a:lnTo>
                  <a:pt x="7315200" y="409956"/>
                </a:lnTo>
                <a:lnTo>
                  <a:pt x="7315200" y="207264"/>
                </a:lnTo>
                <a:close/>
              </a:path>
              <a:path w="7315200" h="206692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27</xdr:row>
      <xdr:rowOff>0</xdr:rowOff>
    </xdr:from>
    <xdr:ext cx="702945" cy="434340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0" y="0"/>
          <a:ext cx="702945" cy="4343400"/>
        </a:xfrm>
        <a:custGeom>
          <a:avLst/>
          <a:gdLst/>
          <a:ahLst/>
          <a:cxnLst/>
          <a:rect l="0" t="0" r="0" b="0"/>
          <a:pathLst>
            <a:path w="702945" h="4343400">
              <a:moveTo>
                <a:pt x="702564" y="4139184"/>
              </a:moveTo>
              <a:lnTo>
                <a:pt x="0" y="4139184"/>
              </a:lnTo>
              <a:lnTo>
                <a:pt x="0" y="4343400"/>
              </a:lnTo>
              <a:lnTo>
                <a:pt x="702564" y="4343400"/>
              </a:lnTo>
              <a:lnTo>
                <a:pt x="702564" y="4139184"/>
              </a:lnTo>
              <a:close/>
            </a:path>
            <a:path w="702945" h="434340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34340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34340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34340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34340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34340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34340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34340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34340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34340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34340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34340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34340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34340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34340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34340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34340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34340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34340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34340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23</xdr:row>
      <xdr:rowOff>206501</xdr:rowOff>
    </xdr:from>
    <xdr:ext cx="3313429" cy="37528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69" name="image2.jpeg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70" name="image3.jpeg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71" name="image4.jpeg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25</xdr:row>
      <xdr:rowOff>0</xdr:rowOff>
    </xdr:from>
    <xdr:ext cx="7315200" cy="4136390"/>
    <xdr:grpSp>
      <xdr:nvGrpSpPr>
        <xdr:cNvPr id="72" name="Group 72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GrpSpPr/>
      </xdr:nvGrpSpPr>
      <xdr:grpSpPr>
        <a:xfrm>
          <a:off x="610234" y="6050280"/>
          <a:ext cx="7315200" cy="4136390"/>
          <a:chOff x="0" y="0"/>
          <a:chExt cx="7315200" cy="4136390"/>
        </a:xfrm>
      </xdr:grpSpPr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700-000049000000}"/>
              </a:ext>
            </a:extLst>
          </xdr:cNvPr>
          <xdr:cNvSpPr/>
        </xdr:nvSpPr>
        <xdr:spPr>
          <a:xfrm>
            <a:off x="1379220" y="0"/>
            <a:ext cx="5935980" cy="2481580"/>
          </a:xfrm>
          <a:custGeom>
            <a:avLst/>
            <a:gdLst/>
            <a:ahLst/>
            <a:cxnLst/>
            <a:rect l="0" t="0" r="0" b="0"/>
            <a:pathLst>
              <a:path w="5935980" h="2481580">
                <a:moveTo>
                  <a:pt x="1374648" y="0"/>
                </a:moveTo>
                <a:lnTo>
                  <a:pt x="0" y="0"/>
                </a:lnTo>
                <a:lnTo>
                  <a:pt x="0" y="1653540"/>
                </a:lnTo>
                <a:lnTo>
                  <a:pt x="1374648" y="1653540"/>
                </a:lnTo>
                <a:lnTo>
                  <a:pt x="1374648" y="0"/>
                </a:lnTo>
                <a:close/>
              </a:path>
              <a:path w="5935980" h="2481580">
                <a:moveTo>
                  <a:pt x="1924812" y="2276856"/>
                </a:moveTo>
                <a:lnTo>
                  <a:pt x="1377696" y="2276856"/>
                </a:lnTo>
                <a:lnTo>
                  <a:pt x="1377696" y="2481072"/>
                </a:lnTo>
                <a:lnTo>
                  <a:pt x="1924812" y="2481072"/>
                </a:lnTo>
                <a:lnTo>
                  <a:pt x="1924812" y="2276856"/>
                </a:lnTo>
                <a:close/>
              </a:path>
              <a:path w="5935980" h="2481580">
                <a:moveTo>
                  <a:pt x="1924812" y="2069592"/>
                </a:moveTo>
                <a:lnTo>
                  <a:pt x="1377696" y="2069592"/>
                </a:lnTo>
                <a:lnTo>
                  <a:pt x="1377696" y="2273808"/>
                </a:lnTo>
                <a:lnTo>
                  <a:pt x="1924812" y="2273808"/>
                </a:lnTo>
                <a:lnTo>
                  <a:pt x="1924812" y="2069592"/>
                </a:lnTo>
                <a:close/>
              </a:path>
              <a:path w="5935980" h="2481580">
                <a:moveTo>
                  <a:pt x="1924812" y="1862328"/>
                </a:moveTo>
                <a:lnTo>
                  <a:pt x="1377696" y="1862328"/>
                </a:lnTo>
                <a:lnTo>
                  <a:pt x="1377696" y="2066544"/>
                </a:lnTo>
                <a:lnTo>
                  <a:pt x="1924812" y="2066544"/>
                </a:lnTo>
                <a:lnTo>
                  <a:pt x="1924812" y="1862328"/>
                </a:lnTo>
                <a:close/>
              </a:path>
              <a:path w="5935980" h="2481580">
                <a:moveTo>
                  <a:pt x="1924812" y="1656588"/>
                </a:moveTo>
                <a:lnTo>
                  <a:pt x="1377696" y="1656588"/>
                </a:lnTo>
                <a:lnTo>
                  <a:pt x="1377696" y="1859280"/>
                </a:lnTo>
                <a:lnTo>
                  <a:pt x="1924812" y="1859280"/>
                </a:lnTo>
                <a:lnTo>
                  <a:pt x="1924812" y="1656588"/>
                </a:lnTo>
                <a:close/>
              </a:path>
              <a:path w="5935980" h="2481580">
                <a:moveTo>
                  <a:pt x="1924812" y="1449324"/>
                </a:moveTo>
                <a:lnTo>
                  <a:pt x="1377696" y="1449324"/>
                </a:lnTo>
                <a:lnTo>
                  <a:pt x="1377696" y="1653540"/>
                </a:lnTo>
                <a:lnTo>
                  <a:pt x="1924812" y="1653540"/>
                </a:lnTo>
                <a:lnTo>
                  <a:pt x="1924812" y="1449324"/>
                </a:lnTo>
                <a:close/>
              </a:path>
              <a:path w="5935980" h="2481580">
                <a:moveTo>
                  <a:pt x="1924812" y="1242060"/>
                </a:moveTo>
                <a:lnTo>
                  <a:pt x="1377696" y="1242060"/>
                </a:lnTo>
                <a:lnTo>
                  <a:pt x="1377696" y="1446276"/>
                </a:lnTo>
                <a:lnTo>
                  <a:pt x="1924812" y="1446276"/>
                </a:lnTo>
                <a:lnTo>
                  <a:pt x="1924812" y="1242060"/>
                </a:lnTo>
                <a:close/>
              </a:path>
              <a:path w="5935980" h="2481580">
                <a:moveTo>
                  <a:pt x="1924812" y="1034796"/>
                </a:moveTo>
                <a:lnTo>
                  <a:pt x="1377696" y="1034796"/>
                </a:lnTo>
                <a:lnTo>
                  <a:pt x="1377696" y="1239012"/>
                </a:lnTo>
                <a:lnTo>
                  <a:pt x="1924812" y="1239012"/>
                </a:lnTo>
                <a:lnTo>
                  <a:pt x="1924812" y="1034796"/>
                </a:lnTo>
                <a:close/>
              </a:path>
              <a:path w="5935980" h="2481580">
                <a:moveTo>
                  <a:pt x="1924812" y="827532"/>
                </a:moveTo>
                <a:lnTo>
                  <a:pt x="1377696" y="827532"/>
                </a:lnTo>
                <a:lnTo>
                  <a:pt x="1377696" y="1031748"/>
                </a:lnTo>
                <a:lnTo>
                  <a:pt x="1924812" y="1031748"/>
                </a:lnTo>
                <a:lnTo>
                  <a:pt x="1924812" y="827532"/>
                </a:lnTo>
                <a:close/>
              </a:path>
              <a:path w="5935980" h="2481580">
                <a:moveTo>
                  <a:pt x="1924812" y="620268"/>
                </a:moveTo>
                <a:lnTo>
                  <a:pt x="1377696" y="620268"/>
                </a:lnTo>
                <a:lnTo>
                  <a:pt x="1377696" y="824484"/>
                </a:lnTo>
                <a:lnTo>
                  <a:pt x="1924812" y="824484"/>
                </a:lnTo>
                <a:lnTo>
                  <a:pt x="1924812" y="620268"/>
                </a:lnTo>
                <a:close/>
              </a:path>
              <a:path w="5935980" h="2481580">
                <a:moveTo>
                  <a:pt x="1924812" y="414528"/>
                </a:moveTo>
                <a:lnTo>
                  <a:pt x="1377696" y="414528"/>
                </a:lnTo>
                <a:lnTo>
                  <a:pt x="1377696" y="617220"/>
                </a:lnTo>
                <a:lnTo>
                  <a:pt x="1924812" y="617220"/>
                </a:lnTo>
                <a:lnTo>
                  <a:pt x="1924812" y="414528"/>
                </a:lnTo>
                <a:close/>
              </a:path>
              <a:path w="5935980" h="2481580">
                <a:moveTo>
                  <a:pt x="1924812" y="207264"/>
                </a:moveTo>
                <a:lnTo>
                  <a:pt x="1377696" y="207264"/>
                </a:lnTo>
                <a:lnTo>
                  <a:pt x="1377696" y="411480"/>
                </a:lnTo>
                <a:lnTo>
                  <a:pt x="1924812" y="411480"/>
                </a:lnTo>
                <a:lnTo>
                  <a:pt x="1924812" y="207264"/>
                </a:lnTo>
                <a:close/>
              </a:path>
              <a:path w="5935980" h="2481580">
                <a:moveTo>
                  <a:pt x="1924812" y="0"/>
                </a:moveTo>
                <a:lnTo>
                  <a:pt x="1377696" y="0"/>
                </a:lnTo>
                <a:lnTo>
                  <a:pt x="1377696" y="204216"/>
                </a:lnTo>
                <a:lnTo>
                  <a:pt x="1924812" y="204216"/>
                </a:lnTo>
                <a:lnTo>
                  <a:pt x="1924812" y="0"/>
                </a:lnTo>
                <a:close/>
              </a:path>
              <a:path w="5935980" h="2481580">
                <a:moveTo>
                  <a:pt x="2619756" y="2276856"/>
                </a:moveTo>
                <a:lnTo>
                  <a:pt x="1927860" y="2276856"/>
                </a:lnTo>
                <a:lnTo>
                  <a:pt x="1927860" y="2481072"/>
                </a:lnTo>
                <a:lnTo>
                  <a:pt x="2619756" y="2481072"/>
                </a:lnTo>
                <a:lnTo>
                  <a:pt x="2619756" y="2276856"/>
                </a:lnTo>
                <a:close/>
              </a:path>
              <a:path w="5935980" h="2481580">
                <a:moveTo>
                  <a:pt x="2619756" y="2069592"/>
                </a:moveTo>
                <a:lnTo>
                  <a:pt x="1927860" y="2069592"/>
                </a:lnTo>
                <a:lnTo>
                  <a:pt x="1927860" y="2273808"/>
                </a:lnTo>
                <a:lnTo>
                  <a:pt x="2619756" y="2273808"/>
                </a:lnTo>
                <a:lnTo>
                  <a:pt x="2619756" y="2069592"/>
                </a:lnTo>
                <a:close/>
              </a:path>
              <a:path w="5935980" h="2481580">
                <a:moveTo>
                  <a:pt x="2619756" y="1862328"/>
                </a:moveTo>
                <a:lnTo>
                  <a:pt x="1927860" y="1862328"/>
                </a:lnTo>
                <a:lnTo>
                  <a:pt x="1927860" y="2066544"/>
                </a:lnTo>
                <a:lnTo>
                  <a:pt x="2619756" y="2066544"/>
                </a:lnTo>
                <a:lnTo>
                  <a:pt x="2619756" y="1862328"/>
                </a:lnTo>
                <a:close/>
              </a:path>
              <a:path w="5935980" h="2481580">
                <a:moveTo>
                  <a:pt x="2619756" y="1656588"/>
                </a:moveTo>
                <a:lnTo>
                  <a:pt x="1927860" y="1656588"/>
                </a:lnTo>
                <a:lnTo>
                  <a:pt x="1927860" y="1859280"/>
                </a:lnTo>
                <a:lnTo>
                  <a:pt x="2619756" y="1859280"/>
                </a:lnTo>
                <a:lnTo>
                  <a:pt x="2619756" y="1656588"/>
                </a:lnTo>
                <a:close/>
              </a:path>
              <a:path w="5935980" h="2481580">
                <a:moveTo>
                  <a:pt x="2619756" y="1449324"/>
                </a:moveTo>
                <a:lnTo>
                  <a:pt x="1927860" y="1449324"/>
                </a:lnTo>
                <a:lnTo>
                  <a:pt x="1927860" y="1653540"/>
                </a:lnTo>
                <a:lnTo>
                  <a:pt x="2619756" y="1653540"/>
                </a:lnTo>
                <a:lnTo>
                  <a:pt x="2619756" y="1449324"/>
                </a:lnTo>
                <a:close/>
              </a:path>
              <a:path w="5935980" h="2481580">
                <a:moveTo>
                  <a:pt x="2619756" y="1242060"/>
                </a:moveTo>
                <a:lnTo>
                  <a:pt x="1927860" y="1242060"/>
                </a:lnTo>
                <a:lnTo>
                  <a:pt x="1927860" y="1446276"/>
                </a:lnTo>
                <a:lnTo>
                  <a:pt x="2619756" y="1446276"/>
                </a:lnTo>
                <a:lnTo>
                  <a:pt x="2619756" y="1242060"/>
                </a:lnTo>
                <a:close/>
              </a:path>
              <a:path w="5935980" h="2481580">
                <a:moveTo>
                  <a:pt x="2619756" y="1034796"/>
                </a:moveTo>
                <a:lnTo>
                  <a:pt x="1927860" y="1034796"/>
                </a:lnTo>
                <a:lnTo>
                  <a:pt x="1927860" y="1239012"/>
                </a:lnTo>
                <a:lnTo>
                  <a:pt x="2619756" y="1239012"/>
                </a:lnTo>
                <a:lnTo>
                  <a:pt x="2619756" y="1034796"/>
                </a:lnTo>
                <a:close/>
              </a:path>
              <a:path w="5935980" h="2481580">
                <a:moveTo>
                  <a:pt x="2619756" y="827532"/>
                </a:moveTo>
                <a:lnTo>
                  <a:pt x="1927860" y="827532"/>
                </a:lnTo>
                <a:lnTo>
                  <a:pt x="1927860" y="1031748"/>
                </a:lnTo>
                <a:lnTo>
                  <a:pt x="2619756" y="1031748"/>
                </a:lnTo>
                <a:lnTo>
                  <a:pt x="2619756" y="827532"/>
                </a:lnTo>
                <a:close/>
              </a:path>
              <a:path w="5935980" h="2481580">
                <a:moveTo>
                  <a:pt x="2619756" y="620268"/>
                </a:moveTo>
                <a:lnTo>
                  <a:pt x="1927860" y="620268"/>
                </a:lnTo>
                <a:lnTo>
                  <a:pt x="1927860" y="824484"/>
                </a:lnTo>
                <a:lnTo>
                  <a:pt x="2619756" y="824484"/>
                </a:lnTo>
                <a:lnTo>
                  <a:pt x="2619756" y="620268"/>
                </a:lnTo>
                <a:close/>
              </a:path>
              <a:path w="5935980" h="2481580">
                <a:moveTo>
                  <a:pt x="2619756" y="414528"/>
                </a:moveTo>
                <a:lnTo>
                  <a:pt x="1927860" y="414528"/>
                </a:lnTo>
                <a:lnTo>
                  <a:pt x="1927860" y="617220"/>
                </a:lnTo>
                <a:lnTo>
                  <a:pt x="2619756" y="617220"/>
                </a:lnTo>
                <a:lnTo>
                  <a:pt x="2619756" y="414528"/>
                </a:lnTo>
                <a:close/>
              </a:path>
              <a:path w="5935980" h="2481580">
                <a:moveTo>
                  <a:pt x="2619756" y="207264"/>
                </a:moveTo>
                <a:lnTo>
                  <a:pt x="1927860" y="207264"/>
                </a:lnTo>
                <a:lnTo>
                  <a:pt x="1927860" y="411480"/>
                </a:lnTo>
                <a:lnTo>
                  <a:pt x="2619756" y="411480"/>
                </a:lnTo>
                <a:lnTo>
                  <a:pt x="2619756" y="207264"/>
                </a:lnTo>
                <a:close/>
              </a:path>
              <a:path w="5935980" h="2481580">
                <a:moveTo>
                  <a:pt x="2619756" y="0"/>
                </a:moveTo>
                <a:lnTo>
                  <a:pt x="1927860" y="0"/>
                </a:lnTo>
                <a:lnTo>
                  <a:pt x="1927860" y="204216"/>
                </a:lnTo>
                <a:lnTo>
                  <a:pt x="2619756" y="204216"/>
                </a:lnTo>
                <a:lnTo>
                  <a:pt x="2619756" y="0"/>
                </a:lnTo>
                <a:close/>
              </a:path>
              <a:path w="5935980" h="2481580">
                <a:moveTo>
                  <a:pt x="3448812" y="2276856"/>
                </a:moveTo>
                <a:lnTo>
                  <a:pt x="2622804" y="2276856"/>
                </a:lnTo>
                <a:lnTo>
                  <a:pt x="2622804" y="2481072"/>
                </a:lnTo>
                <a:lnTo>
                  <a:pt x="3448812" y="2481072"/>
                </a:lnTo>
                <a:lnTo>
                  <a:pt x="3448812" y="2276856"/>
                </a:lnTo>
                <a:close/>
              </a:path>
              <a:path w="5935980" h="2481580">
                <a:moveTo>
                  <a:pt x="3448812" y="2069592"/>
                </a:moveTo>
                <a:lnTo>
                  <a:pt x="2622804" y="2069592"/>
                </a:lnTo>
                <a:lnTo>
                  <a:pt x="2622804" y="2273808"/>
                </a:lnTo>
                <a:lnTo>
                  <a:pt x="3448812" y="2273808"/>
                </a:lnTo>
                <a:lnTo>
                  <a:pt x="3448812" y="2069592"/>
                </a:lnTo>
                <a:close/>
              </a:path>
              <a:path w="5935980" h="2481580">
                <a:moveTo>
                  <a:pt x="3448812" y="1862328"/>
                </a:moveTo>
                <a:lnTo>
                  <a:pt x="2622804" y="1862328"/>
                </a:lnTo>
                <a:lnTo>
                  <a:pt x="2622804" y="2066544"/>
                </a:lnTo>
                <a:lnTo>
                  <a:pt x="3448812" y="2066544"/>
                </a:lnTo>
                <a:lnTo>
                  <a:pt x="3448812" y="1862328"/>
                </a:lnTo>
                <a:close/>
              </a:path>
              <a:path w="5935980" h="2481580">
                <a:moveTo>
                  <a:pt x="3448812" y="1656588"/>
                </a:moveTo>
                <a:lnTo>
                  <a:pt x="2622804" y="1656588"/>
                </a:lnTo>
                <a:lnTo>
                  <a:pt x="2622804" y="1859280"/>
                </a:lnTo>
                <a:lnTo>
                  <a:pt x="3448812" y="1859280"/>
                </a:lnTo>
                <a:lnTo>
                  <a:pt x="3448812" y="1656588"/>
                </a:lnTo>
                <a:close/>
              </a:path>
              <a:path w="5935980" h="2481580">
                <a:moveTo>
                  <a:pt x="3448812" y="1449324"/>
                </a:moveTo>
                <a:lnTo>
                  <a:pt x="2622804" y="1449324"/>
                </a:lnTo>
                <a:lnTo>
                  <a:pt x="2622804" y="1653540"/>
                </a:lnTo>
                <a:lnTo>
                  <a:pt x="3448812" y="1653540"/>
                </a:lnTo>
                <a:lnTo>
                  <a:pt x="3448812" y="1449324"/>
                </a:lnTo>
                <a:close/>
              </a:path>
              <a:path w="5935980" h="2481580">
                <a:moveTo>
                  <a:pt x="3448812" y="1242060"/>
                </a:moveTo>
                <a:lnTo>
                  <a:pt x="2622804" y="1242060"/>
                </a:lnTo>
                <a:lnTo>
                  <a:pt x="2622804" y="1446276"/>
                </a:lnTo>
                <a:lnTo>
                  <a:pt x="3448812" y="1446276"/>
                </a:lnTo>
                <a:lnTo>
                  <a:pt x="3448812" y="1242060"/>
                </a:lnTo>
                <a:close/>
              </a:path>
              <a:path w="5935980" h="2481580">
                <a:moveTo>
                  <a:pt x="3448812" y="1034796"/>
                </a:moveTo>
                <a:lnTo>
                  <a:pt x="2622804" y="1034796"/>
                </a:lnTo>
                <a:lnTo>
                  <a:pt x="2622804" y="1239012"/>
                </a:lnTo>
                <a:lnTo>
                  <a:pt x="3448812" y="1239012"/>
                </a:lnTo>
                <a:lnTo>
                  <a:pt x="3448812" y="1034796"/>
                </a:lnTo>
                <a:close/>
              </a:path>
              <a:path w="5935980" h="2481580">
                <a:moveTo>
                  <a:pt x="3448812" y="827532"/>
                </a:moveTo>
                <a:lnTo>
                  <a:pt x="2622804" y="827532"/>
                </a:lnTo>
                <a:lnTo>
                  <a:pt x="2622804" y="1031748"/>
                </a:lnTo>
                <a:lnTo>
                  <a:pt x="3448812" y="1031748"/>
                </a:lnTo>
                <a:lnTo>
                  <a:pt x="3448812" y="827532"/>
                </a:lnTo>
                <a:close/>
              </a:path>
              <a:path w="5935980" h="2481580">
                <a:moveTo>
                  <a:pt x="3448812" y="620268"/>
                </a:moveTo>
                <a:lnTo>
                  <a:pt x="2622804" y="620268"/>
                </a:lnTo>
                <a:lnTo>
                  <a:pt x="2622804" y="824484"/>
                </a:lnTo>
                <a:lnTo>
                  <a:pt x="3448812" y="824484"/>
                </a:lnTo>
                <a:lnTo>
                  <a:pt x="3448812" y="620268"/>
                </a:lnTo>
                <a:close/>
              </a:path>
              <a:path w="5935980" h="2481580">
                <a:moveTo>
                  <a:pt x="3448812" y="414528"/>
                </a:moveTo>
                <a:lnTo>
                  <a:pt x="2622804" y="414528"/>
                </a:lnTo>
                <a:lnTo>
                  <a:pt x="2622804" y="617220"/>
                </a:lnTo>
                <a:lnTo>
                  <a:pt x="3448812" y="617220"/>
                </a:lnTo>
                <a:lnTo>
                  <a:pt x="3448812" y="414528"/>
                </a:lnTo>
                <a:close/>
              </a:path>
              <a:path w="5935980" h="2481580">
                <a:moveTo>
                  <a:pt x="3448812" y="207264"/>
                </a:moveTo>
                <a:lnTo>
                  <a:pt x="2622804" y="207264"/>
                </a:lnTo>
                <a:lnTo>
                  <a:pt x="2622804" y="411480"/>
                </a:lnTo>
                <a:lnTo>
                  <a:pt x="3448812" y="411480"/>
                </a:lnTo>
                <a:lnTo>
                  <a:pt x="3448812" y="207264"/>
                </a:lnTo>
                <a:close/>
              </a:path>
              <a:path w="5935980" h="2481580">
                <a:moveTo>
                  <a:pt x="3448812" y="0"/>
                </a:moveTo>
                <a:lnTo>
                  <a:pt x="2622804" y="0"/>
                </a:lnTo>
                <a:lnTo>
                  <a:pt x="2622804" y="204216"/>
                </a:lnTo>
                <a:lnTo>
                  <a:pt x="3448812" y="204216"/>
                </a:lnTo>
                <a:lnTo>
                  <a:pt x="3448812" y="0"/>
                </a:lnTo>
                <a:close/>
              </a:path>
              <a:path w="5935980" h="2481580">
                <a:moveTo>
                  <a:pt x="4277868" y="2276856"/>
                </a:moveTo>
                <a:lnTo>
                  <a:pt x="3451860" y="2276856"/>
                </a:lnTo>
                <a:lnTo>
                  <a:pt x="3451860" y="2481072"/>
                </a:lnTo>
                <a:lnTo>
                  <a:pt x="4277868" y="2481072"/>
                </a:lnTo>
                <a:lnTo>
                  <a:pt x="4277868" y="2276856"/>
                </a:lnTo>
                <a:close/>
              </a:path>
              <a:path w="5935980" h="2481580">
                <a:moveTo>
                  <a:pt x="4277868" y="2069592"/>
                </a:moveTo>
                <a:lnTo>
                  <a:pt x="3451860" y="2069592"/>
                </a:lnTo>
                <a:lnTo>
                  <a:pt x="3451860" y="2273808"/>
                </a:lnTo>
                <a:lnTo>
                  <a:pt x="4277868" y="2273808"/>
                </a:lnTo>
                <a:lnTo>
                  <a:pt x="4277868" y="2069592"/>
                </a:lnTo>
                <a:close/>
              </a:path>
              <a:path w="5935980" h="2481580">
                <a:moveTo>
                  <a:pt x="4277868" y="1862328"/>
                </a:moveTo>
                <a:lnTo>
                  <a:pt x="3451860" y="1862328"/>
                </a:lnTo>
                <a:lnTo>
                  <a:pt x="3451860" y="2066544"/>
                </a:lnTo>
                <a:lnTo>
                  <a:pt x="4277868" y="2066544"/>
                </a:lnTo>
                <a:lnTo>
                  <a:pt x="4277868" y="1862328"/>
                </a:lnTo>
                <a:close/>
              </a:path>
              <a:path w="5935980" h="2481580">
                <a:moveTo>
                  <a:pt x="4277868" y="1656588"/>
                </a:moveTo>
                <a:lnTo>
                  <a:pt x="3451860" y="1656588"/>
                </a:lnTo>
                <a:lnTo>
                  <a:pt x="3451860" y="1859280"/>
                </a:lnTo>
                <a:lnTo>
                  <a:pt x="4277868" y="1859280"/>
                </a:lnTo>
                <a:lnTo>
                  <a:pt x="4277868" y="1656588"/>
                </a:lnTo>
                <a:close/>
              </a:path>
              <a:path w="5935980" h="2481580">
                <a:moveTo>
                  <a:pt x="4277868" y="1449324"/>
                </a:moveTo>
                <a:lnTo>
                  <a:pt x="3451860" y="1449324"/>
                </a:lnTo>
                <a:lnTo>
                  <a:pt x="3451860" y="1653540"/>
                </a:lnTo>
                <a:lnTo>
                  <a:pt x="4277868" y="1653540"/>
                </a:lnTo>
                <a:lnTo>
                  <a:pt x="4277868" y="1449324"/>
                </a:lnTo>
                <a:close/>
              </a:path>
              <a:path w="5935980" h="2481580">
                <a:moveTo>
                  <a:pt x="4277868" y="1242060"/>
                </a:moveTo>
                <a:lnTo>
                  <a:pt x="3451860" y="1242060"/>
                </a:lnTo>
                <a:lnTo>
                  <a:pt x="3451860" y="1446276"/>
                </a:lnTo>
                <a:lnTo>
                  <a:pt x="4277868" y="1446276"/>
                </a:lnTo>
                <a:lnTo>
                  <a:pt x="4277868" y="1242060"/>
                </a:lnTo>
                <a:close/>
              </a:path>
              <a:path w="5935980" h="2481580">
                <a:moveTo>
                  <a:pt x="4277868" y="1034796"/>
                </a:moveTo>
                <a:lnTo>
                  <a:pt x="3451860" y="1034796"/>
                </a:lnTo>
                <a:lnTo>
                  <a:pt x="3451860" y="1239012"/>
                </a:lnTo>
                <a:lnTo>
                  <a:pt x="4277868" y="1239012"/>
                </a:lnTo>
                <a:lnTo>
                  <a:pt x="4277868" y="1034796"/>
                </a:lnTo>
                <a:close/>
              </a:path>
              <a:path w="5935980" h="2481580">
                <a:moveTo>
                  <a:pt x="4277868" y="827532"/>
                </a:moveTo>
                <a:lnTo>
                  <a:pt x="3451860" y="827532"/>
                </a:lnTo>
                <a:lnTo>
                  <a:pt x="3451860" y="1031748"/>
                </a:lnTo>
                <a:lnTo>
                  <a:pt x="4277868" y="1031748"/>
                </a:lnTo>
                <a:lnTo>
                  <a:pt x="4277868" y="827532"/>
                </a:lnTo>
                <a:close/>
              </a:path>
              <a:path w="5935980" h="2481580">
                <a:moveTo>
                  <a:pt x="4277868" y="620268"/>
                </a:moveTo>
                <a:lnTo>
                  <a:pt x="3451860" y="620268"/>
                </a:lnTo>
                <a:lnTo>
                  <a:pt x="3451860" y="824484"/>
                </a:lnTo>
                <a:lnTo>
                  <a:pt x="4277868" y="824484"/>
                </a:lnTo>
                <a:lnTo>
                  <a:pt x="4277868" y="620268"/>
                </a:lnTo>
                <a:close/>
              </a:path>
              <a:path w="5935980" h="2481580">
                <a:moveTo>
                  <a:pt x="4277868" y="414528"/>
                </a:moveTo>
                <a:lnTo>
                  <a:pt x="3451860" y="414528"/>
                </a:lnTo>
                <a:lnTo>
                  <a:pt x="3451860" y="617220"/>
                </a:lnTo>
                <a:lnTo>
                  <a:pt x="4277868" y="617220"/>
                </a:lnTo>
                <a:lnTo>
                  <a:pt x="4277868" y="414528"/>
                </a:lnTo>
                <a:close/>
              </a:path>
              <a:path w="5935980" h="2481580">
                <a:moveTo>
                  <a:pt x="4277868" y="207264"/>
                </a:moveTo>
                <a:lnTo>
                  <a:pt x="3451860" y="207264"/>
                </a:lnTo>
                <a:lnTo>
                  <a:pt x="3451860" y="411480"/>
                </a:lnTo>
                <a:lnTo>
                  <a:pt x="4277868" y="411480"/>
                </a:lnTo>
                <a:lnTo>
                  <a:pt x="4277868" y="207264"/>
                </a:lnTo>
                <a:close/>
              </a:path>
              <a:path w="5935980" h="2481580">
                <a:moveTo>
                  <a:pt x="4277868" y="0"/>
                </a:moveTo>
                <a:lnTo>
                  <a:pt x="3451860" y="0"/>
                </a:lnTo>
                <a:lnTo>
                  <a:pt x="3451860" y="204216"/>
                </a:lnTo>
                <a:lnTo>
                  <a:pt x="4277868" y="204216"/>
                </a:lnTo>
                <a:lnTo>
                  <a:pt x="4277868" y="0"/>
                </a:lnTo>
                <a:close/>
              </a:path>
              <a:path w="5935980" h="2481580">
                <a:moveTo>
                  <a:pt x="5106924" y="2069592"/>
                </a:moveTo>
                <a:lnTo>
                  <a:pt x="4280916" y="2069592"/>
                </a:lnTo>
                <a:lnTo>
                  <a:pt x="4280916" y="2273808"/>
                </a:lnTo>
                <a:lnTo>
                  <a:pt x="5106924" y="2273808"/>
                </a:lnTo>
                <a:lnTo>
                  <a:pt x="5106924" y="2069592"/>
                </a:lnTo>
                <a:close/>
              </a:path>
              <a:path w="5935980" h="2481580">
                <a:moveTo>
                  <a:pt x="5106924" y="1862328"/>
                </a:moveTo>
                <a:lnTo>
                  <a:pt x="4280916" y="1862328"/>
                </a:lnTo>
                <a:lnTo>
                  <a:pt x="4280916" y="2066544"/>
                </a:lnTo>
                <a:lnTo>
                  <a:pt x="5106924" y="2066544"/>
                </a:lnTo>
                <a:lnTo>
                  <a:pt x="5106924" y="1862328"/>
                </a:lnTo>
                <a:close/>
              </a:path>
              <a:path w="5935980" h="2481580">
                <a:moveTo>
                  <a:pt x="5106924" y="1656588"/>
                </a:moveTo>
                <a:lnTo>
                  <a:pt x="4280916" y="1656588"/>
                </a:lnTo>
                <a:lnTo>
                  <a:pt x="4280916" y="1859280"/>
                </a:lnTo>
                <a:lnTo>
                  <a:pt x="5106924" y="1859280"/>
                </a:lnTo>
                <a:lnTo>
                  <a:pt x="5106924" y="1656588"/>
                </a:lnTo>
                <a:close/>
              </a:path>
              <a:path w="5935980" h="2481580">
                <a:moveTo>
                  <a:pt x="5106924" y="1449324"/>
                </a:moveTo>
                <a:lnTo>
                  <a:pt x="4280916" y="1449324"/>
                </a:lnTo>
                <a:lnTo>
                  <a:pt x="4280916" y="1653540"/>
                </a:lnTo>
                <a:lnTo>
                  <a:pt x="5106924" y="1653540"/>
                </a:lnTo>
                <a:lnTo>
                  <a:pt x="5106924" y="1449324"/>
                </a:lnTo>
                <a:close/>
              </a:path>
              <a:path w="5935980" h="2481580">
                <a:moveTo>
                  <a:pt x="5106924" y="1242060"/>
                </a:moveTo>
                <a:lnTo>
                  <a:pt x="4280916" y="1242060"/>
                </a:lnTo>
                <a:lnTo>
                  <a:pt x="4280916" y="1446276"/>
                </a:lnTo>
                <a:lnTo>
                  <a:pt x="5106924" y="1446276"/>
                </a:lnTo>
                <a:lnTo>
                  <a:pt x="5106924" y="1242060"/>
                </a:lnTo>
                <a:close/>
              </a:path>
              <a:path w="5935980" h="2481580">
                <a:moveTo>
                  <a:pt x="5106924" y="1034796"/>
                </a:moveTo>
                <a:lnTo>
                  <a:pt x="4280916" y="1034796"/>
                </a:lnTo>
                <a:lnTo>
                  <a:pt x="4280916" y="1239012"/>
                </a:lnTo>
                <a:lnTo>
                  <a:pt x="5106924" y="1239012"/>
                </a:lnTo>
                <a:lnTo>
                  <a:pt x="5106924" y="1034796"/>
                </a:lnTo>
                <a:close/>
              </a:path>
              <a:path w="5935980" h="2481580">
                <a:moveTo>
                  <a:pt x="5106924" y="827532"/>
                </a:moveTo>
                <a:lnTo>
                  <a:pt x="4280916" y="827532"/>
                </a:lnTo>
                <a:lnTo>
                  <a:pt x="4280916" y="1031748"/>
                </a:lnTo>
                <a:lnTo>
                  <a:pt x="5106924" y="1031748"/>
                </a:lnTo>
                <a:lnTo>
                  <a:pt x="5106924" y="827532"/>
                </a:lnTo>
                <a:close/>
              </a:path>
              <a:path w="5935980" h="2481580">
                <a:moveTo>
                  <a:pt x="5106924" y="620268"/>
                </a:moveTo>
                <a:lnTo>
                  <a:pt x="4280916" y="620268"/>
                </a:lnTo>
                <a:lnTo>
                  <a:pt x="4280916" y="824484"/>
                </a:lnTo>
                <a:lnTo>
                  <a:pt x="5106924" y="824484"/>
                </a:lnTo>
                <a:lnTo>
                  <a:pt x="5106924" y="620268"/>
                </a:lnTo>
                <a:close/>
              </a:path>
              <a:path w="5935980" h="2481580">
                <a:moveTo>
                  <a:pt x="5106924" y="414528"/>
                </a:moveTo>
                <a:lnTo>
                  <a:pt x="4280916" y="414528"/>
                </a:lnTo>
                <a:lnTo>
                  <a:pt x="4280916" y="617220"/>
                </a:lnTo>
                <a:lnTo>
                  <a:pt x="5106924" y="617220"/>
                </a:lnTo>
                <a:lnTo>
                  <a:pt x="5106924" y="414528"/>
                </a:lnTo>
                <a:close/>
              </a:path>
              <a:path w="5935980" h="2481580">
                <a:moveTo>
                  <a:pt x="5106924" y="207264"/>
                </a:moveTo>
                <a:lnTo>
                  <a:pt x="4280916" y="207264"/>
                </a:lnTo>
                <a:lnTo>
                  <a:pt x="4280916" y="411480"/>
                </a:lnTo>
                <a:lnTo>
                  <a:pt x="5106924" y="411480"/>
                </a:lnTo>
                <a:lnTo>
                  <a:pt x="5106924" y="207264"/>
                </a:lnTo>
                <a:close/>
              </a:path>
              <a:path w="5935980" h="2481580">
                <a:moveTo>
                  <a:pt x="5106924" y="0"/>
                </a:moveTo>
                <a:lnTo>
                  <a:pt x="4280916" y="0"/>
                </a:lnTo>
                <a:lnTo>
                  <a:pt x="4280916" y="204216"/>
                </a:lnTo>
                <a:lnTo>
                  <a:pt x="5106924" y="204216"/>
                </a:lnTo>
                <a:lnTo>
                  <a:pt x="5106924" y="0"/>
                </a:lnTo>
                <a:close/>
              </a:path>
              <a:path w="5935980" h="2481580">
                <a:moveTo>
                  <a:pt x="5935980" y="2069592"/>
                </a:moveTo>
                <a:lnTo>
                  <a:pt x="5109972" y="2069592"/>
                </a:lnTo>
                <a:lnTo>
                  <a:pt x="5109972" y="2273808"/>
                </a:lnTo>
                <a:lnTo>
                  <a:pt x="5935980" y="2273808"/>
                </a:lnTo>
                <a:lnTo>
                  <a:pt x="5935980" y="2069592"/>
                </a:lnTo>
                <a:close/>
              </a:path>
              <a:path w="5935980" h="2481580">
                <a:moveTo>
                  <a:pt x="5935980" y="1862328"/>
                </a:moveTo>
                <a:lnTo>
                  <a:pt x="5109972" y="1862328"/>
                </a:lnTo>
                <a:lnTo>
                  <a:pt x="5109972" y="2066544"/>
                </a:lnTo>
                <a:lnTo>
                  <a:pt x="5935980" y="2066544"/>
                </a:lnTo>
                <a:lnTo>
                  <a:pt x="5935980" y="1862328"/>
                </a:lnTo>
                <a:close/>
              </a:path>
              <a:path w="5935980" h="2481580">
                <a:moveTo>
                  <a:pt x="5935980" y="1656588"/>
                </a:moveTo>
                <a:lnTo>
                  <a:pt x="5109972" y="1656588"/>
                </a:lnTo>
                <a:lnTo>
                  <a:pt x="5109972" y="1859280"/>
                </a:lnTo>
                <a:lnTo>
                  <a:pt x="5935980" y="1859280"/>
                </a:lnTo>
                <a:lnTo>
                  <a:pt x="5935980" y="1656588"/>
                </a:lnTo>
                <a:close/>
              </a:path>
              <a:path w="5935980" h="2481580">
                <a:moveTo>
                  <a:pt x="5935980" y="1449324"/>
                </a:moveTo>
                <a:lnTo>
                  <a:pt x="5109972" y="1449324"/>
                </a:lnTo>
                <a:lnTo>
                  <a:pt x="5109972" y="1653540"/>
                </a:lnTo>
                <a:lnTo>
                  <a:pt x="5935980" y="1653540"/>
                </a:lnTo>
                <a:lnTo>
                  <a:pt x="5935980" y="1449324"/>
                </a:lnTo>
                <a:close/>
              </a:path>
              <a:path w="5935980" h="2481580">
                <a:moveTo>
                  <a:pt x="5935980" y="1242060"/>
                </a:moveTo>
                <a:lnTo>
                  <a:pt x="5109972" y="1242060"/>
                </a:lnTo>
                <a:lnTo>
                  <a:pt x="5109972" y="1446276"/>
                </a:lnTo>
                <a:lnTo>
                  <a:pt x="5935980" y="1446276"/>
                </a:lnTo>
                <a:lnTo>
                  <a:pt x="5935980" y="1242060"/>
                </a:lnTo>
                <a:close/>
              </a:path>
              <a:path w="5935980" h="2481580">
                <a:moveTo>
                  <a:pt x="5935980" y="1034796"/>
                </a:moveTo>
                <a:lnTo>
                  <a:pt x="5109972" y="1034796"/>
                </a:lnTo>
                <a:lnTo>
                  <a:pt x="5109972" y="1239012"/>
                </a:lnTo>
                <a:lnTo>
                  <a:pt x="5935980" y="1239012"/>
                </a:lnTo>
                <a:lnTo>
                  <a:pt x="5935980" y="1034796"/>
                </a:lnTo>
                <a:close/>
              </a:path>
              <a:path w="5935980" h="2481580">
                <a:moveTo>
                  <a:pt x="5935980" y="827532"/>
                </a:moveTo>
                <a:lnTo>
                  <a:pt x="5109972" y="827532"/>
                </a:lnTo>
                <a:lnTo>
                  <a:pt x="5109972" y="1031748"/>
                </a:lnTo>
                <a:lnTo>
                  <a:pt x="5935980" y="1031748"/>
                </a:lnTo>
                <a:lnTo>
                  <a:pt x="5935980" y="827532"/>
                </a:lnTo>
                <a:close/>
              </a:path>
              <a:path w="5935980" h="2481580">
                <a:moveTo>
                  <a:pt x="5935980" y="620268"/>
                </a:moveTo>
                <a:lnTo>
                  <a:pt x="5109972" y="620268"/>
                </a:lnTo>
                <a:lnTo>
                  <a:pt x="5109972" y="824484"/>
                </a:lnTo>
                <a:lnTo>
                  <a:pt x="5935980" y="824484"/>
                </a:lnTo>
                <a:lnTo>
                  <a:pt x="5935980" y="620268"/>
                </a:lnTo>
                <a:close/>
              </a:path>
              <a:path w="5935980" h="2481580">
                <a:moveTo>
                  <a:pt x="5935980" y="414528"/>
                </a:moveTo>
                <a:lnTo>
                  <a:pt x="5109972" y="414528"/>
                </a:lnTo>
                <a:lnTo>
                  <a:pt x="5109972" y="617220"/>
                </a:lnTo>
                <a:lnTo>
                  <a:pt x="5935980" y="617220"/>
                </a:lnTo>
                <a:lnTo>
                  <a:pt x="5935980" y="414528"/>
                </a:lnTo>
                <a:close/>
              </a:path>
              <a:path w="5935980" h="2481580">
                <a:moveTo>
                  <a:pt x="5935980" y="207264"/>
                </a:moveTo>
                <a:lnTo>
                  <a:pt x="5109972" y="207264"/>
                </a:lnTo>
                <a:lnTo>
                  <a:pt x="5109972" y="411480"/>
                </a:lnTo>
                <a:lnTo>
                  <a:pt x="5935980" y="411480"/>
                </a:lnTo>
                <a:lnTo>
                  <a:pt x="5935980" y="207264"/>
                </a:lnTo>
                <a:close/>
              </a:path>
              <a:path w="5935980" h="2481580">
                <a:moveTo>
                  <a:pt x="5935980" y="0"/>
                </a:moveTo>
                <a:lnTo>
                  <a:pt x="5109972" y="0"/>
                </a:lnTo>
                <a:lnTo>
                  <a:pt x="5109972" y="204216"/>
                </a:lnTo>
                <a:lnTo>
                  <a:pt x="5935980" y="204216"/>
                </a:lnTo>
                <a:lnTo>
                  <a:pt x="593598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700-00004A000000}"/>
              </a:ext>
            </a:extLst>
          </xdr:cNvPr>
          <xdr:cNvSpPr/>
        </xdr:nvSpPr>
        <xdr:spPr>
          <a:xfrm>
            <a:off x="0" y="0"/>
            <a:ext cx="7315200" cy="4136390"/>
          </a:xfrm>
          <a:custGeom>
            <a:avLst/>
            <a:gdLst/>
            <a:ahLst/>
            <a:cxnLst/>
            <a:rect l="0" t="0" r="0" b="0"/>
            <a:pathLst>
              <a:path w="7315200" h="4136390">
                <a:moveTo>
                  <a:pt x="339852" y="3726180"/>
                </a:moveTo>
                <a:lnTo>
                  <a:pt x="0" y="3726180"/>
                </a:lnTo>
                <a:lnTo>
                  <a:pt x="0" y="4136136"/>
                </a:lnTo>
                <a:lnTo>
                  <a:pt x="339852" y="4136136"/>
                </a:lnTo>
                <a:lnTo>
                  <a:pt x="339852" y="3726180"/>
                </a:lnTo>
                <a:close/>
              </a:path>
              <a:path w="7315200" h="4136390">
                <a:moveTo>
                  <a:pt x="339852" y="3311652"/>
                </a:moveTo>
                <a:lnTo>
                  <a:pt x="0" y="3311652"/>
                </a:lnTo>
                <a:lnTo>
                  <a:pt x="0" y="3721608"/>
                </a:lnTo>
                <a:lnTo>
                  <a:pt x="339852" y="3721608"/>
                </a:lnTo>
                <a:lnTo>
                  <a:pt x="339852" y="3311652"/>
                </a:lnTo>
                <a:close/>
              </a:path>
              <a:path w="7315200" h="4136390">
                <a:moveTo>
                  <a:pt x="339852" y="2897124"/>
                </a:moveTo>
                <a:lnTo>
                  <a:pt x="0" y="2897124"/>
                </a:lnTo>
                <a:lnTo>
                  <a:pt x="0" y="3308604"/>
                </a:lnTo>
                <a:lnTo>
                  <a:pt x="339852" y="3308604"/>
                </a:lnTo>
                <a:lnTo>
                  <a:pt x="339852" y="2897124"/>
                </a:lnTo>
                <a:close/>
              </a:path>
              <a:path w="7315200" h="4136390">
                <a:moveTo>
                  <a:pt x="339852" y="0"/>
                </a:moveTo>
                <a:lnTo>
                  <a:pt x="0" y="0"/>
                </a:lnTo>
                <a:lnTo>
                  <a:pt x="0" y="2894076"/>
                </a:lnTo>
                <a:lnTo>
                  <a:pt x="339852" y="2894076"/>
                </a:lnTo>
                <a:lnTo>
                  <a:pt x="339852" y="0"/>
                </a:lnTo>
                <a:close/>
              </a:path>
              <a:path w="7315200" h="4136390">
                <a:moveTo>
                  <a:pt x="1376172" y="3726180"/>
                </a:moveTo>
                <a:lnTo>
                  <a:pt x="342900" y="3726180"/>
                </a:lnTo>
                <a:lnTo>
                  <a:pt x="342900" y="4136136"/>
                </a:lnTo>
                <a:lnTo>
                  <a:pt x="1376172" y="4136136"/>
                </a:lnTo>
                <a:lnTo>
                  <a:pt x="1376172" y="3726180"/>
                </a:lnTo>
                <a:close/>
              </a:path>
              <a:path w="7315200" h="4136390">
                <a:moveTo>
                  <a:pt x="1376172" y="3311652"/>
                </a:moveTo>
                <a:lnTo>
                  <a:pt x="342900" y="3311652"/>
                </a:lnTo>
                <a:lnTo>
                  <a:pt x="342900" y="3721608"/>
                </a:lnTo>
                <a:lnTo>
                  <a:pt x="1376172" y="3721608"/>
                </a:lnTo>
                <a:lnTo>
                  <a:pt x="1376172" y="3311652"/>
                </a:lnTo>
                <a:close/>
              </a:path>
              <a:path w="7315200" h="4136390">
                <a:moveTo>
                  <a:pt x="1376172" y="2897124"/>
                </a:moveTo>
                <a:lnTo>
                  <a:pt x="342900" y="2897124"/>
                </a:lnTo>
                <a:lnTo>
                  <a:pt x="342900" y="3308604"/>
                </a:lnTo>
                <a:lnTo>
                  <a:pt x="1376172" y="3308604"/>
                </a:lnTo>
                <a:lnTo>
                  <a:pt x="1376172" y="2897124"/>
                </a:lnTo>
                <a:close/>
              </a:path>
              <a:path w="7315200" h="4136390">
                <a:moveTo>
                  <a:pt x="1376172" y="0"/>
                </a:moveTo>
                <a:lnTo>
                  <a:pt x="342900" y="0"/>
                </a:lnTo>
                <a:lnTo>
                  <a:pt x="342900" y="2894076"/>
                </a:lnTo>
                <a:lnTo>
                  <a:pt x="1376172" y="2894076"/>
                </a:lnTo>
                <a:lnTo>
                  <a:pt x="1376172" y="0"/>
                </a:lnTo>
                <a:close/>
              </a:path>
              <a:path w="7315200" h="4136390">
                <a:moveTo>
                  <a:pt x="2753868" y="3726180"/>
                </a:moveTo>
                <a:lnTo>
                  <a:pt x="1379220" y="3726180"/>
                </a:lnTo>
                <a:lnTo>
                  <a:pt x="1379220" y="4136136"/>
                </a:lnTo>
                <a:lnTo>
                  <a:pt x="2753868" y="4136136"/>
                </a:lnTo>
                <a:lnTo>
                  <a:pt x="2753868" y="3726180"/>
                </a:lnTo>
                <a:close/>
              </a:path>
              <a:path w="7315200" h="4136390">
                <a:moveTo>
                  <a:pt x="2753868" y="3311652"/>
                </a:moveTo>
                <a:lnTo>
                  <a:pt x="1379220" y="3311652"/>
                </a:lnTo>
                <a:lnTo>
                  <a:pt x="1379220" y="3721608"/>
                </a:lnTo>
                <a:lnTo>
                  <a:pt x="2753868" y="3721608"/>
                </a:lnTo>
                <a:lnTo>
                  <a:pt x="2753868" y="3311652"/>
                </a:lnTo>
                <a:close/>
              </a:path>
              <a:path w="7315200" h="4136390">
                <a:moveTo>
                  <a:pt x="2753868" y="2897124"/>
                </a:moveTo>
                <a:lnTo>
                  <a:pt x="1379220" y="2897124"/>
                </a:lnTo>
                <a:lnTo>
                  <a:pt x="1379220" y="3308604"/>
                </a:lnTo>
                <a:lnTo>
                  <a:pt x="2753868" y="3308604"/>
                </a:lnTo>
                <a:lnTo>
                  <a:pt x="2753868" y="2897124"/>
                </a:lnTo>
                <a:close/>
              </a:path>
              <a:path w="7315200" h="4136390">
                <a:moveTo>
                  <a:pt x="2753868" y="1656588"/>
                </a:moveTo>
                <a:lnTo>
                  <a:pt x="1379220" y="1656588"/>
                </a:lnTo>
                <a:lnTo>
                  <a:pt x="1379220" y="2894076"/>
                </a:lnTo>
                <a:lnTo>
                  <a:pt x="2753868" y="2894076"/>
                </a:lnTo>
                <a:lnTo>
                  <a:pt x="2753868" y="1656588"/>
                </a:lnTo>
                <a:close/>
              </a:path>
              <a:path w="7315200" h="4136390">
                <a:moveTo>
                  <a:pt x="3304032" y="3931920"/>
                </a:moveTo>
                <a:lnTo>
                  <a:pt x="2756916" y="3931920"/>
                </a:lnTo>
                <a:lnTo>
                  <a:pt x="2756916" y="4136136"/>
                </a:lnTo>
                <a:lnTo>
                  <a:pt x="3304032" y="4136136"/>
                </a:lnTo>
                <a:lnTo>
                  <a:pt x="3304032" y="3931920"/>
                </a:lnTo>
                <a:close/>
              </a:path>
              <a:path w="7315200" h="4136390">
                <a:moveTo>
                  <a:pt x="3304032" y="3726180"/>
                </a:moveTo>
                <a:lnTo>
                  <a:pt x="2756916" y="3726180"/>
                </a:lnTo>
                <a:lnTo>
                  <a:pt x="2756916" y="3928872"/>
                </a:lnTo>
                <a:lnTo>
                  <a:pt x="3304032" y="3928872"/>
                </a:lnTo>
                <a:lnTo>
                  <a:pt x="3304032" y="3726180"/>
                </a:lnTo>
                <a:close/>
              </a:path>
              <a:path w="7315200" h="4136390">
                <a:moveTo>
                  <a:pt x="3304032" y="3518916"/>
                </a:moveTo>
                <a:lnTo>
                  <a:pt x="2756916" y="3518916"/>
                </a:lnTo>
                <a:lnTo>
                  <a:pt x="2756916" y="3721608"/>
                </a:lnTo>
                <a:lnTo>
                  <a:pt x="3304032" y="3721608"/>
                </a:lnTo>
                <a:lnTo>
                  <a:pt x="3304032" y="3518916"/>
                </a:lnTo>
                <a:close/>
              </a:path>
              <a:path w="7315200" h="4136390">
                <a:moveTo>
                  <a:pt x="3304032" y="3311652"/>
                </a:moveTo>
                <a:lnTo>
                  <a:pt x="2756916" y="3311652"/>
                </a:lnTo>
                <a:lnTo>
                  <a:pt x="2756916" y="3515868"/>
                </a:lnTo>
                <a:lnTo>
                  <a:pt x="3304032" y="3515868"/>
                </a:lnTo>
                <a:lnTo>
                  <a:pt x="3304032" y="3311652"/>
                </a:lnTo>
                <a:close/>
              </a:path>
              <a:path w="7315200" h="4136390">
                <a:moveTo>
                  <a:pt x="3304032" y="3104388"/>
                </a:moveTo>
                <a:lnTo>
                  <a:pt x="2756916" y="3104388"/>
                </a:lnTo>
                <a:lnTo>
                  <a:pt x="2756916" y="3308604"/>
                </a:lnTo>
                <a:lnTo>
                  <a:pt x="3304032" y="3308604"/>
                </a:lnTo>
                <a:lnTo>
                  <a:pt x="3304032" y="3104388"/>
                </a:lnTo>
                <a:close/>
              </a:path>
              <a:path w="7315200" h="4136390">
                <a:moveTo>
                  <a:pt x="3304032" y="2897124"/>
                </a:moveTo>
                <a:lnTo>
                  <a:pt x="2756916" y="2897124"/>
                </a:lnTo>
                <a:lnTo>
                  <a:pt x="2756916" y="3101340"/>
                </a:lnTo>
                <a:lnTo>
                  <a:pt x="3304032" y="3101340"/>
                </a:lnTo>
                <a:lnTo>
                  <a:pt x="3304032" y="2897124"/>
                </a:lnTo>
                <a:close/>
              </a:path>
              <a:path w="7315200" h="4136390">
                <a:moveTo>
                  <a:pt x="3304032" y="2689860"/>
                </a:moveTo>
                <a:lnTo>
                  <a:pt x="2756916" y="2689860"/>
                </a:lnTo>
                <a:lnTo>
                  <a:pt x="2756916" y="2894076"/>
                </a:lnTo>
                <a:lnTo>
                  <a:pt x="3304032" y="2894076"/>
                </a:lnTo>
                <a:lnTo>
                  <a:pt x="3304032" y="2689860"/>
                </a:lnTo>
                <a:close/>
              </a:path>
              <a:path w="7315200" h="4136390">
                <a:moveTo>
                  <a:pt x="3304032" y="2484120"/>
                </a:moveTo>
                <a:lnTo>
                  <a:pt x="2756916" y="2484120"/>
                </a:lnTo>
                <a:lnTo>
                  <a:pt x="2756916" y="2686812"/>
                </a:lnTo>
                <a:lnTo>
                  <a:pt x="3304032" y="2686812"/>
                </a:lnTo>
                <a:lnTo>
                  <a:pt x="3304032" y="2484120"/>
                </a:lnTo>
                <a:close/>
              </a:path>
              <a:path w="7315200" h="4136390">
                <a:moveTo>
                  <a:pt x="3998976" y="3931920"/>
                </a:moveTo>
                <a:lnTo>
                  <a:pt x="3307080" y="3931920"/>
                </a:lnTo>
                <a:lnTo>
                  <a:pt x="3307080" y="4136136"/>
                </a:lnTo>
                <a:lnTo>
                  <a:pt x="3998976" y="4136136"/>
                </a:lnTo>
                <a:lnTo>
                  <a:pt x="3998976" y="3931920"/>
                </a:lnTo>
                <a:close/>
              </a:path>
              <a:path w="7315200" h="4136390">
                <a:moveTo>
                  <a:pt x="3998976" y="3726180"/>
                </a:moveTo>
                <a:lnTo>
                  <a:pt x="3307080" y="3726180"/>
                </a:lnTo>
                <a:lnTo>
                  <a:pt x="3307080" y="3928872"/>
                </a:lnTo>
                <a:lnTo>
                  <a:pt x="3998976" y="3928872"/>
                </a:lnTo>
                <a:lnTo>
                  <a:pt x="3998976" y="3726180"/>
                </a:lnTo>
                <a:close/>
              </a:path>
              <a:path w="7315200" h="4136390">
                <a:moveTo>
                  <a:pt x="3998976" y="3518916"/>
                </a:moveTo>
                <a:lnTo>
                  <a:pt x="3307080" y="3518916"/>
                </a:lnTo>
                <a:lnTo>
                  <a:pt x="3307080" y="3721608"/>
                </a:lnTo>
                <a:lnTo>
                  <a:pt x="3998976" y="3721608"/>
                </a:lnTo>
                <a:lnTo>
                  <a:pt x="3998976" y="3518916"/>
                </a:lnTo>
                <a:close/>
              </a:path>
              <a:path w="7315200" h="4136390">
                <a:moveTo>
                  <a:pt x="3998976" y="3311652"/>
                </a:moveTo>
                <a:lnTo>
                  <a:pt x="3307080" y="3311652"/>
                </a:lnTo>
                <a:lnTo>
                  <a:pt x="3307080" y="3515868"/>
                </a:lnTo>
                <a:lnTo>
                  <a:pt x="3998976" y="3515868"/>
                </a:lnTo>
                <a:lnTo>
                  <a:pt x="3998976" y="3311652"/>
                </a:lnTo>
                <a:close/>
              </a:path>
              <a:path w="7315200" h="4136390">
                <a:moveTo>
                  <a:pt x="3998976" y="3104388"/>
                </a:moveTo>
                <a:lnTo>
                  <a:pt x="3307080" y="3104388"/>
                </a:lnTo>
                <a:lnTo>
                  <a:pt x="3307080" y="3308604"/>
                </a:lnTo>
                <a:lnTo>
                  <a:pt x="3998976" y="3308604"/>
                </a:lnTo>
                <a:lnTo>
                  <a:pt x="3998976" y="3104388"/>
                </a:lnTo>
                <a:close/>
              </a:path>
              <a:path w="7315200" h="4136390">
                <a:moveTo>
                  <a:pt x="3998976" y="2897124"/>
                </a:moveTo>
                <a:lnTo>
                  <a:pt x="3307080" y="2897124"/>
                </a:lnTo>
                <a:lnTo>
                  <a:pt x="3307080" y="3101340"/>
                </a:lnTo>
                <a:lnTo>
                  <a:pt x="3998976" y="3101340"/>
                </a:lnTo>
                <a:lnTo>
                  <a:pt x="3998976" y="2897124"/>
                </a:lnTo>
                <a:close/>
              </a:path>
              <a:path w="7315200" h="4136390">
                <a:moveTo>
                  <a:pt x="3998976" y="2689860"/>
                </a:moveTo>
                <a:lnTo>
                  <a:pt x="3307080" y="2689860"/>
                </a:lnTo>
                <a:lnTo>
                  <a:pt x="3307080" y="2894076"/>
                </a:lnTo>
                <a:lnTo>
                  <a:pt x="3998976" y="2894076"/>
                </a:lnTo>
                <a:lnTo>
                  <a:pt x="3998976" y="2689860"/>
                </a:lnTo>
                <a:close/>
              </a:path>
              <a:path w="7315200" h="4136390">
                <a:moveTo>
                  <a:pt x="3998976" y="2484120"/>
                </a:moveTo>
                <a:lnTo>
                  <a:pt x="3307080" y="2484120"/>
                </a:lnTo>
                <a:lnTo>
                  <a:pt x="3307080" y="2686812"/>
                </a:lnTo>
                <a:lnTo>
                  <a:pt x="3998976" y="2686812"/>
                </a:lnTo>
                <a:lnTo>
                  <a:pt x="3998976" y="2484120"/>
                </a:lnTo>
                <a:close/>
              </a:path>
              <a:path w="7315200" h="4136390">
                <a:moveTo>
                  <a:pt x="4828032" y="3931920"/>
                </a:moveTo>
                <a:lnTo>
                  <a:pt x="4002024" y="3931920"/>
                </a:lnTo>
                <a:lnTo>
                  <a:pt x="4002024" y="4136136"/>
                </a:lnTo>
                <a:lnTo>
                  <a:pt x="4828032" y="4136136"/>
                </a:lnTo>
                <a:lnTo>
                  <a:pt x="4828032" y="3931920"/>
                </a:lnTo>
                <a:close/>
              </a:path>
              <a:path w="7315200" h="4136390">
                <a:moveTo>
                  <a:pt x="4828032" y="3726180"/>
                </a:moveTo>
                <a:lnTo>
                  <a:pt x="4002024" y="3726180"/>
                </a:lnTo>
                <a:lnTo>
                  <a:pt x="4002024" y="3928872"/>
                </a:lnTo>
                <a:lnTo>
                  <a:pt x="4828032" y="3928872"/>
                </a:lnTo>
                <a:lnTo>
                  <a:pt x="4828032" y="3726180"/>
                </a:lnTo>
                <a:close/>
              </a:path>
              <a:path w="7315200" h="4136390">
                <a:moveTo>
                  <a:pt x="4828032" y="3518916"/>
                </a:moveTo>
                <a:lnTo>
                  <a:pt x="4002024" y="3518916"/>
                </a:lnTo>
                <a:lnTo>
                  <a:pt x="4002024" y="3721608"/>
                </a:lnTo>
                <a:lnTo>
                  <a:pt x="4828032" y="3721608"/>
                </a:lnTo>
                <a:lnTo>
                  <a:pt x="4828032" y="3518916"/>
                </a:lnTo>
                <a:close/>
              </a:path>
              <a:path w="7315200" h="4136390">
                <a:moveTo>
                  <a:pt x="4828032" y="3311652"/>
                </a:moveTo>
                <a:lnTo>
                  <a:pt x="4002024" y="3311652"/>
                </a:lnTo>
                <a:lnTo>
                  <a:pt x="4002024" y="3515868"/>
                </a:lnTo>
                <a:lnTo>
                  <a:pt x="4828032" y="3515868"/>
                </a:lnTo>
                <a:lnTo>
                  <a:pt x="4828032" y="3311652"/>
                </a:lnTo>
                <a:close/>
              </a:path>
              <a:path w="7315200" h="4136390">
                <a:moveTo>
                  <a:pt x="4828032" y="3104388"/>
                </a:moveTo>
                <a:lnTo>
                  <a:pt x="4002024" y="3104388"/>
                </a:lnTo>
                <a:lnTo>
                  <a:pt x="4002024" y="3308604"/>
                </a:lnTo>
                <a:lnTo>
                  <a:pt x="4828032" y="3308604"/>
                </a:lnTo>
                <a:lnTo>
                  <a:pt x="4828032" y="3104388"/>
                </a:lnTo>
                <a:close/>
              </a:path>
              <a:path w="7315200" h="4136390">
                <a:moveTo>
                  <a:pt x="4828032" y="2897124"/>
                </a:moveTo>
                <a:lnTo>
                  <a:pt x="4002024" y="2897124"/>
                </a:lnTo>
                <a:lnTo>
                  <a:pt x="4002024" y="3101340"/>
                </a:lnTo>
                <a:lnTo>
                  <a:pt x="4828032" y="3101340"/>
                </a:lnTo>
                <a:lnTo>
                  <a:pt x="4828032" y="2897124"/>
                </a:lnTo>
                <a:close/>
              </a:path>
              <a:path w="7315200" h="4136390">
                <a:moveTo>
                  <a:pt x="4828032" y="2689860"/>
                </a:moveTo>
                <a:lnTo>
                  <a:pt x="4002024" y="2689860"/>
                </a:lnTo>
                <a:lnTo>
                  <a:pt x="4002024" y="2894076"/>
                </a:lnTo>
                <a:lnTo>
                  <a:pt x="4828032" y="2894076"/>
                </a:lnTo>
                <a:lnTo>
                  <a:pt x="4828032" y="2689860"/>
                </a:lnTo>
                <a:close/>
              </a:path>
              <a:path w="7315200" h="4136390">
                <a:moveTo>
                  <a:pt x="4828032" y="2484120"/>
                </a:moveTo>
                <a:lnTo>
                  <a:pt x="4002024" y="2484120"/>
                </a:lnTo>
                <a:lnTo>
                  <a:pt x="4002024" y="2686812"/>
                </a:lnTo>
                <a:lnTo>
                  <a:pt x="4828032" y="2686812"/>
                </a:lnTo>
                <a:lnTo>
                  <a:pt x="4828032" y="2484120"/>
                </a:lnTo>
                <a:close/>
              </a:path>
              <a:path w="7315200" h="4136390">
                <a:moveTo>
                  <a:pt x="5657088" y="3931920"/>
                </a:moveTo>
                <a:lnTo>
                  <a:pt x="4831080" y="3931920"/>
                </a:lnTo>
                <a:lnTo>
                  <a:pt x="4831080" y="4136136"/>
                </a:lnTo>
                <a:lnTo>
                  <a:pt x="5657088" y="4136136"/>
                </a:lnTo>
                <a:lnTo>
                  <a:pt x="5657088" y="3931920"/>
                </a:lnTo>
                <a:close/>
              </a:path>
              <a:path w="7315200" h="4136390">
                <a:moveTo>
                  <a:pt x="5657088" y="3726180"/>
                </a:moveTo>
                <a:lnTo>
                  <a:pt x="4831080" y="3726180"/>
                </a:lnTo>
                <a:lnTo>
                  <a:pt x="4831080" y="3928872"/>
                </a:lnTo>
                <a:lnTo>
                  <a:pt x="5657088" y="3928872"/>
                </a:lnTo>
                <a:lnTo>
                  <a:pt x="5657088" y="3726180"/>
                </a:lnTo>
                <a:close/>
              </a:path>
              <a:path w="7315200" h="4136390">
                <a:moveTo>
                  <a:pt x="5657088" y="3518916"/>
                </a:moveTo>
                <a:lnTo>
                  <a:pt x="4831080" y="3518916"/>
                </a:lnTo>
                <a:lnTo>
                  <a:pt x="4831080" y="3721608"/>
                </a:lnTo>
                <a:lnTo>
                  <a:pt x="5657088" y="3721608"/>
                </a:lnTo>
                <a:lnTo>
                  <a:pt x="5657088" y="3518916"/>
                </a:lnTo>
                <a:close/>
              </a:path>
              <a:path w="7315200" h="4136390">
                <a:moveTo>
                  <a:pt x="5657088" y="3311652"/>
                </a:moveTo>
                <a:lnTo>
                  <a:pt x="4831080" y="3311652"/>
                </a:lnTo>
                <a:lnTo>
                  <a:pt x="4831080" y="3515868"/>
                </a:lnTo>
                <a:lnTo>
                  <a:pt x="5657088" y="3515868"/>
                </a:lnTo>
                <a:lnTo>
                  <a:pt x="5657088" y="3311652"/>
                </a:lnTo>
                <a:close/>
              </a:path>
              <a:path w="7315200" h="4136390">
                <a:moveTo>
                  <a:pt x="5657088" y="3104388"/>
                </a:moveTo>
                <a:lnTo>
                  <a:pt x="4831080" y="3104388"/>
                </a:lnTo>
                <a:lnTo>
                  <a:pt x="4831080" y="3308604"/>
                </a:lnTo>
                <a:lnTo>
                  <a:pt x="5657088" y="3308604"/>
                </a:lnTo>
                <a:lnTo>
                  <a:pt x="5657088" y="3104388"/>
                </a:lnTo>
                <a:close/>
              </a:path>
              <a:path w="7315200" h="4136390">
                <a:moveTo>
                  <a:pt x="5657088" y="2897124"/>
                </a:moveTo>
                <a:lnTo>
                  <a:pt x="4831080" y="2897124"/>
                </a:lnTo>
                <a:lnTo>
                  <a:pt x="4831080" y="3101340"/>
                </a:lnTo>
                <a:lnTo>
                  <a:pt x="5657088" y="3101340"/>
                </a:lnTo>
                <a:lnTo>
                  <a:pt x="5657088" y="2897124"/>
                </a:lnTo>
                <a:close/>
              </a:path>
              <a:path w="7315200" h="4136390">
                <a:moveTo>
                  <a:pt x="5657088" y="2689860"/>
                </a:moveTo>
                <a:lnTo>
                  <a:pt x="4831080" y="2689860"/>
                </a:lnTo>
                <a:lnTo>
                  <a:pt x="4831080" y="2894076"/>
                </a:lnTo>
                <a:lnTo>
                  <a:pt x="5657088" y="2894076"/>
                </a:lnTo>
                <a:lnTo>
                  <a:pt x="5657088" y="2689860"/>
                </a:lnTo>
                <a:close/>
              </a:path>
              <a:path w="7315200" h="4136390">
                <a:moveTo>
                  <a:pt x="5657088" y="2484120"/>
                </a:moveTo>
                <a:lnTo>
                  <a:pt x="4831080" y="2484120"/>
                </a:lnTo>
                <a:lnTo>
                  <a:pt x="4831080" y="2686812"/>
                </a:lnTo>
                <a:lnTo>
                  <a:pt x="5657088" y="2686812"/>
                </a:lnTo>
                <a:lnTo>
                  <a:pt x="5657088" y="2484120"/>
                </a:lnTo>
                <a:close/>
              </a:path>
              <a:path w="7315200" h="4136390">
                <a:moveTo>
                  <a:pt x="5657088" y="2276856"/>
                </a:moveTo>
                <a:lnTo>
                  <a:pt x="4831080" y="2276856"/>
                </a:lnTo>
                <a:lnTo>
                  <a:pt x="4831080" y="2481072"/>
                </a:lnTo>
                <a:lnTo>
                  <a:pt x="5657088" y="2481072"/>
                </a:lnTo>
                <a:lnTo>
                  <a:pt x="5657088" y="2276856"/>
                </a:lnTo>
                <a:close/>
              </a:path>
              <a:path w="7315200" h="4136390">
                <a:moveTo>
                  <a:pt x="6486144" y="3931920"/>
                </a:moveTo>
                <a:lnTo>
                  <a:pt x="5660136" y="3931920"/>
                </a:lnTo>
                <a:lnTo>
                  <a:pt x="5660136" y="4136136"/>
                </a:lnTo>
                <a:lnTo>
                  <a:pt x="6486144" y="4136136"/>
                </a:lnTo>
                <a:lnTo>
                  <a:pt x="6486144" y="3931920"/>
                </a:lnTo>
                <a:close/>
              </a:path>
              <a:path w="7315200" h="4136390">
                <a:moveTo>
                  <a:pt x="6486144" y="3726180"/>
                </a:moveTo>
                <a:lnTo>
                  <a:pt x="5660136" y="3726180"/>
                </a:lnTo>
                <a:lnTo>
                  <a:pt x="5660136" y="3928872"/>
                </a:lnTo>
                <a:lnTo>
                  <a:pt x="6486144" y="3928872"/>
                </a:lnTo>
                <a:lnTo>
                  <a:pt x="6486144" y="3726180"/>
                </a:lnTo>
                <a:close/>
              </a:path>
              <a:path w="7315200" h="4136390">
                <a:moveTo>
                  <a:pt x="6486144" y="3518916"/>
                </a:moveTo>
                <a:lnTo>
                  <a:pt x="5660136" y="3518916"/>
                </a:lnTo>
                <a:lnTo>
                  <a:pt x="5660136" y="3721608"/>
                </a:lnTo>
                <a:lnTo>
                  <a:pt x="6486144" y="3721608"/>
                </a:lnTo>
                <a:lnTo>
                  <a:pt x="6486144" y="3518916"/>
                </a:lnTo>
                <a:close/>
              </a:path>
              <a:path w="7315200" h="4136390">
                <a:moveTo>
                  <a:pt x="6486144" y="3311652"/>
                </a:moveTo>
                <a:lnTo>
                  <a:pt x="5660136" y="3311652"/>
                </a:lnTo>
                <a:lnTo>
                  <a:pt x="5660136" y="3515868"/>
                </a:lnTo>
                <a:lnTo>
                  <a:pt x="6486144" y="3515868"/>
                </a:lnTo>
                <a:lnTo>
                  <a:pt x="6486144" y="3311652"/>
                </a:lnTo>
                <a:close/>
              </a:path>
              <a:path w="7315200" h="4136390">
                <a:moveTo>
                  <a:pt x="6486144" y="3104388"/>
                </a:moveTo>
                <a:lnTo>
                  <a:pt x="5660136" y="3104388"/>
                </a:lnTo>
                <a:lnTo>
                  <a:pt x="5660136" y="3308604"/>
                </a:lnTo>
                <a:lnTo>
                  <a:pt x="6486144" y="3308604"/>
                </a:lnTo>
                <a:lnTo>
                  <a:pt x="6486144" y="3104388"/>
                </a:lnTo>
                <a:close/>
              </a:path>
              <a:path w="7315200" h="4136390">
                <a:moveTo>
                  <a:pt x="6486144" y="2897124"/>
                </a:moveTo>
                <a:lnTo>
                  <a:pt x="5660136" y="2897124"/>
                </a:lnTo>
                <a:lnTo>
                  <a:pt x="5660136" y="3101340"/>
                </a:lnTo>
                <a:lnTo>
                  <a:pt x="6486144" y="3101340"/>
                </a:lnTo>
                <a:lnTo>
                  <a:pt x="6486144" y="2897124"/>
                </a:lnTo>
                <a:close/>
              </a:path>
              <a:path w="7315200" h="4136390">
                <a:moveTo>
                  <a:pt x="6486144" y="2689860"/>
                </a:moveTo>
                <a:lnTo>
                  <a:pt x="5660136" y="2689860"/>
                </a:lnTo>
                <a:lnTo>
                  <a:pt x="5660136" y="2894076"/>
                </a:lnTo>
                <a:lnTo>
                  <a:pt x="6486144" y="2894076"/>
                </a:lnTo>
                <a:lnTo>
                  <a:pt x="6486144" y="2689860"/>
                </a:lnTo>
                <a:close/>
              </a:path>
              <a:path w="7315200" h="4136390">
                <a:moveTo>
                  <a:pt x="6486144" y="2484120"/>
                </a:moveTo>
                <a:lnTo>
                  <a:pt x="5660136" y="2484120"/>
                </a:lnTo>
                <a:lnTo>
                  <a:pt x="5660136" y="2686812"/>
                </a:lnTo>
                <a:lnTo>
                  <a:pt x="6486144" y="2686812"/>
                </a:lnTo>
                <a:lnTo>
                  <a:pt x="6486144" y="2484120"/>
                </a:lnTo>
                <a:close/>
              </a:path>
              <a:path w="7315200" h="4136390">
                <a:moveTo>
                  <a:pt x="6486144" y="2276856"/>
                </a:moveTo>
                <a:lnTo>
                  <a:pt x="5660136" y="2276856"/>
                </a:lnTo>
                <a:lnTo>
                  <a:pt x="5660136" y="2481072"/>
                </a:lnTo>
                <a:lnTo>
                  <a:pt x="6486144" y="2481072"/>
                </a:lnTo>
                <a:lnTo>
                  <a:pt x="6486144" y="2276856"/>
                </a:lnTo>
                <a:close/>
              </a:path>
              <a:path w="7315200" h="4136390">
                <a:moveTo>
                  <a:pt x="7315200" y="3931920"/>
                </a:moveTo>
                <a:lnTo>
                  <a:pt x="6489192" y="3931920"/>
                </a:lnTo>
                <a:lnTo>
                  <a:pt x="6489192" y="4136136"/>
                </a:lnTo>
                <a:lnTo>
                  <a:pt x="7315200" y="4136136"/>
                </a:lnTo>
                <a:lnTo>
                  <a:pt x="7315200" y="3931920"/>
                </a:lnTo>
                <a:close/>
              </a:path>
              <a:path w="7315200" h="4136390">
                <a:moveTo>
                  <a:pt x="7315200" y="3726180"/>
                </a:moveTo>
                <a:lnTo>
                  <a:pt x="6489192" y="3726180"/>
                </a:lnTo>
                <a:lnTo>
                  <a:pt x="6489192" y="3928872"/>
                </a:lnTo>
                <a:lnTo>
                  <a:pt x="7315200" y="3928872"/>
                </a:lnTo>
                <a:lnTo>
                  <a:pt x="7315200" y="3726180"/>
                </a:lnTo>
                <a:close/>
              </a:path>
              <a:path w="7315200" h="4136390">
                <a:moveTo>
                  <a:pt x="7315200" y="3518916"/>
                </a:moveTo>
                <a:lnTo>
                  <a:pt x="6489192" y="3518916"/>
                </a:lnTo>
                <a:lnTo>
                  <a:pt x="6489192" y="3721608"/>
                </a:lnTo>
                <a:lnTo>
                  <a:pt x="7315200" y="3721608"/>
                </a:lnTo>
                <a:lnTo>
                  <a:pt x="7315200" y="3518916"/>
                </a:lnTo>
                <a:close/>
              </a:path>
              <a:path w="7315200" h="4136390">
                <a:moveTo>
                  <a:pt x="7315200" y="3311652"/>
                </a:moveTo>
                <a:lnTo>
                  <a:pt x="6489192" y="3311652"/>
                </a:lnTo>
                <a:lnTo>
                  <a:pt x="6489192" y="3515868"/>
                </a:lnTo>
                <a:lnTo>
                  <a:pt x="7315200" y="3515868"/>
                </a:lnTo>
                <a:lnTo>
                  <a:pt x="7315200" y="3311652"/>
                </a:lnTo>
                <a:close/>
              </a:path>
              <a:path w="7315200" h="4136390">
                <a:moveTo>
                  <a:pt x="7315200" y="3104388"/>
                </a:moveTo>
                <a:lnTo>
                  <a:pt x="6489192" y="3104388"/>
                </a:lnTo>
                <a:lnTo>
                  <a:pt x="6489192" y="3308604"/>
                </a:lnTo>
                <a:lnTo>
                  <a:pt x="7315200" y="3308604"/>
                </a:lnTo>
                <a:lnTo>
                  <a:pt x="7315200" y="3104388"/>
                </a:lnTo>
                <a:close/>
              </a:path>
              <a:path w="7315200" h="4136390">
                <a:moveTo>
                  <a:pt x="7315200" y="2897124"/>
                </a:moveTo>
                <a:lnTo>
                  <a:pt x="6489192" y="2897124"/>
                </a:lnTo>
                <a:lnTo>
                  <a:pt x="6489192" y="3101340"/>
                </a:lnTo>
                <a:lnTo>
                  <a:pt x="7315200" y="3101340"/>
                </a:lnTo>
                <a:lnTo>
                  <a:pt x="7315200" y="2897124"/>
                </a:lnTo>
                <a:close/>
              </a:path>
              <a:path w="7315200" h="4136390">
                <a:moveTo>
                  <a:pt x="7315200" y="2689860"/>
                </a:moveTo>
                <a:lnTo>
                  <a:pt x="6489192" y="2689860"/>
                </a:lnTo>
                <a:lnTo>
                  <a:pt x="6489192" y="2894076"/>
                </a:lnTo>
                <a:lnTo>
                  <a:pt x="7315200" y="2894076"/>
                </a:lnTo>
                <a:lnTo>
                  <a:pt x="7315200" y="2689860"/>
                </a:lnTo>
                <a:close/>
              </a:path>
              <a:path w="7315200" h="4136390">
                <a:moveTo>
                  <a:pt x="7315200" y="2484120"/>
                </a:moveTo>
                <a:lnTo>
                  <a:pt x="6489192" y="2484120"/>
                </a:lnTo>
                <a:lnTo>
                  <a:pt x="6489192" y="2686812"/>
                </a:lnTo>
                <a:lnTo>
                  <a:pt x="7315200" y="2686812"/>
                </a:lnTo>
                <a:lnTo>
                  <a:pt x="7315200" y="2484120"/>
                </a:lnTo>
                <a:close/>
              </a:path>
              <a:path w="7315200" h="4136390">
                <a:moveTo>
                  <a:pt x="7315200" y="2276856"/>
                </a:moveTo>
                <a:lnTo>
                  <a:pt x="6489192" y="2276856"/>
                </a:lnTo>
                <a:lnTo>
                  <a:pt x="6489192" y="2481072"/>
                </a:lnTo>
                <a:lnTo>
                  <a:pt x="7315200" y="2481072"/>
                </a:lnTo>
                <a:lnTo>
                  <a:pt x="7315200" y="227685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26</xdr:row>
      <xdr:rowOff>0</xdr:rowOff>
    </xdr:from>
    <xdr:ext cx="702945" cy="413639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0" y="0"/>
          <a:ext cx="702945" cy="4136390"/>
        </a:xfrm>
        <a:custGeom>
          <a:avLst/>
          <a:gdLst/>
          <a:ahLst/>
          <a:cxnLst/>
          <a:rect l="0" t="0" r="0" b="0"/>
          <a:pathLst>
            <a:path w="702945" h="413639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13639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13639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13639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13639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13639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13639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13639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13639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13639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13639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13639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13639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13639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13639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13639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13639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13639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13639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13639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14</xdr:row>
      <xdr:rowOff>0</xdr:rowOff>
    </xdr:from>
    <xdr:ext cx="3313429" cy="37528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49142</xdr:rowOff>
    </xdr:from>
    <xdr:ext cx="381000" cy="290285"/>
    <xdr:pic>
      <xdr:nvPicPr>
        <xdr:cNvPr id="77" name="image1.jpeg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78" name="image2.jpeg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762</xdr:rowOff>
    </xdr:from>
    <xdr:ext cx="381000" cy="381000"/>
    <xdr:pic>
      <xdr:nvPicPr>
        <xdr:cNvPr id="79" name="image3.jpeg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80" name="image4.jpeg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198755</xdr:colOff>
      <xdr:row>15</xdr:row>
      <xdr:rowOff>0</xdr:rowOff>
    </xdr:from>
    <xdr:ext cx="7315200" cy="185928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0" y="0"/>
          <a:ext cx="7315200" cy="1859280"/>
        </a:xfrm>
        <a:custGeom>
          <a:avLst/>
          <a:gdLst/>
          <a:ahLst/>
          <a:cxnLst/>
          <a:rect l="0" t="0" r="0" b="0"/>
          <a:pathLst>
            <a:path w="7315200" h="1859280">
              <a:moveTo>
                <a:pt x="339852" y="0"/>
              </a:moveTo>
              <a:lnTo>
                <a:pt x="0" y="0"/>
              </a:lnTo>
              <a:lnTo>
                <a:pt x="0" y="1859280"/>
              </a:lnTo>
              <a:lnTo>
                <a:pt x="339852" y="1859280"/>
              </a:lnTo>
              <a:lnTo>
                <a:pt x="339852" y="0"/>
              </a:lnTo>
              <a:close/>
            </a:path>
            <a:path w="7315200" h="1859280">
              <a:moveTo>
                <a:pt x="1376172" y="0"/>
              </a:moveTo>
              <a:lnTo>
                <a:pt x="342900" y="0"/>
              </a:lnTo>
              <a:lnTo>
                <a:pt x="342900" y="1859280"/>
              </a:lnTo>
              <a:lnTo>
                <a:pt x="1376172" y="1859280"/>
              </a:lnTo>
              <a:lnTo>
                <a:pt x="1376172" y="0"/>
              </a:lnTo>
              <a:close/>
            </a:path>
            <a:path w="7315200" h="1859280">
              <a:moveTo>
                <a:pt x="2753868" y="1242060"/>
              </a:moveTo>
              <a:lnTo>
                <a:pt x="1379220" y="1242060"/>
              </a:lnTo>
              <a:lnTo>
                <a:pt x="1379220" y="1859280"/>
              </a:lnTo>
              <a:lnTo>
                <a:pt x="2753868" y="1859280"/>
              </a:lnTo>
              <a:lnTo>
                <a:pt x="2753868" y="1242060"/>
              </a:lnTo>
              <a:close/>
            </a:path>
            <a:path w="7315200" h="1859280">
              <a:moveTo>
                <a:pt x="2753868" y="0"/>
              </a:moveTo>
              <a:lnTo>
                <a:pt x="1379220" y="0"/>
              </a:lnTo>
              <a:lnTo>
                <a:pt x="1379220" y="1239012"/>
              </a:lnTo>
              <a:lnTo>
                <a:pt x="2753868" y="1239012"/>
              </a:lnTo>
              <a:lnTo>
                <a:pt x="2753868" y="0"/>
              </a:lnTo>
              <a:close/>
            </a:path>
            <a:path w="7315200" h="1859280">
              <a:moveTo>
                <a:pt x="3304032" y="1656588"/>
              </a:moveTo>
              <a:lnTo>
                <a:pt x="2756916" y="1656588"/>
              </a:lnTo>
              <a:lnTo>
                <a:pt x="2756916" y="1859280"/>
              </a:lnTo>
              <a:lnTo>
                <a:pt x="3304032" y="1859280"/>
              </a:lnTo>
              <a:lnTo>
                <a:pt x="3304032" y="1656588"/>
              </a:lnTo>
              <a:close/>
            </a:path>
            <a:path w="7315200" h="1859280">
              <a:moveTo>
                <a:pt x="3304032" y="1449324"/>
              </a:moveTo>
              <a:lnTo>
                <a:pt x="2756916" y="1449324"/>
              </a:lnTo>
              <a:lnTo>
                <a:pt x="2756916" y="1653540"/>
              </a:lnTo>
              <a:lnTo>
                <a:pt x="3304032" y="1653540"/>
              </a:lnTo>
              <a:lnTo>
                <a:pt x="3304032" y="1449324"/>
              </a:lnTo>
              <a:close/>
            </a:path>
            <a:path w="7315200" h="1859280">
              <a:moveTo>
                <a:pt x="3304032" y="1242060"/>
              </a:moveTo>
              <a:lnTo>
                <a:pt x="2756916" y="1242060"/>
              </a:lnTo>
              <a:lnTo>
                <a:pt x="2756916" y="1446276"/>
              </a:lnTo>
              <a:lnTo>
                <a:pt x="3304032" y="1446276"/>
              </a:lnTo>
              <a:lnTo>
                <a:pt x="3304032" y="1242060"/>
              </a:lnTo>
              <a:close/>
            </a:path>
            <a:path w="7315200" h="1859280">
              <a:moveTo>
                <a:pt x="3304032" y="1034796"/>
              </a:moveTo>
              <a:lnTo>
                <a:pt x="2756916" y="1034796"/>
              </a:lnTo>
              <a:lnTo>
                <a:pt x="2756916" y="1239012"/>
              </a:lnTo>
              <a:lnTo>
                <a:pt x="3304032" y="1239012"/>
              </a:lnTo>
              <a:lnTo>
                <a:pt x="3304032" y="1034796"/>
              </a:lnTo>
              <a:close/>
            </a:path>
            <a:path w="7315200" h="1859280">
              <a:moveTo>
                <a:pt x="3304032" y="827532"/>
              </a:moveTo>
              <a:lnTo>
                <a:pt x="2756916" y="827532"/>
              </a:lnTo>
              <a:lnTo>
                <a:pt x="2756916" y="1031748"/>
              </a:lnTo>
              <a:lnTo>
                <a:pt x="3304032" y="1031748"/>
              </a:lnTo>
              <a:lnTo>
                <a:pt x="3304032" y="827532"/>
              </a:lnTo>
              <a:close/>
            </a:path>
            <a:path w="7315200" h="1859280">
              <a:moveTo>
                <a:pt x="3304032" y="620268"/>
              </a:moveTo>
              <a:lnTo>
                <a:pt x="2756916" y="620268"/>
              </a:lnTo>
              <a:lnTo>
                <a:pt x="2756916" y="824484"/>
              </a:lnTo>
              <a:lnTo>
                <a:pt x="3304032" y="824484"/>
              </a:lnTo>
              <a:lnTo>
                <a:pt x="3304032" y="620268"/>
              </a:lnTo>
              <a:close/>
            </a:path>
            <a:path w="7315200" h="1859280">
              <a:moveTo>
                <a:pt x="3304032" y="414528"/>
              </a:moveTo>
              <a:lnTo>
                <a:pt x="2756916" y="414528"/>
              </a:lnTo>
              <a:lnTo>
                <a:pt x="2756916" y="617220"/>
              </a:lnTo>
              <a:lnTo>
                <a:pt x="3304032" y="617220"/>
              </a:lnTo>
              <a:lnTo>
                <a:pt x="3304032" y="414528"/>
              </a:lnTo>
              <a:close/>
            </a:path>
            <a:path w="7315200" h="1859280">
              <a:moveTo>
                <a:pt x="3304032" y="207264"/>
              </a:moveTo>
              <a:lnTo>
                <a:pt x="2756916" y="207264"/>
              </a:lnTo>
              <a:lnTo>
                <a:pt x="2756916" y="411480"/>
              </a:lnTo>
              <a:lnTo>
                <a:pt x="3304032" y="411480"/>
              </a:lnTo>
              <a:lnTo>
                <a:pt x="3304032" y="207264"/>
              </a:lnTo>
              <a:close/>
            </a:path>
            <a:path w="7315200" h="1859280">
              <a:moveTo>
                <a:pt x="3304032" y="0"/>
              </a:moveTo>
              <a:lnTo>
                <a:pt x="2756916" y="0"/>
              </a:lnTo>
              <a:lnTo>
                <a:pt x="2756916" y="204216"/>
              </a:lnTo>
              <a:lnTo>
                <a:pt x="3304032" y="204216"/>
              </a:lnTo>
              <a:lnTo>
                <a:pt x="3304032" y="0"/>
              </a:lnTo>
              <a:close/>
            </a:path>
            <a:path w="7315200" h="1859280">
              <a:moveTo>
                <a:pt x="3998976" y="1656588"/>
              </a:moveTo>
              <a:lnTo>
                <a:pt x="3307080" y="1656588"/>
              </a:lnTo>
              <a:lnTo>
                <a:pt x="3307080" y="1859280"/>
              </a:lnTo>
              <a:lnTo>
                <a:pt x="3998976" y="1859280"/>
              </a:lnTo>
              <a:lnTo>
                <a:pt x="3998976" y="1656588"/>
              </a:lnTo>
              <a:close/>
            </a:path>
            <a:path w="7315200" h="1859280">
              <a:moveTo>
                <a:pt x="3998976" y="1449324"/>
              </a:moveTo>
              <a:lnTo>
                <a:pt x="3307080" y="1449324"/>
              </a:lnTo>
              <a:lnTo>
                <a:pt x="3307080" y="1653540"/>
              </a:lnTo>
              <a:lnTo>
                <a:pt x="3998976" y="1653540"/>
              </a:lnTo>
              <a:lnTo>
                <a:pt x="3998976" y="1449324"/>
              </a:lnTo>
              <a:close/>
            </a:path>
            <a:path w="7315200" h="1859280">
              <a:moveTo>
                <a:pt x="3998976" y="1242060"/>
              </a:moveTo>
              <a:lnTo>
                <a:pt x="3307080" y="1242060"/>
              </a:lnTo>
              <a:lnTo>
                <a:pt x="3307080" y="1446276"/>
              </a:lnTo>
              <a:lnTo>
                <a:pt x="3998976" y="1446276"/>
              </a:lnTo>
              <a:lnTo>
                <a:pt x="3998976" y="1242060"/>
              </a:lnTo>
              <a:close/>
            </a:path>
            <a:path w="7315200" h="1859280">
              <a:moveTo>
                <a:pt x="3998976" y="1034796"/>
              </a:moveTo>
              <a:lnTo>
                <a:pt x="3307080" y="1034796"/>
              </a:lnTo>
              <a:lnTo>
                <a:pt x="3307080" y="1239012"/>
              </a:lnTo>
              <a:lnTo>
                <a:pt x="3998976" y="1239012"/>
              </a:lnTo>
              <a:lnTo>
                <a:pt x="3998976" y="1034796"/>
              </a:lnTo>
              <a:close/>
            </a:path>
            <a:path w="7315200" h="1859280">
              <a:moveTo>
                <a:pt x="3998976" y="827532"/>
              </a:moveTo>
              <a:lnTo>
                <a:pt x="3307080" y="827532"/>
              </a:lnTo>
              <a:lnTo>
                <a:pt x="3307080" y="1031748"/>
              </a:lnTo>
              <a:lnTo>
                <a:pt x="3998976" y="1031748"/>
              </a:lnTo>
              <a:lnTo>
                <a:pt x="3998976" y="827532"/>
              </a:lnTo>
              <a:close/>
            </a:path>
            <a:path w="7315200" h="1859280">
              <a:moveTo>
                <a:pt x="3998976" y="620268"/>
              </a:moveTo>
              <a:lnTo>
                <a:pt x="3307080" y="620268"/>
              </a:lnTo>
              <a:lnTo>
                <a:pt x="3307080" y="824484"/>
              </a:lnTo>
              <a:lnTo>
                <a:pt x="3998976" y="824484"/>
              </a:lnTo>
              <a:lnTo>
                <a:pt x="3998976" y="620268"/>
              </a:lnTo>
              <a:close/>
            </a:path>
            <a:path w="7315200" h="1859280">
              <a:moveTo>
                <a:pt x="3998976" y="414528"/>
              </a:moveTo>
              <a:lnTo>
                <a:pt x="3307080" y="414528"/>
              </a:lnTo>
              <a:lnTo>
                <a:pt x="3307080" y="617220"/>
              </a:lnTo>
              <a:lnTo>
                <a:pt x="3998976" y="617220"/>
              </a:lnTo>
              <a:lnTo>
                <a:pt x="3998976" y="414528"/>
              </a:lnTo>
              <a:close/>
            </a:path>
            <a:path w="7315200" h="1859280">
              <a:moveTo>
                <a:pt x="3998976" y="207264"/>
              </a:moveTo>
              <a:lnTo>
                <a:pt x="3307080" y="207264"/>
              </a:lnTo>
              <a:lnTo>
                <a:pt x="3307080" y="411480"/>
              </a:lnTo>
              <a:lnTo>
                <a:pt x="3998976" y="411480"/>
              </a:lnTo>
              <a:lnTo>
                <a:pt x="3998976" y="207264"/>
              </a:lnTo>
              <a:close/>
            </a:path>
            <a:path w="7315200" h="1859280">
              <a:moveTo>
                <a:pt x="3998976" y="0"/>
              </a:moveTo>
              <a:lnTo>
                <a:pt x="3307080" y="0"/>
              </a:lnTo>
              <a:lnTo>
                <a:pt x="3307080" y="204216"/>
              </a:lnTo>
              <a:lnTo>
                <a:pt x="3998976" y="204216"/>
              </a:lnTo>
              <a:lnTo>
                <a:pt x="3998976" y="0"/>
              </a:lnTo>
              <a:close/>
            </a:path>
            <a:path w="7315200" h="1859280">
              <a:moveTo>
                <a:pt x="4828032" y="1656588"/>
              </a:moveTo>
              <a:lnTo>
                <a:pt x="4002024" y="1656588"/>
              </a:lnTo>
              <a:lnTo>
                <a:pt x="4002024" y="1859280"/>
              </a:lnTo>
              <a:lnTo>
                <a:pt x="4828032" y="1859280"/>
              </a:lnTo>
              <a:lnTo>
                <a:pt x="4828032" y="1656588"/>
              </a:lnTo>
              <a:close/>
            </a:path>
            <a:path w="7315200" h="1859280">
              <a:moveTo>
                <a:pt x="4828032" y="1449324"/>
              </a:moveTo>
              <a:lnTo>
                <a:pt x="4002024" y="1449324"/>
              </a:lnTo>
              <a:lnTo>
                <a:pt x="4002024" y="1653540"/>
              </a:lnTo>
              <a:lnTo>
                <a:pt x="4828032" y="1653540"/>
              </a:lnTo>
              <a:lnTo>
                <a:pt x="4828032" y="1449324"/>
              </a:lnTo>
              <a:close/>
            </a:path>
            <a:path w="7315200" h="1859280">
              <a:moveTo>
                <a:pt x="4828032" y="1242060"/>
              </a:moveTo>
              <a:lnTo>
                <a:pt x="4002024" y="1242060"/>
              </a:lnTo>
              <a:lnTo>
                <a:pt x="4002024" y="1446276"/>
              </a:lnTo>
              <a:lnTo>
                <a:pt x="4828032" y="1446276"/>
              </a:lnTo>
              <a:lnTo>
                <a:pt x="4828032" y="1242060"/>
              </a:lnTo>
              <a:close/>
            </a:path>
            <a:path w="7315200" h="1859280">
              <a:moveTo>
                <a:pt x="4828032" y="1034796"/>
              </a:moveTo>
              <a:lnTo>
                <a:pt x="4002024" y="1034796"/>
              </a:lnTo>
              <a:lnTo>
                <a:pt x="4002024" y="1239012"/>
              </a:lnTo>
              <a:lnTo>
                <a:pt x="4828032" y="1239012"/>
              </a:lnTo>
              <a:lnTo>
                <a:pt x="4828032" y="1034796"/>
              </a:lnTo>
              <a:close/>
            </a:path>
            <a:path w="7315200" h="1859280">
              <a:moveTo>
                <a:pt x="4828032" y="827532"/>
              </a:moveTo>
              <a:lnTo>
                <a:pt x="4002024" y="827532"/>
              </a:lnTo>
              <a:lnTo>
                <a:pt x="4002024" y="1031748"/>
              </a:lnTo>
              <a:lnTo>
                <a:pt x="4828032" y="1031748"/>
              </a:lnTo>
              <a:lnTo>
                <a:pt x="4828032" y="827532"/>
              </a:lnTo>
              <a:close/>
            </a:path>
            <a:path w="7315200" h="1859280">
              <a:moveTo>
                <a:pt x="4828032" y="620268"/>
              </a:moveTo>
              <a:lnTo>
                <a:pt x="4002024" y="620268"/>
              </a:lnTo>
              <a:lnTo>
                <a:pt x="4002024" y="824484"/>
              </a:lnTo>
              <a:lnTo>
                <a:pt x="4828032" y="824484"/>
              </a:lnTo>
              <a:lnTo>
                <a:pt x="4828032" y="620268"/>
              </a:lnTo>
              <a:close/>
            </a:path>
            <a:path w="7315200" h="1859280">
              <a:moveTo>
                <a:pt x="4828032" y="414528"/>
              </a:moveTo>
              <a:lnTo>
                <a:pt x="4002024" y="414528"/>
              </a:lnTo>
              <a:lnTo>
                <a:pt x="4002024" y="617220"/>
              </a:lnTo>
              <a:lnTo>
                <a:pt x="4828032" y="617220"/>
              </a:lnTo>
              <a:lnTo>
                <a:pt x="4828032" y="414528"/>
              </a:lnTo>
              <a:close/>
            </a:path>
            <a:path w="7315200" h="1859280">
              <a:moveTo>
                <a:pt x="4828032" y="207264"/>
              </a:moveTo>
              <a:lnTo>
                <a:pt x="4002024" y="207264"/>
              </a:lnTo>
              <a:lnTo>
                <a:pt x="4002024" y="411480"/>
              </a:lnTo>
              <a:lnTo>
                <a:pt x="4828032" y="411480"/>
              </a:lnTo>
              <a:lnTo>
                <a:pt x="4828032" y="207264"/>
              </a:lnTo>
              <a:close/>
            </a:path>
            <a:path w="7315200" h="1859280">
              <a:moveTo>
                <a:pt x="4828032" y="0"/>
              </a:moveTo>
              <a:lnTo>
                <a:pt x="4002024" y="0"/>
              </a:lnTo>
              <a:lnTo>
                <a:pt x="4002024" y="204216"/>
              </a:lnTo>
              <a:lnTo>
                <a:pt x="4828032" y="204216"/>
              </a:lnTo>
              <a:lnTo>
                <a:pt x="4828032" y="0"/>
              </a:lnTo>
              <a:close/>
            </a:path>
            <a:path w="7315200" h="1859280">
              <a:moveTo>
                <a:pt x="5657088" y="1656588"/>
              </a:moveTo>
              <a:lnTo>
                <a:pt x="4831080" y="1656588"/>
              </a:lnTo>
              <a:lnTo>
                <a:pt x="4831080" y="1859280"/>
              </a:lnTo>
              <a:lnTo>
                <a:pt x="5657088" y="1859280"/>
              </a:lnTo>
              <a:lnTo>
                <a:pt x="5657088" y="1656588"/>
              </a:lnTo>
              <a:close/>
            </a:path>
            <a:path w="7315200" h="1859280">
              <a:moveTo>
                <a:pt x="5657088" y="1449324"/>
              </a:moveTo>
              <a:lnTo>
                <a:pt x="4831080" y="1449324"/>
              </a:lnTo>
              <a:lnTo>
                <a:pt x="4831080" y="1653540"/>
              </a:lnTo>
              <a:lnTo>
                <a:pt x="5657088" y="1653540"/>
              </a:lnTo>
              <a:lnTo>
                <a:pt x="5657088" y="1449324"/>
              </a:lnTo>
              <a:close/>
            </a:path>
            <a:path w="7315200" h="1859280">
              <a:moveTo>
                <a:pt x="5657088" y="1242060"/>
              </a:moveTo>
              <a:lnTo>
                <a:pt x="4831080" y="1242060"/>
              </a:lnTo>
              <a:lnTo>
                <a:pt x="4831080" y="1446276"/>
              </a:lnTo>
              <a:lnTo>
                <a:pt x="5657088" y="1446276"/>
              </a:lnTo>
              <a:lnTo>
                <a:pt x="5657088" y="1242060"/>
              </a:lnTo>
              <a:close/>
            </a:path>
            <a:path w="7315200" h="1859280">
              <a:moveTo>
                <a:pt x="5657088" y="1034796"/>
              </a:moveTo>
              <a:lnTo>
                <a:pt x="4831080" y="1034796"/>
              </a:lnTo>
              <a:lnTo>
                <a:pt x="4831080" y="1239012"/>
              </a:lnTo>
              <a:lnTo>
                <a:pt x="5657088" y="1239012"/>
              </a:lnTo>
              <a:lnTo>
                <a:pt x="5657088" y="1034796"/>
              </a:lnTo>
              <a:close/>
            </a:path>
            <a:path w="7315200" h="1859280">
              <a:moveTo>
                <a:pt x="5657088" y="827532"/>
              </a:moveTo>
              <a:lnTo>
                <a:pt x="4831080" y="827532"/>
              </a:lnTo>
              <a:lnTo>
                <a:pt x="4831080" y="1031748"/>
              </a:lnTo>
              <a:lnTo>
                <a:pt x="5657088" y="1031748"/>
              </a:lnTo>
              <a:lnTo>
                <a:pt x="5657088" y="827532"/>
              </a:lnTo>
              <a:close/>
            </a:path>
            <a:path w="7315200" h="1859280">
              <a:moveTo>
                <a:pt x="5657088" y="620268"/>
              </a:moveTo>
              <a:lnTo>
                <a:pt x="4831080" y="620268"/>
              </a:lnTo>
              <a:lnTo>
                <a:pt x="4831080" y="824484"/>
              </a:lnTo>
              <a:lnTo>
                <a:pt x="5657088" y="824484"/>
              </a:lnTo>
              <a:lnTo>
                <a:pt x="5657088" y="620268"/>
              </a:lnTo>
              <a:close/>
            </a:path>
            <a:path w="7315200" h="1859280">
              <a:moveTo>
                <a:pt x="5657088" y="414528"/>
              </a:moveTo>
              <a:lnTo>
                <a:pt x="4831080" y="414528"/>
              </a:lnTo>
              <a:lnTo>
                <a:pt x="4831080" y="617220"/>
              </a:lnTo>
              <a:lnTo>
                <a:pt x="5657088" y="617220"/>
              </a:lnTo>
              <a:lnTo>
                <a:pt x="5657088" y="414528"/>
              </a:lnTo>
              <a:close/>
            </a:path>
            <a:path w="7315200" h="1859280">
              <a:moveTo>
                <a:pt x="5657088" y="207264"/>
              </a:moveTo>
              <a:lnTo>
                <a:pt x="4831080" y="207264"/>
              </a:lnTo>
              <a:lnTo>
                <a:pt x="4831080" y="411480"/>
              </a:lnTo>
              <a:lnTo>
                <a:pt x="5657088" y="411480"/>
              </a:lnTo>
              <a:lnTo>
                <a:pt x="5657088" y="207264"/>
              </a:lnTo>
              <a:close/>
            </a:path>
            <a:path w="7315200" h="1859280">
              <a:moveTo>
                <a:pt x="5657088" y="0"/>
              </a:moveTo>
              <a:lnTo>
                <a:pt x="4831080" y="0"/>
              </a:lnTo>
              <a:lnTo>
                <a:pt x="4831080" y="204216"/>
              </a:lnTo>
              <a:lnTo>
                <a:pt x="5657088" y="204216"/>
              </a:lnTo>
              <a:lnTo>
                <a:pt x="5657088" y="0"/>
              </a:lnTo>
              <a:close/>
            </a:path>
            <a:path w="7315200" h="1859280">
              <a:moveTo>
                <a:pt x="6486144" y="1656588"/>
              </a:moveTo>
              <a:lnTo>
                <a:pt x="5660136" y="1656588"/>
              </a:lnTo>
              <a:lnTo>
                <a:pt x="5660136" y="1859280"/>
              </a:lnTo>
              <a:lnTo>
                <a:pt x="6486144" y="1859280"/>
              </a:lnTo>
              <a:lnTo>
                <a:pt x="6486144" y="1656588"/>
              </a:lnTo>
              <a:close/>
            </a:path>
            <a:path w="7315200" h="1859280">
              <a:moveTo>
                <a:pt x="6486144" y="1449324"/>
              </a:moveTo>
              <a:lnTo>
                <a:pt x="5660136" y="1449324"/>
              </a:lnTo>
              <a:lnTo>
                <a:pt x="5660136" y="1653540"/>
              </a:lnTo>
              <a:lnTo>
                <a:pt x="6486144" y="1653540"/>
              </a:lnTo>
              <a:lnTo>
                <a:pt x="6486144" y="1449324"/>
              </a:lnTo>
              <a:close/>
            </a:path>
            <a:path w="7315200" h="1859280">
              <a:moveTo>
                <a:pt x="6486144" y="1242060"/>
              </a:moveTo>
              <a:lnTo>
                <a:pt x="5660136" y="1242060"/>
              </a:lnTo>
              <a:lnTo>
                <a:pt x="5660136" y="1446276"/>
              </a:lnTo>
              <a:lnTo>
                <a:pt x="6486144" y="1446276"/>
              </a:lnTo>
              <a:lnTo>
                <a:pt x="6486144" y="1242060"/>
              </a:lnTo>
              <a:close/>
            </a:path>
            <a:path w="7315200" h="1859280">
              <a:moveTo>
                <a:pt x="6486144" y="1034796"/>
              </a:moveTo>
              <a:lnTo>
                <a:pt x="5660136" y="1034796"/>
              </a:lnTo>
              <a:lnTo>
                <a:pt x="5660136" y="1239012"/>
              </a:lnTo>
              <a:lnTo>
                <a:pt x="6486144" y="1239012"/>
              </a:lnTo>
              <a:lnTo>
                <a:pt x="6486144" y="1034796"/>
              </a:lnTo>
              <a:close/>
            </a:path>
            <a:path w="7315200" h="1859280">
              <a:moveTo>
                <a:pt x="6486144" y="827532"/>
              </a:moveTo>
              <a:lnTo>
                <a:pt x="5660136" y="827532"/>
              </a:lnTo>
              <a:lnTo>
                <a:pt x="5660136" y="1031748"/>
              </a:lnTo>
              <a:lnTo>
                <a:pt x="6486144" y="1031748"/>
              </a:lnTo>
              <a:lnTo>
                <a:pt x="6486144" y="827532"/>
              </a:lnTo>
              <a:close/>
            </a:path>
            <a:path w="7315200" h="1859280">
              <a:moveTo>
                <a:pt x="6486144" y="620268"/>
              </a:moveTo>
              <a:lnTo>
                <a:pt x="5660136" y="620268"/>
              </a:lnTo>
              <a:lnTo>
                <a:pt x="5660136" y="824484"/>
              </a:lnTo>
              <a:lnTo>
                <a:pt x="6486144" y="824484"/>
              </a:lnTo>
              <a:lnTo>
                <a:pt x="6486144" y="620268"/>
              </a:lnTo>
              <a:close/>
            </a:path>
            <a:path w="7315200" h="1859280">
              <a:moveTo>
                <a:pt x="6486144" y="414528"/>
              </a:moveTo>
              <a:lnTo>
                <a:pt x="5660136" y="414528"/>
              </a:lnTo>
              <a:lnTo>
                <a:pt x="5660136" y="617220"/>
              </a:lnTo>
              <a:lnTo>
                <a:pt x="6486144" y="617220"/>
              </a:lnTo>
              <a:lnTo>
                <a:pt x="6486144" y="414528"/>
              </a:lnTo>
              <a:close/>
            </a:path>
            <a:path w="7315200" h="1859280">
              <a:moveTo>
                <a:pt x="6486144" y="207264"/>
              </a:moveTo>
              <a:lnTo>
                <a:pt x="5660136" y="207264"/>
              </a:lnTo>
              <a:lnTo>
                <a:pt x="5660136" y="411480"/>
              </a:lnTo>
              <a:lnTo>
                <a:pt x="6486144" y="411480"/>
              </a:lnTo>
              <a:lnTo>
                <a:pt x="6486144" y="207264"/>
              </a:lnTo>
              <a:close/>
            </a:path>
            <a:path w="7315200" h="1859280">
              <a:moveTo>
                <a:pt x="6486144" y="0"/>
              </a:moveTo>
              <a:lnTo>
                <a:pt x="5660136" y="0"/>
              </a:lnTo>
              <a:lnTo>
                <a:pt x="5660136" y="204216"/>
              </a:lnTo>
              <a:lnTo>
                <a:pt x="6486144" y="204216"/>
              </a:lnTo>
              <a:lnTo>
                <a:pt x="6486144" y="0"/>
              </a:lnTo>
              <a:close/>
            </a:path>
            <a:path w="7315200" h="1859280">
              <a:moveTo>
                <a:pt x="7315200" y="1656588"/>
              </a:moveTo>
              <a:lnTo>
                <a:pt x="6489192" y="1656588"/>
              </a:lnTo>
              <a:lnTo>
                <a:pt x="6489192" y="1859280"/>
              </a:lnTo>
              <a:lnTo>
                <a:pt x="7315200" y="1859280"/>
              </a:lnTo>
              <a:lnTo>
                <a:pt x="7315200" y="1656588"/>
              </a:lnTo>
              <a:close/>
            </a:path>
            <a:path w="7315200" h="1859280">
              <a:moveTo>
                <a:pt x="7315200" y="1449324"/>
              </a:moveTo>
              <a:lnTo>
                <a:pt x="6489192" y="1449324"/>
              </a:lnTo>
              <a:lnTo>
                <a:pt x="6489192" y="1653540"/>
              </a:lnTo>
              <a:lnTo>
                <a:pt x="7315200" y="1653540"/>
              </a:lnTo>
              <a:lnTo>
                <a:pt x="7315200" y="1449324"/>
              </a:lnTo>
              <a:close/>
            </a:path>
            <a:path w="7315200" h="1859280">
              <a:moveTo>
                <a:pt x="7315200" y="1242060"/>
              </a:moveTo>
              <a:lnTo>
                <a:pt x="6489192" y="1242060"/>
              </a:lnTo>
              <a:lnTo>
                <a:pt x="6489192" y="1446276"/>
              </a:lnTo>
              <a:lnTo>
                <a:pt x="7315200" y="1446276"/>
              </a:lnTo>
              <a:lnTo>
                <a:pt x="7315200" y="1242060"/>
              </a:lnTo>
              <a:close/>
            </a:path>
            <a:path w="7315200" h="1859280">
              <a:moveTo>
                <a:pt x="7315200" y="1034796"/>
              </a:moveTo>
              <a:lnTo>
                <a:pt x="6489192" y="1034796"/>
              </a:lnTo>
              <a:lnTo>
                <a:pt x="6489192" y="1239012"/>
              </a:lnTo>
              <a:lnTo>
                <a:pt x="7315200" y="1239012"/>
              </a:lnTo>
              <a:lnTo>
                <a:pt x="7315200" y="1034796"/>
              </a:lnTo>
              <a:close/>
            </a:path>
            <a:path w="7315200" h="1859280">
              <a:moveTo>
                <a:pt x="7315200" y="827532"/>
              </a:moveTo>
              <a:lnTo>
                <a:pt x="6489192" y="827532"/>
              </a:lnTo>
              <a:lnTo>
                <a:pt x="6489192" y="1031748"/>
              </a:lnTo>
              <a:lnTo>
                <a:pt x="7315200" y="1031748"/>
              </a:lnTo>
              <a:lnTo>
                <a:pt x="7315200" y="827532"/>
              </a:lnTo>
              <a:close/>
            </a:path>
            <a:path w="7315200" h="1859280">
              <a:moveTo>
                <a:pt x="7315200" y="620268"/>
              </a:moveTo>
              <a:lnTo>
                <a:pt x="6489192" y="620268"/>
              </a:lnTo>
              <a:lnTo>
                <a:pt x="6489192" y="824484"/>
              </a:lnTo>
              <a:lnTo>
                <a:pt x="7315200" y="824484"/>
              </a:lnTo>
              <a:lnTo>
                <a:pt x="7315200" y="620268"/>
              </a:lnTo>
              <a:close/>
            </a:path>
            <a:path w="7315200" h="1859280">
              <a:moveTo>
                <a:pt x="7315200" y="414528"/>
              </a:moveTo>
              <a:lnTo>
                <a:pt x="6489192" y="414528"/>
              </a:lnTo>
              <a:lnTo>
                <a:pt x="6489192" y="617220"/>
              </a:lnTo>
              <a:lnTo>
                <a:pt x="7315200" y="617220"/>
              </a:lnTo>
              <a:lnTo>
                <a:pt x="7315200" y="414528"/>
              </a:lnTo>
              <a:close/>
            </a:path>
            <a:path w="7315200" h="1859280">
              <a:moveTo>
                <a:pt x="7315200" y="207264"/>
              </a:moveTo>
              <a:lnTo>
                <a:pt x="6489192" y="207264"/>
              </a:lnTo>
              <a:lnTo>
                <a:pt x="6489192" y="411480"/>
              </a:lnTo>
              <a:lnTo>
                <a:pt x="7315200" y="411480"/>
              </a:lnTo>
              <a:lnTo>
                <a:pt x="7315200" y="207264"/>
              </a:lnTo>
              <a:close/>
            </a:path>
            <a:path w="7315200" h="1859280">
              <a:moveTo>
                <a:pt x="7315200" y="0"/>
              </a:moveTo>
              <a:lnTo>
                <a:pt x="6489192" y="0"/>
              </a:lnTo>
              <a:lnTo>
                <a:pt x="6489192" y="204216"/>
              </a:lnTo>
              <a:lnTo>
                <a:pt x="7315200" y="204216"/>
              </a:lnTo>
              <a:lnTo>
                <a:pt x="73152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536321</xdr:colOff>
      <xdr:row>16</xdr:row>
      <xdr:rowOff>0</xdr:rowOff>
    </xdr:from>
    <xdr:ext cx="702945" cy="185928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0" y="0"/>
          <a:ext cx="702945" cy="1859280"/>
        </a:xfrm>
        <a:custGeom>
          <a:avLst/>
          <a:gdLst/>
          <a:ahLst/>
          <a:cxnLst/>
          <a:rect l="0" t="0" r="0" b="0"/>
          <a:pathLst>
            <a:path w="702945" h="185928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185928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185928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185928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185928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185928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185928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185928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185928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F477-5398-45C2-BB71-29429BCA10D7}">
  <dimension ref="A1:AP145"/>
  <sheetViews>
    <sheetView topLeftCell="U1" workbookViewId="0">
      <selection activeCell="X47" sqref="X47"/>
    </sheetView>
  </sheetViews>
  <sheetFormatPr defaultRowHeight="13.2" x14ac:dyDescent="0.25"/>
  <cols>
    <col min="1" max="3" width="6" bestFit="1" customWidth="1"/>
    <col min="4" max="4" width="10.77734375" bestFit="1" customWidth="1"/>
    <col min="5" max="9" width="4" bestFit="1" customWidth="1"/>
    <col min="10" max="10" width="7" bestFit="1" customWidth="1"/>
    <col min="11" max="13" width="6" bestFit="1" customWidth="1"/>
    <col min="14" max="14" width="7.33203125" bestFit="1" customWidth="1"/>
  </cols>
  <sheetData>
    <row r="1" spans="1:42" x14ac:dyDescent="0.25">
      <c r="A1" s="22" t="s">
        <v>189</v>
      </c>
      <c r="B1" s="22" t="s">
        <v>190</v>
      </c>
      <c r="C1" s="22" t="s">
        <v>191</v>
      </c>
      <c r="D1" s="22" t="s">
        <v>192</v>
      </c>
      <c r="E1" s="24" t="s">
        <v>270</v>
      </c>
      <c r="F1" s="24" t="s">
        <v>271</v>
      </c>
      <c r="G1" s="24" t="s">
        <v>272</v>
      </c>
      <c r="H1" s="24" t="s">
        <v>273</v>
      </c>
      <c r="I1" s="24" t="s">
        <v>274</v>
      </c>
      <c r="J1" s="24" t="s">
        <v>275</v>
      </c>
      <c r="K1" s="24" t="s">
        <v>276</v>
      </c>
      <c r="L1" s="24" t="s">
        <v>277</v>
      </c>
      <c r="M1" s="24" t="s">
        <v>278</v>
      </c>
      <c r="N1" s="24" t="s">
        <v>279</v>
      </c>
    </row>
    <row r="2" spans="1:42" x14ac:dyDescent="0.25">
      <c r="A2" s="23">
        <v>0.11904761904761904</v>
      </c>
      <c r="B2" s="23">
        <v>0.1164021164021164</v>
      </c>
      <c r="C2" s="23">
        <v>0.72486772486772488</v>
      </c>
      <c r="D2" s="23">
        <v>1.5873015873015872E-2</v>
      </c>
      <c r="E2" s="24">
        <v>424</v>
      </c>
      <c r="F2" s="24">
        <v>15</v>
      </c>
      <c r="G2" s="24">
        <v>11</v>
      </c>
      <c r="H2" s="24">
        <v>0</v>
      </c>
      <c r="I2" s="24">
        <v>450</v>
      </c>
      <c r="J2" s="25">
        <v>0.94222222222222218</v>
      </c>
      <c r="K2" s="25">
        <v>3.3333333333333333E-2</v>
      </c>
      <c r="L2" s="25">
        <v>2.4444444444444446E-2</v>
      </c>
      <c r="M2" s="25">
        <v>0</v>
      </c>
      <c r="N2" s="26">
        <v>64.313333333333333</v>
      </c>
      <c r="P2" s="29" t="s">
        <v>103</v>
      </c>
    </row>
    <row r="3" spans="1:42" x14ac:dyDescent="0.25">
      <c r="A3" s="23">
        <v>9.3220338983050849E-2</v>
      </c>
      <c r="B3" s="23">
        <v>0.24858757062146894</v>
      </c>
      <c r="C3" s="23">
        <v>0.62994350282485878</v>
      </c>
      <c r="D3" s="23">
        <v>1.4124293785310734E-2</v>
      </c>
      <c r="E3" s="24">
        <v>427</v>
      </c>
      <c r="F3" s="24">
        <v>17</v>
      </c>
      <c r="G3" s="24">
        <v>5</v>
      </c>
      <c r="H3" s="24">
        <v>1</v>
      </c>
      <c r="I3" s="24">
        <v>450</v>
      </c>
      <c r="J3" s="25">
        <v>0.94888888888888889</v>
      </c>
      <c r="K3" s="25">
        <v>3.7777777777777778E-2</v>
      </c>
      <c r="L3" s="25">
        <v>1.1111111111111112E-2</v>
      </c>
      <c r="M3" s="25">
        <v>2.2222222222222222E-3</v>
      </c>
      <c r="N3" s="26">
        <v>50.426666666666669</v>
      </c>
    </row>
    <row r="4" spans="1:42" x14ac:dyDescent="0.25">
      <c r="A4" s="23">
        <v>0.11350293542074363</v>
      </c>
      <c r="B4" s="23">
        <v>0.34833659491193736</v>
      </c>
      <c r="C4" s="23">
        <v>0.51272015655577297</v>
      </c>
      <c r="D4" s="23">
        <v>2.3483365949119372E-2</v>
      </c>
      <c r="E4" s="24">
        <v>687</v>
      </c>
      <c r="F4" s="24">
        <v>2</v>
      </c>
      <c r="G4" s="24">
        <v>4</v>
      </c>
      <c r="H4" s="24">
        <v>0</v>
      </c>
      <c r="I4" s="24">
        <v>693</v>
      </c>
      <c r="J4" s="25">
        <v>0.9913419913419913</v>
      </c>
      <c r="K4" s="25">
        <v>2.886002886002886E-3</v>
      </c>
      <c r="L4" s="25">
        <v>5.772005772005772E-3</v>
      </c>
      <c r="M4" s="25">
        <v>0</v>
      </c>
      <c r="N4" s="26">
        <v>38.948051948051948</v>
      </c>
    </row>
    <row r="5" spans="1:42" x14ac:dyDescent="0.25">
      <c r="A5" s="23">
        <v>9.6654275092936809E-2</v>
      </c>
      <c r="B5" s="23">
        <v>0.42936802973977695</v>
      </c>
      <c r="C5" s="23">
        <v>0.46654275092936803</v>
      </c>
      <c r="D5" s="23">
        <v>3.7174721189591076E-3</v>
      </c>
      <c r="E5" s="24">
        <v>682</v>
      </c>
      <c r="F5" s="24">
        <v>9</v>
      </c>
      <c r="G5" s="24">
        <v>3</v>
      </c>
      <c r="H5" s="24">
        <v>0</v>
      </c>
      <c r="I5" s="24">
        <v>694</v>
      </c>
      <c r="J5" s="25">
        <v>0.98270893371757928</v>
      </c>
      <c r="K5" s="25">
        <v>1.2968299711815562E-2</v>
      </c>
      <c r="L5" s="25">
        <v>4.3227665706051877E-3</v>
      </c>
      <c r="M5" s="25">
        <v>0</v>
      </c>
      <c r="N5" s="26">
        <v>27.789625360230549</v>
      </c>
    </row>
    <row r="6" spans="1:42" x14ac:dyDescent="0.25">
      <c r="A6" s="23">
        <v>9.264305177111716E-2</v>
      </c>
      <c r="B6" s="23">
        <v>0.11989100817438691</v>
      </c>
      <c r="C6" s="23">
        <v>0.75476839237057225</v>
      </c>
      <c r="D6" s="23">
        <v>1.3623978201634877E-2</v>
      </c>
      <c r="E6" s="24">
        <v>446</v>
      </c>
      <c r="F6" s="24">
        <v>2</v>
      </c>
      <c r="G6" s="24">
        <v>2</v>
      </c>
      <c r="H6" s="24">
        <v>0</v>
      </c>
      <c r="I6" s="24">
        <v>450</v>
      </c>
      <c r="J6" s="25">
        <v>0.99111111111111116</v>
      </c>
      <c r="K6" s="25">
        <v>4.4444444444444444E-3</v>
      </c>
      <c r="L6" s="25">
        <v>4.4444444444444444E-3</v>
      </c>
      <c r="M6" s="25">
        <v>0</v>
      </c>
      <c r="N6" s="26">
        <v>65.268888888888895</v>
      </c>
      <c r="X6" s="29" t="s">
        <v>283</v>
      </c>
      <c r="AG6" s="29" t="s">
        <v>284</v>
      </c>
      <c r="AP6" s="29" t="s">
        <v>286</v>
      </c>
    </row>
    <row r="7" spans="1:42" x14ac:dyDescent="0.25">
      <c r="A7" s="23">
        <v>0.10582010582010581</v>
      </c>
      <c r="B7" s="23">
        <v>0.18518518518518517</v>
      </c>
      <c r="C7" s="23">
        <v>0.68253968253968256</v>
      </c>
      <c r="D7" s="23">
        <v>1.3227513227513227E-2</v>
      </c>
      <c r="E7" s="24">
        <v>445</v>
      </c>
      <c r="F7" s="24">
        <v>2</v>
      </c>
      <c r="G7" s="24">
        <v>3</v>
      </c>
      <c r="H7" s="24">
        <v>0</v>
      </c>
      <c r="I7" s="24">
        <v>450</v>
      </c>
      <c r="J7" s="25">
        <v>0.98888888888888893</v>
      </c>
      <c r="K7" s="25">
        <v>4.4444444444444444E-3</v>
      </c>
      <c r="L7" s="25">
        <v>6.6666666666666671E-3</v>
      </c>
      <c r="M7" s="25">
        <v>0</v>
      </c>
      <c r="N7" s="26">
        <v>57.575555555555553</v>
      </c>
    </row>
    <row r="8" spans="1:42" x14ac:dyDescent="0.25">
      <c r="A8" s="23">
        <v>9.8039215686274508E-2</v>
      </c>
      <c r="B8" s="23">
        <v>0.35076252723311546</v>
      </c>
      <c r="C8" s="23">
        <v>0.53594771241830064</v>
      </c>
      <c r="D8" s="23">
        <v>1.0893246187363835E-2</v>
      </c>
      <c r="E8" s="24">
        <v>624</v>
      </c>
      <c r="F8" s="24">
        <v>0</v>
      </c>
      <c r="G8" s="24">
        <v>1</v>
      </c>
      <c r="H8" s="24">
        <v>0</v>
      </c>
      <c r="I8" s="24">
        <v>625</v>
      </c>
      <c r="J8" s="25">
        <v>0.99839999999999995</v>
      </c>
      <c r="K8" s="25">
        <v>0</v>
      </c>
      <c r="L8" s="25">
        <v>1.6000000000000001E-3</v>
      </c>
      <c r="M8" s="25">
        <v>0</v>
      </c>
      <c r="N8" s="26">
        <v>41.627200000000002</v>
      </c>
      <c r="X8" s="31">
        <f>-0.7318+0.8383</f>
        <v>0.10650000000000004</v>
      </c>
      <c r="AG8" s="33">
        <f>0.9181+0.1566</f>
        <v>1.0747</v>
      </c>
      <c r="AP8" s="34" t="s">
        <v>287</v>
      </c>
    </row>
    <row r="9" spans="1:42" x14ac:dyDescent="0.25">
      <c r="A9" s="23">
        <v>0.10810810810810811</v>
      </c>
      <c r="B9" s="23">
        <v>0.36382536382536385</v>
      </c>
      <c r="C9" s="23">
        <v>0.51975051975051978</v>
      </c>
      <c r="D9" s="23">
        <v>4.1580041580041582E-3</v>
      </c>
      <c r="E9" s="24">
        <v>625</v>
      </c>
      <c r="F9" s="24">
        <v>0</v>
      </c>
      <c r="G9" s="24">
        <v>0</v>
      </c>
      <c r="H9" s="24">
        <v>0</v>
      </c>
      <c r="I9" s="24">
        <v>625</v>
      </c>
      <c r="J9" s="25">
        <v>1</v>
      </c>
      <c r="K9" s="25">
        <v>0</v>
      </c>
      <c r="L9" s="25">
        <v>0</v>
      </c>
      <c r="M9" s="25">
        <v>0</v>
      </c>
      <c r="N9" s="26">
        <v>35.859200000000001</v>
      </c>
    </row>
    <row r="10" spans="1:42" x14ac:dyDescent="0.25">
      <c r="A10" s="23">
        <v>0.106</v>
      </c>
      <c r="B10" s="23">
        <v>0.40799999999999997</v>
      </c>
      <c r="C10" s="23">
        <v>0.48199999999999998</v>
      </c>
      <c r="D10" s="23">
        <v>4.0000000000000001E-3</v>
      </c>
      <c r="E10" s="24">
        <v>626</v>
      </c>
      <c r="F10" s="24">
        <v>0</v>
      </c>
      <c r="G10" s="24">
        <v>0</v>
      </c>
      <c r="H10" s="24">
        <v>0</v>
      </c>
      <c r="I10" s="24">
        <v>626</v>
      </c>
      <c r="J10" s="25">
        <v>1</v>
      </c>
      <c r="K10" s="25">
        <v>0</v>
      </c>
      <c r="L10" s="25">
        <v>0</v>
      </c>
      <c r="M10" s="25">
        <v>0</v>
      </c>
      <c r="N10" s="26">
        <v>26.354632587859424</v>
      </c>
    </row>
    <row r="11" spans="1:42" x14ac:dyDescent="0.25">
      <c r="A11" s="23">
        <v>0.14565826330532214</v>
      </c>
      <c r="B11" s="23">
        <v>0.25770308123249297</v>
      </c>
      <c r="C11" s="23">
        <v>0.58263305322128855</v>
      </c>
      <c r="D11" s="23">
        <v>2.8011204481792717E-3</v>
      </c>
      <c r="E11" s="24">
        <v>440</v>
      </c>
      <c r="F11" s="24">
        <v>1</v>
      </c>
      <c r="G11" s="24">
        <v>7</v>
      </c>
      <c r="H11" s="24">
        <v>2</v>
      </c>
      <c r="I11" s="24">
        <v>450</v>
      </c>
      <c r="J11" s="25">
        <v>0.97777777777777775</v>
      </c>
      <c r="K11" s="25">
        <v>2.2222222222222222E-3</v>
      </c>
      <c r="L11" s="25">
        <v>1.5555555555555555E-2</v>
      </c>
      <c r="M11" s="25">
        <v>4.4444444444444444E-3</v>
      </c>
      <c r="N11" s="26">
        <v>54.02</v>
      </c>
    </row>
    <row r="12" spans="1:42" x14ac:dyDescent="0.25">
      <c r="A12" s="23">
        <v>0.14369501466275661</v>
      </c>
      <c r="B12" s="23">
        <v>0.44281524926686217</v>
      </c>
      <c r="C12" s="23">
        <v>0.40175953079178883</v>
      </c>
      <c r="D12" s="23">
        <v>5.8651026392961877E-3</v>
      </c>
      <c r="E12" s="24">
        <v>467</v>
      </c>
      <c r="F12" s="24">
        <v>0</v>
      </c>
      <c r="G12" s="24">
        <v>3</v>
      </c>
      <c r="H12" s="24">
        <v>0</v>
      </c>
      <c r="I12" s="24">
        <v>470</v>
      </c>
      <c r="J12" s="25">
        <v>0.99361702127659579</v>
      </c>
      <c r="K12" s="25">
        <v>0</v>
      </c>
      <c r="L12" s="25">
        <v>6.382978723404255E-3</v>
      </c>
      <c r="M12" s="25">
        <v>0</v>
      </c>
      <c r="N12" s="26">
        <v>27.23191489361702</v>
      </c>
    </row>
    <row r="13" spans="1:42" x14ac:dyDescent="0.25">
      <c r="A13" s="23">
        <v>6.0509554140127389E-2</v>
      </c>
      <c r="B13" s="23">
        <v>0.16560509554140126</v>
      </c>
      <c r="C13" s="23">
        <v>0.73566878980891715</v>
      </c>
      <c r="D13" s="23">
        <v>2.5477707006369428E-2</v>
      </c>
      <c r="E13" s="24">
        <v>444</v>
      </c>
      <c r="F13" s="24">
        <v>0</v>
      </c>
      <c r="G13" s="24">
        <v>4</v>
      </c>
      <c r="H13" s="24">
        <v>2</v>
      </c>
      <c r="I13" s="24">
        <v>450</v>
      </c>
      <c r="J13" s="25">
        <v>0.98666666666666669</v>
      </c>
      <c r="K13" s="25">
        <v>0</v>
      </c>
      <c r="L13" s="25">
        <v>8.8888888888888889E-3</v>
      </c>
      <c r="M13" s="25">
        <v>4.4444444444444444E-3</v>
      </c>
      <c r="N13" s="26">
        <v>67.637777777777771</v>
      </c>
    </row>
    <row r="14" spans="1:42" x14ac:dyDescent="0.25">
      <c r="A14" s="23">
        <v>0.10826210826210826</v>
      </c>
      <c r="B14" s="23">
        <v>0.27635327635327633</v>
      </c>
      <c r="C14" s="23">
        <v>0.57834757834757833</v>
      </c>
      <c r="D14" s="23">
        <v>1.9943019943019943E-2</v>
      </c>
      <c r="E14" s="24">
        <v>447</v>
      </c>
      <c r="F14" s="24">
        <v>0</v>
      </c>
      <c r="G14" s="24">
        <v>1</v>
      </c>
      <c r="H14" s="24">
        <v>2</v>
      </c>
      <c r="I14" s="24">
        <v>450</v>
      </c>
      <c r="J14" s="25">
        <v>0.99333333333333329</v>
      </c>
      <c r="K14" s="25">
        <v>0</v>
      </c>
      <c r="L14" s="25">
        <v>2.2222222222222222E-3</v>
      </c>
      <c r="M14" s="25">
        <v>4.4444444444444444E-3</v>
      </c>
      <c r="N14" s="26">
        <v>54.457777777777778</v>
      </c>
    </row>
    <row r="15" spans="1:42" x14ac:dyDescent="0.25">
      <c r="A15" s="23">
        <v>0.12875536480686695</v>
      </c>
      <c r="B15" s="23">
        <v>0.40987124463519314</v>
      </c>
      <c r="C15" s="23">
        <v>0.43991416309012876</v>
      </c>
      <c r="D15" s="23">
        <v>1.5021459227467811E-2</v>
      </c>
      <c r="E15" s="24">
        <v>682</v>
      </c>
      <c r="F15" s="24">
        <v>0</v>
      </c>
      <c r="G15" s="24">
        <v>0</v>
      </c>
      <c r="H15" s="24">
        <v>0</v>
      </c>
      <c r="I15" s="24">
        <v>682</v>
      </c>
      <c r="J15" s="25">
        <v>1</v>
      </c>
      <c r="K15" s="25">
        <v>0</v>
      </c>
      <c r="L15" s="25">
        <v>0</v>
      </c>
      <c r="M15" s="25">
        <v>0</v>
      </c>
      <c r="N15" s="26">
        <v>41.004398826979475</v>
      </c>
    </row>
    <row r="16" spans="1:42" x14ac:dyDescent="0.25">
      <c r="A16" s="23">
        <v>0.12007874015748031</v>
      </c>
      <c r="B16" s="23">
        <v>0.44094488188976377</v>
      </c>
      <c r="C16" s="23">
        <v>0.42716535433070868</v>
      </c>
      <c r="D16" s="23">
        <v>7.874015748031496E-3</v>
      </c>
      <c r="E16" s="24">
        <v>682</v>
      </c>
      <c r="F16" s="24">
        <v>0</v>
      </c>
      <c r="G16" s="24">
        <v>0</v>
      </c>
      <c r="H16" s="24">
        <v>1</v>
      </c>
      <c r="I16" s="24">
        <v>683</v>
      </c>
      <c r="J16" s="25">
        <v>0.99853587115666176</v>
      </c>
      <c r="K16" s="25">
        <v>0</v>
      </c>
      <c r="L16" s="25">
        <v>0</v>
      </c>
      <c r="M16" s="25">
        <v>1.4641288433382138E-3</v>
      </c>
      <c r="N16" s="26">
        <v>25.286969253294291</v>
      </c>
    </row>
    <row r="17" spans="1:24" x14ac:dyDescent="0.25">
      <c r="A17" s="23">
        <v>9.7178683385579931E-2</v>
      </c>
      <c r="B17" s="23">
        <v>0.16614420062695925</v>
      </c>
      <c r="C17" s="23">
        <v>0.70532915360501569</v>
      </c>
      <c r="D17" s="23">
        <v>1.5673981191222569E-2</v>
      </c>
      <c r="E17" s="24">
        <v>395</v>
      </c>
      <c r="F17" s="24">
        <v>2</v>
      </c>
      <c r="G17" s="24">
        <v>2</v>
      </c>
      <c r="H17" s="24">
        <v>1</v>
      </c>
      <c r="I17" s="24">
        <v>400</v>
      </c>
      <c r="J17" s="25">
        <v>0.98750000000000004</v>
      </c>
      <c r="K17" s="25">
        <v>5.0000000000000001E-3</v>
      </c>
      <c r="L17" s="25">
        <v>5.0000000000000001E-3</v>
      </c>
      <c r="M17" s="25">
        <v>2.5000000000000001E-3</v>
      </c>
      <c r="N17" s="26">
        <v>64.34</v>
      </c>
    </row>
    <row r="18" spans="1:24" x14ac:dyDescent="0.25">
      <c r="A18" s="23">
        <v>9.4292803970223327E-2</v>
      </c>
      <c r="B18" s="23">
        <v>0.29776674937965258</v>
      </c>
      <c r="C18" s="23">
        <v>0.59553349875930517</v>
      </c>
      <c r="D18" s="23">
        <v>9.9255583126550868E-3</v>
      </c>
      <c r="E18" s="24">
        <v>514</v>
      </c>
      <c r="F18" s="24">
        <v>0</v>
      </c>
      <c r="G18" s="24">
        <v>0</v>
      </c>
      <c r="H18" s="24">
        <v>2</v>
      </c>
      <c r="I18" s="24">
        <v>516</v>
      </c>
      <c r="J18" s="25">
        <v>0.99612403100775193</v>
      </c>
      <c r="K18" s="25">
        <v>0</v>
      </c>
      <c r="L18" s="25">
        <v>0</v>
      </c>
      <c r="M18" s="25">
        <v>3.875968992248062E-3</v>
      </c>
      <c r="N18" s="26">
        <v>48.680232558139537</v>
      </c>
    </row>
    <row r="19" spans="1:24" x14ac:dyDescent="0.25">
      <c r="A19" s="23">
        <v>0.1164021164021164</v>
      </c>
      <c r="B19" s="23">
        <v>0.40476190476190477</v>
      </c>
      <c r="C19" s="23">
        <v>0.45767195767195767</v>
      </c>
      <c r="D19" s="23">
        <v>1.5873015873015872E-2</v>
      </c>
      <c r="E19" s="24">
        <v>514</v>
      </c>
      <c r="F19" s="24">
        <v>0</v>
      </c>
      <c r="G19" s="24">
        <v>2</v>
      </c>
      <c r="H19" s="24">
        <v>0</v>
      </c>
      <c r="I19" s="24">
        <v>516</v>
      </c>
      <c r="J19" s="25">
        <v>0.99612403100775193</v>
      </c>
      <c r="K19" s="25">
        <v>0</v>
      </c>
      <c r="L19" s="25">
        <v>3.875968992248062E-3</v>
      </c>
      <c r="M19" s="25">
        <v>0</v>
      </c>
      <c r="N19" s="26">
        <v>31.713178294573645</v>
      </c>
    </row>
    <row r="20" spans="1:24" x14ac:dyDescent="0.25">
      <c r="A20" s="23">
        <v>0.12189054726368159</v>
      </c>
      <c r="B20" s="23">
        <v>0.39800995024875624</v>
      </c>
      <c r="C20" s="23">
        <v>0.45522388059701491</v>
      </c>
      <c r="D20" s="23">
        <v>1.4925373134328358E-2</v>
      </c>
      <c r="E20" s="24">
        <v>516</v>
      </c>
      <c r="F20" s="24">
        <v>0</v>
      </c>
      <c r="G20" s="24">
        <v>1</v>
      </c>
      <c r="H20" s="24">
        <v>0</v>
      </c>
      <c r="I20" s="24">
        <v>517</v>
      </c>
      <c r="J20" s="25">
        <v>0.99806576402321079</v>
      </c>
      <c r="K20" s="25">
        <v>0</v>
      </c>
      <c r="L20" s="25">
        <v>1.9342359767891683E-3</v>
      </c>
      <c r="M20" s="25">
        <v>0</v>
      </c>
      <c r="N20" s="26">
        <v>22.301740812379109</v>
      </c>
    </row>
    <row r="21" spans="1:24" x14ac:dyDescent="0.25">
      <c r="A21" s="23">
        <v>0.60642570281124497</v>
      </c>
      <c r="B21" s="23">
        <v>3.2128514056224897E-2</v>
      </c>
      <c r="C21" s="23">
        <v>0.27710843373493976</v>
      </c>
      <c r="D21" s="23">
        <v>4.8192771084337352E-2</v>
      </c>
      <c r="E21" s="24">
        <v>91</v>
      </c>
      <c r="F21" s="24">
        <v>284</v>
      </c>
      <c r="G21" s="24">
        <v>75</v>
      </c>
      <c r="H21" s="24">
        <v>0</v>
      </c>
      <c r="I21" s="24">
        <v>450</v>
      </c>
      <c r="J21" s="25">
        <v>0.20222222222222222</v>
      </c>
      <c r="K21" s="25">
        <v>0.63111111111111107</v>
      </c>
      <c r="L21" s="25">
        <v>0.16666666666666666</v>
      </c>
      <c r="M21" s="25">
        <v>0</v>
      </c>
      <c r="N21" s="26">
        <v>73.333333333333329</v>
      </c>
      <c r="P21" s="29" t="s">
        <v>102</v>
      </c>
    </row>
    <row r="22" spans="1:24" x14ac:dyDescent="0.25">
      <c r="A22" s="23">
        <v>0.67182662538699689</v>
      </c>
      <c r="B22" s="23">
        <v>6.5015479876160992E-2</v>
      </c>
      <c r="C22" s="23">
        <v>0.21981424148606812</v>
      </c>
      <c r="D22" s="23">
        <v>1.8575851393188854E-2</v>
      </c>
      <c r="E22" s="24">
        <v>94</v>
      </c>
      <c r="F22" s="24">
        <v>291</v>
      </c>
      <c r="G22" s="24">
        <v>62</v>
      </c>
      <c r="H22" s="24">
        <v>3</v>
      </c>
      <c r="I22" s="24">
        <v>450</v>
      </c>
      <c r="J22" s="25">
        <v>0.2088888888888889</v>
      </c>
      <c r="K22" s="25">
        <v>0.64666666666666661</v>
      </c>
      <c r="L22" s="25">
        <v>0.13777777777777778</v>
      </c>
      <c r="M22" s="25">
        <v>6.6666666666666671E-3</v>
      </c>
      <c r="N22" s="26">
        <v>65.599999999999994</v>
      </c>
    </row>
    <row r="23" spans="1:24" x14ac:dyDescent="0.25">
      <c r="A23" s="23">
        <v>0.6071428571428571</v>
      </c>
      <c r="B23" s="23">
        <v>8.0357142857142863E-2</v>
      </c>
      <c r="C23" s="23">
        <v>0.2767857142857143</v>
      </c>
      <c r="D23" s="23">
        <v>1.1904761904761904E-2</v>
      </c>
      <c r="E23" s="24">
        <v>145</v>
      </c>
      <c r="F23" s="24">
        <v>245</v>
      </c>
      <c r="G23" s="24">
        <v>58</v>
      </c>
      <c r="H23" s="24">
        <v>2</v>
      </c>
      <c r="I23" s="24">
        <v>450</v>
      </c>
      <c r="J23" s="25">
        <v>0.32222222222222224</v>
      </c>
      <c r="K23" s="25">
        <v>0.5444444444444444</v>
      </c>
      <c r="L23" s="25">
        <v>0.12888888888888889</v>
      </c>
      <c r="M23" s="25">
        <v>4.4444444444444444E-3</v>
      </c>
      <c r="N23" s="26">
        <v>56.666666666666664</v>
      </c>
    </row>
    <row r="24" spans="1:24" x14ac:dyDescent="0.25">
      <c r="A24" s="23">
        <v>0.62436548223350252</v>
      </c>
      <c r="B24" s="23">
        <v>0.13197969543147209</v>
      </c>
      <c r="C24" s="23">
        <v>0.20558375634517767</v>
      </c>
      <c r="D24" s="23">
        <v>1.7766497461928935E-2</v>
      </c>
      <c r="E24" s="24">
        <v>192</v>
      </c>
      <c r="F24" s="24">
        <v>325</v>
      </c>
      <c r="G24" s="24">
        <v>87</v>
      </c>
      <c r="H24" s="24">
        <v>6</v>
      </c>
      <c r="I24" s="24">
        <v>610</v>
      </c>
      <c r="J24" s="25">
        <v>0.31475409836065577</v>
      </c>
      <c r="K24" s="25">
        <v>0.53278688524590168</v>
      </c>
      <c r="L24" s="25">
        <v>0.14262295081967213</v>
      </c>
      <c r="M24" s="25">
        <v>9.8360655737704927E-3</v>
      </c>
      <c r="N24" s="26">
        <v>46.14590163934426</v>
      </c>
    </row>
    <row r="25" spans="1:24" x14ac:dyDescent="0.25">
      <c r="A25" s="23">
        <v>0.59681697612732099</v>
      </c>
      <c r="B25" s="23">
        <v>0.17771883289124668</v>
      </c>
      <c r="C25" s="23">
        <v>0.20954907161803712</v>
      </c>
      <c r="D25" s="23">
        <v>1.3262599469496022E-2</v>
      </c>
      <c r="E25" s="24">
        <v>224</v>
      </c>
      <c r="F25" s="24">
        <v>295</v>
      </c>
      <c r="G25" s="24">
        <v>88</v>
      </c>
      <c r="H25" s="24">
        <v>3</v>
      </c>
      <c r="I25" s="24">
        <v>610</v>
      </c>
      <c r="J25" s="25">
        <v>0.36721311475409835</v>
      </c>
      <c r="K25" s="25">
        <v>0.48360655737704916</v>
      </c>
      <c r="L25" s="25">
        <v>0.14426229508196722</v>
      </c>
      <c r="M25" s="25">
        <v>4.9180327868852463E-3</v>
      </c>
      <c r="N25" s="26">
        <v>35.149180327868855</v>
      </c>
      <c r="X25" s="29" t="s">
        <v>281</v>
      </c>
    </row>
    <row r="26" spans="1:24" x14ac:dyDescent="0.25">
      <c r="A26" s="23">
        <v>0.52488687782805432</v>
      </c>
      <c r="B26" s="23">
        <v>0.23755656108597284</v>
      </c>
      <c r="C26" s="23">
        <v>0.22624434389140272</v>
      </c>
      <c r="D26" s="23">
        <v>9.0497737556561094E-3</v>
      </c>
      <c r="E26" s="24">
        <v>279</v>
      </c>
      <c r="F26" s="24">
        <v>218</v>
      </c>
      <c r="G26" s="24">
        <v>114</v>
      </c>
      <c r="H26" s="24">
        <v>1</v>
      </c>
      <c r="I26" s="24">
        <v>612</v>
      </c>
      <c r="J26" s="25">
        <v>0.45588235294117646</v>
      </c>
      <c r="K26" s="25">
        <v>0.3562091503267974</v>
      </c>
      <c r="L26" s="25">
        <v>0.18627450980392157</v>
      </c>
      <c r="M26" s="25">
        <v>1.6339869281045752E-3</v>
      </c>
      <c r="N26" s="26">
        <v>24.284313725490197</v>
      </c>
    </row>
    <row r="27" spans="1:24" x14ac:dyDescent="0.25">
      <c r="A27" s="23">
        <v>0.25443786982248523</v>
      </c>
      <c r="B27" s="23">
        <v>0.17751479289940827</v>
      </c>
      <c r="C27" s="23">
        <v>0.53846153846153844</v>
      </c>
      <c r="D27" s="23">
        <v>8.8757396449704144E-3</v>
      </c>
      <c r="E27" s="24">
        <v>254</v>
      </c>
      <c r="F27" s="24">
        <v>28</v>
      </c>
      <c r="G27" s="24">
        <v>110</v>
      </c>
      <c r="H27" s="24">
        <v>8</v>
      </c>
      <c r="I27" s="24">
        <v>400</v>
      </c>
      <c r="J27" s="25">
        <v>0.63500000000000001</v>
      </c>
      <c r="K27" s="25">
        <v>7.0000000000000007E-2</v>
      </c>
      <c r="L27" s="25">
        <v>0.27500000000000002</v>
      </c>
      <c r="M27" s="25">
        <v>0.02</v>
      </c>
      <c r="N27" s="26">
        <v>65.1875</v>
      </c>
      <c r="X27" s="31">
        <f>0.2716+0.0417</f>
        <v>0.31330000000000002</v>
      </c>
    </row>
    <row r="28" spans="1:24" x14ac:dyDescent="0.25">
      <c r="A28" s="23">
        <v>0.36690647482014388</v>
      </c>
      <c r="B28" s="23">
        <v>0.22661870503597123</v>
      </c>
      <c r="C28" s="23">
        <v>0.38489208633093525</v>
      </c>
      <c r="D28" s="23">
        <v>1.7985611510791366E-2</v>
      </c>
      <c r="E28" s="24">
        <v>239</v>
      </c>
      <c r="F28" s="24">
        <v>58</v>
      </c>
      <c r="G28" s="24">
        <v>121</v>
      </c>
      <c r="H28" s="24">
        <v>1</v>
      </c>
      <c r="I28" s="24">
        <v>419</v>
      </c>
      <c r="J28" s="25">
        <v>0.57040572792362765</v>
      </c>
      <c r="K28" s="25">
        <v>0.13842482100238662</v>
      </c>
      <c r="L28" s="25">
        <v>0.28878281622911695</v>
      </c>
      <c r="M28" s="25">
        <v>2.3866348448687352E-3</v>
      </c>
      <c r="N28" s="26">
        <v>42.923627684964202</v>
      </c>
    </row>
    <row r="29" spans="1:24" x14ac:dyDescent="0.25">
      <c r="A29" s="23">
        <v>0.24041811846689895</v>
      </c>
      <c r="B29" s="23">
        <v>0.32752613240418116</v>
      </c>
      <c r="C29" s="23">
        <v>0.37630662020905925</v>
      </c>
      <c r="D29" s="23">
        <v>2.0905923344947737E-2</v>
      </c>
      <c r="E29" s="24">
        <v>297</v>
      </c>
      <c r="F29" s="24">
        <v>44</v>
      </c>
      <c r="G29" s="24">
        <v>78</v>
      </c>
      <c r="H29" s="24">
        <v>0</v>
      </c>
      <c r="I29" s="24">
        <v>419</v>
      </c>
      <c r="J29" s="25">
        <v>0.70883054892601427</v>
      </c>
      <c r="K29" s="25">
        <v>0.10501193317422435</v>
      </c>
      <c r="L29" s="25">
        <v>0.18615751789976134</v>
      </c>
      <c r="M29" s="25">
        <v>0</v>
      </c>
      <c r="N29" s="26">
        <v>24.29832935560859</v>
      </c>
    </row>
    <row r="30" spans="1:24" x14ac:dyDescent="0.25">
      <c r="A30" s="23">
        <v>0.27304964539007093</v>
      </c>
      <c r="B30" s="23">
        <v>0.38297872340425532</v>
      </c>
      <c r="C30" s="23">
        <v>0.2978723404255319</v>
      </c>
      <c r="D30" s="23">
        <v>2.4822695035460994E-2</v>
      </c>
      <c r="E30" s="24">
        <v>299</v>
      </c>
      <c r="F30" s="24">
        <v>57</v>
      </c>
      <c r="G30" s="24">
        <v>93</v>
      </c>
      <c r="H30" s="24">
        <v>1</v>
      </c>
      <c r="I30" s="24">
        <v>450</v>
      </c>
      <c r="J30" s="25">
        <v>0.66444444444444439</v>
      </c>
      <c r="K30" s="25">
        <v>0.12666666666666668</v>
      </c>
      <c r="L30" s="25">
        <v>0.20666666666666667</v>
      </c>
      <c r="M30" s="25">
        <v>2.2222222222222222E-3</v>
      </c>
      <c r="N30" s="26">
        <v>62.313333333333333</v>
      </c>
    </row>
    <row r="31" spans="1:24" x14ac:dyDescent="0.25">
      <c r="A31" s="23">
        <v>0.25386996904024767</v>
      </c>
      <c r="B31" s="23">
        <v>0.4086687306501548</v>
      </c>
      <c r="C31" s="23">
        <v>0.32198142414860681</v>
      </c>
      <c r="D31" s="23">
        <v>9.2879256965944269E-3</v>
      </c>
      <c r="E31" s="24">
        <v>311</v>
      </c>
      <c r="F31" s="24">
        <v>55</v>
      </c>
      <c r="G31" s="24">
        <v>67</v>
      </c>
      <c r="H31" s="24">
        <v>17</v>
      </c>
      <c r="I31" s="24">
        <v>450</v>
      </c>
      <c r="J31" s="25">
        <v>0.69111111111111112</v>
      </c>
      <c r="K31" s="25">
        <v>0.12222222222222222</v>
      </c>
      <c r="L31" s="25">
        <v>0.14888888888888888</v>
      </c>
      <c r="M31" s="25">
        <v>3.7777777777777778E-2</v>
      </c>
      <c r="N31" s="26">
        <v>53.346666666666664</v>
      </c>
    </row>
    <row r="32" spans="1:24" x14ac:dyDescent="0.25">
      <c r="A32" s="23">
        <v>0.3236842105263158</v>
      </c>
      <c r="B32" s="23">
        <v>0.37105263157894736</v>
      </c>
      <c r="C32" s="23">
        <v>0.29210526315789476</v>
      </c>
      <c r="D32" s="23">
        <v>1.3157894736842105E-2</v>
      </c>
      <c r="E32" s="24">
        <v>459</v>
      </c>
      <c r="F32" s="24">
        <v>58</v>
      </c>
      <c r="G32" s="24">
        <v>70</v>
      </c>
      <c r="H32" s="24">
        <v>68</v>
      </c>
      <c r="I32" s="24">
        <v>655</v>
      </c>
      <c r="J32" s="25">
        <v>0.70076335877862594</v>
      </c>
      <c r="K32" s="25">
        <v>8.8549618320610687E-2</v>
      </c>
      <c r="L32" s="25">
        <v>0.10687022900763359</v>
      </c>
      <c r="M32" s="25">
        <v>0.10381679389312977</v>
      </c>
      <c r="N32" s="26">
        <v>44.938931297709921</v>
      </c>
    </row>
    <row r="33" spans="1:33" x14ac:dyDescent="0.25">
      <c r="A33" s="23">
        <v>0.34792626728110598</v>
      </c>
      <c r="B33" s="23">
        <v>0.38018433179723504</v>
      </c>
      <c r="C33" s="23">
        <v>0.26036866359447003</v>
      </c>
      <c r="D33" s="23">
        <v>9.2165898617511521E-3</v>
      </c>
      <c r="E33" s="24">
        <v>478</v>
      </c>
      <c r="F33" s="24">
        <v>64</v>
      </c>
      <c r="G33" s="24">
        <v>56</v>
      </c>
      <c r="H33" s="24">
        <v>57</v>
      </c>
      <c r="I33" s="24">
        <v>655</v>
      </c>
      <c r="J33" s="25">
        <v>0.72977099236641219</v>
      </c>
      <c r="K33" s="25">
        <v>9.7709923664122136E-2</v>
      </c>
      <c r="L33" s="25">
        <v>8.5496183206106871E-2</v>
      </c>
      <c r="M33" s="25">
        <v>8.7022900763358779E-2</v>
      </c>
      <c r="N33" s="26">
        <v>39.96030534351145</v>
      </c>
    </row>
    <row r="34" spans="1:33" x14ac:dyDescent="0.25">
      <c r="A34" s="23">
        <v>0.26415094339622641</v>
      </c>
      <c r="B34" s="23">
        <v>0.21886792452830189</v>
      </c>
      <c r="C34" s="23">
        <v>0.43018867924528303</v>
      </c>
      <c r="D34" s="23">
        <v>1.8867924528301886E-2</v>
      </c>
      <c r="E34" s="24">
        <v>508</v>
      </c>
      <c r="F34" s="24">
        <v>50</v>
      </c>
      <c r="G34" s="24">
        <v>62</v>
      </c>
      <c r="H34" s="24">
        <v>35</v>
      </c>
      <c r="I34" s="24">
        <v>655</v>
      </c>
      <c r="J34" s="25">
        <v>0.77557251908396951</v>
      </c>
      <c r="K34" s="25">
        <v>7.6335877862595422E-2</v>
      </c>
      <c r="L34" s="25">
        <v>9.465648854961832E-2</v>
      </c>
      <c r="M34" s="25">
        <v>5.3435114503816793E-2</v>
      </c>
      <c r="N34" s="26">
        <v>35.503816793893129</v>
      </c>
    </row>
    <row r="35" spans="1:33" x14ac:dyDescent="0.25">
      <c r="A35" s="23">
        <v>0.43971631205673761</v>
      </c>
      <c r="B35" s="23">
        <v>0.2978723404255319</v>
      </c>
      <c r="C35" s="23">
        <v>0.24822695035460993</v>
      </c>
      <c r="D35" s="23">
        <v>3.5460992907801418E-3</v>
      </c>
      <c r="E35" s="24">
        <v>461</v>
      </c>
      <c r="F35" s="24">
        <v>102</v>
      </c>
      <c r="G35" s="24">
        <v>81</v>
      </c>
      <c r="H35" s="24">
        <v>11</v>
      </c>
      <c r="I35" s="24">
        <v>655</v>
      </c>
      <c r="J35" s="25">
        <v>0.70381679389312979</v>
      </c>
      <c r="K35" s="25">
        <v>0.15572519083969466</v>
      </c>
      <c r="L35" s="25">
        <v>0.12366412213740458</v>
      </c>
      <c r="M35" s="25">
        <v>1.6793893129770993E-2</v>
      </c>
      <c r="N35" s="26">
        <v>29.531297709923663</v>
      </c>
    </row>
    <row r="36" spans="1:33" x14ac:dyDescent="0.25">
      <c r="A36" s="23">
        <v>0.3762057877813505</v>
      </c>
      <c r="B36" s="23">
        <v>0.40192926045016075</v>
      </c>
      <c r="C36" s="23">
        <v>0.20578778135048231</v>
      </c>
      <c r="D36" s="23">
        <v>9.6463022508038593E-3</v>
      </c>
      <c r="E36" s="24">
        <v>465</v>
      </c>
      <c r="F36" s="24">
        <v>72</v>
      </c>
      <c r="G36" s="24">
        <v>106</v>
      </c>
      <c r="H36" s="24">
        <v>12</v>
      </c>
      <c r="I36" s="24">
        <v>655</v>
      </c>
      <c r="J36" s="25">
        <v>0.70992366412213737</v>
      </c>
      <c r="K36" s="25">
        <v>0.1099236641221374</v>
      </c>
      <c r="L36" s="25">
        <v>0.16183206106870229</v>
      </c>
      <c r="M36" s="25">
        <v>1.8320610687022901E-2</v>
      </c>
      <c r="N36" s="26">
        <v>21.908396946564885</v>
      </c>
    </row>
    <row r="37" spans="1:33" x14ac:dyDescent="0.25">
      <c r="A37" s="23">
        <v>6.133333333333333E-2</v>
      </c>
      <c r="B37" s="23">
        <v>0.14933333333333335</v>
      </c>
      <c r="C37" s="23">
        <v>0.7493333333333333</v>
      </c>
      <c r="D37" s="23">
        <v>1.3333333333333334E-2</v>
      </c>
      <c r="E37" s="24">
        <v>449</v>
      </c>
      <c r="F37" s="24">
        <v>1</v>
      </c>
      <c r="G37" s="24">
        <v>0</v>
      </c>
      <c r="H37" s="24">
        <v>0</v>
      </c>
      <c r="I37" s="24">
        <v>450</v>
      </c>
      <c r="J37" s="25">
        <v>0.99777777777777776</v>
      </c>
      <c r="K37" s="25">
        <v>2.2222222222222222E-3</v>
      </c>
      <c r="L37" s="25">
        <v>0</v>
      </c>
      <c r="M37" s="25">
        <v>0</v>
      </c>
      <c r="N37" s="26">
        <v>65.708888888888893</v>
      </c>
    </row>
    <row r="38" spans="1:33" x14ac:dyDescent="0.25">
      <c r="A38" s="23">
        <v>0.10695187165775401</v>
      </c>
      <c r="B38" s="23">
        <v>0.29144385026737968</v>
      </c>
      <c r="C38" s="23">
        <v>0.5802139037433155</v>
      </c>
      <c r="D38" s="23">
        <v>5.3475935828877002E-3</v>
      </c>
      <c r="E38" s="24">
        <v>448</v>
      </c>
      <c r="F38" s="24">
        <v>1</v>
      </c>
      <c r="G38" s="24">
        <v>1</v>
      </c>
      <c r="H38" s="24">
        <v>0</v>
      </c>
      <c r="I38" s="24">
        <v>450</v>
      </c>
      <c r="J38" s="25">
        <v>0.99555555555555553</v>
      </c>
      <c r="K38" s="25">
        <v>2.2222222222222222E-3</v>
      </c>
      <c r="L38" s="25">
        <v>2.2222222222222222E-3</v>
      </c>
      <c r="M38" s="25">
        <v>0</v>
      </c>
      <c r="N38" s="26">
        <v>59.82</v>
      </c>
    </row>
    <row r="39" spans="1:33" x14ac:dyDescent="0.25">
      <c r="A39" s="23">
        <v>8.9353612167300381E-2</v>
      </c>
      <c r="B39" s="23">
        <v>0.37452471482889732</v>
      </c>
      <c r="C39" s="23">
        <v>0.52091254752851712</v>
      </c>
      <c r="D39" s="23">
        <v>9.5057034220532317E-3</v>
      </c>
      <c r="E39" s="24">
        <v>698</v>
      </c>
      <c r="F39" s="24">
        <v>0</v>
      </c>
      <c r="G39" s="24">
        <v>1</v>
      </c>
      <c r="H39" s="24">
        <v>1</v>
      </c>
      <c r="I39" s="24">
        <v>700</v>
      </c>
      <c r="J39" s="25">
        <v>0.99714285714285711</v>
      </c>
      <c r="K39" s="25">
        <v>0</v>
      </c>
      <c r="L39" s="25">
        <v>1.4285714285714286E-3</v>
      </c>
      <c r="M39" s="25">
        <v>1.4285714285714286E-3</v>
      </c>
      <c r="N39" s="26">
        <v>42.042857142857144</v>
      </c>
    </row>
    <row r="40" spans="1:33" x14ac:dyDescent="0.25">
      <c r="A40" s="23">
        <v>8.5769980506822607E-2</v>
      </c>
      <c r="B40" s="23">
        <v>0.43469785575048731</v>
      </c>
      <c r="C40" s="23">
        <v>0.46588693957115007</v>
      </c>
      <c r="D40" s="23">
        <v>7.7972709551656916E-3</v>
      </c>
      <c r="E40" s="24">
        <v>700</v>
      </c>
      <c r="F40" s="24">
        <v>0</v>
      </c>
      <c r="G40" s="24">
        <v>0</v>
      </c>
      <c r="H40" s="24">
        <v>0</v>
      </c>
      <c r="I40" s="24">
        <v>700</v>
      </c>
      <c r="J40" s="25">
        <v>1</v>
      </c>
      <c r="K40" s="25">
        <v>0</v>
      </c>
      <c r="L40" s="25">
        <v>0</v>
      </c>
      <c r="M40" s="25">
        <v>0</v>
      </c>
      <c r="N40" s="26">
        <v>35.767142857142858</v>
      </c>
    </row>
    <row r="41" spans="1:33" x14ac:dyDescent="0.25">
      <c r="A41" s="23">
        <v>0.1044776119402985</v>
      </c>
      <c r="B41" s="23">
        <v>0.45522388059701491</v>
      </c>
      <c r="C41" s="23">
        <v>0.43283582089552236</v>
      </c>
      <c r="D41" s="23">
        <v>5.597014925373134E-3</v>
      </c>
      <c r="E41" s="24">
        <v>703</v>
      </c>
      <c r="F41" s="24">
        <v>0</v>
      </c>
      <c r="G41" s="24">
        <v>0</v>
      </c>
      <c r="H41" s="24">
        <v>0</v>
      </c>
      <c r="I41" s="24">
        <v>703</v>
      </c>
      <c r="J41" s="25">
        <v>1</v>
      </c>
      <c r="K41" s="25">
        <v>0</v>
      </c>
      <c r="L41" s="25">
        <v>0</v>
      </c>
      <c r="M41" s="25">
        <v>0</v>
      </c>
      <c r="N41" s="26">
        <v>26.460881934566146</v>
      </c>
      <c r="P41" s="29" t="s">
        <v>100</v>
      </c>
    </row>
    <row r="42" spans="1:33" x14ac:dyDescent="0.25">
      <c r="A42" s="23">
        <v>8.6842105263157901E-2</v>
      </c>
      <c r="B42" s="23">
        <v>0.13157894736842105</v>
      </c>
      <c r="C42" s="23">
        <v>0.75</v>
      </c>
      <c r="D42" s="23">
        <v>1.5789473684210527E-2</v>
      </c>
      <c r="E42" s="24">
        <v>448</v>
      </c>
      <c r="F42" s="24">
        <v>0</v>
      </c>
      <c r="G42" s="24">
        <v>1</v>
      </c>
      <c r="H42" s="24">
        <v>1</v>
      </c>
      <c r="I42" s="24">
        <v>450</v>
      </c>
      <c r="J42" s="25">
        <v>0.99555555555555553</v>
      </c>
      <c r="K42" s="25">
        <v>0</v>
      </c>
      <c r="L42" s="25">
        <v>2.2222222222222222E-3</v>
      </c>
      <c r="M42" s="25">
        <v>2.2222222222222222E-3</v>
      </c>
      <c r="N42" s="26">
        <v>65.413333333333327</v>
      </c>
    </row>
    <row r="43" spans="1:33" x14ac:dyDescent="0.25">
      <c r="A43" s="23">
        <v>0.10204081632653061</v>
      </c>
      <c r="B43" s="23">
        <v>0.15051020408163265</v>
      </c>
      <c r="C43" s="23">
        <v>0.72448979591836737</v>
      </c>
      <c r="D43" s="23">
        <v>5.1020408163265302E-3</v>
      </c>
      <c r="E43" s="24">
        <v>446</v>
      </c>
      <c r="F43" s="24">
        <v>0</v>
      </c>
      <c r="G43" s="24">
        <v>3</v>
      </c>
      <c r="H43" s="24">
        <v>1</v>
      </c>
      <c r="I43" s="24">
        <v>450</v>
      </c>
      <c r="J43" s="25">
        <v>0.99111111111111116</v>
      </c>
      <c r="K43" s="25">
        <v>0</v>
      </c>
      <c r="L43" s="25">
        <v>6.6666666666666671E-3</v>
      </c>
      <c r="M43" s="25">
        <v>2.2222222222222222E-3</v>
      </c>
      <c r="N43" s="26">
        <v>54.415555555555557</v>
      </c>
    </row>
    <row r="44" spans="1:33" x14ac:dyDescent="0.25">
      <c r="A44" s="23">
        <v>0.12</v>
      </c>
      <c r="B44" s="23">
        <v>0.39111111111111113</v>
      </c>
      <c r="C44" s="23">
        <v>0.47333333333333333</v>
      </c>
      <c r="D44" s="23">
        <v>8.8888888888888889E-3</v>
      </c>
      <c r="E44" s="24">
        <v>593</v>
      </c>
      <c r="F44" s="24">
        <v>0</v>
      </c>
      <c r="G44" s="24">
        <v>3</v>
      </c>
      <c r="H44" s="24">
        <v>0</v>
      </c>
      <c r="I44" s="24">
        <v>596</v>
      </c>
      <c r="J44" s="25">
        <v>0.99496644295302017</v>
      </c>
      <c r="K44" s="25">
        <v>0</v>
      </c>
      <c r="L44" s="25">
        <v>5.0335570469798654E-3</v>
      </c>
      <c r="M44" s="25">
        <v>0</v>
      </c>
      <c r="N44" s="26">
        <v>39.416107382550337</v>
      </c>
    </row>
    <row r="45" spans="1:33" x14ac:dyDescent="0.25">
      <c r="A45" s="23">
        <v>8.3333333333333329E-2</v>
      </c>
      <c r="B45" s="23">
        <v>0.45726495726495725</v>
      </c>
      <c r="C45" s="23">
        <v>0.4358974358974359</v>
      </c>
      <c r="D45" s="23">
        <v>1.4957264957264958E-2</v>
      </c>
      <c r="E45" s="24">
        <v>596</v>
      </c>
      <c r="F45" s="24">
        <v>0</v>
      </c>
      <c r="G45" s="24">
        <v>0</v>
      </c>
      <c r="H45" s="24">
        <v>0</v>
      </c>
      <c r="I45" s="24">
        <v>596</v>
      </c>
      <c r="J45" s="25">
        <v>1</v>
      </c>
      <c r="K45" s="25">
        <v>0</v>
      </c>
      <c r="L45" s="25">
        <v>0</v>
      </c>
      <c r="M45" s="25">
        <v>0</v>
      </c>
      <c r="N45" s="26">
        <v>33.645973154362416</v>
      </c>
      <c r="X45" s="29" t="s">
        <v>282</v>
      </c>
      <c r="AG45" s="29" t="s">
        <v>285</v>
      </c>
    </row>
    <row r="46" spans="1:33" x14ac:dyDescent="0.25">
      <c r="A46" s="23">
        <v>7.0953436807095344E-2</v>
      </c>
      <c r="B46" s="23">
        <v>0.52993348115299332</v>
      </c>
      <c r="C46" s="23">
        <v>0.3902439024390244</v>
      </c>
      <c r="D46" s="23">
        <v>6.6518847006651885E-3</v>
      </c>
      <c r="E46" s="24">
        <v>596</v>
      </c>
      <c r="F46" s="24">
        <v>0</v>
      </c>
      <c r="G46" s="24">
        <v>0</v>
      </c>
      <c r="H46" s="24">
        <v>0</v>
      </c>
      <c r="I46" s="24">
        <v>596</v>
      </c>
      <c r="J46" s="25">
        <v>1</v>
      </c>
      <c r="K46" s="25">
        <v>0</v>
      </c>
      <c r="L46" s="25">
        <v>0</v>
      </c>
      <c r="M46" s="25">
        <v>0</v>
      </c>
      <c r="N46" s="26">
        <v>25.10234899328859</v>
      </c>
    </row>
    <row r="47" spans="1:33" x14ac:dyDescent="0.25">
      <c r="A47" s="23">
        <v>0.13043478260869565</v>
      </c>
      <c r="B47" s="23">
        <v>0.10869565217391304</v>
      </c>
      <c r="C47" s="23">
        <v>0.73291925465838514</v>
      </c>
      <c r="D47" s="23">
        <v>1.2422360248447204E-2</v>
      </c>
      <c r="E47" s="24">
        <v>412</v>
      </c>
      <c r="F47" s="24">
        <v>6</v>
      </c>
      <c r="G47" s="24">
        <v>31</v>
      </c>
      <c r="H47" s="24">
        <v>1</v>
      </c>
      <c r="I47" s="24">
        <v>450</v>
      </c>
      <c r="J47" s="25">
        <v>0.91555555555555557</v>
      </c>
      <c r="K47" s="25">
        <v>1.3333333333333334E-2</v>
      </c>
      <c r="L47" s="25">
        <v>6.8888888888888888E-2</v>
      </c>
      <c r="M47" s="25">
        <v>2.2222222222222222E-3</v>
      </c>
      <c r="N47" s="26">
        <v>67.433333333333337</v>
      </c>
      <c r="X47" s="31">
        <f>0.463+0.0935</f>
        <v>0.55649999999999999</v>
      </c>
      <c r="AG47" s="32">
        <f>-0.5688+0.5218</f>
        <v>-4.6999999999999931E-2</v>
      </c>
    </row>
    <row r="48" spans="1:33" x14ac:dyDescent="0.25">
      <c r="A48" s="23">
        <v>0.11060948081264109</v>
      </c>
      <c r="B48" s="23">
        <v>0.26410835214446954</v>
      </c>
      <c r="C48" s="23">
        <v>0.60045146726862297</v>
      </c>
      <c r="D48" s="23">
        <v>1.580135440180587E-2</v>
      </c>
      <c r="E48" s="24">
        <v>550</v>
      </c>
      <c r="F48" s="24">
        <v>2</v>
      </c>
      <c r="G48" s="24">
        <v>23</v>
      </c>
      <c r="H48" s="24">
        <v>2</v>
      </c>
      <c r="I48" s="24">
        <v>577</v>
      </c>
      <c r="J48" s="25">
        <v>0.95320623916811087</v>
      </c>
      <c r="K48" s="25">
        <v>3.4662045060658577E-3</v>
      </c>
      <c r="L48" s="25">
        <v>3.9861351819757362E-2</v>
      </c>
      <c r="M48" s="25">
        <v>3.4662045060658577E-3</v>
      </c>
      <c r="N48" s="26">
        <v>50.641247833622181</v>
      </c>
    </row>
    <row r="49" spans="1:14" x14ac:dyDescent="0.25">
      <c r="A49" s="23">
        <v>0.10922330097087378</v>
      </c>
      <c r="B49" s="23">
        <v>0.40776699029126212</v>
      </c>
      <c r="C49" s="23">
        <v>0.46116504854368934</v>
      </c>
      <c r="D49" s="23">
        <v>1.4563106796116505E-2</v>
      </c>
      <c r="E49" s="24">
        <v>550</v>
      </c>
      <c r="F49" s="24">
        <v>0</v>
      </c>
      <c r="G49" s="24">
        <v>27</v>
      </c>
      <c r="H49" s="24">
        <v>0</v>
      </c>
      <c r="I49" s="24">
        <v>577</v>
      </c>
      <c r="J49" s="25">
        <v>0.95320623916811087</v>
      </c>
      <c r="K49" s="25">
        <v>0</v>
      </c>
      <c r="L49" s="25">
        <v>4.6793760831889082E-2</v>
      </c>
      <c r="M49" s="25">
        <v>0</v>
      </c>
      <c r="N49" s="26">
        <v>38.126516464471401</v>
      </c>
    </row>
    <row r="50" spans="1:14" x14ac:dyDescent="0.25">
      <c r="A50" s="23">
        <v>9.9767981438515077E-2</v>
      </c>
      <c r="B50" s="23">
        <v>0.43851508120649652</v>
      </c>
      <c r="C50" s="23">
        <v>0.45475638051044082</v>
      </c>
      <c r="D50" s="23">
        <v>4.6403712296983757E-3</v>
      </c>
      <c r="E50" s="24">
        <v>549</v>
      </c>
      <c r="F50" s="24">
        <v>0</v>
      </c>
      <c r="G50" s="24">
        <v>29</v>
      </c>
      <c r="H50" s="24">
        <v>0</v>
      </c>
      <c r="I50" s="24">
        <v>578</v>
      </c>
      <c r="J50" s="25">
        <v>0.94982698961937717</v>
      </c>
      <c r="K50" s="25">
        <v>0</v>
      </c>
      <c r="L50" s="25">
        <v>5.0173010380622836E-2</v>
      </c>
      <c r="M50" s="25">
        <v>0</v>
      </c>
      <c r="N50" s="26">
        <v>23.80968858131488</v>
      </c>
    </row>
    <row r="51" spans="1:14" x14ac:dyDescent="0.25">
      <c r="A51" s="23">
        <v>0.38368580060422963</v>
      </c>
      <c r="B51" s="23">
        <v>7.8549848942598186E-2</v>
      </c>
      <c r="C51" s="23">
        <v>0.49546827794561932</v>
      </c>
      <c r="D51" s="23">
        <v>1.812688821752266E-2</v>
      </c>
      <c r="E51" s="24">
        <v>238</v>
      </c>
      <c r="F51" s="24">
        <v>173</v>
      </c>
      <c r="G51" s="24">
        <v>39</v>
      </c>
      <c r="H51" s="24">
        <v>0</v>
      </c>
      <c r="I51" s="24">
        <v>450</v>
      </c>
      <c r="J51" s="25">
        <v>0.52888888888888885</v>
      </c>
      <c r="K51" s="25">
        <v>0.38444444444444442</v>
      </c>
      <c r="L51" s="25">
        <v>8.666666666666667E-2</v>
      </c>
      <c r="M51" s="25">
        <v>0</v>
      </c>
      <c r="N51" s="26">
        <v>69.426666666666662</v>
      </c>
    </row>
    <row r="52" spans="1:14" x14ac:dyDescent="0.25">
      <c r="A52" s="23">
        <v>0.3415977961432507</v>
      </c>
      <c r="B52" s="23">
        <v>0.15977961432506887</v>
      </c>
      <c r="C52" s="23">
        <v>0.46831955922865015</v>
      </c>
      <c r="D52" s="23">
        <v>1.6528925619834711E-2</v>
      </c>
      <c r="E52" s="24">
        <v>285</v>
      </c>
      <c r="F52" s="24">
        <v>132</v>
      </c>
      <c r="G52" s="24">
        <v>33</v>
      </c>
      <c r="H52" s="24">
        <v>0</v>
      </c>
      <c r="I52" s="24">
        <v>450</v>
      </c>
      <c r="J52" s="25">
        <v>0.6333333333333333</v>
      </c>
      <c r="K52" s="25">
        <v>0.29333333333333333</v>
      </c>
      <c r="L52" s="25">
        <v>7.3333333333333334E-2</v>
      </c>
      <c r="M52" s="25">
        <v>0</v>
      </c>
      <c r="N52" s="26">
        <v>57.966666666666669</v>
      </c>
    </row>
    <row r="53" spans="1:14" x14ac:dyDescent="0.25">
      <c r="A53" s="23">
        <v>0.41666666666666669</v>
      </c>
      <c r="B53" s="23">
        <v>0.20161290322580644</v>
      </c>
      <c r="C53" s="23">
        <v>0.35483870967741937</v>
      </c>
      <c r="D53" s="23">
        <v>1.8817204301075269E-2</v>
      </c>
      <c r="E53" s="24">
        <v>296</v>
      </c>
      <c r="F53" s="24">
        <v>149</v>
      </c>
      <c r="G53" s="24">
        <v>62</v>
      </c>
      <c r="H53" s="24">
        <v>0</v>
      </c>
      <c r="I53" s="24">
        <v>507</v>
      </c>
      <c r="J53" s="25">
        <v>0.58382642998027612</v>
      </c>
      <c r="K53" s="25">
        <v>0.29388560157790927</v>
      </c>
      <c r="L53" s="25">
        <v>0.1222879684418146</v>
      </c>
      <c r="M53" s="25">
        <v>0</v>
      </c>
      <c r="N53" s="26">
        <v>44.426035502958577</v>
      </c>
    </row>
    <row r="54" spans="1:14" x14ac:dyDescent="0.25">
      <c r="A54" s="23">
        <v>0.42816091954022989</v>
      </c>
      <c r="B54" s="23">
        <v>0.23850574712643677</v>
      </c>
      <c r="C54" s="23">
        <v>0.30747126436781608</v>
      </c>
      <c r="D54" s="23">
        <v>2.5862068965517241E-2</v>
      </c>
      <c r="E54" s="24">
        <v>296</v>
      </c>
      <c r="F54" s="24">
        <v>151</v>
      </c>
      <c r="G54" s="24">
        <v>60</v>
      </c>
      <c r="H54" s="24">
        <v>0</v>
      </c>
      <c r="I54" s="24">
        <v>507</v>
      </c>
      <c r="J54" s="25">
        <v>0.58382642998027612</v>
      </c>
      <c r="K54" s="25">
        <v>0.2978303747534517</v>
      </c>
      <c r="L54" s="25">
        <v>0.11834319526627218</v>
      </c>
      <c r="M54" s="25">
        <v>0</v>
      </c>
      <c r="N54" s="26">
        <v>33.956607495069036</v>
      </c>
    </row>
    <row r="55" spans="1:14" x14ac:dyDescent="0.25">
      <c r="A55" s="23">
        <v>0.39895013123359579</v>
      </c>
      <c r="B55" s="23">
        <v>0.24409448818897639</v>
      </c>
      <c r="C55" s="23">
        <v>0.34383202099737531</v>
      </c>
      <c r="D55" s="23">
        <v>7.874015748031496E-3</v>
      </c>
      <c r="E55" s="24">
        <v>312</v>
      </c>
      <c r="F55" s="24">
        <v>133</v>
      </c>
      <c r="G55" s="24">
        <v>63</v>
      </c>
      <c r="H55" s="24">
        <v>0</v>
      </c>
      <c r="I55" s="24">
        <v>508</v>
      </c>
      <c r="J55" s="25">
        <v>0.61417322834645671</v>
      </c>
      <c r="K55" s="25">
        <v>0.26181102362204722</v>
      </c>
      <c r="L55" s="25">
        <v>0.12401574803149606</v>
      </c>
      <c r="M55" s="25">
        <v>0</v>
      </c>
      <c r="N55" s="26">
        <v>23.761811023622048</v>
      </c>
    </row>
    <row r="56" spans="1:14" x14ac:dyDescent="0.25">
      <c r="A56" s="23">
        <v>0.63322884012539182</v>
      </c>
      <c r="B56" s="23">
        <v>5.0156739811912224E-2</v>
      </c>
      <c r="C56" s="23">
        <v>0.2507836990595611</v>
      </c>
      <c r="D56" s="23">
        <v>2.8213166144200628E-2</v>
      </c>
      <c r="E56" s="24">
        <v>244</v>
      </c>
      <c r="F56" s="24">
        <v>96</v>
      </c>
      <c r="G56" s="24">
        <v>108</v>
      </c>
      <c r="H56" s="24">
        <v>2</v>
      </c>
      <c r="I56" s="24">
        <v>450</v>
      </c>
      <c r="J56" s="25">
        <v>0.54222222222222227</v>
      </c>
      <c r="K56" s="25">
        <v>0.21333333333333335</v>
      </c>
      <c r="L56" s="25">
        <v>0.24</v>
      </c>
      <c r="M56" s="25">
        <v>4.4444444444444444E-3</v>
      </c>
      <c r="N56" s="26">
        <v>59.966666666666669</v>
      </c>
    </row>
    <row r="57" spans="1:14" x14ac:dyDescent="0.25">
      <c r="A57" s="23">
        <v>0.70523415977961434</v>
      </c>
      <c r="B57" s="23">
        <v>6.3360881542699726E-2</v>
      </c>
      <c r="C57" s="23">
        <v>0.20110192837465565</v>
      </c>
      <c r="D57" s="23">
        <v>1.928374655647383E-2</v>
      </c>
      <c r="E57" s="24">
        <v>244</v>
      </c>
      <c r="F57" s="24">
        <v>179</v>
      </c>
      <c r="G57" s="24">
        <v>196</v>
      </c>
      <c r="H57" s="24">
        <v>1</v>
      </c>
      <c r="I57" s="24">
        <v>620</v>
      </c>
      <c r="J57" s="25">
        <v>0.3935483870967742</v>
      </c>
      <c r="K57" s="25">
        <v>0.28870967741935483</v>
      </c>
      <c r="L57" s="25">
        <v>0.31612903225806449</v>
      </c>
      <c r="M57" s="25">
        <v>1.6129032258064516E-3</v>
      </c>
      <c r="N57" s="26">
        <v>43.270967741935486</v>
      </c>
    </row>
    <row r="58" spans="1:14" x14ac:dyDescent="0.25">
      <c r="A58" s="23">
        <v>0.76334106728538287</v>
      </c>
      <c r="B58" s="23">
        <v>5.5684454756380508E-2</v>
      </c>
      <c r="C58" s="23">
        <v>0.16241299303944315</v>
      </c>
      <c r="D58" s="23">
        <v>2.3201856148491878E-3</v>
      </c>
      <c r="E58" s="24">
        <v>274</v>
      </c>
      <c r="F58" s="24">
        <v>196</v>
      </c>
      <c r="G58" s="24">
        <v>150</v>
      </c>
      <c r="H58" s="24">
        <v>0</v>
      </c>
      <c r="I58" s="24">
        <v>620</v>
      </c>
      <c r="J58" s="25">
        <v>0.44193548387096776</v>
      </c>
      <c r="K58" s="25">
        <v>0.31612903225806449</v>
      </c>
      <c r="L58" s="25">
        <v>0.24193548387096775</v>
      </c>
      <c r="M58" s="25">
        <v>0</v>
      </c>
      <c r="N58" s="26">
        <v>32.70967741935484</v>
      </c>
    </row>
    <row r="59" spans="1:14" x14ac:dyDescent="0.25">
      <c r="A59" s="23">
        <v>0.7429906542056075</v>
      </c>
      <c r="B59" s="23">
        <v>0.10046728971962617</v>
      </c>
      <c r="C59" s="23">
        <v>0.15186915887850466</v>
      </c>
      <c r="D59" s="23">
        <v>4.6728971962616819E-3</v>
      </c>
      <c r="E59" s="24">
        <v>322</v>
      </c>
      <c r="F59" s="24">
        <v>147</v>
      </c>
      <c r="G59" s="24">
        <v>151</v>
      </c>
      <c r="H59" s="24">
        <v>2</v>
      </c>
      <c r="I59" s="24">
        <v>622</v>
      </c>
      <c r="J59" s="25">
        <v>0.51768488745980712</v>
      </c>
      <c r="K59" s="25">
        <v>0.23633440514469453</v>
      </c>
      <c r="L59" s="25">
        <v>0.2427652733118971</v>
      </c>
      <c r="M59" s="25">
        <v>3.2154340836012861E-3</v>
      </c>
      <c r="N59" s="26">
        <v>23.463022508038584</v>
      </c>
    </row>
    <row r="60" spans="1:14" x14ac:dyDescent="0.25">
      <c r="A60" s="23">
        <v>0.66352941176470592</v>
      </c>
      <c r="B60" s="23">
        <v>0.12705882352941175</v>
      </c>
      <c r="C60" s="23">
        <v>0.19294117647058823</v>
      </c>
      <c r="D60" s="23">
        <v>7.058823529411765E-3</v>
      </c>
      <c r="E60" s="24">
        <v>58</v>
      </c>
      <c r="F60" s="24">
        <v>262</v>
      </c>
      <c r="G60" s="24">
        <v>129</v>
      </c>
      <c r="H60" s="24">
        <v>1</v>
      </c>
      <c r="I60" s="24">
        <v>450</v>
      </c>
      <c r="J60" s="25">
        <v>0.12888888888888889</v>
      </c>
      <c r="K60" s="25">
        <v>0.5822222222222222</v>
      </c>
      <c r="L60" s="25">
        <v>0.28666666666666668</v>
      </c>
      <c r="M60" s="25">
        <v>2.2222222222222222E-3</v>
      </c>
      <c r="N60" s="26">
        <v>67.751111111111115</v>
      </c>
    </row>
    <row r="61" spans="1:14" x14ac:dyDescent="0.25">
      <c r="A61" s="23">
        <v>0.628</v>
      </c>
      <c r="B61" s="23">
        <v>0.16600000000000001</v>
      </c>
      <c r="C61" s="23">
        <v>0.20200000000000001</v>
      </c>
      <c r="D61" s="23">
        <v>4.0000000000000001E-3</v>
      </c>
      <c r="E61" s="24">
        <v>74</v>
      </c>
      <c r="F61" s="24">
        <v>244</v>
      </c>
      <c r="G61" s="24">
        <v>132</v>
      </c>
      <c r="H61" s="24">
        <v>0</v>
      </c>
      <c r="I61" s="24">
        <v>450</v>
      </c>
      <c r="J61" s="25">
        <v>0.16444444444444445</v>
      </c>
      <c r="K61" s="25">
        <v>0.54222222222222227</v>
      </c>
      <c r="L61" s="25">
        <v>0.29333333333333333</v>
      </c>
      <c r="M61" s="25">
        <v>0</v>
      </c>
      <c r="N61" s="26">
        <v>58.617777777777775</v>
      </c>
    </row>
    <row r="62" spans="1:14" x14ac:dyDescent="0.25">
      <c r="A62" s="23">
        <v>0.40591397849462363</v>
      </c>
      <c r="B62" s="23">
        <v>0.12634408602150538</v>
      </c>
      <c r="C62" s="23">
        <v>0.43817204301075269</v>
      </c>
      <c r="D62" s="23">
        <v>2.1505376344086023E-2</v>
      </c>
      <c r="E62" s="24">
        <v>96</v>
      </c>
      <c r="F62" s="24">
        <v>301</v>
      </c>
      <c r="G62" s="24">
        <v>237</v>
      </c>
      <c r="H62" s="24">
        <v>2</v>
      </c>
      <c r="I62" s="24">
        <v>636</v>
      </c>
      <c r="J62" s="25">
        <v>0.15094339622641509</v>
      </c>
      <c r="K62" s="25">
        <v>0.47327044025157233</v>
      </c>
      <c r="L62" s="25">
        <v>0.37264150943396224</v>
      </c>
      <c r="M62" s="25">
        <v>3.1446540880503146E-3</v>
      </c>
      <c r="N62" s="26">
        <v>46.410377358490564</v>
      </c>
    </row>
    <row r="63" spans="1:14" x14ac:dyDescent="0.25">
      <c r="A63" s="23">
        <v>0.53161592505854804</v>
      </c>
      <c r="B63" s="23">
        <v>0.15925058548009369</v>
      </c>
      <c r="C63" s="23">
        <v>0.27166276346604218</v>
      </c>
      <c r="D63" s="23">
        <v>2.1077283372365339E-2</v>
      </c>
      <c r="E63" s="24">
        <v>146</v>
      </c>
      <c r="F63" s="24">
        <v>270</v>
      </c>
      <c r="G63" s="24">
        <v>219</v>
      </c>
      <c r="H63" s="24">
        <v>1</v>
      </c>
      <c r="I63" s="24">
        <v>636</v>
      </c>
      <c r="J63" s="25">
        <v>0.22955974842767296</v>
      </c>
      <c r="K63" s="25">
        <v>0.42452830188679247</v>
      </c>
      <c r="L63" s="25">
        <v>0.34433962264150941</v>
      </c>
      <c r="M63" s="25">
        <v>1.5723270440251573E-3</v>
      </c>
      <c r="N63" s="26">
        <v>36.825471698113205</v>
      </c>
    </row>
    <row r="64" spans="1:14" x14ac:dyDescent="0.25">
      <c r="A64" s="23">
        <v>0.50116550116550118</v>
      </c>
      <c r="B64" s="23">
        <v>0.20046620046620048</v>
      </c>
      <c r="C64" s="23">
        <v>0.26107226107226106</v>
      </c>
      <c r="D64" s="23">
        <v>3.2634032634032632E-2</v>
      </c>
      <c r="E64" s="24">
        <v>183</v>
      </c>
      <c r="F64" s="24">
        <v>235</v>
      </c>
      <c r="G64" s="24">
        <v>218</v>
      </c>
      <c r="H64" s="24">
        <v>0</v>
      </c>
      <c r="I64" s="24">
        <v>636</v>
      </c>
      <c r="J64" s="25">
        <v>0.28773584905660377</v>
      </c>
      <c r="K64" s="25">
        <v>0.36949685534591192</v>
      </c>
      <c r="L64" s="25">
        <v>0.34276729559748426</v>
      </c>
      <c r="M64" s="25">
        <v>0</v>
      </c>
      <c r="N64" s="26">
        <v>29.581761006289309</v>
      </c>
    </row>
    <row r="65" spans="1:14" x14ac:dyDescent="0.25">
      <c r="A65" s="23">
        <v>0.48195329087048833</v>
      </c>
      <c r="B65" s="23">
        <v>0.20594479830148621</v>
      </c>
      <c r="C65" s="23">
        <v>0.30360934182590232</v>
      </c>
      <c r="D65" s="23">
        <v>6.369426751592357E-3</v>
      </c>
      <c r="E65" s="24">
        <v>210</v>
      </c>
      <c r="F65" s="24">
        <v>188</v>
      </c>
      <c r="G65" s="24">
        <v>238</v>
      </c>
      <c r="H65" s="24">
        <v>0</v>
      </c>
      <c r="I65" s="24">
        <v>636</v>
      </c>
      <c r="J65" s="25">
        <v>0.330188679245283</v>
      </c>
      <c r="K65" s="25">
        <v>0.29559748427672955</v>
      </c>
      <c r="L65" s="25">
        <v>0.37421383647798739</v>
      </c>
      <c r="M65" s="25">
        <v>0</v>
      </c>
      <c r="N65" s="26">
        <v>22.19811320754717</v>
      </c>
    </row>
    <row r="66" spans="1:14" x14ac:dyDescent="0.25">
      <c r="A66" s="23">
        <v>0.69649805447470814</v>
      </c>
      <c r="B66" s="23">
        <v>1.9455252918287938E-2</v>
      </c>
      <c r="C66" s="23">
        <v>0.28015564202334631</v>
      </c>
      <c r="D66" s="23">
        <v>0</v>
      </c>
      <c r="E66" s="24">
        <v>2</v>
      </c>
      <c r="F66" s="24">
        <v>309</v>
      </c>
      <c r="G66" s="24">
        <v>39</v>
      </c>
      <c r="H66" s="24">
        <v>0</v>
      </c>
      <c r="I66" s="24">
        <v>350</v>
      </c>
      <c r="J66" s="25">
        <v>5.7142857142857143E-3</v>
      </c>
      <c r="K66" s="25">
        <v>0.8828571428571429</v>
      </c>
      <c r="L66" s="25">
        <v>0.11142857142857143</v>
      </c>
      <c r="M66" s="25">
        <v>0</v>
      </c>
      <c r="N66" s="26">
        <v>63.725714285714282</v>
      </c>
    </row>
    <row r="67" spans="1:14" x14ac:dyDescent="0.25">
      <c r="A67" s="23">
        <v>0.79357798165137616</v>
      </c>
      <c r="B67" s="23">
        <v>3.2110091743119268E-2</v>
      </c>
      <c r="C67" s="23">
        <v>0.15596330275229359</v>
      </c>
      <c r="D67" s="23">
        <v>0</v>
      </c>
      <c r="E67" s="24">
        <v>12</v>
      </c>
      <c r="F67" s="24">
        <v>297</v>
      </c>
      <c r="G67" s="24">
        <v>43</v>
      </c>
      <c r="H67" s="24">
        <v>0</v>
      </c>
      <c r="I67" s="24">
        <v>352</v>
      </c>
      <c r="J67" s="25">
        <v>3.4090909090909088E-2</v>
      </c>
      <c r="K67" s="25">
        <v>0.84375</v>
      </c>
      <c r="L67" s="25">
        <v>0.12215909090909091</v>
      </c>
      <c r="M67" s="25">
        <v>0</v>
      </c>
      <c r="N67" s="26">
        <v>33.039772727272727</v>
      </c>
    </row>
    <row r="68" spans="1:14" x14ac:dyDescent="0.25">
      <c r="A68" s="23">
        <v>0.13725490196078433</v>
      </c>
      <c r="B68" s="23">
        <v>0.11204481792717087</v>
      </c>
      <c r="C68" s="23">
        <v>0.71708683473389356</v>
      </c>
      <c r="D68" s="23">
        <v>1.9607843137254902E-2</v>
      </c>
      <c r="E68" s="24">
        <v>399</v>
      </c>
      <c r="F68" s="24">
        <v>37</v>
      </c>
      <c r="G68" s="24">
        <v>14</v>
      </c>
      <c r="H68" s="24">
        <v>0</v>
      </c>
      <c r="I68" s="24">
        <v>450</v>
      </c>
      <c r="J68" s="25">
        <v>0.88666666666666671</v>
      </c>
      <c r="K68" s="25">
        <v>8.2222222222222224E-2</v>
      </c>
      <c r="L68" s="25">
        <v>3.111111111111111E-2</v>
      </c>
      <c r="M68" s="25">
        <v>0</v>
      </c>
      <c r="N68" s="26">
        <v>63.582222222222221</v>
      </c>
    </row>
    <row r="69" spans="1:14" x14ac:dyDescent="0.25">
      <c r="A69" s="23">
        <v>0.13268608414239483</v>
      </c>
      <c r="B69" s="23">
        <v>0.25889967637540451</v>
      </c>
      <c r="C69" s="23">
        <v>0.57281553398058249</v>
      </c>
      <c r="D69" s="23">
        <v>2.2653721682847898E-2</v>
      </c>
      <c r="E69" s="24">
        <v>391</v>
      </c>
      <c r="F69" s="24">
        <v>22</v>
      </c>
      <c r="G69" s="24">
        <v>3</v>
      </c>
      <c r="H69" s="24">
        <v>1</v>
      </c>
      <c r="I69" s="24">
        <v>417</v>
      </c>
      <c r="J69" s="25">
        <v>0.93764988009592332</v>
      </c>
      <c r="K69" s="25">
        <v>5.2757793764988008E-2</v>
      </c>
      <c r="L69" s="25">
        <v>7.1942446043165471E-3</v>
      </c>
      <c r="M69" s="25">
        <v>2.3980815347721821E-3</v>
      </c>
      <c r="N69" s="26">
        <v>43.717026378896882</v>
      </c>
    </row>
    <row r="70" spans="1:14" x14ac:dyDescent="0.25">
      <c r="A70" s="23">
        <v>9.5522388059701493E-2</v>
      </c>
      <c r="B70" s="23">
        <v>0.30447761194029849</v>
      </c>
      <c r="C70" s="23">
        <v>0.58805970149253728</v>
      </c>
      <c r="D70" s="23">
        <v>1.1940298507462687E-2</v>
      </c>
      <c r="E70" s="24">
        <v>409</v>
      </c>
      <c r="F70" s="24">
        <v>8</v>
      </c>
      <c r="G70" s="24">
        <v>1</v>
      </c>
      <c r="H70" s="24">
        <v>0</v>
      </c>
      <c r="I70" s="24">
        <v>418</v>
      </c>
      <c r="J70" s="25">
        <v>0.97846889952153115</v>
      </c>
      <c r="K70" s="25">
        <v>1.9138755980861243E-2</v>
      </c>
      <c r="L70" s="25">
        <v>2.3923444976076554E-3</v>
      </c>
      <c r="M70" s="25">
        <v>0</v>
      </c>
      <c r="N70" s="26">
        <v>26.342105263157894</v>
      </c>
    </row>
    <row r="71" spans="1:14" x14ac:dyDescent="0.25">
      <c r="A71" s="23">
        <v>0.58745874587458746</v>
      </c>
      <c r="B71" s="23">
        <v>2.3102310231023101E-2</v>
      </c>
      <c r="C71" s="23">
        <v>0.33993399339933994</v>
      </c>
      <c r="D71" s="23">
        <v>1.65016501650165E-2</v>
      </c>
      <c r="E71" s="24">
        <v>76</v>
      </c>
      <c r="F71" s="24">
        <v>306</v>
      </c>
      <c r="G71" s="24">
        <v>68</v>
      </c>
      <c r="H71" s="24">
        <v>0</v>
      </c>
      <c r="I71" s="24">
        <v>450</v>
      </c>
      <c r="J71" s="25">
        <v>0.16888888888888889</v>
      </c>
      <c r="K71" s="25">
        <v>0.68</v>
      </c>
      <c r="L71" s="25">
        <v>0.15111111111111111</v>
      </c>
      <c r="M71" s="25">
        <v>0</v>
      </c>
      <c r="N71" s="26">
        <v>68.702222222222218</v>
      </c>
    </row>
    <row r="72" spans="1:14" x14ac:dyDescent="0.25">
      <c r="A72" s="23">
        <v>0.58387096774193548</v>
      </c>
      <c r="B72" s="23">
        <v>7.4193548387096769E-2</v>
      </c>
      <c r="C72" s="23">
        <v>0.32903225806451614</v>
      </c>
      <c r="D72" s="23">
        <v>9.6774193548387101E-3</v>
      </c>
      <c r="E72" s="24">
        <v>121</v>
      </c>
      <c r="F72" s="24">
        <v>245</v>
      </c>
      <c r="G72" s="24">
        <v>84</v>
      </c>
      <c r="H72" s="24">
        <v>0</v>
      </c>
      <c r="I72" s="24">
        <v>450</v>
      </c>
      <c r="J72" s="25">
        <v>0.2688888888888889</v>
      </c>
      <c r="K72" s="25">
        <v>0.5444444444444444</v>
      </c>
      <c r="L72" s="25">
        <v>0.18666666666666668</v>
      </c>
      <c r="M72" s="25">
        <v>0</v>
      </c>
      <c r="N72" s="26">
        <v>54.395555555555553</v>
      </c>
    </row>
    <row r="73" spans="1:14" x14ac:dyDescent="0.25">
      <c r="A73" s="23">
        <v>0.5975232198142415</v>
      </c>
      <c r="B73" s="23">
        <v>0.13931888544891641</v>
      </c>
      <c r="C73" s="23">
        <v>0.23839009287925697</v>
      </c>
      <c r="D73" s="23">
        <v>9.2879256965944269E-3</v>
      </c>
      <c r="E73" s="24">
        <v>160</v>
      </c>
      <c r="F73" s="24">
        <v>259</v>
      </c>
      <c r="G73" s="24">
        <v>146</v>
      </c>
      <c r="H73" s="24">
        <v>1</v>
      </c>
      <c r="I73" s="24">
        <v>566</v>
      </c>
      <c r="J73" s="25">
        <v>0.28268551236749118</v>
      </c>
      <c r="K73" s="25">
        <v>0.4575971731448763</v>
      </c>
      <c r="L73" s="25">
        <v>0.25795053003533569</v>
      </c>
      <c r="M73" s="25">
        <v>1.7667844522968198E-3</v>
      </c>
      <c r="N73" s="26">
        <v>39.957597173144876</v>
      </c>
    </row>
    <row r="74" spans="1:14" x14ac:dyDescent="0.25">
      <c r="A74" s="23">
        <v>0.5128939828080229</v>
      </c>
      <c r="B74" s="23">
        <v>0.16905444126074498</v>
      </c>
      <c r="C74" s="23">
        <v>0.30659025787965616</v>
      </c>
      <c r="D74" s="23">
        <v>0</v>
      </c>
      <c r="E74" s="24">
        <v>197</v>
      </c>
      <c r="F74" s="24">
        <v>228</v>
      </c>
      <c r="G74" s="24">
        <v>142</v>
      </c>
      <c r="H74" s="24">
        <v>0</v>
      </c>
      <c r="I74" s="24">
        <v>567</v>
      </c>
      <c r="J74" s="25">
        <v>0.34744268077601409</v>
      </c>
      <c r="K74" s="25">
        <v>0.40211640211640209</v>
      </c>
      <c r="L74" s="25">
        <v>0.25044091710758376</v>
      </c>
      <c r="M74" s="25">
        <v>0</v>
      </c>
      <c r="N74" s="26">
        <v>26.185185185185187</v>
      </c>
    </row>
    <row r="75" spans="1:14" x14ac:dyDescent="0.25">
      <c r="A75" s="23">
        <v>7.1856287425149698E-2</v>
      </c>
      <c r="B75" s="23">
        <v>0.11976047904191617</v>
      </c>
      <c r="C75" s="23">
        <v>0.78143712574850299</v>
      </c>
      <c r="D75" s="23">
        <v>8.9820359281437123E-3</v>
      </c>
      <c r="E75" s="24">
        <v>448</v>
      </c>
      <c r="F75" s="24">
        <v>2</v>
      </c>
      <c r="G75" s="24">
        <v>0</v>
      </c>
      <c r="H75" s="24">
        <v>0</v>
      </c>
      <c r="I75" s="24">
        <v>450</v>
      </c>
      <c r="J75" s="25">
        <v>0.99555555555555553</v>
      </c>
      <c r="K75" s="25">
        <v>4.4444444444444444E-3</v>
      </c>
      <c r="L75" s="25">
        <v>0</v>
      </c>
      <c r="M75" s="25">
        <v>0</v>
      </c>
      <c r="N75" s="26">
        <v>66.728888888888889</v>
      </c>
    </row>
    <row r="76" spans="1:14" x14ac:dyDescent="0.25">
      <c r="A76" s="23">
        <v>0.13051823416506717</v>
      </c>
      <c r="B76" s="23">
        <v>0.2687140115163148</v>
      </c>
      <c r="C76" s="23">
        <v>0.5700575815738963</v>
      </c>
      <c r="D76" s="23">
        <v>1.9193857965451054E-2</v>
      </c>
      <c r="E76" s="24">
        <v>691</v>
      </c>
      <c r="F76" s="24">
        <v>4</v>
      </c>
      <c r="G76" s="24">
        <v>1</v>
      </c>
      <c r="H76" s="24">
        <v>0</v>
      </c>
      <c r="I76" s="24">
        <v>696</v>
      </c>
      <c r="J76" s="25">
        <v>0.99281609195402298</v>
      </c>
      <c r="K76" s="25">
        <v>5.7471264367816091E-3</v>
      </c>
      <c r="L76" s="25">
        <v>1.4367816091954023E-3</v>
      </c>
      <c r="M76" s="25">
        <v>0</v>
      </c>
      <c r="N76" s="26">
        <v>47.449712643678161</v>
      </c>
    </row>
    <row r="77" spans="1:14" x14ac:dyDescent="0.25">
      <c r="A77" s="23">
        <v>8.3333333333333329E-2</v>
      </c>
      <c r="B77" s="23">
        <v>0.38178294573643412</v>
      </c>
      <c r="C77" s="23">
        <v>0.52713178294573648</v>
      </c>
      <c r="D77" s="23">
        <v>7.7519379844961239E-3</v>
      </c>
      <c r="E77" s="24">
        <v>696</v>
      </c>
      <c r="F77" s="24">
        <v>0</v>
      </c>
      <c r="G77" s="24">
        <v>0</v>
      </c>
      <c r="H77" s="24">
        <v>0</v>
      </c>
      <c r="I77" s="24">
        <v>696</v>
      </c>
      <c r="J77" s="25">
        <v>1</v>
      </c>
      <c r="K77" s="25">
        <v>0</v>
      </c>
      <c r="L77" s="25">
        <v>0</v>
      </c>
      <c r="M77" s="25">
        <v>0</v>
      </c>
      <c r="N77" s="26">
        <v>27.143678160919539</v>
      </c>
    </row>
    <row r="78" spans="1:14" x14ac:dyDescent="0.25">
      <c r="A78" s="23">
        <v>0.30115830115830117</v>
      </c>
      <c r="B78" s="23">
        <v>0.10424710424710425</v>
      </c>
      <c r="C78" s="23">
        <v>0.56756756756756754</v>
      </c>
      <c r="D78" s="23">
        <v>1.1583011583011582E-2</v>
      </c>
      <c r="E78" s="24">
        <v>254</v>
      </c>
      <c r="F78" s="24">
        <v>43</v>
      </c>
      <c r="G78" s="24">
        <v>52</v>
      </c>
      <c r="H78" s="24">
        <v>1</v>
      </c>
      <c r="I78" s="24">
        <v>350</v>
      </c>
      <c r="J78" s="25">
        <v>0.72571428571428576</v>
      </c>
      <c r="K78" s="25">
        <v>0.12285714285714286</v>
      </c>
      <c r="L78" s="25">
        <v>0.14857142857142858</v>
      </c>
      <c r="M78" s="25">
        <v>2.8571428571428571E-3</v>
      </c>
      <c r="N78" s="26">
        <v>62.368571428571428</v>
      </c>
    </row>
    <row r="79" spans="1:14" x14ac:dyDescent="0.25">
      <c r="A79" s="23">
        <v>0.24092409240924093</v>
      </c>
      <c r="B79" s="23">
        <v>0.25742574257425743</v>
      </c>
      <c r="C79" s="23">
        <v>0.49174917491749176</v>
      </c>
      <c r="D79" s="23">
        <v>9.9009900990099011E-3</v>
      </c>
      <c r="E79" s="24">
        <v>352</v>
      </c>
      <c r="F79" s="24">
        <v>50</v>
      </c>
      <c r="G79" s="24">
        <v>20</v>
      </c>
      <c r="H79" s="24">
        <v>1</v>
      </c>
      <c r="I79" s="24">
        <v>423</v>
      </c>
      <c r="J79" s="25">
        <v>0.8321513002364066</v>
      </c>
      <c r="K79" s="25">
        <v>0.1182033096926714</v>
      </c>
      <c r="L79" s="25">
        <v>4.7281323877068557E-2</v>
      </c>
      <c r="M79" s="25">
        <v>2.3640661938534278E-3</v>
      </c>
      <c r="N79" s="26">
        <v>32.030732860520096</v>
      </c>
    </row>
    <row r="80" spans="1:14" x14ac:dyDescent="0.25">
      <c r="A80" s="23">
        <v>0.24528301886792453</v>
      </c>
      <c r="B80" s="23">
        <v>0.12264150943396226</v>
      </c>
      <c r="C80" s="23">
        <v>0.58490566037735847</v>
      </c>
      <c r="D80" s="23">
        <v>0</v>
      </c>
      <c r="E80" s="24">
        <v>83</v>
      </c>
      <c r="F80" s="24">
        <v>27</v>
      </c>
      <c r="G80" s="24">
        <v>53</v>
      </c>
      <c r="H80" s="24">
        <v>1</v>
      </c>
      <c r="I80" s="24">
        <v>164</v>
      </c>
      <c r="J80" s="25">
        <v>0.50609756097560976</v>
      </c>
      <c r="K80" s="25">
        <v>0.16463414634146342</v>
      </c>
      <c r="L80" s="25">
        <v>0.32317073170731708</v>
      </c>
      <c r="M80" s="25">
        <v>6.0975609756097563E-3</v>
      </c>
      <c r="N80" s="26">
        <v>60.914634146341463</v>
      </c>
    </row>
    <row r="81" spans="1:14" x14ac:dyDescent="0.25">
      <c r="A81" s="23">
        <v>0.67155425219941345</v>
      </c>
      <c r="B81" s="23">
        <v>6.1583577712609971E-2</v>
      </c>
      <c r="C81" s="23">
        <v>0.21994134897360704</v>
      </c>
      <c r="D81" s="23">
        <v>1.466275659824047E-2</v>
      </c>
      <c r="E81" s="24">
        <v>31</v>
      </c>
      <c r="F81" s="24">
        <v>175</v>
      </c>
      <c r="G81" s="24">
        <v>261</v>
      </c>
      <c r="H81" s="24">
        <v>1</v>
      </c>
      <c r="I81" s="24">
        <v>468</v>
      </c>
      <c r="J81" s="25">
        <v>6.623931623931624E-2</v>
      </c>
      <c r="K81" s="25">
        <v>0.37393162393162394</v>
      </c>
      <c r="L81" s="25">
        <v>0.55769230769230771</v>
      </c>
      <c r="M81" s="25">
        <v>2.136752136752137E-3</v>
      </c>
      <c r="N81" s="26">
        <v>59.371794871794869</v>
      </c>
    </row>
    <row r="82" spans="1:14" x14ac:dyDescent="0.25">
      <c r="A82" s="23">
        <v>0.67708333333333337</v>
      </c>
      <c r="B82" s="23">
        <v>6.458333333333334E-2</v>
      </c>
      <c r="C82" s="23">
        <v>0.22708333333333333</v>
      </c>
      <c r="D82" s="23">
        <v>1.0416666666666666E-2</v>
      </c>
      <c r="E82" s="24">
        <v>150</v>
      </c>
      <c r="F82" s="24">
        <v>356</v>
      </c>
      <c r="G82" s="24">
        <v>149</v>
      </c>
      <c r="H82" s="24">
        <v>1</v>
      </c>
      <c r="I82" s="24">
        <v>656</v>
      </c>
      <c r="J82" s="25">
        <v>0.22865853658536586</v>
      </c>
      <c r="K82" s="25">
        <v>0.54268292682926833</v>
      </c>
      <c r="L82" s="25">
        <v>0.22713414634146342</v>
      </c>
      <c r="M82" s="25">
        <v>1.5243902439024391E-3</v>
      </c>
      <c r="N82" s="26">
        <v>52.048780487804876</v>
      </c>
    </row>
    <row r="83" spans="1:14" x14ac:dyDescent="0.25">
      <c r="A83" s="23">
        <v>0.15064102564102563</v>
      </c>
      <c r="B83" s="23">
        <v>8.9743589743589744E-2</v>
      </c>
      <c r="C83" s="23">
        <v>0.71474358974358976</v>
      </c>
      <c r="D83" s="23">
        <v>1.282051282051282E-2</v>
      </c>
      <c r="E83" s="24">
        <v>342</v>
      </c>
      <c r="F83" s="24">
        <v>29</v>
      </c>
      <c r="G83" s="24">
        <v>29</v>
      </c>
      <c r="H83" s="24">
        <v>0</v>
      </c>
      <c r="I83" s="24">
        <v>400</v>
      </c>
      <c r="J83" s="25">
        <v>0.85499999999999998</v>
      </c>
      <c r="K83" s="25">
        <v>7.2499999999999995E-2</v>
      </c>
      <c r="L83" s="25">
        <v>7.2499999999999995E-2</v>
      </c>
      <c r="M83" s="25">
        <v>0</v>
      </c>
      <c r="N83" s="26">
        <v>70.625</v>
      </c>
    </row>
    <row r="84" spans="1:14" x14ac:dyDescent="0.25">
      <c r="A84" s="23">
        <v>0.16470588235294117</v>
      </c>
      <c r="B84" s="23">
        <v>0.14705882352941177</v>
      </c>
      <c r="C84" s="23">
        <v>0.65294117647058825</v>
      </c>
      <c r="D84" s="23">
        <v>2.0588235294117647E-2</v>
      </c>
      <c r="E84" s="24">
        <v>363</v>
      </c>
      <c r="F84" s="24">
        <v>13</v>
      </c>
      <c r="G84" s="24">
        <v>22</v>
      </c>
      <c r="H84" s="24">
        <v>2</v>
      </c>
      <c r="I84" s="24">
        <v>400</v>
      </c>
      <c r="J84" s="25">
        <v>0.90749999999999997</v>
      </c>
      <c r="K84" s="25">
        <v>3.2500000000000001E-2</v>
      </c>
      <c r="L84" s="25">
        <v>5.5E-2</v>
      </c>
      <c r="M84" s="25">
        <v>5.0000000000000001E-3</v>
      </c>
      <c r="N84" s="26">
        <v>58.182499999999997</v>
      </c>
    </row>
    <row r="85" spans="1:14" x14ac:dyDescent="0.25">
      <c r="A85" s="23">
        <v>0.16797900262467191</v>
      </c>
      <c r="B85" s="23">
        <v>0.35958005249343833</v>
      </c>
      <c r="C85" s="23">
        <v>0.45669291338582679</v>
      </c>
      <c r="D85" s="23">
        <v>1.0498687664041995E-2</v>
      </c>
      <c r="E85" s="24">
        <v>470</v>
      </c>
      <c r="F85" s="24">
        <v>16</v>
      </c>
      <c r="G85" s="24">
        <v>33</v>
      </c>
      <c r="H85" s="24">
        <v>2</v>
      </c>
      <c r="I85" s="24">
        <v>521</v>
      </c>
      <c r="J85" s="25">
        <v>0.90211132437619956</v>
      </c>
      <c r="K85" s="25">
        <v>3.0710172744721688E-2</v>
      </c>
      <c r="L85" s="25">
        <v>6.3339731285988479E-2</v>
      </c>
      <c r="M85" s="25">
        <v>3.838771593090211E-3</v>
      </c>
      <c r="N85" s="26">
        <v>44.927063339731284</v>
      </c>
    </row>
    <row r="86" spans="1:14" x14ac:dyDescent="0.25">
      <c r="A86" s="23">
        <v>0.10512820512820513</v>
      </c>
      <c r="B86" s="23">
        <v>0.42307692307692307</v>
      </c>
      <c r="C86" s="23">
        <v>0.46153846153846156</v>
      </c>
      <c r="D86" s="23">
        <v>1.0256410256410256E-2</v>
      </c>
      <c r="E86" s="24">
        <v>499</v>
      </c>
      <c r="F86" s="24">
        <v>5</v>
      </c>
      <c r="G86" s="24">
        <v>17</v>
      </c>
      <c r="H86" s="24">
        <v>0</v>
      </c>
      <c r="I86" s="24">
        <v>521</v>
      </c>
      <c r="J86" s="25">
        <v>0.95777351247600773</v>
      </c>
      <c r="K86" s="25">
        <v>9.5969289827255271E-3</v>
      </c>
      <c r="L86" s="25">
        <v>3.2629558541266791E-2</v>
      </c>
      <c r="M86" s="25">
        <v>0</v>
      </c>
      <c r="N86" s="26">
        <v>36.324376199616125</v>
      </c>
    </row>
    <row r="87" spans="1:14" x14ac:dyDescent="0.25">
      <c r="A87" s="23">
        <v>0.16962025316455695</v>
      </c>
      <c r="B87" s="23">
        <v>0.37721518987341773</v>
      </c>
      <c r="C87" s="23">
        <v>0.45063291139240508</v>
      </c>
      <c r="D87" s="23">
        <v>0</v>
      </c>
      <c r="E87" s="24">
        <v>484</v>
      </c>
      <c r="F87" s="24">
        <v>12</v>
      </c>
      <c r="G87" s="24">
        <v>26</v>
      </c>
      <c r="H87" s="24">
        <v>1</v>
      </c>
      <c r="I87" s="24">
        <v>523</v>
      </c>
      <c r="J87" s="25">
        <v>0.9254302103250478</v>
      </c>
      <c r="K87" s="25">
        <v>2.2944550669216062E-2</v>
      </c>
      <c r="L87" s="25">
        <v>4.9713193116634802E-2</v>
      </c>
      <c r="M87" s="25">
        <v>1.9120458891013384E-3</v>
      </c>
      <c r="N87" s="26">
        <v>24.818355640535373</v>
      </c>
    </row>
    <row r="88" spans="1:14" x14ac:dyDescent="0.25">
      <c r="A88" s="23">
        <v>0.27217125382262997</v>
      </c>
      <c r="B88" s="23">
        <v>0.1743119266055046</v>
      </c>
      <c r="C88" s="23">
        <v>0.49235474006116209</v>
      </c>
      <c r="D88" s="23">
        <v>3.3639143730886847E-2</v>
      </c>
      <c r="E88" s="24">
        <v>344</v>
      </c>
      <c r="F88" s="24">
        <v>47</v>
      </c>
      <c r="G88" s="24">
        <v>58</v>
      </c>
      <c r="H88" s="24">
        <v>1</v>
      </c>
      <c r="I88" s="24">
        <v>450</v>
      </c>
      <c r="J88" s="25">
        <v>0.76444444444444448</v>
      </c>
      <c r="K88" s="25">
        <v>0.10444444444444445</v>
      </c>
      <c r="L88" s="25">
        <v>0.12888888888888889</v>
      </c>
      <c r="M88" s="25">
        <v>2.2222222222222222E-3</v>
      </c>
      <c r="N88" s="26">
        <v>68.331111111111113</v>
      </c>
    </row>
    <row r="89" spans="1:14" x14ac:dyDescent="0.25">
      <c r="A89" s="23">
        <v>0.28337874659400547</v>
      </c>
      <c r="B89" s="23">
        <v>0.2561307901907357</v>
      </c>
      <c r="C89" s="23">
        <v>0.43869209809264303</v>
      </c>
      <c r="D89" s="23">
        <v>1.6348773841961851E-2</v>
      </c>
      <c r="E89" s="24">
        <v>349</v>
      </c>
      <c r="F89" s="24">
        <v>43</v>
      </c>
      <c r="G89" s="24">
        <v>58</v>
      </c>
      <c r="H89" s="24">
        <v>0</v>
      </c>
      <c r="I89" s="24">
        <v>450</v>
      </c>
      <c r="J89" s="25">
        <v>0.77555555555555555</v>
      </c>
      <c r="K89" s="25">
        <v>9.555555555555556E-2</v>
      </c>
      <c r="L89" s="25">
        <v>0.12888888888888889</v>
      </c>
      <c r="M89" s="25">
        <v>0</v>
      </c>
      <c r="N89" s="26">
        <v>56.464444444444446</v>
      </c>
    </row>
    <row r="90" spans="1:14" x14ac:dyDescent="0.25">
      <c r="A90" s="23">
        <v>0.27293064876957496</v>
      </c>
      <c r="B90" s="23">
        <v>0.31096196868008946</v>
      </c>
      <c r="C90" s="23">
        <v>0.38031319910514544</v>
      </c>
      <c r="D90" s="23">
        <v>3.3557046979865772E-2</v>
      </c>
      <c r="E90" s="24">
        <v>493</v>
      </c>
      <c r="F90" s="24">
        <v>23</v>
      </c>
      <c r="G90" s="24">
        <v>64</v>
      </c>
      <c r="H90" s="24">
        <v>0</v>
      </c>
      <c r="I90" s="24">
        <v>580</v>
      </c>
      <c r="J90" s="25">
        <v>0.85</v>
      </c>
      <c r="K90" s="25">
        <v>3.9655172413793106E-2</v>
      </c>
      <c r="L90" s="25">
        <v>0.1103448275862069</v>
      </c>
      <c r="M90" s="25">
        <v>0</v>
      </c>
      <c r="N90" s="26">
        <v>45.229310344827589</v>
      </c>
    </row>
    <row r="91" spans="1:14" x14ac:dyDescent="0.25">
      <c r="A91" s="23">
        <v>0.24757281553398058</v>
      </c>
      <c r="B91" s="23">
        <v>0.36165048543689321</v>
      </c>
      <c r="C91" s="23">
        <v>0.36893203883495146</v>
      </c>
      <c r="D91" s="23">
        <v>1.6990291262135922E-2</v>
      </c>
      <c r="E91" s="24">
        <v>490</v>
      </c>
      <c r="F91" s="24">
        <v>26</v>
      </c>
      <c r="G91" s="24">
        <v>64</v>
      </c>
      <c r="H91" s="24">
        <v>0</v>
      </c>
      <c r="I91" s="24">
        <v>580</v>
      </c>
      <c r="J91" s="25">
        <v>0.84482758620689657</v>
      </c>
      <c r="K91" s="25">
        <v>4.4827586206896551E-2</v>
      </c>
      <c r="L91" s="25">
        <v>0.1103448275862069</v>
      </c>
      <c r="M91" s="25">
        <v>0</v>
      </c>
      <c r="N91" s="26">
        <v>33.306896551724137</v>
      </c>
    </row>
    <row r="92" spans="1:14" x14ac:dyDescent="0.25">
      <c r="A92" s="23">
        <v>0.23903508771929824</v>
      </c>
      <c r="B92" s="23">
        <v>0.34649122807017546</v>
      </c>
      <c r="C92" s="23">
        <v>0.40789473684210525</v>
      </c>
      <c r="D92" s="23">
        <v>4.3859649122807015E-3</v>
      </c>
      <c r="E92" s="24">
        <v>482</v>
      </c>
      <c r="F92" s="24">
        <v>36</v>
      </c>
      <c r="G92" s="24">
        <v>64</v>
      </c>
      <c r="H92" s="24">
        <v>0</v>
      </c>
      <c r="I92" s="24">
        <v>582</v>
      </c>
      <c r="J92" s="25">
        <v>0.82817869415807566</v>
      </c>
      <c r="K92" s="25">
        <v>6.1855670103092786E-2</v>
      </c>
      <c r="L92" s="25">
        <v>0.10996563573883161</v>
      </c>
      <c r="M92" s="25">
        <v>0</v>
      </c>
      <c r="N92" s="26">
        <v>23.357388316151201</v>
      </c>
    </row>
    <row r="93" spans="1:14" x14ac:dyDescent="0.25">
      <c r="A93" s="23">
        <v>0.12460063897763578</v>
      </c>
      <c r="B93" s="23">
        <v>0.21405750798722045</v>
      </c>
      <c r="C93" s="23">
        <v>0.61022364217252401</v>
      </c>
      <c r="D93" s="23">
        <v>3.8338658146964855E-2</v>
      </c>
      <c r="E93" s="24">
        <v>392</v>
      </c>
      <c r="F93" s="24">
        <v>0</v>
      </c>
      <c r="G93" s="24">
        <v>8</v>
      </c>
      <c r="H93" s="24">
        <v>0</v>
      </c>
      <c r="I93" s="24">
        <v>400</v>
      </c>
      <c r="J93" s="25">
        <v>0.98</v>
      </c>
      <c r="K93" s="25">
        <v>0</v>
      </c>
      <c r="L93" s="25">
        <v>0.02</v>
      </c>
      <c r="M93" s="25">
        <v>0</v>
      </c>
      <c r="N93" s="26">
        <v>56.4375</v>
      </c>
    </row>
    <row r="94" spans="1:14" x14ac:dyDescent="0.25">
      <c r="A94" s="23">
        <v>0.14705882352941177</v>
      </c>
      <c r="B94" s="23">
        <v>0.27647058823529413</v>
      </c>
      <c r="C94" s="23">
        <v>0.54705882352941182</v>
      </c>
      <c r="D94" s="23">
        <v>2.0588235294117647E-2</v>
      </c>
      <c r="E94" s="24">
        <v>425</v>
      </c>
      <c r="F94" s="24">
        <v>0</v>
      </c>
      <c r="G94" s="24">
        <v>7</v>
      </c>
      <c r="H94" s="24">
        <v>0</v>
      </c>
      <c r="I94" s="24">
        <v>432</v>
      </c>
      <c r="J94" s="25">
        <v>0.98379629629629628</v>
      </c>
      <c r="K94" s="25">
        <v>0</v>
      </c>
      <c r="L94" s="25">
        <v>1.6203703703703703E-2</v>
      </c>
      <c r="M94" s="25">
        <v>0</v>
      </c>
      <c r="N94" s="26">
        <v>30.349537037037038</v>
      </c>
    </row>
    <row r="95" spans="1:14" x14ac:dyDescent="0.25">
      <c r="A95" s="23">
        <v>0.12849162011173185</v>
      </c>
      <c r="B95" s="23">
        <v>0.24022346368715083</v>
      </c>
      <c r="C95" s="23">
        <v>0.57821229050279332</v>
      </c>
      <c r="D95" s="23">
        <v>4.7486033519553071E-2</v>
      </c>
      <c r="E95" s="24">
        <v>427</v>
      </c>
      <c r="F95" s="24">
        <v>0</v>
      </c>
      <c r="G95" s="24">
        <v>0</v>
      </c>
      <c r="H95" s="24">
        <v>6</v>
      </c>
      <c r="I95" s="24">
        <v>433</v>
      </c>
      <c r="J95" s="25">
        <v>0.98614318706697457</v>
      </c>
      <c r="K95" s="25">
        <v>0</v>
      </c>
      <c r="L95" s="25">
        <v>0</v>
      </c>
      <c r="M95" s="25">
        <v>1.3856812933025405E-2</v>
      </c>
      <c r="N95" s="26">
        <v>47.339491916859124</v>
      </c>
    </row>
    <row r="96" spans="1:14" x14ac:dyDescent="0.25">
      <c r="A96" s="23">
        <v>0.36813186813186816</v>
      </c>
      <c r="B96" s="23">
        <v>9.6153846153846159E-2</v>
      </c>
      <c r="C96" s="23">
        <v>0.51648351648351654</v>
      </c>
      <c r="D96" s="23">
        <v>5.4945054945054949E-3</v>
      </c>
      <c r="E96" s="24">
        <v>287</v>
      </c>
      <c r="F96" s="24">
        <v>24</v>
      </c>
      <c r="G96" s="24">
        <v>88</v>
      </c>
      <c r="H96" s="24">
        <v>1</v>
      </c>
      <c r="I96" s="24">
        <v>400</v>
      </c>
      <c r="J96" s="25">
        <v>0.71750000000000003</v>
      </c>
      <c r="K96" s="25">
        <v>0.06</v>
      </c>
      <c r="L96" s="25">
        <v>0.22</v>
      </c>
      <c r="M96" s="25">
        <v>2.5000000000000001E-3</v>
      </c>
      <c r="N96" s="26">
        <v>67.257499999999993</v>
      </c>
    </row>
    <row r="97" spans="1:14" x14ac:dyDescent="0.25">
      <c r="A97" s="23">
        <v>0.32581453634085211</v>
      </c>
      <c r="B97" s="23">
        <v>0.14536340852130325</v>
      </c>
      <c r="C97" s="23">
        <v>0.49373433583959897</v>
      </c>
      <c r="D97" s="23">
        <v>1.7543859649122806E-2</v>
      </c>
      <c r="E97" s="24">
        <v>366</v>
      </c>
      <c r="F97" s="24">
        <v>1</v>
      </c>
      <c r="G97" s="24">
        <v>43</v>
      </c>
      <c r="H97" s="24">
        <v>1</v>
      </c>
      <c r="I97" s="24">
        <v>411</v>
      </c>
      <c r="J97" s="25">
        <v>0.89051094890510951</v>
      </c>
      <c r="K97" s="25">
        <v>2.4330900243309003E-3</v>
      </c>
      <c r="L97" s="25">
        <v>0.10462287104622871</v>
      </c>
      <c r="M97" s="25">
        <v>2.4330900243309003E-3</v>
      </c>
      <c r="N97" s="26">
        <v>49.274939172749392</v>
      </c>
    </row>
    <row r="98" spans="1:14" x14ac:dyDescent="0.25">
      <c r="A98" s="23">
        <v>0.44047619047619047</v>
      </c>
      <c r="B98" s="23">
        <v>0.18650793650793651</v>
      </c>
      <c r="C98" s="23">
        <v>0.34325396825396826</v>
      </c>
      <c r="D98" s="23">
        <v>1.3888888888888888E-2</v>
      </c>
      <c r="E98" s="24">
        <v>393</v>
      </c>
      <c r="F98" s="24">
        <v>3</v>
      </c>
      <c r="G98" s="24">
        <v>16</v>
      </c>
      <c r="H98" s="24">
        <v>0</v>
      </c>
      <c r="I98" s="24">
        <v>412</v>
      </c>
      <c r="J98" s="25">
        <v>0.95388349514563109</v>
      </c>
      <c r="K98" s="25">
        <v>7.2815533980582527E-3</v>
      </c>
      <c r="L98" s="25">
        <v>3.8834951456310676E-2</v>
      </c>
      <c r="M98" s="25">
        <v>0</v>
      </c>
      <c r="N98" s="26">
        <v>28.526699029126213</v>
      </c>
    </row>
    <row r="99" spans="1:14" x14ac:dyDescent="0.25">
      <c r="A99" s="23">
        <v>0.44594594594594594</v>
      </c>
      <c r="B99" s="23">
        <v>0.22072072072072071</v>
      </c>
      <c r="C99" s="23">
        <v>0.31531531531531531</v>
      </c>
      <c r="D99" s="23">
        <v>1.1261261261261261E-2</v>
      </c>
      <c r="E99" s="24">
        <v>272</v>
      </c>
      <c r="F99" s="24">
        <v>76</v>
      </c>
      <c r="G99" s="24">
        <v>99</v>
      </c>
      <c r="H99" s="24">
        <v>3</v>
      </c>
      <c r="I99" s="24">
        <v>450</v>
      </c>
      <c r="J99" s="25">
        <v>0.60444444444444445</v>
      </c>
      <c r="K99" s="25">
        <v>0.16888888888888889</v>
      </c>
      <c r="L99" s="25">
        <v>0.22</v>
      </c>
      <c r="M99" s="25">
        <v>6.6666666666666671E-3</v>
      </c>
      <c r="N99" s="26">
        <v>63.497777777777777</v>
      </c>
    </row>
    <row r="100" spans="1:14" x14ac:dyDescent="0.25">
      <c r="A100" s="23">
        <v>0.38461538461538464</v>
      </c>
      <c r="B100" s="23">
        <v>0.28054298642533937</v>
      </c>
      <c r="C100" s="23">
        <v>0.30769230769230771</v>
      </c>
      <c r="D100" s="23">
        <v>1.8099547511312219E-2</v>
      </c>
      <c r="E100" s="24">
        <v>305</v>
      </c>
      <c r="F100" s="24">
        <v>61</v>
      </c>
      <c r="G100" s="24">
        <v>82</v>
      </c>
      <c r="H100" s="24">
        <v>2</v>
      </c>
      <c r="I100" s="24">
        <v>450</v>
      </c>
      <c r="J100" s="25">
        <v>0.67777777777777781</v>
      </c>
      <c r="K100" s="25">
        <v>0.13555555555555557</v>
      </c>
      <c r="L100" s="25">
        <v>0.18222222222222223</v>
      </c>
      <c r="M100" s="25">
        <v>4.4444444444444444E-3</v>
      </c>
      <c r="N100" s="26">
        <v>58.662222222222219</v>
      </c>
    </row>
    <row r="101" spans="1:14" x14ac:dyDescent="0.25">
      <c r="A101" s="23">
        <v>0.33484162895927599</v>
      </c>
      <c r="B101" s="23">
        <v>0.29864253393665158</v>
      </c>
      <c r="C101" s="23">
        <v>0.35520361990950228</v>
      </c>
      <c r="D101" s="23">
        <v>9.0497737556561094E-3</v>
      </c>
      <c r="E101" s="24">
        <v>336</v>
      </c>
      <c r="F101" s="24">
        <v>122</v>
      </c>
      <c r="G101" s="24">
        <v>152</v>
      </c>
      <c r="H101" s="24">
        <v>0</v>
      </c>
      <c r="I101" s="24">
        <v>610</v>
      </c>
      <c r="J101" s="25">
        <v>0.55081967213114758</v>
      </c>
      <c r="K101" s="25">
        <v>0.2</v>
      </c>
      <c r="L101" s="25">
        <v>0.24918032786885247</v>
      </c>
      <c r="M101" s="25">
        <v>0</v>
      </c>
      <c r="N101" s="26">
        <v>49.040983606557376</v>
      </c>
    </row>
    <row r="102" spans="1:14" x14ac:dyDescent="0.25">
      <c r="A102" s="23">
        <v>0.42283298097251587</v>
      </c>
      <c r="B102" s="23">
        <v>0.27061310782241016</v>
      </c>
      <c r="C102" s="23">
        <v>0.29175475687103591</v>
      </c>
      <c r="D102" s="23">
        <v>1.4799154334038054E-2</v>
      </c>
      <c r="E102" s="24">
        <v>324</v>
      </c>
      <c r="F102" s="24">
        <v>133</v>
      </c>
      <c r="G102" s="24">
        <v>153</v>
      </c>
      <c r="H102" s="24">
        <v>0</v>
      </c>
      <c r="I102" s="24">
        <v>610</v>
      </c>
      <c r="J102" s="25">
        <v>0.5311475409836065</v>
      </c>
      <c r="K102" s="25">
        <v>0.21803278688524591</v>
      </c>
      <c r="L102" s="25">
        <v>0.25081967213114753</v>
      </c>
      <c r="M102" s="25">
        <v>0</v>
      </c>
      <c r="N102" s="26">
        <v>39.598360655737707</v>
      </c>
    </row>
    <row r="103" spans="1:14" x14ac:dyDescent="0.25">
      <c r="A103" s="23">
        <v>0.41291585127201563</v>
      </c>
      <c r="B103" s="23">
        <v>0.31115459882583169</v>
      </c>
      <c r="C103" s="23">
        <v>0.26810176125244617</v>
      </c>
      <c r="D103" s="23">
        <v>7.8277886497064575E-3</v>
      </c>
      <c r="E103" s="24">
        <v>406</v>
      </c>
      <c r="F103" s="24">
        <v>99</v>
      </c>
      <c r="G103" s="24">
        <v>105</v>
      </c>
      <c r="H103" s="24">
        <v>0</v>
      </c>
      <c r="I103" s="24">
        <v>610</v>
      </c>
      <c r="J103" s="25">
        <v>0.66557377049180333</v>
      </c>
      <c r="K103" s="25">
        <v>0.16229508196721312</v>
      </c>
      <c r="L103" s="25">
        <v>0.1721311475409836</v>
      </c>
      <c r="M103" s="25">
        <v>0</v>
      </c>
      <c r="N103" s="26">
        <v>33.916393442622947</v>
      </c>
    </row>
    <row r="104" spans="1:14" x14ac:dyDescent="0.25">
      <c r="A104" s="23">
        <v>0.25</v>
      </c>
      <c r="B104" s="23">
        <v>0.12162162162162163</v>
      </c>
      <c r="C104" s="23">
        <v>0.59121621621621623</v>
      </c>
      <c r="D104" s="23">
        <v>1.6891891891891893E-2</v>
      </c>
      <c r="E104" s="24">
        <v>424</v>
      </c>
      <c r="F104" s="24">
        <v>87</v>
      </c>
      <c r="G104" s="24">
        <v>97</v>
      </c>
      <c r="H104" s="24">
        <v>2</v>
      </c>
      <c r="I104" s="24">
        <v>610</v>
      </c>
      <c r="J104" s="25">
        <v>0.69508196721311477</v>
      </c>
      <c r="K104" s="25">
        <v>0.14262295081967213</v>
      </c>
      <c r="L104" s="25">
        <v>0.15901639344262294</v>
      </c>
      <c r="M104" s="25">
        <v>3.2786885245901639E-3</v>
      </c>
      <c r="N104" s="26">
        <v>29.675409836065572</v>
      </c>
    </row>
    <row r="105" spans="1:14" x14ac:dyDescent="0.25">
      <c r="A105" s="23">
        <v>0.18541033434650456</v>
      </c>
      <c r="B105" s="23">
        <v>0.24012158054711247</v>
      </c>
      <c r="C105" s="23">
        <v>0.55623100303951367</v>
      </c>
      <c r="D105" s="23">
        <v>1.5197568389057751E-2</v>
      </c>
      <c r="E105" s="24">
        <v>408</v>
      </c>
      <c r="F105" s="24">
        <v>102</v>
      </c>
      <c r="G105" s="24">
        <v>99</v>
      </c>
      <c r="H105" s="24">
        <v>1</v>
      </c>
      <c r="I105" s="24">
        <v>610</v>
      </c>
      <c r="J105" s="25">
        <v>0.66885245901639345</v>
      </c>
      <c r="K105" s="25">
        <v>0.16721311475409836</v>
      </c>
      <c r="L105" s="25">
        <v>0.16229508196721312</v>
      </c>
      <c r="M105" s="25">
        <v>1.639344262295082E-3</v>
      </c>
      <c r="N105" s="26">
        <v>25.588524590163935</v>
      </c>
    </row>
    <row r="106" spans="1:14" x14ac:dyDescent="0.25">
      <c r="A106" s="23">
        <v>0.13213213213213212</v>
      </c>
      <c r="B106" s="23">
        <v>0.38138138138138139</v>
      </c>
      <c r="C106" s="23">
        <v>0.45945945945945948</v>
      </c>
      <c r="D106" s="23">
        <v>1.8018018018018018E-2</v>
      </c>
      <c r="E106" s="24">
        <v>398</v>
      </c>
      <c r="F106" s="24">
        <v>84</v>
      </c>
      <c r="G106" s="24">
        <v>132</v>
      </c>
      <c r="H106" s="24">
        <v>0</v>
      </c>
      <c r="I106" s="24">
        <v>614</v>
      </c>
      <c r="J106" s="25">
        <v>0.64820846905537455</v>
      </c>
      <c r="K106" s="25">
        <v>0.13680781758957655</v>
      </c>
      <c r="L106" s="25">
        <v>0.21498371335504887</v>
      </c>
      <c r="M106" s="25">
        <v>0</v>
      </c>
      <c r="N106" s="26">
        <v>20.71172638436482</v>
      </c>
    </row>
    <row r="107" spans="1:14" x14ac:dyDescent="0.25">
      <c r="A107" s="23">
        <v>0.78595317725752512</v>
      </c>
      <c r="B107" s="23">
        <v>2.0066889632107024E-2</v>
      </c>
      <c r="C107" s="23">
        <v>0.17391304347826086</v>
      </c>
      <c r="D107" s="23">
        <v>3.3444816053511705E-3</v>
      </c>
      <c r="E107" s="24">
        <v>44</v>
      </c>
      <c r="F107" s="24">
        <v>359</v>
      </c>
      <c r="G107" s="24">
        <v>46</v>
      </c>
      <c r="H107" s="24">
        <v>1</v>
      </c>
      <c r="I107" s="24">
        <v>450</v>
      </c>
      <c r="J107" s="25">
        <v>9.7777777777777783E-2</v>
      </c>
      <c r="K107" s="25">
        <v>0.79777777777777781</v>
      </c>
      <c r="L107" s="25">
        <v>0.10222222222222223</v>
      </c>
      <c r="M107" s="25">
        <v>2.2222222222222222E-3</v>
      </c>
      <c r="N107" s="26">
        <v>73.926666666666662</v>
      </c>
    </row>
    <row r="108" spans="1:14" x14ac:dyDescent="0.25">
      <c r="A108" s="23">
        <v>0.75271739130434778</v>
      </c>
      <c r="B108" s="23">
        <v>3.5326086956521736E-2</v>
      </c>
      <c r="C108" s="23">
        <v>0.18478260869565216</v>
      </c>
      <c r="D108" s="23">
        <v>1.6304347826086956E-2</v>
      </c>
      <c r="E108" s="24">
        <v>49</v>
      </c>
      <c r="F108" s="24">
        <v>343</v>
      </c>
      <c r="G108" s="24">
        <v>58</v>
      </c>
      <c r="H108" s="24">
        <v>0</v>
      </c>
      <c r="I108" s="24">
        <v>450</v>
      </c>
      <c r="J108" s="25">
        <v>0.10888888888888888</v>
      </c>
      <c r="K108" s="25">
        <v>0.76222222222222225</v>
      </c>
      <c r="L108" s="25">
        <v>0.12888888888888889</v>
      </c>
      <c r="M108" s="25">
        <v>0</v>
      </c>
      <c r="N108" s="26">
        <v>68.286666666666662</v>
      </c>
    </row>
    <row r="109" spans="1:14" x14ac:dyDescent="0.25">
      <c r="A109" s="23">
        <v>0.79045092838196285</v>
      </c>
      <c r="B109" s="23">
        <v>3.1830238726790451E-2</v>
      </c>
      <c r="C109" s="23">
        <v>0.14323607427055704</v>
      </c>
      <c r="D109" s="23">
        <v>1.0610079575596816E-2</v>
      </c>
      <c r="E109" s="24">
        <v>74</v>
      </c>
      <c r="F109" s="24">
        <v>326</v>
      </c>
      <c r="G109" s="24">
        <v>49</v>
      </c>
      <c r="H109" s="24">
        <v>1</v>
      </c>
      <c r="I109" s="24">
        <v>450</v>
      </c>
      <c r="J109" s="25">
        <v>0.16444444444444445</v>
      </c>
      <c r="K109" s="25">
        <v>0.72444444444444445</v>
      </c>
      <c r="L109" s="25">
        <v>0.10888888888888888</v>
      </c>
      <c r="M109" s="25">
        <v>2.2222222222222222E-3</v>
      </c>
      <c r="N109" s="26">
        <v>61.086666666666666</v>
      </c>
    </row>
    <row r="110" spans="1:14" x14ac:dyDescent="0.25">
      <c r="A110" s="23">
        <v>0.77401129943502822</v>
      </c>
      <c r="B110" s="23">
        <v>6.0263653483992465E-2</v>
      </c>
      <c r="C110" s="23">
        <v>0.14689265536723164</v>
      </c>
      <c r="D110" s="23">
        <v>1.8832391713747645E-3</v>
      </c>
      <c r="E110" s="24">
        <v>102</v>
      </c>
      <c r="F110" s="24">
        <v>471</v>
      </c>
      <c r="G110" s="24">
        <v>87</v>
      </c>
      <c r="H110" s="24">
        <v>2</v>
      </c>
      <c r="I110" s="24">
        <v>662</v>
      </c>
      <c r="J110" s="25">
        <v>0.15407854984894259</v>
      </c>
      <c r="K110" s="25">
        <v>0.71148036253776437</v>
      </c>
      <c r="L110" s="25">
        <v>0.13141993957703926</v>
      </c>
      <c r="M110" s="25">
        <v>3.0211480362537764E-3</v>
      </c>
      <c r="N110" s="26">
        <v>53.383685800604226</v>
      </c>
    </row>
    <row r="111" spans="1:14" x14ac:dyDescent="0.25">
      <c r="A111" s="23">
        <v>0.72631578947368425</v>
      </c>
      <c r="B111" s="23">
        <v>0.12210526315789473</v>
      </c>
      <c r="C111" s="23">
        <v>0.14105263157894737</v>
      </c>
      <c r="D111" s="23">
        <v>6.3157894736842104E-3</v>
      </c>
      <c r="E111" s="24">
        <v>155</v>
      </c>
      <c r="F111" s="24">
        <v>349</v>
      </c>
      <c r="G111" s="24">
        <v>151</v>
      </c>
      <c r="H111" s="24">
        <v>7</v>
      </c>
      <c r="I111" s="24">
        <v>662</v>
      </c>
      <c r="J111" s="25">
        <v>0.23413897280966767</v>
      </c>
      <c r="K111" s="25">
        <v>0.52719033232628398</v>
      </c>
      <c r="L111" s="25">
        <v>0.22809667673716011</v>
      </c>
      <c r="M111" s="25">
        <v>1.0574018126888218E-2</v>
      </c>
      <c r="N111" s="26">
        <v>42.898791540785496</v>
      </c>
    </row>
    <row r="112" spans="1:14" x14ac:dyDescent="0.25">
      <c r="A112" s="23">
        <v>0.64120370370370372</v>
      </c>
      <c r="B112" s="23">
        <v>0.16435185185185186</v>
      </c>
      <c r="C112" s="23">
        <v>0.1875</v>
      </c>
      <c r="D112" s="23">
        <v>2.3148148148148147E-3</v>
      </c>
      <c r="E112" s="24">
        <v>257</v>
      </c>
      <c r="F112" s="24">
        <v>259</v>
      </c>
      <c r="G112" s="24">
        <v>146</v>
      </c>
      <c r="H112" s="24">
        <v>0</v>
      </c>
      <c r="I112" s="24">
        <v>662</v>
      </c>
      <c r="J112" s="25">
        <v>0.38821752265861026</v>
      </c>
      <c r="K112" s="25">
        <v>0.39123867069486407</v>
      </c>
      <c r="L112" s="25">
        <v>0.22054380664652568</v>
      </c>
      <c r="M112" s="25">
        <v>0</v>
      </c>
      <c r="N112" s="26">
        <v>32.800604229607252</v>
      </c>
    </row>
    <row r="113" spans="1:14" x14ac:dyDescent="0.25">
      <c r="A113" s="23">
        <v>0.66666666666666663</v>
      </c>
      <c r="B113" s="23">
        <v>0.13786008230452676</v>
      </c>
      <c r="C113" s="23">
        <v>0.17901234567901234</v>
      </c>
      <c r="D113" s="23">
        <v>6.1728395061728392E-3</v>
      </c>
      <c r="E113" s="24">
        <v>217</v>
      </c>
      <c r="F113" s="24">
        <v>286</v>
      </c>
      <c r="G113" s="24">
        <v>159</v>
      </c>
      <c r="H113" s="24">
        <v>0</v>
      </c>
      <c r="I113" s="24">
        <v>662</v>
      </c>
      <c r="J113" s="25">
        <v>0.32779456193353473</v>
      </c>
      <c r="K113" s="25">
        <v>0.43202416918429004</v>
      </c>
      <c r="L113" s="25">
        <v>0.24018126888217523</v>
      </c>
      <c r="M113" s="25">
        <v>0</v>
      </c>
      <c r="N113" s="26">
        <v>23.385196374622357</v>
      </c>
    </row>
    <row r="114" spans="1:14" x14ac:dyDescent="0.25">
      <c r="A114" s="23">
        <v>0.5901639344262295</v>
      </c>
      <c r="B114" s="23">
        <v>6.8852459016393447E-2</v>
      </c>
      <c r="C114" s="23">
        <v>0.31475409836065577</v>
      </c>
      <c r="D114" s="23">
        <v>1.3114754098360656E-2</v>
      </c>
      <c r="E114" s="24">
        <v>132</v>
      </c>
      <c r="F114" s="24">
        <v>238</v>
      </c>
      <c r="G114" s="24">
        <v>78</v>
      </c>
      <c r="H114" s="24">
        <v>2</v>
      </c>
      <c r="I114" s="24">
        <v>450</v>
      </c>
      <c r="J114" s="25">
        <v>0.29333333333333333</v>
      </c>
      <c r="K114" s="25">
        <v>0.52888888888888885</v>
      </c>
      <c r="L114" s="25">
        <v>0.17333333333333334</v>
      </c>
      <c r="M114" s="25">
        <v>4.4444444444444444E-3</v>
      </c>
      <c r="N114" s="26">
        <v>71.511111111111106</v>
      </c>
    </row>
    <row r="115" spans="1:14" x14ac:dyDescent="0.25">
      <c r="A115" s="23">
        <v>0.54029850746268659</v>
      </c>
      <c r="B115" s="23">
        <v>0.13432835820895522</v>
      </c>
      <c r="C115" s="23">
        <v>0.31044776119402984</v>
      </c>
      <c r="D115" s="23">
        <v>1.1940298507462687E-2</v>
      </c>
      <c r="E115" s="24">
        <v>188</v>
      </c>
      <c r="F115" s="24">
        <v>208</v>
      </c>
      <c r="G115" s="24">
        <v>53</v>
      </c>
      <c r="H115" s="24">
        <v>1</v>
      </c>
      <c r="I115" s="24">
        <v>450</v>
      </c>
      <c r="J115" s="25">
        <v>0.4177777777777778</v>
      </c>
      <c r="K115" s="25">
        <v>0.4622222222222222</v>
      </c>
      <c r="L115" s="25">
        <v>0.11777777777777777</v>
      </c>
      <c r="M115" s="25">
        <v>2.2222222222222222E-3</v>
      </c>
      <c r="N115" s="26">
        <v>53.522222222222226</v>
      </c>
    </row>
    <row r="116" spans="1:14" x14ac:dyDescent="0.25">
      <c r="A116" s="23">
        <v>0.47181008902077154</v>
      </c>
      <c r="B116" s="23">
        <v>0.27893175074183979</v>
      </c>
      <c r="C116" s="23">
        <v>0.23738872403560832</v>
      </c>
      <c r="D116" s="23">
        <v>5.9347181008902079E-3</v>
      </c>
      <c r="E116" s="24">
        <v>314</v>
      </c>
      <c r="F116" s="24">
        <v>148</v>
      </c>
      <c r="G116" s="24">
        <v>48</v>
      </c>
      <c r="H116" s="24">
        <v>3</v>
      </c>
      <c r="I116" s="24">
        <v>513</v>
      </c>
      <c r="J116" s="25">
        <v>0.61208576998050679</v>
      </c>
      <c r="K116" s="25">
        <v>0.28849902534113059</v>
      </c>
      <c r="L116" s="25">
        <v>9.3567251461988299E-2</v>
      </c>
      <c r="M116" s="25">
        <v>5.8479532163742687E-3</v>
      </c>
      <c r="N116" s="26">
        <v>30.251461988304094</v>
      </c>
    </row>
    <row r="117" spans="1:14" x14ac:dyDescent="0.25">
      <c r="A117" s="23">
        <v>0.58841463414634143</v>
      </c>
      <c r="B117" s="23">
        <v>6.402439024390244E-2</v>
      </c>
      <c r="C117" s="23">
        <v>0.29878048780487804</v>
      </c>
      <c r="D117" s="23">
        <v>2.4390243902439025E-2</v>
      </c>
      <c r="E117" s="24">
        <v>68</v>
      </c>
      <c r="F117" s="24">
        <v>304</v>
      </c>
      <c r="G117" s="24">
        <v>76</v>
      </c>
      <c r="H117" s="24">
        <v>2</v>
      </c>
      <c r="I117" s="24">
        <v>450</v>
      </c>
      <c r="J117" s="25">
        <v>0.15111111111111111</v>
      </c>
      <c r="K117" s="25">
        <v>0.67555555555555558</v>
      </c>
      <c r="L117" s="25">
        <v>0.16888888888888889</v>
      </c>
      <c r="M117" s="25">
        <v>4.4444444444444444E-3</v>
      </c>
      <c r="N117" s="26">
        <v>68.995555555555555</v>
      </c>
    </row>
    <row r="118" spans="1:14" x14ac:dyDescent="0.25">
      <c r="A118" s="23">
        <v>0.64444444444444449</v>
      </c>
      <c r="B118" s="23">
        <v>8.0555555555555561E-2</v>
      </c>
      <c r="C118" s="23">
        <v>0.25277777777777777</v>
      </c>
      <c r="D118" s="23">
        <v>1.3888888888888888E-2</v>
      </c>
      <c r="E118" s="24">
        <v>49</v>
      </c>
      <c r="F118" s="24">
        <v>296</v>
      </c>
      <c r="G118" s="24">
        <v>103</v>
      </c>
      <c r="H118" s="24">
        <v>2</v>
      </c>
      <c r="I118" s="24">
        <v>450</v>
      </c>
      <c r="J118" s="25">
        <v>0.10888888888888888</v>
      </c>
      <c r="K118" s="25">
        <v>0.65777777777777779</v>
      </c>
      <c r="L118" s="25">
        <v>0.22888888888888889</v>
      </c>
      <c r="M118" s="25">
        <v>4.4444444444444444E-3</v>
      </c>
      <c r="N118" s="26">
        <v>60.926666666666669</v>
      </c>
    </row>
    <row r="119" spans="1:14" x14ac:dyDescent="0.25">
      <c r="A119" s="23">
        <v>0.71974522292993626</v>
      </c>
      <c r="B119" s="23">
        <v>9.5541401273885357E-2</v>
      </c>
      <c r="C119" s="23">
        <v>0.16560509554140126</v>
      </c>
      <c r="D119" s="23">
        <v>6.369426751592357E-3</v>
      </c>
      <c r="E119" s="24">
        <v>96</v>
      </c>
      <c r="F119" s="24">
        <v>501</v>
      </c>
      <c r="G119" s="24">
        <v>120</v>
      </c>
      <c r="H119" s="24">
        <v>2</v>
      </c>
      <c r="I119" s="24">
        <v>719</v>
      </c>
      <c r="J119" s="25">
        <v>0.13351877607788595</v>
      </c>
      <c r="K119" s="25">
        <v>0.69680111265646727</v>
      </c>
      <c r="L119" s="25">
        <v>0.16689847009735745</v>
      </c>
      <c r="M119" s="25">
        <v>2.7816411682892906E-3</v>
      </c>
      <c r="N119" s="26">
        <v>49.126564673157162</v>
      </c>
    </row>
    <row r="120" spans="1:14" x14ac:dyDescent="0.25">
      <c r="A120" s="23">
        <v>0.68008948545861303</v>
      </c>
      <c r="B120" s="23">
        <v>0.12527964205816555</v>
      </c>
      <c r="C120" s="23">
        <v>0.17449664429530201</v>
      </c>
      <c r="D120" s="23">
        <v>1.1185682326621925E-2</v>
      </c>
      <c r="E120" s="24">
        <v>157</v>
      </c>
      <c r="F120" s="24">
        <v>446</v>
      </c>
      <c r="G120" s="24">
        <v>111</v>
      </c>
      <c r="H120" s="24">
        <v>5</v>
      </c>
      <c r="I120" s="24">
        <v>719</v>
      </c>
      <c r="J120" s="25">
        <v>0.21835883171070933</v>
      </c>
      <c r="K120" s="25">
        <v>0.62030598052851182</v>
      </c>
      <c r="L120" s="25">
        <v>0.15438108484005564</v>
      </c>
      <c r="M120" s="25">
        <v>6.954102920723227E-3</v>
      </c>
      <c r="N120" s="26">
        <v>38.495132127955493</v>
      </c>
    </row>
    <row r="121" spans="1:14" x14ac:dyDescent="0.25">
      <c r="A121" s="23">
        <v>0.67848699763593379</v>
      </c>
      <c r="B121" s="23">
        <v>0.16548463356973994</v>
      </c>
      <c r="C121" s="23">
        <v>0.13711583924349882</v>
      </c>
      <c r="D121" s="23">
        <v>1.1820330969267139E-2</v>
      </c>
      <c r="E121" s="24">
        <v>146</v>
      </c>
      <c r="F121" s="24">
        <v>427</v>
      </c>
      <c r="G121" s="24">
        <v>144</v>
      </c>
      <c r="H121" s="24">
        <v>3</v>
      </c>
      <c r="I121" s="24">
        <v>720</v>
      </c>
      <c r="J121" s="25">
        <v>0.20277777777777778</v>
      </c>
      <c r="K121" s="25">
        <v>0.59305555555555556</v>
      </c>
      <c r="L121" s="25">
        <v>0.2</v>
      </c>
      <c r="M121" s="25">
        <v>4.1666666666666666E-3</v>
      </c>
      <c r="N121" s="26">
        <v>30.276388888888889</v>
      </c>
    </row>
    <row r="122" spans="1:14" x14ac:dyDescent="0.25">
      <c r="A122" s="23">
        <v>0.71393034825870649</v>
      </c>
      <c r="B122" s="23">
        <v>0.13432835820895522</v>
      </c>
      <c r="C122" s="23">
        <v>0.13432835820895522</v>
      </c>
      <c r="D122" s="23">
        <v>1.2437810945273632E-2</v>
      </c>
      <c r="E122" s="24">
        <v>153</v>
      </c>
      <c r="F122" s="24">
        <v>409</v>
      </c>
      <c r="G122" s="24">
        <v>158</v>
      </c>
      <c r="H122" s="24">
        <v>0</v>
      </c>
      <c r="I122" s="24">
        <v>720</v>
      </c>
      <c r="J122" s="25">
        <v>0.21249999999999999</v>
      </c>
      <c r="K122" s="25">
        <v>0.56805555555555554</v>
      </c>
      <c r="L122" s="25">
        <v>0.21944444444444444</v>
      </c>
      <c r="M122" s="25">
        <v>0</v>
      </c>
      <c r="N122" s="26">
        <v>22.556944444444444</v>
      </c>
    </row>
    <row r="123" spans="1:14" x14ac:dyDescent="0.25">
      <c r="A123" s="23">
        <v>0.70935960591133007</v>
      </c>
      <c r="B123" s="23">
        <v>0.13054187192118227</v>
      </c>
      <c r="C123" s="23">
        <v>0.14532019704433496</v>
      </c>
      <c r="D123" s="23">
        <v>7.3891625615763543E-3</v>
      </c>
      <c r="E123" s="24">
        <v>120</v>
      </c>
      <c r="F123" s="24">
        <v>213</v>
      </c>
      <c r="G123" s="24">
        <v>112</v>
      </c>
      <c r="H123" s="24">
        <v>5</v>
      </c>
      <c r="I123" s="24">
        <v>450</v>
      </c>
      <c r="J123" s="25">
        <v>0.26666666666666666</v>
      </c>
      <c r="K123" s="25">
        <v>0.47333333333333333</v>
      </c>
      <c r="L123" s="25">
        <v>0.24888888888888888</v>
      </c>
      <c r="M123" s="25">
        <v>1.1111111111111112E-2</v>
      </c>
      <c r="N123" s="26">
        <v>67.726666666666674</v>
      </c>
    </row>
    <row r="124" spans="1:14" x14ac:dyDescent="0.25">
      <c r="A124" s="23">
        <v>0.71583514099783085</v>
      </c>
      <c r="B124" s="23">
        <v>0.14316702819956617</v>
      </c>
      <c r="C124" s="23">
        <v>0.13449023861171366</v>
      </c>
      <c r="D124" s="23">
        <v>4.3383947939262474E-3</v>
      </c>
      <c r="E124" s="24">
        <v>133</v>
      </c>
      <c r="F124" s="24">
        <v>227</v>
      </c>
      <c r="G124" s="24">
        <v>87</v>
      </c>
      <c r="H124" s="24">
        <v>3</v>
      </c>
      <c r="I124" s="24">
        <v>450</v>
      </c>
      <c r="J124" s="25">
        <v>0.29555555555555557</v>
      </c>
      <c r="K124" s="25">
        <v>0.50444444444444447</v>
      </c>
      <c r="L124" s="25">
        <v>0.19333333333333333</v>
      </c>
      <c r="M124" s="25">
        <v>6.6666666666666671E-3</v>
      </c>
      <c r="N124" s="26">
        <v>61.606666666666669</v>
      </c>
    </row>
    <row r="125" spans="1:14" x14ac:dyDescent="0.25">
      <c r="A125" s="23">
        <v>0.75077881619937692</v>
      </c>
      <c r="B125" s="23">
        <v>5.2959501557632398E-2</v>
      </c>
      <c r="C125" s="23">
        <v>0.17133956386292834</v>
      </c>
      <c r="D125" s="23">
        <v>2.1806853582554516E-2</v>
      </c>
      <c r="E125" s="24">
        <v>127</v>
      </c>
      <c r="F125" s="24">
        <v>272</v>
      </c>
      <c r="G125" s="24">
        <v>196</v>
      </c>
      <c r="H125" s="24">
        <v>5</v>
      </c>
      <c r="I125" s="24">
        <v>600</v>
      </c>
      <c r="J125" s="25">
        <v>0.21166666666666667</v>
      </c>
      <c r="K125" s="25">
        <v>0.45333333333333331</v>
      </c>
      <c r="L125" s="25">
        <v>0.32666666666666666</v>
      </c>
      <c r="M125" s="25">
        <v>8.3333333333333332E-3</v>
      </c>
      <c r="N125" s="26">
        <v>50.613333333333337</v>
      </c>
    </row>
    <row r="126" spans="1:14" x14ac:dyDescent="0.25">
      <c r="A126" s="23">
        <v>0.80219780219780223</v>
      </c>
      <c r="B126" s="23">
        <v>5.4945054945054944E-2</v>
      </c>
      <c r="C126" s="23">
        <v>0.12362637362637363</v>
      </c>
      <c r="D126" s="23">
        <v>5.4945054945054949E-3</v>
      </c>
      <c r="E126" s="24">
        <v>179</v>
      </c>
      <c r="F126" s="24">
        <v>283</v>
      </c>
      <c r="G126" s="24">
        <v>136</v>
      </c>
      <c r="H126" s="24">
        <v>3</v>
      </c>
      <c r="I126" s="24">
        <v>601</v>
      </c>
      <c r="J126" s="25">
        <v>0.29783693843594011</v>
      </c>
      <c r="K126" s="25">
        <v>0.47088186356073214</v>
      </c>
      <c r="L126" s="25">
        <v>0.22628951747088186</v>
      </c>
      <c r="M126" s="25">
        <v>4.9916805324459234E-3</v>
      </c>
      <c r="N126" s="26">
        <v>42.194675540765388</v>
      </c>
    </row>
    <row r="127" spans="1:14" x14ac:dyDescent="0.25">
      <c r="A127" s="23">
        <v>0.79622641509433967</v>
      </c>
      <c r="B127" s="23">
        <v>6.0377358490566038E-2</v>
      </c>
      <c r="C127" s="23">
        <v>0.12264150943396226</v>
      </c>
      <c r="D127" s="23">
        <v>5.6603773584905656E-3</v>
      </c>
      <c r="E127" s="24">
        <v>185</v>
      </c>
      <c r="F127" s="24">
        <v>301</v>
      </c>
      <c r="G127" s="24">
        <v>111</v>
      </c>
      <c r="H127" s="24">
        <v>4</v>
      </c>
      <c r="I127" s="24">
        <v>601</v>
      </c>
      <c r="J127" s="25">
        <v>0.30782029950083195</v>
      </c>
      <c r="K127" s="25">
        <v>0.50083194675540765</v>
      </c>
      <c r="L127" s="25">
        <v>0.18469217970049917</v>
      </c>
      <c r="M127" s="25">
        <v>6.6555740432612314E-3</v>
      </c>
      <c r="N127" s="26">
        <v>36.747088186356073</v>
      </c>
    </row>
    <row r="128" spans="1:14" x14ac:dyDescent="0.25">
      <c r="A128" s="23">
        <v>0.73293172690763053</v>
      </c>
      <c r="B128" s="23">
        <v>0.12851405622489959</v>
      </c>
      <c r="C128" s="23">
        <v>0.12048192771084337</v>
      </c>
      <c r="D128" s="23">
        <v>8.0321285140562242E-3</v>
      </c>
      <c r="E128" s="24">
        <v>169</v>
      </c>
      <c r="F128" s="24">
        <v>318</v>
      </c>
      <c r="G128" s="24">
        <v>109</v>
      </c>
      <c r="H128" s="24">
        <v>5</v>
      </c>
      <c r="I128" s="24">
        <v>601</v>
      </c>
      <c r="J128" s="25">
        <v>0.28119800332778699</v>
      </c>
      <c r="K128" s="25">
        <v>0.52911813643926786</v>
      </c>
      <c r="L128" s="25">
        <v>0.18136439267886856</v>
      </c>
      <c r="M128" s="25">
        <v>8.3194675540765387E-3</v>
      </c>
      <c r="N128" s="26">
        <v>32.124792013311151</v>
      </c>
    </row>
    <row r="129" spans="1:14" x14ac:dyDescent="0.25">
      <c r="A129" s="23">
        <v>0.76729559748427678</v>
      </c>
      <c r="B129" s="23">
        <v>0.10272536687631027</v>
      </c>
      <c r="C129" s="23">
        <v>9.0146750524109018E-2</v>
      </c>
      <c r="D129" s="23">
        <v>6.2893081761006293E-3</v>
      </c>
      <c r="E129" s="24">
        <v>168</v>
      </c>
      <c r="F129" s="24">
        <v>315</v>
      </c>
      <c r="G129" s="24">
        <v>118</v>
      </c>
      <c r="H129" s="24">
        <v>0</v>
      </c>
      <c r="I129" s="24">
        <v>601</v>
      </c>
      <c r="J129" s="25">
        <v>0.27953410981697169</v>
      </c>
      <c r="K129" s="25">
        <v>0.52412645590682194</v>
      </c>
      <c r="L129" s="25">
        <v>0.19633943427620631</v>
      </c>
      <c r="M129" s="25">
        <v>0</v>
      </c>
      <c r="N129" s="26">
        <v>26.469217970049918</v>
      </c>
    </row>
    <row r="130" spans="1:14" x14ac:dyDescent="0.25">
      <c r="A130" s="23">
        <v>0.75559701492537312</v>
      </c>
      <c r="B130" s="23">
        <v>0.12313432835820895</v>
      </c>
      <c r="C130" s="23">
        <v>0.1044776119402985</v>
      </c>
      <c r="D130" s="23">
        <v>3.7313432835820895E-3</v>
      </c>
      <c r="E130" s="24">
        <v>166</v>
      </c>
      <c r="F130" s="24">
        <v>304</v>
      </c>
      <c r="G130" s="24">
        <v>131</v>
      </c>
      <c r="H130" s="24">
        <v>0</v>
      </c>
      <c r="I130" s="24">
        <v>601</v>
      </c>
      <c r="J130" s="25">
        <v>0.27620632279534107</v>
      </c>
      <c r="K130" s="25">
        <v>0.50582362728785357</v>
      </c>
      <c r="L130" s="25">
        <v>0.21797004991680533</v>
      </c>
      <c r="M130" s="25">
        <v>0</v>
      </c>
      <c r="N130" s="26">
        <v>21.226289517470882</v>
      </c>
    </row>
    <row r="131" spans="1:14" x14ac:dyDescent="0.25">
      <c r="A131" s="23">
        <v>8.1504702194357362E-2</v>
      </c>
      <c r="B131" s="23">
        <v>0.20376175548589343</v>
      </c>
      <c r="C131" s="23">
        <v>0.68652037617554862</v>
      </c>
      <c r="D131" s="23">
        <v>6.269592476489028E-3</v>
      </c>
      <c r="E131" s="24">
        <v>392</v>
      </c>
      <c r="F131" s="24">
        <v>5</v>
      </c>
      <c r="G131" s="24">
        <v>3</v>
      </c>
      <c r="H131" s="24">
        <v>0</v>
      </c>
      <c r="I131" s="24">
        <v>400</v>
      </c>
      <c r="J131" s="25">
        <v>0.98</v>
      </c>
      <c r="K131" s="25">
        <v>1.2500000000000001E-2</v>
      </c>
      <c r="L131" s="25">
        <v>7.4999999999999997E-3</v>
      </c>
      <c r="M131" s="25">
        <v>0</v>
      </c>
      <c r="N131" s="26">
        <v>59.534999999999997</v>
      </c>
    </row>
    <row r="132" spans="1:14" x14ac:dyDescent="0.25">
      <c r="A132" s="23">
        <v>7.3232323232323232E-2</v>
      </c>
      <c r="B132" s="23">
        <v>0.37121212121212122</v>
      </c>
      <c r="C132" s="23">
        <v>0.54040404040404044</v>
      </c>
      <c r="D132" s="23">
        <v>7.575757575757576E-3</v>
      </c>
      <c r="E132" s="24">
        <v>508</v>
      </c>
      <c r="F132" s="24">
        <v>2</v>
      </c>
      <c r="G132" s="24">
        <v>2</v>
      </c>
      <c r="H132" s="24">
        <v>1</v>
      </c>
      <c r="I132" s="24">
        <v>513</v>
      </c>
      <c r="J132" s="25">
        <v>0.99025341130604283</v>
      </c>
      <c r="K132" s="25">
        <v>3.8986354775828458E-3</v>
      </c>
      <c r="L132" s="25">
        <v>3.8986354775828458E-3</v>
      </c>
      <c r="M132" s="25">
        <v>1.9493177387914229E-3</v>
      </c>
      <c r="N132" s="26">
        <v>31.941520467836256</v>
      </c>
    </row>
    <row r="133" spans="1:14" x14ac:dyDescent="0.25">
      <c r="A133" s="23">
        <v>0.1853035143769968</v>
      </c>
      <c r="B133" s="23">
        <v>0.17252396166134185</v>
      </c>
      <c r="C133" s="23">
        <v>0.60702875399361023</v>
      </c>
      <c r="D133" s="23">
        <v>2.5559105431309903E-2</v>
      </c>
      <c r="E133" s="24">
        <v>367</v>
      </c>
      <c r="F133" s="24">
        <v>10</v>
      </c>
      <c r="G133" s="24">
        <v>6</v>
      </c>
      <c r="H133" s="24">
        <v>17</v>
      </c>
      <c r="I133" s="24">
        <v>400</v>
      </c>
      <c r="J133" s="25">
        <v>0.91749999999999998</v>
      </c>
      <c r="K133" s="25">
        <v>2.5000000000000001E-2</v>
      </c>
      <c r="L133" s="25">
        <v>1.4999999999999999E-2</v>
      </c>
      <c r="M133" s="25">
        <v>4.2500000000000003E-2</v>
      </c>
      <c r="N133" s="26">
        <v>58.85</v>
      </c>
    </row>
    <row r="134" spans="1:14" x14ac:dyDescent="0.25">
      <c r="A134" s="23">
        <v>0.20551378446115287</v>
      </c>
      <c r="B134" s="23">
        <v>0.32832080200501251</v>
      </c>
      <c r="C134" s="23">
        <v>0.43859649122807015</v>
      </c>
      <c r="D134" s="23">
        <v>1.5037593984962405E-2</v>
      </c>
      <c r="E134" s="24">
        <v>456</v>
      </c>
      <c r="F134" s="24">
        <v>10</v>
      </c>
      <c r="G134" s="24">
        <v>11</v>
      </c>
      <c r="H134" s="24">
        <v>29</v>
      </c>
      <c r="I134" s="24">
        <v>506</v>
      </c>
      <c r="J134" s="25">
        <v>0.90118577075098816</v>
      </c>
      <c r="K134" s="25">
        <v>1.9762845849802372E-2</v>
      </c>
      <c r="L134" s="25">
        <v>2.1739130434782608E-2</v>
      </c>
      <c r="M134" s="25">
        <v>5.731225296442688E-2</v>
      </c>
      <c r="N134" s="26">
        <v>31.047430830039527</v>
      </c>
    </row>
    <row r="135" spans="1:14" x14ac:dyDescent="0.25">
      <c r="A135" s="23">
        <v>0.31272727272727274</v>
      </c>
      <c r="B135" s="23">
        <v>0.21454545454545454</v>
      </c>
      <c r="C135" s="23">
        <v>0.44363636363636366</v>
      </c>
      <c r="D135" s="23">
        <v>1.8181818181818181E-2</v>
      </c>
      <c r="E135" s="24">
        <v>264</v>
      </c>
      <c r="F135" s="24">
        <v>53</v>
      </c>
      <c r="G135" s="24">
        <v>49</v>
      </c>
      <c r="H135" s="24">
        <v>0</v>
      </c>
      <c r="I135" s="24">
        <v>366</v>
      </c>
      <c r="J135" s="25">
        <v>0.72131147540983609</v>
      </c>
      <c r="K135" s="25">
        <v>0.1448087431693989</v>
      </c>
      <c r="L135" s="25">
        <v>0.13387978142076504</v>
      </c>
      <c r="M135" s="25">
        <v>0</v>
      </c>
      <c r="N135" s="26">
        <v>57.415300546448087</v>
      </c>
    </row>
    <row r="136" spans="1:14" x14ac:dyDescent="0.25">
      <c r="A136" s="23">
        <v>0.2857142857142857</v>
      </c>
      <c r="B136" s="23">
        <v>0.37857142857142856</v>
      </c>
      <c r="C136" s="23">
        <v>0.32857142857142857</v>
      </c>
      <c r="D136" s="23">
        <v>3.5714285714285713E-3</v>
      </c>
      <c r="E136" s="24">
        <v>268</v>
      </c>
      <c r="F136" s="24">
        <v>51</v>
      </c>
      <c r="G136" s="24">
        <v>47</v>
      </c>
      <c r="H136" s="24">
        <v>0</v>
      </c>
      <c r="I136" s="24">
        <v>366</v>
      </c>
      <c r="J136" s="25">
        <v>0.73224043715846998</v>
      </c>
      <c r="K136" s="25">
        <v>0.13934426229508196</v>
      </c>
      <c r="L136" s="25">
        <v>0.12841530054644809</v>
      </c>
      <c r="M136" s="25">
        <v>0</v>
      </c>
      <c r="N136" s="26">
        <v>28.781420765027324</v>
      </c>
    </row>
    <row r="137" spans="1:14" x14ac:dyDescent="0.25">
      <c r="A137" s="23">
        <v>0.68152866242038213</v>
      </c>
      <c r="B137" s="23">
        <v>7.32484076433121E-2</v>
      </c>
      <c r="C137" s="23">
        <v>0.19745222929936307</v>
      </c>
      <c r="D137" s="23">
        <v>1.5923566878980892E-2</v>
      </c>
      <c r="E137" s="24">
        <v>114</v>
      </c>
      <c r="F137" s="24">
        <v>253</v>
      </c>
      <c r="G137" s="24">
        <v>81</v>
      </c>
      <c r="H137" s="24">
        <v>2</v>
      </c>
      <c r="I137" s="24">
        <v>450</v>
      </c>
      <c r="J137" s="25">
        <v>0.25333333333333335</v>
      </c>
      <c r="K137" s="25">
        <v>0.56222222222222218</v>
      </c>
      <c r="L137" s="25">
        <v>0.18</v>
      </c>
      <c r="M137" s="25">
        <v>4.4444444444444444E-3</v>
      </c>
      <c r="N137" s="26">
        <v>69.391111111111115</v>
      </c>
    </row>
    <row r="138" spans="1:14" x14ac:dyDescent="0.25">
      <c r="A138" s="23">
        <v>0.69414893617021278</v>
      </c>
      <c r="B138" s="23">
        <v>6.1170212765957445E-2</v>
      </c>
      <c r="C138" s="23">
        <v>0.20744680851063829</v>
      </c>
      <c r="D138" s="23">
        <v>7.9787234042553185E-3</v>
      </c>
      <c r="E138" s="24">
        <v>89</v>
      </c>
      <c r="F138" s="24">
        <v>284</v>
      </c>
      <c r="G138" s="24">
        <v>76</v>
      </c>
      <c r="H138" s="24">
        <v>1</v>
      </c>
      <c r="I138" s="24">
        <v>450</v>
      </c>
      <c r="J138" s="25">
        <v>0.19777777777777777</v>
      </c>
      <c r="K138" s="25">
        <v>0.63111111111111107</v>
      </c>
      <c r="L138" s="25">
        <v>0.16888888888888889</v>
      </c>
      <c r="M138" s="25">
        <v>2.2222222222222222E-3</v>
      </c>
      <c r="N138" s="26">
        <v>62.04</v>
      </c>
    </row>
    <row r="139" spans="1:14" x14ac:dyDescent="0.25">
      <c r="A139" s="23">
        <v>0.79142300194931769</v>
      </c>
      <c r="B139" s="23">
        <v>6.6276803118908378E-2</v>
      </c>
      <c r="C139" s="23">
        <v>0.12085769980506822</v>
      </c>
      <c r="D139" s="23">
        <v>1.364522417153996E-2</v>
      </c>
      <c r="E139" s="24">
        <v>110</v>
      </c>
      <c r="F139" s="24">
        <v>410</v>
      </c>
      <c r="G139" s="24">
        <v>135</v>
      </c>
      <c r="H139" s="24">
        <v>1</v>
      </c>
      <c r="I139" s="24">
        <v>656</v>
      </c>
      <c r="J139" s="25">
        <v>0.1676829268292683</v>
      </c>
      <c r="K139" s="25">
        <v>0.625</v>
      </c>
      <c r="L139" s="25">
        <v>0.20579268292682926</v>
      </c>
      <c r="M139" s="25">
        <v>1.5243902439024391E-3</v>
      </c>
      <c r="N139" s="26">
        <v>51.085365853658537</v>
      </c>
    </row>
    <row r="140" spans="1:14" x14ac:dyDescent="0.25">
      <c r="A140" s="23">
        <v>0.7056277056277056</v>
      </c>
      <c r="B140" s="23">
        <v>0.12770562770562771</v>
      </c>
      <c r="C140" s="23">
        <v>0.15800865800865802</v>
      </c>
      <c r="D140" s="23">
        <v>4.329004329004329E-3</v>
      </c>
      <c r="E140" s="24">
        <v>173</v>
      </c>
      <c r="F140" s="24">
        <v>353</v>
      </c>
      <c r="G140" s="24">
        <v>125</v>
      </c>
      <c r="H140" s="24">
        <v>5</v>
      </c>
      <c r="I140" s="24">
        <v>656</v>
      </c>
      <c r="J140" s="25">
        <v>0.26371951219512196</v>
      </c>
      <c r="K140" s="25">
        <v>0.53810975609756095</v>
      </c>
      <c r="L140" s="25">
        <v>0.19054878048780488</v>
      </c>
      <c r="M140" s="25">
        <v>7.621951219512195E-3</v>
      </c>
      <c r="N140" s="26">
        <v>39.900914634146339</v>
      </c>
    </row>
    <row r="141" spans="1:14" x14ac:dyDescent="0.25">
      <c r="A141" s="23">
        <v>0.74259681093394081</v>
      </c>
      <c r="B141" s="23">
        <v>0.11617312072892938</v>
      </c>
      <c r="C141" s="23">
        <v>0.12300683371298406</v>
      </c>
      <c r="D141" s="23">
        <v>1.8223234624145785E-2</v>
      </c>
      <c r="E141" s="24">
        <v>173</v>
      </c>
      <c r="F141" s="24">
        <v>383</v>
      </c>
      <c r="G141" s="24">
        <v>100</v>
      </c>
      <c r="H141" s="24">
        <v>0</v>
      </c>
      <c r="I141" s="24">
        <v>656</v>
      </c>
      <c r="J141" s="25">
        <v>0.26371951219512196</v>
      </c>
      <c r="K141" s="25">
        <v>0.58384146341463417</v>
      </c>
      <c r="L141" s="25">
        <v>0.1524390243902439</v>
      </c>
      <c r="M141" s="25">
        <v>0</v>
      </c>
      <c r="N141" s="26">
        <v>29.832317073170731</v>
      </c>
    </row>
    <row r="142" spans="1:14" x14ac:dyDescent="0.25">
      <c r="A142" s="23">
        <v>0.70459081836327342</v>
      </c>
      <c r="B142" s="23">
        <v>0.15768463073852296</v>
      </c>
      <c r="C142" s="23">
        <v>0.12574850299401197</v>
      </c>
      <c r="D142" s="23">
        <v>7.9840319361277438E-3</v>
      </c>
      <c r="E142" s="24">
        <v>219</v>
      </c>
      <c r="F142" s="24">
        <v>336</v>
      </c>
      <c r="G142" s="24">
        <v>101</v>
      </c>
      <c r="H142" s="24">
        <v>0</v>
      </c>
      <c r="I142" s="24">
        <v>656</v>
      </c>
      <c r="J142" s="25">
        <v>0.33384146341463417</v>
      </c>
      <c r="K142" s="25">
        <v>0.51219512195121952</v>
      </c>
      <c r="L142" s="25">
        <v>0.15396341463414634</v>
      </c>
      <c r="M142" s="25">
        <v>0</v>
      </c>
      <c r="N142" s="26">
        <v>21.949695121951219</v>
      </c>
    </row>
    <row r="143" spans="1:14" x14ac:dyDescent="0.25">
      <c r="A143" s="23">
        <v>0.72661870503597126</v>
      </c>
      <c r="B143" s="23">
        <v>8.2733812949640287E-2</v>
      </c>
      <c r="C143" s="23">
        <v>0.14388489208633093</v>
      </c>
      <c r="D143" s="23">
        <v>3.5971223021582736E-3</v>
      </c>
      <c r="E143" s="24">
        <v>63</v>
      </c>
      <c r="F143" s="24">
        <v>250</v>
      </c>
      <c r="G143" s="24">
        <v>78</v>
      </c>
      <c r="H143" s="24">
        <v>9</v>
      </c>
      <c r="I143" s="24">
        <v>400</v>
      </c>
      <c r="J143" s="25">
        <v>0.1575</v>
      </c>
      <c r="K143" s="25">
        <v>0.625</v>
      </c>
      <c r="L143" s="25">
        <v>0.19500000000000001</v>
      </c>
      <c r="M143" s="25">
        <v>2.2499999999999999E-2</v>
      </c>
      <c r="N143" s="26">
        <v>68.567499999999995</v>
      </c>
    </row>
    <row r="144" spans="1:14" x14ac:dyDescent="0.25">
      <c r="A144" s="23">
        <v>0.68506493506493504</v>
      </c>
      <c r="B144" s="23">
        <v>9.7402597402597407E-2</v>
      </c>
      <c r="C144" s="23">
        <v>0.17532467532467533</v>
      </c>
      <c r="D144" s="23">
        <v>1.6233766233766232E-2</v>
      </c>
      <c r="E144" s="24">
        <v>106</v>
      </c>
      <c r="F144" s="24">
        <v>239</v>
      </c>
      <c r="G144" s="24">
        <v>80</v>
      </c>
      <c r="H144" s="24">
        <v>15</v>
      </c>
      <c r="I144" s="24">
        <v>440</v>
      </c>
      <c r="J144" s="25">
        <v>0.24090909090909091</v>
      </c>
      <c r="K144" s="25">
        <v>0.54318181818181821</v>
      </c>
      <c r="L144" s="25">
        <v>0.18181818181818182</v>
      </c>
      <c r="M144" s="25">
        <v>3.4090909090909088E-2</v>
      </c>
      <c r="N144" s="26">
        <v>47.222727272727276</v>
      </c>
    </row>
    <row r="145" spans="1:14" x14ac:dyDescent="0.25">
      <c r="A145" s="23">
        <v>0.77049180327868849</v>
      </c>
      <c r="B145" s="23">
        <v>0.11803278688524591</v>
      </c>
      <c r="C145" s="23">
        <v>9.8360655737704916E-2</v>
      </c>
      <c r="D145" s="23">
        <v>6.5573770491803279E-3</v>
      </c>
      <c r="E145" s="24">
        <v>109</v>
      </c>
      <c r="F145" s="24">
        <v>231</v>
      </c>
      <c r="G145" s="24">
        <v>92</v>
      </c>
      <c r="H145" s="24">
        <v>9</v>
      </c>
      <c r="I145" s="24">
        <v>441</v>
      </c>
      <c r="J145" s="25">
        <v>0.2471655328798186</v>
      </c>
      <c r="K145" s="25">
        <v>0.52380952380952384</v>
      </c>
      <c r="L145" s="25">
        <v>0.20861678004535147</v>
      </c>
      <c r="M145" s="25">
        <v>2.0408163265306121E-2</v>
      </c>
      <c r="N145" s="26">
        <v>28.746031746031747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4E6F-6503-42C2-9A8E-CA78B8FAA586}">
  <dimension ref="A1:AB166"/>
  <sheetViews>
    <sheetView tabSelected="1" workbookViewId="0">
      <pane xSplit="4" ySplit="1" topLeftCell="P135" activePane="bottomRight" state="frozen"/>
      <selection pane="topRight" activeCell="E1" sqref="E1"/>
      <selection pane="bottomLeft" activeCell="A2" sqref="A2"/>
      <selection pane="bottomRight" activeCell="A110" sqref="A110:AB159"/>
    </sheetView>
  </sheetViews>
  <sheetFormatPr defaultRowHeight="13.2" x14ac:dyDescent="0.25"/>
  <cols>
    <col min="1" max="1" width="8.44140625" bestFit="1" customWidth="1"/>
    <col min="2" max="2" width="34.109375" bestFit="1" customWidth="1"/>
    <col min="3" max="3" width="60" bestFit="1" customWidth="1"/>
    <col min="4" max="4" width="6.5546875" bestFit="1" customWidth="1"/>
    <col min="5" max="5" width="24.44140625" bestFit="1" customWidth="1"/>
    <col min="6" max="6" width="6" bestFit="1" customWidth="1"/>
    <col min="7" max="7" width="9.21875" bestFit="1" customWidth="1"/>
    <col min="8" max="9" width="6" bestFit="1" customWidth="1"/>
    <col min="10" max="10" width="22" bestFit="1" customWidth="1"/>
    <col min="11" max="11" width="29.21875" bestFit="1" customWidth="1"/>
    <col min="12" max="12" width="10.44140625" bestFit="1" customWidth="1"/>
    <col min="13" max="13" width="19.109375" bestFit="1" customWidth="1"/>
    <col min="14" max="16" width="6" bestFit="1" customWidth="1"/>
    <col min="17" max="17" width="10.77734375" bestFit="1" customWidth="1"/>
    <col min="18" max="19" width="6" bestFit="1" customWidth="1"/>
    <col min="20" max="20" width="5" bestFit="1" customWidth="1"/>
    <col min="21" max="21" width="4" bestFit="1" customWidth="1"/>
    <col min="22" max="22" width="6" bestFit="1" customWidth="1"/>
    <col min="23" max="23" width="7" bestFit="1" customWidth="1"/>
    <col min="24" max="26" width="6" bestFit="1" customWidth="1"/>
    <col min="27" max="27" width="7.33203125" bestFit="1" customWidth="1"/>
  </cols>
  <sheetData>
    <row r="1" spans="1:28" x14ac:dyDescent="0.25">
      <c r="A1" s="22" t="s">
        <v>104</v>
      </c>
      <c r="B1" s="22" t="s">
        <v>115</v>
      </c>
      <c r="C1" s="22" t="s">
        <v>105</v>
      </c>
      <c r="D1" s="22" t="s">
        <v>116</v>
      </c>
      <c r="E1" s="22" t="s">
        <v>117</v>
      </c>
      <c r="F1" s="22" t="s">
        <v>100</v>
      </c>
      <c r="G1" s="22" t="s">
        <v>101</v>
      </c>
      <c r="H1" s="22" t="s">
        <v>102</v>
      </c>
      <c r="I1" s="22" t="s">
        <v>103</v>
      </c>
      <c r="J1" s="22" t="s">
        <v>106</v>
      </c>
      <c r="K1" s="22" t="s">
        <v>118</v>
      </c>
      <c r="L1" s="22" t="s">
        <v>188</v>
      </c>
      <c r="M1" s="22" t="s">
        <v>119</v>
      </c>
      <c r="N1" s="22" t="s">
        <v>189</v>
      </c>
      <c r="O1" s="22" t="s">
        <v>190</v>
      </c>
      <c r="P1" s="22" t="s">
        <v>191</v>
      </c>
      <c r="Q1" s="22" t="s">
        <v>192</v>
      </c>
      <c r="R1" s="24" t="s">
        <v>270</v>
      </c>
      <c r="S1" s="24" t="s">
        <v>271</v>
      </c>
      <c r="T1" s="24" t="s">
        <v>272</v>
      </c>
      <c r="U1" s="24" t="s">
        <v>273</v>
      </c>
      <c r="V1" s="24" t="s">
        <v>274</v>
      </c>
      <c r="W1" s="24" t="s">
        <v>275</v>
      </c>
      <c r="X1" s="24" t="s">
        <v>276</v>
      </c>
      <c r="Y1" s="24" t="s">
        <v>277</v>
      </c>
      <c r="Z1" s="24" t="s">
        <v>278</v>
      </c>
      <c r="AA1" s="24" t="s">
        <v>279</v>
      </c>
      <c r="AB1" s="23" t="s">
        <v>288</v>
      </c>
    </row>
    <row r="2" spans="1:28" s="40" customFormat="1" x14ac:dyDescent="0.25">
      <c r="A2" s="35">
        <v>1</v>
      </c>
      <c r="B2" s="35" t="s">
        <v>107</v>
      </c>
      <c r="C2" s="35"/>
      <c r="D2" s="35"/>
      <c r="E2" s="35">
        <v>2090</v>
      </c>
      <c r="F2" s="35">
        <v>859</v>
      </c>
      <c r="G2" s="35">
        <v>34</v>
      </c>
      <c r="H2" s="35">
        <v>655</v>
      </c>
      <c r="I2" s="35">
        <v>276</v>
      </c>
      <c r="J2" s="35">
        <v>1824</v>
      </c>
      <c r="K2" s="35">
        <v>124</v>
      </c>
      <c r="L2" s="35">
        <f>K2+J2</f>
        <v>1948</v>
      </c>
      <c r="M2" s="35">
        <v>142</v>
      </c>
      <c r="N2" s="36">
        <f>I2/L2</f>
        <v>0.14168377823408623</v>
      </c>
      <c r="O2" s="36">
        <f>H2/L2</f>
        <v>0.33624229979466119</v>
      </c>
      <c r="P2" s="36">
        <f>F2/L2</f>
        <v>0.44096509240246407</v>
      </c>
      <c r="Q2" s="36">
        <f>G2/L2</f>
        <v>1.7453798767967144E-2</v>
      </c>
      <c r="R2" s="37">
        <v>3</v>
      </c>
      <c r="S2" s="37">
        <v>1</v>
      </c>
      <c r="T2" s="37">
        <v>0</v>
      </c>
      <c r="U2" s="37">
        <v>0</v>
      </c>
      <c r="V2" s="37">
        <v>4</v>
      </c>
      <c r="W2" s="38">
        <v>0.75</v>
      </c>
      <c r="X2" s="38">
        <v>0.25</v>
      </c>
      <c r="Y2" s="38">
        <v>0</v>
      </c>
      <c r="Z2" s="38">
        <v>0</v>
      </c>
      <c r="AA2" s="39">
        <v>39.333333333333336</v>
      </c>
      <c r="AB2" s="36">
        <f>L2/V2</f>
        <v>487</v>
      </c>
    </row>
    <row r="3" spans="1:28" s="40" customFormat="1" x14ac:dyDescent="0.25">
      <c r="A3" s="35">
        <v>2</v>
      </c>
      <c r="B3" s="35" t="s">
        <v>108</v>
      </c>
      <c r="C3" s="35" t="s">
        <v>109</v>
      </c>
      <c r="D3" s="35">
        <v>1</v>
      </c>
      <c r="E3" s="35">
        <v>30</v>
      </c>
      <c r="F3" s="35">
        <v>23</v>
      </c>
      <c r="G3" s="35">
        <v>0</v>
      </c>
      <c r="H3" s="35">
        <v>6</v>
      </c>
      <c r="I3" s="35">
        <v>1</v>
      </c>
      <c r="J3" s="35">
        <v>30</v>
      </c>
      <c r="K3" s="35">
        <v>0</v>
      </c>
      <c r="L3" s="35">
        <f t="shared" ref="L3:L66" si="0">K3+J3</f>
        <v>30</v>
      </c>
      <c r="M3" s="35">
        <v>0</v>
      </c>
      <c r="N3" s="36">
        <f t="shared" ref="N3:N66" si="1">I3/L3</f>
        <v>3.3333333333333333E-2</v>
      </c>
      <c r="O3" s="36">
        <f t="shared" ref="O3:O66" si="2">H3/L3</f>
        <v>0.2</v>
      </c>
      <c r="P3" s="36">
        <f t="shared" ref="P3:P66" si="3">F3/L3</f>
        <v>0.76666666666666672</v>
      </c>
      <c r="Q3" s="36">
        <f t="shared" ref="Q3:Q66" si="4">G3/L3</f>
        <v>0</v>
      </c>
      <c r="R3" s="37">
        <v>33</v>
      </c>
      <c r="S3" s="37">
        <v>0</v>
      </c>
      <c r="T3" s="37">
        <v>1</v>
      </c>
      <c r="U3" s="37">
        <v>1</v>
      </c>
      <c r="V3" s="37">
        <v>35</v>
      </c>
      <c r="W3" s="38">
        <v>0.94285714285714284</v>
      </c>
      <c r="X3" s="38">
        <v>0</v>
      </c>
      <c r="Y3" s="38">
        <v>2.8571428571428571E-2</v>
      </c>
      <c r="Z3" s="38">
        <v>2.8571428571428571E-2</v>
      </c>
      <c r="AA3" s="39">
        <v>38.285714285714285</v>
      </c>
      <c r="AB3" s="36">
        <f t="shared" ref="AB3:AB66" si="5">L3/V3</f>
        <v>0.8571428571428571</v>
      </c>
    </row>
    <row r="4" spans="1:28" s="40" customFormat="1" x14ac:dyDescent="0.25">
      <c r="A4" s="35"/>
      <c r="B4" s="35"/>
      <c r="C4" s="35" t="s">
        <v>110</v>
      </c>
      <c r="D4" s="35">
        <v>1</v>
      </c>
      <c r="E4" s="35">
        <v>365</v>
      </c>
      <c r="F4" s="35">
        <v>127</v>
      </c>
      <c r="G4" s="35">
        <v>5</v>
      </c>
      <c r="H4" s="35">
        <v>194</v>
      </c>
      <c r="I4" s="35">
        <v>35</v>
      </c>
      <c r="J4" s="35">
        <v>361</v>
      </c>
      <c r="K4" s="35">
        <v>4</v>
      </c>
      <c r="L4" s="35">
        <f t="shared" si="0"/>
        <v>365</v>
      </c>
      <c r="M4" s="35">
        <v>0</v>
      </c>
      <c r="N4" s="36">
        <f t="shared" si="1"/>
        <v>9.5890410958904104E-2</v>
      </c>
      <c r="O4" s="36">
        <f t="shared" si="2"/>
        <v>0.53150684931506853</v>
      </c>
      <c r="P4" s="36">
        <f t="shared" si="3"/>
        <v>0.34794520547945207</v>
      </c>
      <c r="Q4" s="36">
        <f t="shared" si="4"/>
        <v>1.3698630136986301E-2</v>
      </c>
      <c r="R4" s="37">
        <v>354</v>
      </c>
      <c r="S4" s="37">
        <v>10</v>
      </c>
      <c r="T4" s="37">
        <v>25</v>
      </c>
      <c r="U4" s="37">
        <v>93</v>
      </c>
      <c r="V4" s="37">
        <v>482</v>
      </c>
      <c r="W4" s="38">
        <v>0.73443983402489632</v>
      </c>
      <c r="X4" s="38">
        <v>2.0746887966804978E-2</v>
      </c>
      <c r="Y4" s="38">
        <v>5.1867219917012451E-2</v>
      </c>
      <c r="Z4" s="38">
        <v>0.19294605809128632</v>
      </c>
      <c r="AA4" s="39">
        <v>31.450207468879668</v>
      </c>
      <c r="AB4" s="36">
        <f t="shared" si="5"/>
        <v>0.75726141078838172</v>
      </c>
    </row>
    <row r="5" spans="1:28" s="40" customFormat="1" x14ac:dyDescent="0.25">
      <c r="A5" s="35"/>
      <c r="B5" s="35"/>
      <c r="C5" s="35"/>
      <c r="D5" s="35">
        <v>2</v>
      </c>
      <c r="E5" s="35">
        <v>360</v>
      </c>
      <c r="F5" s="35">
        <v>137</v>
      </c>
      <c r="G5" s="35">
        <v>5</v>
      </c>
      <c r="H5" s="35">
        <v>170</v>
      </c>
      <c r="I5" s="35">
        <v>44</v>
      </c>
      <c r="J5" s="35">
        <v>356</v>
      </c>
      <c r="K5" s="35">
        <v>4</v>
      </c>
      <c r="L5" s="35">
        <f t="shared" si="0"/>
        <v>360</v>
      </c>
      <c r="M5" s="35">
        <v>0</v>
      </c>
      <c r="N5" s="36">
        <f t="shared" si="1"/>
        <v>0.12222222222222222</v>
      </c>
      <c r="O5" s="36">
        <f t="shared" si="2"/>
        <v>0.47222222222222221</v>
      </c>
      <c r="P5" s="36">
        <f t="shared" si="3"/>
        <v>0.38055555555555554</v>
      </c>
      <c r="Q5" s="36">
        <f t="shared" si="4"/>
        <v>1.3888888888888888E-2</v>
      </c>
      <c r="R5" s="37">
        <v>333</v>
      </c>
      <c r="S5" s="37">
        <v>15</v>
      </c>
      <c r="T5" s="37">
        <v>22</v>
      </c>
      <c r="U5" s="37">
        <v>112</v>
      </c>
      <c r="V5" s="37">
        <v>482</v>
      </c>
      <c r="W5" s="38">
        <v>0.6908713692946058</v>
      </c>
      <c r="X5" s="38">
        <v>3.1120331950207469E-2</v>
      </c>
      <c r="Y5" s="38">
        <v>4.5643153526970952E-2</v>
      </c>
      <c r="Z5" s="38">
        <v>0.23236514522821577</v>
      </c>
      <c r="AA5" s="39">
        <v>31.616182572614107</v>
      </c>
      <c r="AB5" s="36">
        <f t="shared" si="5"/>
        <v>0.74688796680497926</v>
      </c>
    </row>
    <row r="6" spans="1:28" s="40" customFormat="1" x14ac:dyDescent="0.25">
      <c r="A6" s="35"/>
      <c r="B6" s="35"/>
      <c r="C6" s="35"/>
      <c r="D6" s="35">
        <v>3</v>
      </c>
      <c r="E6" s="35">
        <v>382</v>
      </c>
      <c r="F6" s="35">
        <v>131</v>
      </c>
      <c r="G6" s="35">
        <v>7</v>
      </c>
      <c r="H6" s="35">
        <v>223</v>
      </c>
      <c r="I6" s="35">
        <v>19</v>
      </c>
      <c r="J6" s="35">
        <v>380</v>
      </c>
      <c r="K6" s="35">
        <v>2</v>
      </c>
      <c r="L6" s="35">
        <f t="shared" si="0"/>
        <v>382</v>
      </c>
      <c r="M6" s="35">
        <v>0</v>
      </c>
      <c r="N6" s="36">
        <f t="shared" si="1"/>
        <v>4.9738219895287955E-2</v>
      </c>
      <c r="O6" s="36">
        <f t="shared" si="2"/>
        <v>0.58376963350785338</v>
      </c>
      <c r="P6" s="36">
        <f t="shared" si="3"/>
        <v>0.34293193717277487</v>
      </c>
      <c r="Q6" s="36">
        <f t="shared" si="4"/>
        <v>1.832460732984293E-2</v>
      </c>
      <c r="R6" s="37">
        <v>479</v>
      </c>
      <c r="S6" s="37">
        <v>0</v>
      </c>
      <c r="T6" s="37">
        <v>0</v>
      </c>
      <c r="U6" s="37">
        <v>3</v>
      </c>
      <c r="V6" s="37">
        <v>482</v>
      </c>
      <c r="W6" s="38">
        <v>0.99377593360995853</v>
      </c>
      <c r="X6" s="38">
        <v>0</v>
      </c>
      <c r="Y6" s="38">
        <v>0</v>
      </c>
      <c r="Z6" s="38">
        <v>6.2240663900414933E-3</v>
      </c>
      <c r="AA6" s="39">
        <v>30.773858921161825</v>
      </c>
      <c r="AB6" s="36">
        <f t="shared" si="5"/>
        <v>0.79253112033195017</v>
      </c>
    </row>
    <row r="7" spans="1:28" s="40" customFormat="1" x14ac:dyDescent="0.25">
      <c r="A7" s="35"/>
      <c r="B7" s="35"/>
      <c r="C7" s="35"/>
      <c r="D7" s="35">
        <v>4</v>
      </c>
      <c r="E7" s="35">
        <v>395</v>
      </c>
      <c r="F7" s="35">
        <v>149</v>
      </c>
      <c r="G7" s="35">
        <v>8</v>
      </c>
      <c r="H7" s="35">
        <v>223</v>
      </c>
      <c r="I7" s="35">
        <v>10</v>
      </c>
      <c r="J7" s="35">
        <v>390</v>
      </c>
      <c r="K7" s="35">
        <v>5</v>
      </c>
      <c r="L7" s="35">
        <f t="shared" si="0"/>
        <v>395</v>
      </c>
      <c r="M7" s="35">
        <v>0</v>
      </c>
      <c r="N7" s="36">
        <f t="shared" si="1"/>
        <v>2.5316455696202531E-2</v>
      </c>
      <c r="O7" s="36">
        <f t="shared" si="2"/>
        <v>0.56455696202531647</v>
      </c>
      <c r="P7" s="36">
        <f t="shared" si="3"/>
        <v>0.37721518987341773</v>
      </c>
      <c r="Q7" s="36">
        <f t="shared" si="4"/>
        <v>2.0253164556962026E-2</v>
      </c>
      <c r="R7" s="37">
        <v>478</v>
      </c>
      <c r="S7" s="37">
        <v>0</v>
      </c>
      <c r="T7" s="37">
        <v>0</v>
      </c>
      <c r="U7" s="37">
        <v>4</v>
      </c>
      <c r="V7" s="37">
        <v>482</v>
      </c>
      <c r="W7" s="38">
        <v>0.99170124481327804</v>
      </c>
      <c r="X7" s="38">
        <v>0</v>
      </c>
      <c r="Y7" s="38">
        <v>0</v>
      </c>
      <c r="Z7" s="38">
        <v>8.2987551867219917E-3</v>
      </c>
      <c r="AA7" s="39">
        <v>34.836099585062243</v>
      </c>
      <c r="AB7" s="36">
        <f t="shared" si="5"/>
        <v>0.81950207468879666</v>
      </c>
    </row>
    <row r="8" spans="1:28" s="40" customFormat="1" x14ac:dyDescent="0.25">
      <c r="A8" s="35"/>
      <c r="B8" s="35"/>
      <c r="C8" s="35"/>
      <c r="D8" s="35">
        <v>5</v>
      </c>
      <c r="E8" s="35">
        <v>334</v>
      </c>
      <c r="F8" s="35">
        <v>127</v>
      </c>
      <c r="G8" s="35">
        <v>5</v>
      </c>
      <c r="H8" s="35">
        <v>180</v>
      </c>
      <c r="I8" s="35">
        <v>16</v>
      </c>
      <c r="J8" s="35">
        <v>328</v>
      </c>
      <c r="K8" s="35">
        <v>6</v>
      </c>
      <c r="L8" s="35">
        <f t="shared" si="0"/>
        <v>334</v>
      </c>
      <c r="M8" s="35">
        <v>0</v>
      </c>
      <c r="N8" s="36">
        <f t="shared" si="1"/>
        <v>4.790419161676647E-2</v>
      </c>
      <c r="O8" s="36">
        <f t="shared" si="2"/>
        <v>0.53892215568862278</v>
      </c>
      <c r="P8" s="36">
        <f t="shared" si="3"/>
        <v>0.38023952095808383</v>
      </c>
      <c r="Q8" s="36">
        <f t="shared" si="4"/>
        <v>1.4970059880239521E-2</v>
      </c>
      <c r="R8" s="37">
        <v>474</v>
      </c>
      <c r="S8" s="37">
        <v>1</v>
      </c>
      <c r="T8" s="37">
        <v>0</v>
      </c>
      <c r="U8" s="37">
        <v>7</v>
      </c>
      <c r="V8" s="37">
        <v>482</v>
      </c>
      <c r="W8" s="38">
        <v>0.98340248962655596</v>
      </c>
      <c r="X8" s="38">
        <v>2.0746887966804979E-3</v>
      </c>
      <c r="Y8" s="38">
        <v>0</v>
      </c>
      <c r="Z8" s="38">
        <v>1.4522821576763486E-2</v>
      </c>
      <c r="AA8" s="39">
        <v>27.695020746887966</v>
      </c>
      <c r="AB8" s="36">
        <f t="shared" si="5"/>
        <v>0.69294605809128629</v>
      </c>
    </row>
    <row r="9" spans="1:28" s="40" customFormat="1" x14ac:dyDescent="0.25">
      <c r="A9" s="35"/>
      <c r="B9" s="35"/>
      <c r="C9" s="35"/>
      <c r="D9" s="35">
        <v>6</v>
      </c>
      <c r="E9" s="35">
        <v>389</v>
      </c>
      <c r="F9" s="35">
        <v>156</v>
      </c>
      <c r="G9" s="35">
        <v>4</v>
      </c>
      <c r="H9" s="35">
        <v>201</v>
      </c>
      <c r="I9" s="35">
        <v>24</v>
      </c>
      <c r="J9" s="35">
        <v>385</v>
      </c>
      <c r="K9" s="35">
        <v>4</v>
      </c>
      <c r="L9" s="35">
        <f t="shared" si="0"/>
        <v>389</v>
      </c>
      <c r="M9" s="35">
        <v>0</v>
      </c>
      <c r="N9" s="36">
        <f t="shared" si="1"/>
        <v>6.1696658097686374E-2</v>
      </c>
      <c r="O9" s="36">
        <f t="shared" si="2"/>
        <v>0.51670951156812339</v>
      </c>
      <c r="P9" s="36">
        <f t="shared" si="3"/>
        <v>0.40102827763496146</v>
      </c>
      <c r="Q9" s="36">
        <f t="shared" si="4"/>
        <v>1.0282776349614395E-2</v>
      </c>
      <c r="R9" s="37">
        <v>459</v>
      </c>
      <c r="S9" s="37">
        <v>1</v>
      </c>
      <c r="T9" s="37">
        <v>5</v>
      </c>
      <c r="U9" s="37">
        <v>17</v>
      </c>
      <c r="V9" s="37">
        <v>482</v>
      </c>
      <c r="W9" s="38">
        <v>0.9522821576763485</v>
      </c>
      <c r="X9" s="38">
        <v>2.0746887966804979E-3</v>
      </c>
      <c r="Y9" s="38">
        <v>1.0373443983402489E-2</v>
      </c>
      <c r="Z9" s="38">
        <v>3.5269709543568464E-2</v>
      </c>
      <c r="AA9" s="39">
        <v>29.402489626556015</v>
      </c>
      <c r="AB9" s="36">
        <f t="shared" si="5"/>
        <v>0.80705394190871371</v>
      </c>
    </row>
    <row r="10" spans="1:28" s="40" customFormat="1" x14ac:dyDescent="0.25">
      <c r="A10" s="35"/>
      <c r="B10" s="35"/>
      <c r="C10" s="35"/>
      <c r="D10" s="35">
        <v>7</v>
      </c>
      <c r="E10" s="35">
        <v>384</v>
      </c>
      <c r="F10" s="35">
        <v>134</v>
      </c>
      <c r="G10" s="35">
        <v>7</v>
      </c>
      <c r="H10" s="35">
        <v>204</v>
      </c>
      <c r="I10" s="35">
        <v>32</v>
      </c>
      <c r="J10" s="35">
        <v>377</v>
      </c>
      <c r="K10" s="35">
        <v>7</v>
      </c>
      <c r="L10" s="35">
        <f t="shared" si="0"/>
        <v>384</v>
      </c>
      <c r="M10" s="35">
        <v>0</v>
      </c>
      <c r="N10" s="36">
        <f t="shared" si="1"/>
        <v>8.3333333333333329E-2</v>
      </c>
      <c r="O10" s="36">
        <f t="shared" si="2"/>
        <v>0.53125</v>
      </c>
      <c r="P10" s="36">
        <f t="shared" si="3"/>
        <v>0.34895833333333331</v>
      </c>
      <c r="Q10" s="36">
        <f t="shared" si="4"/>
        <v>1.8229166666666668E-2</v>
      </c>
      <c r="R10" s="37">
        <v>392</v>
      </c>
      <c r="S10" s="37">
        <v>7</v>
      </c>
      <c r="T10" s="37">
        <v>14</v>
      </c>
      <c r="U10" s="37">
        <v>69</v>
      </c>
      <c r="V10" s="37">
        <v>482</v>
      </c>
      <c r="W10" s="38">
        <v>0.81327800829875518</v>
      </c>
      <c r="X10" s="38">
        <v>1.4522821576763486E-2</v>
      </c>
      <c r="Y10" s="38">
        <v>2.9045643153526972E-2</v>
      </c>
      <c r="Z10" s="38">
        <v>0.14315352697095435</v>
      </c>
      <c r="AA10" s="39">
        <v>33.61825726141079</v>
      </c>
      <c r="AB10" s="36">
        <f t="shared" si="5"/>
        <v>0.79668049792531115</v>
      </c>
    </row>
    <row r="11" spans="1:28" s="40" customFormat="1" x14ac:dyDescent="0.25">
      <c r="A11" s="35"/>
      <c r="B11" s="35"/>
      <c r="C11" s="35"/>
      <c r="D11" s="35">
        <v>8</v>
      </c>
      <c r="E11" s="35">
        <v>439</v>
      </c>
      <c r="F11" s="35">
        <v>175</v>
      </c>
      <c r="G11" s="35">
        <v>5</v>
      </c>
      <c r="H11" s="35">
        <v>233</v>
      </c>
      <c r="I11" s="35">
        <v>21</v>
      </c>
      <c r="J11" s="35">
        <v>434</v>
      </c>
      <c r="K11" s="35">
        <v>5</v>
      </c>
      <c r="L11" s="35">
        <f t="shared" si="0"/>
        <v>439</v>
      </c>
      <c r="M11" s="35">
        <v>0</v>
      </c>
      <c r="N11" s="36">
        <f t="shared" si="1"/>
        <v>4.7835990888382689E-2</v>
      </c>
      <c r="O11" s="36">
        <f t="shared" si="2"/>
        <v>0.53075170842824604</v>
      </c>
      <c r="P11" s="36">
        <f t="shared" si="3"/>
        <v>0.39863325740318906</v>
      </c>
      <c r="Q11" s="36">
        <f t="shared" si="4"/>
        <v>1.1389521640091117E-2</v>
      </c>
      <c r="R11" s="37">
        <v>383</v>
      </c>
      <c r="S11" s="37">
        <v>3</v>
      </c>
      <c r="T11" s="37">
        <v>4</v>
      </c>
      <c r="U11" s="37">
        <v>92</v>
      </c>
      <c r="V11" s="37">
        <v>482</v>
      </c>
      <c r="W11" s="38">
        <v>0.79460580912863066</v>
      </c>
      <c r="X11" s="38">
        <v>6.2240663900414933E-3</v>
      </c>
      <c r="Y11" s="38">
        <v>8.2987551867219917E-3</v>
      </c>
      <c r="Z11" s="38">
        <v>0.1908713692946058</v>
      </c>
      <c r="AA11" s="39">
        <v>33.53526970954357</v>
      </c>
      <c r="AB11" s="36">
        <f t="shared" si="5"/>
        <v>0.91078838174273857</v>
      </c>
    </row>
    <row r="12" spans="1:28" s="40" customFormat="1" x14ac:dyDescent="0.25">
      <c r="A12" s="35"/>
      <c r="B12" s="35"/>
      <c r="C12" s="35"/>
      <c r="D12" s="35">
        <v>9</v>
      </c>
      <c r="E12" s="35">
        <v>436</v>
      </c>
      <c r="F12" s="35">
        <v>142</v>
      </c>
      <c r="G12" s="35">
        <v>4</v>
      </c>
      <c r="H12" s="35">
        <v>270</v>
      </c>
      <c r="I12" s="35">
        <v>14</v>
      </c>
      <c r="J12" s="35">
        <v>430</v>
      </c>
      <c r="K12" s="35">
        <v>6</v>
      </c>
      <c r="L12" s="35">
        <f t="shared" si="0"/>
        <v>436</v>
      </c>
      <c r="M12" s="35">
        <v>0</v>
      </c>
      <c r="N12" s="36">
        <f t="shared" si="1"/>
        <v>3.2110091743119268E-2</v>
      </c>
      <c r="O12" s="36">
        <f t="shared" si="2"/>
        <v>0.61926605504587151</v>
      </c>
      <c r="P12" s="36">
        <f t="shared" si="3"/>
        <v>0.3256880733944954</v>
      </c>
      <c r="Q12" s="36">
        <f t="shared" si="4"/>
        <v>9.1743119266055051E-3</v>
      </c>
      <c r="R12" s="37">
        <v>472</v>
      </c>
      <c r="S12" s="37">
        <v>1</v>
      </c>
      <c r="T12" s="37">
        <v>0</v>
      </c>
      <c r="U12" s="37">
        <v>9</v>
      </c>
      <c r="V12" s="37">
        <v>482</v>
      </c>
      <c r="W12" s="38">
        <v>0.97925311203319498</v>
      </c>
      <c r="X12" s="38">
        <v>2.0746887966804979E-3</v>
      </c>
      <c r="Y12" s="38">
        <v>0</v>
      </c>
      <c r="Z12" s="38">
        <v>1.8672199170124481E-2</v>
      </c>
      <c r="AA12" s="39">
        <v>31.614107883817429</v>
      </c>
      <c r="AB12" s="36">
        <f t="shared" si="5"/>
        <v>0.9045643153526971</v>
      </c>
    </row>
    <row r="13" spans="1:28" s="40" customFormat="1" x14ac:dyDescent="0.25">
      <c r="A13" s="35"/>
      <c r="B13" s="35"/>
      <c r="C13" s="35"/>
      <c r="D13" s="35">
        <v>10</v>
      </c>
      <c r="E13" s="35">
        <v>451</v>
      </c>
      <c r="F13" s="35">
        <v>154</v>
      </c>
      <c r="G13" s="35">
        <v>7</v>
      </c>
      <c r="H13" s="35">
        <v>257</v>
      </c>
      <c r="I13" s="35">
        <v>29</v>
      </c>
      <c r="J13" s="35">
        <v>447</v>
      </c>
      <c r="K13" s="35">
        <v>4</v>
      </c>
      <c r="L13" s="35">
        <f t="shared" si="0"/>
        <v>451</v>
      </c>
      <c r="M13" s="35">
        <v>0</v>
      </c>
      <c r="N13" s="36">
        <f t="shared" si="1"/>
        <v>6.4301552106430154E-2</v>
      </c>
      <c r="O13" s="36">
        <f t="shared" si="2"/>
        <v>0.56984478935698446</v>
      </c>
      <c r="P13" s="36">
        <f t="shared" si="3"/>
        <v>0.34146341463414637</v>
      </c>
      <c r="Q13" s="36">
        <f t="shared" si="4"/>
        <v>1.5521064301552107E-2</v>
      </c>
      <c r="R13" s="37">
        <v>434</v>
      </c>
      <c r="S13" s="37">
        <v>2</v>
      </c>
      <c r="T13" s="37">
        <v>10</v>
      </c>
      <c r="U13" s="37">
        <v>44</v>
      </c>
      <c r="V13" s="37">
        <v>490</v>
      </c>
      <c r="W13" s="38">
        <v>0.88571428571428568</v>
      </c>
      <c r="X13" s="38">
        <v>4.0816326530612249E-3</v>
      </c>
      <c r="Y13" s="38">
        <v>2.0408163265306121E-2</v>
      </c>
      <c r="Z13" s="38">
        <v>8.9795918367346933E-2</v>
      </c>
      <c r="AA13" s="39">
        <v>33.916326530612245</v>
      </c>
      <c r="AB13" s="36">
        <f t="shared" si="5"/>
        <v>0.92040816326530617</v>
      </c>
    </row>
    <row r="14" spans="1:28" s="40" customFormat="1" x14ac:dyDescent="0.25">
      <c r="A14" s="35">
        <v>3</v>
      </c>
      <c r="B14" s="35" t="s">
        <v>111</v>
      </c>
      <c r="C14" s="35" t="s">
        <v>112</v>
      </c>
      <c r="D14" s="35">
        <v>1</v>
      </c>
      <c r="E14" s="35">
        <v>28</v>
      </c>
      <c r="F14" s="35">
        <v>22</v>
      </c>
      <c r="G14" s="35">
        <v>0</v>
      </c>
      <c r="H14" s="35">
        <v>6</v>
      </c>
      <c r="I14" s="35">
        <v>0</v>
      </c>
      <c r="J14" s="35">
        <v>28</v>
      </c>
      <c r="K14" s="35">
        <v>0</v>
      </c>
      <c r="L14" s="35">
        <f t="shared" si="0"/>
        <v>28</v>
      </c>
      <c r="M14" s="35">
        <v>0</v>
      </c>
      <c r="N14" s="36">
        <f t="shared" si="1"/>
        <v>0</v>
      </c>
      <c r="O14" s="36">
        <f t="shared" si="2"/>
        <v>0.21428571428571427</v>
      </c>
      <c r="P14" s="36">
        <f t="shared" si="3"/>
        <v>0.7857142857142857</v>
      </c>
      <c r="Q14" s="36">
        <f t="shared" si="4"/>
        <v>0</v>
      </c>
      <c r="R14" s="37">
        <v>28</v>
      </c>
      <c r="S14" s="37">
        <v>0</v>
      </c>
      <c r="T14" s="37">
        <v>1</v>
      </c>
      <c r="U14" s="37">
        <v>0</v>
      </c>
      <c r="V14" s="37">
        <v>29</v>
      </c>
      <c r="W14" s="38">
        <v>0.96551724137931039</v>
      </c>
      <c r="X14" s="38">
        <v>0</v>
      </c>
      <c r="Y14" s="38">
        <v>3.4482758620689655E-2</v>
      </c>
      <c r="Z14" s="38">
        <v>0</v>
      </c>
      <c r="AA14" s="39">
        <v>35.488095238095241</v>
      </c>
      <c r="AB14" s="36">
        <f t="shared" si="5"/>
        <v>0.96551724137931039</v>
      </c>
    </row>
    <row r="15" spans="1:28" s="40" customFormat="1" x14ac:dyDescent="0.25">
      <c r="A15" s="35">
        <v>4</v>
      </c>
      <c r="B15" s="35" t="s">
        <v>113</v>
      </c>
      <c r="C15" s="35" t="s">
        <v>114</v>
      </c>
      <c r="D15" s="35">
        <v>1</v>
      </c>
      <c r="E15" s="35">
        <v>291</v>
      </c>
      <c r="F15" s="35">
        <v>229</v>
      </c>
      <c r="G15" s="35">
        <v>1</v>
      </c>
      <c r="H15" s="35">
        <v>51</v>
      </c>
      <c r="I15" s="35">
        <v>10</v>
      </c>
      <c r="J15" s="35">
        <v>291</v>
      </c>
      <c r="K15" s="35">
        <v>0</v>
      </c>
      <c r="L15" s="35">
        <f t="shared" si="0"/>
        <v>291</v>
      </c>
      <c r="M15" s="35">
        <v>0</v>
      </c>
      <c r="N15" s="36">
        <f t="shared" si="1"/>
        <v>3.4364261168384883E-2</v>
      </c>
      <c r="O15" s="36">
        <f t="shared" si="2"/>
        <v>0.17525773195876287</v>
      </c>
      <c r="P15" s="36">
        <f t="shared" si="3"/>
        <v>0.78694158075601373</v>
      </c>
      <c r="Q15" s="36">
        <f t="shared" si="4"/>
        <v>3.4364261168384879E-3</v>
      </c>
      <c r="R15" s="37">
        <v>314</v>
      </c>
      <c r="S15" s="37">
        <v>2</v>
      </c>
      <c r="T15" s="37">
        <v>8</v>
      </c>
      <c r="U15" s="37">
        <v>4</v>
      </c>
      <c r="V15" s="37">
        <v>328</v>
      </c>
      <c r="W15" s="38">
        <v>0.95731707317073167</v>
      </c>
      <c r="X15" s="38">
        <v>6.0975609756097563E-3</v>
      </c>
      <c r="Y15" s="38">
        <v>2.4390243902439025E-2</v>
      </c>
      <c r="Z15" s="38">
        <v>1.2195121951219513E-2</v>
      </c>
      <c r="AA15" s="39">
        <v>38.027439024390247</v>
      </c>
      <c r="AB15" s="36">
        <f t="shared" si="5"/>
        <v>0.88719512195121952</v>
      </c>
    </row>
    <row r="16" spans="1:28" x14ac:dyDescent="0.25">
      <c r="A16" s="22">
        <v>5</v>
      </c>
      <c r="B16" s="22" t="s">
        <v>120</v>
      </c>
      <c r="C16" s="22" t="s">
        <v>121</v>
      </c>
      <c r="D16" s="22">
        <v>1</v>
      </c>
      <c r="E16" s="22">
        <v>378</v>
      </c>
      <c r="F16" s="22">
        <v>274</v>
      </c>
      <c r="G16" s="22">
        <v>6</v>
      </c>
      <c r="H16" s="22">
        <v>44</v>
      </c>
      <c r="I16" s="22">
        <v>45</v>
      </c>
      <c r="J16" s="22">
        <v>369</v>
      </c>
      <c r="K16" s="22">
        <v>9</v>
      </c>
      <c r="L16" s="22">
        <f t="shared" si="0"/>
        <v>378</v>
      </c>
      <c r="M16" s="22">
        <v>0</v>
      </c>
      <c r="N16" s="23">
        <f t="shared" si="1"/>
        <v>0.11904761904761904</v>
      </c>
      <c r="O16" s="23">
        <f t="shared" si="2"/>
        <v>0.1164021164021164</v>
      </c>
      <c r="P16" s="23">
        <f t="shared" si="3"/>
        <v>0.72486772486772488</v>
      </c>
      <c r="Q16" s="23">
        <f t="shared" si="4"/>
        <v>1.5873015873015872E-2</v>
      </c>
      <c r="R16" s="24">
        <v>424</v>
      </c>
      <c r="S16" s="24">
        <v>15</v>
      </c>
      <c r="T16" s="24">
        <v>11</v>
      </c>
      <c r="U16" s="24">
        <v>0</v>
      </c>
      <c r="V16" s="24">
        <v>450</v>
      </c>
      <c r="W16" s="25">
        <v>0.94222222222222218</v>
      </c>
      <c r="X16" s="25">
        <v>3.3333333333333333E-2</v>
      </c>
      <c r="Y16" s="25">
        <v>2.4444444444444446E-2</v>
      </c>
      <c r="Z16" s="25">
        <v>0</v>
      </c>
      <c r="AA16" s="26">
        <v>64.313333333333333</v>
      </c>
      <c r="AB16" s="23">
        <f t="shared" si="5"/>
        <v>0.84</v>
      </c>
    </row>
    <row r="17" spans="1:28" x14ac:dyDescent="0.25">
      <c r="A17" s="22"/>
      <c r="B17" s="22"/>
      <c r="C17" s="22"/>
      <c r="D17" s="22">
        <v>2</v>
      </c>
      <c r="E17" s="22">
        <v>354</v>
      </c>
      <c r="F17" s="22">
        <v>223</v>
      </c>
      <c r="G17" s="22">
        <v>5</v>
      </c>
      <c r="H17" s="22">
        <v>88</v>
      </c>
      <c r="I17" s="22">
        <v>33</v>
      </c>
      <c r="J17" s="22">
        <v>349</v>
      </c>
      <c r="K17" s="22">
        <v>5</v>
      </c>
      <c r="L17" s="22">
        <f t="shared" si="0"/>
        <v>354</v>
      </c>
      <c r="M17" s="22">
        <v>0</v>
      </c>
      <c r="N17" s="23">
        <f t="shared" si="1"/>
        <v>9.3220338983050849E-2</v>
      </c>
      <c r="O17" s="23">
        <f t="shared" si="2"/>
        <v>0.24858757062146894</v>
      </c>
      <c r="P17" s="23">
        <f t="shared" si="3"/>
        <v>0.62994350282485878</v>
      </c>
      <c r="Q17" s="23">
        <f t="shared" si="4"/>
        <v>1.4124293785310734E-2</v>
      </c>
      <c r="R17" s="24">
        <v>427</v>
      </c>
      <c r="S17" s="24">
        <v>17</v>
      </c>
      <c r="T17" s="24">
        <v>5</v>
      </c>
      <c r="U17" s="24">
        <v>1</v>
      </c>
      <c r="V17" s="24">
        <v>450</v>
      </c>
      <c r="W17" s="25">
        <v>0.94888888888888889</v>
      </c>
      <c r="X17" s="25">
        <v>3.7777777777777778E-2</v>
      </c>
      <c r="Y17" s="25">
        <v>1.1111111111111112E-2</v>
      </c>
      <c r="Z17" s="25">
        <v>2.2222222222222222E-3</v>
      </c>
      <c r="AA17" s="26">
        <v>50.426666666666669</v>
      </c>
      <c r="AB17" s="23">
        <f t="shared" si="5"/>
        <v>0.78666666666666663</v>
      </c>
    </row>
    <row r="18" spans="1:28" x14ac:dyDescent="0.25">
      <c r="A18" s="22"/>
      <c r="B18" s="22"/>
      <c r="C18" s="22"/>
      <c r="D18" s="22">
        <v>3</v>
      </c>
      <c r="E18" s="22">
        <v>511</v>
      </c>
      <c r="F18" s="22">
        <v>262</v>
      </c>
      <c r="G18" s="22">
        <v>12</v>
      </c>
      <c r="H18" s="22">
        <v>178</v>
      </c>
      <c r="I18" s="22">
        <v>58</v>
      </c>
      <c r="J18" s="22">
        <v>510</v>
      </c>
      <c r="K18" s="22">
        <v>1</v>
      </c>
      <c r="L18" s="22">
        <f t="shared" si="0"/>
        <v>511</v>
      </c>
      <c r="M18" s="22">
        <v>0</v>
      </c>
      <c r="N18" s="23">
        <f t="shared" si="1"/>
        <v>0.11350293542074363</v>
      </c>
      <c r="O18" s="23">
        <f t="shared" si="2"/>
        <v>0.34833659491193736</v>
      </c>
      <c r="P18" s="23">
        <f t="shared" si="3"/>
        <v>0.51272015655577297</v>
      </c>
      <c r="Q18" s="23">
        <f t="shared" si="4"/>
        <v>2.3483365949119372E-2</v>
      </c>
      <c r="R18" s="24">
        <v>687</v>
      </c>
      <c r="S18" s="24">
        <v>2</v>
      </c>
      <c r="T18" s="24">
        <v>4</v>
      </c>
      <c r="U18" s="24">
        <v>0</v>
      </c>
      <c r="V18" s="24">
        <v>693</v>
      </c>
      <c r="W18" s="25">
        <v>0.9913419913419913</v>
      </c>
      <c r="X18" s="25">
        <v>2.886002886002886E-3</v>
      </c>
      <c r="Y18" s="25">
        <v>5.772005772005772E-3</v>
      </c>
      <c r="Z18" s="25">
        <v>0</v>
      </c>
      <c r="AA18" s="26">
        <v>38.948051948051948</v>
      </c>
      <c r="AB18" s="23">
        <f t="shared" si="5"/>
        <v>0.73737373737373735</v>
      </c>
    </row>
    <row r="19" spans="1:28" x14ac:dyDescent="0.25">
      <c r="A19" s="22"/>
      <c r="B19" s="22"/>
      <c r="C19" s="22"/>
      <c r="D19" s="22">
        <v>4</v>
      </c>
      <c r="E19" s="22">
        <v>538</v>
      </c>
      <c r="F19" s="22">
        <v>251</v>
      </c>
      <c r="G19" s="22">
        <v>2</v>
      </c>
      <c r="H19" s="22">
        <v>231</v>
      </c>
      <c r="I19" s="22">
        <v>52</v>
      </c>
      <c r="J19" s="22">
        <v>536</v>
      </c>
      <c r="K19" s="22">
        <v>2</v>
      </c>
      <c r="L19" s="22">
        <f t="shared" si="0"/>
        <v>538</v>
      </c>
      <c r="M19" s="22">
        <v>0</v>
      </c>
      <c r="N19" s="23">
        <f t="shared" si="1"/>
        <v>9.6654275092936809E-2</v>
      </c>
      <c r="O19" s="23">
        <f t="shared" si="2"/>
        <v>0.42936802973977695</v>
      </c>
      <c r="P19" s="23">
        <f t="shared" si="3"/>
        <v>0.46654275092936803</v>
      </c>
      <c r="Q19" s="23">
        <f t="shared" si="4"/>
        <v>3.7174721189591076E-3</v>
      </c>
      <c r="R19" s="24">
        <v>682</v>
      </c>
      <c r="S19" s="24">
        <v>9</v>
      </c>
      <c r="T19" s="24">
        <v>3</v>
      </c>
      <c r="U19" s="24">
        <v>0</v>
      </c>
      <c r="V19" s="24">
        <v>694</v>
      </c>
      <c r="W19" s="25">
        <v>0.98270893371757928</v>
      </c>
      <c r="X19" s="25">
        <v>1.2968299711815562E-2</v>
      </c>
      <c r="Y19" s="25">
        <v>4.3227665706051877E-3</v>
      </c>
      <c r="Z19" s="25">
        <v>0</v>
      </c>
      <c r="AA19" s="26">
        <v>27.789625360230549</v>
      </c>
      <c r="AB19" s="23">
        <f t="shared" si="5"/>
        <v>0.77521613832853031</v>
      </c>
    </row>
    <row r="20" spans="1:28" x14ac:dyDescent="0.25">
      <c r="A20" s="22"/>
      <c r="B20" s="22"/>
      <c r="C20" s="22" t="s">
        <v>122</v>
      </c>
      <c r="D20" s="22">
        <v>1</v>
      </c>
      <c r="E20" s="22">
        <v>367</v>
      </c>
      <c r="F20" s="22">
        <v>277</v>
      </c>
      <c r="G20" s="22">
        <v>5</v>
      </c>
      <c r="H20" s="22">
        <v>44</v>
      </c>
      <c r="I20" s="22">
        <v>34</v>
      </c>
      <c r="J20" s="22">
        <v>360</v>
      </c>
      <c r="K20" s="22">
        <v>7</v>
      </c>
      <c r="L20" s="22">
        <f t="shared" si="0"/>
        <v>367</v>
      </c>
      <c r="M20" s="22">
        <v>0</v>
      </c>
      <c r="N20" s="23">
        <f t="shared" si="1"/>
        <v>9.264305177111716E-2</v>
      </c>
      <c r="O20" s="23">
        <f t="shared" si="2"/>
        <v>0.11989100817438691</v>
      </c>
      <c r="P20" s="23">
        <f t="shared" si="3"/>
        <v>0.75476839237057225</v>
      </c>
      <c r="Q20" s="23">
        <f t="shared" si="4"/>
        <v>1.3623978201634877E-2</v>
      </c>
      <c r="R20" s="24">
        <v>446</v>
      </c>
      <c r="S20" s="24">
        <v>2</v>
      </c>
      <c r="T20" s="24">
        <v>2</v>
      </c>
      <c r="U20" s="24">
        <v>0</v>
      </c>
      <c r="V20" s="24">
        <v>450</v>
      </c>
      <c r="W20" s="25">
        <v>0.99111111111111116</v>
      </c>
      <c r="X20" s="25">
        <v>4.4444444444444444E-3</v>
      </c>
      <c r="Y20" s="25">
        <v>4.4444444444444444E-3</v>
      </c>
      <c r="Z20" s="25">
        <v>0</v>
      </c>
      <c r="AA20" s="26">
        <v>65.268888888888895</v>
      </c>
      <c r="AB20" s="23">
        <f t="shared" si="5"/>
        <v>0.81555555555555559</v>
      </c>
    </row>
    <row r="21" spans="1:28" x14ac:dyDescent="0.25">
      <c r="A21" s="22"/>
      <c r="B21" s="22"/>
      <c r="C21" s="22"/>
      <c r="D21" s="22">
        <v>2</v>
      </c>
      <c r="E21" s="22">
        <v>378</v>
      </c>
      <c r="F21" s="22">
        <v>258</v>
      </c>
      <c r="G21" s="22">
        <v>5</v>
      </c>
      <c r="H21" s="22">
        <v>70</v>
      </c>
      <c r="I21" s="22">
        <v>40</v>
      </c>
      <c r="J21" s="22">
        <v>373</v>
      </c>
      <c r="K21" s="22">
        <v>5</v>
      </c>
      <c r="L21" s="22">
        <f t="shared" si="0"/>
        <v>378</v>
      </c>
      <c r="M21" s="22">
        <v>0</v>
      </c>
      <c r="N21" s="23">
        <f t="shared" si="1"/>
        <v>0.10582010582010581</v>
      </c>
      <c r="O21" s="23">
        <f t="shared" si="2"/>
        <v>0.18518518518518517</v>
      </c>
      <c r="P21" s="23">
        <f t="shared" si="3"/>
        <v>0.68253968253968256</v>
      </c>
      <c r="Q21" s="23">
        <f t="shared" si="4"/>
        <v>1.3227513227513227E-2</v>
      </c>
      <c r="R21" s="24">
        <v>445</v>
      </c>
      <c r="S21" s="24">
        <v>2</v>
      </c>
      <c r="T21" s="24">
        <v>3</v>
      </c>
      <c r="U21" s="24">
        <v>0</v>
      </c>
      <c r="V21" s="24">
        <v>450</v>
      </c>
      <c r="W21" s="25">
        <v>0.98888888888888893</v>
      </c>
      <c r="X21" s="25">
        <v>4.4444444444444444E-3</v>
      </c>
      <c r="Y21" s="25">
        <v>6.6666666666666671E-3</v>
      </c>
      <c r="Z21" s="25">
        <v>0</v>
      </c>
      <c r="AA21" s="26">
        <v>57.575555555555553</v>
      </c>
      <c r="AB21" s="23">
        <f t="shared" si="5"/>
        <v>0.84</v>
      </c>
    </row>
    <row r="22" spans="1:28" x14ac:dyDescent="0.25">
      <c r="A22" s="22"/>
      <c r="B22" s="22"/>
      <c r="C22" s="22"/>
      <c r="D22" s="22">
        <v>3</v>
      </c>
      <c r="E22" s="22">
        <v>459</v>
      </c>
      <c r="F22" s="22">
        <v>246</v>
      </c>
      <c r="G22" s="22">
        <v>5</v>
      </c>
      <c r="H22" s="22">
        <v>161</v>
      </c>
      <c r="I22" s="22">
        <v>45</v>
      </c>
      <c r="J22" s="22">
        <v>457</v>
      </c>
      <c r="K22" s="22">
        <v>2</v>
      </c>
      <c r="L22" s="22">
        <f t="shared" si="0"/>
        <v>459</v>
      </c>
      <c r="M22" s="22">
        <v>0</v>
      </c>
      <c r="N22" s="23">
        <f t="shared" si="1"/>
        <v>9.8039215686274508E-2</v>
      </c>
      <c r="O22" s="23">
        <f t="shared" si="2"/>
        <v>0.35076252723311546</v>
      </c>
      <c r="P22" s="23">
        <f t="shared" si="3"/>
        <v>0.53594771241830064</v>
      </c>
      <c r="Q22" s="23">
        <f t="shared" si="4"/>
        <v>1.0893246187363835E-2</v>
      </c>
      <c r="R22" s="24">
        <v>624</v>
      </c>
      <c r="S22" s="24">
        <v>0</v>
      </c>
      <c r="T22" s="24">
        <v>1</v>
      </c>
      <c r="U22" s="24">
        <v>0</v>
      </c>
      <c r="V22" s="24">
        <v>625</v>
      </c>
      <c r="W22" s="25">
        <v>0.99839999999999995</v>
      </c>
      <c r="X22" s="25">
        <v>0</v>
      </c>
      <c r="Y22" s="25">
        <v>1.6000000000000001E-3</v>
      </c>
      <c r="Z22" s="25">
        <v>0</v>
      </c>
      <c r="AA22" s="26">
        <v>41.627200000000002</v>
      </c>
      <c r="AB22" s="23">
        <f t="shared" si="5"/>
        <v>0.73440000000000005</v>
      </c>
    </row>
    <row r="23" spans="1:28" x14ac:dyDescent="0.25">
      <c r="A23" s="22"/>
      <c r="B23" s="22"/>
      <c r="C23" s="22"/>
      <c r="D23" s="22">
        <v>4</v>
      </c>
      <c r="E23" s="22">
        <v>481</v>
      </c>
      <c r="F23" s="22">
        <v>250</v>
      </c>
      <c r="G23" s="22">
        <v>2</v>
      </c>
      <c r="H23" s="22">
        <v>175</v>
      </c>
      <c r="I23" s="22">
        <v>52</v>
      </c>
      <c r="J23" s="22">
        <v>479</v>
      </c>
      <c r="K23" s="22">
        <v>2</v>
      </c>
      <c r="L23" s="22">
        <f t="shared" si="0"/>
        <v>481</v>
      </c>
      <c r="M23" s="22">
        <v>0</v>
      </c>
      <c r="N23" s="23">
        <f t="shared" si="1"/>
        <v>0.10810810810810811</v>
      </c>
      <c r="O23" s="23">
        <f t="shared" si="2"/>
        <v>0.36382536382536385</v>
      </c>
      <c r="P23" s="23">
        <f t="shared" si="3"/>
        <v>0.51975051975051978</v>
      </c>
      <c r="Q23" s="23">
        <f t="shared" si="4"/>
        <v>4.1580041580041582E-3</v>
      </c>
      <c r="R23" s="24">
        <v>625</v>
      </c>
      <c r="S23" s="24">
        <v>0</v>
      </c>
      <c r="T23" s="24">
        <v>0</v>
      </c>
      <c r="U23" s="24">
        <v>0</v>
      </c>
      <c r="V23" s="24">
        <v>625</v>
      </c>
      <c r="W23" s="25">
        <v>1</v>
      </c>
      <c r="X23" s="25">
        <v>0</v>
      </c>
      <c r="Y23" s="25">
        <v>0</v>
      </c>
      <c r="Z23" s="25">
        <v>0</v>
      </c>
      <c r="AA23" s="26">
        <v>35.859200000000001</v>
      </c>
      <c r="AB23" s="23">
        <f t="shared" si="5"/>
        <v>0.76959999999999995</v>
      </c>
    </row>
    <row r="24" spans="1:28" x14ac:dyDescent="0.25">
      <c r="A24" s="22"/>
      <c r="B24" s="22"/>
      <c r="C24" s="22"/>
      <c r="D24" s="22">
        <v>5</v>
      </c>
      <c r="E24" s="22">
        <v>500</v>
      </c>
      <c r="F24" s="22">
        <v>241</v>
      </c>
      <c r="G24" s="22">
        <v>2</v>
      </c>
      <c r="H24" s="22">
        <v>204</v>
      </c>
      <c r="I24" s="22">
        <v>53</v>
      </c>
      <c r="J24" s="22">
        <v>500</v>
      </c>
      <c r="K24" s="22">
        <v>0</v>
      </c>
      <c r="L24" s="22">
        <f t="shared" si="0"/>
        <v>500</v>
      </c>
      <c r="M24" s="22">
        <v>0</v>
      </c>
      <c r="N24" s="23">
        <f t="shared" si="1"/>
        <v>0.106</v>
      </c>
      <c r="O24" s="23">
        <f t="shared" si="2"/>
        <v>0.40799999999999997</v>
      </c>
      <c r="P24" s="23">
        <f t="shared" si="3"/>
        <v>0.48199999999999998</v>
      </c>
      <c r="Q24" s="23">
        <f t="shared" si="4"/>
        <v>4.0000000000000001E-3</v>
      </c>
      <c r="R24" s="24">
        <v>626</v>
      </c>
      <c r="S24" s="24">
        <v>0</v>
      </c>
      <c r="T24" s="24">
        <v>0</v>
      </c>
      <c r="U24" s="24">
        <v>0</v>
      </c>
      <c r="V24" s="24">
        <v>626</v>
      </c>
      <c r="W24" s="25">
        <v>1</v>
      </c>
      <c r="X24" s="25">
        <v>0</v>
      </c>
      <c r="Y24" s="25">
        <v>0</v>
      </c>
      <c r="Z24" s="25">
        <v>0</v>
      </c>
      <c r="AA24" s="26">
        <v>26.354632587859424</v>
      </c>
      <c r="AB24" s="23">
        <f t="shared" si="5"/>
        <v>0.79872204472843455</v>
      </c>
    </row>
    <row r="25" spans="1:28" x14ac:dyDescent="0.25">
      <c r="A25" s="22">
        <v>6</v>
      </c>
      <c r="B25" s="22" t="s">
        <v>123</v>
      </c>
      <c r="C25" s="22" t="s">
        <v>124</v>
      </c>
      <c r="D25" s="22">
        <v>1</v>
      </c>
      <c r="E25" s="22">
        <v>357</v>
      </c>
      <c r="F25" s="22">
        <v>208</v>
      </c>
      <c r="G25" s="22">
        <v>1</v>
      </c>
      <c r="H25" s="22">
        <v>92</v>
      </c>
      <c r="I25" s="22">
        <v>52</v>
      </c>
      <c r="J25" s="22">
        <v>353</v>
      </c>
      <c r="K25" s="22">
        <v>4</v>
      </c>
      <c r="L25" s="22">
        <f t="shared" si="0"/>
        <v>357</v>
      </c>
      <c r="M25" s="22">
        <v>0</v>
      </c>
      <c r="N25" s="23">
        <f t="shared" si="1"/>
        <v>0.14565826330532214</v>
      </c>
      <c r="O25" s="23">
        <f t="shared" si="2"/>
        <v>0.25770308123249297</v>
      </c>
      <c r="P25" s="23">
        <f t="shared" si="3"/>
        <v>0.58263305322128855</v>
      </c>
      <c r="Q25" s="23">
        <f t="shared" si="4"/>
        <v>2.8011204481792717E-3</v>
      </c>
      <c r="R25" s="24">
        <v>440</v>
      </c>
      <c r="S25" s="24">
        <v>1</v>
      </c>
      <c r="T25" s="24">
        <v>7</v>
      </c>
      <c r="U25" s="24">
        <v>2</v>
      </c>
      <c r="V25" s="24">
        <v>450</v>
      </c>
      <c r="W25" s="25">
        <v>0.97777777777777775</v>
      </c>
      <c r="X25" s="25">
        <v>2.2222222222222222E-3</v>
      </c>
      <c r="Y25" s="25">
        <v>1.5555555555555555E-2</v>
      </c>
      <c r="Z25" s="25">
        <v>4.4444444444444444E-3</v>
      </c>
      <c r="AA25" s="26">
        <v>54.02</v>
      </c>
      <c r="AB25" s="23">
        <f t="shared" si="5"/>
        <v>0.79333333333333333</v>
      </c>
    </row>
    <row r="26" spans="1:28" x14ac:dyDescent="0.25">
      <c r="A26" s="22"/>
      <c r="B26" s="22"/>
      <c r="C26" s="22"/>
      <c r="D26" s="22">
        <v>2</v>
      </c>
      <c r="E26" s="22">
        <v>341</v>
      </c>
      <c r="F26" s="22">
        <v>137</v>
      </c>
      <c r="G26" s="22">
        <v>2</v>
      </c>
      <c r="H26" s="22">
        <v>151</v>
      </c>
      <c r="I26" s="22">
        <v>49</v>
      </c>
      <c r="J26" s="22">
        <v>339</v>
      </c>
      <c r="K26" s="22">
        <v>2</v>
      </c>
      <c r="L26" s="22">
        <f t="shared" si="0"/>
        <v>341</v>
      </c>
      <c r="M26" s="22">
        <v>0</v>
      </c>
      <c r="N26" s="23">
        <f t="shared" si="1"/>
        <v>0.14369501466275661</v>
      </c>
      <c r="O26" s="23">
        <f t="shared" si="2"/>
        <v>0.44281524926686217</v>
      </c>
      <c r="P26" s="23">
        <f t="shared" si="3"/>
        <v>0.40175953079178883</v>
      </c>
      <c r="Q26" s="23">
        <f t="shared" si="4"/>
        <v>5.8651026392961877E-3</v>
      </c>
      <c r="R26" s="24">
        <v>467</v>
      </c>
      <c r="S26" s="24">
        <v>0</v>
      </c>
      <c r="T26" s="24">
        <v>3</v>
      </c>
      <c r="U26" s="24">
        <v>0</v>
      </c>
      <c r="V26" s="24">
        <v>470</v>
      </c>
      <c r="W26" s="25">
        <v>0.99361702127659579</v>
      </c>
      <c r="X26" s="25">
        <v>0</v>
      </c>
      <c r="Y26" s="25">
        <v>6.382978723404255E-3</v>
      </c>
      <c r="Z26" s="25">
        <v>0</v>
      </c>
      <c r="AA26" s="26">
        <v>27.23191489361702</v>
      </c>
      <c r="AB26" s="23">
        <f t="shared" si="5"/>
        <v>0.72553191489361701</v>
      </c>
    </row>
    <row r="27" spans="1:28" x14ac:dyDescent="0.25">
      <c r="A27" s="22">
        <v>7</v>
      </c>
      <c r="B27" s="22" t="s">
        <v>125</v>
      </c>
      <c r="C27" s="22" t="s">
        <v>126</v>
      </c>
      <c r="D27" s="22">
        <v>1</v>
      </c>
      <c r="E27" s="22">
        <v>314</v>
      </c>
      <c r="F27" s="22">
        <v>231</v>
      </c>
      <c r="G27" s="22">
        <v>8</v>
      </c>
      <c r="H27" s="22">
        <v>52</v>
      </c>
      <c r="I27" s="22">
        <v>19</v>
      </c>
      <c r="J27" s="22">
        <v>310</v>
      </c>
      <c r="K27" s="22">
        <v>4</v>
      </c>
      <c r="L27" s="22">
        <f t="shared" si="0"/>
        <v>314</v>
      </c>
      <c r="M27" s="22">
        <v>0</v>
      </c>
      <c r="N27" s="23">
        <f t="shared" si="1"/>
        <v>6.0509554140127389E-2</v>
      </c>
      <c r="O27" s="23">
        <f t="shared" si="2"/>
        <v>0.16560509554140126</v>
      </c>
      <c r="P27" s="23">
        <f t="shared" si="3"/>
        <v>0.73566878980891715</v>
      </c>
      <c r="Q27" s="23">
        <f t="shared" si="4"/>
        <v>2.5477707006369428E-2</v>
      </c>
      <c r="R27" s="24">
        <v>444</v>
      </c>
      <c r="S27" s="24">
        <v>0</v>
      </c>
      <c r="T27" s="24">
        <v>4</v>
      </c>
      <c r="U27" s="24">
        <v>2</v>
      </c>
      <c r="V27" s="24">
        <v>450</v>
      </c>
      <c r="W27" s="25">
        <v>0.98666666666666669</v>
      </c>
      <c r="X27" s="25">
        <v>0</v>
      </c>
      <c r="Y27" s="25">
        <v>8.8888888888888889E-3</v>
      </c>
      <c r="Z27" s="25">
        <v>4.4444444444444444E-3</v>
      </c>
      <c r="AA27" s="26">
        <v>67.637777777777771</v>
      </c>
      <c r="AB27" s="23">
        <f t="shared" si="5"/>
        <v>0.69777777777777783</v>
      </c>
    </row>
    <row r="28" spans="1:28" x14ac:dyDescent="0.25">
      <c r="A28" s="22"/>
      <c r="B28" s="22"/>
      <c r="C28" s="22"/>
      <c r="D28" s="22">
        <v>2</v>
      </c>
      <c r="E28" s="22">
        <v>351</v>
      </c>
      <c r="F28" s="22">
        <v>203</v>
      </c>
      <c r="G28" s="22">
        <v>7</v>
      </c>
      <c r="H28" s="22">
        <v>97</v>
      </c>
      <c r="I28" s="22">
        <v>38</v>
      </c>
      <c r="J28" s="22">
        <v>345</v>
      </c>
      <c r="K28" s="22">
        <v>6</v>
      </c>
      <c r="L28" s="22">
        <f t="shared" si="0"/>
        <v>351</v>
      </c>
      <c r="M28" s="22">
        <v>0</v>
      </c>
      <c r="N28" s="23">
        <f t="shared" si="1"/>
        <v>0.10826210826210826</v>
      </c>
      <c r="O28" s="23">
        <f t="shared" si="2"/>
        <v>0.27635327635327633</v>
      </c>
      <c r="P28" s="23">
        <f t="shared" si="3"/>
        <v>0.57834757834757833</v>
      </c>
      <c r="Q28" s="23">
        <f t="shared" si="4"/>
        <v>1.9943019943019943E-2</v>
      </c>
      <c r="R28" s="24">
        <v>447</v>
      </c>
      <c r="S28" s="24">
        <v>0</v>
      </c>
      <c r="T28" s="24">
        <v>1</v>
      </c>
      <c r="U28" s="24">
        <v>2</v>
      </c>
      <c r="V28" s="24">
        <v>450</v>
      </c>
      <c r="W28" s="25">
        <v>0.99333333333333329</v>
      </c>
      <c r="X28" s="25">
        <v>0</v>
      </c>
      <c r="Y28" s="25">
        <v>2.2222222222222222E-3</v>
      </c>
      <c r="Z28" s="25">
        <v>4.4444444444444444E-3</v>
      </c>
      <c r="AA28" s="26">
        <v>54.457777777777778</v>
      </c>
      <c r="AB28" s="23">
        <f t="shared" si="5"/>
        <v>0.78</v>
      </c>
    </row>
    <row r="29" spans="1:28" x14ac:dyDescent="0.25">
      <c r="A29" s="22"/>
      <c r="B29" s="22"/>
      <c r="C29" s="22"/>
      <c r="D29" s="22">
        <v>3</v>
      </c>
      <c r="E29" s="22">
        <v>466</v>
      </c>
      <c r="F29" s="22">
        <v>205</v>
      </c>
      <c r="G29" s="22">
        <v>7</v>
      </c>
      <c r="H29" s="22">
        <v>191</v>
      </c>
      <c r="I29" s="22">
        <v>60</v>
      </c>
      <c r="J29" s="22">
        <v>463</v>
      </c>
      <c r="K29" s="22">
        <v>3</v>
      </c>
      <c r="L29" s="22">
        <f t="shared" si="0"/>
        <v>466</v>
      </c>
      <c r="M29" s="22">
        <v>0</v>
      </c>
      <c r="N29" s="23">
        <f t="shared" si="1"/>
        <v>0.12875536480686695</v>
      </c>
      <c r="O29" s="23">
        <f t="shared" si="2"/>
        <v>0.40987124463519314</v>
      </c>
      <c r="P29" s="23">
        <f t="shared" si="3"/>
        <v>0.43991416309012876</v>
      </c>
      <c r="Q29" s="23">
        <f t="shared" si="4"/>
        <v>1.5021459227467811E-2</v>
      </c>
      <c r="R29" s="24">
        <v>682</v>
      </c>
      <c r="S29" s="24">
        <v>0</v>
      </c>
      <c r="T29" s="24">
        <v>0</v>
      </c>
      <c r="U29" s="24">
        <v>0</v>
      </c>
      <c r="V29" s="24">
        <v>682</v>
      </c>
      <c r="W29" s="25">
        <v>1</v>
      </c>
      <c r="X29" s="25">
        <v>0</v>
      </c>
      <c r="Y29" s="25">
        <v>0</v>
      </c>
      <c r="Z29" s="25">
        <v>0</v>
      </c>
      <c r="AA29" s="26">
        <v>41.004398826979475</v>
      </c>
      <c r="AB29" s="23">
        <f t="shared" si="5"/>
        <v>0.68328445747800581</v>
      </c>
    </row>
    <row r="30" spans="1:28" x14ac:dyDescent="0.25">
      <c r="A30" s="22"/>
      <c r="B30" s="22"/>
      <c r="C30" s="22"/>
      <c r="D30" s="22">
        <v>4</v>
      </c>
      <c r="E30" s="22">
        <v>508</v>
      </c>
      <c r="F30" s="22">
        <v>217</v>
      </c>
      <c r="G30" s="22">
        <v>4</v>
      </c>
      <c r="H30" s="22">
        <v>224</v>
      </c>
      <c r="I30" s="22">
        <v>61</v>
      </c>
      <c r="J30" s="22">
        <v>506</v>
      </c>
      <c r="K30" s="22">
        <v>2</v>
      </c>
      <c r="L30" s="22">
        <f t="shared" si="0"/>
        <v>508</v>
      </c>
      <c r="M30" s="22">
        <v>0</v>
      </c>
      <c r="N30" s="23">
        <f t="shared" si="1"/>
        <v>0.12007874015748031</v>
      </c>
      <c r="O30" s="23">
        <f t="shared" si="2"/>
        <v>0.44094488188976377</v>
      </c>
      <c r="P30" s="23">
        <f t="shared" si="3"/>
        <v>0.42716535433070868</v>
      </c>
      <c r="Q30" s="23">
        <f t="shared" si="4"/>
        <v>7.874015748031496E-3</v>
      </c>
      <c r="R30" s="24">
        <v>682</v>
      </c>
      <c r="S30" s="24">
        <v>0</v>
      </c>
      <c r="T30" s="24">
        <v>0</v>
      </c>
      <c r="U30" s="24">
        <v>1</v>
      </c>
      <c r="V30" s="24">
        <v>683</v>
      </c>
      <c r="W30" s="25">
        <v>0.99853587115666176</v>
      </c>
      <c r="X30" s="25">
        <v>0</v>
      </c>
      <c r="Y30" s="25">
        <v>0</v>
      </c>
      <c r="Z30" s="25">
        <v>1.4641288433382138E-3</v>
      </c>
      <c r="AA30" s="26">
        <v>25.286969253294291</v>
      </c>
      <c r="AB30" s="23">
        <f t="shared" si="5"/>
        <v>0.74377745241581261</v>
      </c>
    </row>
    <row r="31" spans="1:28" x14ac:dyDescent="0.25">
      <c r="A31" s="22">
        <v>8</v>
      </c>
      <c r="B31" s="22" t="s">
        <v>127</v>
      </c>
      <c r="C31" s="22" t="s">
        <v>128</v>
      </c>
      <c r="D31" s="22">
        <v>1</v>
      </c>
      <c r="E31" s="22">
        <v>319</v>
      </c>
      <c r="F31" s="22">
        <v>225</v>
      </c>
      <c r="G31" s="22">
        <v>5</v>
      </c>
      <c r="H31" s="22">
        <v>53</v>
      </c>
      <c r="I31" s="22">
        <v>31</v>
      </c>
      <c r="J31" s="22">
        <v>314</v>
      </c>
      <c r="K31" s="22">
        <v>5</v>
      </c>
      <c r="L31" s="22">
        <f t="shared" si="0"/>
        <v>319</v>
      </c>
      <c r="M31" s="22">
        <v>0</v>
      </c>
      <c r="N31" s="23">
        <f t="shared" si="1"/>
        <v>9.7178683385579931E-2</v>
      </c>
      <c r="O31" s="23">
        <f t="shared" si="2"/>
        <v>0.16614420062695925</v>
      </c>
      <c r="P31" s="23">
        <f t="shared" si="3"/>
        <v>0.70532915360501569</v>
      </c>
      <c r="Q31" s="23">
        <f t="shared" si="4"/>
        <v>1.5673981191222569E-2</v>
      </c>
      <c r="R31" s="24">
        <v>395</v>
      </c>
      <c r="S31" s="24">
        <v>2</v>
      </c>
      <c r="T31" s="24">
        <v>2</v>
      </c>
      <c r="U31" s="24">
        <v>1</v>
      </c>
      <c r="V31" s="24">
        <v>400</v>
      </c>
      <c r="W31" s="25">
        <v>0.98750000000000004</v>
      </c>
      <c r="X31" s="25">
        <v>5.0000000000000001E-3</v>
      </c>
      <c r="Y31" s="25">
        <v>5.0000000000000001E-3</v>
      </c>
      <c r="Z31" s="25">
        <v>2.5000000000000001E-3</v>
      </c>
      <c r="AA31" s="26">
        <v>64.34</v>
      </c>
      <c r="AB31" s="23">
        <f t="shared" si="5"/>
        <v>0.79749999999999999</v>
      </c>
    </row>
    <row r="32" spans="1:28" x14ac:dyDescent="0.25">
      <c r="A32" s="22"/>
      <c r="B32" s="22"/>
      <c r="C32" s="22"/>
      <c r="D32" s="22">
        <v>2</v>
      </c>
      <c r="E32" s="22">
        <v>403</v>
      </c>
      <c r="F32" s="22">
        <v>240</v>
      </c>
      <c r="G32" s="22">
        <v>4</v>
      </c>
      <c r="H32" s="22">
        <v>120</v>
      </c>
      <c r="I32" s="22">
        <v>38</v>
      </c>
      <c r="J32" s="22">
        <v>402</v>
      </c>
      <c r="K32" s="22">
        <v>1</v>
      </c>
      <c r="L32" s="22">
        <f t="shared" si="0"/>
        <v>403</v>
      </c>
      <c r="M32" s="22">
        <v>0</v>
      </c>
      <c r="N32" s="23">
        <f t="shared" si="1"/>
        <v>9.4292803970223327E-2</v>
      </c>
      <c r="O32" s="23">
        <f t="shared" si="2"/>
        <v>0.29776674937965258</v>
      </c>
      <c r="P32" s="23">
        <f t="shared" si="3"/>
        <v>0.59553349875930517</v>
      </c>
      <c r="Q32" s="23">
        <f t="shared" si="4"/>
        <v>9.9255583126550868E-3</v>
      </c>
      <c r="R32" s="24">
        <v>514</v>
      </c>
      <c r="S32" s="24">
        <v>0</v>
      </c>
      <c r="T32" s="24">
        <v>0</v>
      </c>
      <c r="U32" s="24">
        <v>2</v>
      </c>
      <c r="V32" s="24">
        <v>516</v>
      </c>
      <c r="W32" s="25">
        <v>0.99612403100775193</v>
      </c>
      <c r="X32" s="25">
        <v>0</v>
      </c>
      <c r="Y32" s="25">
        <v>0</v>
      </c>
      <c r="Z32" s="25">
        <v>3.875968992248062E-3</v>
      </c>
      <c r="AA32" s="26">
        <v>48.680232558139537</v>
      </c>
      <c r="AB32" s="23">
        <f t="shared" si="5"/>
        <v>0.78100775193798455</v>
      </c>
    </row>
    <row r="33" spans="1:28" x14ac:dyDescent="0.25">
      <c r="A33" s="22"/>
      <c r="B33" s="22"/>
      <c r="C33" s="22"/>
      <c r="D33" s="22">
        <v>3</v>
      </c>
      <c r="E33" s="22">
        <v>378</v>
      </c>
      <c r="F33" s="22">
        <v>173</v>
      </c>
      <c r="G33" s="22">
        <v>6</v>
      </c>
      <c r="H33" s="22">
        <v>153</v>
      </c>
      <c r="I33" s="22">
        <v>44</v>
      </c>
      <c r="J33" s="22">
        <v>376</v>
      </c>
      <c r="K33" s="22">
        <v>2</v>
      </c>
      <c r="L33" s="22">
        <f t="shared" si="0"/>
        <v>378</v>
      </c>
      <c r="M33" s="22">
        <v>0</v>
      </c>
      <c r="N33" s="23">
        <f t="shared" si="1"/>
        <v>0.1164021164021164</v>
      </c>
      <c r="O33" s="23">
        <f t="shared" si="2"/>
        <v>0.40476190476190477</v>
      </c>
      <c r="P33" s="23">
        <f t="shared" si="3"/>
        <v>0.45767195767195767</v>
      </c>
      <c r="Q33" s="23">
        <f t="shared" si="4"/>
        <v>1.5873015873015872E-2</v>
      </c>
      <c r="R33" s="24">
        <v>514</v>
      </c>
      <c r="S33" s="24">
        <v>0</v>
      </c>
      <c r="T33" s="24">
        <v>2</v>
      </c>
      <c r="U33" s="24">
        <v>0</v>
      </c>
      <c r="V33" s="24">
        <v>516</v>
      </c>
      <c r="W33" s="25">
        <v>0.99612403100775193</v>
      </c>
      <c r="X33" s="25">
        <v>0</v>
      </c>
      <c r="Y33" s="25">
        <v>3.875968992248062E-3</v>
      </c>
      <c r="Z33" s="25">
        <v>0</v>
      </c>
      <c r="AA33" s="26">
        <v>31.713178294573645</v>
      </c>
      <c r="AB33" s="23">
        <f t="shared" si="5"/>
        <v>0.73255813953488369</v>
      </c>
    </row>
    <row r="34" spans="1:28" x14ac:dyDescent="0.25">
      <c r="A34" s="22"/>
      <c r="B34" s="22"/>
      <c r="C34" s="22"/>
      <c r="D34" s="22">
        <v>4</v>
      </c>
      <c r="E34" s="22">
        <v>402</v>
      </c>
      <c r="F34" s="22">
        <v>183</v>
      </c>
      <c r="G34" s="22">
        <v>6</v>
      </c>
      <c r="H34" s="22">
        <v>160</v>
      </c>
      <c r="I34" s="22">
        <v>49</v>
      </c>
      <c r="J34" s="22">
        <v>398</v>
      </c>
      <c r="K34" s="22">
        <v>4</v>
      </c>
      <c r="L34" s="22">
        <f t="shared" si="0"/>
        <v>402</v>
      </c>
      <c r="M34" s="22">
        <v>0</v>
      </c>
      <c r="N34" s="23">
        <f t="shared" si="1"/>
        <v>0.12189054726368159</v>
      </c>
      <c r="O34" s="23">
        <f t="shared" si="2"/>
        <v>0.39800995024875624</v>
      </c>
      <c r="P34" s="23">
        <f t="shared" si="3"/>
        <v>0.45522388059701491</v>
      </c>
      <c r="Q34" s="23">
        <f t="shared" si="4"/>
        <v>1.4925373134328358E-2</v>
      </c>
      <c r="R34" s="24">
        <v>516</v>
      </c>
      <c r="S34" s="24">
        <v>0</v>
      </c>
      <c r="T34" s="24">
        <v>1</v>
      </c>
      <c r="U34" s="24">
        <v>0</v>
      </c>
      <c r="V34" s="24">
        <v>517</v>
      </c>
      <c r="W34" s="25">
        <v>0.99806576402321079</v>
      </c>
      <c r="X34" s="25">
        <v>0</v>
      </c>
      <c r="Y34" s="25">
        <v>1.9342359767891683E-3</v>
      </c>
      <c r="Z34" s="25">
        <v>0</v>
      </c>
      <c r="AA34" s="26">
        <v>22.301740812379109</v>
      </c>
      <c r="AB34" s="23">
        <f t="shared" si="5"/>
        <v>0.77756286266924568</v>
      </c>
    </row>
    <row r="35" spans="1:28" x14ac:dyDescent="0.25">
      <c r="A35" s="22">
        <v>9</v>
      </c>
      <c r="B35" s="22" t="s">
        <v>129</v>
      </c>
      <c r="C35" s="22" t="s">
        <v>130</v>
      </c>
      <c r="D35" s="22">
        <v>1</v>
      </c>
      <c r="E35" s="22">
        <v>249</v>
      </c>
      <c r="F35" s="22">
        <v>69</v>
      </c>
      <c r="G35" s="22">
        <v>12</v>
      </c>
      <c r="H35" s="22">
        <v>8</v>
      </c>
      <c r="I35" s="22">
        <v>151</v>
      </c>
      <c r="J35" s="22">
        <v>240</v>
      </c>
      <c r="K35" s="22">
        <v>9</v>
      </c>
      <c r="L35" s="22">
        <f t="shared" si="0"/>
        <v>249</v>
      </c>
      <c r="M35" s="22">
        <v>0</v>
      </c>
      <c r="N35" s="23">
        <f t="shared" si="1"/>
        <v>0.60642570281124497</v>
      </c>
      <c r="O35" s="23">
        <f t="shared" si="2"/>
        <v>3.2128514056224897E-2</v>
      </c>
      <c r="P35" s="23">
        <f t="shared" si="3"/>
        <v>0.27710843373493976</v>
      </c>
      <c r="Q35" s="23">
        <f t="shared" si="4"/>
        <v>4.8192771084337352E-2</v>
      </c>
      <c r="R35" s="24">
        <v>91</v>
      </c>
      <c r="S35" s="24">
        <v>284</v>
      </c>
      <c r="T35" s="24">
        <v>75</v>
      </c>
      <c r="U35" s="24">
        <v>0</v>
      </c>
      <c r="V35" s="24">
        <v>450</v>
      </c>
      <c r="W35" s="25">
        <v>0.20222222222222222</v>
      </c>
      <c r="X35" s="25">
        <v>0.63111111111111107</v>
      </c>
      <c r="Y35" s="25">
        <v>0.16666666666666666</v>
      </c>
      <c r="Z35" s="25">
        <v>0</v>
      </c>
      <c r="AA35" s="26">
        <v>73.333333333333329</v>
      </c>
      <c r="AB35" s="23">
        <f t="shared" si="5"/>
        <v>0.55333333333333334</v>
      </c>
    </row>
    <row r="36" spans="1:28" x14ac:dyDescent="0.25">
      <c r="A36" s="22"/>
      <c r="B36" s="22"/>
      <c r="C36" s="22"/>
      <c r="D36" s="22">
        <v>2</v>
      </c>
      <c r="E36" s="22">
        <v>323</v>
      </c>
      <c r="F36" s="22">
        <v>71</v>
      </c>
      <c r="G36" s="22">
        <v>6</v>
      </c>
      <c r="H36" s="22">
        <v>21</v>
      </c>
      <c r="I36" s="22">
        <v>217</v>
      </c>
      <c r="J36" s="22">
        <v>315</v>
      </c>
      <c r="K36" s="22">
        <v>8</v>
      </c>
      <c r="L36" s="22">
        <f t="shared" si="0"/>
        <v>323</v>
      </c>
      <c r="M36" s="22">
        <v>0</v>
      </c>
      <c r="N36" s="23">
        <f t="shared" si="1"/>
        <v>0.67182662538699689</v>
      </c>
      <c r="O36" s="23">
        <f t="shared" si="2"/>
        <v>6.5015479876160992E-2</v>
      </c>
      <c r="P36" s="23">
        <f t="shared" si="3"/>
        <v>0.21981424148606812</v>
      </c>
      <c r="Q36" s="23">
        <f t="shared" si="4"/>
        <v>1.8575851393188854E-2</v>
      </c>
      <c r="R36" s="24">
        <v>94</v>
      </c>
      <c r="S36" s="24">
        <v>291</v>
      </c>
      <c r="T36" s="24">
        <v>62</v>
      </c>
      <c r="U36" s="24">
        <v>3</v>
      </c>
      <c r="V36" s="24">
        <v>450</v>
      </c>
      <c r="W36" s="25">
        <v>0.2088888888888889</v>
      </c>
      <c r="X36" s="25">
        <v>0.64666666666666661</v>
      </c>
      <c r="Y36" s="25">
        <v>0.13777777777777778</v>
      </c>
      <c r="Z36" s="25">
        <v>6.6666666666666671E-3</v>
      </c>
      <c r="AA36" s="26">
        <v>65.599999999999994</v>
      </c>
      <c r="AB36" s="23">
        <f t="shared" si="5"/>
        <v>0.71777777777777774</v>
      </c>
    </row>
    <row r="37" spans="1:28" x14ac:dyDescent="0.25">
      <c r="A37" s="22"/>
      <c r="B37" s="22"/>
      <c r="C37" s="22"/>
      <c r="D37" s="22">
        <v>3</v>
      </c>
      <c r="E37" s="22">
        <v>336</v>
      </c>
      <c r="F37" s="22">
        <v>93</v>
      </c>
      <c r="G37" s="22">
        <v>4</v>
      </c>
      <c r="H37" s="22">
        <v>27</v>
      </c>
      <c r="I37" s="22">
        <v>204</v>
      </c>
      <c r="J37" s="22">
        <v>328</v>
      </c>
      <c r="K37" s="22">
        <v>8</v>
      </c>
      <c r="L37" s="22">
        <f t="shared" si="0"/>
        <v>336</v>
      </c>
      <c r="M37" s="22">
        <v>0</v>
      </c>
      <c r="N37" s="23">
        <f t="shared" si="1"/>
        <v>0.6071428571428571</v>
      </c>
      <c r="O37" s="23">
        <f t="shared" si="2"/>
        <v>8.0357142857142863E-2</v>
      </c>
      <c r="P37" s="23">
        <f t="shared" si="3"/>
        <v>0.2767857142857143</v>
      </c>
      <c r="Q37" s="23">
        <f t="shared" si="4"/>
        <v>1.1904761904761904E-2</v>
      </c>
      <c r="R37" s="24">
        <v>145</v>
      </c>
      <c r="S37" s="24">
        <v>245</v>
      </c>
      <c r="T37" s="24">
        <v>58</v>
      </c>
      <c r="U37" s="24">
        <v>2</v>
      </c>
      <c r="V37" s="24">
        <v>450</v>
      </c>
      <c r="W37" s="25">
        <v>0.32222222222222224</v>
      </c>
      <c r="X37" s="25">
        <v>0.5444444444444444</v>
      </c>
      <c r="Y37" s="25">
        <v>0.12888888888888889</v>
      </c>
      <c r="Z37" s="25">
        <v>4.4444444444444444E-3</v>
      </c>
      <c r="AA37" s="26">
        <v>56.666666666666664</v>
      </c>
      <c r="AB37" s="23">
        <f t="shared" si="5"/>
        <v>0.7466666666666667</v>
      </c>
    </row>
    <row r="38" spans="1:28" x14ac:dyDescent="0.25">
      <c r="A38" s="22"/>
      <c r="B38" s="22"/>
      <c r="C38" s="22"/>
      <c r="D38" s="22">
        <v>4</v>
      </c>
      <c r="E38" s="22">
        <v>394</v>
      </c>
      <c r="F38" s="22">
        <v>81</v>
      </c>
      <c r="G38" s="22">
        <v>7</v>
      </c>
      <c r="H38" s="22">
        <v>52</v>
      </c>
      <c r="I38" s="22">
        <v>246</v>
      </c>
      <c r="J38" s="22">
        <v>386</v>
      </c>
      <c r="K38" s="22">
        <v>8</v>
      </c>
      <c r="L38" s="22">
        <f t="shared" si="0"/>
        <v>394</v>
      </c>
      <c r="M38" s="22">
        <v>0</v>
      </c>
      <c r="N38" s="23">
        <f t="shared" si="1"/>
        <v>0.62436548223350252</v>
      </c>
      <c r="O38" s="23">
        <f t="shared" si="2"/>
        <v>0.13197969543147209</v>
      </c>
      <c r="P38" s="23">
        <f t="shared" si="3"/>
        <v>0.20558375634517767</v>
      </c>
      <c r="Q38" s="23">
        <f t="shared" si="4"/>
        <v>1.7766497461928935E-2</v>
      </c>
      <c r="R38" s="24">
        <v>192</v>
      </c>
      <c r="S38" s="24">
        <v>325</v>
      </c>
      <c r="T38" s="24">
        <v>87</v>
      </c>
      <c r="U38" s="24">
        <v>6</v>
      </c>
      <c r="V38" s="24">
        <v>610</v>
      </c>
      <c r="W38" s="25">
        <v>0.31475409836065577</v>
      </c>
      <c r="X38" s="25">
        <v>0.53278688524590168</v>
      </c>
      <c r="Y38" s="25">
        <v>0.14262295081967213</v>
      </c>
      <c r="Z38" s="25">
        <v>9.8360655737704927E-3</v>
      </c>
      <c r="AA38" s="26">
        <v>46.14590163934426</v>
      </c>
      <c r="AB38" s="23">
        <f t="shared" si="5"/>
        <v>0.64590163934426226</v>
      </c>
    </row>
    <row r="39" spans="1:28" x14ac:dyDescent="0.25">
      <c r="A39" s="22"/>
      <c r="B39" s="22"/>
      <c r="C39" s="22"/>
      <c r="D39" s="22">
        <v>5</v>
      </c>
      <c r="E39" s="22">
        <v>377</v>
      </c>
      <c r="F39" s="22">
        <v>79</v>
      </c>
      <c r="G39" s="22">
        <v>5</v>
      </c>
      <c r="H39" s="22">
        <v>67</v>
      </c>
      <c r="I39" s="22">
        <v>225</v>
      </c>
      <c r="J39" s="22">
        <v>376</v>
      </c>
      <c r="K39" s="22">
        <v>1</v>
      </c>
      <c r="L39" s="22">
        <f t="shared" si="0"/>
        <v>377</v>
      </c>
      <c r="M39" s="22">
        <v>0</v>
      </c>
      <c r="N39" s="23">
        <f t="shared" si="1"/>
        <v>0.59681697612732099</v>
      </c>
      <c r="O39" s="23">
        <f t="shared" si="2"/>
        <v>0.17771883289124668</v>
      </c>
      <c r="P39" s="23">
        <f t="shared" si="3"/>
        <v>0.20954907161803712</v>
      </c>
      <c r="Q39" s="23">
        <f t="shared" si="4"/>
        <v>1.3262599469496022E-2</v>
      </c>
      <c r="R39" s="24">
        <v>224</v>
      </c>
      <c r="S39" s="24">
        <v>295</v>
      </c>
      <c r="T39" s="24">
        <v>88</v>
      </c>
      <c r="U39" s="24">
        <v>3</v>
      </c>
      <c r="V39" s="24">
        <v>610</v>
      </c>
      <c r="W39" s="25">
        <v>0.36721311475409835</v>
      </c>
      <c r="X39" s="25">
        <v>0.48360655737704916</v>
      </c>
      <c r="Y39" s="25">
        <v>0.14426229508196722</v>
      </c>
      <c r="Z39" s="25">
        <v>4.9180327868852463E-3</v>
      </c>
      <c r="AA39" s="26">
        <v>35.149180327868855</v>
      </c>
      <c r="AB39" s="23">
        <f t="shared" si="5"/>
        <v>0.61803278688524588</v>
      </c>
    </row>
    <row r="40" spans="1:28" x14ac:dyDescent="0.25">
      <c r="A40" s="22"/>
      <c r="B40" s="22"/>
      <c r="C40" s="22"/>
      <c r="D40" s="22">
        <v>6</v>
      </c>
      <c r="E40" s="22">
        <v>442</v>
      </c>
      <c r="F40" s="22">
        <v>100</v>
      </c>
      <c r="G40" s="22">
        <v>4</v>
      </c>
      <c r="H40" s="22">
        <v>105</v>
      </c>
      <c r="I40" s="22">
        <v>232</v>
      </c>
      <c r="J40" s="22">
        <v>441</v>
      </c>
      <c r="K40" s="22">
        <v>1</v>
      </c>
      <c r="L40" s="22">
        <f t="shared" si="0"/>
        <v>442</v>
      </c>
      <c r="M40" s="22">
        <v>0</v>
      </c>
      <c r="N40" s="23">
        <f t="shared" si="1"/>
        <v>0.52488687782805432</v>
      </c>
      <c r="O40" s="23">
        <f t="shared" si="2"/>
        <v>0.23755656108597284</v>
      </c>
      <c r="P40" s="23">
        <f t="shared" si="3"/>
        <v>0.22624434389140272</v>
      </c>
      <c r="Q40" s="23">
        <f t="shared" si="4"/>
        <v>9.0497737556561094E-3</v>
      </c>
      <c r="R40" s="24">
        <v>279</v>
      </c>
      <c r="S40" s="24">
        <v>218</v>
      </c>
      <c r="T40" s="24">
        <v>114</v>
      </c>
      <c r="U40" s="24">
        <v>1</v>
      </c>
      <c r="V40" s="24">
        <v>612</v>
      </c>
      <c r="W40" s="25">
        <v>0.45588235294117646</v>
      </c>
      <c r="X40" s="25">
        <v>0.3562091503267974</v>
      </c>
      <c r="Y40" s="25">
        <v>0.18627450980392157</v>
      </c>
      <c r="Z40" s="25">
        <v>1.6339869281045752E-3</v>
      </c>
      <c r="AA40" s="26">
        <v>24.284313725490197</v>
      </c>
      <c r="AB40" s="23">
        <f t="shared" si="5"/>
        <v>0.72222222222222221</v>
      </c>
    </row>
    <row r="41" spans="1:28" x14ac:dyDescent="0.25">
      <c r="A41" s="22">
        <v>10</v>
      </c>
      <c r="B41" s="22" t="s">
        <v>131</v>
      </c>
      <c r="C41" s="22" t="s">
        <v>132</v>
      </c>
      <c r="D41" s="22">
        <v>1</v>
      </c>
      <c r="E41" s="22">
        <v>338</v>
      </c>
      <c r="F41" s="22">
        <v>182</v>
      </c>
      <c r="G41" s="22">
        <v>3</v>
      </c>
      <c r="H41" s="22">
        <v>60</v>
      </c>
      <c r="I41" s="22">
        <v>86</v>
      </c>
      <c r="J41" s="22">
        <v>331</v>
      </c>
      <c r="K41" s="22">
        <v>7</v>
      </c>
      <c r="L41" s="22">
        <f t="shared" si="0"/>
        <v>338</v>
      </c>
      <c r="M41" s="22">
        <v>0</v>
      </c>
      <c r="N41" s="23">
        <f t="shared" si="1"/>
        <v>0.25443786982248523</v>
      </c>
      <c r="O41" s="23">
        <f t="shared" si="2"/>
        <v>0.17751479289940827</v>
      </c>
      <c r="P41" s="23">
        <f t="shared" si="3"/>
        <v>0.53846153846153844</v>
      </c>
      <c r="Q41" s="23">
        <f t="shared" si="4"/>
        <v>8.8757396449704144E-3</v>
      </c>
      <c r="R41" s="24">
        <v>299</v>
      </c>
      <c r="S41" s="24">
        <v>57</v>
      </c>
      <c r="T41" s="24">
        <v>93</v>
      </c>
      <c r="U41" s="24">
        <v>1</v>
      </c>
      <c r="V41" s="24">
        <v>450</v>
      </c>
      <c r="W41" s="25">
        <v>0.66444444444444439</v>
      </c>
      <c r="X41" s="25">
        <v>0.12666666666666668</v>
      </c>
      <c r="Y41" s="25">
        <v>0.20666666666666667</v>
      </c>
      <c r="Z41" s="25">
        <v>2.2222222222222222E-3</v>
      </c>
      <c r="AA41" s="26">
        <v>62.313333333333333</v>
      </c>
      <c r="AB41" s="23">
        <f t="shared" si="5"/>
        <v>0.75111111111111106</v>
      </c>
    </row>
    <row r="42" spans="1:28" x14ac:dyDescent="0.25">
      <c r="A42" s="22"/>
      <c r="B42" s="22"/>
      <c r="C42" s="22"/>
      <c r="D42" s="22">
        <v>2</v>
      </c>
      <c r="E42" s="22">
        <v>278</v>
      </c>
      <c r="F42" s="22">
        <v>107</v>
      </c>
      <c r="G42" s="22">
        <v>5</v>
      </c>
      <c r="H42" s="22">
        <v>63</v>
      </c>
      <c r="I42" s="22">
        <v>102</v>
      </c>
      <c r="J42" s="22">
        <v>277</v>
      </c>
      <c r="K42" s="22">
        <v>1</v>
      </c>
      <c r="L42" s="22">
        <f t="shared" si="0"/>
        <v>278</v>
      </c>
      <c r="M42" s="22">
        <v>0</v>
      </c>
      <c r="N42" s="23">
        <f t="shared" si="1"/>
        <v>0.36690647482014388</v>
      </c>
      <c r="O42" s="23">
        <f t="shared" si="2"/>
        <v>0.22661870503597123</v>
      </c>
      <c r="P42" s="23">
        <f t="shared" si="3"/>
        <v>0.38489208633093525</v>
      </c>
      <c r="Q42" s="23">
        <f t="shared" si="4"/>
        <v>1.7985611510791366E-2</v>
      </c>
      <c r="R42" s="24">
        <v>311</v>
      </c>
      <c r="S42" s="24">
        <v>55</v>
      </c>
      <c r="T42" s="24">
        <v>67</v>
      </c>
      <c r="U42" s="24">
        <v>17</v>
      </c>
      <c r="V42" s="24">
        <v>450</v>
      </c>
      <c r="W42" s="25">
        <v>0.69111111111111112</v>
      </c>
      <c r="X42" s="25">
        <v>0.12222222222222222</v>
      </c>
      <c r="Y42" s="25">
        <v>0.14888888888888888</v>
      </c>
      <c r="Z42" s="25">
        <v>3.7777777777777778E-2</v>
      </c>
      <c r="AA42" s="26">
        <v>53.346666666666664</v>
      </c>
      <c r="AB42" s="23">
        <f t="shared" si="5"/>
        <v>0.61777777777777776</v>
      </c>
    </row>
    <row r="43" spans="1:28" x14ac:dyDescent="0.25">
      <c r="A43" s="22"/>
      <c r="B43" s="22"/>
      <c r="C43" s="22"/>
      <c r="D43" s="22">
        <v>3</v>
      </c>
      <c r="E43" s="22">
        <v>287</v>
      </c>
      <c r="F43" s="22">
        <v>108</v>
      </c>
      <c r="G43" s="22">
        <v>6</v>
      </c>
      <c r="H43" s="22">
        <v>94</v>
      </c>
      <c r="I43" s="22">
        <v>69</v>
      </c>
      <c r="J43" s="22">
        <v>277</v>
      </c>
      <c r="K43" s="22">
        <v>10</v>
      </c>
      <c r="L43" s="22">
        <f t="shared" si="0"/>
        <v>287</v>
      </c>
      <c r="M43" s="22">
        <v>0</v>
      </c>
      <c r="N43" s="23">
        <f t="shared" si="1"/>
        <v>0.24041811846689895</v>
      </c>
      <c r="O43" s="23">
        <f t="shared" si="2"/>
        <v>0.32752613240418116</v>
      </c>
      <c r="P43" s="23">
        <f t="shared" si="3"/>
        <v>0.37630662020905925</v>
      </c>
      <c r="Q43" s="23">
        <f t="shared" si="4"/>
        <v>2.0905923344947737E-2</v>
      </c>
      <c r="R43" s="24">
        <v>459</v>
      </c>
      <c r="S43" s="24">
        <v>58</v>
      </c>
      <c r="T43" s="24">
        <v>70</v>
      </c>
      <c r="U43" s="24">
        <v>68</v>
      </c>
      <c r="V43" s="24">
        <v>655</v>
      </c>
      <c r="W43" s="25">
        <v>0.70076335877862594</v>
      </c>
      <c r="X43" s="25">
        <v>8.8549618320610687E-2</v>
      </c>
      <c r="Y43" s="25">
        <v>0.10687022900763359</v>
      </c>
      <c r="Z43" s="25">
        <v>0.10381679389312977</v>
      </c>
      <c r="AA43" s="26">
        <v>44.938931297709921</v>
      </c>
      <c r="AB43" s="23">
        <f t="shared" si="5"/>
        <v>0.43816793893129768</v>
      </c>
    </row>
    <row r="44" spans="1:28" x14ac:dyDescent="0.25">
      <c r="A44" s="22"/>
      <c r="B44" s="22"/>
      <c r="C44" s="22"/>
      <c r="D44" s="22">
        <v>4</v>
      </c>
      <c r="E44" s="22">
        <v>282</v>
      </c>
      <c r="F44" s="22">
        <v>84</v>
      </c>
      <c r="G44" s="22">
        <v>7</v>
      </c>
      <c r="H44" s="22">
        <v>108</v>
      </c>
      <c r="I44" s="22">
        <v>77</v>
      </c>
      <c r="J44" s="22">
        <v>276</v>
      </c>
      <c r="K44" s="22">
        <v>6</v>
      </c>
      <c r="L44" s="22">
        <f t="shared" si="0"/>
        <v>282</v>
      </c>
      <c r="M44" s="22">
        <v>0</v>
      </c>
      <c r="N44" s="23">
        <f t="shared" si="1"/>
        <v>0.27304964539007093</v>
      </c>
      <c r="O44" s="23">
        <f t="shared" si="2"/>
        <v>0.38297872340425532</v>
      </c>
      <c r="P44" s="23">
        <f t="shared" si="3"/>
        <v>0.2978723404255319</v>
      </c>
      <c r="Q44" s="23">
        <f t="shared" si="4"/>
        <v>2.4822695035460994E-2</v>
      </c>
      <c r="R44" s="24">
        <v>478</v>
      </c>
      <c r="S44" s="24">
        <v>64</v>
      </c>
      <c r="T44" s="24">
        <v>56</v>
      </c>
      <c r="U44" s="24">
        <v>57</v>
      </c>
      <c r="V44" s="24">
        <v>655</v>
      </c>
      <c r="W44" s="25">
        <v>0.72977099236641219</v>
      </c>
      <c r="X44" s="25">
        <v>9.7709923664122136E-2</v>
      </c>
      <c r="Y44" s="25">
        <v>8.5496183206106871E-2</v>
      </c>
      <c r="Z44" s="25">
        <v>8.7022900763358779E-2</v>
      </c>
      <c r="AA44" s="26">
        <v>39.96030534351145</v>
      </c>
      <c r="AB44" s="23">
        <f t="shared" si="5"/>
        <v>0.43053435114503819</v>
      </c>
    </row>
    <row r="45" spans="1:28" x14ac:dyDescent="0.25">
      <c r="A45" s="22"/>
      <c r="B45" s="22"/>
      <c r="C45" s="22"/>
      <c r="D45" s="22">
        <v>5</v>
      </c>
      <c r="E45" s="22">
        <v>323</v>
      </c>
      <c r="F45" s="22">
        <v>104</v>
      </c>
      <c r="G45" s="22">
        <v>3</v>
      </c>
      <c r="H45" s="22">
        <v>132</v>
      </c>
      <c r="I45" s="22">
        <v>82</v>
      </c>
      <c r="J45" s="22">
        <v>321</v>
      </c>
      <c r="K45" s="22">
        <v>2</v>
      </c>
      <c r="L45" s="22">
        <f t="shared" si="0"/>
        <v>323</v>
      </c>
      <c r="M45" s="22">
        <v>0</v>
      </c>
      <c r="N45" s="23">
        <f t="shared" si="1"/>
        <v>0.25386996904024767</v>
      </c>
      <c r="O45" s="23">
        <f t="shared" si="2"/>
        <v>0.4086687306501548</v>
      </c>
      <c r="P45" s="23">
        <f t="shared" si="3"/>
        <v>0.32198142414860681</v>
      </c>
      <c r="Q45" s="23">
        <f t="shared" si="4"/>
        <v>9.2879256965944269E-3</v>
      </c>
      <c r="R45" s="24">
        <v>508</v>
      </c>
      <c r="S45" s="24">
        <v>50</v>
      </c>
      <c r="T45" s="24">
        <v>62</v>
      </c>
      <c r="U45" s="24">
        <v>35</v>
      </c>
      <c r="V45" s="24">
        <v>655</v>
      </c>
      <c r="W45" s="25">
        <v>0.77557251908396951</v>
      </c>
      <c r="X45" s="25">
        <v>7.6335877862595422E-2</v>
      </c>
      <c r="Y45" s="25">
        <v>9.465648854961832E-2</v>
      </c>
      <c r="Z45" s="25">
        <v>5.3435114503816793E-2</v>
      </c>
      <c r="AA45" s="26">
        <v>35.503816793893129</v>
      </c>
      <c r="AB45" s="23">
        <f t="shared" si="5"/>
        <v>0.49312977099236643</v>
      </c>
    </row>
    <row r="46" spans="1:28" x14ac:dyDescent="0.25">
      <c r="A46" s="22"/>
      <c r="B46" s="22"/>
      <c r="C46" s="22"/>
      <c r="D46" s="22">
        <v>6</v>
      </c>
      <c r="E46" s="22">
        <v>380</v>
      </c>
      <c r="F46" s="22">
        <v>111</v>
      </c>
      <c r="G46" s="22">
        <v>5</v>
      </c>
      <c r="H46" s="22">
        <v>141</v>
      </c>
      <c r="I46" s="22">
        <v>123</v>
      </c>
      <c r="J46" s="22">
        <v>380</v>
      </c>
      <c r="K46" s="22">
        <v>0</v>
      </c>
      <c r="L46" s="22">
        <f t="shared" si="0"/>
        <v>380</v>
      </c>
      <c r="M46" s="22">
        <v>0</v>
      </c>
      <c r="N46" s="23">
        <f t="shared" si="1"/>
        <v>0.3236842105263158</v>
      </c>
      <c r="O46" s="23">
        <f t="shared" si="2"/>
        <v>0.37105263157894736</v>
      </c>
      <c r="P46" s="23">
        <f t="shared" si="3"/>
        <v>0.29210526315789476</v>
      </c>
      <c r="Q46" s="23">
        <f t="shared" si="4"/>
        <v>1.3157894736842105E-2</v>
      </c>
      <c r="R46" s="24">
        <v>461</v>
      </c>
      <c r="S46" s="24">
        <v>102</v>
      </c>
      <c r="T46" s="24">
        <v>81</v>
      </c>
      <c r="U46" s="24">
        <v>11</v>
      </c>
      <c r="V46" s="24">
        <v>655</v>
      </c>
      <c r="W46" s="25">
        <v>0.70381679389312979</v>
      </c>
      <c r="X46" s="25">
        <v>0.15572519083969466</v>
      </c>
      <c r="Y46" s="25">
        <v>0.12366412213740458</v>
      </c>
      <c r="Z46" s="25">
        <v>1.6793893129770993E-2</v>
      </c>
      <c r="AA46" s="26">
        <v>29.531297709923663</v>
      </c>
      <c r="AB46" s="23">
        <f t="shared" si="5"/>
        <v>0.58015267175572516</v>
      </c>
    </row>
    <row r="47" spans="1:28" x14ac:dyDescent="0.25">
      <c r="A47" s="22"/>
      <c r="B47" s="22"/>
      <c r="C47" s="22"/>
      <c r="D47" s="22">
        <v>7</v>
      </c>
      <c r="E47" s="22">
        <v>434</v>
      </c>
      <c r="F47" s="22">
        <v>113</v>
      </c>
      <c r="G47" s="22">
        <v>4</v>
      </c>
      <c r="H47" s="22">
        <v>165</v>
      </c>
      <c r="I47" s="22">
        <v>151</v>
      </c>
      <c r="J47" s="22">
        <v>433</v>
      </c>
      <c r="K47" s="22">
        <v>1</v>
      </c>
      <c r="L47" s="22">
        <f t="shared" si="0"/>
        <v>434</v>
      </c>
      <c r="M47" s="22">
        <v>0</v>
      </c>
      <c r="N47" s="23">
        <f t="shared" si="1"/>
        <v>0.34792626728110598</v>
      </c>
      <c r="O47" s="23">
        <f t="shared" si="2"/>
        <v>0.38018433179723504</v>
      </c>
      <c r="P47" s="23">
        <f t="shared" si="3"/>
        <v>0.26036866359447003</v>
      </c>
      <c r="Q47" s="23">
        <f t="shared" si="4"/>
        <v>9.2165898617511521E-3</v>
      </c>
      <c r="R47" s="24">
        <v>465</v>
      </c>
      <c r="S47" s="24">
        <v>72</v>
      </c>
      <c r="T47" s="24">
        <v>106</v>
      </c>
      <c r="U47" s="24">
        <v>12</v>
      </c>
      <c r="V47" s="24">
        <v>655</v>
      </c>
      <c r="W47" s="25">
        <v>0.70992366412213737</v>
      </c>
      <c r="X47" s="25">
        <v>0.1099236641221374</v>
      </c>
      <c r="Y47" s="25">
        <v>0.16183206106870229</v>
      </c>
      <c r="Z47" s="25">
        <v>1.8320610687022901E-2</v>
      </c>
      <c r="AA47" s="26">
        <v>21.908396946564885</v>
      </c>
      <c r="AB47" s="23">
        <f t="shared" si="5"/>
        <v>0.66259541984732828</v>
      </c>
    </row>
    <row r="48" spans="1:28" x14ac:dyDescent="0.25">
      <c r="A48" s="22"/>
      <c r="B48" s="22"/>
      <c r="C48" s="22" t="s">
        <v>133</v>
      </c>
      <c r="D48" s="22">
        <v>1</v>
      </c>
      <c r="E48" s="22">
        <v>266</v>
      </c>
      <c r="F48" s="22">
        <v>114</v>
      </c>
      <c r="G48" s="22">
        <v>5</v>
      </c>
      <c r="H48" s="22">
        <v>58</v>
      </c>
      <c r="I48" s="22">
        <v>70</v>
      </c>
      <c r="J48" s="22">
        <v>247</v>
      </c>
      <c r="K48" s="22">
        <v>18</v>
      </c>
      <c r="L48" s="22">
        <f t="shared" si="0"/>
        <v>265</v>
      </c>
      <c r="M48" s="22">
        <v>1</v>
      </c>
      <c r="N48" s="23">
        <f t="shared" si="1"/>
        <v>0.26415094339622641</v>
      </c>
      <c r="O48" s="23">
        <f t="shared" si="2"/>
        <v>0.21886792452830189</v>
      </c>
      <c r="P48" s="23">
        <f t="shared" si="3"/>
        <v>0.43018867924528303</v>
      </c>
      <c r="Q48" s="23">
        <f t="shared" si="4"/>
        <v>1.8867924528301886E-2</v>
      </c>
      <c r="R48" s="24">
        <v>254</v>
      </c>
      <c r="S48" s="24">
        <v>28</v>
      </c>
      <c r="T48" s="24">
        <v>110</v>
      </c>
      <c r="U48" s="24">
        <v>8</v>
      </c>
      <c r="V48" s="24">
        <v>400</v>
      </c>
      <c r="W48" s="25">
        <v>0.63500000000000001</v>
      </c>
      <c r="X48" s="25">
        <v>7.0000000000000007E-2</v>
      </c>
      <c r="Y48" s="25">
        <v>0.27500000000000002</v>
      </c>
      <c r="Z48" s="25">
        <v>0.02</v>
      </c>
      <c r="AA48" s="26">
        <v>65.1875</v>
      </c>
      <c r="AB48" s="23">
        <f t="shared" si="5"/>
        <v>0.66249999999999998</v>
      </c>
    </row>
    <row r="49" spans="1:28" x14ac:dyDescent="0.25">
      <c r="A49" s="22"/>
      <c r="B49" s="22"/>
      <c r="C49" s="22"/>
      <c r="D49" s="22">
        <v>2</v>
      </c>
      <c r="E49" s="22">
        <v>282</v>
      </c>
      <c r="F49" s="22">
        <v>70</v>
      </c>
      <c r="G49" s="22">
        <v>1</v>
      </c>
      <c r="H49" s="22">
        <v>84</v>
      </c>
      <c r="I49" s="22">
        <v>124</v>
      </c>
      <c r="J49" s="22">
        <v>279</v>
      </c>
      <c r="K49" s="22">
        <v>3</v>
      </c>
      <c r="L49" s="22">
        <f t="shared" si="0"/>
        <v>282</v>
      </c>
      <c r="M49" s="22">
        <v>0</v>
      </c>
      <c r="N49" s="23">
        <f t="shared" si="1"/>
        <v>0.43971631205673761</v>
      </c>
      <c r="O49" s="23">
        <f t="shared" si="2"/>
        <v>0.2978723404255319</v>
      </c>
      <c r="P49" s="23">
        <f t="shared" si="3"/>
        <v>0.24822695035460993</v>
      </c>
      <c r="Q49" s="23">
        <f t="shared" si="4"/>
        <v>3.5460992907801418E-3</v>
      </c>
      <c r="R49" s="24">
        <v>239</v>
      </c>
      <c r="S49" s="24">
        <v>58</v>
      </c>
      <c r="T49" s="24">
        <v>121</v>
      </c>
      <c r="U49" s="24">
        <v>1</v>
      </c>
      <c r="V49" s="24">
        <v>419</v>
      </c>
      <c r="W49" s="25">
        <v>0.57040572792362765</v>
      </c>
      <c r="X49" s="25">
        <v>0.13842482100238662</v>
      </c>
      <c r="Y49" s="25">
        <v>0.28878281622911695</v>
      </c>
      <c r="Z49" s="25">
        <v>2.3866348448687352E-3</v>
      </c>
      <c r="AA49" s="26">
        <v>42.923627684964202</v>
      </c>
      <c r="AB49" s="23">
        <f t="shared" si="5"/>
        <v>0.67303102625298328</v>
      </c>
    </row>
    <row r="50" spans="1:28" x14ac:dyDescent="0.25">
      <c r="A50" s="22"/>
      <c r="B50" s="22"/>
      <c r="C50" s="22"/>
      <c r="D50" s="22">
        <v>3</v>
      </c>
      <c r="E50" s="22">
        <v>311</v>
      </c>
      <c r="F50" s="22">
        <v>64</v>
      </c>
      <c r="G50" s="22">
        <v>3</v>
      </c>
      <c r="H50" s="22">
        <v>125</v>
      </c>
      <c r="I50" s="22">
        <v>117</v>
      </c>
      <c r="J50" s="22">
        <v>309</v>
      </c>
      <c r="K50" s="22">
        <v>2</v>
      </c>
      <c r="L50" s="22">
        <f t="shared" si="0"/>
        <v>311</v>
      </c>
      <c r="M50" s="22">
        <v>0</v>
      </c>
      <c r="N50" s="23">
        <f t="shared" si="1"/>
        <v>0.3762057877813505</v>
      </c>
      <c r="O50" s="23">
        <f t="shared" si="2"/>
        <v>0.40192926045016075</v>
      </c>
      <c r="P50" s="23">
        <f t="shared" si="3"/>
        <v>0.20578778135048231</v>
      </c>
      <c r="Q50" s="23">
        <f t="shared" si="4"/>
        <v>9.6463022508038593E-3</v>
      </c>
      <c r="R50" s="24">
        <v>297</v>
      </c>
      <c r="S50" s="24">
        <v>44</v>
      </c>
      <c r="T50" s="24">
        <v>78</v>
      </c>
      <c r="U50" s="24">
        <v>0</v>
      </c>
      <c r="V50" s="24">
        <v>419</v>
      </c>
      <c r="W50" s="25">
        <v>0.70883054892601427</v>
      </c>
      <c r="X50" s="25">
        <v>0.10501193317422435</v>
      </c>
      <c r="Y50" s="25">
        <v>0.18615751789976134</v>
      </c>
      <c r="Z50" s="25">
        <v>0</v>
      </c>
      <c r="AA50" s="26">
        <v>24.29832935560859</v>
      </c>
      <c r="AB50" s="23">
        <f t="shared" si="5"/>
        <v>0.74224343675417659</v>
      </c>
    </row>
    <row r="51" spans="1:28" x14ac:dyDescent="0.25">
      <c r="A51" s="22">
        <v>11</v>
      </c>
      <c r="B51" s="22" t="s">
        <v>134</v>
      </c>
      <c r="C51" s="22" t="s">
        <v>135</v>
      </c>
      <c r="D51" s="22">
        <v>1</v>
      </c>
      <c r="E51" s="22">
        <v>375</v>
      </c>
      <c r="F51" s="22">
        <v>281</v>
      </c>
      <c r="G51" s="22">
        <v>5</v>
      </c>
      <c r="H51" s="22">
        <v>56</v>
      </c>
      <c r="I51" s="22">
        <v>23</v>
      </c>
      <c r="J51" s="22">
        <v>365</v>
      </c>
      <c r="K51" s="22">
        <v>10</v>
      </c>
      <c r="L51" s="22">
        <f t="shared" si="0"/>
        <v>375</v>
      </c>
      <c r="M51" s="22">
        <v>0</v>
      </c>
      <c r="N51" s="23">
        <f t="shared" si="1"/>
        <v>6.133333333333333E-2</v>
      </c>
      <c r="O51" s="23">
        <f t="shared" si="2"/>
        <v>0.14933333333333335</v>
      </c>
      <c r="P51" s="23">
        <f t="shared" si="3"/>
        <v>0.7493333333333333</v>
      </c>
      <c r="Q51" s="23">
        <f t="shared" si="4"/>
        <v>1.3333333333333334E-2</v>
      </c>
      <c r="R51" s="24">
        <v>449</v>
      </c>
      <c r="S51" s="24">
        <v>1</v>
      </c>
      <c r="T51" s="24">
        <v>0</v>
      </c>
      <c r="U51" s="24">
        <v>0</v>
      </c>
      <c r="V51" s="24">
        <v>450</v>
      </c>
      <c r="W51" s="25">
        <v>0.99777777777777776</v>
      </c>
      <c r="X51" s="25">
        <v>2.2222222222222222E-3</v>
      </c>
      <c r="Y51" s="25">
        <v>0</v>
      </c>
      <c r="Z51" s="25">
        <v>0</v>
      </c>
      <c r="AA51" s="26">
        <v>65.708888888888893</v>
      </c>
      <c r="AB51" s="23">
        <f t="shared" si="5"/>
        <v>0.83333333333333337</v>
      </c>
    </row>
    <row r="52" spans="1:28" x14ac:dyDescent="0.25">
      <c r="A52" s="22"/>
      <c r="B52" s="22"/>
      <c r="C52" s="22"/>
      <c r="D52" s="22">
        <v>2</v>
      </c>
      <c r="E52" s="22">
        <v>374</v>
      </c>
      <c r="F52" s="22">
        <v>217</v>
      </c>
      <c r="G52" s="22">
        <v>2</v>
      </c>
      <c r="H52" s="22">
        <v>109</v>
      </c>
      <c r="I52" s="22">
        <v>40</v>
      </c>
      <c r="J52" s="22">
        <v>368</v>
      </c>
      <c r="K52" s="22">
        <v>6</v>
      </c>
      <c r="L52" s="22">
        <f t="shared" si="0"/>
        <v>374</v>
      </c>
      <c r="M52" s="22">
        <v>0</v>
      </c>
      <c r="N52" s="23">
        <f t="shared" si="1"/>
        <v>0.10695187165775401</v>
      </c>
      <c r="O52" s="23">
        <f t="shared" si="2"/>
        <v>0.29144385026737968</v>
      </c>
      <c r="P52" s="23">
        <f t="shared" si="3"/>
        <v>0.5802139037433155</v>
      </c>
      <c r="Q52" s="23">
        <f t="shared" si="4"/>
        <v>5.3475935828877002E-3</v>
      </c>
      <c r="R52" s="24">
        <v>448</v>
      </c>
      <c r="S52" s="24">
        <v>1</v>
      </c>
      <c r="T52" s="24">
        <v>1</v>
      </c>
      <c r="U52" s="24">
        <v>0</v>
      </c>
      <c r="V52" s="24">
        <v>450</v>
      </c>
      <c r="W52" s="25">
        <v>0.99555555555555553</v>
      </c>
      <c r="X52" s="25">
        <v>2.2222222222222222E-3</v>
      </c>
      <c r="Y52" s="25">
        <v>2.2222222222222222E-3</v>
      </c>
      <c r="Z52" s="25">
        <v>0</v>
      </c>
      <c r="AA52" s="26">
        <v>59.82</v>
      </c>
      <c r="AB52" s="23">
        <f t="shared" si="5"/>
        <v>0.83111111111111113</v>
      </c>
    </row>
    <row r="53" spans="1:28" x14ac:dyDescent="0.25">
      <c r="A53" s="22"/>
      <c r="B53" s="22"/>
      <c r="C53" s="22"/>
      <c r="D53" s="22">
        <v>3</v>
      </c>
      <c r="E53" s="22">
        <v>526</v>
      </c>
      <c r="F53" s="22">
        <v>274</v>
      </c>
      <c r="G53" s="22">
        <v>5</v>
      </c>
      <c r="H53" s="22">
        <v>197</v>
      </c>
      <c r="I53" s="22">
        <v>47</v>
      </c>
      <c r="J53" s="22">
        <v>523</v>
      </c>
      <c r="K53" s="22">
        <v>3</v>
      </c>
      <c r="L53" s="22">
        <f t="shared" si="0"/>
        <v>526</v>
      </c>
      <c r="M53" s="22">
        <v>0</v>
      </c>
      <c r="N53" s="23">
        <f t="shared" si="1"/>
        <v>8.9353612167300381E-2</v>
      </c>
      <c r="O53" s="23">
        <f t="shared" si="2"/>
        <v>0.37452471482889732</v>
      </c>
      <c r="P53" s="23">
        <f t="shared" si="3"/>
        <v>0.52091254752851712</v>
      </c>
      <c r="Q53" s="23">
        <f t="shared" si="4"/>
        <v>9.5057034220532317E-3</v>
      </c>
      <c r="R53" s="24">
        <v>698</v>
      </c>
      <c r="S53" s="24">
        <v>0</v>
      </c>
      <c r="T53" s="24">
        <v>1</v>
      </c>
      <c r="U53" s="24">
        <v>1</v>
      </c>
      <c r="V53" s="24">
        <v>700</v>
      </c>
      <c r="W53" s="25">
        <v>0.99714285714285711</v>
      </c>
      <c r="X53" s="25">
        <v>0</v>
      </c>
      <c r="Y53" s="25">
        <v>1.4285714285714286E-3</v>
      </c>
      <c r="Z53" s="25">
        <v>1.4285714285714286E-3</v>
      </c>
      <c r="AA53" s="26">
        <v>42.042857142857144</v>
      </c>
      <c r="AB53" s="23">
        <f t="shared" si="5"/>
        <v>0.75142857142857145</v>
      </c>
    </row>
    <row r="54" spans="1:28" x14ac:dyDescent="0.25">
      <c r="A54" s="22"/>
      <c r="B54" s="22"/>
      <c r="C54" s="22"/>
      <c r="D54" s="22">
        <v>4</v>
      </c>
      <c r="E54" s="22">
        <v>513</v>
      </c>
      <c r="F54" s="22">
        <v>239</v>
      </c>
      <c r="G54" s="22">
        <v>4</v>
      </c>
      <c r="H54" s="22">
        <v>223</v>
      </c>
      <c r="I54" s="22">
        <v>44</v>
      </c>
      <c r="J54" s="22">
        <v>510</v>
      </c>
      <c r="K54" s="22">
        <v>3</v>
      </c>
      <c r="L54" s="22">
        <f t="shared" si="0"/>
        <v>513</v>
      </c>
      <c r="M54" s="22">
        <v>0</v>
      </c>
      <c r="N54" s="23">
        <f t="shared" si="1"/>
        <v>8.5769980506822607E-2</v>
      </c>
      <c r="O54" s="23">
        <f t="shared" si="2"/>
        <v>0.43469785575048731</v>
      </c>
      <c r="P54" s="23">
        <f t="shared" si="3"/>
        <v>0.46588693957115007</v>
      </c>
      <c r="Q54" s="23">
        <f t="shared" si="4"/>
        <v>7.7972709551656916E-3</v>
      </c>
      <c r="R54" s="24">
        <v>700</v>
      </c>
      <c r="S54" s="24">
        <v>0</v>
      </c>
      <c r="T54" s="24">
        <v>0</v>
      </c>
      <c r="U54" s="24">
        <v>0</v>
      </c>
      <c r="V54" s="24">
        <v>700</v>
      </c>
      <c r="W54" s="25">
        <v>1</v>
      </c>
      <c r="X54" s="25">
        <v>0</v>
      </c>
      <c r="Y54" s="25">
        <v>0</v>
      </c>
      <c r="Z54" s="25">
        <v>0</v>
      </c>
      <c r="AA54" s="26">
        <v>35.767142857142858</v>
      </c>
      <c r="AB54" s="23">
        <f t="shared" si="5"/>
        <v>0.73285714285714287</v>
      </c>
    </row>
    <row r="55" spans="1:28" x14ac:dyDescent="0.25">
      <c r="A55" s="22"/>
      <c r="B55" s="22"/>
      <c r="C55" s="22"/>
      <c r="D55" s="22">
        <v>5</v>
      </c>
      <c r="E55" s="22">
        <v>536</v>
      </c>
      <c r="F55" s="22">
        <v>232</v>
      </c>
      <c r="G55" s="22">
        <v>3</v>
      </c>
      <c r="H55" s="22">
        <v>244</v>
      </c>
      <c r="I55" s="22">
        <v>56</v>
      </c>
      <c r="J55" s="22">
        <v>535</v>
      </c>
      <c r="K55" s="22">
        <v>1</v>
      </c>
      <c r="L55" s="22">
        <f t="shared" si="0"/>
        <v>536</v>
      </c>
      <c r="M55" s="22">
        <v>0</v>
      </c>
      <c r="N55" s="23">
        <f t="shared" si="1"/>
        <v>0.1044776119402985</v>
      </c>
      <c r="O55" s="23">
        <f t="shared" si="2"/>
        <v>0.45522388059701491</v>
      </c>
      <c r="P55" s="23">
        <f t="shared" si="3"/>
        <v>0.43283582089552236</v>
      </c>
      <c r="Q55" s="23">
        <f t="shared" si="4"/>
        <v>5.597014925373134E-3</v>
      </c>
      <c r="R55" s="24">
        <v>703</v>
      </c>
      <c r="S55" s="24">
        <v>0</v>
      </c>
      <c r="T55" s="24">
        <v>0</v>
      </c>
      <c r="U55" s="24">
        <v>0</v>
      </c>
      <c r="V55" s="24">
        <v>703</v>
      </c>
      <c r="W55" s="25">
        <v>1</v>
      </c>
      <c r="X55" s="25">
        <v>0</v>
      </c>
      <c r="Y55" s="25">
        <v>0</v>
      </c>
      <c r="Z55" s="25">
        <v>0</v>
      </c>
      <c r="AA55" s="26">
        <v>26.460881934566146</v>
      </c>
      <c r="AB55" s="23">
        <f t="shared" si="5"/>
        <v>0.76244665718349924</v>
      </c>
    </row>
    <row r="56" spans="1:28" x14ac:dyDescent="0.25">
      <c r="A56" s="22">
        <v>11</v>
      </c>
      <c r="B56" s="22" t="s">
        <v>134</v>
      </c>
      <c r="C56" s="22" t="s">
        <v>136</v>
      </c>
      <c r="D56" s="22">
        <v>1</v>
      </c>
      <c r="E56" s="22">
        <v>380</v>
      </c>
      <c r="F56" s="22">
        <v>285</v>
      </c>
      <c r="G56" s="22">
        <v>6</v>
      </c>
      <c r="H56" s="22">
        <v>50</v>
      </c>
      <c r="I56" s="22">
        <v>33</v>
      </c>
      <c r="J56" s="22">
        <v>374</v>
      </c>
      <c r="K56" s="22">
        <v>6</v>
      </c>
      <c r="L56" s="22">
        <f t="shared" si="0"/>
        <v>380</v>
      </c>
      <c r="M56" s="22">
        <v>0</v>
      </c>
      <c r="N56" s="23">
        <f t="shared" si="1"/>
        <v>8.6842105263157901E-2</v>
      </c>
      <c r="O56" s="23">
        <f t="shared" si="2"/>
        <v>0.13157894736842105</v>
      </c>
      <c r="P56" s="23">
        <f t="shared" si="3"/>
        <v>0.75</v>
      </c>
      <c r="Q56" s="23">
        <f t="shared" si="4"/>
        <v>1.5789473684210527E-2</v>
      </c>
      <c r="R56" s="24">
        <v>448</v>
      </c>
      <c r="S56" s="24">
        <v>0</v>
      </c>
      <c r="T56" s="24">
        <v>1</v>
      </c>
      <c r="U56" s="24">
        <v>1</v>
      </c>
      <c r="V56" s="24">
        <v>450</v>
      </c>
      <c r="W56" s="25">
        <v>0.99555555555555553</v>
      </c>
      <c r="X56" s="25">
        <v>0</v>
      </c>
      <c r="Y56" s="25">
        <v>2.2222222222222222E-3</v>
      </c>
      <c r="Z56" s="25">
        <v>2.2222222222222222E-3</v>
      </c>
      <c r="AA56" s="26">
        <v>65.413333333333327</v>
      </c>
      <c r="AB56" s="23">
        <f t="shared" si="5"/>
        <v>0.84444444444444444</v>
      </c>
    </row>
    <row r="57" spans="1:28" x14ac:dyDescent="0.25">
      <c r="A57" s="22"/>
      <c r="B57" s="22"/>
      <c r="C57" s="22"/>
      <c r="D57" s="22">
        <v>2</v>
      </c>
      <c r="E57" s="22">
        <v>392</v>
      </c>
      <c r="F57" s="22">
        <v>284</v>
      </c>
      <c r="G57" s="22">
        <v>2</v>
      </c>
      <c r="H57" s="22">
        <v>59</v>
      </c>
      <c r="I57" s="22">
        <v>40</v>
      </c>
      <c r="J57" s="22">
        <v>385</v>
      </c>
      <c r="K57" s="22">
        <v>7</v>
      </c>
      <c r="L57" s="22">
        <f t="shared" si="0"/>
        <v>392</v>
      </c>
      <c r="M57" s="22">
        <v>0</v>
      </c>
      <c r="N57" s="23">
        <f t="shared" si="1"/>
        <v>0.10204081632653061</v>
      </c>
      <c r="O57" s="23">
        <f t="shared" si="2"/>
        <v>0.15051020408163265</v>
      </c>
      <c r="P57" s="23">
        <f t="shared" si="3"/>
        <v>0.72448979591836737</v>
      </c>
      <c r="Q57" s="23">
        <f t="shared" si="4"/>
        <v>5.1020408163265302E-3</v>
      </c>
      <c r="R57" s="24">
        <v>446</v>
      </c>
      <c r="S57" s="24">
        <v>0</v>
      </c>
      <c r="T57" s="24">
        <v>3</v>
      </c>
      <c r="U57" s="24">
        <v>1</v>
      </c>
      <c r="V57" s="24">
        <v>450</v>
      </c>
      <c r="W57" s="25">
        <v>0.99111111111111116</v>
      </c>
      <c r="X57" s="25">
        <v>0</v>
      </c>
      <c r="Y57" s="25">
        <v>6.6666666666666671E-3</v>
      </c>
      <c r="Z57" s="25">
        <v>2.2222222222222222E-3</v>
      </c>
      <c r="AA57" s="26">
        <v>54.415555555555557</v>
      </c>
      <c r="AB57" s="23">
        <f t="shared" si="5"/>
        <v>0.87111111111111106</v>
      </c>
    </row>
    <row r="58" spans="1:28" x14ac:dyDescent="0.25">
      <c r="A58" s="22"/>
      <c r="B58" s="22"/>
      <c r="C58" s="22"/>
      <c r="D58" s="22">
        <v>3</v>
      </c>
      <c r="E58" s="22">
        <v>450</v>
      </c>
      <c r="F58" s="22">
        <v>213</v>
      </c>
      <c r="G58" s="22">
        <v>4</v>
      </c>
      <c r="H58" s="22">
        <v>176</v>
      </c>
      <c r="I58" s="22">
        <v>54</v>
      </c>
      <c r="J58" s="22">
        <v>447</v>
      </c>
      <c r="K58" s="22">
        <v>3</v>
      </c>
      <c r="L58" s="22">
        <f t="shared" si="0"/>
        <v>450</v>
      </c>
      <c r="M58" s="22">
        <v>0</v>
      </c>
      <c r="N58" s="23">
        <f t="shared" si="1"/>
        <v>0.12</v>
      </c>
      <c r="O58" s="23">
        <f t="shared" si="2"/>
        <v>0.39111111111111113</v>
      </c>
      <c r="P58" s="23">
        <f t="shared" si="3"/>
        <v>0.47333333333333333</v>
      </c>
      <c r="Q58" s="23">
        <f t="shared" si="4"/>
        <v>8.8888888888888889E-3</v>
      </c>
      <c r="R58" s="24">
        <v>593</v>
      </c>
      <c r="S58" s="24">
        <v>0</v>
      </c>
      <c r="T58" s="24">
        <v>3</v>
      </c>
      <c r="U58" s="24">
        <v>0</v>
      </c>
      <c r="V58" s="24">
        <v>596</v>
      </c>
      <c r="W58" s="25">
        <v>0.99496644295302017</v>
      </c>
      <c r="X58" s="25">
        <v>0</v>
      </c>
      <c r="Y58" s="25">
        <v>5.0335570469798654E-3</v>
      </c>
      <c r="Z58" s="25">
        <v>0</v>
      </c>
      <c r="AA58" s="26">
        <v>39.416107382550337</v>
      </c>
      <c r="AB58" s="23">
        <f t="shared" si="5"/>
        <v>0.75503355704697983</v>
      </c>
    </row>
    <row r="59" spans="1:28" x14ac:dyDescent="0.25">
      <c r="A59" s="22"/>
      <c r="B59" s="22"/>
      <c r="C59" s="22"/>
      <c r="D59" s="22">
        <v>4</v>
      </c>
      <c r="E59" s="22">
        <v>469</v>
      </c>
      <c r="F59" s="22">
        <v>204</v>
      </c>
      <c r="G59" s="22">
        <v>7</v>
      </c>
      <c r="H59" s="22">
        <v>214</v>
      </c>
      <c r="I59" s="22">
        <v>39</v>
      </c>
      <c r="J59" s="22">
        <v>464</v>
      </c>
      <c r="K59" s="22">
        <v>4</v>
      </c>
      <c r="L59" s="22">
        <f t="shared" si="0"/>
        <v>468</v>
      </c>
      <c r="M59" s="22">
        <v>1</v>
      </c>
      <c r="N59" s="23">
        <f t="shared" si="1"/>
        <v>8.3333333333333329E-2</v>
      </c>
      <c r="O59" s="23">
        <f t="shared" si="2"/>
        <v>0.45726495726495725</v>
      </c>
      <c r="P59" s="23">
        <f t="shared" si="3"/>
        <v>0.4358974358974359</v>
      </c>
      <c r="Q59" s="23">
        <f t="shared" si="4"/>
        <v>1.4957264957264958E-2</v>
      </c>
      <c r="R59" s="24">
        <v>596</v>
      </c>
      <c r="S59" s="24">
        <v>0</v>
      </c>
      <c r="T59" s="24">
        <v>0</v>
      </c>
      <c r="U59" s="24">
        <v>0</v>
      </c>
      <c r="V59" s="24">
        <v>596</v>
      </c>
      <c r="W59" s="25">
        <v>1</v>
      </c>
      <c r="X59" s="25">
        <v>0</v>
      </c>
      <c r="Y59" s="25">
        <v>0</v>
      </c>
      <c r="Z59" s="25">
        <v>0</v>
      </c>
      <c r="AA59" s="26">
        <v>33.645973154362416</v>
      </c>
      <c r="AB59" s="23">
        <f t="shared" si="5"/>
        <v>0.78523489932885904</v>
      </c>
    </row>
    <row r="60" spans="1:28" x14ac:dyDescent="0.25">
      <c r="A60" s="22"/>
      <c r="B60" s="22"/>
      <c r="C60" s="22"/>
      <c r="D60" s="22">
        <v>5</v>
      </c>
      <c r="E60" s="22">
        <v>451</v>
      </c>
      <c r="F60" s="22">
        <v>176</v>
      </c>
      <c r="G60" s="22">
        <v>3</v>
      </c>
      <c r="H60" s="22">
        <v>239</v>
      </c>
      <c r="I60" s="22">
        <v>32</v>
      </c>
      <c r="J60" s="22">
        <v>450</v>
      </c>
      <c r="K60" s="22">
        <v>1</v>
      </c>
      <c r="L60" s="22">
        <f t="shared" si="0"/>
        <v>451</v>
      </c>
      <c r="M60" s="22">
        <v>0</v>
      </c>
      <c r="N60" s="23">
        <f t="shared" si="1"/>
        <v>7.0953436807095344E-2</v>
      </c>
      <c r="O60" s="23">
        <f t="shared" si="2"/>
        <v>0.52993348115299332</v>
      </c>
      <c r="P60" s="23">
        <f t="shared" si="3"/>
        <v>0.3902439024390244</v>
      </c>
      <c r="Q60" s="23">
        <f t="shared" si="4"/>
        <v>6.6518847006651885E-3</v>
      </c>
      <c r="R60" s="24">
        <v>596</v>
      </c>
      <c r="S60" s="24">
        <v>0</v>
      </c>
      <c r="T60" s="24">
        <v>0</v>
      </c>
      <c r="U60" s="24">
        <v>0</v>
      </c>
      <c r="V60" s="24">
        <v>596</v>
      </c>
      <c r="W60" s="25">
        <v>1</v>
      </c>
      <c r="X60" s="25">
        <v>0</v>
      </c>
      <c r="Y60" s="25">
        <v>0</v>
      </c>
      <c r="Z60" s="25">
        <v>0</v>
      </c>
      <c r="AA60" s="26">
        <v>25.10234899328859</v>
      </c>
      <c r="AB60" s="23">
        <f t="shared" si="5"/>
        <v>0.75671140939597314</v>
      </c>
    </row>
    <row r="61" spans="1:28" x14ac:dyDescent="0.25">
      <c r="A61" s="22">
        <v>12</v>
      </c>
      <c r="B61" s="22" t="s">
        <v>137</v>
      </c>
      <c r="C61" s="22" t="s">
        <v>138</v>
      </c>
      <c r="D61" s="22">
        <v>1</v>
      </c>
      <c r="E61" s="22">
        <v>322</v>
      </c>
      <c r="F61" s="22">
        <v>236</v>
      </c>
      <c r="G61" s="22">
        <v>4</v>
      </c>
      <c r="H61" s="22">
        <v>35</v>
      </c>
      <c r="I61" s="22">
        <v>42</v>
      </c>
      <c r="J61" s="22">
        <v>317</v>
      </c>
      <c r="K61" s="22">
        <v>5</v>
      </c>
      <c r="L61" s="22">
        <f t="shared" si="0"/>
        <v>322</v>
      </c>
      <c r="M61" s="22">
        <v>0</v>
      </c>
      <c r="N61" s="23">
        <f t="shared" si="1"/>
        <v>0.13043478260869565</v>
      </c>
      <c r="O61" s="23">
        <f t="shared" si="2"/>
        <v>0.10869565217391304</v>
      </c>
      <c r="P61" s="23">
        <f t="shared" si="3"/>
        <v>0.73291925465838514</v>
      </c>
      <c r="Q61" s="23">
        <f t="shared" si="4"/>
        <v>1.2422360248447204E-2</v>
      </c>
      <c r="R61" s="24">
        <v>412</v>
      </c>
      <c r="S61" s="24">
        <v>6</v>
      </c>
      <c r="T61" s="24">
        <v>31</v>
      </c>
      <c r="U61" s="24">
        <v>1</v>
      </c>
      <c r="V61" s="24">
        <v>450</v>
      </c>
      <c r="W61" s="25">
        <v>0.91555555555555557</v>
      </c>
      <c r="X61" s="25">
        <v>1.3333333333333334E-2</v>
      </c>
      <c r="Y61" s="25">
        <v>6.8888888888888888E-2</v>
      </c>
      <c r="Z61" s="25">
        <v>2.2222222222222222E-3</v>
      </c>
      <c r="AA61" s="26">
        <v>67.433333333333337</v>
      </c>
      <c r="AB61" s="23">
        <f t="shared" si="5"/>
        <v>0.7155555555555555</v>
      </c>
    </row>
    <row r="62" spans="1:28" x14ac:dyDescent="0.25">
      <c r="A62" s="22"/>
      <c r="B62" s="22"/>
      <c r="C62" s="22"/>
      <c r="D62" s="22">
        <v>2</v>
      </c>
      <c r="E62" s="22">
        <v>443</v>
      </c>
      <c r="F62" s="22">
        <v>266</v>
      </c>
      <c r="G62" s="22">
        <v>7</v>
      </c>
      <c r="H62" s="22">
        <v>117</v>
      </c>
      <c r="I62" s="22">
        <v>49</v>
      </c>
      <c r="J62" s="22">
        <v>439</v>
      </c>
      <c r="K62" s="22">
        <v>4</v>
      </c>
      <c r="L62" s="22">
        <f t="shared" si="0"/>
        <v>443</v>
      </c>
      <c r="M62" s="22">
        <v>0</v>
      </c>
      <c r="N62" s="23">
        <f t="shared" si="1"/>
        <v>0.11060948081264109</v>
      </c>
      <c r="O62" s="23">
        <f t="shared" si="2"/>
        <v>0.26410835214446954</v>
      </c>
      <c r="P62" s="23">
        <f t="shared" si="3"/>
        <v>0.60045146726862297</v>
      </c>
      <c r="Q62" s="23">
        <f t="shared" si="4"/>
        <v>1.580135440180587E-2</v>
      </c>
      <c r="R62" s="24">
        <v>550</v>
      </c>
      <c r="S62" s="24">
        <v>2</v>
      </c>
      <c r="T62" s="24">
        <v>23</v>
      </c>
      <c r="U62" s="24">
        <v>2</v>
      </c>
      <c r="V62" s="24">
        <v>577</v>
      </c>
      <c r="W62" s="25">
        <v>0.95320623916811087</v>
      </c>
      <c r="X62" s="25">
        <v>3.4662045060658577E-3</v>
      </c>
      <c r="Y62" s="25">
        <v>3.9861351819757362E-2</v>
      </c>
      <c r="Z62" s="25">
        <v>3.4662045060658577E-3</v>
      </c>
      <c r="AA62" s="26">
        <v>50.641247833622181</v>
      </c>
      <c r="AB62" s="23">
        <f t="shared" si="5"/>
        <v>0.76776429809358748</v>
      </c>
    </row>
    <row r="63" spans="1:28" x14ac:dyDescent="0.25">
      <c r="A63" s="22"/>
      <c r="B63" s="22"/>
      <c r="C63" s="22"/>
      <c r="D63" s="22">
        <v>3</v>
      </c>
      <c r="E63" s="22">
        <v>412</v>
      </c>
      <c r="F63" s="22">
        <v>190</v>
      </c>
      <c r="G63" s="22">
        <v>6</v>
      </c>
      <c r="H63" s="22">
        <v>168</v>
      </c>
      <c r="I63" s="22">
        <v>45</v>
      </c>
      <c r="J63" s="22">
        <v>409</v>
      </c>
      <c r="K63" s="22">
        <v>3</v>
      </c>
      <c r="L63" s="22">
        <f t="shared" si="0"/>
        <v>412</v>
      </c>
      <c r="M63" s="22">
        <v>0</v>
      </c>
      <c r="N63" s="23">
        <f t="shared" si="1"/>
        <v>0.10922330097087378</v>
      </c>
      <c r="O63" s="23">
        <f t="shared" si="2"/>
        <v>0.40776699029126212</v>
      </c>
      <c r="P63" s="23">
        <f t="shared" si="3"/>
        <v>0.46116504854368934</v>
      </c>
      <c r="Q63" s="23">
        <f t="shared" si="4"/>
        <v>1.4563106796116505E-2</v>
      </c>
      <c r="R63" s="24">
        <v>550</v>
      </c>
      <c r="S63" s="24">
        <v>0</v>
      </c>
      <c r="T63" s="24">
        <v>27</v>
      </c>
      <c r="U63" s="24">
        <v>0</v>
      </c>
      <c r="V63" s="24">
        <v>577</v>
      </c>
      <c r="W63" s="25">
        <v>0.95320623916811087</v>
      </c>
      <c r="X63" s="25">
        <v>0</v>
      </c>
      <c r="Y63" s="25">
        <v>4.6793760831889082E-2</v>
      </c>
      <c r="Z63" s="25">
        <v>0</v>
      </c>
      <c r="AA63" s="26">
        <v>38.126516464471401</v>
      </c>
      <c r="AB63" s="23">
        <f t="shared" si="5"/>
        <v>0.71403812824956669</v>
      </c>
    </row>
    <row r="64" spans="1:28" x14ac:dyDescent="0.25">
      <c r="A64" s="22"/>
      <c r="B64" s="22"/>
      <c r="C64" s="22"/>
      <c r="D64" s="22">
        <v>4</v>
      </c>
      <c r="E64" s="22">
        <v>431</v>
      </c>
      <c r="F64" s="22">
        <v>196</v>
      </c>
      <c r="G64" s="22">
        <v>2</v>
      </c>
      <c r="H64" s="22">
        <v>189</v>
      </c>
      <c r="I64" s="22">
        <v>43</v>
      </c>
      <c r="J64" s="22">
        <v>430</v>
      </c>
      <c r="K64" s="22">
        <v>1</v>
      </c>
      <c r="L64" s="22">
        <f t="shared" si="0"/>
        <v>431</v>
      </c>
      <c r="M64" s="22">
        <v>0</v>
      </c>
      <c r="N64" s="23">
        <f t="shared" si="1"/>
        <v>9.9767981438515077E-2</v>
      </c>
      <c r="O64" s="23">
        <f t="shared" si="2"/>
        <v>0.43851508120649652</v>
      </c>
      <c r="P64" s="23">
        <f t="shared" si="3"/>
        <v>0.45475638051044082</v>
      </c>
      <c r="Q64" s="23">
        <f t="shared" si="4"/>
        <v>4.6403712296983757E-3</v>
      </c>
      <c r="R64" s="24">
        <v>549</v>
      </c>
      <c r="S64" s="24">
        <v>0</v>
      </c>
      <c r="T64" s="24">
        <v>29</v>
      </c>
      <c r="U64" s="24">
        <v>0</v>
      </c>
      <c r="V64" s="24">
        <v>578</v>
      </c>
      <c r="W64" s="25">
        <v>0.94982698961937717</v>
      </c>
      <c r="X64" s="25">
        <v>0</v>
      </c>
      <c r="Y64" s="25">
        <v>5.0173010380622836E-2</v>
      </c>
      <c r="Z64" s="25">
        <v>0</v>
      </c>
      <c r="AA64" s="26">
        <v>23.80968858131488</v>
      </c>
      <c r="AB64" s="23">
        <f t="shared" si="5"/>
        <v>0.74567474048442905</v>
      </c>
    </row>
    <row r="65" spans="1:28" x14ac:dyDescent="0.25">
      <c r="A65" s="22">
        <v>13</v>
      </c>
      <c r="B65" s="22" t="s">
        <v>139</v>
      </c>
      <c r="C65" s="22" t="s">
        <v>140</v>
      </c>
      <c r="D65" s="22">
        <v>1</v>
      </c>
      <c r="E65" s="22">
        <v>331</v>
      </c>
      <c r="F65" s="22">
        <v>164</v>
      </c>
      <c r="G65" s="22">
        <v>6</v>
      </c>
      <c r="H65" s="22">
        <v>26</v>
      </c>
      <c r="I65" s="22">
        <v>127</v>
      </c>
      <c r="J65" s="22">
        <v>323</v>
      </c>
      <c r="K65" s="22">
        <v>8</v>
      </c>
      <c r="L65" s="22">
        <f t="shared" si="0"/>
        <v>331</v>
      </c>
      <c r="M65" s="22">
        <v>0</v>
      </c>
      <c r="N65" s="23">
        <f t="shared" si="1"/>
        <v>0.38368580060422963</v>
      </c>
      <c r="O65" s="23">
        <f t="shared" si="2"/>
        <v>7.8549848942598186E-2</v>
      </c>
      <c r="P65" s="23">
        <f t="shared" si="3"/>
        <v>0.49546827794561932</v>
      </c>
      <c r="Q65" s="23">
        <f t="shared" si="4"/>
        <v>1.812688821752266E-2</v>
      </c>
      <c r="R65" s="24">
        <v>238</v>
      </c>
      <c r="S65" s="24">
        <v>173</v>
      </c>
      <c r="T65" s="24">
        <v>39</v>
      </c>
      <c r="U65" s="24">
        <v>0</v>
      </c>
      <c r="V65" s="24">
        <v>450</v>
      </c>
      <c r="W65" s="25">
        <v>0.52888888888888885</v>
      </c>
      <c r="X65" s="25">
        <v>0.38444444444444442</v>
      </c>
      <c r="Y65" s="25">
        <v>8.666666666666667E-2</v>
      </c>
      <c r="Z65" s="25">
        <v>0</v>
      </c>
      <c r="AA65" s="26">
        <v>69.426666666666662</v>
      </c>
      <c r="AB65" s="23">
        <f t="shared" si="5"/>
        <v>0.73555555555555552</v>
      </c>
    </row>
    <row r="66" spans="1:28" x14ac:dyDescent="0.25">
      <c r="A66" s="22"/>
      <c r="B66" s="22"/>
      <c r="C66" s="22"/>
      <c r="D66" s="22">
        <v>2</v>
      </c>
      <c r="E66" s="22">
        <v>363</v>
      </c>
      <c r="F66" s="22">
        <v>170</v>
      </c>
      <c r="G66" s="22">
        <v>6</v>
      </c>
      <c r="H66" s="22">
        <v>58</v>
      </c>
      <c r="I66" s="22">
        <v>124</v>
      </c>
      <c r="J66" s="22">
        <v>358</v>
      </c>
      <c r="K66" s="22">
        <v>5</v>
      </c>
      <c r="L66" s="22">
        <f t="shared" si="0"/>
        <v>363</v>
      </c>
      <c r="M66" s="22">
        <v>0</v>
      </c>
      <c r="N66" s="23">
        <f t="shared" si="1"/>
        <v>0.3415977961432507</v>
      </c>
      <c r="O66" s="23">
        <f t="shared" si="2"/>
        <v>0.15977961432506887</v>
      </c>
      <c r="P66" s="23">
        <f t="shared" si="3"/>
        <v>0.46831955922865015</v>
      </c>
      <c r="Q66" s="23">
        <f t="shared" si="4"/>
        <v>1.6528925619834711E-2</v>
      </c>
      <c r="R66" s="24">
        <v>285</v>
      </c>
      <c r="S66" s="24">
        <v>132</v>
      </c>
      <c r="T66" s="24">
        <v>33</v>
      </c>
      <c r="U66" s="24">
        <v>0</v>
      </c>
      <c r="V66" s="24">
        <v>450</v>
      </c>
      <c r="W66" s="25">
        <v>0.6333333333333333</v>
      </c>
      <c r="X66" s="25">
        <v>0.29333333333333333</v>
      </c>
      <c r="Y66" s="25">
        <v>7.3333333333333334E-2</v>
      </c>
      <c r="Z66" s="25">
        <v>0</v>
      </c>
      <c r="AA66" s="26">
        <v>57.966666666666669</v>
      </c>
      <c r="AB66" s="23">
        <f t="shared" si="5"/>
        <v>0.80666666666666664</v>
      </c>
    </row>
    <row r="67" spans="1:28" x14ac:dyDescent="0.25">
      <c r="A67" s="22"/>
      <c r="B67" s="22"/>
      <c r="C67" s="22"/>
      <c r="D67" s="22">
        <v>3</v>
      </c>
      <c r="E67" s="22">
        <v>372</v>
      </c>
      <c r="F67" s="22">
        <v>132</v>
      </c>
      <c r="G67" s="22">
        <v>7</v>
      </c>
      <c r="H67" s="22">
        <v>75</v>
      </c>
      <c r="I67" s="22">
        <v>155</v>
      </c>
      <c r="J67" s="22">
        <v>369</v>
      </c>
      <c r="K67" s="22">
        <v>3</v>
      </c>
      <c r="L67" s="22">
        <f t="shared" ref="L67:L130" si="6">K67+J67</f>
        <v>372</v>
      </c>
      <c r="M67" s="22">
        <v>0</v>
      </c>
      <c r="N67" s="23">
        <f t="shared" ref="N67:N130" si="7">I67/L67</f>
        <v>0.41666666666666669</v>
      </c>
      <c r="O67" s="23">
        <f t="shared" ref="O67:O130" si="8">H67/L67</f>
        <v>0.20161290322580644</v>
      </c>
      <c r="P67" s="23">
        <f t="shared" ref="P67:P130" si="9">F67/L67</f>
        <v>0.35483870967741937</v>
      </c>
      <c r="Q67" s="23">
        <f t="shared" ref="Q67:Q130" si="10">G67/L67</f>
        <v>1.8817204301075269E-2</v>
      </c>
      <c r="R67" s="24">
        <v>296</v>
      </c>
      <c r="S67" s="24">
        <v>149</v>
      </c>
      <c r="T67" s="24">
        <v>62</v>
      </c>
      <c r="U67" s="24">
        <v>0</v>
      </c>
      <c r="V67" s="24">
        <v>507</v>
      </c>
      <c r="W67" s="25">
        <v>0.58382642998027612</v>
      </c>
      <c r="X67" s="25">
        <v>0.29388560157790927</v>
      </c>
      <c r="Y67" s="25">
        <v>0.1222879684418146</v>
      </c>
      <c r="Z67" s="25">
        <v>0</v>
      </c>
      <c r="AA67" s="26">
        <v>44.426035502958577</v>
      </c>
      <c r="AB67" s="23">
        <f t="shared" ref="AB67:AB130" si="11">L67/V67</f>
        <v>0.73372781065088755</v>
      </c>
    </row>
    <row r="68" spans="1:28" x14ac:dyDescent="0.25">
      <c r="A68" s="22"/>
      <c r="B68" s="22"/>
      <c r="C68" s="22"/>
      <c r="D68" s="22">
        <v>4</v>
      </c>
      <c r="E68" s="22">
        <v>348</v>
      </c>
      <c r="F68" s="22">
        <v>107</v>
      </c>
      <c r="G68" s="22">
        <v>9</v>
      </c>
      <c r="H68" s="22">
        <v>83</v>
      </c>
      <c r="I68" s="22">
        <v>149</v>
      </c>
      <c r="J68" s="22">
        <v>348</v>
      </c>
      <c r="K68" s="22">
        <v>0</v>
      </c>
      <c r="L68" s="22">
        <f t="shared" si="6"/>
        <v>348</v>
      </c>
      <c r="M68" s="22">
        <v>0</v>
      </c>
      <c r="N68" s="23">
        <f t="shared" si="7"/>
        <v>0.42816091954022989</v>
      </c>
      <c r="O68" s="23">
        <f t="shared" si="8"/>
        <v>0.23850574712643677</v>
      </c>
      <c r="P68" s="23">
        <f t="shared" si="9"/>
        <v>0.30747126436781608</v>
      </c>
      <c r="Q68" s="23">
        <f t="shared" si="10"/>
        <v>2.5862068965517241E-2</v>
      </c>
      <c r="R68" s="24">
        <v>296</v>
      </c>
      <c r="S68" s="24">
        <v>151</v>
      </c>
      <c r="T68" s="24">
        <v>60</v>
      </c>
      <c r="U68" s="24">
        <v>0</v>
      </c>
      <c r="V68" s="24">
        <v>507</v>
      </c>
      <c r="W68" s="25">
        <v>0.58382642998027612</v>
      </c>
      <c r="X68" s="25">
        <v>0.2978303747534517</v>
      </c>
      <c r="Y68" s="25">
        <v>0.11834319526627218</v>
      </c>
      <c r="Z68" s="25">
        <v>0</v>
      </c>
      <c r="AA68" s="26">
        <v>33.956607495069036</v>
      </c>
      <c r="AB68" s="23">
        <f t="shared" si="11"/>
        <v>0.68639053254437865</v>
      </c>
    </row>
    <row r="69" spans="1:28" x14ac:dyDescent="0.25">
      <c r="A69" s="22"/>
      <c r="B69" s="22"/>
      <c r="C69" s="22"/>
      <c r="D69" s="22">
        <v>5</v>
      </c>
      <c r="E69" s="22">
        <v>381</v>
      </c>
      <c r="F69" s="22">
        <v>131</v>
      </c>
      <c r="G69" s="22">
        <v>3</v>
      </c>
      <c r="H69" s="22">
        <v>93</v>
      </c>
      <c r="I69" s="22">
        <v>152</v>
      </c>
      <c r="J69" s="22">
        <v>379</v>
      </c>
      <c r="K69" s="22">
        <v>2</v>
      </c>
      <c r="L69" s="22">
        <f t="shared" si="6"/>
        <v>381</v>
      </c>
      <c r="M69" s="22">
        <v>0</v>
      </c>
      <c r="N69" s="23">
        <f t="shared" si="7"/>
        <v>0.39895013123359579</v>
      </c>
      <c r="O69" s="23">
        <f t="shared" si="8"/>
        <v>0.24409448818897639</v>
      </c>
      <c r="P69" s="23">
        <f t="shared" si="9"/>
        <v>0.34383202099737531</v>
      </c>
      <c r="Q69" s="23">
        <f t="shared" si="10"/>
        <v>7.874015748031496E-3</v>
      </c>
      <c r="R69" s="24">
        <v>312</v>
      </c>
      <c r="S69" s="24">
        <v>133</v>
      </c>
      <c r="T69" s="24">
        <v>63</v>
      </c>
      <c r="U69" s="24">
        <v>0</v>
      </c>
      <c r="V69" s="24">
        <v>508</v>
      </c>
      <c r="W69" s="25">
        <v>0.61417322834645671</v>
      </c>
      <c r="X69" s="25">
        <v>0.26181102362204722</v>
      </c>
      <c r="Y69" s="25">
        <v>0.12401574803149606</v>
      </c>
      <c r="Z69" s="25">
        <v>0</v>
      </c>
      <c r="AA69" s="26">
        <v>23.761811023622048</v>
      </c>
      <c r="AB69" s="23">
        <f t="shared" si="11"/>
        <v>0.75</v>
      </c>
    </row>
    <row r="70" spans="1:28" x14ac:dyDescent="0.25">
      <c r="A70" s="22">
        <v>14</v>
      </c>
      <c r="B70" s="22" t="s">
        <v>141</v>
      </c>
      <c r="C70" s="22" t="s">
        <v>142</v>
      </c>
      <c r="D70" s="22">
        <v>1</v>
      </c>
      <c r="E70" s="22">
        <v>319</v>
      </c>
      <c r="F70" s="22">
        <v>80</v>
      </c>
      <c r="G70" s="22">
        <v>9</v>
      </c>
      <c r="H70" s="22">
        <v>16</v>
      </c>
      <c r="I70" s="22">
        <v>202</v>
      </c>
      <c r="J70" s="22">
        <v>307</v>
      </c>
      <c r="K70" s="22">
        <v>12</v>
      </c>
      <c r="L70" s="22">
        <f t="shared" si="6"/>
        <v>319</v>
      </c>
      <c r="M70" s="22">
        <v>0</v>
      </c>
      <c r="N70" s="23">
        <f t="shared" si="7"/>
        <v>0.63322884012539182</v>
      </c>
      <c r="O70" s="23">
        <f t="shared" si="8"/>
        <v>5.0156739811912224E-2</v>
      </c>
      <c r="P70" s="23">
        <f t="shared" si="9"/>
        <v>0.2507836990595611</v>
      </c>
      <c r="Q70" s="23">
        <f t="shared" si="10"/>
        <v>2.8213166144200628E-2</v>
      </c>
      <c r="R70" s="24">
        <v>58</v>
      </c>
      <c r="S70" s="24">
        <v>262</v>
      </c>
      <c r="T70" s="24">
        <v>129</v>
      </c>
      <c r="U70" s="24">
        <v>1</v>
      </c>
      <c r="V70" s="24">
        <v>450</v>
      </c>
      <c r="W70" s="25">
        <v>0.12888888888888889</v>
      </c>
      <c r="X70" s="25">
        <v>0.5822222222222222</v>
      </c>
      <c r="Y70" s="25">
        <v>0.28666666666666668</v>
      </c>
      <c r="Z70" s="25">
        <v>2.2222222222222222E-3</v>
      </c>
      <c r="AA70" s="26">
        <v>67.751111111111115</v>
      </c>
      <c r="AB70" s="23">
        <f t="shared" si="11"/>
        <v>0.7088888888888889</v>
      </c>
    </row>
    <row r="71" spans="1:28" x14ac:dyDescent="0.25">
      <c r="A71" s="22"/>
      <c r="B71" s="22"/>
      <c r="C71" s="22"/>
      <c r="D71" s="22">
        <v>2</v>
      </c>
      <c r="E71" s="22">
        <v>363</v>
      </c>
      <c r="F71" s="22">
        <v>73</v>
      </c>
      <c r="G71" s="22">
        <v>7</v>
      </c>
      <c r="H71" s="22">
        <v>23</v>
      </c>
      <c r="I71" s="22">
        <v>256</v>
      </c>
      <c r="J71" s="22">
        <v>359</v>
      </c>
      <c r="K71" s="22">
        <v>4</v>
      </c>
      <c r="L71" s="22">
        <f t="shared" si="6"/>
        <v>363</v>
      </c>
      <c r="M71" s="22">
        <v>0</v>
      </c>
      <c r="N71" s="23">
        <f t="shared" si="7"/>
        <v>0.70523415977961434</v>
      </c>
      <c r="O71" s="23">
        <f t="shared" si="8"/>
        <v>6.3360881542699726E-2</v>
      </c>
      <c r="P71" s="23">
        <f t="shared" si="9"/>
        <v>0.20110192837465565</v>
      </c>
      <c r="Q71" s="23">
        <f t="shared" si="10"/>
        <v>1.928374655647383E-2</v>
      </c>
      <c r="R71" s="24">
        <v>74</v>
      </c>
      <c r="S71" s="24">
        <v>244</v>
      </c>
      <c r="T71" s="24">
        <v>132</v>
      </c>
      <c r="U71" s="24">
        <v>0</v>
      </c>
      <c r="V71" s="24">
        <v>450</v>
      </c>
      <c r="W71" s="25">
        <v>0.16444444444444445</v>
      </c>
      <c r="X71" s="25">
        <v>0.54222222222222227</v>
      </c>
      <c r="Y71" s="25">
        <v>0.29333333333333333</v>
      </c>
      <c r="Z71" s="25">
        <v>0</v>
      </c>
      <c r="AA71" s="26">
        <v>58.617777777777775</v>
      </c>
      <c r="AB71" s="23">
        <f t="shared" si="11"/>
        <v>0.80666666666666664</v>
      </c>
    </row>
    <row r="72" spans="1:28" x14ac:dyDescent="0.25">
      <c r="A72" s="22"/>
      <c r="B72" s="22"/>
      <c r="C72" s="22"/>
      <c r="D72" s="22">
        <v>3</v>
      </c>
      <c r="E72" s="22">
        <v>431</v>
      </c>
      <c r="F72" s="22">
        <v>70</v>
      </c>
      <c r="G72" s="22">
        <v>1</v>
      </c>
      <c r="H72" s="22">
        <v>24</v>
      </c>
      <c r="I72" s="22">
        <v>329</v>
      </c>
      <c r="J72" s="22">
        <v>424</v>
      </c>
      <c r="K72" s="22">
        <v>7</v>
      </c>
      <c r="L72" s="22">
        <f t="shared" si="6"/>
        <v>431</v>
      </c>
      <c r="M72" s="22">
        <v>0</v>
      </c>
      <c r="N72" s="23">
        <f t="shared" si="7"/>
        <v>0.76334106728538287</v>
      </c>
      <c r="O72" s="23">
        <f t="shared" si="8"/>
        <v>5.5684454756380508E-2</v>
      </c>
      <c r="P72" s="23">
        <f t="shared" si="9"/>
        <v>0.16241299303944315</v>
      </c>
      <c r="Q72" s="23">
        <f t="shared" si="10"/>
        <v>2.3201856148491878E-3</v>
      </c>
      <c r="R72" s="24">
        <v>96</v>
      </c>
      <c r="S72" s="24">
        <v>301</v>
      </c>
      <c r="T72" s="24">
        <v>237</v>
      </c>
      <c r="U72" s="24">
        <v>2</v>
      </c>
      <c r="V72" s="24">
        <v>636</v>
      </c>
      <c r="W72" s="25">
        <v>0.15094339622641509</v>
      </c>
      <c r="X72" s="25">
        <v>0.47327044025157233</v>
      </c>
      <c r="Y72" s="25">
        <v>0.37264150943396224</v>
      </c>
      <c r="Z72" s="25">
        <v>3.1446540880503146E-3</v>
      </c>
      <c r="AA72" s="26">
        <v>46.410377358490564</v>
      </c>
      <c r="AB72" s="23">
        <f t="shared" si="11"/>
        <v>0.67767295597484278</v>
      </c>
    </row>
    <row r="73" spans="1:28" x14ac:dyDescent="0.25">
      <c r="A73" s="22"/>
      <c r="B73" s="22"/>
      <c r="C73" s="22"/>
      <c r="D73" s="22">
        <v>4</v>
      </c>
      <c r="E73" s="22">
        <v>428</v>
      </c>
      <c r="F73" s="22">
        <v>65</v>
      </c>
      <c r="G73" s="22">
        <v>2</v>
      </c>
      <c r="H73" s="22">
        <v>43</v>
      </c>
      <c r="I73" s="22">
        <v>318</v>
      </c>
      <c r="J73" s="22">
        <v>428</v>
      </c>
      <c r="K73" s="22">
        <v>0</v>
      </c>
      <c r="L73" s="22">
        <f t="shared" si="6"/>
        <v>428</v>
      </c>
      <c r="M73" s="22">
        <v>0</v>
      </c>
      <c r="N73" s="23">
        <f t="shared" si="7"/>
        <v>0.7429906542056075</v>
      </c>
      <c r="O73" s="23">
        <f t="shared" si="8"/>
        <v>0.10046728971962617</v>
      </c>
      <c r="P73" s="23">
        <f t="shared" si="9"/>
        <v>0.15186915887850466</v>
      </c>
      <c r="Q73" s="23">
        <f t="shared" si="10"/>
        <v>4.6728971962616819E-3</v>
      </c>
      <c r="R73" s="24">
        <v>146</v>
      </c>
      <c r="S73" s="24">
        <v>270</v>
      </c>
      <c r="T73" s="24">
        <v>219</v>
      </c>
      <c r="U73" s="24">
        <v>1</v>
      </c>
      <c r="V73" s="24">
        <v>636</v>
      </c>
      <c r="W73" s="25">
        <v>0.22955974842767296</v>
      </c>
      <c r="X73" s="25">
        <v>0.42452830188679247</v>
      </c>
      <c r="Y73" s="25">
        <v>0.34433962264150941</v>
      </c>
      <c r="Z73" s="25">
        <v>1.5723270440251573E-3</v>
      </c>
      <c r="AA73" s="26">
        <v>36.825471698113205</v>
      </c>
      <c r="AB73" s="23">
        <f t="shared" si="11"/>
        <v>0.67295597484276726</v>
      </c>
    </row>
    <row r="74" spans="1:28" x14ac:dyDescent="0.25">
      <c r="A74" s="22"/>
      <c r="B74" s="22"/>
      <c r="C74" s="22"/>
      <c r="D74" s="22">
        <v>5</v>
      </c>
      <c r="E74" s="22">
        <v>425</v>
      </c>
      <c r="F74" s="22">
        <v>82</v>
      </c>
      <c r="G74" s="22">
        <v>3</v>
      </c>
      <c r="H74" s="22">
        <v>54</v>
      </c>
      <c r="I74" s="22">
        <v>282</v>
      </c>
      <c r="J74" s="22">
        <v>421</v>
      </c>
      <c r="K74" s="22">
        <v>4</v>
      </c>
      <c r="L74" s="22">
        <f t="shared" si="6"/>
        <v>425</v>
      </c>
      <c r="M74" s="22">
        <v>0</v>
      </c>
      <c r="N74" s="23">
        <f t="shared" si="7"/>
        <v>0.66352941176470592</v>
      </c>
      <c r="O74" s="23">
        <f t="shared" si="8"/>
        <v>0.12705882352941175</v>
      </c>
      <c r="P74" s="23">
        <f t="shared" si="9"/>
        <v>0.19294117647058823</v>
      </c>
      <c r="Q74" s="23">
        <f t="shared" si="10"/>
        <v>7.058823529411765E-3</v>
      </c>
      <c r="R74" s="24">
        <v>183</v>
      </c>
      <c r="S74" s="24">
        <v>235</v>
      </c>
      <c r="T74" s="24">
        <v>218</v>
      </c>
      <c r="U74" s="24">
        <v>0</v>
      </c>
      <c r="V74" s="24">
        <v>636</v>
      </c>
      <c r="W74" s="25">
        <v>0.28773584905660377</v>
      </c>
      <c r="X74" s="25">
        <v>0.36949685534591192</v>
      </c>
      <c r="Y74" s="25">
        <v>0.34276729559748426</v>
      </c>
      <c r="Z74" s="25">
        <v>0</v>
      </c>
      <c r="AA74" s="26">
        <v>29.581761006289309</v>
      </c>
      <c r="AB74" s="23">
        <f t="shared" si="11"/>
        <v>0.66823899371069184</v>
      </c>
    </row>
    <row r="75" spans="1:28" x14ac:dyDescent="0.25">
      <c r="A75" s="22"/>
      <c r="B75" s="22"/>
      <c r="C75" s="22"/>
      <c r="D75" s="22">
        <v>6</v>
      </c>
      <c r="E75" s="22">
        <v>500</v>
      </c>
      <c r="F75" s="22">
        <v>101</v>
      </c>
      <c r="G75" s="22">
        <v>2</v>
      </c>
      <c r="H75" s="22">
        <v>83</v>
      </c>
      <c r="I75" s="22">
        <v>314</v>
      </c>
      <c r="J75" s="22">
        <v>500</v>
      </c>
      <c r="K75" s="22">
        <v>0</v>
      </c>
      <c r="L75" s="22">
        <f t="shared" si="6"/>
        <v>500</v>
      </c>
      <c r="M75" s="22">
        <v>0</v>
      </c>
      <c r="N75" s="23">
        <f t="shared" si="7"/>
        <v>0.628</v>
      </c>
      <c r="O75" s="23">
        <f t="shared" si="8"/>
        <v>0.16600000000000001</v>
      </c>
      <c r="P75" s="23">
        <f t="shared" si="9"/>
        <v>0.20200000000000001</v>
      </c>
      <c r="Q75" s="23">
        <f t="shared" si="10"/>
        <v>4.0000000000000001E-3</v>
      </c>
      <c r="R75" s="24">
        <v>210</v>
      </c>
      <c r="S75" s="24">
        <v>188</v>
      </c>
      <c r="T75" s="24">
        <v>238</v>
      </c>
      <c r="U75" s="24">
        <v>0</v>
      </c>
      <c r="V75" s="24">
        <v>636</v>
      </c>
      <c r="W75" s="25">
        <v>0.330188679245283</v>
      </c>
      <c r="X75" s="25">
        <v>0.29559748427672955</v>
      </c>
      <c r="Y75" s="25">
        <v>0.37421383647798739</v>
      </c>
      <c r="Z75" s="25">
        <v>0</v>
      </c>
      <c r="AA75" s="26">
        <v>22.19811320754717</v>
      </c>
      <c r="AB75" s="23">
        <f t="shared" si="11"/>
        <v>0.78616352201257866</v>
      </c>
    </row>
    <row r="76" spans="1:28" x14ac:dyDescent="0.25">
      <c r="A76" s="22">
        <v>14</v>
      </c>
      <c r="B76" s="22" t="s">
        <v>141</v>
      </c>
      <c r="C76" s="22" t="s">
        <v>143</v>
      </c>
      <c r="D76" s="22">
        <v>1</v>
      </c>
      <c r="E76" s="22">
        <v>372</v>
      </c>
      <c r="F76" s="22">
        <v>163</v>
      </c>
      <c r="G76" s="22">
        <v>8</v>
      </c>
      <c r="H76" s="22">
        <v>47</v>
      </c>
      <c r="I76" s="22">
        <v>151</v>
      </c>
      <c r="J76" s="22">
        <v>369</v>
      </c>
      <c r="K76" s="22">
        <v>3</v>
      </c>
      <c r="L76" s="22">
        <f t="shared" si="6"/>
        <v>372</v>
      </c>
      <c r="M76" s="22">
        <v>0</v>
      </c>
      <c r="N76" s="23">
        <f t="shared" si="7"/>
        <v>0.40591397849462363</v>
      </c>
      <c r="O76" s="23">
        <f t="shared" si="8"/>
        <v>0.12634408602150538</v>
      </c>
      <c r="P76" s="23">
        <f t="shared" si="9"/>
        <v>0.43817204301075269</v>
      </c>
      <c r="Q76" s="23">
        <f t="shared" si="10"/>
        <v>2.1505376344086023E-2</v>
      </c>
      <c r="R76" s="24">
        <v>244</v>
      </c>
      <c r="S76" s="24">
        <v>96</v>
      </c>
      <c r="T76" s="24">
        <v>108</v>
      </c>
      <c r="U76" s="24">
        <v>2</v>
      </c>
      <c r="V76" s="24">
        <v>450</v>
      </c>
      <c r="W76" s="25">
        <v>0.54222222222222227</v>
      </c>
      <c r="X76" s="25">
        <v>0.21333333333333335</v>
      </c>
      <c r="Y76" s="25">
        <v>0.24</v>
      </c>
      <c r="Z76" s="25">
        <v>4.4444444444444444E-3</v>
      </c>
      <c r="AA76" s="26">
        <v>59.966666666666669</v>
      </c>
      <c r="AB76" s="23">
        <f t="shared" si="11"/>
        <v>0.82666666666666666</v>
      </c>
    </row>
    <row r="77" spans="1:28" x14ac:dyDescent="0.25">
      <c r="A77" s="22"/>
      <c r="B77" s="22"/>
      <c r="C77" s="22"/>
      <c r="D77" s="22">
        <v>2</v>
      </c>
      <c r="E77" s="22">
        <v>427</v>
      </c>
      <c r="F77" s="22">
        <v>116</v>
      </c>
      <c r="G77" s="22">
        <v>9</v>
      </c>
      <c r="H77" s="22">
        <v>68</v>
      </c>
      <c r="I77" s="22">
        <v>227</v>
      </c>
      <c r="J77" s="22">
        <v>420</v>
      </c>
      <c r="K77" s="22">
        <v>7</v>
      </c>
      <c r="L77" s="22">
        <f t="shared" si="6"/>
        <v>427</v>
      </c>
      <c r="M77" s="22">
        <v>0</v>
      </c>
      <c r="N77" s="23">
        <f t="shared" si="7"/>
        <v>0.53161592505854804</v>
      </c>
      <c r="O77" s="23">
        <f t="shared" si="8"/>
        <v>0.15925058548009369</v>
      </c>
      <c r="P77" s="23">
        <f t="shared" si="9"/>
        <v>0.27166276346604218</v>
      </c>
      <c r="Q77" s="23">
        <f t="shared" si="10"/>
        <v>2.1077283372365339E-2</v>
      </c>
      <c r="R77" s="24">
        <v>244</v>
      </c>
      <c r="S77" s="24">
        <v>179</v>
      </c>
      <c r="T77" s="24">
        <v>196</v>
      </c>
      <c r="U77" s="24">
        <v>1</v>
      </c>
      <c r="V77" s="24">
        <v>620</v>
      </c>
      <c r="W77" s="25">
        <v>0.3935483870967742</v>
      </c>
      <c r="X77" s="25">
        <v>0.28870967741935483</v>
      </c>
      <c r="Y77" s="25">
        <v>0.31612903225806449</v>
      </c>
      <c r="Z77" s="25">
        <v>1.6129032258064516E-3</v>
      </c>
      <c r="AA77" s="26">
        <v>43.270967741935486</v>
      </c>
      <c r="AB77" s="23">
        <f t="shared" si="11"/>
        <v>0.68870967741935485</v>
      </c>
    </row>
    <row r="78" spans="1:28" x14ac:dyDescent="0.25">
      <c r="A78" s="22"/>
      <c r="B78" s="22"/>
      <c r="C78" s="22"/>
      <c r="D78" s="22">
        <v>3</v>
      </c>
      <c r="E78" s="22">
        <v>429</v>
      </c>
      <c r="F78" s="22">
        <v>112</v>
      </c>
      <c r="G78" s="22">
        <v>14</v>
      </c>
      <c r="H78" s="22">
        <v>86</v>
      </c>
      <c r="I78" s="22">
        <v>215</v>
      </c>
      <c r="J78" s="22">
        <v>427</v>
      </c>
      <c r="K78" s="22">
        <v>2</v>
      </c>
      <c r="L78" s="22">
        <f t="shared" si="6"/>
        <v>429</v>
      </c>
      <c r="M78" s="22">
        <v>0</v>
      </c>
      <c r="N78" s="23">
        <f t="shared" si="7"/>
        <v>0.50116550116550118</v>
      </c>
      <c r="O78" s="23">
        <f t="shared" si="8"/>
        <v>0.20046620046620048</v>
      </c>
      <c r="P78" s="23">
        <f t="shared" si="9"/>
        <v>0.26107226107226106</v>
      </c>
      <c r="Q78" s="23">
        <f t="shared" si="10"/>
        <v>3.2634032634032632E-2</v>
      </c>
      <c r="R78" s="24">
        <v>274</v>
      </c>
      <c r="S78" s="24">
        <v>196</v>
      </c>
      <c r="T78" s="24">
        <v>150</v>
      </c>
      <c r="U78" s="24">
        <v>0</v>
      </c>
      <c r="V78" s="24">
        <v>620</v>
      </c>
      <c r="W78" s="25">
        <v>0.44193548387096776</v>
      </c>
      <c r="X78" s="25">
        <v>0.31612903225806449</v>
      </c>
      <c r="Y78" s="25">
        <v>0.24193548387096775</v>
      </c>
      <c r="Z78" s="25">
        <v>0</v>
      </c>
      <c r="AA78" s="26">
        <v>32.70967741935484</v>
      </c>
      <c r="AB78" s="23">
        <f t="shared" si="11"/>
        <v>0.6919354838709677</v>
      </c>
    </row>
    <row r="79" spans="1:28" x14ac:dyDescent="0.25">
      <c r="A79" s="22"/>
      <c r="B79" s="22"/>
      <c r="C79" s="22"/>
      <c r="D79" s="22">
        <v>4</v>
      </c>
      <c r="E79" s="22">
        <v>471</v>
      </c>
      <c r="F79" s="22">
        <v>143</v>
      </c>
      <c r="G79" s="22">
        <v>3</v>
      </c>
      <c r="H79" s="22">
        <v>97</v>
      </c>
      <c r="I79" s="22">
        <v>227</v>
      </c>
      <c r="J79" s="22">
        <v>470</v>
      </c>
      <c r="K79" s="22">
        <v>1</v>
      </c>
      <c r="L79" s="22">
        <f t="shared" si="6"/>
        <v>471</v>
      </c>
      <c r="M79" s="22">
        <v>0</v>
      </c>
      <c r="N79" s="23">
        <f t="shared" si="7"/>
        <v>0.48195329087048833</v>
      </c>
      <c r="O79" s="23">
        <f t="shared" si="8"/>
        <v>0.20594479830148621</v>
      </c>
      <c r="P79" s="23">
        <f t="shared" si="9"/>
        <v>0.30360934182590232</v>
      </c>
      <c r="Q79" s="23">
        <f t="shared" si="10"/>
        <v>6.369426751592357E-3</v>
      </c>
      <c r="R79" s="24">
        <v>322</v>
      </c>
      <c r="S79" s="24">
        <v>147</v>
      </c>
      <c r="T79" s="24">
        <v>151</v>
      </c>
      <c r="U79" s="24">
        <v>2</v>
      </c>
      <c r="V79" s="24">
        <v>622</v>
      </c>
      <c r="W79" s="25">
        <v>0.51768488745980712</v>
      </c>
      <c r="X79" s="25">
        <v>0.23633440514469453</v>
      </c>
      <c r="Y79" s="25">
        <v>0.2427652733118971</v>
      </c>
      <c r="Z79" s="25">
        <v>3.2154340836012861E-3</v>
      </c>
      <c r="AA79" s="26">
        <v>23.463022508038584</v>
      </c>
      <c r="AB79" s="23">
        <f t="shared" si="11"/>
        <v>0.75723472668810288</v>
      </c>
    </row>
    <row r="80" spans="1:28" x14ac:dyDescent="0.25">
      <c r="A80" s="22">
        <v>15</v>
      </c>
      <c r="B80" s="22" t="s">
        <v>144</v>
      </c>
      <c r="C80" s="22" t="s">
        <v>145</v>
      </c>
      <c r="D80" s="22">
        <v>1</v>
      </c>
      <c r="E80" s="22">
        <v>257</v>
      </c>
      <c r="F80" s="22">
        <v>72</v>
      </c>
      <c r="G80" s="22">
        <v>0</v>
      </c>
      <c r="H80" s="22">
        <v>5</v>
      </c>
      <c r="I80" s="22">
        <v>179</v>
      </c>
      <c r="J80" s="22">
        <v>256</v>
      </c>
      <c r="K80" s="22">
        <v>1</v>
      </c>
      <c r="L80" s="22">
        <f t="shared" si="6"/>
        <v>257</v>
      </c>
      <c r="M80" s="22">
        <v>0</v>
      </c>
      <c r="N80" s="23">
        <f t="shared" si="7"/>
        <v>0.69649805447470814</v>
      </c>
      <c r="O80" s="23">
        <f t="shared" si="8"/>
        <v>1.9455252918287938E-2</v>
      </c>
      <c r="P80" s="23">
        <f t="shared" si="9"/>
        <v>0.28015564202334631</v>
      </c>
      <c r="Q80" s="23">
        <f t="shared" si="10"/>
        <v>0</v>
      </c>
      <c r="R80" s="24">
        <v>2</v>
      </c>
      <c r="S80" s="24">
        <v>309</v>
      </c>
      <c r="T80" s="24">
        <v>39</v>
      </c>
      <c r="U80" s="24">
        <v>0</v>
      </c>
      <c r="V80" s="24">
        <v>350</v>
      </c>
      <c r="W80" s="25">
        <v>5.7142857142857143E-3</v>
      </c>
      <c r="X80" s="25">
        <v>0.8828571428571429</v>
      </c>
      <c r="Y80" s="25">
        <v>0.11142857142857143</v>
      </c>
      <c r="Z80" s="25">
        <v>0</v>
      </c>
      <c r="AA80" s="26">
        <v>63.725714285714282</v>
      </c>
      <c r="AB80" s="23">
        <f t="shared" si="11"/>
        <v>0.73428571428571432</v>
      </c>
    </row>
    <row r="81" spans="1:28" x14ac:dyDescent="0.25">
      <c r="A81" s="22"/>
      <c r="B81" s="22"/>
      <c r="C81" s="22"/>
      <c r="D81" s="22">
        <v>2</v>
      </c>
      <c r="E81" s="22">
        <v>218</v>
      </c>
      <c r="F81" s="22">
        <v>34</v>
      </c>
      <c r="G81" s="22">
        <v>0</v>
      </c>
      <c r="H81" s="22">
        <v>7</v>
      </c>
      <c r="I81" s="22">
        <v>173</v>
      </c>
      <c r="J81" s="22">
        <v>214</v>
      </c>
      <c r="K81" s="22">
        <v>4</v>
      </c>
      <c r="L81" s="22">
        <f t="shared" si="6"/>
        <v>218</v>
      </c>
      <c r="M81" s="22">
        <v>0</v>
      </c>
      <c r="N81" s="23">
        <f t="shared" si="7"/>
        <v>0.79357798165137616</v>
      </c>
      <c r="O81" s="23">
        <f t="shared" si="8"/>
        <v>3.2110091743119268E-2</v>
      </c>
      <c r="P81" s="23">
        <f t="shared" si="9"/>
        <v>0.15596330275229359</v>
      </c>
      <c r="Q81" s="23">
        <f t="shared" si="10"/>
        <v>0</v>
      </c>
      <c r="R81" s="24">
        <v>12</v>
      </c>
      <c r="S81" s="24">
        <v>297</v>
      </c>
      <c r="T81" s="24">
        <v>43</v>
      </c>
      <c r="U81" s="24">
        <v>0</v>
      </c>
      <c r="V81" s="24">
        <v>352</v>
      </c>
      <c r="W81" s="25">
        <v>3.4090909090909088E-2</v>
      </c>
      <c r="X81" s="25">
        <v>0.84375</v>
      </c>
      <c r="Y81" s="25">
        <v>0.12215909090909091</v>
      </c>
      <c r="Z81" s="25">
        <v>0</v>
      </c>
      <c r="AA81" s="26">
        <v>33.039772727272727</v>
      </c>
      <c r="AB81" s="23">
        <f t="shared" si="11"/>
        <v>0.61931818181818177</v>
      </c>
    </row>
    <row r="82" spans="1:28" x14ac:dyDescent="0.25">
      <c r="A82" s="22">
        <v>16</v>
      </c>
      <c r="B82" s="22" t="s">
        <v>146</v>
      </c>
      <c r="C82" s="22" t="s">
        <v>147</v>
      </c>
      <c r="D82" s="22">
        <v>1</v>
      </c>
      <c r="E82" s="22">
        <v>357</v>
      </c>
      <c r="F82" s="22">
        <v>256</v>
      </c>
      <c r="G82" s="22">
        <v>7</v>
      </c>
      <c r="H82" s="22">
        <v>40</v>
      </c>
      <c r="I82" s="22">
        <v>49</v>
      </c>
      <c r="J82" s="22">
        <v>352</v>
      </c>
      <c r="K82" s="22">
        <v>5</v>
      </c>
      <c r="L82" s="22">
        <f t="shared" si="6"/>
        <v>357</v>
      </c>
      <c r="M82" s="22">
        <v>0</v>
      </c>
      <c r="N82" s="23">
        <f t="shared" si="7"/>
        <v>0.13725490196078433</v>
      </c>
      <c r="O82" s="23">
        <f t="shared" si="8"/>
        <v>0.11204481792717087</v>
      </c>
      <c r="P82" s="23">
        <f t="shared" si="9"/>
        <v>0.71708683473389356</v>
      </c>
      <c r="Q82" s="23">
        <f t="shared" si="10"/>
        <v>1.9607843137254902E-2</v>
      </c>
      <c r="R82" s="24">
        <v>399</v>
      </c>
      <c r="S82" s="24">
        <v>37</v>
      </c>
      <c r="T82" s="24">
        <v>14</v>
      </c>
      <c r="U82" s="24">
        <v>0</v>
      </c>
      <c r="V82" s="24">
        <v>450</v>
      </c>
      <c r="W82" s="25">
        <v>0.88666666666666671</v>
      </c>
      <c r="X82" s="25">
        <v>8.2222222222222224E-2</v>
      </c>
      <c r="Y82" s="25">
        <v>3.111111111111111E-2</v>
      </c>
      <c r="Z82" s="25">
        <v>0</v>
      </c>
      <c r="AA82" s="26">
        <v>63.582222222222221</v>
      </c>
      <c r="AB82" s="23">
        <f t="shared" si="11"/>
        <v>0.79333333333333333</v>
      </c>
    </row>
    <row r="83" spans="1:28" x14ac:dyDescent="0.25">
      <c r="A83" s="22"/>
      <c r="B83" s="22"/>
      <c r="C83" s="22"/>
      <c r="D83" s="22">
        <v>2</v>
      </c>
      <c r="E83" s="22">
        <v>309</v>
      </c>
      <c r="F83" s="22">
        <v>177</v>
      </c>
      <c r="G83" s="22">
        <v>7</v>
      </c>
      <c r="H83" s="22">
        <v>80</v>
      </c>
      <c r="I83" s="22">
        <v>41</v>
      </c>
      <c r="J83" s="22">
        <v>305</v>
      </c>
      <c r="K83" s="22">
        <v>4</v>
      </c>
      <c r="L83" s="22">
        <f t="shared" si="6"/>
        <v>309</v>
      </c>
      <c r="M83" s="22">
        <v>0</v>
      </c>
      <c r="N83" s="23">
        <f t="shared" si="7"/>
        <v>0.13268608414239483</v>
      </c>
      <c r="O83" s="23">
        <f t="shared" si="8"/>
        <v>0.25889967637540451</v>
      </c>
      <c r="P83" s="23">
        <f t="shared" si="9"/>
        <v>0.57281553398058249</v>
      </c>
      <c r="Q83" s="23">
        <f t="shared" si="10"/>
        <v>2.2653721682847898E-2</v>
      </c>
      <c r="R83" s="24">
        <v>391</v>
      </c>
      <c r="S83" s="24">
        <v>22</v>
      </c>
      <c r="T83" s="24">
        <v>3</v>
      </c>
      <c r="U83" s="24">
        <v>1</v>
      </c>
      <c r="V83" s="24">
        <v>417</v>
      </c>
      <c r="W83" s="25">
        <v>0.93764988009592332</v>
      </c>
      <c r="X83" s="25">
        <v>5.2757793764988008E-2</v>
      </c>
      <c r="Y83" s="25">
        <v>7.1942446043165471E-3</v>
      </c>
      <c r="Z83" s="25">
        <v>2.3980815347721821E-3</v>
      </c>
      <c r="AA83" s="26">
        <v>43.717026378896882</v>
      </c>
      <c r="AB83" s="23">
        <f t="shared" si="11"/>
        <v>0.74100719424460426</v>
      </c>
    </row>
    <row r="84" spans="1:28" x14ac:dyDescent="0.25">
      <c r="A84" s="22"/>
      <c r="B84" s="22"/>
      <c r="C84" s="22"/>
      <c r="D84" s="22">
        <v>3</v>
      </c>
      <c r="E84" s="22">
        <v>335</v>
      </c>
      <c r="F84" s="22">
        <v>197</v>
      </c>
      <c r="G84" s="22">
        <v>4</v>
      </c>
      <c r="H84" s="22">
        <v>102</v>
      </c>
      <c r="I84" s="22">
        <v>32</v>
      </c>
      <c r="J84" s="22">
        <v>335</v>
      </c>
      <c r="K84" s="22">
        <v>0</v>
      </c>
      <c r="L84" s="22">
        <f t="shared" si="6"/>
        <v>335</v>
      </c>
      <c r="M84" s="22">
        <v>0</v>
      </c>
      <c r="N84" s="23">
        <f t="shared" si="7"/>
        <v>9.5522388059701493E-2</v>
      </c>
      <c r="O84" s="23">
        <f t="shared" si="8"/>
        <v>0.30447761194029849</v>
      </c>
      <c r="P84" s="23">
        <f t="shared" si="9"/>
        <v>0.58805970149253728</v>
      </c>
      <c r="Q84" s="23">
        <f t="shared" si="10"/>
        <v>1.1940298507462687E-2</v>
      </c>
      <c r="R84" s="24">
        <v>409</v>
      </c>
      <c r="S84" s="24">
        <v>8</v>
      </c>
      <c r="T84" s="24">
        <v>1</v>
      </c>
      <c r="U84" s="24">
        <v>0</v>
      </c>
      <c r="V84" s="24">
        <v>418</v>
      </c>
      <c r="W84" s="25">
        <v>0.97846889952153115</v>
      </c>
      <c r="X84" s="25">
        <v>1.9138755980861243E-2</v>
      </c>
      <c r="Y84" s="25">
        <v>2.3923444976076554E-3</v>
      </c>
      <c r="Z84" s="25">
        <v>0</v>
      </c>
      <c r="AA84" s="26">
        <v>26.342105263157894</v>
      </c>
      <c r="AB84" s="23">
        <f t="shared" si="11"/>
        <v>0.80143540669856461</v>
      </c>
    </row>
    <row r="85" spans="1:28" x14ac:dyDescent="0.25">
      <c r="A85" s="22">
        <v>17</v>
      </c>
      <c r="B85" s="22" t="s">
        <v>148</v>
      </c>
      <c r="C85" s="22" t="s">
        <v>149</v>
      </c>
      <c r="D85" s="22">
        <v>1</v>
      </c>
      <c r="E85" s="22">
        <v>303</v>
      </c>
      <c r="F85" s="22">
        <v>103</v>
      </c>
      <c r="G85" s="22">
        <v>5</v>
      </c>
      <c r="H85" s="22">
        <v>7</v>
      </c>
      <c r="I85" s="22">
        <v>178</v>
      </c>
      <c r="J85" s="22">
        <v>293</v>
      </c>
      <c r="K85" s="22">
        <v>10</v>
      </c>
      <c r="L85" s="22">
        <f t="shared" si="6"/>
        <v>303</v>
      </c>
      <c r="M85" s="22">
        <v>0</v>
      </c>
      <c r="N85" s="23">
        <f t="shared" si="7"/>
        <v>0.58745874587458746</v>
      </c>
      <c r="O85" s="23">
        <f t="shared" si="8"/>
        <v>2.3102310231023101E-2</v>
      </c>
      <c r="P85" s="23">
        <f t="shared" si="9"/>
        <v>0.33993399339933994</v>
      </c>
      <c r="Q85" s="23">
        <f t="shared" si="10"/>
        <v>1.65016501650165E-2</v>
      </c>
      <c r="R85" s="24">
        <v>76</v>
      </c>
      <c r="S85" s="24">
        <v>306</v>
      </c>
      <c r="T85" s="24">
        <v>68</v>
      </c>
      <c r="U85" s="24">
        <v>0</v>
      </c>
      <c r="V85" s="24">
        <v>450</v>
      </c>
      <c r="W85" s="25">
        <v>0.16888888888888889</v>
      </c>
      <c r="X85" s="25">
        <v>0.68</v>
      </c>
      <c r="Y85" s="25">
        <v>0.15111111111111111</v>
      </c>
      <c r="Z85" s="25">
        <v>0</v>
      </c>
      <c r="AA85" s="26">
        <v>68.702222222222218</v>
      </c>
      <c r="AB85" s="23">
        <f t="shared" si="11"/>
        <v>0.67333333333333334</v>
      </c>
    </row>
    <row r="86" spans="1:28" x14ac:dyDescent="0.25">
      <c r="A86" s="22"/>
      <c r="B86" s="22"/>
      <c r="C86" s="22"/>
      <c r="D86" s="22">
        <v>2</v>
      </c>
      <c r="E86" s="22">
        <v>310</v>
      </c>
      <c r="F86" s="22">
        <v>102</v>
      </c>
      <c r="G86" s="22">
        <v>3</v>
      </c>
      <c r="H86" s="22">
        <v>23</v>
      </c>
      <c r="I86" s="22">
        <v>181</v>
      </c>
      <c r="J86" s="22">
        <v>309</v>
      </c>
      <c r="K86" s="22">
        <v>1</v>
      </c>
      <c r="L86" s="22">
        <f t="shared" si="6"/>
        <v>310</v>
      </c>
      <c r="M86" s="22">
        <v>0</v>
      </c>
      <c r="N86" s="23">
        <f t="shared" si="7"/>
        <v>0.58387096774193548</v>
      </c>
      <c r="O86" s="23">
        <f t="shared" si="8"/>
        <v>7.4193548387096769E-2</v>
      </c>
      <c r="P86" s="23">
        <f t="shared" si="9"/>
        <v>0.32903225806451614</v>
      </c>
      <c r="Q86" s="23">
        <f t="shared" si="10"/>
        <v>9.6774193548387101E-3</v>
      </c>
      <c r="R86" s="24">
        <v>121</v>
      </c>
      <c r="S86" s="24">
        <v>245</v>
      </c>
      <c r="T86" s="24">
        <v>84</v>
      </c>
      <c r="U86" s="24">
        <v>0</v>
      </c>
      <c r="V86" s="24">
        <v>450</v>
      </c>
      <c r="W86" s="25">
        <v>0.2688888888888889</v>
      </c>
      <c r="X86" s="25">
        <v>0.5444444444444444</v>
      </c>
      <c r="Y86" s="25">
        <v>0.18666666666666668</v>
      </c>
      <c r="Z86" s="25">
        <v>0</v>
      </c>
      <c r="AA86" s="26">
        <v>54.395555555555553</v>
      </c>
      <c r="AB86" s="23">
        <f t="shared" si="11"/>
        <v>0.68888888888888888</v>
      </c>
    </row>
    <row r="87" spans="1:28" x14ac:dyDescent="0.25">
      <c r="A87" s="22"/>
      <c r="B87" s="22"/>
      <c r="C87" s="22"/>
      <c r="D87" s="22">
        <v>3</v>
      </c>
      <c r="E87" s="22">
        <v>323</v>
      </c>
      <c r="F87" s="22">
        <v>77</v>
      </c>
      <c r="G87" s="22">
        <v>3</v>
      </c>
      <c r="H87" s="22">
        <v>45</v>
      </c>
      <c r="I87" s="22">
        <v>193</v>
      </c>
      <c r="J87" s="22">
        <v>318</v>
      </c>
      <c r="K87" s="22">
        <v>5</v>
      </c>
      <c r="L87" s="22">
        <f t="shared" si="6"/>
        <v>323</v>
      </c>
      <c r="M87" s="22">
        <v>0</v>
      </c>
      <c r="N87" s="23">
        <f t="shared" si="7"/>
        <v>0.5975232198142415</v>
      </c>
      <c r="O87" s="23">
        <f t="shared" si="8"/>
        <v>0.13931888544891641</v>
      </c>
      <c r="P87" s="23">
        <f t="shared" si="9"/>
        <v>0.23839009287925697</v>
      </c>
      <c r="Q87" s="23">
        <f t="shared" si="10"/>
        <v>9.2879256965944269E-3</v>
      </c>
      <c r="R87" s="24">
        <v>160</v>
      </c>
      <c r="S87" s="24">
        <v>259</v>
      </c>
      <c r="T87" s="24">
        <v>146</v>
      </c>
      <c r="U87" s="24">
        <v>1</v>
      </c>
      <c r="V87" s="24">
        <v>566</v>
      </c>
      <c r="W87" s="25">
        <v>0.28268551236749118</v>
      </c>
      <c r="X87" s="25">
        <v>0.4575971731448763</v>
      </c>
      <c r="Y87" s="25">
        <v>0.25795053003533569</v>
      </c>
      <c r="Z87" s="25">
        <v>1.7667844522968198E-3</v>
      </c>
      <c r="AA87" s="26">
        <v>39.957597173144876</v>
      </c>
      <c r="AB87" s="23">
        <f t="shared" si="11"/>
        <v>0.57067137809187274</v>
      </c>
    </row>
    <row r="88" spans="1:28" x14ac:dyDescent="0.25">
      <c r="A88" s="22"/>
      <c r="B88" s="22"/>
      <c r="C88" s="22"/>
      <c r="D88" s="22">
        <v>4</v>
      </c>
      <c r="E88" s="22">
        <v>349</v>
      </c>
      <c r="F88" s="22">
        <v>107</v>
      </c>
      <c r="G88" s="22">
        <v>0</v>
      </c>
      <c r="H88" s="22">
        <v>59</v>
      </c>
      <c r="I88" s="22">
        <v>179</v>
      </c>
      <c r="J88" s="22">
        <v>345</v>
      </c>
      <c r="K88" s="22">
        <v>4</v>
      </c>
      <c r="L88" s="22">
        <f t="shared" si="6"/>
        <v>349</v>
      </c>
      <c r="M88" s="22">
        <v>0</v>
      </c>
      <c r="N88" s="23">
        <f t="shared" si="7"/>
        <v>0.5128939828080229</v>
      </c>
      <c r="O88" s="23">
        <f t="shared" si="8"/>
        <v>0.16905444126074498</v>
      </c>
      <c r="P88" s="23">
        <f t="shared" si="9"/>
        <v>0.30659025787965616</v>
      </c>
      <c r="Q88" s="23">
        <f t="shared" si="10"/>
        <v>0</v>
      </c>
      <c r="R88" s="24">
        <v>197</v>
      </c>
      <c r="S88" s="24">
        <v>228</v>
      </c>
      <c r="T88" s="24">
        <v>142</v>
      </c>
      <c r="U88" s="24">
        <v>0</v>
      </c>
      <c r="V88" s="24">
        <v>567</v>
      </c>
      <c r="W88" s="25">
        <v>0.34744268077601409</v>
      </c>
      <c r="X88" s="25">
        <v>0.40211640211640209</v>
      </c>
      <c r="Y88" s="25">
        <v>0.25044091710758376</v>
      </c>
      <c r="Z88" s="25">
        <v>0</v>
      </c>
      <c r="AA88" s="26">
        <v>26.185185185185187</v>
      </c>
      <c r="AB88" s="23">
        <f t="shared" si="11"/>
        <v>0.61552028218694887</v>
      </c>
    </row>
    <row r="89" spans="1:28" x14ac:dyDescent="0.25">
      <c r="A89" s="22">
        <v>18</v>
      </c>
      <c r="B89" s="22" t="s">
        <v>150</v>
      </c>
      <c r="C89" s="22" t="s">
        <v>151</v>
      </c>
      <c r="D89" s="22">
        <v>1</v>
      </c>
      <c r="E89" s="22">
        <v>334</v>
      </c>
      <c r="F89" s="22">
        <v>261</v>
      </c>
      <c r="G89" s="22">
        <v>3</v>
      </c>
      <c r="H89" s="22">
        <v>40</v>
      </c>
      <c r="I89" s="22">
        <v>24</v>
      </c>
      <c r="J89" s="22">
        <v>328</v>
      </c>
      <c r="K89" s="22">
        <v>6</v>
      </c>
      <c r="L89" s="22">
        <f t="shared" si="6"/>
        <v>334</v>
      </c>
      <c r="M89" s="22">
        <v>0</v>
      </c>
      <c r="N89" s="23">
        <f t="shared" si="7"/>
        <v>7.1856287425149698E-2</v>
      </c>
      <c r="O89" s="23">
        <f t="shared" si="8"/>
        <v>0.11976047904191617</v>
      </c>
      <c r="P89" s="23">
        <f t="shared" si="9"/>
        <v>0.78143712574850299</v>
      </c>
      <c r="Q89" s="23">
        <f t="shared" si="10"/>
        <v>8.9820359281437123E-3</v>
      </c>
      <c r="R89" s="24">
        <v>448</v>
      </c>
      <c r="S89" s="24">
        <v>2</v>
      </c>
      <c r="T89" s="24">
        <v>0</v>
      </c>
      <c r="U89" s="24">
        <v>0</v>
      </c>
      <c r="V89" s="24">
        <v>450</v>
      </c>
      <c r="W89" s="25">
        <v>0.99555555555555553</v>
      </c>
      <c r="X89" s="25">
        <v>4.4444444444444444E-3</v>
      </c>
      <c r="Y89" s="25">
        <v>0</v>
      </c>
      <c r="Z89" s="25">
        <v>0</v>
      </c>
      <c r="AA89" s="26">
        <v>66.728888888888889</v>
      </c>
      <c r="AB89" s="23">
        <f t="shared" si="11"/>
        <v>0.74222222222222223</v>
      </c>
    </row>
    <row r="90" spans="1:28" x14ac:dyDescent="0.25">
      <c r="A90" s="22"/>
      <c r="B90" s="22"/>
      <c r="C90" s="22"/>
      <c r="D90" s="22">
        <v>2</v>
      </c>
      <c r="E90" s="22">
        <v>521</v>
      </c>
      <c r="F90" s="22">
        <v>297</v>
      </c>
      <c r="G90" s="22">
        <v>10</v>
      </c>
      <c r="H90" s="22">
        <v>140</v>
      </c>
      <c r="I90" s="22">
        <v>68</v>
      </c>
      <c r="J90" s="22">
        <v>515</v>
      </c>
      <c r="K90" s="22">
        <v>6</v>
      </c>
      <c r="L90" s="22">
        <f t="shared" si="6"/>
        <v>521</v>
      </c>
      <c r="M90" s="22">
        <v>0</v>
      </c>
      <c r="N90" s="23">
        <f t="shared" si="7"/>
        <v>0.13051823416506717</v>
      </c>
      <c r="O90" s="23">
        <f t="shared" si="8"/>
        <v>0.2687140115163148</v>
      </c>
      <c r="P90" s="23">
        <f t="shared" si="9"/>
        <v>0.5700575815738963</v>
      </c>
      <c r="Q90" s="23">
        <f t="shared" si="10"/>
        <v>1.9193857965451054E-2</v>
      </c>
      <c r="R90" s="24">
        <v>691</v>
      </c>
      <c r="S90" s="24">
        <v>4</v>
      </c>
      <c r="T90" s="24">
        <v>1</v>
      </c>
      <c r="U90" s="24">
        <v>0</v>
      </c>
      <c r="V90" s="24">
        <v>696</v>
      </c>
      <c r="W90" s="25">
        <v>0.99281609195402298</v>
      </c>
      <c r="X90" s="25">
        <v>5.7471264367816091E-3</v>
      </c>
      <c r="Y90" s="25">
        <v>1.4367816091954023E-3</v>
      </c>
      <c r="Z90" s="25">
        <v>0</v>
      </c>
      <c r="AA90" s="26">
        <v>47.449712643678161</v>
      </c>
      <c r="AB90" s="23">
        <f t="shared" si="11"/>
        <v>0.74856321839080464</v>
      </c>
    </row>
    <row r="91" spans="1:28" x14ac:dyDescent="0.25">
      <c r="A91" s="22"/>
      <c r="B91" s="22"/>
      <c r="C91" s="22"/>
      <c r="D91" s="22">
        <v>3</v>
      </c>
      <c r="E91" s="22">
        <v>516</v>
      </c>
      <c r="F91" s="22">
        <v>272</v>
      </c>
      <c r="G91" s="22">
        <v>4</v>
      </c>
      <c r="H91" s="22">
        <v>197</v>
      </c>
      <c r="I91" s="22">
        <v>43</v>
      </c>
      <c r="J91" s="22">
        <v>516</v>
      </c>
      <c r="K91" s="22">
        <v>0</v>
      </c>
      <c r="L91" s="22">
        <f t="shared" si="6"/>
        <v>516</v>
      </c>
      <c r="M91" s="22">
        <v>0</v>
      </c>
      <c r="N91" s="23">
        <f t="shared" si="7"/>
        <v>8.3333333333333329E-2</v>
      </c>
      <c r="O91" s="23">
        <f t="shared" si="8"/>
        <v>0.38178294573643412</v>
      </c>
      <c r="P91" s="23">
        <f t="shared" si="9"/>
        <v>0.52713178294573648</v>
      </c>
      <c r="Q91" s="23">
        <f t="shared" si="10"/>
        <v>7.7519379844961239E-3</v>
      </c>
      <c r="R91" s="24">
        <v>696</v>
      </c>
      <c r="S91" s="24">
        <v>0</v>
      </c>
      <c r="T91" s="24">
        <v>0</v>
      </c>
      <c r="U91" s="24">
        <v>0</v>
      </c>
      <c r="V91" s="24">
        <v>696</v>
      </c>
      <c r="W91" s="25">
        <v>1</v>
      </c>
      <c r="X91" s="25">
        <v>0</v>
      </c>
      <c r="Y91" s="25">
        <v>0</v>
      </c>
      <c r="Z91" s="25">
        <v>0</v>
      </c>
      <c r="AA91" s="26">
        <v>27.143678160919539</v>
      </c>
      <c r="AB91" s="23">
        <f t="shared" si="11"/>
        <v>0.74137931034482762</v>
      </c>
    </row>
    <row r="92" spans="1:28" x14ac:dyDescent="0.25">
      <c r="A92" s="22">
        <v>19</v>
      </c>
      <c r="B92" s="22" t="s">
        <v>152</v>
      </c>
      <c r="C92" s="22" t="s">
        <v>153</v>
      </c>
      <c r="D92" s="22">
        <v>1</v>
      </c>
      <c r="E92" s="22">
        <v>259</v>
      </c>
      <c r="F92" s="22">
        <v>147</v>
      </c>
      <c r="G92" s="22">
        <v>3</v>
      </c>
      <c r="H92" s="22">
        <v>27</v>
      </c>
      <c r="I92" s="22">
        <v>78</v>
      </c>
      <c r="J92" s="22">
        <v>255</v>
      </c>
      <c r="K92" s="22">
        <v>4</v>
      </c>
      <c r="L92" s="22">
        <f t="shared" si="6"/>
        <v>259</v>
      </c>
      <c r="M92" s="22">
        <v>0</v>
      </c>
      <c r="N92" s="23">
        <f t="shared" si="7"/>
        <v>0.30115830115830117</v>
      </c>
      <c r="O92" s="23">
        <f t="shared" si="8"/>
        <v>0.10424710424710425</v>
      </c>
      <c r="P92" s="23">
        <f t="shared" si="9"/>
        <v>0.56756756756756754</v>
      </c>
      <c r="Q92" s="23">
        <f t="shared" si="10"/>
        <v>1.1583011583011582E-2</v>
      </c>
      <c r="R92" s="24">
        <v>254</v>
      </c>
      <c r="S92" s="24">
        <v>43</v>
      </c>
      <c r="T92" s="24">
        <v>52</v>
      </c>
      <c r="U92" s="24">
        <v>1</v>
      </c>
      <c r="V92" s="24">
        <v>350</v>
      </c>
      <c r="W92" s="25">
        <v>0.72571428571428576</v>
      </c>
      <c r="X92" s="25">
        <v>0.12285714285714286</v>
      </c>
      <c r="Y92" s="25">
        <v>0.14857142857142858</v>
      </c>
      <c r="Z92" s="25">
        <v>2.8571428571428571E-3</v>
      </c>
      <c r="AA92" s="26">
        <v>62.368571428571428</v>
      </c>
      <c r="AB92" s="23">
        <f t="shared" si="11"/>
        <v>0.74</v>
      </c>
    </row>
    <row r="93" spans="1:28" x14ac:dyDescent="0.25">
      <c r="A93" s="22"/>
      <c r="B93" s="22"/>
      <c r="C93" s="22"/>
      <c r="D93" s="22">
        <v>2</v>
      </c>
      <c r="E93" s="22">
        <v>303</v>
      </c>
      <c r="F93" s="22">
        <v>149</v>
      </c>
      <c r="G93" s="22">
        <v>3</v>
      </c>
      <c r="H93" s="22">
        <v>78</v>
      </c>
      <c r="I93" s="22">
        <v>73</v>
      </c>
      <c r="J93" s="22">
        <v>303</v>
      </c>
      <c r="K93" s="22">
        <v>0</v>
      </c>
      <c r="L93" s="22">
        <f t="shared" si="6"/>
        <v>303</v>
      </c>
      <c r="M93" s="22">
        <v>0</v>
      </c>
      <c r="N93" s="23">
        <f t="shared" si="7"/>
        <v>0.24092409240924093</v>
      </c>
      <c r="O93" s="23">
        <f t="shared" si="8"/>
        <v>0.25742574257425743</v>
      </c>
      <c r="P93" s="23">
        <f t="shared" si="9"/>
        <v>0.49174917491749176</v>
      </c>
      <c r="Q93" s="23">
        <f t="shared" si="10"/>
        <v>9.9009900990099011E-3</v>
      </c>
      <c r="R93" s="24">
        <v>352</v>
      </c>
      <c r="S93" s="24">
        <v>50</v>
      </c>
      <c r="T93" s="24">
        <v>20</v>
      </c>
      <c r="U93" s="24">
        <v>1</v>
      </c>
      <c r="V93" s="24">
        <v>423</v>
      </c>
      <c r="W93" s="25">
        <v>0.8321513002364066</v>
      </c>
      <c r="X93" s="25">
        <v>0.1182033096926714</v>
      </c>
      <c r="Y93" s="25">
        <v>4.7281323877068557E-2</v>
      </c>
      <c r="Z93" s="25">
        <v>2.3640661938534278E-3</v>
      </c>
      <c r="AA93" s="26">
        <v>32.030732860520096</v>
      </c>
      <c r="AB93" s="23">
        <f t="shared" si="11"/>
        <v>0.71631205673758869</v>
      </c>
    </row>
    <row r="94" spans="1:28" x14ac:dyDescent="0.25">
      <c r="A94" s="22">
        <v>20</v>
      </c>
      <c r="B94" s="22" t="s">
        <v>154</v>
      </c>
      <c r="C94" s="22" t="s">
        <v>155</v>
      </c>
      <c r="D94" s="22">
        <v>1</v>
      </c>
      <c r="E94" s="22">
        <v>106</v>
      </c>
      <c r="F94" s="22">
        <v>62</v>
      </c>
      <c r="G94" s="22">
        <v>0</v>
      </c>
      <c r="H94" s="22">
        <v>13</v>
      </c>
      <c r="I94" s="22">
        <v>26</v>
      </c>
      <c r="J94" s="22">
        <v>101</v>
      </c>
      <c r="K94" s="22">
        <v>5</v>
      </c>
      <c r="L94" s="22">
        <f t="shared" si="6"/>
        <v>106</v>
      </c>
      <c r="M94" s="22">
        <v>0</v>
      </c>
      <c r="N94" s="23">
        <f t="shared" si="7"/>
        <v>0.24528301886792453</v>
      </c>
      <c r="O94" s="23">
        <f t="shared" si="8"/>
        <v>0.12264150943396226</v>
      </c>
      <c r="P94" s="23">
        <f t="shared" si="9"/>
        <v>0.58490566037735847</v>
      </c>
      <c r="Q94" s="23">
        <f t="shared" si="10"/>
        <v>0</v>
      </c>
      <c r="R94" s="24">
        <v>83</v>
      </c>
      <c r="S94" s="24">
        <v>27</v>
      </c>
      <c r="T94" s="24">
        <v>53</v>
      </c>
      <c r="U94" s="24">
        <v>1</v>
      </c>
      <c r="V94" s="24">
        <v>164</v>
      </c>
      <c r="W94" s="25">
        <v>0.50609756097560976</v>
      </c>
      <c r="X94" s="25">
        <v>0.16463414634146342</v>
      </c>
      <c r="Y94" s="25">
        <v>0.32317073170731708</v>
      </c>
      <c r="Z94" s="25">
        <v>6.0975609756097563E-3</v>
      </c>
      <c r="AA94" s="26">
        <v>60.914634146341463</v>
      </c>
      <c r="AB94" s="23">
        <f t="shared" si="11"/>
        <v>0.64634146341463417</v>
      </c>
    </row>
    <row r="95" spans="1:28" x14ac:dyDescent="0.25">
      <c r="A95" s="22">
        <v>21</v>
      </c>
      <c r="B95" s="22" t="s">
        <v>156</v>
      </c>
      <c r="C95" s="22" t="s">
        <v>157</v>
      </c>
      <c r="D95" s="22">
        <v>1</v>
      </c>
      <c r="E95" s="22">
        <v>341</v>
      </c>
      <c r="F95" s="22">
        <v>75</v>
      </c>
      <c r="G95" s="22">
        <v>5</v>
      </c>
      <c r="H95" s="22">
        <v>21</v>
      </c>
      <c r="I95" s="22">
        <v>229</v>
      </c>
      <c r="J95" s="22">
        <v>330</v>
      </c>
      <c r="K95" s="22">
        <v>11</v>
      </c>
      <c r="L95" s="22">
        <f t="shared" si="6"/>
        <v>341</v>
      </c>
      <c r="M95" s="22">
        <v>0</v>
      </c>
      <c r="N95" s="23">
        <f t="shared" si="7"/>
        <v>0.67155425219941345</v>
      </c>
      <c r="O95" s="23">
        <f t="shared" si="8"/>
        <v>6.1583577712609971E-2</v>
      </c>
      <c r="P95" s="23">
        <f t="shared" si="9"/>
        <v>0.21994134897360704</v>
      </c>
      <c r="Q95" s="23">
        <f t="shared" si="10"/>
        <v>1.466275659824047E-2</v>
      </c>
      <c r="R95" s="24">
        <v>31</v>
      </c>
      <c r="S95" s="24">
        <v>175</v>
      </c>
      <c r="T95" s="24">
        <v>261</v>
      </c>
      <c r="U95" s="24">
        <v>1</v>
      </c>
      <c r="V95" s="24">
        <v>468</v>
      </c>
      <c r="W95" s="25">
        <v>6.623931623931624E-2</v>
      </c>
      <c r="X95" s="25">
        <v>0.37393162393162394</v>
      </c>
      <c r="Y95" s="25">
        <v>0.55769230769230771</v>
      </c>
      <c r="Z95" s="25">
        <v>2.136752136752137E-3</v>
      </c>
      <c r="AA95" s="26">
        <v>59.371794871794869</v>
      </c>
      <c r="AB95" s="23">
        <f t="shared" si="11"/>
        <v>0.7286324786324786</v>
      </c>
    </row>
    <row r="96" spans="1:28" x14ac:dyDescent="0.25">
      <c r="A96" s="22">
        <v>22</v>
      </c>
      <c r="B96" s="22" t="s">
        <v>158</v>
      </c>
      <c r="C96" s="22" t="s">
        <v>159</v>
      </c>
      <c r="D96" s="22">
        <v>1</v>
      </c>
      <c r="E96" s="22">
        <v>480</v>
      </c>
      <c r="F96" s="22">
        <v>109</v>
      </c>
      <c r="G96" s="22">
        <v>5</v>
      </c>
      <c r="H96" s="22">
        <v>31</v>
      </c>
      <c r="I96" s="22">
        <v>325</v>
      </c>
      <c r="J96" s="22">
        <v>470</v>
      </c>
      <c r="K96" s="22">
        <v>10</v>
      </c>
      <c r="L96" s="22">
        <f t="shared" si="6"/>
        <v>480</v>
      </c>
      <c r="M96" s="22">
        <v>0</v>
      </c>
      <c r="N96" s="23">
        <f t="shared" si="7"/>
        <v>0.67708333333333337</v>
      </c>
      <c r="O96" s="23">
        <f t="shared" si="8"/>
        <v>6.458333333333334E-2</v>
      </c>
      <c r="P96" s="23">
        <f t="shared" si="9"/>
        <v>0.22708333333333333</v>
      </c>
      <c r="Q96" s="23">
        <f t="shared" si="10"/>
        <v>1.0416666666666666E-2</v>
      </c>
      <c r="R96" s="24">
        <v>150</v>
      </c>
      <c r="S96" s="24">
        <v>356</v>
      </c>
      <c r="T96" s="24">
        <v>149</v>
      </c>
      <c r="U96" s="24">
        <v>1</v>
      </c>
      <c r="V96" s="24">
        <v>656</v>
      </c>
      <c r="W96" s="25">
        <v>0.22865853658536586</v>
      </c>
      <c r="X96" s="25">
        <v>0.54268292682926833</v>
      </c>
      <c r="Y96" s="25">
        <v>0.22713414634146342</v>
      </c>
      <c r="Z96" s="25">
        <v>1.5243902439024391E-3</v>
      </c>
      <c r="AA96" s="26">
        <v>52.048780487804876</v>
      </c>
      <c r="AB96" s="23">
        <f t="shared" si="11"/>
        <v>0.73170731707317072</v>
      </c>
    </row>
    <row r="97" spans="1:28" x14ac:dyDescent="0.25">
      <c r="A97" s="22">
        <v>23</v>
      </c>
      <c r="B97" s="22" t="s">
        <v>160</v>
      </c>
      <c r="C97" s="22" t="s">
        <v>161</v>
      </c>
      <c r="D97" s="22">
        <v>1</v>
      </c>
      <c r="E97" s="22">
        <v>312</v>
      </c>
      <c r="F97" s="22">
        <v>223</v>
      </c>
      <c r="G97" s="22">
        <v>4</v>
      </c>
      <c r="H97" s="22">
        <v>28</v>
      </c>
      <c r="I97" s="22">
        <v>47</v>
      </c>
      <c r="J97" s="22">
        <v>302</v>
      </c>
      <c r="K97" s="22">
        <v>10</v>
      </c>
      <c r="L97" s="22">
        <f t="shared" si="6"/>
        <v>312</v>
      </c>
      <c r="M97" s="22">
        <v>0</v>
      </c>
      <c r="N97" s="23">
        <f t="shared" si="7"/>
        <v>0.15064102564102563</v>
      </c>
      <c r="O97" s="23">
        <f t="shared" si="8"/>
        <v>8.9743589743589744E-2</v>
      </c>
      <c r="P97" s="23">
        <f t="shared" si="9"/>
        <v>0.71474358974358976</v>
      </c>
      <c r="Q97" s="23">
        <f t="shared" si="10"/>
        <v>1.282051282051282E-2</v>
      </c>
      <c r="R97" s="24">
        <v>342</v>
      </c>
      <c r="S97" s="24">
        <v>29</v>
      </c>
      <c r="T97" s="24">
        <v>29</v>
      </c>
      <c r="U97" s="24">
        <v>0</v>
      </c>
      <c r="V97" s="24">
        <v>400</v>
      </c>
      <c r="W97" s="25">
        <v>0.85499999999999998</v>
      </c>
      <c r="X97" s="25">
        <v>7.2499999999999995E-2</v>
      </c>
      <c r="Y97" s="25">
        <v>7.2499999999999995E-2</v>
      </c>
      <c r="Z97" s="25">
        <v>0</v>
      </c>
      <c r="AA97" s="26">
        <v>70.625</v>
      </c>
      <c r="AB97" s="23">
        <f t="shared" si="11"/>
        <v>0.78</v>
      </c>
    </row>
    <row r="98" spans="1:28" x14ac:dyDescent="0.25">
      <c r="A98" s="22"/>
      <c r="B98" s="22"/>
      <c r="C98" s="22"/>
      <c r="D98" s="22">
        <v>2</v>
      </c>
      <c r="E98" s="22">
        <v>340</v>
      </c>
      <c r="F98" s="22">
        <v>222</v>
      </c>
      <c r="G98" s="22">
        <v>7</v>
      </c>
      <c r="H98" s="22">
        <v>50</v>
      </c>
      <c r="I98" s="22">
        <v>56</v>
      </c>
      <c r="J98" s="22">
        <v>335</v>
      </c>
      <c r="K98" s="22">
        <v>5</v>
      </c>
      <c r="L98" s="22">
        <f t="shared" si="6"/>
        <v>340</v>
      </c>
      <c r="M98" s="22">
        <v>0</v>
      </c>
      <c r="N98" s="23">
        <f t="shared" si="7"/>
        <v>0.16470588235294117</v>
      </c>
      <c r="O98" s="23">
        <f t="shared" si="8"/>
        <v>0.14705882352941177</v>
      </c>
      <c r="P98" s="23">
        <f t="shared" si="9"/>
        <v>0.65294117647058825</v>
      </c>
      <c r="Q98" s="23">
        <f t="shared" si="10"/>
        <v>2.0588235294117647E-2</v>
      </c>
      <c r="R98" s="24">
        <v>363</v>
      </c>
      <c r="S98" s="24">
        <v>13</v>
      </c>
      <c r="T98" s="24">
        <v>22</v>
      </c>
      <c r="U98" s="24">
        <v>2</v>
      </c>
      <c r="V98" s="24">
        <v>400</v>
      </c>
      <c r="W98" s="25">
        <v>0.90749999999999997</v>
      </c>
      <c r="X98" s="25">
        <v>3.2500000000000001E-2</v>
      </c>
      <c r="Y98" s="25">
        <v>5.5E-2</v>
      </c>
      <c r="Z98" s="25">
        <v>5.0000000000000001E-3</v>
      </c>
      <c r="AA98" s="26">
        <v>58.182499999999997</v>
      </c>
      <c r="AB98" s="23">
        <f t="shared" si="11"/>
        <v>0.85</v>
      </c>
    </row>
    <row r="99" spans="1:28" x14ac:dyDescent="0.25">
      <c r="A99" s="22"/>
      <c r="B99" s="22"/>
      <c r="C99" s="22"/>
      <c r="D99" s="22">
        <v>3</v>
      </c>
      <c r="E99" s="22">
        <v>381</v>
      </c>
      <c r="F99" s="22">
        <v>174</v>
      </c>
      <c r="G99" s="22">
        <v>4</v>
      </c>
      <c r="H99" s="22">
        <v>137</v>
      </c>
      <c r="I99" s="22">
        <v>64</v>
      </c>
      <c r="J99" s="22">
        <v>379</v>
      </c>
      <c r="K99" s="22">
        <v>2</v>
      </c>
      <c r="L99" s="22">
        <f t="shared" si="6"/>
        <v>381</v>
      </c>
      <c r="M99" s="22">
        <v>0</v>
      </c>
      <c r="N99" s="23">
        <f t="shared" si="7"/>
        <v>0.16797900262467191</v>
      </c>
      <c r="O99" s="23">
        <f t="shared" si="8"/>
        <v>0.35958005249343833</v>
      </c>
      <c r="P99" s="23">
        <f t="shared" si="9"/>
        <v>0.45669291338582679</v>
      </c>
      <c r="Q99" s="23">
        <f t="shared" si="10"/>
        <v>1.0498687664041995E-2</v>
      </c>
      <c r="R99" s="24">
        <v>470</v>
      </c>
      <c r="S99" s="24">
        <v>16</v>
      </c>
      <c r="T99" s="24">
        <v>33</v>
      </c>
      <c r="U99" s="24">
        <v>2</v>
      </c>
      <c r="V99" s="24">
        <v>521</v>
      </c>
      <c r="W99" s="25">
        <v>0.90211132437619956</v>
      </c>
      <c r="X99" s="25">
        <v>3.0710172744721688E-2</v>
      </c>
      <c r="Y99" s="25">
        <v>6.3339731285988479E-2</v>
      </c>
      <c r="Z99" s="25">
        <v>3.838771593090211E-3</v>
      </c>
      <c r="AA99" s="26">
        <v>44.927063339731284</v>
      </c>
      <c r="AB99" s="23">
        <f t="shared" si="11"/>
        <v>0.7312859884836852</v>
      </c>
    </row>
    <row r="100" spans="1:28" x14ac:dyDescent="0.25">
      <c r="A100" s="22"/>
      <c r="B100" s="22"/>
      <c r="C100" s="22"/>
      <c r="D100" s="22">
        <v>4</v>
      </c>
      <c r="E100" s="22">
        <v>390</v>
      </c>
      <c r="F100" s="22">
        <v>180</v>
      </c>
      <c r="G100" s="22">
        <v>4</v>
      </c>
      <c r="H100" s="22">
        <v>165</v>
      </c>
      <c r="I100" s="22">
        <v>41</v>
      </c>
      <c r="J100" s="22">
        <v>390</v>
      </c>
      <c r="K100" s="22">
        <v>0</v>
      </c>
      <c r="L100" s="22">
        <f t="shared" si="6"/>
        <v>390</v>
      </c>
      <c r="M100" s="22">
        <v>0</v>
      </c>
      <c r="N100" s="23">
        <f t="shared" si="7"/>
        <v>0.10512820512820513</v>
      </c>
      <c r="O100" s="23">
        <f t="shared" si="8"/>
        <v>0.42307692307692307</v>
      </c>
      <c r="P100" s="23">
        <f t="shared" si="9"/>
        <v>0.46153846153846156</v>
      </c>
      <c r="Q100" s="23">
        <f t="shared" si="10"/>
        <v>1.0256410256410256E-2</v>
      </c>
      <c r="R100" s="24">
        <v>499</v>
      </c>
      <c r="S100" s="24">
        <v>5</v>
      </c>
      <c r="T100" s="24">
        <v>17</v>
      </c>
      <c r="U100" s="24">
        <v>0</v>
      </c>
      <c r="V100" s="24">
        <v>521</v>
      </c>
      <c r="W100" s="25">
        <v>0.95777351247600773</v>
      </c>
      <c r="X100" s="25">
        <v>9.5969289827255271E-3</v>
      </c>
      <c r="Y100" s="25">
        <v>3.2629558541266791E-2</v>
      </c>
      <c r="Z100" s="25">
        <v>0</v>
      </c>
      <c r="AA100" s="26">
        <v>36.324376199616125</v>
      </c>
      <c r="AB100" s="23">
        <f t="shared" si="11"/>
        <v>0.74856046065259119</v>
      </c>
    </row>
    <row r="101" spans="1:28" x14ac:dyDescent="0.25">
      <c r="A101" s="22"/>
      <c r="B101" s="22"/>
      <c r="C101" s="22"/>
      <c r="D101" s="22">
        <v>5</v>
      </c>
      <c r="E101" s="22">
        <v>395</v>
      </c>
      <c r="F101" s="22">
        <v>178</v>
      </c>
      <c r="G101" s="22">
        <v>0</v>
      </c>
      <c r="H101" s="22">
        <v>149</v>
      </c>
      <c r="I101" s="22">
        <v>67</v>
      </c>
      <c r="J101" s="22">
        <v>394</v>
      </c>
      <c r="K101" s="22">
        <v>1</v>
      </c>
      <c r="L101" s="22">
        <f t="shared" si="6"/>
        <v>395</v>
      </c>
      <c r="M101" s="22">
        <v>0</v>
      </c>
      <c r="N101" s="23">
        <f t="shared" si="7"/>
        <v>0.16962025316455695</v>
      </c>
      <c r="O101" s="23">
        <f t="shared" si="8"/>
        <v>0.37721518987341773</v>
      </c>
      <c r="P101" s="23">
        <f t="shared" si="9"/>
        <v>0.45063291139240508</v>
      </c>
      <c r="Q101" s="23">
        <f t="shared" si="10"/>
        <v>0</v>
      </c>
      <c r="R101" s="24">
        <v>484</v>
      </c>
      <c r="S101" s="24">
        <v>12</v>
      </c>
      <c r="T101" s="24">
        <v>26</v>
      </c>
      <c r="U101" s="24">
        <v>1</v>
      </c>
      <c r="V101" s="24">
        <v>523</v>
      </c>
      <c r="W101" s="25">
        <v>0.9254302103250478</v>
      </c>
      <c r="X101" s="25">
        <v>2.2944550669216062E-2</v>
      </c>
      <c r="Y101" s="25">
        <v>4.9713193116634802E-2</v>
      </c>
      <c r="Z101" s="25">
        <v>1.9120458891013384E-3</v>
      </c>
      <c r="AA101" s="26">
        <v>24.818355640535373</v>
      </c>
      <c r="AB101" s="23">
        <f t="shared" si="11"/>
        <v>0.75525812619502863</v>
      </c>
    </row>
    <row r="102" spans="1:28" x14ac:dyDescent="0.25">
      <c r="A102" s="22">
        <v>24</v>
      </c>
      <c r="B102" s="22" t="s">
        <v>162</v>
      </c>
      <c r="C102" s="22" t="s">
        <v>163</v>
      </c>
      <c r="D102" s="22">
        <v>1</v>
      </c>
      <c r="E102" s="22">
        <v>327</v>
      </c>
      <c r="F102" s="22">
        <v>161</v>
      </c>
      <c r="G102" s="22">
        <v>11</v>
      </c>
      <c r="H102" s="22">
        <v>57</v>
      </c>
      <c r="I102" s="22">
        <v>89</v>
      </c>
      <c r="J102" s="22">
        <v>318</v>
      </c>
      <c r="K102" s="22">
        <v>9</v>
      </c>
      <c r="L102" s="22">
        <f t="shared" si="6"/>
        <v>327</v>
      </c>
      <c r="M102" s="22">
        <v>0</v>
      </c>
      <c r="N102" s="23">
        <f t="shared" si="7"/>
        <v>0.27217125382262997</v>
      </c>
      <c r="O102" s="23">
        <f t="shared" si="8"/>
        <v>0.1743119266055046</v>
      </c>
      <c r="P102" s="23">
        <f t="shared" si="9"/>
        <v>0.49235474006116209</v>
      </c>
      <c r="Q102" s="23">
        <f t="shared" si="10"/>
        <v>3.3639143730886847E-2</v>
      </c>
      <c r="R102" s="24">
        <v>344</v>
      </c>
      <c r="S102" s="24">
        <v>47</v>
      </c>
      <c r="T102" s="24">
        <v>58</v>
      </c>
      <c r="U102" s="24">
        <v>1</v>
      </c>
      <c r="V102" s="24">
        <v>450</v>
      </c>
      <c r="W102" s="25">
        <v>0.76444444444444448</v>
      </c>
      <c r="X102" s="25">
        <v>0.10444444444444445</v>
      </c>
      <c r="Y102" s="25">
        <v>0.12888888888888889</v>
      </c>
      <c r="Z102" s="25">
        <v>2.2222222222222222E-3</v>
      </c>
      <c r="AA102" s="26">
        <v>68.331111111111113</v>
      </c>
      <c r="AB102" s="23">
        <f t="shared" si="11"/>
        <v>0.72666666666666668</v>
      </c>
    </row>
    <row r="103" spans="1:28" x14ac:dyDescent="0.25">
      <c r="A103" s="22"/>
      <c r="B103" s="22"/>
      <c r="C103" s="22"/>
      <c r="D103" s="22">
        <v>2</v>
      </c>
      <c r="E103" s="22">
        <v>367</v>
      </c>
      <c r="F103" s="22">
        <v>161</v>
      </c>
      <c r="G103" s="22">
        <v>6</v>
      </c>
      <c r="H103" s="22">
        <v>94</v>
      </c>
      <c r="I103" s="22">
        <v>104</v>
      </c>
      <c r="J103" s="22">
        <v>365</v>
      </c>
      <c r="K103" s="22">
        <v>2</v>
      </c>
      <c r="L103" s="22">
        <f t="shared" si="6"/>
        <v>367</v>
      </c>
      <c r="M103" s="22">
        <v>0</v>
      </c>
      <c r="N103" s="23">
        <f t="shared" si="7"/>
        <v>0.28337874659400547</v>
      </c>
      <c r="O103" s="23">
        <f t="shared" si="8"/>
        <v>0.2561307901907357</v>
      </c>
      <c r="P103" s="23">
        <f t="shared" si="9"/>
        <v>0.43869209809264303</v>
      </c>
      <c r="Q103" s="23">
        <f t="shared" si="10"/>
        <v>1.6348773841961851E-2</v>
      </c>
      <c r="R103" s="24">
        <v>349</v>
      </c>
      <c r="S103" s="24">
        <v>43</v>
      </c>
      <c r="T103" s="24">
        <v>58</v>
      </c>
      <c r="U103" s="24">
        <v>0</v>
      </c>
      <c r="V103" s="24">
        <v>450</v>
      </c>
      <c r="W103" s="25">
        <v>0.77555555555555555</v>
      </c>
      <c r="X103" s="25">
        <v>9.555555555555556E-2</v>
      </c>
      <c r="Y103" s="25">
        <v>0.12888888888888889</v>
      </c>
      <c r="Z103" s="25">
        <v>0</v>
      </c>
      <c r="AA103" s="26">
        <v>56.464444444444446</v>
      </c>
      <c r="AB103" s="23">
        <f t="shared" si="11"/>
        <v>0.81555555555555559</v>
      </c>
    </row>
    <row r="104" spans="1:28" x14ac:dyDescent="0.25">
      <c r="A104" s="22"/>
      <c r="B104" s="22"/>
      <c r="C104" s="22"/>
      <c r="D104" s="22">
        <v>3</v>
      </c>
      <c r="E104" s="22">
        <v>447</v>
      </c>
      <c r="F104" s="22">
        <v>170</v>
      </c>
      <c r="G104" s="22">
        <v>15</v>
      </c>
      <c r="H104" s="22">
        <v>139</v>
      </c>
      <c r="I104" s="22">
        <v>122</v>
      </c>
      <c r="J104" s="22">
        <v>446</v>
      </c>
      <c r="K104" s="22">
        <v>1</v>
      </c>
      <c r="L104" s="22">
        <f t="shared" si="6"/>
        <v>447</v>
      </c>
      <c r="M104" s="22">
        <v>0</v>
      </c>
      <c r="N104" s="23">
        <f t="shared" si="7"/>
        <v>0.27293064876957496</v>
      </c>
      <c r="O104" s="23">
        <f t="shared" si="8"/>
        <v>0.31096196868008946</v>
      </c>
      <c r="P104" s="23">
        <f t="shared" si="9"/>
        <v>0.38031319910514544</v>
      </c>
      <c r="Q104" s="23">
        <f t="shared" si="10"/>
        <v>3.3557046979865772E-2</v>
      </c>
      <c r="R104" s="24">
        <v>493</v>
      </c>
      <c r="S104" s="24">
        <v>23</v>
      </c>
      <c r="T104" s="24">
        <v>64</v>
      </c>
      <c r="U104" s="24">
        <v>0</v>
      </c>
      <c r="V104" s="24">
        <v>580</v>
      </c>
      <c r="W104" s="25">
        <v>0.85</v>
      </c>
      <c r="X104" s="25">
        <v>3.9655172413793106E-2</v>
      </c>
      <c r="Y104" s="25">
        <v>0.1103448275862069</v>
      </c>
      <c r="Z104" s="25">
        <v>0</v>
      </c>
      <c r="AA104" s="26">
        <v>45.229310344827589</v>
      </c>
      <c r="AB104" s="23">
        <f t="shared" si="11"/>
        <v>0.77068965517241383</v>
      </c>
    </row>
    <row r="105" spans="1:28" x14ac:dyDescent="0.25">
      <c r="A105" s="22"/>
      <c r="B105" s="22"/>
      <c r="C105" s="22"/>
      <c r="D105" s="22">
        <v>4</v>
      </c>
      <c r="E105" s="22">
        <v>412</v>
      </c>
      <c r="F105" s="22">
        <v>152</v>
      </c>
      <c r="G105" s="22">
        <v>7</v>
      </c>
      <c r="H105" s="22">
        <v>149</v>
      </c>
      <c r="I105" s="22">
        <v>102</v>
      </c>
      <c r="J105" s="22">
        <v>410</v>
      </c>
      <c r="K105" s="22">
        <v>2</v>
      </c>
      <c r="L105" s="22">
        <f t="shared" si="6"/>
        <v>412</v>
      </c>
      <c r="M105" s="22">
        <v>0</v>
      </c>
      <c r="N105" s="23">
        <f t="shared" si="7"/>
        <v>0.24757281553398058</v>
      </c>
      <c r="O105" s="23">
        <f t="shared" si="8"/>
        <v>0.36165048543689321</v>
      </c>
      <c r="P105" s="23">
        <f t="shared" si="9"/>
        <v>0.36893203883495146</v>
      </c>
      <c r="Q105" s="23">
        <f t="shared" si="10"/>
        <v>1.6990291262135922E-2</v>
      </c>
      <c r="R105" s="24">
        <v>490</v>
      </c>
      <c r="S105" s="24">
        <v>26</v>
      </c>
      <c r="T105" s="24">
        <v>64</v>
      </c>
      <c r="U105" s="24">
        <v>0</v>
      </c>
      <c r="V105" s="24">
        <v>580</v>
      </c>
      <c r="W105" s="25">
        <v>0.84482758620689657</v>
      </c>
      <c r="X105" s="25">
        <v>4.4827586206896551E-2</v>
      </c>
      <c r="Y105" s="25">
        <v>0.1103448275862069</v>
      </c>
      <c r="Z105" s="25">
        <v>0</v>
      </c>
      <c r="AA105" s="26">
        <v>33.306896551724137</v>
      </c>
      <c r="AB105" s="23">
        <f t="shared" si="11"/>
        <v>0.71034482758620687</v>
      </c>
    </row>
    <row r="106" spans="1:28" x14ac:dyDescent="0.25">
      <c r="A106" s="22"/>
      <c r="B106" s="22"/>
      <c r="C106" s="22"/>
      <c r="D106" s="22">
        <v>5</v>
      </c>
      <c r="E106" s="22">
        <v>456</v>
      </c>
      <c r="F106" s="22">
        <v>186</v>
      </c>
      <c r="G106" s="22">
        <v>2</v>
      </c>
      <c r="H106" s="22">
        <v>158</v>
      </c>
      <c r="I106" s="22">
        <v>109</v>
      </c>
      <c r="J106" s="22">
        <v>455</v>
      </c>
      <c r="K106" s="22">
        <v>1</v>
      </c>
      <c r="L106" s="22">
        <f t="shared" si="6"/>
        <v>456</v>
      </c>
      <c r="M106" s="22">
        <v>0</v>
      </c>
      <c r="N106" s="23">
        <f t="shared" si="7"/>
        <v>0.23903508771929824</v>
      </c>
      <c r="O106" s="23">
        <f t="shared" si="8"/>
        <v>0.34649122807017546</v>
      </c>
      <c r="P106" s="23">
        <f t="shared" si="9"/>
        <v>0.40789473684210525</v>
      </c>
      <c r="Q106" s="23">
        <f t="shared" si="10"/>
        <v>4.3859649122807015E-3</v>
      </c>
      <c r="R106" s="24">
        <v>482</v>
      </c>
      <c r="S106" s="24">
        <v>36</v>
      </c>
      <c r="T106" s="24">
        <v>64</v>
      </c>
      <c r="U106" s="24">
        <v>0</v>
      </c>
      <c r="V106" s="24">
        <v>582</v>
      </c>
      <c r="W106" s="25">
        <v>0.82817869415807566</v>
      </c>
      <c r="X106" s="25">
        <v>6.1855670103092786E-2</v>
      </c>
      <c r="Y106" s="25">
        <v>0.10996563573883161</v>
      </c>
      <c r="Z106" s="25">
        <v>0</v>
      </c>
      <c r="AA106" s="26">
        <v>23.357388316151201</v>
      </c>
      <c r="AB106" s="23">
        <f t="shared" si="11"/>
        <v>0.78350515463917525</v>
      </c>
    </row>
    <row r="107" spans="1:28" x14ac:dyDescent="0.25">
      <c r="A107" s="22">
        <v>25</v>
      </c>
      <c r="B107" s="22" t="s">
        <v>164</v>
      </c>
      <c r="C107" s="22" t="s">
        <v>165</v>
      </c>
      <c r="D107" s="22">
        <v>1</v>
      </c>
      <c r="E107" s="22">
        <v>313</v>
      </c>
      <c r="F107" s="22">
        <v>191</v>
      </c>
      <c r="G107" s="22">
        <v>12</v>
      </c>
      <c r="H107" s="22">
        <v>67</v>
      </c>
      <c r="I107" s="22">
        <v>39</v>
      </c>
      <c r="J107" s="22">
        <v>309</v>
      </c>
      <c r="K107" s="22">
        <v>4</v>
      </c>
      <c r="L107" s="22">
        <f t="shared" si="6"/>
        <v>313</v>
      </c>
      <c r="M107" s="22">
        <v>0</v>
      </c>
      <c r="N107" s="23">
        <f t="shared" si="7"/>
        <v>0.12460063897763578</v>
      </c>
      <c r="O107" s="23">
        <f t="shared" si="8"/>
        <v>0.21405750798722045</v>
      </c>
      <c r="P107" s="23">
        <f t="shared" si="9"/>
        <v>0.61022364217252401</v>
      </c>
      <c r="Q107" s="23">
        <f t="shared" si="10"/>
        <v>3.8338658146964855E-2</v>
      </c>
      <c r="R107" s="24">
        <v>392</v>
      </c>
      <c r="S107" s="24">
        <v>0</v>
      </c>
      <c r="T107" s="24">
        <v>8</v>
      </c>
      <c r="U107" s="24">
        <v>0</v>
      </c>
      <c r="V107" s="24">
        <v>400</v>
      </c>
      <c r="W107" s="25">
        <v>0.98</v>
      </c>
      <c r="X107" s="25">
        <v>0</v>
      </c>
      <c r="Y107" s="25">
        <v>0.02</v>
      </c>
      <c r="Z107" s="25">
        <v>0</v>
      </c>
      <c r="AA107" s="26">
        <v>56.4375</v>
      </c>
      <c r="AB107" s="23">
        <f t="shared" si="11"/>
        <v>0.78249999999999997</v>
      </c>
    </row>
    <row r="108" spans="1:28" x14ac:dyDescent="0.25">
      <c r="A108" s="22"/>
      <c r="B108" s="22"/>
      <c r="C108" s="22"/>
      <c r="D108" s="22">
        <v>2</v>
      </c>
      <c r="E108" s="22">
        <v>340</v>
      </c>
      <c r="F108" s="22">
        <v>186</v>
      </c>
      <c r="G108" s="22">
        <v>7</v>
      </c>
      <c r="H108" s="22">
        <v>94</v>
      </c>
      <c r="I108" s="22">
        <v>50</v>
      </c>
      <c r="J108" s="22">
        <v>337</v>
      </c>
      <c r="K108" s="22">
        <v>3</v>
      </c>
      <c r="L108" s="22">
        <f t="shared" si="6"/>
        <v>340</v>
      </c>
      <c r="M108" s="22">
        <v>0</v>
      </c>
      <c r="N108" s="23">
        <f t="shared" si="7"/>
        <v>0.14705882352941177</v>
      </c>
      <c r="O108" s="23">
        <f t="shared" si="8"/>
        <v>0.27647058823529413</v>
      </c>
      <c r="P108" s="23">
        <f t="shared" si="9"/>
        <v>0.54705882352941182</v>
      </c>
      <c r="Q108" s="23">
        <f t="shared" si="10"/>
        <v>2.0588235294117647E-2</v>
      </c>
      <c r="R108" s="24">
        <v>425</v>
      </c>
      <c r="S108" s="24">
        <v>0</v>
      </c>
      <c r="T108" s="24">
        <v>7</v>
      </c>
      <c r="U108" s="24">
        <v>0</v>
      </c>
      <c r="V108" s="24">
        <v>432</v>
      </c>
      <c r="W108" s="25">
        <v>0.98379629629629628</v>
      </c>
      <c r="X108" s="25">
        <v>0</v>
      </c>
      <c r="Y108" s="25">
        <v>1.6203703703703703E-2</v>
      </c>
      <c r="Z108" s="25">
        <v>0</v>
      </c>
      <c r="AA108" s="26">
        <v>30.349537037037038</v>
      </c>
      <c r="AB108" s="23">
        <f t="shared" si="11"/>
        <v>0.78703703703703709</v>
      </c>
    </row>
    <row r="109" spans="1:28" x14ac:dyDescent="0.25">
      <c r="A109" s="22">
        <v>26</v>
      </c>
      <c r="B109" s="22" t="s">
        <v>166</v>
      </c>
      <c r="C109" s="22" t="s">
        <v>167</v>
      </c>
      <c r="D109" s="22">
        <v>1</v>
      </c>
      <c r="E109" s="22">
        <v>358</v>
      </c>
      <c r="F109" s="22">
        <v>207</v>
      </c>
      <c r="G109" s="22">
        <v>17</v>
      </c>
      <c r="H109" s="22">
        <v>86</v>
      </c>
      <c r="I109" s="22">
        <v>46</v>
      </c>
      <c r="J109" s="22">
        <v>356</v>
      </c>
      <c r="K109" s="22">
        <v>2</v>
      </c>
      <c r="L109" s="22">
        <f t="shared" si="6"/>
        <v>358</v>
      </c>
      <c r="M109" s="22">
        <v>0</v>
      </c>
      <c r="N109" s="23">
        <f t="shared" si="7"/>
        <v>0.12849162011173185</v>
      </c>
      <c r="O109" s="23">
        <f t="shared" si="8"/>
        <v>0.24022346368715083</v>
      </c>
      <c r="P109" s="23">
        <f t="shared" si="9"/>
        <v>0.57821229050279332</v>
      </c>
      <c r="Q109" s="23">
        <f t="shared" si="10"/>
        <v>4.7486033519553071E-2</v>
      </c>
      <c r="R109" s="24">
        <v>427</v>
      </c>
      <c r="S109" s="24">
        <v>0</v>
      </c>
      <c r="T109" s="24">
        <v>0</v>
      </c>
      <c r="U109" s="24">
        <v>6</v>
      </c>
      <c r="V109" s="24">
        <v>433</v>
      </c>
      <c r="W109" s="25">
        <v>0.98614318706697457</v>
      </c>
      <c r="X109" s="25">
        <v>0</v>
      </c>
      <c r="Y109" s="25">
        <v>0</v>
      </c>
      <c r="Z109" s="25">
        <v>1.3856812933025405E-2</v>
      </c>
      <c r="AA109" s="26">
        <v>47.339491916859124</v>
      </c>
      <c r="AB109" s="23">
        <f t="shared" si="11"/>
        <v>0.82678983833718245</v>
      </c>
    </row>
    <row r="110" spans="1:28" x14ac:dyDescent="0.25">
      <c r="A110" s="42">
        <v>27</v>
      </c>
      <c r="B110" s="42" t="s">
        <v>168</v>
      </c>
      <c r="C110" s="42" t="s">
        <v>169</v>
      </c>
      <c r="D110" s="42">
        <v>1</v>
      </c>
      <c r="E110" s="42">
        <v>364</v>
      </c>
      <c r="F110" s="42">
        <v>188</v>
      </c>
      <c r="G110" s="42">
        <v>2</v>
      </c>
      <c r="H110" s="42">
        <v>35</v>
      </c>
      <c r="I110" s="42">
        <v>134</v>
      </c>
      <c r="J110" s="42">
        <v>359</v>
      </c>
      <c r="K110" s="42">
        <v>5</v>
      </c>
      <c r="L110" s="42">
        <f t="shared" si="6"/>
        <v>364</v>
      </c>
      <c r="M110" s="42">
        <v>0</v>
      </c>
      <c r="N110" s="43">
        <f t="shared" si="7"/>
        <v>0.36813186813186816</v>
      </c>
      <c r="O110" s="43">
        <f t="shared" si="8"/>
        <v>9.6153846153846159E-2</v>
      </c>
      <c r="P110" s="43">
        <f t="shared" si="9"/>
        <v>0.51648351648351654</v>
      </c>
      <c r="Q110" s="43">
        <f t="shared" si="10"/>
        <v>5.4945054945054949E-3</v>
      </c>
      <c r="R110" s="44">
        <v>272</v>
      </c>
      <c r="S110" s="44">
        <v>76</v>
      </c>
      <c r="T110" s="44">
        <v>99</v>
      </c>
      <c r="U110" s="44">
        <v>3</v>
      </c>
      <c r="V110" s="44">
        <v>450</v>
      </c>
      <c r="W110" s="45">
        <v>0.60444444444444445</v>
      </c>
      <c r="X110" s="45">
        <v>0.16888888888888889</v>
      </c>
      <c r="Y110" s="45">
        <v>0.22</v>
      </c>
      <c r="Z110" s="45">
        <v>6.6666666666666671E-3</v>
      </c>
      <c r="AA110" s="46">
        <v>63.497777777777777</v>
      </c>
      <c r="AB110" s="43">
        <f t="shared" si="11"/>
        <v>0.80888888888888888</v>
      </c>
    </row>
    <row r="111" spans="1:28" x14ac:dyDescent="0.25">
      <c r="A111" s="42"/>
      <c r="B111" s="42"/>
      <c r="C111" s="42"/>
      <c r="D111" s="42">
        <v>2</v>
      </c>
      <c r="E111" s="42">
        <v>399</v>
      </c>
      <c r="F111" s="42">
        <v>197</v>
      </c>
      <c r="G111" s="42">
        <v>7</v>
      </c>
      <c r="H111" s="42">
        <v>58</v>
      </c>
      <c r="I111" s="42">
        <v>130</v>
      </c>
      <c r="J111" s="42">
        <v>392</v>
      </c>
      <c r="K111" s="42">
        <v>7</v>
      </c>
      <c r="L111" s="42">
        <f t="shared" si="6"/>
        <v>399</v>
      </c>
      <c r="M111" s="42">
        <v>0</v>
      </c>
      <c r="N111" s="43">
        <f t="shared" si="7"/>
        <v>0.32581453634085211</v>
      </c>
      <c r="O111" s="43">
        <f t="shared" si="8"/>
        <v>0.14536340852130325</v>
      </c>
      <c r="P111" s="43">
        <f t="shared" si="9"/>
        <v>0.49373433583959897</v>
      </c>
      <c r="Q111" s="43">
        <f t="shared" si="10"/>
        <v>1.7543859649122806E-2</v>
      </c>
      <c r="R111" s="44">
        <v>305</v>
      </c>
      <c r="S111" s="44">
        <v>61</v>
      </c>
      <c r="T111" s="44">
        <v>82</v>
      </c>
      <c r="U111" s="44">
        <v>2</v>
      </c>
      <c r="V111" s="44">
        <v>450</v>
      </c>
      <c r="W111" s="45">
        <v>0.67777777777777781</v>
      </c>
      <c r="X111" s="45">
        <v>0.13555555555555557</v>
      </c>
      <c r="Y111" s="45">
        <v>0.18222222222222223</v>
      </c>
      <c r="Z111" s="45">
        <v>4.4444444444444444E-3</v>
      </c>
      <c r="AA111" s="46">
        <v>58.662222222222219</v>
      </c>
      <c r="AB111" s="43">
        <f t="shared" si="11"/>
        <v>0.88666666666666671</v>
      </c>
    </row>
    <row r="112" spans="1:28" x14ac:dyDescent="0.25">
      <c r="A112" s="42"/>
      <c r="B112" s="42"/>
      <c r="C112" s="42"/>
      <c r="D112" s="42">
        <v>3</v>
      </c>
      <c r="E112" s="42">
        <v>504</v>
      </c>
      <c r="F112" s="42">
        <v>173</v>
      </c>
      <c r="G112" s="42">
        <v>7</v>
      </c>
      <c r="H112" s="42">
        <v>94</v>
      </c>
      <c r="I112" s="42">
        <v>222</v>
      </c>
      <c r="J112" s="42">
        <v>496</v>
      </c>
      <c r="K112" s="42">
        <v>8</v>
      </c>
      <c r="L112" s="42">
        <f t="shared" si="6"/>
        <v>504</v>
      </c>
      <c r="M112" s="42">
        <v>0</v>
      </c>
      <c r="N112" s="43">
        <f t="shared" si="7"/>
        <v>0.44047619047619047</v>
      </c>
      <c r="O112" s="43">
        <f t="shared" si="8"/>
        <v>0.18650793650793651</v>
      </c>
      <c r="P112" s="43">
        <f t="shared" si="9"/>
        <v>0.34325396825396826</v>
      </c>
      <c r="Q112" s="43">
        <f t="shared" si="10"/>
        <v>1.3888888888888888E-2</v>
      </c>
      <c r="R112" s="44">
        <v>336</v>
      </c>
      <c r="S112" s="44">
        <v>122</v>
      </c>
      <c r="T112" s="44">
        <v>152</v>
      </c>
      <c r="U112" s="44">
        <v>0</v>
      </c>
      <c r="V112" s="44">
        <v>610</v>
      </c>
      <c r="W112" s="45">
        <v>0.55081967213114758</v>
      </c>
      <c r="X112" s="45">
        <v>0.2</v>
      </c>
      <c r="Y112" s="45">
        <v>0.24918032786885247</v>
      </c>
      <c r="Z112" s="45">
        <v>0</v>
      </c>
      <c r="AA112" s="46">
        <v>49.040983606557376</v>
      </c>
      <c r="AB112" s="43">
        <f t="shared" si="11"/>
        <v>0.82622950819672136</v>
      </c>
    </row>
    <row r="113" spans="1:28" x14ac:dyDescent="0.25">
      <c r="A113" s="42"/>
      <c r="B113" s="42"/>
      <c r="C113" s="42"/>
      <c r="D113" s="42">
        <v>4</v>
      </c>
      <c r="E113" s="42">
        <v>444</v>
      </c>
      <c r="F113" s="42">
        <v>140</v>
      </c>
      <c r="G113" s="42">
        <v>5</v>
      </c>
      <c r="H113" s="42">
        <v>98</v>
      </c>
      <c r="I113" s="42">
        <v>198</v>
      </c>
      <c r="J113" s="42">
        <v>441</v>
      </c>
      <c r="K113" s="42">
        <v>3</v>
      </c>
      <c r="L113" s="42">
        <f t="shared" si="6"/>
        <v>444</v>
      </c>
      <c r="M113" s="42">
        <v>0</v>
      </c>
      <c r="N113" s="43">
        <f t="shared" si="7"/>
        <v>0.44594594594594594</v>
      </c>
      <c r="O113" s="43">
        <f t="shared" si="8"/>
        <v>0.22072072072072071</v>
      </c>
      <c r="P113" s="43">
        <f t="shared" si="9"/>
        <v>0.31531531531531531</v>
      </c>
      <c r="Q113" s="43">
        <f t="shared" si="10"/>
        <v>1.1261261261261261E-2</v>
      </c>
      <c r="R113" s="44">
        <v>324</v>
      </c>
      <c r="S113" s="44">
        <v>133</v>
      </c>
      <c r="T113" s="44">
        <v>153</v>
      </c>
      <c r="U113" s="44">
        <v>0</v>
      </c>
      <c r="V113" s="44">
        <v>610</v>
      </c>
      <c r="W113" s="45">
        <v>0.5311475409836065</v>
      </c>
      <c r="X113" s="45">
        <v>0.21803278688524591</v>
      </c>
      <c r="Y113" s="45">
        <v>0.25081967213114753</v>
      </c>
      <c r="Z113" s="45">
        <v>0</v>
      </c>
      <c r="AA113" s="46">
        <v>39.598360655737707</v>
      </c>
      <c r="AB113" s="43">
        <f t="shared" si="11"/>
        <v>0.72786885245901645</v>
      </c>
    </row>
    <row r="114" spans="1:28" x14ac:dyDescent="0.25">
      <c r="A114" s="42"/>
      <c r="B114" s="42"/>
      <c r="C114" s="42"/>
      <c r="D114" s="42">
        <v>5</v>
      </c>
      <c r="E114" s="42">
        <v>442</v>
      </c>
      <c r="F114" s="42">
        <v>136</v>
      </c>
      <c r="G114" s="42">
        <v>8</v>
      </c>
      <c r="H114" s="42">
        <v>124</v>
      </c>
      <c r="I114" s="42">
        <v>170</v>
      </c>
      <c r="J114" s="42">
        <v>438</v>
      </c>
      <c r="K114" s="42">
        <v>4</v>
      </c>
      <c r="L114" s="42">
        <f t="shared" si="6"/>
        <v>442</v>
      </c>
      <c r="M114" s="42">
        <v>0</v>
      </c>
      <c r="N114" s="43">
        <f t="shared" si="7"/>
        <v>0.38461538461538464</v>
      </c>
      <c r="O114" s="43">
        <f t="shared" si="8"/>
        <v>0.28054298642533937</v>
      </c>
      <c r="P114" s="43">
        <f t="shared" si="9"/>
        <v>0.30769230769230771</v>
      </c>
      <c r="Q114" s="43">
        <f t="shared" si="10"/>
        <v>1.8099547511312219E-2</v>
      </c>
      <c r="R114" s="44">
        <v>406</v>
      </c>
      <c r="S114" s="44">
        <v>99</v>
      </c>
      <c r="T114" s="44">
        <v>105</v>
      </c>
      <c r="U114" s="44">
        <v>0</v>
      </c>
      <c r="V114" s="44">
        <v>610</v>
      </c>
      <c r="W114" s="45">
        <v>0.66557377049180333</v>
      </c>
      <c r="X114" s="45">
        <v>0.16229508196721312</v>
      </c>
      <c r="Y114" s="45">
        <v>0.1721311475409836</v>
      </c>
      <c r="Z114" s="45">
        <v>0</v>
      </c>
      <c r="AA114" s="46">
        <v>33.916393442622947</v>
      </c>
      <c r="AB114" s="43">
        <f t="shared" si="11"/>
        <v>0.72459016393442621</v>
      </c>
    </row>
    <row r="115" spans="1:28" x14ac:dyDescent="0.25">
      <c r="A115" s="42"/>
      <c r="B115" s="42"/>
      <c r="C115" s="42"/>
      <c r="D115" s="42">
        <v>6</v>
      </c>
      <c r="E115" s="42">
        <v>442</v>
      </c>
      <c r="F115" s="42">
        <v>157</v>
      </c>
      <c r="G115" s="42">
        <v>4</v>
      </c>
      <c r="H115" s="42">
        <v>132</v>
      </c>
      <c r="I115" s="42">
        <v>148</v>
      </c>
      <c r="J115" s="42">
        <v>441</v>
      </c>
      <c r="K115" s="42">
        <v>1</v>
      </c>
      <c r="L115" s="42">
        <f t="shared" si="6"/>
        <v>442</v>
      </c>
      <c r="M115" s="42">
        <v>0</v>
      </c>
      <c r="N115" s="43">
        <f t="shared" si="7"/>
        <v>0.33484162895927599</v>
      </c>
      <c r="O115" s="43">
        <f t="shared" si="8"/>
        <v>0.29864253393665158</v>
      </c>
      <c r="P115" s="43">
        <f t="shared" si="9"/>
        <v>0.35520361990950228</v>
      </c>
      <c r="Q115" s="43">
        <f t="shared" si="10"/>
        <v>9.0497737556561094E-3</v>
      </c>
      <c r="R115" s="44">
        <v>424</v>
      </c>
      <c r="S115" s="44">
        <v>87</v>
      </c>
      <c r="T115" s="44">
        <v>97</v>
      </c>
      <c r="U115" s="44">
        <v>2</v>
      </c>
      <c r="V115" s="44">
        <v>610</v>
      </c>
      <c r="W115" s="45">
        <v>0.69508196721311477</v>
      </c>
      <c r="X115" s="45">
        <v>0.14262295081967213</v>
      </c>
      <c r="Y115" s="45">
        <v>0.15901639344262294</v>
      </c>
      <c r="Z115" s="45">
        <v>3.2786885245901639E-3</v>
      </c>
      <c r="AA115" s="46">
        <v>29.675409836065572</v>
      </c>
      <c r="AB115" s="43">
        <f t="shared" si="11"/>
        <v>0.72459016393442621</v>
      </c>
    </row>
    <row r="116" spans="1:28" x14ac:dyDescent="0.25">
      <c r="A116" s="42"/>
      <c r="B116" s="42"/>
      <c r="C116" s="42"/>
      <c r="D116" s="42">
        <v>7</v>
      </c>
      <c r="E116" s="42">
        <v>473</v>
      </c>
      <c r="F116" s="42">
        <v>138</v>
      </c>
      <c r="G116" s="42">
        <v>7</v>
      </c>
      <c r="H116" s="42">
        <v>128</v>
      </c>
      <c r="I116" s="42">
        <v>200</v>
      </c>
      <c r="J116" s="42">
        <v>473</v>
      </c>
      <c r="K116" s="42">
        <v>0</v>
      </c>
      <c r="L116" s="42">
        <f t="shared" si="6"/>
        <v>473</v>
      </c>
      <c r="M116" s="42">
        <v>0</v>
      </c>
      <c r="N116" s="43">
        <f t="shared" si="7"/>
        <v>0.42283298097251587</v>
      </c>
      <c r="O116" s="43">
        <f t="shared" si="8"/>
        <v>0.27061310782241016</v>
      </c>
      <c r="P116" s="43">
        <f t="shared" si="9"/>
        <v>0.29175475687103591</v>
      </c>
      <c r="Q116" s="43">
        <f t="shared" si="10"/>
        <v>1.4799154334038054E-2</v>
      </c>
      <c r="R116" s="44">
        <v>408</v>
      </c>
      <c r="S116" s="44">
        <v>102</v>
      </c>
      <c r="T116" s="44">
        <v>99</v>
      </c>
      <c r="U116" s="44">
        <v>1</v>
      </c>
      <c r="V116" s="44">
        <v>610</v>
      </c>
      <c r="W116" s="45">
        <v>0.66885245901639345</v>
      </c>
      <c r="X116" s="45">
        <v>0.16721311475409836</v>
      </c>
      <c r="Y116" s="45">
        <v>0.16229508196721312</v>
      </c>
      <c r="Z116" s="45">
        <v>1.639344262295082E-3</v>
      </c>
      <c r="AA116" s="46">
        <v>25.588524590163935</v>
      </c>
      <c r="AB116" s="43">
        <f t="shared" si="11"/>
        <v>0.77540983606557379</v>
      </c>
    </row>
    <row r="117" spans="1:28" x14ac:dyDescent="0.25">
      <c r="A117" s="42"/>
      <c r="B117" s="42"/>
      <c r="C117" s="42"/>
      <c r="D117" s="42">
        <v>8</v>
      </c>
      <c r="E117" s="42">
        <v>511</v>
      </c>
      <c r="F117" s="42">
        <v>137</v>
      </c>
      <c r="G117" s="42">
        <v>4</v>
      </c>
      <c r="H117" s="42">
        <v>159</v>
      </c>
      <c r="I117" s="42">
        <v>211</v>
      </c>
      <c r="J117" s="42">
        <v>511</v>
      </c>
      <c r="K117" s="42">
        <v>0</v>
      </c>
      <c r="L117" s="42">
        <f t="shared" si="6"/>
        <v>511</v>
      </c>
      <c r="M117" s="42">
        <v>0</v>
      </c>
      <c r="N117" s="43">
        <f t="shared" si="7"/>
        <v>0.41291585127201563</v>
      </c>
      <c r="O117" s="43">
        <f t="shared" si="8"/>
        <v>0.31115459882583169</v>
      </c>
      <c r="P117" s="43">
        <f t="shared" si="9"/>
        <v>0.26810176125244617</v>
      </c>
      <c r="Q117" s="43">
        <f t="shared" si="10"/>
        <v>7.8277886497064575E-3</v>
      </c>
      <c r="R117" s="44">
        <v>398</v>
      </c>
      <c r="S117" s="44">
        <v>84</v>
      </c>
      <c r="T117" s="44">
        <v>132</v>
      </c>
      <c r="U117" s="44">
        <v>0</v>
      </c>
      <c r="V117" s="44">
        <v>614</v>
      </c>
      <c r="W117" s="45">
        <v>0.64820846905537455</v>
      </c>
      <c r="X117" s="45">
        <v>0.13680781758957655</v>
      </c>
      <c r="Y117" s="45">
        <v>0.21498371335504887</v>
      </c>
      <c r="Z117" s="45">
        <v>0</v>
      </c>
      <c r="AA117" s="46">
        <v>20.71172638436482</v>
      </c>
      <c r="AB117" s="43">
        <f t="shared" si="11"/>
        <v>0.83224755700325737</v>
      </c>
    </row>
    <row r="118" spans="1:28" x14ac:dyDescent="0.25">
      <c r="A118" s="42"/>
      <c r="B118" s="42"/>
      <c r="C118" s="42" t="s">
        <v>170</v>
      </c>
      <c r="D118" s="42">
        <v>1</v>
      </c>
      <c r="E118" s="42">
        <v>296</v>
      </c>
      <c r="F118" s="42">
        <v>175</v>
      </c>
      <c r="G118" s="42">
        <v>5</v>
      </c>
      <c r="H118" s="42">
        <v>36</v>
      </c>
      <c r="I118" s="42">
        <v>74</v>
      </c>
      <c r="J118" s="42">
        <v>290</v>
      </c>
      <c r="K118" s="42">
        <v>6</v>
      </c>
      <c r="L118" s="42">
        <f t="shared" si="6"/>
        <v>296</v>
      </c>
      <c r="M118" s="42">
        <v>0</v>
      </c>
      <c r="N118" s="43">
        <f t="shared" si="7"/>
        <v>0.25</v>
      </c>
      <c r="O118" s="43">
        <f t="shared" si="8"/>
        <v>0.12162162162162163</v>
      </c>
      <c r="P118" s="43">
        <f t="shared" si="9"/>
        <v>0.59121621621621623</v>
      </c>
      <c r="Q118" s="43">
        <f t="shared" si="10"/>
        <v>1.6891891891891893E-2</v>
      </c>
      <c r="R118" s="44">
        <v>287</v>
      </c>
      <c r="S118" s="44">
        <v>24</v>
      </c>
      <c r="T118" s="44">
        <v>88</v>
      </c>
      <c r="U118" s="44">
        <v>1</v>
      </c>
      <c r="V118" s="44">
        <v>400</v>
      </c>
      <c r="W118" s="45">
        <v>0.71750000000000003</v>
      </c>
      <c r="X118" s="45">
        <v>0.06</v>
      </c>
      <c r="Y118" s="45">
        <v>0.22</v>
      </c>
      <c r="Z118" s="45">
        <v>2.5000000000000001E-3</v>
      </c>
      <c r="AA118" s="46">
        <v>67.257499999999993</v>
      </c>
      <c r="AB118" s="43">
        <f t="shared" si="11"/>
        <v>0.74</v>
      </c>
    </row>
    <row r="119" spans="1:28" x14ac:dyDescent="0.25">
      <c r="A119" s="42"/>
      <c r="B119" s="42"/>
      <c r="C119" s="42"/>
      <c r="D119" s="42">
        <v>2</v>
      </c>
      <c r="E119" s="42">
        <v>329</v>
      </c>
      <c r="F119" s="42">
        <v>183</v>
      </c>
      <c r="G119" s="42">
        <v>5</v>
      </c>
      <c r="H119" s="42">
        <v>79</v>
      </c>
      <c r="I119" s="42">
        <v>61</v>
      </c>
      <c r="J119" s="42">
        <v>328</v>
      </c>
      <c r="K119" s="42">
        <v>1</v>
      </c>
      <c r="L119" s="42">
        <f t="shared" si="6"/>
        <v>329</v>
      </c>
      <c r="M119" s="42">
        <v>0</v>
      </c>
      <c r="N119" s="43">
        <f t="shared" si="7"/>
        <v>0.18541033434650456</v>
      </c>
      <c r="O119" s="43">
        <f t="shared" si="8"/>
        <v>0.24012158054711247</v>
      </c>
      <c r="P119" s="43">
        <f t="shared" si="9"/>
        <v>0.55623100303951367</v>
      </c>
      <c r="Q119" s="43">
        <f t="shared" si="10"/>
        <v>1.5197568389057751E-2</v>
      </c>
      <c r="R119" s="44">
        <v>366</v>
      </c>
      <c r="S119" s="44">
        <v>1</v>
      </c>
      <c r="T119" s="44">
        <v>43</v>
      </c>
      <c r="U119" s="44">
        <v>1</v>
      </c>
      <c r="V119" s="44">
        <v>411</v>
      </c>
      <c r="W119" s="45">
        <v>0.89051094890510951</v>
      </c>
      <c r="X119" s="45">
        <v>2.4330900243309003E-3</v>
      </c>
      <c r="Y119" s="45">
        <v>0.10462287104622871</v>
      </c>
      <c r="Z119" s="45">
        <v>2.4330900243309003E-3</v>
      </c>
      <c r="AA119" s="46">
        <v>49.274939172749392</v>
      </c>
      <c r="AB119" s="43">
        <f t="shared" si="11"/>
        <v>0.8004866180048662</v>
      </c>
    </row>
    <row r="120" spans="1:28" x14ac:dyDescent="0.25">
      <c r="A120" s="42"/>
      <c r="B120" s="42"/>
      <c r="C120" s="42"/>
      <c r="D120" s="42">
        <v>3</v>
      </c>
      <c r="E120" s="42">
        <v>333</v>
      </c>
      <c r="F120" s="42">
        <v>153</v>
      </c>
      <c r="G120" s="42">
        <v>6</v>
      </c>
      <c r="H120" s="42">
        <v>127</v>
      </c>
      <c r="I120" s="42">
        <v>44</v>
      </c>
      <c r="J120" s="42">
        <v>330</v>
      </c>
      <c r="K120" s="42">
        <v>3</v>
      </c>
      <c r="L120" s="42">
        <f t="shared" si="6"/>
        <v>333</v>
      </c>
      <c r="M120" s="42">
        <v>0</v>
      </c>
      <c r="N120" s="43">
        <f t="shared" si="7"/>
        <v>0.13213213213213212</v>
      </c>
      <c r="O120" s="43">
        <f t="shared" si="8"/>
        <v>0.38138138138138139</v>
      </c>
      <c r="P120" s="43">
        <f t="shared" si="9"/>
        <v>0.45945945945945948</v>
      </c>
      <c r="Q120" s="43">
        <f t="shared" si="10"/>
        <v>1.8018018018018018E-2</v>
      </c>
      <c r="R120" s="44">
        <v>393</v>
      </c>
      <c r="S120" s="44">
        <v>3</v>
      </c>
      <c r="T120" s="44">
        <v>16</v>
      </c>
      <c r="U120" s="44">
        <v>0</v>
      </c>
      <c r="V120" s="44">
        <v>412</v>
      </c>
      <c r="W120" s="45">
        <v>0.95388349514563109</v>
      </c>
      <c r="X120" s="45">
        <v>7.2815533980582527E-3</v>
      </c>
      <c r="Y120" s="45">
        <v>3.8834951456310676E-2</v>
      </c>
      <c r="Z120" s="45">
        <v>0</v>
      </c>
      <c r="AA120" s="46">
        <v>28.526699029126213</v>
      </c>
      <c r="AB120" s="43">
        <f t="shared" si="11"/>
        <v>0.80825242718446599</v>
      </c>
    </row>
    <row r="121" spans="1:28" x14ac:dyDescent="0.25">
      <c r="A121" s="42">
        <v>28</v>
      </c>
      <c r="B121" s="42" t="s">
        <v>171</v>
      </c>
      <c r="C121" s="42" t="s">
        <v>172</v>
      </c>
      <c r="D121" s="42">
        <v>1</v>
      </c>
      <c r="E121" s="42">
        <v>299</v>
      </c>
      <c r="F121" s="42">
        <v>52</v>
      </c>
      <c r="G121" s="42">
        <v>1</v>
      </c>
      <c r="H121" s="42">
        <v>6</v>
      </c>
      <c r="I121" s="42">
        <v>235</v>
      </c>
      <c r="J121" s="42">
        <v>294</v>
      </c>
      <c r="K121" s="42">
        <v>5</v>
      </c>
      <c r="L121" s="42">
        <f t="shared" si="6"/>
        <v>299</v>
      </c>
      <c r="M121" s="42">
        <v>0</v>
      </c>
      <c r="N121" s="43">
        <f t="shared" si="7"/>
        <v>0.78595317725752512</v>
      </c>
      <c r="O121" s="43">
        <f t="shared" si="8"/>
        <v>2.0066889632107024E-2</v>
      </c>
      <c r="P121" s="43">
        <f t="shared" si="9"/>
        <v>0.17391304347826086</v>
      </c>
      <c r="Q121" s="43">
        <f t="shared" si="10"/>
        <v>3.3444816053511705E-3</v>
      </c>
      <c r="R121" s="44">
        <v>44</v>
      </c>
      <c r="S121" s="44">
        <v>359</v>
      </c>
      <c r="T121" s="44">
        <v>46</v>
      </c>
      <c r="U121" s="44">
        <v>1</v>
      </c>
      <c r="V121" s="44">
        <v>450</v>
      </c>
      <c r="W121" s="45">
        <v>9.7777777777777783E-2</v>
      </c>
      <c r="X121" s="45">
        <v>0.79777777777777781</v>
      </c>
      <c r="Y121" s="45">
        <v>0.10222222222222223</v>
      </c>
      <c r="Z121" s="45">
        <v>2.2222222222222222E-3</v>
      </c>
      <c r="AA121" s="46">
        <v>73.926666666666662</v>
      </c>
      <c r="AB121" s="43">
        <f t="shared" si="11"/>
        <v>0.66444444444444439</v>
      </c>
    </row>
    <row r="122" spans="1:28" x14ac:dyDescent="0.25">
      <c r="A122" s="42"/>
      <c r="B122" s="42"/>
      <c r="C122" s="42"/>
      <c r="D122" s="42">
        <v>2</v>
      </c>
      <c r="E122" s="42">
        <v>368</v>
      </c>
      <c r="F122" s="42">
        <v>68</v>
      </c>
      <c r="G122" s="42">
        <v>6</v>
      </c>
      <c r="H122" s="42">
        <v>13</v>
      </c>
      <c r="I122" s="42">
        <v>277</v>
      </c>
      <c r="J122" s="42">
        <v>364</v>
      </c>
      <c r="K122" s="42">
        <v>4</v>
      </c>
      <c r="L122" s="42">
        <f t="shared" si="6"/>
        <v>368</v>
      </c>
      <c r="M122" s="42">
        <v>0</v>
      </c>
      <c r="N122" s="43">
        <f t="shared" si="7"/>
        <v>0.75271739130434778</v>
      </c>
      <c r="O122" s="43">
        <f t="shared" si="8"/>
        <v>3.5326086956521736E-2</v>
      </c>
      <c r="P122" s="43">
        <f t="shared" si="9"/>
        <v>0.18478260869565216</v>
      </c>
      <c r="Q122" s="43">
        <f t="shared" si="10"/>
        <v>1.6304347826086956E-2</v>
      </c>
      <c r="R122" s="44">
        <v>49</v>
      </c>
      <c r="S122" s="44">
        <v>343</v>
      </c>
      <c r="T122" s="44">
        <v>58</v>
      </c>
      <c r="U122" s="44">
        <v>0</v>
      </c>
      <c r="V122" s="44">
        <v>450</v>
      </c>
      <c r="W122" s="45">
        <v>0.10888888888888888</v>
      </c>
      <c r="X122" s="45">
        <v>0.76222222222222225</v>
      </c>
      <c r="Y122" s="45">
        <v>0.12888888888888889</v>
      </c>
      <c r="Z122" s="45">
        <v>0</v>
      </c>
      <c r="AA122" s="46">
        <v>68.286666666666662</v>
      </c>
      <c r="AB122" s="43">
        <f t="shared" si="11"/>
        <v>0.81777777777777783</v>
      </c>
    </row>
    <row r="123" spans="1:28" x14ac:dyDescent="0.25">
      <c r="A123" s="42"/>
      <c r="B123" s="42"/>
      <c r="C123" s="42"/>
      <c r="D123" s="42">
        <v>3</v>
      </c>
      <c r="E123" s="42">
        <v>377</v>
      </c>
      <c r="F123" s="42">
        <v>54</v>
      </c>
      <c r="G123" s="42">
        <v>4</v>
      </c>
      <c r="H123" s="42">
        <v>12</v>
      </c>
      <c r="I123" s="42">
        <v>298</v>
      </c>
      <c r="J123" s="42">
        <v>368</v>
      </c>
      <c r="K123" s="42">
        <v>9</v>
      </c>
      <c r="L123" s="42">
        <f t="shared" si="6"/>
        <v>377</v>
      </c>
      <c r="M123" s="42">
        <v>0</v>
      </c>
      <c r="N123" s="43">
        <f t="shared" si="7"/>
        <v>0.79045092838196285</v>
      </c>
      <c r="O123" s="43">
        <f t="shared" si="8"/>
        <v>3.1830238726790451E-2</v>
      </c>
      <c r="P123" s="43">
        <f t="shared" si="9"/>
        <v>0.14323607427055704</v>
      </c>
      <c r="Q123" s="43">
        <f t="shared" si="10"/>
        <v>1.0610079575596816E-2</v>
      </c>
      <c r="R123" s="44">
        <v>74</v>
      </c>
      <c r="S123" s="44">
        <v>326</v>
      </c>
      <c r="T123" s="44">
        <v>49</v>
      </c>
      <c r="U123" s="44">
        <v>1</v>
      </c>
      <c r="V123" s="44">
        <v>450</v>
      </c>
      <c r="W123" s="45">
        <v>0.16444444444444445</v>
      </c>
      <c r="X123" s="45">
        <v>0.72444444444444445</v>
      </c>
      <c r="Y123" s="45">
        <v>0.10888888888888888</v>
      </c>
      <c r="Z123" s="45">
        <v>2.2222222222222222E-3</v>
      </c>
      <c r="AA123" s="46">
        <v>61.086666666666666</v>
      </c>
      <c r="AB123" s="43">
        <f t="shared" si="11"/>
        <v>0.83777777777777773</v>
      </c>
    </row>
    <row r="124" spans="1:28" x14ac:dyDescent="0.25">
      <c r="A124" s="42"/>
      <c r="B124" s="42"/>
      <c r="C124" s="42"/>
      <c r="D124" s="42">
        <v>4</v>
      </c>
      <c r="E124" s="42">
        <v>531</v>
      </c>
      <c r="F124" s="42">
        <v>78</v>
      </c>
      <c r="G124" s="42">
        <v>1</v>
      </c>
      <c r="H124" s="42">
        <v>32</v>
      </c>
      <c r="I124" s="42">
        <v>411</v>
      </c>
      <c r="J124" s="42">
        <v>522</v>
      </c>
      <c r="K124" s="42">
        <v>9</v>
      </c>
      <c r="L124" s="42">
        <f t="shared" si="6"/>
        <v>531</v>
      </c>
      <c r="M124" s="42">
        <v>0</v>
      </c>
      <c r="N124" s="43">
        <f t="shared" si="7"/>
        <v>0.77401129943502822</v>
      </c>
      <c r="O124" s="43">
        <f t="shared" si="8"/>
        <v>6.0263653483992465E-2</v>
      </c>
      <c r="P124" s="43">
        <f t="shared" si="9"/>
        <v>0.14689265536723164</v>
      </c>
      <c r="Q124" s="43">
        <f t="shared" si="10"/>
        <v>1.8832391713747645E-3</v>
      </c>
      <c r="R124" s="44">
        <v>102</v>
      </c>
      <c r="S124" s="44">
        <v>471</v>
      </c>
      <c r="T124" s="44">
        <v>87</v>
      </c>
      <c r="U124" s="44">
        <v>2</v>
      </c>
      <c r="V124" s="44">
        <v>662</v>
      </c>
      <c r="W124" s="45">
        <v>0.15407854984894259</v>
      </c>
      <c r="X124" s="45">
        <v>0.71148036253776437</v>
      </c>
      <c r="Y124" s="45">
        <v>0.13141993957703926</v>
      </c>
      <c r="Z124" s="45">
        <v>3.0211480362537764E-3</v>
      </c>
      <c r="AA124" s="46">
        <v>53.383685800604226</v>
      </c>
      <c r="AB124" s="43">
        <f t="shared" si="11"/>
        <v>0.80211480362537768</v>
      </c>
    </row>
    <row r="125" spans="1:28" x14ac:dyDescent="0.25">
      <c r="A125" s="42"/>
      <c r="B125" s="42"/>
      <c r="C125" s="42"/>
      <c r="D125" s="42">
        <v>5</v>
      </c>
      <c r="E125" s="42">
        <v>475</v>
      </c>
      <c r="F125" s="42">
        <v>67</v>
      </c>
      <c r="G125" s="42">
        <v>3</v>
      </c>
      <c r="H125" s="42">
        <v>58</v>
      </c>
      <c r="I125" s="42">
        <v>345</v>
      </c>
      <c r="J125" s="42">
        <v>473</v>
      </c>
      <c r="K125" s="42">
        <v>2</v>
      </c>
      <c r="L125" s="42">
        <f t="shared" si="6"/>
        <v>475</v>
      </c>
      <c r="M125" s="42">
        <v>0</v>
      </c>
      <c r="N125" s="43">
        <f t="shared" si="7"/>
        <v>0.72631578947368425</v>
      </c>
      <c r="O125" s="43">
        <f t="shared" si="8"/>
        <v>0.12210526315789473</v>
      </c>
      <c r="P125" s="43">
        <f t="shared" si="9"/>
        <v>0.14105263157894737</v>
      </c>
      <c r="Q125" s="43">
        <f t="shared" si="10"/>
        <v>6.3157894736842104E-3</v>
      </c>
      <c r="R125" s="44">
        <v>155</v>
      </c>
      <c r="S125" s="44">
        <v>349</v>
      </c>
      <c r="T125" s="44">
        <v>151</v>
      </c>
      <c r="U125" s="44">
        <v>7</v>
      </c>
      <c r="V125" s="44">
        <v>662</v>
      </c>
      <c r="W125" s="45">
        <v>0.23413897280966767</v>
      </c>
      <c r="X125" s="45">
        <v>0.52719033232628398</v>
      </c>
      <c r="Y125" s="45">
        <v>0.22809667673716011</v>
      </c>
      <c r="Z125" s="45">
        <v>1.0574018126888218E-2</v>
      </c>
      <c r="AA125" s="46">
        <v>42.898791540785496</v>
      </c>
      <c r="AB125" s="43">
        <f t="shared" si="11"/>
        <v>0.71752265861027187</v>
      </c>
    </row>
    <row r="126" spans="1:28" x14ac:dyDescent="0.25">
      <c r="A126" s="42"/>
      <c r="B126" s="42"/>
      <c r="C126" s="42"/>
      <c r="D126" s="42">
        <v>6</v>
      </c>
      <c r="E126" s="42">
        <v>432</v>
      </c>
      <c r="F126" s="42">
        <v>81</v>
      </c>
      <c r="G126" s="42">
        <v>1</v>
      </c>
      <c r="H126" s="42">
        <v>71</v>
      </c>
      <c r="I126" s="42">
        <v>277</v>
      </c>
      <c r="J126" s="42">
        <v>430</v>
      </c>
      <c r="K126" s="42">
        <v>2</v>
      </c>
      <c r="L126" s="42">
        <f t="shared" si="6"/>
        <v>432</v>
      </c>
      <c r="M126" s="42">
        <v>0</v>
      </c>
      <c r="N126" s="43">
        <f t="shared" si="7"/>
        <v>0.64120370370370372</v>
      </c>
      <c r="O126" s="43">
        <f t="shared" si="8"/>
        <v>0.16435185185185186</v>
      </c>
      <c r="P126" s="43">
        <f t="shared" si="9"/>
        <v>0.1875</v>
      </c>
      <c r="Q126" s="43">
        <f t="shared" si="10"/>
        <v>2.3148148148148147E-3</v>
      </c>
      <c r="R126" s="44">
        <v>257</v>
      </c>
      <c r="S126" s="44">
        <v>259</v>
      </c>
      <c r="T126" s="44">
        <v>146</v>
      </c>
      <c r="U126" s="44">
        <v>0</v>
      </c>
      <c r="V126" s="44">
        <v>662</v>
      </c>
      <c r="W126" s="45">
        <v>0.38821752265861026</v>
      </c>
      <c r="X126" s="45">
        <v>0.39123867069486407</v>
      </c>
      <c r="Y126" s="45">
        <v>0.22054380664652568</v>
      </c>
      <c r="Z126" s="45">
        <v>0</v>
      </c>
      <c r="AA126" s="46">
        <v>32.800604229607252</v>
      </c>
      <c r="AB126" s="43">
        <f t="shared" si="11"/>
        <v>0.65256797583081572</v>
      </c>
    </row>
    <row r="127" spans="1:28" x14ac:dyDescent="0.25">
      <c r="A127" s="42"/>
      <c r="B127" s="42"/>
      <c r="C127" s="42"/>
      <c r="D127" s="42">
        <v>7</v>
      </c>
      <c r="E127" s="42">
        <v>486</v>
      </c>
      <c r="F127" s="42">
        <v>87</v>
      </c>
      <c r="G127" s="42">
        <v>3</v>
      </c>
      <c r="H127" s="42">
        <v>67</v>
      </c>
      <c r="I127" s="42">
        <v>324</v>
      </c>
      <c r="J127" s="42">
        <v>481</v>
      </c>
      <c r="K127" s="42">
        <v>5</v>
      </c>
      <c r="L127" s="42">
        <f t="shared" si="6"/>
        <v>486</v>
      </c>
      <c r="M127" s="42">
        <v>0</v>
      </c>
      <c r="N127" s="43">
        <f t="shared" si="7"/>
        <v>0.66666666666666663</v>
      </c>
      <c r="O127" s="43">
        <f t="shared" si="8"/>
        <v>0.13786008230452676</v>
      </c>
      <c r="P127" s="43">
        <f t="shared" si="9"/>
        <v>0.17901234567901234</v>
      </c>
      <c r="Q127" s="43">
        <f t="shared" si="10"/>
        <v>6.1728395061728392E-3</v>
      </c>
      <c r="R127" s="44">
        <v>217</v>
      </c>
      <c r="S127" s="44">
        <v>286</v>
      </c>
      <c r="T127" s="44">
        <v>159</v>
      </c>
      <c r="U127" s="44">
        <v>0</v>
      </c>
      <c r="V127" s="44">
        <v>662</v>
      </c>
      <c r="W127" s="45">
        <v>0.32779456193353473</v>
      </c>
      <c r="X127" s="45">
        <v>0.43202416918429004</v>
      </c>
      <c r="Y127" s="45">
        <v>0.24018126888217523</v>
      </c>
      <c r="Z127" s="45">
        <v>0</v>
      </c>
      <c r="AA127" s="46">
        <v>23.385196374622357</v>
      </c>
      <c r="AB127" s="43">
        <f t="shared" si="11"/>
        <v>0.73413897280966767</v>
      </c>
    </row>
    <row r="128" spans="1:28" x14ac:dyDescent="0.25">
      <c r="A128" s="42">
        <v>29</v>
      </c>
      <c r="B128" s="42" t="s">
        <v>173</v>
      </c>
      <c r="C128" s="42" t="s">
        <v>174</v>
      </c>
      <c r="D128" s="42">
        <v>1</v>
      </c>
      <c r="E128" s="42">
        <v>305</v>
      </c>
      <c r="F128" s="42">
        <v>96</v>
      </c>
      <c r="G128" s="42">
        <v>4</v>
      </c>
      <c r="H128" s="42">
        <v>21</v>
      </c>
      <c r="I128" s="42">
        <v>180</v>
      </c>
      <c r="J128" s="42">
        <v>301</v>
      </c>
      <c r="K128" s="42">
        <v>4</v>
      </c>
      <c r="L128" s="42">
        <f t="shared" si="6"/>
        <v>305</v>
      </c>
      <c r="M128" s="42">
        <v>0</v>
      </c>
      <c r="N128" s="43">
        <f t="shared" si="7"/>
        <v>0.5901639344262295</v>
      </c>
      <c r="O128" s="43">
        <f t="shared" si="8"/>
        <v>6.8852459016393447E-2</v>
      </c>
      <c r="P128" s="43">
        <f t="shared" si="9"/>
        <v>0.31475409836065577</v>
      </c>
      <c r="Q128" s="43">
        <f t="shared" si="10"/>
        <v>1.3114754098360656E-2</v>
      </c>
      <c r="R128" s="44">
        <v>132</v>
      </c>
      <c r="S128" s="44">
        <v>238</v>
      </c>
      <c r="T128" s="44">
        <v>78</v>
      </c>
      <c r="U128" s="44">
        <v>2</v>
      </c>
      <c r="V128" s="44">
        <v>450</v>
      </c>
      <c r="W128" s="45">
        <v>0.29333333333333333</v>
      </c>
      <c r="X128" s="45">
        <v>0.52888888888888885</v>
      </c>
      <c r="Y128" s="45">
        <v>0.17333333333333334</v>
      </c>
      <c r="Z128" s="45">
        <v>4.4444444444444444E-3</v>
      </c>
      <c r="AA128" s="46">
        <v>71.511111111111106</v>
      </c>
      <c r="AB128" s="43">
        <f t="shared" si="11"/>
        <v>0.67777777777777781</v>
      </c>
    </row>
    <row r="129" spans="1:28" x14ac:dyDescent="0.25">
      <c r="A129" s="42"/>
      <c r="B129" s="42"/>
      <c r="C129" s="42"/>
      <c r="D129" s="42">
        <v>2</v>
      </c>
      <c r="E129" s="42">
        <v>335</v>
      </c>
      <c r="F129" s="42">
        <v>104</v>
      </c>
      <c r="G129" s="42">
        <v>4</v>
      </c>
      <c r="H129" s="42">
        <v>45</v>
      </c>
      <c r="I129" s="42">
        <v>181</v>
      </c>
      <c r="J129" s="42">
        <v>334</v>
      </c>
      <c r="K129" s="42">
        <v>1</v>
      </c>
      <c r="L129" s="42">
        <f t="shared" si="6"/>
        <v>335</v>
      </c>
      <c r="M129" s="42">
        <v>0</v>
      </c>
      <c r="N129" s="43">
        <f t="shared" si="7"/>
        <v>0.54029850746268659</v>
      </c>
      <c r="O129" s="43">
        <f t="shared" si="8"/>
        <v>0.13432835820895522</v>
      </c>
      <c r="P129" s="43">
        <f t="shared" si="9"/>
        <v>0.31044776119402984</v>
      </c>
      <c r="Q129" s="43">
        <f t="shared" si="10"/>
        <v>1.1940298507462687E-2</v>
      </c>
      <c r="R129" s="44">
        <v>188</v>
      </c>
      <c r="S129" s="44">
        <v>208</v>
      </c>
      <c r="T129" s="44">
        <v>53</v>
      </c>
      <c r="U129" s="44">
        <v>1</v>
      </c>
      <c r="V129" s="44">
        <v>450</v>
      </c>
      <c r="W129" s="45">
        <v>0.4177777777777778</v>
      </c>
      <c r="X129" s="45">
        <v>0.4622222222222222</v>
      </c>
      <c r="Y129" s="45">
        <v>0.11777777777777777</v>
      </c>
      <c r="Z129" s="45">
        <v>2.2222222222222222E-3</v>
      </c>
      <c r="AA129" s="46">
        <v>53.522222222222226</v>
      </c>
      <c r="AB129" s="43">
        <f t="shared" si="11"/>
        <v>0.74444444444444446</v>
      </c>
    </row>
    <row r="130" spans="1:28" x14ac:dyDescent="0.25">
      <c r="A130" s="42"/>
      <c r="B130" s="42"/>
      <c r="C130" s="42"/>
      <c r="D130" s="42">
        <v>3</v>
      </c>
      <c r="E130" s="42">
        <v>337</v>
      </c>
      <c r="F130" s="42">
        <v>80</v>
      </c>
      <c r="G130" s="42">
        <v>2</v>
      </c>
      <c r="H130" s="42">
        <v>94</v>
      </c>
      <c r="I130" s="42">
        <v>159</v>
      </c>
      <c r="J130" s="42">
        <v>335</v>
      </c>
      <c r="K130" s="42">
        <v>2</v>
      </c>
      <c r="L130" s="42">
        <f t="shared" si="6"/>
        <v>337</v>
      </c>
      <c r="M130" s="42">
        <v>0</v>
      </c>
      <c r="N130" s="43">
        <f t="shared" si="7"/>
        <v>0.47181008902077154</v>
      </c>
      <c r="O130" s="43">
        <f t="shared" si="8"/>
        <v>0.27893175074183979</v>
      </c>
      <c r="P130" s="43">
        <f t="shared" si="9"/>
        <v>0.23738872403560832</v>
      </c>
      <c r="Q130" s="43">
        <f t="shared" si="10"/>
        <v>5.9347181008902079E-3</v>
      </c>
      <c r="R130" s="44">
        <v>314</v>
      </c>
      <c r="S130" s="44">
        <v>148</v>
      </c>
      <c r="T130" s="44">
        <v>48</v>
      </c>
      <c r="U130" s="44">
        <v>3</v>
      </c>
      <c r="V130" s="44">
        <v>513</v>
      </c>
      <c r="W130" s="45">
        <v>0.61208576998050679</v>
      </c>
      <c r="X130" s="45">
        <v>0.28849902534113059</v>
      </c>
      <c r="Y130" s="45">
        <v>9.3567251461988299E-2</v>
      </c>
      <c r="Z130" s="45">
        <v>5.8479532163742687E-3</v>
      </c>
      <c r="AA130" s="46">
        <v>30.251461988304094</v>
      </c>
      <c r="AB130" s="43">
        <f t="shared" si="11"/>
        <v>0.65692007797270957</v>
      </c>
    </row>
    <row r="131" spans="1:28" x14ac:dyDescent="0.25">
      <c r="A131" s="42">
        <v>30</v>
      </c>
      <c r="B131" s="42" t="s">
        <v>175</v>
      </c>
      <c r="C131" s="42" t="s">
        <v>176</v>
      </c>
      <c r="D131" s="42">
        <v>1</v>
      </c>
      <c r="E131" s="42">
        <v>328</v>
      </c>
      <c r="F131" s="42">
        <v>98</v>
      </c>
      <c r="G131" s="42">
        <v>8</v>
      </c>
      <c r="H131" s="42">
        <v>21</v>
      </c>
      <c r="I131" s="42">
        <v>193</v>
      </c>
      <c r="J131" s="42">
        <v>320</v>
      </c>
      <c r="K131" s="42">
        <v>8</v>
      </c>
      <c r="L131" s="42">
        <f t="shared" ref="L131:L160" si="12">K131+J131</f>
        <v>328</v>
      </c>
      <c r="M131" s="42">
        <v>0</v>
      </c>
      <c r="N131" s="43">
        <f t="shared" ref="N131:N160" si="13">I131/L131</f>
        <v>0.58841463414634143</v>
      </c>
      <c r="O131" s="43">
        <f t="shared" ref="O131:O160" si="14">H131/L131</f>
        <v>6.402439024390244E-2</v>
      </c>
      <c r="P131" s="43">
        <f t="shared" ref="P131:P160" si="15">F131/L131</f>
        <v>0.29878048780487804</v>
      </c>
      <c r="Q131" s="43">
        <f t="shared" ref="Q131:Q160" si="16">G131/L131</f>
        <v>2.4390243902439025E-2</v>
      </c>
      <c r="R131" s="44">
        <v>120</v>
      </c>
      <c r="S131" s="44">
        <v>213</v>
      </c>
      <c r="T131" s="44">
        <v>112</v>
      </c>
      <c r="U131" s="44">
        <v>5</v>
      </c>
      <c r="V131" s="44">
        <v>450</v>
      </c>
      <c r="W131" s="45">
        <v>0.26666666666666666</v>
      </c>
      <c r="X131" s="45">
        <v>0.47333333333333333</v>
      </c>
      <c r="Y131" s="45">
        <v>0.24888888888888888</v>
      </c>
      <c r="Z131" s="45">
        <v>1.1111111111111112E-2</v>
      </c>
      <c r="AA131" s="46">
        <v>67.726666666666674</v>
      </c>
      <c r="AB131" s="43">
        <f t="shared" ref="AB131:AB162" si="17">L131/V131</f>
        <v>0.72888888888888892</v>
      </c>
    </row>
    <row r="132" spans="1:28" x14ac:dyDescent="0.25">
      <c r="A132" s="42"/>
      <c r="B132" s="42"/>
      <c r="C132" s="42"/>
      <c r="D132" s="42">
        <v>2</v>
      </c>
      <c r="E132" s="42">
        <v>360</v>
      </c>
      <c r="F132" s="42">
        <v>91</v>
      </c>
      <c r="G132" s="42">
        <v>5</v>
      </c>
      <c r="H132" s="42">
        <v>29</v>
      </c>
      <c r="I132" s="42">
        <v>232</v>
      </c>
      <c r="J132" s="42">
        <v>357</v>
      </c>
      <c r="K132" s="42">
        <v>3</v>
      </c>
      <c r="L132" s="42">
        <f t="shared" si="12"/>
        <v>360</v>
      </c>
      <c r="M132" s="42">
        <v>0</v>
      </c>
      <c r="N132" s="43">
        <f t="shared" si="13"/>
        <v>0.64444444444444449</v>
      </c>
      <c r="O132" s="43">
        <f t="shared" si="14"/>
        <v>8.0555555555555561E-2</v>
      </c>
      <c r="P132" s="43">
        <f t="shared" si="15"/>
        <v>0.25277777777777777</v>
      </c>
      <c r="Q132" s="43">
        <f t="shared" si="16"/>
        <v>1.3888888888888888E-2</v>
      </c>
      <c r="R132" s="44">
        <v>133</v>
      </c>
      <c r="S132" s="44">
        <v>227</v>
      </c>
      <c r="T132" s="44">
        <v>87</v>
      </c>
      <c r="U132" s="44">
        <v>3</v>
      </c>
      <c r="V132" s="44">
        <v>450</v>
      </c>
      <c r="W132" s="45">
        <v>0.29555555555555557</v>
      </c>
      <c r="X132" s="45">
        <v>0.50444444444444447</v>
      </c>
      <c r="Y132" s="45">
        <v>0.19333333333333333</v>
      </c>
      <c r="Z132" s="45">
        <v>6.6666666666666671E-3</v>
      </c>
      <c r="AA132" s="46">
        <v>61.606666666666669</v>
      </c>
      <c r="AB132" s="43">
        <f t="shared" si="17"/>
        <v>0.8</v>
      </c>
    </row>
    <row r="133" spans="1:28" x14ac:dyDescent="0.25">
      <c r="A133" s="42"/>
      <c r="B133" s="42"/>
      <c r="C133" s="42"/>
      <c r="D133" s="42">
        <v>3</v>
      </c>
      <c r="E133" s="42">
        <v>471</v>
      </c>
      <c r="F133" s="42">
        <v>78</v>
      </c>
      <c r="G133" s="42">
        <v>3</v>
      </c>
      <c r="H133" s="42">
        <v>45</v>
      </c>
      <c r="I133" s="42">
        <v>339</v>
      </c>
      <c r="J133" s="42">
        <v>465</v>
      </c>
      <c r="K133" s="42">
        <v>6</v>
      </c>
      <c r="L133" s="42">
        <f t="shared" si="12"/>
        <v>471</v>
      </c>
      <c r="M133" s="42">
        <v>0</v>
      </c>
      <c r="N133" s="43">
        <f t="shared" si="13"/>
        <v>0.71974522292993626</v>
      </c>
      <c r="O133" s="43">
        <f t="shared" si="14"/>
        <v>9.5541401273885357E-2</v>
      </c>
      <c r="P133" s="43">
        <f t="shared" si="15"/>
        <v>0.16560509554140126</v>
      </c>
      <c r="Q133" s="43">
        <f t="shared" si="16"/>
        <v>6.369426751592357E-3</v>
      </c>
      <c r="R133" s="44">
        <v>127</v>
      </c>
      <c r="S133" s="44">
        <v>272</v>
      </c>
      <c r="T133" s="44">
        <v>196</v>
      </c>
      <c r="U133" s="44">
        <v>5</v>
      </c>
      <c r="V133" s="44">
        <v>600</v>
      </c>
      <c r="W133" s="45">
        <v>0.21166666666666667</v>
      </c>
      <c r="X133" s="45">
        <v>0.45333333333333331</v>
      </c>
      <c r="Y133" s="45">
        <v>0.32666666666666666</v>
      </c>
      <c r="Z133" s="45">
        <v>8.3333333333333332E-3</v>
      </c>
      <c r="AA133" s="46">
        <v>50.613333333333337</v>
      </c>
      <c r="AB133" s="43">
        <f t="shared" si="17"/>
        <v>0.78500000000000003</v>
      </c>
    </row>
    <row r="134" spans="1:28" x14ac:dyDescent="0.25">
      <c r="A134" s="42"/>
      <c r="B134" s="42"/>
      <c r="C134" s="42"/>
      <c r="D134" s="42">
        <v>4</v>
      </c>
      <c r="E134" s="42">
        <v>447</v>
      </c>
      <c r="F134" s="42">
        <v>78</v>
      </c>
      <c r="G134" s="42">
        <v>5</v>
      </c>
      <c r="H134" s="42">
        <v>56</v>
      </c>
      <c r="I134" s="42">
        <v>304</v>
      </c>
      <c r="J134" s="42">
        <v>443</v>
      </c>
      <c r="K134" s="42">
        <v>4</v>
      </c>
      <c r="L134" s="42">
        <f t="shared" si="12"/>
        <v>447</v>
      </c>
      <c r="M134" s="42">
        <v>0</v>
      </c>
      <c r="N134" s="43">
        <f t="shared" si="13"/>
        <v>0.68008948545861303</v>
      </c>
      <c r="O134" s="43">
        <f t="shared" si="14"/>
        <v>0.12527964205816555</v>
      </c>
      <c r="P134" s="43">
        <f t="shared" si="15"/>
        <v>0.17449664429530201</v>
      </c>
      <c r="Q134" s="43">
        <f t="shared" si="16"/>
        <v>1.1185682326621925E-2</v>
      </c>
      <c r="R134" s="44">
        <v>179</v>
      </c>
      <c r="S134" s="44">
        <v>283</v>
      </c>
      <c r="T134" s="44">
        <v>136</v>
      </c>
      <c r="U134" s="44">
        <v>3</v>
      </c>
      <c r="V134" s="44">
        <v>601</v>
      </c>
      <c r="W134" s="45">
        <v>0.29783693843594011</v>
      </c>
      <c r="X134" s="45">
        <v>0.47088186356073214</v>
      </c>
      <c r="Y134" s="45">
        <v>0.22628951747088186</v>
      </c>
      <c r="Z134" s="45">
        <v>4.9916805324459234E-3</v>
      </c>
      <c r="AA134" s="46">
        <v>42.194675540765388</v>
      </c>
      <c r="AB134" s="43">
        <f t="shared" si="17"/>
        <v>0.7437603993344426</v>
      </c>
    </row>
    <row r="135" spans="1:28" x14ac:dyDescent="0.25">
      <c r="A135" s="42"/>
      <c r="B135" s="42"/>
      <c r="C135" s="42"/>
      <c r="D135" s="42">
        <v>5</v>
      </c>
      <c r="E135" s="42">
        <v>423</v>
      </c>
      <c r="F135" s="42">
        <v>58</v>
      </c>
      <c r="G135" s="42">
        <v>5</v>
      </c>
      <c r="H135" s="42">
        <v>70</v>
      </c>
      <c r="I135" s="42">
        <v>287</v>
      </c>
      <c r="J135" s="42">
        <v>420</v>
      </c>
      <c r="K135" s="42">
        <v>3</v>
      </c>
      <c r="L135" s="42">
        <f t="shared" si="12"/>
        <v>423</v>
      </c>
      <c r="M135" s="42">
        <v>0</v>
      </c>
      <c r="N135" s="43">
        <f t="shared" si="13"/>
        <v>0.67848699763593379</v>
      </c>
      <c r="O135" s="43">
        <f t="shared" si="14"/>
        <v>0.16548463356973994</v>
      </c>
      <c r="P135" s="43">
        <f t="shared" si="15"/>
        <v>0.13711583924349882</v>
      </c>
      <c r="Q135" s="43">
        <f t="shared" si="16"/>
        <v>1.1820330969267139E-2</v>
      </c>
      <c r="R135" s="44">
        <v>185</v>
      </c>
      <c r="S135" s="44">
        <v>301</v>
      </c>
      <c r="T135" s="44">
        <v>111</v>
      </c>
      <c r="U135" s="44">
        <v>4</v>
      </c>
      <c r="V135" s="44">
        <v>601</v>
      </c>
      <c r="W135" s="45">
        <v>0.30782029950083195</v>
      </c>
      <c r="X135" s="45">
        <v>0.50083194675540765</v>
      </c>
      <c r="Y135" s="45">
        <v>0.18469217970049917</v>
      </c>
      <c r="Z135" s="45">
        <v>6.6555740432612314E-3</v>
      </c>
      <c r="AA135" s="46">
        <v>36.747088186356073</v>
      </c>
      <c r="AB135" s="43">
        <f t="shared" si="17"/>
        <v>0.70382695507487525</v>
      </c>
    </row>
    <row r="136" spans="1:28" x14ac:dyDescent="0.25">
      <c r="A136" s="42"/>
      <c r="B136" s="42"/>
      <c r="C136" s="42"/>
      <c r="D136" s="42">
        <v>6</v>
      </c>
      <c r="E136" s="42">
        <v>402</v>
      </c>
      <c r="F136" s="42">
        <v>54</v>
      </c>
      <c r="G136" s="42">
        <v>5</v>
      </c>
      <c r="H136" s="42">
        <v>54</v>
      </c>
      <c r="I136" s="42">
        <v>287</v>
      </c>
      <c r="J136" s="42">
        <v>400</v>
      </c>
      <c r="K136" s="42">
        <v>2</v>
      </c>
      <c r="L136" s="42">
        <f t="shared" si="12"/>
        <v>402</v>
      </c>
      <c r="M136" s="42">
        <v>0</v>
      </c>
      <c r="N136" s="43">
        <f t="shared" si="13"/>
        <v>0.71393034825870649</v>
      </c>
      <c r="O136" s="43">
        <f t="shared" si="14"/>
        <v>0.13432835820895522</v>
      </c>
      <c r="P136" s="43">
        <f t="shared" si="15"/>
        <v>0.13432835820895522</v>
      </c>
      <c r="Q136" s="43">
        <f t="shared" si="16"/>
        <v>1.2437810945273632E-2</v>
      </c>
      <c r="R136" s="44">
        <v>169</v>
      </c>
      <c r="S136" s="44">
        <v>318</v>
      </c>
      <c r="T136" s="44">
        <v>109</v>
      </c>
      <c r="U136" s="44">
        <v>5</v>
      </c>
      <c r="V136" s="44">
        <v>601</v>
      </c>
      <c r="W136" s="45">
        <v>0.28119800332778699</v>
      </c>
      <c r="X136" s="45">
        <v>0.52911813643926786</v>
      </c>
      <c r="Y136" s="45">
        <v>0.18136439267886856</v>
      </c>
      <c r="Z136" s="45">
        <v>8.3194675540765387E-3</v>
      </c>
      <c r="AA136" s="46">
        <v>32.124792013311151</v>
      </c>
      <c r="AB136" s="43">
        <f t="shared" si="17"/>
        <v>0.6688851913477537</v>
      </c>
    </row>
    <row r="137" spans="1:28" x14ac:dyDescent="0.25">
      <c r="A137" s="42"/>
      <c r="B137" s="42"/>
      <c r="C137" s="42"/>
      <c r="D137" s="42">
        <v>7</v>
      </c>
      <c r="E137" s="42">
        <v>406</v>
      </c>
      <c r="F137" s="42">
        <v>59</v>
      </c>
      <c r="G137" s="42">
        <v>3</v>
      </c>
      <c r="H137" s="42">
        <v>53</v>
      </c>
      <c r="I137" s="42">
        <v>288</v>
      </c>
      <c r="J137" s="42">
        <v>403</v>
      </c>
      <c r="K137" s="42">
        <v>3</v>
      </c>
      <c r="L137" s="42">
        <f t="shared" si="12"/>
        <v>406</v>
      </c>
      <c r="M137" s="42">
        <v>0</v>
      </c>
      <c r="N137" s="43">
        <f t="shared" si="13"/>
        <v>0.70935960591133007</v>
      </c>
      <c r="O137" s="43">
        <f t="shared" si="14"/>
        <v>0.13054187192118227</v>
      </c>
      <c r="P137" s="43">
        <f t="shared" si="15"/>
        <v>0.14532019704433496</v>
      </c>
      <c r="Q137" s="43">
        <f t="shared" si="16"/>
        <v>7.3891625615763543E-3</v>
      </c>
      <c r="R137" s="44">
        <v>168</v>
      </c>
      <c r="S137" s="44">
        <v>315</v>
      </c>
      <c r="T137" s="44">
        <v>118</v>
      </c>
      <c r="U137" s="44">
        <v>0</v>
      </c>
      <c r="V137" s="44">
        <v>601</v>
      </c>
      <c r="W137" s="45">
        <v>0.27953410981697169</v>
      </c>
      <c r="X137" s="45">
        <v>0.52412645590682194</v>
      </c>
      <c r="Y137" s="45">
        <v>0.19633943427620631</v>
      </c>
      <c r="Z137" s="45">
        <v>0</v>
      </c>
      <c r="AA137" s="46">
        <v>26.469217970049918</v>
      </c>
      <c r="AB137" s="43">
        <f t="shared" si="17"/>
        <v>0.67554076539101493</v>
      </c>
    </row>
    <row r="138" spans="1:28" x14ac:dyDescent="0.25">
      <c r="A138" s="42"/>
      <c r="B138" s="42"/>
      <c r="C138" s="42"/>
      <c r="D138" s="42">
        <v>8</v>
      </c>
      <c r="E138" s="42">
        <v>461</v>
      </c>
      <c r="F138" s="42">
        <v>62</v>
      </c>
      <c r="G138" s="42">
        <v>2</v>
      </c>
      <c r="H138" s="42">
        <v>66</v>
      </c>
      <c r="I138" s="42">
        <v>330</v>
      </c>
      <c r="J138" s="42">
        <v>460</v>
      </c>
      <c r="K138" s="42">
        <v>1</v>
      </c>
      <c r="L138" s="42">
        <f t="shared" si="12"/>
        <v>461</v>
      </c>
      <c r="M138" s="42">
        <v>0</v>
      </c>
      <c r="N138" s="43">
        <f t="shared" si="13"/>
        <v>0.71583514099783085</v>
      </c>
      <c r="O138" s="43">
        <f t="shared" si="14"/>
        <v>0.14316702819956617</v>
      </c>
      <c r="P138" s="43">
        <f t="shared" si="15"/>
        <v>0.13449023861171366</v>
      </c>
      <c r="Q138" s="43">
        <f t="shared" si="16"/>
        <v>4.3383947939262474E-3</v>
      </c>
      <c r="R138" s="44">
        <v>166</v>
      </c>
      <c r="S138" s="44">
        <v>304</v>
      </c>
      <c r="T138" s="44">
        <v>131</v>
      </c>
      <c r="U138" s="44">
        <v>0</v>
      </c>
      <c r="V138" s="44">
        <v>601</v>
      </c>
      <c r="W138" s="45">
        <v>0.27620632279534107</v>
      </c>
      <c r="X138" s="45">
        <v>0.50582362728785357</v>
      </c>
      <c r="Y138" s="45">
        <v>0.21797004991680533</v>
      </c>
      <c r="Z138" s="45">
        <v>0</v>
      </c>
      <c r="AA138" s="46">
        <v>21.226289517470882</v>
      </c>
      <c r="AB138" s="43">
        <f t="shared" si="17"/>
        <v>0.76705490848585689</v>
      </c>
    </row>
    <row r="139" spans="1:28" x14ac:dyDescent="0.25">
      <c r="A139" s="42"/>
      <c r="B139" s="42"/>
      <c r="C139" s="42" t="s">
        <v>177</v>
      </c>
      <c r="D139" s="42">
        <v>1</v>
      </c>
      <c r="E139" s="42">
        <v>321</v>
      </c>
      <c r="F139" s="42">
        <v>55</v>
      </c>
      <c r="G139" s="42">
        <v>7</v>
      </c>
      <c r="H139" s="42">
        <v>17</v>
      </c>
      <c r="I139" s="42">
        <v>241</v>
      </c>
      <c r="J139" s="42">
        <v>320</v>
      </c>
      <c r="K139" s="42">
        <v>1</v>
      </c>
      <c r="L139" s="42">
        <f t="shared" si="12"/>
        <v>321</v>
      </c>
      <c r="M139" s="42">
        <v>0</v>
      </c>
      <c r="N139" s="43">
        <f t="shared" si="13"/>
        <v>0.75077881619937692</v>
      </c>
      <c r="O139" s="43">
        <f t="shared" si="14"/>
        <v>5.2959501557632398E-2</v>
      </c>
      <c r="P139" s="43">
        <f t="shared" si="15"/>
        <v>0.17133956386292834</v>
      </c>
      <c r="Q139" s="43">
        <f t="shared" si="16"/>
        <v>2.1806853582554516E-2</v>
      </c>
      <c r="R139" s="44">
        <v>68</v>
      </c>
      <c r="S139" s="44">
        <v>304</v>
      </c>
      <c r="T139" s="44">
        <v>76</v>
      </c>
      <c r="U139" s="44">
        <v>2</v>
      </c>
      <c r="V139" s="44">
        <v>450</v>
      </c>
      <c r="W139" s="45">
        <v>0.15111111111111111</v>
      </c>
      <c r="X139" s="45">
        <v>0.67555555555555558</v>
      </c>
      <c r="Y139" s="45">
        <v>0.16888888888888889</v>
      </c>
      <c r="Z139" s="45">
        <v>4.4444444444444444E-3</v>
      </c>
      <c r="AA139" s="46">
        <v>68.995555555555555</v>
      </c>
      <c r="AB139" s="43">
        <f t="shared" si="17"/>
        <v>0.71333333333333337</v>
      </c>
    </row>
    <row r="140" spans="1:28" x14ac:dyDescent="0.25">
      <c r="A140" s="42"/>
      <c r="B140" s="42"/>
      <c r="C140" s="42"/>
      <c r="D140" s="42">
        <v>2</v>
      </c>
      <c r="E140" s="42">
        <v>365</v>
      </c>
      <c r="F140" s="42">
        <v>45</v>
      </c>
      <c r="G140" s="42">
        <v>2</v>
      </c>
      <c r="H140" s="42">
        <v>20</v>
      </c>
      <c r="I140" s="42">
        <v>292</v>
      </c>
      <c r="J140" s="42">
        <v>359</v>
      </c>
      <c r="K140" s="42">
        <v>5</v>
      </c>
      <c r="L140" s="42">
        <f t="shared" si="12"/>
        <v>364</v>
      </c>
      <c r="M140" s="42">
        <v>1</v>
      </c>
      <c r="N140" s="43">
        <f t="shared" si="13"/>
        <v>0.80219780219780223</v>
      </c>
      <c r="O140" s="43">
        <f t="shared" si="14"/>
        <v>5.4945054945054944E-2</v>
      </c>
      <c r="P140" s="43">
        <f t="shared" si="15"/>
        <v>0.12362637362637363</v>
      </c>
      <c r="Q140" s="43">
        <f t="shared" si="16"/>
        <v>5.4945054945054949E-3</v>
      </c>
      <c r="R140" s="44">
        <v>49</v>
      </c>
      <c r="S140" s="44">
        <v>296</v>
      </c>
      <c r="T140" s="44">
        <v>103</v>
      </c>
      <c r="U140" s="44">
        <v>2</v>
      </c>
      <c r="V140" s="44">
        <v>450</v>
      </c>
      <c r="W140" s="45">
        <v>0.10888888888888888</v>
      </c>
      <c r="X140" s="45">
        <v>0.65777777777777779</v>
      </c>
      <c r="Y140" s="45">
        <v>0.22888888888888889</v>
      </c>
      <c r="Z140" s="45">
        <v>4.4444444444444444E-3</v>
      </c>
      <c r="AA140" s="46">
        <v>60.926666666666669</v>
      </c>
      <c r="AB140" s="43">
        <f t="shared" si="17"/>
        <v>0.80888888888888888</v>
      </c>
    </row>
    <row r="141" spans="1:28" x14ac:dyDescent="0.25">
      <c r="A141" s="42"/>
      <c r="B141" s="42"/>
      <c r="C141" s="42"/>
      <c r="D141" s="42">
        <v>3</v>
      </c>
      <c r="E141" s="42">
        <v>530</v>
      </c>
      <c r="F141" s="42">
        <v>65</v>
      </c>
      <c r="G141" s="42">
        <v>3</v>
      </c>
      <c r="H141" s="42">
        <v>32</v>
      </c>
      <c r="I141" s="42">
        <v>422</v>
      </c>
      <c r="J141" s="42">
        <v>522</v>
      </c>
      <c r="K141" s="42">
        <v>8</v>
      </c>
      <c r="L141" s="42">
        <f t="shared" si="12"/>
        <v>530</v>
      </c>
      <c r="M141" s="42">
        <v>0</v>
      </c>
      <c r="N141" s="43">
        <f t="shared" si="13"/>
        <v>0.79622641509433967</v>
      </c>
      <c r="O141" s="43">
        <f t="shared" si="14"/>
        <v>6.0377358490566038E-2</v>
      </c>
      <c r="P141" s="43">
        <f t="shared" si="15"/>
        <v>0.12264150943396226</v>
      </c>
      <c r="Q141" s="43">
        <f t="shared" si="16"/>
        <v>5.6603773584905656E-3</v>
      </c>
      <c r="R141" s="44">
        <v>96</v>
      </c>
      <c r="S141" s="44">
        <v>501</v>
      </c>
      <c r="T141" s="44">
        <v>120</v>
      </c>
      <c r="U141" s="44">
        <v>2</v>
      </c>
      <c r="V141" s="44">
        <v>719</v>
      </c>
      <c r="W141" s="45">
        <v>0.13351877607788595</v>
      </c>
      <c r="X141" s="45">
        <v>0.69680111265646727</v>
      </c>
      <c r="Y141" s="45">
        <v>0.16689847009735745</v>
      </c>
      <c r="Z141" s="45">
        <v>2.7816411682892906E-3</v>
      </c>
      <c r="AA141" s="46">
        <v>49.126564673157162</v>
      </c>
      <c r="AB141" s="43">
        <f t="shared" si="17"/>
        <v>0.73713490959666206</v>
      </c>
    </row>
    <row r="142" spans="1:28" x14ac:dyDescent="0.25">
      <c r="A142" s="42"/>
      <c r="B142" s="42"/>
      <c r="C142" s="42"/>
      <c r="D142" s="42">
        <v>4</v>
      </c>
      <c r="E142" s="42">
        <v>498</v>
      </c>
      <c r="F142" s="42">
        <v>60</v>
      </c>
      <c r="G142" s="42">
        <v>4</v>
      </c>
      <c r="H142" s="42">
        <v>64</v>
      </c>
      <c r="I142" s="42">
        <v>365</v>
      </c>
      <c r="J142" s="42">
        <v>493</v>
      </c>
      <c r="K142" s="42">
        <v>5</v>
      </c>
      <c r="L142" s="42">
        <f t="shared" si="12"/>
        <v>498</v>
      </c>
      <c r="M142" s="42">
        <v>0</v>
      </c>
      <c r="N142" s="43">
        <f t="shared" si="13"/>
        <v>0.73293172690763053</v>
      </c>
      <c r="O142" s="43">
        <f t="shared" si="14"/>
        <v>0.12851405622489959</v>
      </c>
      <c r="P142" s="43">
        <f t="shared" si="15"/>
        <v>0.12048192771084337</v>
      </c>
      <c r="Q142" s="43">
        <f t="shared" si="16"/>
        <v>8.0321285140562242E-3</v>
      </c>
      <c r="R142" s="44">
        <v>157</v>
      </c>
      <c r="S142" s="44">
        <v>446</v>
      </c>
      <c r="T142" s="44">
        <v>111</v>
      </c>
      <c r="U142" s="44">
        <v>5</v>
      </c>
      <c r="V142" s="44">
        <v>719</v>
      </c>
      <c r="W142" s="45">
        <v>0.21835883171070933</v>
      </c>
      <c r="X142" s="45">
        <v>0.62030598052851182</v>
      </c>
      <c r="Y142" s="45">
        <v>0.15438108484005564</v>
      </c>
      <c r="Z142" s="45">
        <v>6.954102920723227E-3</v>
      </c>
      <c r="AA142" s="46">
        <v>38.495132127955493</v>
      </c>
      <c r="AB142" s="43">
        <f t="shared" si="17"/>
        <v>0.69262865090403336</v>
      </c>
    </row>
    <row r="143" spans="1:28" x14ac:dyDescent="0.25">
      <c r="A143" s="42"/>
      <c r="B143" s="42"/>
      <c r="C143" s="42"/>
      <c r="D143" s="42">
        <v>5</v>
      </c>
      <c r="E143" s="42">
        <v>477</v>
      </c>
      <c r="F143" s="42">
        <v>43</v>
      </c>
      <c r="G143" s="42">
        <v>3</v>
      </c>
      <c r="H143" s="42">
        <v>49</v>
      </c>
      <c r="I143" s="42">
        <v>366</v>
      </c>
      <c r="J143" s="42">
        <v>461</v>
      </c>
      <c r="K143" s="42">
        <v>16</v>
      </c>
      <c r="L143" s="42">
        <f t="shared" si="12"/>
        <v>477</v>
      </c>
      <c r="M143" s="42">
        <v>0</v>
      </c>
      <c r="N143" s="43">
        <f t="shared" si="13"/>
        <v>0.76729559748427678</v>
      </c>
      <c r="O143" s="43">
        <f t="shared" si="14"/>
        <v>0.10272536687631027</v>
      </c>
      <c r="P143" s="43">
        <f t="shared" si="15"/>
        <v>9.0146750524109018E-2</v>
      </c>
      <c r="Q143" s="43">
        <f t="shared" si="16"/>
        <v>6.2893081761006293E-3</v>
      </c>
      <c r="R143" s="44">
        <v>146</v>
      </c>
      <c r="S143" s="44">
        <v>427</v>
      </c>
      <c r="T143" s="44">
        <v>144</v>
      </c>
      <c r="U143" s="44">
        <v>3</v>
      </c>
      <c r="V143" s="44">
        <v>720</v>
      </c>
      <c r="W143" s="45">
        <v>0.20277777777777778</v>
      </c>
      <c r="X143" s="45">
        <v>0.59305555555555556</v>
      </c>
      <c r="Y143" s="45">
        <v>0.2</v>
      </c>
      <c r="Z143" s="45">
        <v>4.1666666666666666E-3</v>
      </c>
      <c r="AA143" s="46">
        <v>30.276388888888889</v>
      </c>
      <c r="AB143" s="43">
        <f t="shared" si="17"/>
        <v>0.66249999999999998</v>
      </c>
    </row>
    <row r="144" spans="1:28" x14ac:dyDescent="0.25">
      <c r="A144" s="42"/>
      <c r="B144" s="42"/>
      <c r="C144" s="42"/>
      <c r="D144" s="42">
        <v>6</v>
      </c>
      <c r="E144" s="42">
        <v>536</v>
      </c>
      <c r="F144" s="42">
        <v>56</v>
      </c>
      <c r="G144" s="42">
        <v>2</v>
      </c>
      <c r="H144" s="42">
        <v>66</v>
      </c>
      <c r="I144" s="42">
        <v>405</v>
      </c>
      <c r="J144" s="42">
        <v>529</v>
      </c>
      <c r="K144" s="42">
        <v>7</v>
      </c>
      <c r="L144" s="42">
        <f t="shared" si="12"/>
        <v>536</v>
      </c>
      <c r="M144" s="42">
        <v>0</v>
      </c>
      <c r="N144" s="43">
        <f t="shared" si="13"/>
        <v>0.75559701492537312</v>
      </c>
      <c r="O144" s="43">
        <f t="shared" si="14"/>
        <v>0.12313432835820895</v>
      </c>
      <c r="P144" s="43">
        <f t="shared" si="15"/>
        <v>0.1044776119402985</v>
      </c>
      <c r="Q144" s="43">
        <f t="shared" si="16"/>
        <v>3.7313432835820895E-3</v>
      </c>
      <c r="R144" s="44">
        <v>153</v>
      </c>
      <c r="S144" s="44">
        <v>409</v>
      </c>
      <c r="T144" s="44">
        <v>158</v>
      </c>
      <c r="U144" s="44">
        <v>0</v>
      </c>
      <c r="V144" s="44">
        <v>720</v>
      </c>
      <c r="W144" s="45">
        <v>0.21249999999999999</v>
      </c>
      <c r="X144" s="45">
        <v>0.56805555555555554</v>
      </c>
      <c r="Y144" s="45">
        <v>0.21944444444444444</v>
      </c>
      <c r="Z144" s="45">
        <v>0</v>
      </c>
      <c r="AA144" s="46">
        <v>22.556944444444444</v>
      </c>
      <c r="AB144" s="43">
        <f t="shared" si="17"/>
        <v>0.74444444444444446</v>
      </c>
    </row>
    <row r="145" spans="1:28" x14ac:dyDescent="0.25">
      <c r="A145" s="42">
        <v>31</v>
      </c>
      <c r="B145" s="42" t="s">
        <v>178</v>
      </c>
      <c r="C145" s="42" t="s">
        <v>179</v>
      </c>
      <c r="D145" s="42">
        <v>1</v>
      </c>
      <c r="E145" s="42">
        <v>319</v>
      </c>
      <c r="F145" s="42">
        <v>219</v>
      </c>
      <c r="G145" s="42">
        <v>2</v>
      </c>
      <c r="H145" s="42">
        <v>65</v>
      </c>
      <c r="I145" s="42">
        <v>26</v>
      </c>
      <c r="J145" s="42">
        <v>312</v>
      </c>
      <c r="K145" s="42">
        <v>7</v>
      </c>
      <c r="L145" s="42">
        <f t="shared" si="12"/>
        <v>319</v>
      </c>
      <c r="M145" s="42">
        <v>0</v>
      </c>
      <c r="N145" s="43">
        <f t="shared" si="13"/>
        <v>8.1504702194357362E-2</v>
      </c>
      <c r="O145" s="43">
        <f t="shared" si="14"/>
        <v>0.20376175548589343</v>
      </c>
      <c r="P145" s="43">
        <f t="shared" si="15"/>
        <v>0.68652037617554862</v>
      </c>
      <c r="Q145" s="43">
        <f t="shared" si="16"/>
        <v>6.269592476489028E-3</v>
      </c>
      <c r="R145" s="44">
        <v>392</v>
      </c>
      <c r="S145" s="44">
        <v>5</v>
      </c>
      <c r="T145" s="44">
        <v>3</v>
      </c>
      <c r="U145" s="44">
        <v>0</v>
      </c>
      <c r="V145" s="44">
        <v>400</v>
      </c>
      <c r="W145" s="45">
        <v>0.98</v>
      </c>
      <c r="X145" s="45">
        <v>1.2500000000000001E-2</v>
      </c>
      <c r="Y145" s="45">
        <v>7.4999999999999997E-3</v>
      </c>
      <c r="Z145" s="45">
        <v>0</v>
      </c>
      <c r="AA145" s="46">
        <v>59.534999999999997</v>
      </c>
      <c r="AB145" s="43">
        <f t="shared" si="17"/>
        <v>0.79749999999999999</v>
      </c>
    </row>
    <row r="146" spans="1:28" x14ac:dyDescent="0.25">
      <c r="A146" s="42"/>
      <c r="B146" s="42"/>
      <c r="C146" s="42"/>
      <c r="D146" s="42">
        <v>2</v>
      </c>
      <c r="E146" s="42">
        <v>396</v>
      </c>
      <c r="F146" s="42">
        <v>214</v>
      </c>
      <c r="G146" s="42">
        <v>3</v>
      </c>
      <c r="H146" s="42">
        <v>147</v>
      </c>
      <c r="I146" s="42">
        <v>29</v>
      </c>
      <c r="J146" s="42">
        <v>393</v>
      </c>
      <c r="K146" s="42">
        <v>3</v>
      </c>
      <c r="L146" s="42">
        <f t="shared" si="12"/>
        <v>396</v>
      </c>
      <c r="M146" s="42">
        <v>0</v>
      </c>
      <c r="N146" s="43">
        <f t="shared" si="13"/>
        <v>7.3232323232323232E-2</v>
      </c>
      <c r="O146" s="43">
        <f t="shared" si="14"/>
        <v>0.37121212121212122</v>
      </c>
      <c r="P146" s="43">
        <f t="shared" si="15"/>
        <v>0.54040404040404044</v>
      </c>
      <c r="Q146" s="43">
        <f t="shared" si="16"/>
        <v>7.575757575757576E-3</v>
      </c>
      <c r="R146" s="44">
        <v>508</v>
      </c>
      <c r="S146" s="44">
        <v>2</v>
      </c>
      <c r="T146" s="44">
        <v>2</v>
      </c>
      <c r="U146" s="44">
        <v>1</v>
      </c>
      <c r="V146" s="44">
        <v>513</v>
      </c>
      <c r="W146" s="45">
        <v>0.99025341130604283</v>
      </c>
      <c r="X146" s="45">
        <v>3.8986354775828458E-3</v>
      </c>
      <c r="Y146" s="45">
        <v>3.8986354775828458E-3</v>
      </c>
      <c r="Z146" s="45">
        <v>1.9493177387914229E-3</v>
      </c>
      <c r="AA146" s="46">
        <v>31.941520467836256</v>
      </c>
      <c r="AB146" s="43">
        <f t="shared" si="17"/>
        <v>0.77192982456140347</v>
      </c>
    </row>
    <row r="147" spans="1:28" x14ac:dyDescent="0.25">
      <c r="A147" s="42">
        <v>32</v>
      </c>
      <c r="B147" s="42" t="s">
        <v>180</v>
      </c>
      <c r="C147" s="42" t="s">
        <v>181</v>
      </c>
      <c r="D147" s="42">
        <v>1</v>
      </c>
      <c r="E147" s="42">
        <v>314</v>
      </c>
      <c r="F147" s="42">
        <v>190</v>
      </c>
      <c r="G147" s="42">
        <v>8</v>
      </c>
      <c r="H147" s="42">
        <v>54</v>
      </c>
      <c r="I147" s="42">
        <v>58</v>
      </c>
      <c r="J147" s="42">
        <v>310</v>
      </c>
      <c r="K147" s="42">
        <v>3</v>
      </c>
      <c r="L147" s="42">
        <f t="shared" si="12"/>
        <v>313</v>
      </c>
      <c r="M147" s="42">
        <v>1</v>
      </c>
      <c r="N147" s="43">
        <f t="shared" si="13"/>
        <v>0.1853035143769968</v>
      </c>
      <c r="O147" s="43">
        <f t="shared" si="14"/>
        <v>0.17252396166134185</v>
      </c>
      <c r="P147" s="43">
        <f t="shared" si="15"/>
        <v>0.60702875399361023</v>
      </c>
      <c r="Q147" s="43">
        <f t="shared" si="16"/>
        <v>2.5559105431309903E-2</v>
      </c>
      <c r="R147" s="44">
        <v>367</v>
      </c>
      <c r="S147" s="44">
        <v>10</v>
      </c>
      <c r="T147" s="44">
        <v>6</v>
      </c>
      <c r="U147" s="44">
        <v>17</v>
      </c>
      <c r="V147" s="44">
        <v>400</v>
      </c>
      <c r="W147" s="45">
        <v>0.91749999999999998</v>
      </c>
      <c r="X147" s="45">
        <v>2.5000000000000001E-2</v>
      </c>
      <c r="Y147" s="45">
        <v>1.4999999999999999E-2</v>
      </c>
      <c r="Z147" s="45">
        <v>4.2500000000000003E-2</v>
      </c>
      <c r="AA147" s="46">
        <v>58.85</v>
      </c>
      <c r="AB147" s="43">
        <f t="shared" si="17"/>
        <v>0.78249999999999997</v>
      </c>
    </row>
    <row r="148" spans="1:28" x14ac:dyDescent="0.25">
      <c r="A148" s="42"/>
      <c r="B148" s="42"/>
      <c r="C148" s="42"/>
      <c r="D148" s="42">
        <v>2</v>
      </c>
      <c r="E148" s="42">
        <v>399</v>
      </c>
      <c r="F148" s="42">
        <v>175</v>
      </c>
      <c r="G148" s="42">
        <v>6</v>
      </c>
      <c r="H148" s="42">
        <v>131</v>
      </c>
      <c r="I148" s="42">
        <v>82</v>
      </c>
      <c r="J148" s="42">
        <v>394</v>
      </c>
      <c r="K148" s="42">
        <v>5</v>
      </c>
      <c r="L148" s="42">
        <f t="shared" si="12"/>
        <v>399</v>
      </c>
      <c r="M148" s="42">
        <v>0</v>
      </c>
      <c r="N148" s="43">
        <f t="shared" si="13"/>
        <v>0.20551378446115287</v>
      </c>
      <c r="O148" s="43">
        <f t="shared" si="14"/>
        <v>0.32832080200501251</v>
      </c>
      <c r="P148" s="43">
        <f t="shared" si="15"/>
        <v>0.43859649122807015</v>
      </c>
      <c r="Q148" s="43">
        <f t="shared" si="16"/>
        <v>1.5037593984962405E-2</v>
      </c>
      <c r="R148" s="44">
        <v>456</v>
      </c>
      <c r="S148" s="44">
        <v>10</v>
      </c>
      <c r="T148" s="44">
        <v>11</v>
      </c>
      <c r="U148" s="44">
        <v>29</v>
      </c>
      <c r="V148" s="44">
        <v>506</v>
      </c>
      <c r="W148" s="45">
        <v>0.90118577075098816</v>
      </c>
      <c r="X148" s="45">
        <v>1.9762845849802372E-2</v>
      </c>
      <c r="Y148" s="45">
        <v>2.1739130434782608E-2</v>
      </c>
      <c r="Z148" s="45">
        <v>5.731225296442688E-2</v>
      </c>
      <c r="AA148" s="46">
        <v>31.047430830039527</v>
      </c>
      <c r="AB148" s="43">
        <f t="shared" si="17"/>
        <v>0.78853754940711462</v>
      </c>
    </row>
    <row r="149" spans="1:28" x14ac:dyDescent="0.25">
      <c r="A149" s="42">
        <v>33</v>
      </c>
      <c r="B149" s="42" t="s">
        <v>182</v>
      </c>
      <c r="C149" s="42" t="s">
        <v>183</v>
      </c>
      <c r="D149" s="42">
        <v>1</v>
      </c>
      <c r="E149" s="42">
        <v>275</v>
      </c>
      <c r="F149" s="42">
        <v>122</v>
      </c>
      <c r="G149" s="42">
        <v>5</v>
      </c>
      <c r="H149" s="42">
        <v>59</v>
      </c>
      <c r="I149" s="42">
        <v>86</v>
      </c>
      <c r="J149" s="42">
        <v>272</v>
      </c>
      <c r="K149" s="42">
        <v>3</v>
      </c>
      <c r="L149" s="42">
        <f t="shared" si="12"/>
        <v>275</v>
      </c>
      <c r="M149" s="42">
        <v>0</v>
      </c>
      <c r="N149" s="43">
        <f t="shared" si="13"/>
        <v>0.31272727272727274</v>
      </c>
      <c r="O149" s="43">
        <f t="shared" si="14"/>
        <v>0.21454545454545454</v>
      </c>
      <c r="P149" s="43">
        <f t="shared" si="15"/>
        <v>0.44363636363636366</v>
      </c>
      <c r="Q149" s="43">
        <f t="shared" si="16"/>
        <v>1.8181818181818181E-2</v>
      </c>
      <c r="R149" s="44">
        <v>264</v>
      </c>
      <c r="S149" s="44">
        <v>53</v>
      </c>
      <c r="T149" s="44">
        <v>49</v>
      </c>
      <c r="U149" s="44">
        <v>0</v>
      </c>
      <c r="V149" s="44">
        <v>366</v>
      </c>
      <c r="W149" s="45">
        <v>0.72131147540983609</v>
      </c>
      <c r="X149" s="45">
        <v>0.1448087431693989</v>
      </c>
      <c r="Y149" s="45">
        <v>0.13387978142076504</v>
      </c>
      <c r="Z149" s="45">
        <v>0</v>
      </c>
      <c r="AA149" s="46">
        <v>57.415300546448087</v>
      </c>
      <c r="AB149" s="43">
        <f t="shared" si="17"/>
        <v>0.75136612021857918</v>
      </c>
    </row>
    <row r="150" spans="1:28" x14ac:dyDescent="0.25">
      <c r="A150" s="42"/>
      <c r="B150" s="42"/>
      <c r="C150" s="42"/>
      <c r="D150" s="42">
        <v>2</v>
      </c>
      <c r="E150" s="42">
        <v>280</v>
      </c>
      <c r="F150" s="42">
        <v>92</v>
      </c>
      <c r="G150" s="42">
        <v>1</v>
      </c>
      <c r="H150" s="42">
        <v>106</v>
      </c>
      <c r="I150" s="42">
        <v>80</v>
      </c>
      <c r="J150" s="42">
        <v>279</v>
      </c>
      <c r="K150" s="42">
        <v>1</v>
      </c>
      <c r="L150" s="42">
        <f t="shared" si="12"/>
        <v>280</v>
      </c>
      <c r="M150" s="42">
        <v>0</v>
      </c>
      <c r="N150" s="43">
        <f t="shared" si="13"/>
        <v>0.2857142857142857</v>
      </c>
      <c r="O150" s="43">
        <f t="shared" si="14"/>
        <v>0.37857142857142856</v>
      </c>
      <c r="P150" s="43">
        <f t="shared" si="15"/>
        <v>0.32857142857142857</v>
      </c>
      <c r="Q150" s="43">
        <f t="shared" si="16"/>
        <v>3.5714285714285713E-3</v>
      </c>
      <c r="R150" s="44">
        <v>268</v>
      </c>
      <c r="S150" s="44">
        <v>51</v>
      </c>
      <c r="T150" s="44">
        <v>47</v>
      </c>
      <c r="U150" s="44">
        <v>0</v>
      </c>
      <c r="V150" s="44">
        <v>366</v>
      </c>
      <c r="W150" s="45">
        <v>0.73224043715846998</v>
      </c>
      <c r="X150" s="45">
        <v>0.13934426229508196</v>
      </c>
      <c r="Y150" s="45">
        <v>0.12841530054644809</v>
      </c>
      <c r="Z150" s="45">
        <v>0</v>
      </c>
      <c r="AA150" s="46">
        <v>28.781420765027324</v>
      </c>
      <c r="AB150" s="43">
        <f t="shared" si="17"/>
        <v>0.76502732240437155</v>
      </c>
    </row>
    <row r="151" spans="1:28" x14ac:dyDescent="0.25">
      <c r="A151" s="42">
        <v>34</v>
      </c>
      <c r="B151" s="42" t="s">
        <v>184</v>
      </c>
      <c r="C151" s="42" t="s">
        <v>185</v>
      </c>
      <c r="D151" s="42">
        <v>1</v>
      </c>
      <c r="E151" s="42">
        <v>314</v>
      </c>
      <c r="F151" s="42">
        <v>62</v>
      </c>
      <c r="G151" s="42">
        <v>5</v>
      </c>
      <c r="H151" s="42">
        <v>23</v>
      </c>
      <c r="I151" s="42">
        <v>214</v>
      </c>
      <c r="J151" s="42">
        <v>304</v>
      </c>
      <c r="K151" s="42">
        <v>10</v>
      </c>
      <c r="L151" s="42">
        <f t="shared" si="12"/>
        <v>314</v>
      </c>
      <c r="M151" s="42">
        <v>0</v>
      </c>
      <c r="N151" s="43">
        <f t="shared" si="13"/>
        <v>0.68152866242038213</v>
      </c>
      <c r="O151" s="43">
        <f t="shared" si="14"/>
        <v>7.32484076433121E-2</v>
      </c>
      <c r="P151" s="43">
        <f t="shared" si="15"/>
        <v>0.19745222929936307</v>
      </c>
      <c r="Q151" s="43">
        <f t="shared" si="16"/>
        <v>1.5923566878980892E-2</v>
      </c>
      <c r="R151" s="44">
        <v>114</v>
      </c>
      <c r="S151" s="44">
        <v>253</v>
      </c>
      <c r="T151" s="44">
        <v>81</v>
      </c>
      <c r="U151" s="44">
        <v>2</v>
      </c>
      <c r="V151" s="44">
        <v>450</v>
      </c>
      <c r="W151" s="45">
        <v>0.25333333333333335</v>
      </c>
      <c r="X151" s="45">
        <v>0.56222222222222218</v>
      </c>
      <c r="Y151" s="45">
        <v>0.18</v>
      </c>
      <c r="Z151" s="45">
        <v>4.4444444444444444E-3</v>
      </c>
      <c r="AA151" s="46">
        <v>69.391111111111115</v>
      </c>
      <c r="AB151" s="43">
        <f t="shared" si="17"/>
        <v>0.69777777777777783</v>
      </c>
    </row>
    <row r="152" spans="1:28" x14ac:dyDescent="0.25">
      <c r="A152" s="42"/>
      <c r="B152" s="42"/>
      <c r="C152" s="42"/>
      <c r="D152" s="42">
        <v>2</v>
      </c>
      <c r="E152" s="42">
        <v>376</v>
      </c>
      <c r="F152" s="42">
        <v>78</v>
      </c>
      <c r="G152" s="42">
        <v>3</v>
      </c>
      <c r="H152" s="42">
        <v>23</v>
      </c>
      <c r="I152" s="42">
        <v>261</v>
      </c>
      <c r="J152" s="42">
        <v>365</v>
      </c>
      <c r="K152" s="42">
        <v>11</v>
      </c>
      <c r="L152" s="42">
        <f t="shared" si="12"/>
        <v>376</v>
      </c>
      <c r="M152" s="42">
        <v>0</v>
      </c>
      <c r="N152" s="43">
        <f t="shared" si="13"/>
        <v>0.69414893617021278</v>
      </c>
      <c r="O152" s="43">
        <f t="shared" si="14"/>
        <v>6.1170212765957445E-2</v>
      </c>
      <c r="P152" s="43">
        <f t="shared" si="15"/>
        <v>0.20744680851063829</v>
      </c>
      <c r="Q152" s="43">
        <f t="shared" si="16"/>
        <v>7.9787234042553185E-3</v>
      </c>
      <c r="R152" s="44">
        <v>89</v>
      </c>
      <c r="S152" s="44">
        <v>284</v>
      </c>
      <c r="T152" s="44">
        <v>76</v>
      </c>
      <c r="U152" s="44">
        <v>1</v>
      </c>
      <c r="V152" s="44">
        <v>450</v>
      </c>
      <c r="W152" s="45">
        <v>0.19777777777777777</v>
      </c>
      <c r="X152" s="45">
        <v>0.63111111111111107</v>
      </c>
      <c r="Y152" s="45">
        <v>0.16888888888888889</v>
      </c>
      <c r="Z152" s="45">
        <v>2.2222222222222222E-3</v>
      </c>
      <c r="AA152" s="46">
        <v>62.04</v>
      </c>
      <c r="AB152" s="43">
        <f t="shared" si="17"/>
        <v>0.83555555555555561</v>
      </c>
    </row>
    <row r="153" spans="1:28" x14ac:dyDescent="0.25">
      <c r="A153" s="42"/>
      <c r="B153" s="42"/>
      <c r="C153" s="42"/>
      <c r="D153" s="42">
        <v>3</v>
      </c>
      <c r="E153" s="42">
        <v>513</v>
      </c>
      <c r="F153" s="42">
        <v>62</v>
      </c>
      <c r="G153" s="42">
        <v>7</v>
      </c>
      <c r="H153" s="42">
        <v>34</v>
      </c>
      <c r="I153" s="42">
        <v>406</v>
      </c>
      <c r="J153" s="42">
        <v>509</v>
      </c>
      <c r="K153" s="42">
        <v>4</v>
      </c>
      <c r="L153" s="42">
        <f t="shared" si="12"/>
        <v>513</v>
      </c>
      <c r="M153" s="42">
        <v>0</v>
      </c>
      <c r="N153" s="43">
        <f t="shared" si="13"/>
        <v>0.79142300194931769</v>
      </c>
      <c r="O153" s="43">
        <f t="shared" si="14"/>
        <v>6.6276803118908378E-2</v>
      </c>
      <c r="P153" s="43">
        <f t="shared" si="15"/>
        <v>0.12085769980506822</v>
      </c>
      <c r="Q153" s="43">
        <f t="shared" si="16"/>
        <v>1.364522417153996E-2</v>
      </c>
      <c r="R153" s="44">
        <v>110</v>
      </c>
      <c r="S153" s="44">
        <v>410</v>
      </c>
      <c r="T153" s="44">
        <v>135</v>
      </c>
      <c r="U153" s="44">
        <v>1</v>
      </c>
      <c r="V153" s="44">
        <v>656</v>
      </c>
      <c r="W153" s="45">
        <v>0.1676829268292683</v>
      </c>
      <c r="X153" s="45">
        <v>0.625</v>
      </c>
      <c r="Y153" s="45">
        <v>0.20579268292682926</v>
      </c>
      <c r="Z153" s="45">
        <v>1.5243902439024391E-3</v>
      </c>
      <c r="AA153" s="46">
        <v>51.085365853658537</v>
      </c>
      <c r="AB153" s="43">
        <f t="shared" si="17"/>
        <v>0.78201219512195119</v>
      </c>
    </row>
    <row r="154" spans="1:28" x14ac:dyDescent="0.25">
      <c r="A154" s="42"/>
      <c r="B154" s="42"/>
      <c r="C154" s="42"/>
      <c r="D154" s="42">
        <v>4</v>
      </c>
      <c r="E154" s="42">
        <v>462</v>
      </c>
      <c r="F154" s="42">
        <v>73</v>
      </c>
      <c r="G154" s="42">
        <v>2</v>
      </c>
      <c r="H154" s="42">
        <v>59</v>
      </c>
      <c r="I154" s="42">
        <v>326</v>
      </c>
      <c r="J154" s="42">
        <v>460</v>
      </c>
      <c r="K154" s="42">
        <v>2</v>
      </c>
      <c r="L154" s="42">
        <f t="shared" si="12"/>
        <v>462</v>
      </c>
      <c r="M154" s="42">
        <v>0</v>
      </c>
      <c r="N154" s="43">
        <f t="shared" si="13"/>
        <v>0.7056277056277056</v>
      </c>
      <c r="O154" s="43">
        <f t="shared" si="14"/>
        <v>0.12770562770562771</v>
      </c>
      <c r="P154" s="43">
        <f t="shared" si="15"/>
        <v>0.15800865800865802</v>
      </c>
      <c r="Q154" s="43">
        <f t="shared" si="16"/>
        <v>4.329004329004329E-3</v>
      </c>
      <c r="R154" s="44">
        <v>173</v>
      </c>
      <c r="S154" s="44">
        <v>353</v>
      </c>
      <c r="T154" s="44">
        <v>125</v>
      </c>
      <c r="U154" s="44">
        <v>5</v>
      </c>
      <c r="V154" s="44">
        <v>656</v>
      </c>
      <c r="W154" s="45">
        <v>0.26371951219512196</v>
      </c>
      <c r="X154" s="45">
        <v>0.53810975609756095</v>
      </c>
      <c r="Y154" s="45">
        <v>0.19054878048780488</v>
      </c>
      <c r="Z154" s="45">
        <v>7.621951219512195E-3</v>
      </c>
      <c r="AA154" s="46">
        <v>39.900914634146339</v>
      </c>
      <c r="AB154" s="43">
        <f t="shared" si="17"/>
        <v>0.70426829268292679</v>
      </c>
    </row>
    <row r="155" spans="1:28" x14ac:dyDescent="0.25">
      <c r="A155" s="42"/>
      <c r="B155" s="42"/>
      <c r="C155" s="42"/>
      <c r="D155" s="42">
        <v>5</v>
      </c>
      <c r="E155" s="42">
        <v>439</v>
      </c>
      <c r="F155" s="42">
        <v>54</v>
      </c>
      <c r="G155" s="42">
        <v>8</v>
      </c>
      <c r="H155" s="42">
        <v>51</v>
      </c>
      <c r="I155" s="42">
        <v>326</v>
      </c>
      <c r="J155" s="42">
        <v>439</v>
      </c>
      <c r="K155" s="42">
        <v>0</v>
      </c>
      <c r="L155" s="42">
        <f t="shared" si="12"/>
        <v>439</v>
      </c>
      <c r="M155" s="42">
        <v>0</v>
      </c>
      <c r="N155" s="43">
        <f t="shared" si="13"/>
        <v>0.74259681093394081</v>
      </c>
      <c r="O155" s="43">
        <f t="shared" si="14"/>
        <v>0.11617312072892938</v>
      </c>
      <c r="P155" s="43">
        <f t="shared" si="15"/>
        <v>0.12300683371298406</v>
      </c>
      <c r="Q155" s="43">
        <f t="shared" si="16"/>
        <v>1.8223234624145785E-2</v>
      </c>
      <c r="R155" s="44">
        <v>173</v>
      </c>
      <c r="S155" s="44">
        <v>383</v>
      </c>
      <c r="T155" s="44">
        <v>100</v>
      </c>
      <c r="U155" s="44">
        <v>0</v>
      </c>
      <c r="V155" s="44">
        <v>656</v>
      </c>
      <c r="W155" s="45">
        <v>0.26371951219512196</v>
      </c>
      <c r="X155" s="45">
        <v>0.58384146341463417</v>
      </c>
      <c r="Y155" s="45">
        <v>0.1524390243902439</v>
      </c>
      <c r="Z155" s="45">
        <v>0</v>
      </c>
      <c r="AA155" s="46">
        <v>29.832317073170731</v>
      </c>
      <c r="AB155" s="43">
        <f t="shared" si="17"/>
        <v>0.66920731707317072</v>
      </c>
    </row>
    <row r="156" spans="1:28" x14ac:dyDescent="0.25">
      <c r="A156" s="42"/>
      <c r="B156" s="42"/>
      <c r="C156" s="42"/>
      <c r="D156" s="42">
        <v>6</v>
      </c>
      <c r="E156" s="42">
        <v>501</v>
      </c>
      <c r="F156" s="42">
        <v>63</v>
      </c>
      <c r="G156" s="42">
        <v>4</v>
      </c>
      <c r="H156" s="42">
        <v>79</v>
      </c>
      <c r="I156" s="42">
        <v>353</v>
      </c>
      <c r="J156" s="42">
        <v>499</v>
      </c>
      <c r="K156" s="42">
        <v>2</v>
      </c>
      <c r="L156" s="42">
        <f t="shared" si="12"/>
        <v>501</v>
      </c>
      <c r="M156" s="42">
        <v>0</v>
      </c>
      <c r="N156" s="43">
        <f t="shared" si="13"/>
        <v>0.70459081836327342</v>
      </c>
      <c r="O156" s="43">
        <f t="shared" si="14"/>
        <v>0.15768463073852296</v>
      </c>
      <c r="P156" s="43">
        <f t="shared" si="15"/>
        <v>0.12574850299401197</v>
      </c>
      <c r="Q156" s="43">
        <f t="shared" si="16"/>
        <v>7.9840319361277438E-3</v>
      </c>
      <c r="R156" s="44">
        <v>219</v>
      </c>
      <c r="S156" s="44">
        <v>336</v>
      </c>
      <c r="T156" s="44">
        <v>101</v>
      </c>
      <c r="U156" s="44">
        <v>0</v>
      </c>
      <c r="V156" s="44">
        <v>656</v>
      </c>
      <c r="W156" s="45">
        <v>0.33384146341463417</v>
      </c>
      <c r="X156" s="45">
        <v>0.51219512195121952</v>
      </c>
      <c r="Y156" s="45">
        <v>0.15396341463414634</v>
      </c>
      <c r="Z156" s="45">
        <v>0</v>
      </c>
      <c r="AA156" s="46">
        <v>21.949695121951219</v>
      </c>
      <c r="AB156" s="43">
        <f t="shared" si="17"/>
        <v>0.76371951219512191</v>
      </c>
    </row>
    <row r="157" spans="1:28" x14ac:dyDescent="0.25">
      <c r="A157" s="42"/>
      <c r="B157" s="42"/>
      <c r="C157" s="42" t="s">
        <v>186</v>
      </c>
      <c r="D157" s="42">
        <v>1</v>
      </c>
      <c r="E157" s="42">
        <v>278</v>
      </c>
      <c r="F157" s="42">
        <v>40</v>
      </c>
      <c r="G157" s="42">
        <v>1</v>
      </c>
      <c r="H157" s="42">
        <v>23</v>
      </c>
      <c r="I157" s="42">
        <v>202</v>
      </c>
      <c r="J157" s="42">
        <v>266</v>
      </c>
      <c r="K157" s="42">
        <v>12</v>
      </c>
      <c r="L157" s="42">
        <f t="shared" si="12"/>
        <v>278</v>
      </c>
      <c r="M157" s="42">
        <v>0</v>
      </c>
      <c r="N157" s="43">
        <f t="shared" si="13"/>
        <v>0.72661870503597126</v>
      </c>
      <c r="O157" s="43">
        <f t="shared" si="14"/>
        <v>8.2733812949640287E-2</v>
      </c>
      <c r="P157" s="43">
        <f t="shared" si="15"/>
        <v>0.14388489208633093</v>
      </c>
      <c r="Q157" s="43">
        <f t="shared" si="16"/>
        <v>3.5971223021582736E-3</v>
      </c>
      <c r="R157" s="44">
        <v>63</v>
      </c>
      <c r="S157" s="44">
        <v>250</v>
      </c>
      <c r="T157" s="44">
        <v>78</v>
      </c>
      <c r="U157" s="44">
        <v>9</v>
      </c>
      <c r="V157" s="44">
        <v>400</v>
      </c>
      <c r="W157" s="45">
        <v>0.1575</v>
      </c>
      <c r="X157" s="45">
        <v>0.625</v>
      </c>
      <c r="Y157" s="45">
        <v>0.19500000000000001</v>
      </c>
      <c r="Z157" s="45">
        <v>2.2499999999999999E-2</v>
      </c>
      <c r="AA157" s="46">
        <v>68.567499999999995</v>
      </c>
      <c r="AB157" s="43">
        <f t="shared" si="17"/>
        <v>0.69499999999999995</v>
      </c>
    </row>
    <row r="158" spans="1:28" x14ac:dyDescent="0.25">
      <c r="A158" s="42"/>
      <c r="B158" s="42"/>
      <c r="C158" s="42"/>
      <c r="D158" s="42">
        <v>2</v>
      </c>
      <c r="E158" s="42">
        <v>308</v>
      </c>
      <c r="F158" s="42">
        <v>54</v>
      </c>
      <c r="G158" s="42">
        <v>5</v>
      </c>
      <c r="H158" s="42">
        <v>30</v>
      </c>
      <c r="I158" s="42">
        <v>211</v>
      </c>
      <c r="J158" s="42">
        <v>300</v>
      </c>
      <c r="K158" s="42">
        <v>8</v>
      </c>
      <c r="L158" s="42">
        <f t="shared" si="12"/>
        <v>308</v>
      </c>
      <c r="M158" s="42">
        <v>0</v>
      </c>
      <c r="N158" s="43">
        <f t="shared" si="13"/>
        <v>0.68506493506493504</v>
      </c>
      <c r="O158" s="43">
        <f t="shared" si="14"/>
        <v>9.7402597402597407E-2</v>
      </c>
      <c r="P158" s="43">
        <f t="shared" si="15"/>
        <v>0.17532467532467533</v>
      </c>
      <c r="Q158" s="43">
        <f t="shared" si="16"/>
        <v>1.6233766233766232E-2</v>
      </c>
      <c r="R158" s="44">
        <v>106</v>
      </c>
      <c r="S158" s="44">
        <v>239</v>
      </c>
      <c r="T158" s="44">
        <v>80</v>
      </c>
      <c r="U158" s="44">
        <v>15</v>
      </c>
      <c r="V158" s="44">
        <v>440</v>
      </c>
      <c r="W158" s="45">
        <v>0.24090909090909091</v>
      </c>
      <c r="X158" s="45">
        <v>0.54318181818181821</v>
      </c>
      <c r="Y158" s="45">
        <v>0.18181818181818182</v>
      </c>
      <c r="Z158" s="45">
        <v>3.4090909090909088E-2</v>
      </c>
      <c r="AA158" s="46">
        <v>47.222727272727276</v>
      </c>
      <c r="AB158" s="43">
        <f t="shared" si="17"/>
        <v>0.7</v>
      </c>
    </row>
    <row r="159" spans="1:28" x14ac:dyDescent="0.25">
      <c r="A159" s="42"/>
      <c r="B159" s="42"/>
      <c r="C159" s="42"/>
      <c r="D159" s="42">
        <v>3</v>
      </c>
      <c r="E159" s="42">
        <v>305</v>
      </c>
      <c r="F159" s="42">
        <v>30</v>
      </c>
      <c r="G159" s="42">
        <v>2</v>
      </c>
      <c r="H159" s="42">
        <v>36</v>
      </c>
      <c r="I159" s="42">
        <v>235</v>
      </c>
      <c r="J159" s="42">
        <v>303</v>
      </c>
      <c r="K159" s="42">
        <v>2</v>
      </c>
      <c r="L159" s="42">
        <f t="shared" si="12"/>
        <v>305</v>
      </c>
      <c r="M159" s="42">
        <v>0</v>
      </c>
      <c r="N159" s="43">
        <f t="shared" si="13"/>
        <v>0.77049180327868849</v>
      </c>
      <c r="O159" s="43">
        <f t="shared" si="14"/>
        <v>0.11803278688524591</v>
      </c>
      <c r="P159" s="43">
        <f t="shared" si="15"/>
        <v>9.8360655737704916E-2</v>
      </c>
      <c r="Q159" s="43">
        <f t="shared" si="16"/>
        <v>6.5573770491803279E-3</v>
      </c>
      <c r="R159" s="44">
        <v>109</v>
      </c>
      <c r="S159" s="44">
        <v>231</v>
      </c>
      <c r="T159" s="44">
        <v>92</v>
      </c>
      <c r="U159" s="44">
        <v>9</v>
      </c>
      <c r="V159" s="44">
        <v>441</v>
      </c>
      <c r="W159" s="45">
        <v>0.2471655328798186</v>
      </c>
      <c r="X159" s="45">
        <v>0.52380952380952384</v>
      </c>
      <c r="Y159" s="45">
        <v>0.20861678004535147</v>
      </c>
      <c r="Z159" s="45">
        <v>2.0408163265306121E-2</v>
      </c>
      <c r="AA159" s="46">
        <v>28.746031746031747</v>
      </c>
      <c r="AB159" s="43">
        <f t="shared" si="17"/>
        <v>0.69160997732426299</v>
      </c>
    </row>
    <row r="160" spans="1:28" x14ac:dyDescent="0.25">
      <c r="A160" s="22" t="s">
        <v>187</v>
      </c>
      <c r="B160" s="22"/>
      <c r="C160" s="22"/>
      <c r="D160" s="22">
        <v>158</v>
      </c>
      <c r="E160" s="22">
        <v>61960</v>
      </c>
      <c r="F160" s="22">
        <v>23283</v>
      </c>
      <c r="G160" s="22">
        <v>781</v>
      </c>
      <c r="H160" s="22">
        <v>14962</v>
      </c>
      <c r="I160" s="22">
        <v>22007</v>
      </c>
      <c r="J160" s="22">
        <v>61033</v>
      </c>
      <c r="K160" s="22">
        <v>781</v>
      </c>
      <c r="L160" s="22">
        <f t="shared" si="12"/>
        <v>61814</v>
      </c>
      <c r="M160" s="22">
        <v>146</v>
      </c>
      <c r="N160" s="23">
        <f t="shared" si="13"/>
        <v>0.35601967191898276</v>
      </c>
      <c r="O160" s="23">
        <f t="shared" si="14"/>
        <v>0.24204872682563822</v>
      </c>
      <c r="P160" s="23">
        <f t="shared" si="15"/>
        <v>0.37666224479891286</v>
      </c>
      <c r="Q160" s="23">
        <f t="shared" si="16"/>
        <v>1.2634678228233087E-2</v>
      </c>
      <c r="R160" s="24">
        <v>51345</v>
      </c>
      <c r="S160" s="24">
        <v>19088</v>
      </c>
      <c r="T160" s="24">
        <v>9786</v>
      </c>
      <c r="U160" s="24">
        <v>880</v>
      </c>
      <c r="V160" s="24">
        <v>81099</v>
      </c>
      <c r="W160" s="25">
        <v>0.63311508156697371</v>
      </c>
      <c r="X160" s="25">
        <v>0.23536665063687592</v>
      </c>
      <c r="Y160" s="25">
        <v>0.12066733251951318</v>
      </c>
      <c r="Z160" s="25">
        <v>1.0850935276637197E-2</v>
      </c>
      <c r="AA160" s="26">
        <f>AVERAGE(AA2:AA159)</f>
        <v>44.36234717668156</v>
      </c>
      <c r="AB160" s="23">
        <f t="shared" si="17"/>
        <v>0.76220421953414963</v>
      </c>
    </row>
    <row r="162" spans="1:28" x14ac:dyDescent="0.25">
      <c r="A162" s="22"/>
      <c r="B162" s="22"/>
      <c r="C162" s="22" t="s">
        <v>289</v>
      </c>
      <c r="D162" s="22"/>
      <c r="E162" s="22">
        <f>SUM(E3:E15)</f>
        <v>4284</v>
      </c>
      <c r="F162" s="22">
        <f t="shared" ref="F162:M162" si="18">SUM(F3:F15)</f>
        <v>1706</v>
      </c>
      <c r="G162" s="22">
        <f t="shared" si="18"/>
        <v>58</v>
      </c>
      <c r="H162" s="22">
        <f t="shared" si="18"/>
        <v>2218</v>
      </c>
      <c r="I162" s="22">
        <f t="shared" si="18"/>
        <v>255</v>
      </c>
      <c r="J162" s="22">
        <f t="shared" si="18"/>
        <v>4237</v>
      </c>
      <c r="K162" s="22">
        <f t="shared" si="18"/>
        <v>47</v>
      </c>
      <c r="L162" s="22">
        <f t="shared" si="18"/>
        <v>4284</v>
      </c>
      <c r="M162" s="22">
        <f t="shared" si="18"/>
        <v>0</v>
      </c>
      <c r="N162" s="23">
        <f t="shared" ref="N162" si="19">I162/L162</f>
        <v>5.9523809523809521E-2</v>
      </c>
      <c r="O162" s="23">
        <f t="shared" ref="O162" si="20">H162/L162</f>
        <v>0.51774042950513544</v>
      </c>
      <c r="P162" s="23">
        <f t="shared" ref="P162" si="21">F162/L162</f>
        <v>0.39822595704948643</v>
      </c>
      <c r="Q162" s="23">
        <f t="shared" ref="Q162" si="22">G162/L162</f>
        <v>1.353874883286648E-2</v>
      </c>
      <c r="R162" s="22">
        <f t="shared" ref="R162:V162" si="23">SUM(R3:R15)</f>
        <v>4633</v>
      </c>
      <c r="S162" s="22">
        <f t="shared" si="23"/>
        <v>42</v>
      </c>
      <c r="T162" s="22">
        <f t="shared" si="23"/>
        <v>90</v>
      </c>
      <c r="U162" s="22">
        <f t="shared" si="23"/>
        <v>455</v>
      </c>
      <c r="V162" s="22">
        <f t="shared" si="23"/>
        <v>5220</v>
      </c>
      <c r="W162" s="23">
        <f>R162/V162</f>
        <v>0.88754789272030654</v>
      </c>
      <c r="X162" s="23">
        <f>S162/V162</f>
        <v>8.0459770114942528E-3</v>
      </c>
      <c r="Y162" s="23">
        <f>T162/V162</f>
        <v>1.7241379310344827E-2</v>
      </c>
      <c r="Z162" s="23">
        <f>U162/V162</f>
        <v>8.7164750957854406E-2</v>
      </c>
      <c r="AA162" s="28">
        <f>AVERAGE(AA3:AA15)</f>
        <v>33.096851450365051</v>
      </c>
      <c r="AB162" s="23">
        <f t="shared" si="17"/>
        <v>0.82068965517241377</v>
      </c>
    </row>
    <row r="164" spans="1:28" ht="13.8" x14ac:dyDescent="0.3">
      <c r="B164" s="41" t="s">
        <v>290</v>
      </c>
      <c r="C164" s="41" t="s">
        <v>291</v>
      </c>
      <c r="D164" s="22"/>
      <c r="E164" s="22">
        <f>SUM(E16:E60)</f>
        <v>17573</v>
      </c>
      <c r="F164" s="22">
        <f t="shared" ref="F164:M164" si="24">SUM(F16:F60)</f>
        <v>8259</v>
      </c>
      <c r="G164" s="22">
        <f t="shared" si="24"/>
        <v>215</v>
      </c>
      <c r="H164" s="22">
        <f t="shared" si="24"/>
        <v>5365</v>
      </c>
      <c r="I164" s="22">
        <f t="shared" si="24"/>
        <v>3537</v>
      </c>
      <c r="J164" s="22">
        <f t="shared" si="24"/>
        <v>17376</v>
      </c>
      <c r="K164" s="22">
        <f t="shared" si="24"/>
        <v>195</v>
      </c>
      <c r="L164" s="22">
        <f t="shared" si="24"/>
        <v>17571</v>
      </c>
      <c r="M164" s="22">
        <f t="shared" si="24"/>
        <v>2</v>
      </c>
      <c r="N164" s="23">
        <f t="shared" ref="N164:N166" si="25">I164/L164</f>
        <v>0.20129759262421035</v>
      </c>
      <c r="O164" s="23">
        <f t="shared" ref="O164:O166" si="26">H164/L164</f>
        <v>0.30533265038984692</v>
      </c>
      <c r="P164" s="23">
        <f t="shared" ref="P164:P166" si="27">F164/L164</f>
        <v>0.47003585453303737</v>
      </c>
      <c r="Q164" s="23">
        <f t="shared" ref="Q164:Q166" si="28">G164/L164</f>
        <v>1.223607079847476E-2</v>
      </c>
      <c r="R164" s="22">
        <f t="shared" ref="R164:V164" si="29">SUM(R16:R60)</f>
        <v>20560</v>
      </c>
      <c r="S164" s="22">
        <f t="shared" si="29"/>
        <v>2298</v>
      </c>
      <c r="T164" s="22">
        <f t="shared" si="29"/>
        <v>1386</v>
      </c>
      <c r="U164" s="22">
        <f t="shared" si="29"/>
        <v>239</v>
      </c>
      <c r="V164" s="22">
        <f t="shared" si="29"/>
        <v>24483</v>
      </c>
      <c r="W164" s="23">
        <f t="shared" ref="W164:W166" si="30">R164/V164</f>
        <v>0.83976636850059228</v>
      </c>
      <c r="X164" s="23">
        <f t="shared" ref="X164:X166" si="31">S164/V164</f>
        <v>9.3861046440387202E-2</v>
      </c>
      <c r="Y164" s="23">
        <f t="shared" ref="Y164:Y166" si="32">T164/V164</f>
        <v>5.6610709471878448E-2</v>
      </c>
      <c r="Z164" s="23">
        <f t="shared" ref="Z164:Z166" si="33">U164/V164</f>
        <v>9.7618755871420985E-3</v>
      </c>
      <c r="AA164" s="28"/>
      <c r="AB164" s="23">
        <f t="shared" ref="AB164:AB166" si="34">L164/V164</f>
        <v>0.71768165665972306</v>
      </c>
    </row>
    <row r="165" spans="1:28" ht="13.8" x14ac:dyDescent="0.3">
      <c r="B165" s="41" t="s">
        <v>292</v>
      </c>
      <c r="C165" s="41" t="s">
        <v>293</v>
      </c>
      <c r="D165" s="22"/>
      <c r="E165" s="22">
        <f>SUM(E61:E120)</f>
        <v>22564</v>
      </c>
      <c r="F165" s="22">
        <f t="shared" ref="F165:M165" si="35">SUM(F61:F120)</f>
        <v>9262</v>
      </c>
      <c r="G165" s="22">
        <f t="shared" si="35"/>
        <v>326</v>
      </c>
      <c r="H165" s="22">
        <f t="shared" si="35"/>
        <v>4743</v>
      </c>
      <c r="I165" s="22">
        <f t="shared" si="35"/>
        <v>8006</v>
      </c>
      <c r="J165" s="22">
        <f t="shared" si="35"/>
        <v>22337</v>
      </c>
      <c r="K165" s="22">
        <f t="shared" si="35"/>
        <v>227</v>
      </c>
      <c r="L165" s="22">
        <f t="shared" si="35"/>
        <v>22564</v>
      </c>
      <c r="M165" s="22">
        <f t="shared" si="35"/>
        <v>0</v>
      </c>
      <c r="N165" s="23">
        <f t="shared" si="25"/>
        <v>0.35481297642262011</v>
      </c>
      <c r="O165" s="23">
        <f t="shared" si="26"/>
        <v>0.21020209182769012</v>
      </c>
      <c r="P165" s="23">
        <f t="shared" si="27"/>
        <v>0.4104768658039355</v>
      </c>
      <c r="Q165" s="23">
        <f t="shared" si="28"/>
        <v>1.4447792944513383E-2</v>
      </c>
      <c r="R165" s="22">
        <f t="shared" ref="R165:V165" si="36">SUM(R61:R120)</f>
        <v>19290</v>
      </c>
      <c r="S165" s="22">
        <f t="shared" si="36"/>
        <v>6274</v>
      </c>
      <c r="T165" s="22">
        <f t="shared" si="36"/>
        <v>4737</v>
      </c>
      <c r="U165" s="22">
        <f t="shared" si="36"/>
        <v>41</v>
      </c>
      <c r="V165" s="22">
        <f t="shared" si="36"/>
        <v>30342</v>
      </c>
      <c r="W165" s="23">
        <f t="shared" si="30"/>
        <v>0.63575242238481311</v>
      </c>
      <c r="X165" s="23">
        <f t="shared" si="31"/>
        <v>0.20677608595346383</v>
      </c>
      <c r="Y165" s="23">
        <f t="shared" si="32"/>
        <v>0.15612022938501088</v>
      </c>
      <c r="Z165" s="23">
        <f t="shared" si="33"/>
        <v>1.3512622767121482E-3</v>
      </c>
      <c r="AA165" s="28"/>
      <c r="AB165" s="23">
        <f t="shared" si="34"/>
        <v>0.74365565882275397</v>
      </c>
    </row>
    <row r="166" spans="1:28" ht="13.8" x14ac:dyDescent="0.3">
      <c r="B166" s="41" t="s">
        <v>294</v>
      </c>
      <c r="C166" s="41" t="s">
        <v>295</v>
      </c>
      <c r="D166" s="22"/>
      <c r="E166" s="22">
        <f>SUM(E110:E159)</f>
        <v>19986</v>
      </c>
      <c r="F166" s="22">
        <f t="shared" ref="F166:M166" si="37">SUM(F110:F159)</f>
        <v>4974</v>
      </c>
      <c r="G166" s="22">
        <f t="shared" si="37"/>
        <v>208</v>
      </c>
      <c r="H166" s="22">
        <f t="shared" si="37"/>
        <v>3051</v>
      </c>
      <c r="I166" s="22">
        <f t="shared" si="37"/>
        <v>11525</v>
      </c>
      <c r="J166" s="22">
        <f t="shared" si="37"/>
        <v>19758</v>
      </c>
      <c r="K166" s="22">
        <f t="shared" si="37"/>
        <v>226</v>
      </c>
      <c r="L166" s="22">
        <f t="shared" si="37"/>
        <v>19984</v>
      </c>
      <c r="M166" s="22">
        <f t="shared" si="37"/>
        <v>2</v>
      </c>
      <c r="N166" s="23">
        <f t="shared" si="25"/>
        <v>0.57671136909527621</v>
      </c>
      <c r="O166" s="23">
        <f t="shared" si="26"/>
        <v>0.15267213771016813</v>
      </c>
      <c r="P166" s="23">
        <f t="shared" si="27"/>
        <v>0.24889911929543634</v>
      </c>
      <c r="Q166" s="23">
        <f t="shared" si="28"/>
        <v>1.0408326661329063E-2</v>
      </c>
      <c r="R166" s="22">
        <f t="shared" ref="R166:V166" si="38">SUM(R110:R159)</f>
        <v>10778</v>
      </c>
      <c r="S166" s="22">
        <f t="shared" si="38"/>
        <v>11265</v>
      </c>
      <c r="T166" s="22">
        <f t="shared" si="38"/>
        <v>4639</v>
      </c>
      <c r="U166" s="22">
        <f t="shared" si="38"/>
        <v>155</v>
      </c>
      <c r="V166" s="22">
        <f t="shared" si="38"/>
        <v>26837</v>
      </c>
      <c r="W166" s="23">
        <f t="shared" si="30"/>
        <v>0.40160971792674294</v>
      </c>
      <c r="X166" s="23">
        <f t="shared" si="31"/>
        <v>0.41975630659164587</v>
      </c>
      <c r="Y166" s="23">
        <f t="shared" si="32"/>
        <v>0.17285836717964004</v>
      </c>
      <c r="Z166" s="23">
        <f t="shared" si="33"/>
        <v>5.7756083019711588E-3</v>
      </c>
      <c r="AA166" s="28"/>
      <c r="AB166" s="23">
        <f t="shared" si="34"/>
        <v>0.74464358907478478</v>
      </c>
    </row>
  </sheetData>
  <autoFilter ref="A1:AB160" xr:uid="{8DB64E6F-6503-42C2-9A8E-CA78B8FAA5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BA0D-7322-413B-A219-996249217A4D}">
  <dimension ref="A1:AB51"/>
  <sheetViews>
    <sheetView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AB46" sqref="AB46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2" t="s">
        <v>288</v>
      </c>
      <c r="B1" s="22" t="s">
        <v>189</v>
      </c>
      <c r="C1" s="22" t="s">
        <v>190</v>
      </c>
      <c r="D1" s="22" t="s">
        <v>191</v>
      </c>
      <c r="E1" s="22" t="s">
        <v>275</v>
      </c>
      <c r="F1" s="22" t="s">
        <v>276</v>
      </c>
      <c r="G1" s="22" t="s">
        <v>277</v>
      </c>
      <c r="H1" s="22" t="s">
        <v>278</v>
      </c>
      <c r="I1" s="22" t="s">
        <v>279</v>
      </c>
    </row>
    <row r="2" spans="1:28" x14ac:dyDescent="0.25">
      <c r="A2" s="43">
        <v>0.80888888888888888</v>
      </c>
      <c r="B2" s="43">
        <v>0.36813186813186816</v>
      </c>
      <c r="C2" s="43">
        <v>9.6153846153846159E-2</v>
      </c>
      <c r="D2" s="43">
        <v>0.51648351648351654</v>
      </c>
      <c r="E2" s="45">
        <v>0.60444444444444445</v>
      </c>
      <c r="F2" s="45">
        <v>0.16888888888888889</v>
      </c>
      <c r="G2" s="45">
        <v>0.22</v>
      </c>
      <c r="H2" s="45">
        <v>6.6666666666666671E-3</v>
      </c>
      <c r="I2" s="46">
        <v>63.497777777777777</v>
      </c>
    </row>
    <row r="3" spans="1:28" x14ac:dyDescent="0.25">
      <c r="A3" s="43">
        <v>0.88666666666666671</v>
      </c>
      <c r="B3" s="43">
        <v>0.32581453634085211</v>
      </c>
      <c r="C3" s="43">
        <v>0.14536340852130325</v>
      </c>
      <c r="D3" s="43">
        <v>0.49373433583959897</v>
      </c>
      <c r="E3" s="45">
        <v>0.67777777777777781</v>
      </c>
      <c r="F3" s="45">
        <v>0.13555555555555557</v>
      </c>
      <c r="G3" s="45">
        <v>0.18222222222222223</v>
      </c>
      <c r="H3" s="45">
        <v>4.4444444444444444E-3</v>
      </c>
      <c r="I3" s="46">
        <v>58.662222222222219</v>
      </c>
      <c r="K3" t="s">
        <v>296</v>
      </c>
      <c r="T3" t="s">
        <v>299</v>
      </c>
    </row>
    <row r="4" spans="1:28" x14ac:dyDescent="0.25">
      <c r="A4" s="43">
        <v>0.82622950819672136</v>
      </c>
      <c r="B4" s="43">
        <v>0.44047619047619047</v>
      </c>
      <c r="C4" s="43">
        <v>0.18650793650793651</v>
      </c>
      <c r="D4" s="43">
        <v>0.34325396825396826</v>
      </c>
      <c r="E4" s="45">
        <v>0.55081967213114758</v>
      </c>
      <c r="F4" s="45">
        <v>0.2</v>
      </c>
      <c r="G4" s="45">
        <v>0.24918032786885247</v>
      </c>
      <c r="H4" s="45">
        <v>0</v>
      </c>
      <c r="I4" s="46">
        <v>49.040983606557376</v>
      </c>
    </row>
    <row r="5" spans="1:28" x14ac:dyDescent="0.25">
      <c r="A5" s="43">
        <v>0.72786885245901645</v>
      </c>
      <c r="B5" s="43">
        <v>0.44594594594594594</v>
      </c>
      <c r="C5" s="43">
        <v>0.22072072072072071</v>
      </c>
      <c r="D5" s="43">
        <v>0.31531531531531531</v>
      </c>
      <c r="E5" s="45">
        <v>0.5311475409836065</v>
      </c>
      <c r="F5" s="45">
        <v>0.21803278688524591</v>
      </c>
      <c r="G5" s="45">
        <v>0.25081967213114753</v>
      </c>
      <c r="H5" s="45">
        <v>0</v>
      </c>
      <c r="I5" s="46">
        <v>39.598360655737707</v>
      </c>
    </row>
    <row r="6" spans="1:28" x14ac:dyDescent="0.25">
      <c r="A6" s="43">
        <v>0.72459016393442621</v>
      </c>
      <c r="B6" s="43">
        <v>0.38461538461538464</v>
      </c>
      <c r="C6" s="43">
        <v>0.28054298642533937</v>
      </c>
      <c r="D6" s="43">
        <v>0.30769230769230771</v>
      </c>
      <c r="E6" s="45">
        <v>0.66557377049180333</v>
      </c>
      <c r="F6" s="45">
        <v>0.16229508196721312</v>
      </c>
      <c r="G6" s="45">
        <v>0.1721311475409836</v>
      </c>
      <c r="H6" s="45">
        <v>0</v>
      </c>
      <c r="I6" s="46">
        <v>33.916393442622947</v>
      </c>
    </row>
    <row r="7" spans="1:28" x14ac:dyDescent="0.25">
      <c r="A7" s="43">
        <v>0.72459016393442621</v>
      </c>
      <c r="B7" s="43">
        <v>0.33484162895927599</v>
      </c>
      <c r="C7" s="43">
        <v>0.29864253393665158</v>
      </c>
      <c r="D7" s="43">
        <v>0.35520361990950228</v>
      </c>
      <c r="E7" s="45">
        <v>0.69508196721311477</v>
      </c>
      <c r="F7" s="45">
        <v>0.14262295081967213</v>
      </c>
      <c r="G7" s="45">
        <v>0.15901639344262294</v>
      </c>
      <c r="H7" s="45">
        <v>3.2786885245901639E-3</v>
      </c>
      <c r="I7" s="46">
        <v>29.675409836065572</v>
      </c>
      <c r="S7" s="31">
        <f>0.0679+0.7192</f>
        <v>0.78709999999999991</v>
      </c>
      <c r="AB7" s="31">
        <f>-0.8067+0.9019</f>
        <v>9.5200000000000062E-2</v>
      </c>
    </row>
    <row r="8" spans="1:28" x14ac:dyDescent="0.25">
      <c r="A8" s="43">
        <v>0.77540983606557379</v>
      </c>
      <c r="B8" s="43">
        <v>0.42283298097251587</v>
      </c>
      <c r="C8" s="43">
        <v>0.27061310782241016</v>
      </c>
      <c r="D8" s="43">
        <v>0.29175475687103591</v>
      </c>
      <c r="E8" s="45">
        <v>0.66885245901639345</v>
      </c>
      <c r="F8" s="45">
        <v>0.16721311475409836</v>
      </c>
      <c r="G8" s="45">
        <v>0.16229508196721312</v>
      </c>
      <c r="H8" s="45">
        <v>1.639344262295082E-3</v>
      </c>
      <c r="I8" s="46">
        <v>25.588524590163935</v>
      </c>
    </row>
    <row r="9" spans="1:28" x14ac:dyDescent="0.25">
      <c r="A9" s="43">
        <v>0.83224755700325737</v>
      </c>
      <c r="B9" s="43">
        <v>0.41291585127201563</v>
      </c>
      <c r="C9" s="43">
        <v>0.31115459882583169</v>
      </c>
      <c r="D9" s="43">
        <v>0.26810176125244617</v>
      </c>
      <c r="E9" s="45">
        <v>0.64820846905537455</v>
      </c>
      <c r="F9" s="45">
        <v>0.13680781758957655</v>
      </c>
      <c r="G9" s="45">
        <v>0.21498371335504887</v>
      </c>
      <c r="H9" s="45">
        <v>0</v>
      </c>
      <c r="I9" s="46">
        <v>20.71172638436482</v>
      </c>
    </row>
    <row r="10" spans="1:28" x14ac:dyDescent="0.25">
      <c r="A10" s="43">
        <v>0.74</v>
      </c>
      <c r="B10" s="43">
        <v>0.25</v>
      </c>
      <c r="C10" s="43">
        <v>0.12162162162162163</v>
      </c>
      <c r="D10" s="43">
        <v>0.59121621621621623</v>
      </c>
      <c r="E10" s="45">
        <v>0.71750000000000003</v>
      </c>
      <c r="F10" s="45">
        <v>0.06</v>
      </c>
      <c r="G10" s="45">
        <v>0.22</v>
      </c>
      <c r="H10" s="45">
        <v>2.5000000000000001E-3</v>
      </c>
      <c r="I10" s="46">
        <v>67.257499999999993</v>
      </c>
    </row>
    <row r="11" spans="1:28" x14ac:dyDescent="0.25">
      <c r="A11" s="43">
        <v>0.8004866180048662</v>
      </c>
      <c r="B11" s="43">
        <v>0.18541033434650456</v>
      </c>
      <c r="C11" s="43">
        <v>0.24012158054711247</v>
      </c>
      <c r="D11" s="43">
        <v>0.55623100303951367</v>
      </c>
      <c r="E11" s="45">
        <v>0.89051094890510951</v>
      </c>
      <c r="F11" s="45">
        <v>2.4330900243309003E-3</v>
      </c>
      <c r="G11" s="45">
        <v>0.10462287104622871</v>
      </c>
      <c r="H11" s="45">
        <v>2.4330900243309003E-3</v>
      </c>
      <c r="I11" s="46">
        <v>49.274939172749392</v>
      </c>
    </row>
    <row r="12" spans="1:28" x14ac:dyDescent="0.25">
      <c r="A12" s="43">
        <v>0.80825242718446599</v>
      </c>
      <c r="B12" s="43">
        <v>0.13213213213213212</v>
      </c>
      <c r="C12" s="43">
        <v>0.38138138138138139</v>
      </c>
      <c r="D12" s="43">
        <v>0.45945945945945948</v>
      </c>
      <c r="E12" s="45">
        <v>0.95388349514563109</v>
      </c>
      <c r="F12" s="45">
        <v>7.2815533980582527E-3</v>
      </c>
      <c r="G12" s="45">
        <v>3.8834951456310676E-2</v>
      </c>
      <c r="H12" s="45">
        <v>0</v>
      </c>
      <c r="I12" s="46">
        <v>28.526699029126213</v>
      </c>
    </row>
    <row r="13" spans="1:28" x14ac:dyDescent="0.25">
      <c r="A13" s="43">
        <v>0.66444444444444439</v>
      </c>
      <c r="B13" s="43">
        <v>0.78595317725752512</v>
      </c>
      <c r="C13" s="43">
        <v>2.0066889632107024E-2</v>
      </c>
      <c r="D13" s="43">
        <v>0.17391304347826086</v>
      </c>
      <c r="E13" s="45">
        <v>9.7777777777777783E-2</v>
      </c>
      <c r="F13" s="45">
        <v>0.79777777777777781</v>
      </c>
      <c r="G13" s="45">
        <v>0.10222222222222223</v>
      </c>
      <c r="H13" s="45">
        <v>2.2222222222222222E-3</v>
      </c>
      <c r="I13" s="46">
        <v>73.926666666666662</v>
      </c>
    </row>
    <row r="14" spans="1:28" x14ac:dyDescent="0.25">
      <c r="A14" s="43">
        <v>0.81777777777777783</v>
      </c>
      <c r="B14" s="43">
        <v>0.75271739130434778</v>
      </c>
      <c r="C14" s="43">
        <v>3.5326086956521736E-2</v>
      </c>
      <c r="D14" s="43">
        <v>0.18478260869565216</v>
      </c>
      <c r="E14" s="45">
        <v>0.10888888888888888</v>
      </c>
      <c r="F14" s="45">
        <v>0.76222222222222225</v>
      </c>
      <c r="G14" s="45">
        <v>0.12888888888888889</v>
      </c>
      <c r="H14" s="45">
        <v>0</v>
      </c>
      <c r="I14" s="46">
        <v>68.286666666666662</v>
      </c>
    </row>
    <row r="15" spans="1:28" x14ac:dyDescent="0.25">
      <c r="A15" s="43">
        <v>0.83777777777777773</v>
      </c>
      <c r="B15" s="43">
        <v>0.79045092838196285</v>
      </c>
      <c r="C15" s="43">
        <v>3.1830238726790451E-2</v>
      </c>
      <c r="D15" s="43">
        <v>0.14323607427055704</v>
      </c>
      <c r="E15" s="45">
        <v>0.16444444444444445</v>
      </c>
      <c r="F15" s="45">
        <v>0.72444444444444445</v>
      </c>
      <c r="G15" s="45">
        <v>0.10888888888888888</v>
      </c>
      <c r="H15" s="45">
        <v>2.2222222222222222E-3</v>
      </c>
      <c r="I15" s="46">
        <v>61.086666666666666</v>
      </c>
    </row>
    <row r="16" spans="1:28" x14ac:dyDescent="0.25">
      <c r="A16" s="43">
        <v>0.80211480362537768</v>
      </c>
      <c r="B16" s="43">
        <v>0.77401129943502822</v>
      </c>
      <c r="C16" s="43">
        <v>6.0263653483992465E-2</v>
      </c>
      <c r="D16" s="43">
        <v>0.14689265536723164</v>
      </c>
      <c r="E16" s="45">
        <v>0.15407854984894259</v>
      </c>
      <c r="F16" s="45">
        <v>0.71148036253776437</v>
      </c>
      <c r="G16" s="45">
        <v>0.13141993957703926</v>
      </c>
      <c r="H16" s="45">
        <v>3.0211480362537764E-3</v>
      </c>
      <c r="I16" s="46">
        <v>53.383685800604226</v>
      </c>
    </row>
    <row r="17" spans="1:28" x14ac:dyDescent="0.25">
      <c r="A17" s="43">
        <v>0.71752265861027187</v>
      </c>
      <c r="B17" s="43">
        <v>0.72631578947368425</v>
      </c>
      <c r="C17" s="43">
        <v>0.12210526315789473</v>
      </c>
      <c r="D17" s="43">
        <v>0.14105263157894737</v>
      </c>
      <c r="E17" s="45">
        <v>0.23413897280966767</v>
      </c>
      <c r="F17" s="45">
        <v>0.52719033232628398</v>
      </c>
      <c r="G17" s="45">
        <v>0.22809667673716011</v>
      </c>
      <c r="H17" s="45">
        <v>1.0574018126888218E-2</v>
      </c>
      <c r="I17" s="46">
        <v>42.898791540785496</v>
      </c>
    </row>
    <row r="18" spans="1:28" x14ac:dyDescent="0.25">
      <c r="A18" s="43">
        <v>0.65256797583081572</v>
      </c>
      <c r="B18" s="43">
        <v>0.64120370370370372</v>
      </c>
      <c r="C18" s="43">
        <v>0.16435185185185186</v>
      </c>
      <c r="D18" s="43">
        <v>0.1875</v>
      </c>
      <c r="E18" s="45">
        <v>0.38821752265861026</v>
      </c>
      <c r="F18" s="45">
        <v>0.39123867069486407</v>
      </c>
      <c r="G18" s="45">
        <v>0.22054380664652568</v>
      </c>
      <c r="H18" s="45">
        <v>0</v>
      </c>
      <c r="I18" s="46">
        <v>32.800604229607252</v>
      </c>
    </row>
    <row r="19" spans="1:28" x14ac:dyDescent="0.25">
      <c r="A19" s="43">
        <v>0.73413897280966767</v>
      </c>
      <c r="B19" s="43">
        <v>0.66666666666666663</v>
      </c>
      <c r="C19" s="43">
        <v>0.13786008230452676</v>
      </c>
      <c r="D19" s="43">
        <v>0.17901234567901234</v>
      </c>
      <c r="E19" s="45">
        <v>0.32779456193353473</v>
      </c>
      <c r="F19" s="45">
        <v>0.43202416918429004</v>
      </c>
      <c r="G19" s="45">
        <v>0.24018126888217523</v>
      </c>
      <c r="H19" s="45">
        <v>0</v>
      </c>
      <c r="I19" s="46">
        <v>23.385196374622357</v>
      </c>
    </row>
    <row r="20" spans="1:28" x14ac:dyDescent="0.25">
      <c r="A20" s="43">
        <v>0.67777777777777781</v>
      </c>
      <c r="B20" s="43">
        <v>0.5901639344262295</v>
      </c>
      <c r="C20" s="43">
        <v>6.8852459016393447E-2</v>
      </c>
      <c r="D20" s="43">
        <v>0.31475409836065577</v>
      </c>
      <c r="E20" s="45">
        <v>0.29333333333333333</v>
      </c>
      <c r="F20" s="45">
        <v>0.52888888888888885</v>
      </c>
      <c r="G20" s="45">
        <v>0.17333333333333334</v>
      </c>
      <c r="H20" s="45">
        <v>4.4444444444444444E-3</v>
      </c>
      <c r="I20" s="46">
        <v>71.511111111111106</v>
      </c>
    </row>
    <row r="21" spans="1:28" x14ac:dyDescent="0.25">
      <c r="A21" s="43">
        <v>0.74444444444444446</v>
      </c>
      <c r="B21" s="43">
        <v>0.54029850746268659</v>
      </c>
      <c r="C21" s="43">
        <v>0.13432835820895522</v>
      </c>
      <c r="D21" s="43">
        <v>0.31044776119402984</v>
      </c>
      <c r="E21" s="45">
        <v>0.4177777777777778</v>
      </c>
      <c r="F21" s="45">
        <v>0.4622222222222222</v>
      </c>
      <c r="G21" s="45">
        <v>0.11777777777777777</v>
      </c>
      <c r="H21" s="45">
        <v>2.2222222222222222E-3</v>
      </c>
      <c r="I21" s="46">
        <v>53.522222222222226</v>
      </c>
    </row>
    <row r="22" spans="1:28" x14ac:dyDescent="0.25">
      <c r="A22" s="43">
        <v>0.65692007797270957</v>
      </c>
      <c r="B22" s="43">
        <v>0.47181008902077154</v>
      </c>
      <c r="C22" s="43">
        <v>0.27893175074183979</v>
      </c>
      <c r="D22" s="43">
        <v>0.23738872403560832</v>
      </c>
      <c r="E22" s="45">
        <v>0.61208576998050679</v>
      </c>
      <c r="F22" s="45">
        <v>0.28849902534113059</v>
      </c>
      <c r="G22" s="45">
        <v>9.3567251461988299E-2</v>
      </c>
      <c r="H22" s="45">
        <v>5.8479532163742687E-3</v>
      </c>
      <c r="I22" s="46">
        <v>30.251461988304094</v>
      </c>
      <c r="K22" t="s">
        <v>297</v>
      </c>
      <c r="T22" t="s">
        <v>300</v>
      </c>
    </row>
    <row r="23" spans="1:28" x14ac:dyDescent="0.25">
      <c r="A23" s="43">
        <v>0.72888888888888892</v>
      </c>
      <c r="B23" s="43">
        <v>0.58841463414634143</v>
      </c>
      <c r="C23" s="43">
        <v>6.402439024390244E-2</v>
      </c>
      <c r="D23" s="43">
        <v>0.29878048780487804</v>
      </c>
      <c r="E23" s="45">
        <v>0.26666666666666666</v>
      </c>
      <c r="F23" s="45">
        <v>0.47333333333333333</v>
      </c>
      <c r="G23" s="45">
        <v>0.24888888888888888</v>
      </c>
      <c r="H23" s="45">
        <v>1.1111111111111112E-2</v>
      </c>
      <c r="I23" s="46">
        <v>67.726666666666674</v>
      </c>
    </row>
    <row r="24" spans="1:28" x14ac:dyDescent="0.25">
      <c r="A24" s="43">
        <v>0.8</v>
      </c>
      <c r="B24" s="43">
        <v>0.64444444444444449</v>
      </c>
      <c r="C24" s="43">
        <v>8.0555555555555561E-2</v>
      </c>
      <c r="D24" s="43">
        <v>0.25277777777777777</v>
      </c>
      <c r="E24" s="45">
        <v>0.29555555555555557</v>
      </c>
      <c r="F24" s="45">
        <v>0.50444444444444447</v>
      </c>
      <c r="G24" s="45">
        <v>0.19333333333333333</v>
      </c>
      <c r="H24" s="45">
        <v>6.6666666666666671E-3</v>
      </c>
      <c r="I24" s="46">
        <v>61.606666666666669</v>
      </c>
    </row>
    <row r="25" spans="1:28" x14ac:dyDescent="0.25">
      <c r="A25" s="43">
        <v>0.78500000000000003</v>
      </c>
      <c r="B25" s="43">
        <v>0.71974522292993626</v>
      </c>
      <c r="C25" s="43">
        <v>9.5541401273885357E-2</v>
      </c>
      <c r="D25" s="43">
        <v>0.16560509554140126</v>
      </c>
      <c r="E25" s="45">
        <v>0.21166666666666667</v>
      </c>
      <c r="F25" s="45">
        <v>0.45333333333333331</v>
      </c>
      <c r="G25" s="45">
        <v>0.32666666666666666</v>
      </c>
      <c r="H25" s="45">
        <v>8.3333333333333332E-3</v>
      </c>
      <c r="I25" s="46">
        <v>50.613333333333337</v>
      </c>
    </row>
    <row r="26" spans="1:28" x14ac:dyDescent="0.25">
      <c r="A26" s="43">
        <v>0.7437603993344426</v>
      </c>
      <c r="B26" s="43">
        <v>0.68008948545861303</v>
      </c>
      <c r="C26" s="43">
        <v>0.12527964205816555</v>
      </c>
      <c r="D26" s="43">
        <v>0.17449664429530201</v>
      </c>
      <c r="E26" s="45">
        <v>0.29783693843594011</v>
      </c>
      <c r="F26" s="45">
        <v>0.47088186356073214</v>
      </c>
      <c r="G26" s="45">
        <v>0.22628951747088186</v>
      </c>
      <c r="H26" s="45">
        <v>4.9916805324459234E-3</v>
      </c>
      <c r="I26" s="46">
        <v>42.194675540765388</v>
      </c>
    </row>
    <row r="27" spans="1:28" x14ac:dyDescent="0.25">
      <c r="A27" s="43">
        <v>0.70382695507487525</v>
      </c>
      <c r="B27" s="43">
        <v>0.67848699763593379</v>
      </c>
      <c r="C27" s="43">
        <v>0.16548463356973994</v>
      </c>
      <c r="D27" s="43">
        <v>0.13711583924349882</v>
      </c>
      <c r="E27" s="45">
        <v>0.30782029950083195</v>
      </c>
      <c r="F27" s="45">
        <v>0.50083194675540765</v>
      </c>
      <c r="G27" s="45">
        <v>0.18469217970049917</v>
      </c>
      <c r="H27" s="45">
        <v>6.6555740432612314E-3</v>
      </c>
      <c r="I27" s="46">
        <v>36.747088186356073</v>
      </c>
    </row>
    <row r="28" spans="1:28" x14ac:dyDescent="0.25">
      <c r="A28" s="43">
        <v>0.6688851913477537</v>
      </c>
      <c r="B28" s="43">
        <v>0.71393034825870649</v>
      </c>
      <c r="C28" s="43">
        <v>0.13432835820895522</v>
      </c>
      <c r="D28" s="43">
        <v>0.13432835820895522</v>
      </c>
      <c r="E28" s="45">
        <v>0.28119800332778699</v>
      </c>
      <c r="F28" s="45">
        <v>0.52911813643926786</v>
      </c>
      <c r="G28" s="45">
        <v>0.18136439267886856</v>
      </c>
      <c r="H28" s="45">
        <v>8.3194675540765387E-3</v>
      </c>
      <c r="I28" s="46">
        <v>32.124792013311151</v>
      </c>
      <c r="S28" s="31">
        <f>-0.0758+0.7786</f>
        <v>0.70279999999999998</v>
      </c>
      <c r="AB28">
        <f>0.8848+0.2038</f>
        <v>1.0886</v>
      </c>
    </row>
    <row r="29" spans="1:28" x14ac:dyDescent="0.25">
      <c r="A29" s="43">
        <v>0.67554076539101493</v>
      </c>
      <c r="B29" s="43">
        <v>0.70935960591133007</v>
      </c>
      <c r="C29" s="43">
        <v>0.13054187192118227</v>
      </c>
      <c r="D29" s="43">
        <v>0.14532019704433496</v>
      </c>
      <c r="E29" s="45">
        <v>0.27953410981697169</v>
      </c>
      <c r="F29" s="45">
        <v>0.52412645590682194</v>
      </c>
      <c r="G29" s="45">
        <v>0.19633943427620631</v>
      </c>
      <c r="H29" s="45">
        <v>0</v>
      </c>
      <c r="I29" s="46">
        <v>26.469217970049918</v>
      </c>
    </row>
    <row r="30" spans="1:28" x14ac:dyDescent="0.25">
      <c r="A30" s="43">
        <v>0.76705490848585689</v>
      </c>
      <c r="B30" s="43">
        <v>0.71583514099783085</v>
      </c>
      <c r="C30" s="43">
        <v>0.14316702819956617</v>
      </c>
      <c r="D30" s="43">
        <v>0.13449023861171366</v>
      </c>
      <c r="E30" s="45">
        <v>0.27620632279534107</v>
      </c>
      <c r="F30" s="45">
        <v>0.50582362728785357</v>
      </c>
      <c r="G30" s="45">
        <v>0.21797004991680533</v>
      </c>
      <c r="H30" s="45">
        <v>0</v>
      </c>
      <c r="I30" s="46">
        <v>21.226289517470882</v>
      </c>
    </row>
    <row r="31" spans="1:28" x14ac:dyDescent="0.25">
      <c r="A31" s="43">
        <v>0.71333333333333337</v>
      </c>
      <c r="B31" s="43">
        <v>0.75077881619937692</v>
      </c>
      <c r="C31" s="43">
        <v>5.2959501557632398E-2</v>
      </c>
      <c r="D31" s="43">
        <v>0.17133956386292834</v>
      </c>
      <c r="E31" s="45">
        <v>0.15111111111111111</v>
      </c>
      <c r="F31" s="45">
        <v>0.67555555555555558</v>
      </c>
      <c r="G31" s="45">
        <v>0.16888888888888889</v>
      </c>
      <c r="H31" s="45">
        <v>4.4444444444444444E-3</v>
      </c>
      <c r="I31" s="46">
        <v>68.995555555555555</v>
      </c>
    </row>
    <row r="32" spans="1:28" x14ac:dyDescent="0.25">
      <c r="A32" s="43">
        <v>0.80888888888888888</v>
      </c>
      <c r="B32" s="43">
        <v>0.80219780219780223</v>
      </c>
      <c r="C32" s="43">
        <v>5.4945054945054944E-2</v>
      </c>
      <c r="D32" s="43">
        <v>0.12362637362637363</v>
      </c>
      <c r="E32" s="45">
        <v>0.10888888888888888</v>
      </c>
      <c r="F32" s="45">
        <v>0.65777777777777779</v>
      </c>
      <c r="G32" s="45">
        <v>0.22888888888888889</v>
      </c>
      <c r="H32" s="45">
        <v>4.4444444444444444E-3</v>
      </c>
      <c r="I32" s="46">
        <v>60.926666666666669</v>
      </c>
    </row>
    <row r="33" spans="1:20" x14ac:dyDescent="0.25">
      <c r="A33" s="43">
        <v>0.73713490959666206</v>
      </c>
      <c r="B33" s="43">
        <v>0.79622641509433967</v>
      </c>
      <c r="C33" s="43">
        <v>6.0377358490566038E-2</v>
      </c>
      <c r="D33" s="43">
        <v>0.12264150943396226</v>
      </c>
      <c r="E33" s="45">
        <v>0.13351877607788595</v>
      </c>
      <c r="F33" s="45">
        <v>0.69680111265646727</v>
      </c>
      <c r="G33" s="45">
        <v>0.16689847009735745</v>
      </c>
      <c r="H33" s="45">
        <v>2.7816411682892906E-3</v>
      </c>
      <c r="I33" s="46">
        <v>49.126564673157162</v>
      </c>
    </row>
    <row r="34" spans="1:20" x14ac:dyDescent="0.25">
      <c r="A34" s="43">
        <v>0.69262865090403336</v>
      </c>
      <c r="B34" s="43">
        <v>0.73293172690763053</v>
      </c>
      <c r="C34" s="43">
        <v>0.12851405622489959</v>
      </c>
      <c r="D34" s="43">
        <v>0.12048192771084337</v>
      </c>
      <c r="E34" s="45">
        <v>0.21835883171070933</v>
      </c>
      <c r="F34" s="45">
        <v>0.62030598052851182</v>
      </c>
      <c r="G34" s="45">
        <v>0.15438108484005564</v>
      </c>
      <c r="H34" s="45">
        <v>6.954102920723227E-3</v>
      </c>
      <c r="I34" s="46">
        <v>38.495132127955493</v>
      </c>
    </row>
    <row r="35" spans="1:20" x14ac:dyDescent="0.25">
      <c r="A35" s="43">
        <v>0.66249999999999998</v>
      </c>
      <c r="B35" s="43">
        <v>0.76729559748427678</v>
      </c>
      <c r="C35" s="43">
        <v>0.10272536687631027</v>
      </c>
      <c r="D35" s="43">
        <v>9.0146750524109018E-2</v>
      </c>
      <c r="E35" s="45">
        <v>0.20277777777777778</v>
      </c>
      <c r="F35" s="45">
        <v>0.59305555555555556</v>
      </c>
      <c r="G35" s="45">
        <v>0.2</v>
      </c>
      <c r="H35" s="45">
        <v>4.1666666666666666E-3</v>
      </c>
      <c r="I35" s="46">
        <v>30.276388888888889</v>
      </c>
    </row>
    <row r="36" spans="1:20" x14ac:dyDescent="0.25">
      <c r="A36" s="43">
        <v>0.74444444444444446</v>
      </c>
      <c r="B36" s="43">
        <v>0.75559701492537312</v>
      </c>
      <c r="C36" s="43">
        <v>0.12313432835820895</v>
      </c>
      <c r="D36" s="43">
        <v>0.1044776119402985</v>
      </c>
      <c r="E36" s="45">
        <v>0.21249999999999999</v>
      </c>
      <c r="F36" s="45">
        <v>0.56805555555555554</v>
      </c>
      <c r="G36" s="45">
        <v>0.21944444444444444</v>
      </c>
      <c r="H36" s="45">
        <v>0</v>
      </c>
      <c r="I36" s="46">
        <v>22.556944444444444</v>
      </c>
    </row>
    <row r="37" spans="1:20" x14ac:dyDescent="0.25">
      <c r="A37" s="43">
        <v>0.79749999999999999</v>
      </c>
      <c r="B37" s="43">
        <v>8.1504702194357362E-2</v>
      </c>
      <c r="C37" s="43">
        <v>0.20376175548589343</v>
      </c>
      <c r="D37" s="43">
        <v>0.68652037617554862</v>
      </c>
      <c r="E37" s="45">
        <v>0.98</v>
      </c>
      <c r="F37" s="45">
        <v>1.2500000000000001E-2</v>
      </c>
      <c r="G37" s="45">
        <v>7.4999999999999997E-3</v>
      </c>
      <c r="H37" s="45">
        <v>0</v>
      </c>
      <c r="I37" s="46">
        <v>59.534999999999997</v>
      </c>
    </row>
    <row r="38" spans="1:20" x14ac:dyDescent="0.25">
      <c r="A38" s="43">
        <v>0.77192982456140347</v>
      </c>
      <c r="B38" s="43">
        <v>7.3232323232323232E-2</v>
      </c>
      <c r="C38" s="43">
        <v>0.37121212121212122</v>
      </c>
      <c r="D38" s="43">
        <v>0.54040404040404044</v>
      </c>
      <c r="E38" s="45">
        <v>0.99025341130604283</v>
      </c>
      <c r="F38" s="45">
        <v>3.8986354775828458E-3</v>
      </c>
      <c r="G38" s="45">
        <v>3.8986354775828458E-3</v>
      </c>
      <c r="H38" s="45">
        <v>1.9493177387914229E-3</v>
      </c>
      <c r="I38" s="46">
        <v>31.941520467836256</v>
      </c>
    </row>
    <row r="39" spans="1:20" x14ac:dyDescent="0.25">
      <c r="A39" s="43">
        <v>0.78249999999999997</v>
      </c>
      <c r="B39" s="43">
        <v>0.1853035143769968</v>
      </c>
      <c r="C39" s="43">
        <v>0.17252396166134185</v>
      </c>
      <c r="D39" s="43">
        <v>0.60702875399361023</v>
      </c>
      <c r="E39" s="45">
        <v>0.91749999999999998</v>
      </c>
      <c r="F39" s="45">
        <v>2.5000000000000001E-2</v>
      </c>
      <c r="G39" s="45">
        <v>1.4999999999999999E-2</v>
      </c>
      <c r="H39" s="45">
        <v>4.2500000000000003E-2</v>
      </c>
      <c r="I39" s="46">
        <v>58.85</v>
      </c>
    </row>
    <row r="40" spans="1:20" x14ac:dyDescent="0.25">
      <c r="A40" s="43">
        <v>0.78853754940711462</v>
      </c>
      <c r="B40" s="43">
        <v>0.20551378446115287</v>
      </c>
      <c r="C40" s="43">
        <v>0.32832080200501251</v>
      </c>
      <c r="D40" s="43">
        <v>0.43859649122807015</v>
      </c>
      <c r="E40" s="45">
        <v>0.90118577075098816</v>
      </c>
      <c r="F40" s="45">
        <v>1.9762845849802372E-2</v>
      </c>
      <c r="G40" s="45">
        <v>2.1739130434782608E-2</v>
      </c>
      <c r="H40" s="45">
        <v>5.731225296442688E-2</v>
      </c>
      <c r="I40" s="46">
        <v>31.047430830039527</v>
      </c>
    </row>
    <row r="41" spans="1:20" x14ac:dyDescent="0.25">
      <c r="A41" s="43">
        <v>0.75136612021857918</v>
      </c>
      <c r="B41" s="43">
        <v>0.31272727272727274</v>
      </c>
      <c r="C41" s="43">
        <v>0.21454545454545454</v>
      </c>
      <c r="D41" s="43">
        <v>0.44363636363636366</v>
      </c>
      <c r="E41" s="45">
        <v>0.72131147540983609</v>
      </c>
      <c r="F41" s="45">
        <v>0.1448087431693989</v>
      </c>
      <c r="G41" s="45">
        <v>0.13387978142076504</v>
      </c>
      <c r="H41" s="45">
        <v>0</v>
      </c>
      <c r="I41" s="46">
        <v>57.415300546448087</v>
      </c>
      <c r="K41" t="s">
        <v>298</v>
      </c>
      <c r="T41" t="s">
        <v>301</v>
      </c>
    </row>
    <row r="42" spans="1:20" x14ac:dyDescent="0.25">
      <c r="A42" s="43">
        <v>0.76502732240437155</v>
      </c>
      <c r="B42" s="43">
        <v>0.2857142857142857</v>
      </c>
      <c r="C42" s="43">
        <v>0.37857142857142856</v>
      </c>
      <c r="D42" s="43">
        <v>0.32857142857142857</v>
      </c>
      <c r="E42" s="45">
        <v>0.73224043715846998</v>
      </c>
      <c r="F42" s="45">
        <v>0.13934426229508196</v>
      </c>
      <c r="G42" s="45">
        <v>0.12841530054644809</v>
      </c>
      <c r="H42" s="45">
        <v>0</v>
      </c>
      <c r="I42" s="46">
        <v>28.781420765027324</v>
      </c>
    </row>
    <row r="43" spans="1:20" x14ac:dyDescent="0.25">
      <c r="A43" s="43">
        <v>0.69777777777777783</v>
      </c>
      <c r="B43" s="43">
        <v>0.68152866242038213</v>
      </c>
      <c r="C43" s="43">
        <v>7.32484076433121E-2</v>
      </c>
      <c r="D43" s="43">
        <v>0.19745222929936307</v>
      </c>
      <c r="E43" s="45">
        <v>0.25333333333333335</v>
      </c>
      <c r="F43" s="45">
        <v>0.56222222222222218</v>
      </c>
      <c r="G43" s="45">
        <v>0.18</v>
      </c>
      <c r="H43" s="45">
        <v>4.4444444444444444E-3</v>
      </c>
      <c r="I43" s="46">
        <v>69.391111111111115</v>
      </c>
    </row>
    <row r="44" spans="1:20" x14ac:dyDescent="0.25">
      <c r="A44" s="43">
        <v>0.83555555555555561</v>
      </c>
      <c r="B44" s="43">
        <v>0.69414893617021278</v>
      </c>
      <c r="C44" s="43">
        <v>6.1170212765957445E-2</v>
      </c>
      <c r="D44" s="43">
        <v>0.20744680851063829</v>
      </c>
      <c r="E44" s="45">
        <v>0.19777777777777777</v>
      </c>
      <c r="F44" s="45">
        <v>0.63111111111111107</v>
      </c>
      <c r="G44" s="45">
        <v>0.16888888888888889</v>
      </c>
      <c r="H44" s="45">
        <v>2.2222222222222222E-3</v>
      </c>
      <c r="I44" s="46">
        <v>62.04</v>
      </c>
    </row>
    <row r="45" spans="1:20" x14ac:dyDescent="0.25">
      <c r="A45" s="43">
        <v>0.78201219512195119</v>
      </c>
      <c r="B45" s="43">
        <v>0.79142300194931769</v>
      </c>
      <c r="C45" s="43">
        <v>6.6276803118908378E-2</v>
      </c>
      <c r="D45" s="43">
        <v>0.12085769980506822</v>
      </c>
      <c r="E45" s="45">
        <v>0.1676829268292683</v>
      </c>
      <c r="F45" s="45">
        <v>0.625</v>
      </c>
      <c r="G45" s="45">
        <v>0.20579268292682926</v>
      </c>
      <c r="H45" s="45">
        <v>1.5243902439024391E-3</v>
      </c>
      <c r="I45" s="46">
        <v>51.085365853658537</v>
      </c>
    </row>
    <row r="46" spans="1:20" x14ac:dyDescent="0.25">
      <c r="A46" s="43">
        <v>0.70426829268292679</v>
      </c>
      <c r="B46" s="43">
        <v>0.7056277056277056</v>
      </c>
      <c r="C46" s="43">
        <v>0.12770562770562771</v>
      </c>
      <c r="D46" s="43">
        <v>0.15800865800865802</v>
      </c>
      <c r="E46" s="45">
        <v>0.26371951219512196</v>
      </c>
      <c r="F46" s="45">
        <v>0.53810975609756095</v>
      </c>
      <c r="G46" s="45">
        <v>0.19054878048780488</v>
      </c>
      <c r="H46" s="45">
        <v>7.621951219512195E-3</v>
      </c>
      <c r="I46" s="46">
        <v>39.900914634146339</v>
      </c>
      <c r="S46" s="31">
        <f>-0.1202+0.7679</f>
        <v>0.64770000000000005</v>
      </c>
    </row>
    <row r="47" spans="1:20" x14ac:dyDescent="0.25">
      <c r="A47" s="43">
        <v>0.66920731707317072</v>
      </c>
      <c r="B47" s="43">
        <v>0.74259681093394081</v>
      </c>
      <c r="C47" s="43">
        <v>0.11617312072892938</v>
      </c>
      <c r="D47" s="43">
        <v>0.12300683371298406</v>
      </c>
      <c r="E47" s="45">
        <v>0.26371951219512196</v>
      </c>
      <c r="F47" s="45">
        <v>0.58384146341463417</v>
      </c>
      <c r="G47" s="45">
        <v>0.1524390243902439</v>
      </c>
      <c r="H47" s="45">
        <v>0</v>
      </c>
      <c r="I47" s="46">
        <v>29.832317073170731</v>
      </c>
    </row>
    <row r="48" spans="1:20" x14ac:dyDescent="0.25">
      <c r="A48" s="43">
        <v>0.76371951219512191</v>
      </c>
      <c r="B48" s="43">
        <v>0.70459081836327342</v>
      </c>
      <c r="C48" s="43">
        <v>0.15768463073852296</v>
      </c>
      <c r="D48" s="43">
        <v>0.12574850299401197</v>
      </c>
      <c r="E48" s="45">
        <v>0.33384146341463417</v>
      </c>
      <c r="F48" s="45">
        <v>0.51219512195121952</v>
      </c>
      <c r="G48" s="45">
        <v>0.15396341463414634</v>
      </c>
      <c r="H48" s="45">
        <v>0</v>
      </c>
      <c r="I48" s="46">
        <v>21.949695121951219</v>
      </c>
    </row>
    <row r="49" spans="1:9" x14ac:dyDescent="0.25">
      <c r="A49" s="43">
        <v>0.69499999999999995</v>
      </c>
      <c r="B49" s="43">
        <v>0.72661870503597126</v>
      </c>
      <c r="C49" s="43">
        <v>8.2733812949640287E-2</v>
      </c>
      <c r="D49" s="43">
        <v>0.14388489208633093</v>
      </c>
      <c r="E49" s="45">
        <v>0.1575</v>
      </c>
      <c r="F49" s="45">
        <v>0.625</v>
      </c>
      <c r="G49" s="45">
        <v>0.19500000000000001</v>
      </c>
      <c r="H49" s="45">
        <v>2.2499999999999999E-2</v>
      </c>
      <c r="I49" s="46">
        <v>68.567499999999995</v>
      </c>
    </row>
    <row r="50" spans="1:9" x14ac:dyDescent="0.25">
      <c r="A50" s="43">
        <v>0.7</v>
      </c>
      <c r="B50" s="43">
        <v>0.68506493506493504</v>
      </c>
      <c r="C50" s="43">
        <v>9.7402597402597407E-2</v>
      </c>
      <c r="D50" s="43">
        <v>0.17532467532467533</v>
      </c>
      <c r="E50" s="45">
        <v>0.24090909090909091</v>
      </c>
      <c r="F50" s="45">
        <v>0.54318181818181821</v>
      </c>
      <c r="G50" s="45">
        <v>0.18181818181818182</v>
      </c>
      <c r="H50" s="45">
        <v>3.4090909090909088E-2</v>
      </c>
      <c r="I50" s="46">
        <v>47.222727272727276</v>
      </c>
    </row>
    <row r="51" spans="1:9" x14ac:dyDescent="0.25">
      <c r="A51" s="43">
        <v>0.69160997732426299</v>
      </c>
      <c r="B51" s="43">
        <v>0.77049180327868849</v>
      </c>
      <c r="C51" s="43">
        <v>0.11803278688524591</v>
      </c>
      <c r="D51" s="43">
        <v>9.8360655737704916E-2</v>
      </c>
      <c r="E51" s="45">
        <v>0.2471655328798186</v>
      </c>
      <c r="F51" s="45">
        <v>0.52380952380952384</v>
      </c>
      <c r="G51" s="45">
        <v>0.20861678004535147</v>
      </c>
      <c r="H51" s="45">
        <v>2.0408163265306121E-2</v>
      </c>
      <c r="I51" s="46">
        <v>28.746031746031747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0CC1-C45B-492E-A69C-53CE5FC8E525}">
  <dimension ref="A1:Y167"/>
  <sheetViews>
    <sheetView workbookViewId="0">
      <pane xSplit="4" ySplit="1" topLeftCell="O142" activePane="bottomRight" state="frozen"/>
      <selection pane="topRight" activeCell="E1" sqref="E1"/>
      <selection pane="bottomLeft" activeCell="A2" sqref="A2"/>
      <selection pane="bottomRight" activeCell="P2" sqref="P2:Y145"/>
    </sheetView>
  </sheetViews>
  <sheetFormatPr defaultRowHeight="13.2" x14ac:dyDescent="0.25"/>
  <cols>
    <col min="1" max="1" width="8" bestFit="1" customWidth="1"/>
    <col min="2" max="2" width="25.21875" bestFit="1" customWidth="1"/>
    <col min="3" max="3" width="60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8" width="6" bestFit="1" customWidth="1"/>
    <col min="9" max="9" width="5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27" bestFit="1" customWidth="1"/>
    <col min="15" max="15" width="14.109375" bestFit="1" customWidth="1"/>
    <col min="16" max="17" width="6" bestFit="1" customWidth="1"/>
    <col min="18" max="18" width="5" bestFit="1" customWidth="1"/>
    <col min="19" max="19" width="4" bestFit="1" customWidth="1"/>
    <col min="20" max="20" width="6" bestFit="1" customWidth="1"/>
    <col min="21" max="22" width="7" bestFit="1" customWidth="1"/>
    <col min="23" max="24" width="6" bestFit="1" customWidth="1"/>
    <col min="25" max="25" width="7.33203125" bestFit="1" customWidth="1"/>
  </cols>
  <sheetData>
    <row r="1" spans="1:25" x14ac:dyDescent="0.25">
      <c r="A1" s="24" t="s">
        <v>193</v>
      </c>
      <c r="B1" s="24" t="s">
        <v>194</v>
      </c>
      <c r="C1" s="24" t="s">
        <v>195</v>
      </c>
      <c r="D1" s="24" t="s">
        <v>196</v>
      </c>
      <c r="E1" s="24" t="s">
        <v>197</v>
      </c>
      <c r="F1" s="24" t="s">
        <v>198</v>
      </c>
      <c r="G1" s="24" t="s">
        <v>199</v>
      </c>
      <c r="H1" s="24" t="s">
        <v>200</v>
      </c>
      <c r="I1" s="24" t="s">
        <v>201</v>
      </c>
      <c r="J1" s="24" t="s">
        <v>202</v>
      </c>
      <c r="K1" s="24" t="s">
        <v>203</v>
      </c>
      <c r="L1" s="24" t="s">
        <v>204</v>
      </c>
      <c r="M1" s="24" t="s">
        <v>205</v>
      </c>
      <c r="N1" s="26" t="s">
        <v>206</v>
      </c>
      <c r="O1" s="24" t="s">
        <v>207</v>
      </c>
      <c r="P1" s="24" t="s">
        <v>270</v>
      </c>
      <c r="Q1" s="24" t="s">
        <v>271</v>
      </c>
      <c r="R1" s="24" t="s">
        <v>272</v>
      </c>
      <c r="S1" s="24" t="s">
        <v>273</v>
      </c>
      <c r="T1" s="24" t="s">
        <v>274</v>
      </c>
      <c r="U1" s="24" t="s">
        <v>275</v>
      </c>
      <c r="V1" s="24" t="s">
        <v>276</v>
      </c>
      <c r="W1" s="24" t="s">
        <v>277</v>
      </c>
      <c r="X1" s="24" t="s">
        <v>278</v>
      </c>
      <c r="Y1" s="24" t="s">
        <v>279</v>
      </c>
    </row>
    <row r="2" spans="1:25" x14ac:dyDescent="0.25">
      <c r="A2" s="24" t="s">
        <v>208</v>
      </c>
      <c r="B2" s="24" t="s">
        <v>209</v>
      </c>
      <c r="C2" s="24" t="s">
        <v>121</v>
      </c>
      <c r="D2" s="24">
        <v>1</v>
      </c>
      <c r="E2" s="24"/>
      <c r="F2" s="24"/>
      <c r="G2" s="24"/>
      <c r="H2" s="24">
        <v>15</v>
      </c>
      <c r="I2" s="24">
        <v>11</v>
      </c>
      <c r="J2" s="24"/>
      <c r="K2" s="24">
        <v>424</v>
      </c>
      <c r="L2" s="24"/>
      <c r="M2" s="24">
        <v>450</v>
      </c>
      <c r="N2" s="26">
        <v>64.313333333333333</v>
      </c>
      <c r="O2" s="24" t="s">
        <v>210</v>
      </c>
      <c r="P2" s="24">
        <f t="shared" ref="P2" si="0">K2</f>
        <v>424</v>
      </c>
      <c r="Q2" s="24">
        <f t="shared" ref="Q2:R2" si="1">H2</f>
        <v>15</v>
      </c>
      <c r="R2" s="24">
        <f t="shared" si="1"/>
        <v>11</v>
      </c>
      <c r="S2" s="24">
        <f t="shared" ref="S2" si="2">M2-SUM(P2:R2)</f>
        <v>0</v>
      </c>
      <c r="T2" s="24">
        <f t="shared" ref="T2" si="3">SUM(P2:S2)</f>
        <v>450</v>
      </c>
      <c r="U2" s="25">
        <f t="shared" ref="U2" si="4">P2/M2</f>
        <v>0.94222222222222218</v>
      </c>
      <c r="V2" s="25">
        <f t="shared" ref="V2" si="5">Q2/M2</f>
        <v>3.3333333333333333E-2</v>
      </c>
      <c r="W2" s="25">
        <f t="shared" ref="W2" si="6">R2/M2</f>
        <v>2.4444444444444446E-2</v>
      </c>
      <c r="X2" s="25">
        <f t="shared" ref="X2" si="7">S2/M2</f>
        <v>0</v>
      </c>
      <c r="Y2" s="26">
        <f t="shared" ref="Y2" si="8">N2</f>
        <v>64.313333333333333</v>
      </c>
    </row>
    <row r="3" spans="1:25" x14ac:dyDescent="0.25">
      <c r="A3" s="24" t="s">
        <v>208</v>
      </c>
      <c r="B3" s="24" t="s">
        <v>209</v>
      </c>
      <c r="C3" s="24" t="s">
        <v>121</v>
      </c>
      <c r="D3" s="24">
        <v>2</v>
      </c>
      <c r="E3" s="24"/>
      <c r="F3" s="24"/>
      <c r="G3" s="24"/>
      <c r="H3" s="24">
        <v>17</v>
      </c>
      <c r="I3" s="24">
        <v>5</v>
      </c>
      <c r="J3" s="24">
        <v>1</v>
      </c>
      <c r="K3" s="24">
        <v>427</v>
      </c>
      <c r="L3" s="24"/>
      <c r="M3" s="24">
        <v>450</v>
      </c>
      <c r="N3" s="26">
        <v>50.426666666666669</v>
      </c>
      <c r="O3" s="24" t="s">
        <v>210</v>
      </c>
      <c r="P3" s="24">
        <f t="shared" ref="P3:P55" si="9">K3</f>
        <v>427</v>
      </c>
      <c r="Q3" s="24">
        <f t="shared" ref="Q3:Q55" si="10">H3</f>
        <v>17</v>
      </c>
      <c r="R3" s="24">
        <f t="shared" ref="R3:R55" si="11">I3</f>
        <v>5</v>
      </c>
      <c r="S3" s="24">
        <f t="shared" ref="S3:S55" si="12">M3-SUM(P3:R3)</f>
        <v>1</v>
      </c>
      <c r="T3" s="24">
        <f t="shared" ref="T3:T55" si="13">SUM(P3:S3)</f>
        <v>450</v>
      </c>
      <c r="U3" s="25">
        <f t="shared" ref="U3:U55" si="14">P3/M3</f>
        <v>0.94888888888888889</v>
      </c>
      <c r="V3" s="25">
        <f t="shared" ref="V3:V55" si="15">Q3/M3</f>
        <v>3.7777777777777778E-2</v>
      </c>
      <c r="W3" s="25">
        <f t="shared" ref="W3:W55" si="16">R3/M3</f>
        <v>1.1111111111111112E-2</v>
      </c>
      <c r="X3" s="25">
        <f t="shared" ref="X3:X55" si="17">S3/M3</f>
        <v>2.2222222222222222E-3</v>
      </c>
      <c r="Y3" s="26">
        <f t="shared" ref="Y3:Y55" si="18">N3</f>
        <v>50.426666666666669</v>
      </c>
    </row>
    <row r="4" spans="1:25" x14ac:dyDescent="0.25">
      <c r="A4" s="24" t="s">
        <v>208</v>
      </c>
      <c r="B4" s="24" t="s">
        <v>209</v>
      </c>
      <c r="C4" s="24" t="s">
        <v>121</v>
      </c>
      <c r="D4" s="24">
        <v>3</v>
      </c>
      <c r="E4" s="24"/>
      <c r="F4" s="24"/>
      <c r="G4" s="24"/>
      <c r="H4" s="24">
        <v>2</v>
      </c>
      <c r="I4" s="24">
        <v>4</v>
      </c>
      <c r="J4" s="24"/>
      <c r="K4" s="24">
        <v>687</v>
      </c>
      <c r="L4" s="24"/>
      <c r="M4" s="24">
        <v>693</v>
      </c>
      <c r="N4" s="26">
        <v>38.948051948051948</v>
      </c>
      <c r="O4" s="24" t="s">
        <v>210</v>
      </c>
      <c r="P4" s="24">
        <f t="shared" si="9"/>
        <v>687</v>
      </c>
      <c r="Q4" s="24">
        <f t="shared" si="10"/>
        <v>2</v>
      </c>
      <c r="R4" s="24">
        <f t="shared" si="11"/>
        <v>4</v>
      </c>
      <c r="S4" s="24">
        <f t="shared" si="12"/>
        <v>0</v>
      </c>
      <c r="T4" s="24">
        <f t="shared" si="13"/>
        <v>693</v>
      </c>
      <c r="U4" s="25">
        <f t="shared" si="14"/>
        <v>0.9913419913419913</v>
      </c>
      <c r="V4" s="25">
        <f t="shared" si="15"/>
        <v>2.886002886002886E-3</v>
      </c>
      <c r="W4" s="25">
        <f t="shared" si="16"/>
        <v>5.772005772005772E-3</v>
      </c>
      <c r="X4" s="25">
        <f t="shared" si="17"/>
        <v>0</v>
      </c>
      <c r="Y4" s="26">
        <f t="shared" si="18"/>
        <v>38.948051948051948</v>
      </c>
    </row>
    <row r="5" spans="1:25" x14ac:dyDescent="0.25">
      <c r="A5" s="24" t="s">
        <v>208</v>
      </c>
      <c r="B5" s="24" t="s">
        <v>209</v>
      </c>
      <c r="C5" s="24" t="s">
        <v>121</v>
      </c>
      <c r="D5" s="24">
        <v>4</v>
      </c>
      <c r="E5" s="24"/>
      <c r="F5" s="24"/>
      <c r="G5" s="24"/>
      <c r="H5" s="24">
        <v>9</v>
      </c>
      <c r="I5" s="24">
        <v>3</v>
      </c>
      <c r="J5" s="24"/>
      <c r="K5" s="24">
        <v>682</v>
      </c>
      <c r="L5" s="24"/>
      <c r="M5" s="24">
        <v>694</v>
      </c>
      <c r="N5" s="26">
        <v>27.789625360230549</v>
      </c>
      <c r="O5" s="24" t="s">
        <v>210</v>
      </c>
      <c r="P5" s="24">
        <f t="shared" si="9"/>
        <v>682</v>
      </c>
      <c r="Q5" s="24">
        <f t="shared" si="10"/>
        <v>9</v>
      </c>
      <c r="R5" s="24">
        <f t="shared" si="11"/>
        <v>3</v>
      </c>
      <c r="S5" s="24">
        <f t="shared" si="12"/>
        <v>0</v>
      </c>
      <c r="T5" s="24">
        <f t="shared" si="13"/>
        <v>694</v>
      </c>
      <c r="U5" s="25">
        <f t="shared" si="14"/>
        <v>0.98270893371757928</v>
      </c>
      <c r="V5" s="25">
        <f t="shared" si="15"/>
        <v>1.2968299711815562E-2</v>
      </c>
      <c r="W5" s="25">
        <f t="shared" si="16"/>
        <v>4.3227665706051877E-3</v>
      </c>
      <c r="X5" s="25">
        <f t="shared" si="17"/>
        <v>0</v>
      </c>
      <c r="Y5" s="26">
        <f t="shared" si="18"/>
        <v>27.789625360230549</v>
      </c>
    </row>
    <row r="6" spans="1:25" x14ac:dyDescent="0.25">
      <c r="A6" s="24" t="s">
        <v>208</v>
      </c>
      <c r="B6" s="24" t="s">
        <v>209</v>
      </c>
      <c r="C6" s="24" t="s">
        <v>122</v>
      </c>
      <c r="D6" s="24">
        <v>1</v>
      </c>
      <c r="E6" s="24"/>
      <c r="F6" s="24"/>
      <c r="G6" s="24"/>
      <c r="H6" s="24">
        <v>2</v>
      </c>
      <c r="I6" s="24">
        <v>2</v>
      </c>
      <c r="J6" s="24"/>
      <c r="K6" s="24">
        <v>446</v>
      </c>
      <c r="L6" s="24"/>
      <c r="M6" s="24">
        <v>450</v>
      </c>
      <c r="N6" s="26">
        <v>65.268888888888895</v>
      </c>
      <c r="O6" s="24" t="s">
        <v>210</v>
      </c>
      <c r="P6" s="24">
        <f t="shared" si="9"/>
        <v>446</v>
      </c>
      <c r="Q6" s="24">
        <f t="shared" si="10"/>
        <v>2</v>
      </c>
      <c r="R6" s="24">
        <f t="shared" si="11"/>
        <v>2</v>
      </c>
      <c r="S6" s="24">
        <f t="shared" si="12"/>
        <v>0</v>
      </c>
      <c r="T6" s="24">
        <f t="shared" si="13"/>
        <v>450</v>
      </c>
      <c r="U6" s="25">
        <f t="shared" si="14"/>
        <v>0.99111111111111116</v>
      </c>
      <c r="V6" s="25">
        <f t="shared" si="15"/>
        <v>4.4444444444444444E-3</v>
      </c>
      <c r="W6" s="25">
        <f t="shared" si="16"/>
        <v>4.4444444444444444E-3</v>
      </c>
      <c r="X6" s="25">
        <f t="shared" si="17"/>
        <v>0</v>
      </c>
      <c r="Y6" s="26">
        <f t="shared" si="18"/>
        <v>65.268888888888895</v>
      </c>
    </row>
    <row r="7" spans="1:25" x14ac:dyDescent="0.25">
      <c r="A7" s="24" t="s">
        <v>208</v>
      </c>
      <c r="B7" s="24" t="s">
        <v>209</v>
      </c>
      <c r="C7" s="24" t="s">
        <v>122</v>
      </c>
      <c r="D7" s="24">
        <v>2</v>
      </c>
      <c r="E7" s="24"/>
      <c r="F7" s="24"/>
      <c r="G7" s="24"/>
      <c r="H7" s="24">
        <v>2</v>
      </c>
      <c r="I7" s="24">
        <v>3</v>
      </c>
      <c r="J7" s="24"/>
      <c r="K7" s="24">
        <v>445</v>
      </c>
      <c r="L7" s="24"/>
      <c r="M7" s="24">
        <v>450</v>
      </c>
      <c r="N7" s="26">
        <v>57.575555555555553</v>
      </c>
      <c r="O7" s="24" t="s">
        <v>210</v>
      </c>
      <c r="P7" s="24">
        <f t="shared" si="9"/>
        <v>445</v>
      </c>
      <c r="Q7" s="24">
        <f t="shared" si="10"/>
        <v>2</v>
      </c>
      <c r="R7" s="24">
        <f t="shared" si="11"/>
        <v>3</v>
      </c>
      <c r="S7" s="24">
        <f t="shared" si="12"/>
        <v>0</v>
      </c>
      <c r="T7" s="24">
        <f t="shared" si="13"/>
        <v>450</v>
      </c>
      <c r="U7" s="25">
        <f t="shared" si="14"/>
        <v>0.98888888888888893</v>
      </c>
      <c r="V7" s="25">
        <f t="shared" si="15"/>
        <v>4.4444444444444444E-3</v>
      </c>
      <c r="W7" s="25">
        <f t="shared" si="16"/>
        <v>6.6666666666666671E-3</v>
      </c>
      <c r="X7" s="25">
        <f t="shared" si="17"/>
        <v>0</v>
      </c>
      <c r="Y7" s="26">
        <f t="shared" si="18"/>
        <v>57.575555555555553</v>
      </c>
    </row>
    <row r="8" spans="1:25" x14ac:dyDescent="0.25">
      <c r="A8" s="24" t="s">
        <v>208</v>
      </c>
      <c r="B8" s="24" t="s">
        <v>209</v>
      </c>
      <c r="C8" s="24" t="s">
        <v>122</v>
      </c>
      <c r="D8" s="24">
        <v>3</v>
      </c>
      <c r="E8" s="24"/>
      <c r="F8" s="24"/>
      <c r="G8" s="24"/>
      <c r="H8" s="24"/>
      <c r="I8" s="24">
        <v>1</v>
      </c>
      <c r="J8" s="24"/>
      <c r="K8" s="24">
        <v>624</v>
      </c>
      <c r="L8" s="24"/>
      <c r="M8" s="24">
        <v>625</v>
      </c>
      <c r="N8" s="26">
        <v>41.627200000000002</v>
      </c>
      <c r="O8" s="24" t="s">
        <v>210</v>
      </c>
      <c r="P8" s="24">
        <f t="shared" si="9"/>
        <v>624</v>
      </c>
      <c r="Q8" s="24">
        <f t="shared" si="10"/>
        <v>0</v>
      </c>
      <c r="R8" s="24">
        <f t="shared" si="11"/>
        <v>1</v>
      </c>
      <c r="S8" s="24">
        <f t="shared" si="12"/>
        <v>0</v>
      </c>
      <c r="T8" s="24">
        <f t="shared" si="13"/>
        <v>625</v>
      </c>
      <c r="U8" s="25">
        <f t="shared" si="14"/>
        <v>0.99839999999999995</v>
      </c>
      <c r="V8" s="25">
        <f t="shared" si="15"/>
        <v>0</v>
      </c>
      <c r="W8" s="25">
        <f t="shared" si="16"/>
        <v>1.6000000000000001E-3</v>
      </c>
      <c r="X8" s="25">
        <f t="shared" si="17"/>
        <v>0</v>
      </c>
      <c r="Y8" s="26">
        <f t="shared" si="18"/>
        <v>41.627200000000002</v>
      </c>
    </row>
    <row r="9" spans="1:25" x14ac:dyDescent="0.25">
      <c r="A9" s="24" t="s">
        <v>208</v>
      </c>
      <c r="B9" s="24" t="s">
        <v>209</v>
      </c>
      <c r="C9" s="24" t="s">
        <v>122</v>
      </c>
      <c r="D9" s="24">
        <v>4</v>
      </c>
      <c r="E9" s="24"/>
      <c r="F9" s="24"/>
      <c r="G9" s="24"/>
      <c r="H9" s="24"/>
      <c r="I9" s="24"/>
      <c r="J9" s="24"/>
      <c r="K9" s="24">
        <v>625</v>
      </c>
      <c r="L9" s="24"/>
      <c r="M9" s="24">
        <v>625</v>
      </c>
      <c r="N9" s="26">
        <v>35.859200000000001</v>
      </c>
      <c r="O9" s="24" t="s">
        <v>210</v>
      </c>
      <c r="P9" s="24">
        <f t="shared" si="9"/>
        <v>625</v>
      </c>
      <c r="Q9" s="24">
        <f t="shared" si="10"/>
        <v>0</v>
      </c>
      <c r="R9" s="24">
        <f t="shared" si="11"/>
        <v>0</v>
      </c>
      <c r="S9" s="24">
        <f t="shared" si="12"/>
        <v>0</v>
      </c>
      <c r="T9" s="24">
        <f t="shared" si="13"/>
        <v>625</v>
      </c>
      <c r="U9" s="25">
        <f t="shared" si="14"/>
        <v>1</v>
      </c>
      <c r="V9" s="25">
        <f t="shared" si="15"/>
        <v>0</v>
      </c>
      <c r="W9" s="25">
        <f t="shared" si="16"/>
        <v>0</v>
      </c>
      <c r="X9" s="25">
        <f t="shared" si="17"/>
        <v>0</v>
      </c>
      <c r="Y9" s="26">
        <f t="shared" si="18"/>
        <v>35.859200000000001</v>
      </c>
    </row>
    <row r="10" spans="1:25" x14ac:dyDescent="0.25">
      <c r="A10" s="24" t="s">
        <v>208</v>
      </c>
      <c r="B10" s="24" t="s">
        <v>209</v>
      </c>
      <c r="C10" s="24" t="s">
        <v>122</v>
      </c>
      <c r="D10" s="24">
        <v>5</v>
      </c>
      <c r="E10" s="24"/>
      <c r="F10" s="24"/>
      <c r="G10" s="24"/>
      <c r="H10" s="24"/>
      <c r="I10" s="24"/>
      <c r="J10" s="24"/>
      <c r="K10" s="24">
        <v>626</v>
      </c>
      <c r="L10" s="24"/>
      <c r="M10" s="24">
        <v>626</v>
      </c>
      <c r="N10" s="26">
        <v>26.354632587859424</v>
      </c>
      <c r="O10" s="24" t="s">
        <v>210</v>
      </c>
      <c r="P10" s="24">
        <f t="shared" si="9"/>
        <v>626</v>
      </c>
      <c r="Q10" s="24">
        <f t="shared" si="10"/>
        <v>0</v>
      </c>
      <c r="R10" s="24">
        <f t="shared" si="11"/>
        <v>0</v>
      </c>
      <c r="S10" s="24">
        <f t="shared" si="12"/>
        <v>0</v>
      </c>
      <c r="T10" s="24">
        <f t="shared" si="13"/>
        <v>626</v>
      </c>
      <c r="U10" s="25">
        <f t="shared" si="14"/>
        <v>1</v>
      </c>
      <c r="V10" s="25">
        <f t="shared" si="15"/>
        <v>0</v>
      </c>
      <c r="W10" s="25">
        <f t="shared" si="16"/>
        <v>0</v>
      </c>
      <c r="X10" s="25">
        <f t="shared" si="17"/>
        <v>0</v>
      </c>
      <c r="Y10" s="26">
        <f t="shared" si="18"/>
        <v>26.354632587859424</v>
      </c>
    </row>
    <row r="11" spans="1:25" x14ac:dyDescent="0.25">
      <c r="A11" s="24" t="s">
        <v>211</v>
      </c>
      <c r="B11" s="24" t="s">
        <v>212</v>
      </c>
      <c r="C11" s="24" t="s">
        <v>124</v>
      </c>
      <c r="D11" s="24">
        <v>1</v>
      </c>
      <c r="E11" s="24"/>
      <c r="F11" s="24"/>
      <c r="G11" s="24">
        <v>1</v>
      </c>
      <c r="H11" s="24">
        <v>1</v>
      </c>
      <c r="I11" s="24">
        <v>7</v>
      </c>
      <c r="J11" s="24">
        <v>1</v>
      </c>
      <c r="K11" s="24">
        <v>440</v>
      </c>
      <c r="L11" s="24"/>
      <c r="M11" s="24">
        <v>450</v>
      </c>
      <c r="N11" s="26">
        <v>54.02</v>
      </c>
      <c r="O11" s="24" t="s">
        <v>210</v>
      </c>
      <c r="P11" s="24">
        <f t="shared" si="9"/>
        <v>440</v>
      </c>
      <c r="Q11" s="24">
        <f t="shared" si="10"/>
        <v>1</v>
      </c>
      <c r="R11" s="24">
        <f t="shared" si="11"/>
        <v>7</v>
      </c>
      <c r="S11" s="24">
        <f t="shared" si="12"/>
        <v>2</v>
      </c>
      <c r="T11" s="24">
        <f t="shared" si="13"/>
        <v>450</v>
      </c>
      <c r="U11" s="25">
        <f t="shared" si="14"/>
        <v>0.97777777777777775</v>
      </c>
      <c r="V11" s="25">
        <f t="shared" si="15"/>
        <v>2.2222222222222222E-3</v>
      </c>
      <c r="W11" s="25">
        <f t="shared" si="16"/>
        <v>1.5555555555555555E-2</v>
      </c>
      <c r="X11" s="25">
        <f t="shared" si="17"/>
        <v>4.4444444444444444E-3</v>
      </c>
      <c r="Y11" s="26">
        <f t="shared" si="18"/>
        <v>54.02</v>
      </c>
    </row>
    <row r="12" spans="1:25" x14ac:dyDescent="0.25">
      <c r="A12" s="24" t="s">
        <v>211</v>
      </c>
      <c r="B12" s="24" t="s">
        <v>212</v>
      </c>
      <c r="C12" s="24" t="s">
        <v>124</v>
      </c>
      <c r="D12" s="24">
        <v>2</v>
      </c>
      <c r="E12" s="24"/>
      <c r="F12" s="24"/>
      <c r="G12" s="24"/>
      <c r="H12" s="24"/>
      <c r="I12" s="24">
        <v>3</v>
      </c>
      <c r="J12" s="24"/>
      <c r="K12" s="24">
        <v>467</v>
      </c>
      <c r="L12" s="24"/>
      <c r="M12" s="24">
        <v>470</v>
      </c>
      <c r="N12" s="26">
        <v>27.23191489361702</v>
      </c>
      <c r="O12" s="24" t="s">
        <v>210</v>
      </c>
      <c r="P12" s="24">
        <f t="shared" si="9"/>
        <v>467</v>
      </c>
      <c r="Q12" s="24">
        <f t="shared" si="10"/>
        <v>0</v>
      </c>
      <c r="R12" s="24">
        <f t="shared" si="11"/>
        <v>3</v>
      </c>
      <c r="S12" s="24">
        <f t="shared" si="12"/>
        <v>0</v>
      </c>
      <c r="T12" s="24">
        <f t="shared" si="13"/>
        <v>470</v>
      </c>
      <c r="U12" s="25">
        <f t="shared" si="14"/>
        <v>0.99361702127659579</v>
      </c>
      <c r="V12" s="25">
        <f t="shared" si="15"/>
        <v>0</v>
      </c>
      <c r="W12" s="25">
        <f t="shared" si="16"/>
        <v>6.382978723404255E-3</v>
      </c>
      <c r="X12" s="25">
        <f t="shared" si="17"/>
        <v>0</v>
      </c>
      <c r="Y12" s="26">
        <f t="shared" si="18"/>
        <v>27.23191489361702</v>
      </c>
    </row>
    <row r="13" spans="1:25" x14ac:dyDescent="0.25">
      <c r="A13" s="24" t="s">
        <v>213</v>
      </c>
      <c r="B13" s="24" t="s">
        <v>214</v>
      </c>
      <c r="C13" s="24" t="s">
        <v>126</v>
      </c>
      <c r="D13" s="24">
        <v>1</v>
      </c>
      <c r="E13" s="24"/>
      <c r="F13" s="24"/>
      <c r="G13" s="24">
        <v>1</v>
      </c>
      <c r="H13" s="24"/>
      <c r="I13" s="24">
        <v>4</v>
      </c>
      <c r="J13" s="24">
        <v>1</v>
      </c>
      <c r="K13" s="24">
        <v>444</v>
      </c>
      <c r="L13" s="24"/>
      <c r="M13" s="24">
        <v>450</v>
      </c>
      <c r="N13" s="26">
        <v>67.637777777777771</v>
      </c>
      <c r="O13" s="24" t="s">
        <v>210</v>
      </c>
      <c r="P13" s="24">
        <f t="shared" si="9"/>
        <v>444</v>
      </c>
      <c r="Q13" s="24">
        <f t="shared" si="10"/>
        <v>0</v>
      </c>
      <c r="R13" s="24">
        <f t="shared" si="11"/>
        <v>4</v>
      </c>
      <c r="S13" s="24">
        <f t="shared" si="12"/>
        <v>2</v>
      </c>
      <c r="T13" s="24">
        <f t="shared" si="13"/>
        <v>450</v>
      </c>
      <c r="U13" s="25">
        <f t="shared" si="14"/>
        <v>0.98666666666666669</v>
      </c>
      <c r="V13" s="25">
        <f t="shared" si="15"/>
        <v>0</v>
      </c>
      <c r="W13" s="25">
        <f t="shared" si="16"/>
        <v>8.8888888888888889E-3</v>
      </c>
      <c r="X13" s="25">
        <f t="shared" si="17"/>
        <v>4.4444444444444444E-3</v>
      </c>
      <c r="Y13" s="26">
        <f t="shared" si="18"/>
        <v>67.637777777777771</v>
      </c>
    </row>
    <row r="14" spans="1:25" x14ac:dyDescent="0.25">
      <c r="A14" s="24" t="s">
        <v>213</v>
      </c>
      <c r="B14" s="24" t="s">
        <v>214</v>
      </c>
      <c r="C14" s="24" t="s">
        <v>126</v>
      </c>
      <c r="D14" s="24">
        <v>2</v>
      </c>
      <c r="E14" s="24"/>
      <c r="F14" s="24"/>
      <c r="G14" s="24">
        <v>2</v>
      </c>
      <c r="H14" s="24"/>
      <c r="I14" s="24">
        <v>1</v>
      </c>
      <c r="J14" s="24"/>
      <c r="K14" s="24">
        <v>447</v>
      </c>
      <c r="L14" s="24"/>
      <c r="M14" s="24">
        <v>450</v>
      </c>
      <c r="N14" s="26">
        <v>54.457777777777778</v>
      </c>
      <c r="O14" s="24" t="s">
        <v>210</v>
      </c>
      <c r="P14" s="24">
        <f t="shared" si="9"/>
        <v>447</v>
      </c>
      <c r="Q14" s="24">
        <f t="shared" si="10"/>
        <v>0</v>
      </c>
      <c r="R14" s="24">
        <f t="shared" si="11"/>
        <v>1</v>
      </c>
      <c r="S14" s="24">
        <f t="shared" si="12"/>
        <v>2</v>
      </c>
      <c r="T14" s="24">
        <f t="shared" si="13"/>
        <v>450</v>
      </c>
      <c r="U14" s="25">
        <f t="shared" si="14"/>
        <v>0.99333333333333329</v>
      </c>
      <c r="V14" s="25">
        <f t="shared" si="15"/>
        <v>0</v>
      </c>
      <c r="W14" s="25">
        <f t="shared" si="16"/>
        <v>2.2222222222222222E-3</v>
      </c>
      <c r="X14" s="25">
        <f t="shared" si="17"/>
        <v>4.4444444444444444E-3</v>
      </c>
      <c r="Y14" s="26">
        <f t="shared" si="18"/>
        <v>54.457777777777778</v>
      </c>
    </row>
    <row r="15" spans="1:25" x14ac:dyDescent="0.25">
      <c r="A15" s="24" t="s">
        <v>213</v>
      </c>
      <c r="B15" s="24" t="s">
        <v>214</v>
      </c>
      <c r="C15" s="24" t="s">
        <v>126</v>
      </c>
      <c r="D15" s="24">
        <v>3</v>
      </c>
      <c r="E15" s="24"/>
      <c r="F15" s="24"/>
      <c r="G15" s="24"/>
      <c r="H15" s="24"/>
      <c r="I15" s="24"/>
      <c r="J15" s="24"/>
      <c r="K15" s="24">
        <v>682</v>
      </c>
      <c r="L15" s="24"/>
      <c r="M15" s="24">
        <v>682</v>
      </c>
      <c r="N15" s="26">
        <v>41.004398826979475</v>
      </c>
      <c r="O15" s="24" t="s">
        <v>210</v>
      </c>
      <c r="P15" s="24">
        <f t="shared" si="9"/>
        <v>682</v>
      </c>
      <c r="Q15" s="24">
        <f t="shared" si="10"/>
        <v>0</v>
      </c>
      <c r="R15" s="24">
        <f t="shared" si="11"/>
        <v>0</v>
      </c>
      <c r="S15" s="24">
        <f t="shared" si="12"/>
        <v>0</v>
      </c>
      <c r="T15" s="24">
        <f t="shared" si="13"/>
        <v>682</v>
      </c>
      <c r="U15" s="25">
        <f t="shared" si="14"/>
        <v>1</v>
      </c>
      <c r="V15" s="25">
        <f t="shared" si="15"/>
        <v>0</v>
      </c>
      <c r="W15" s="25">
        <f t="shared" si="16"/>
        <v>0</v>
      </c>
      <c r="X15" s="25">
        <f t="shared" si="17"/>
        <v>0</v>
      </c>
      <c r="Y15" s="26">
        <f t="shared" si="18"/>
        <v>41.004398826979475</v>
      </c>
    </row>
    <row r="16" spans="1:25" x14ac:dyDescent="0.25">
      <c r="A16" s="24" t="s">
        <v>213</v>
      </c>
      <c r="B16" s="24" t="s">
        <v>214</v>
      </c>
      <c r="C16" s="24" t="s">
        <v>126</v>
      </c>
      <c r="D16" s="24">
        <v>4</v>
      </c>
      <c r="E16" s="24">
        <v>1</v>
      </c>
      <c r="F16" s="24"/>
      <c r="G16" s="24"/>
      <c r="H16" s="24"/>
      <c r="I16" s="24"/>
      <c r="J16" s="24"/>
      <c r="K16" s="24">
        <v>682</v>
      </c>
      <c r="L16" s="24"/>
      <c r="M16" s="24">
        <v>683</v>
      </c>
      <c r="N16" s="26">
        <v>25.286969253294291</v>
      </c>
      <c r="O16" s="24" t="s">
        <v>210</v>
      </c>
      <c r="P16" s="24">
        <f t="shared" si="9"/>
        <v>682</v>
      </c>
      <c r="Q16" s="24">
        <f t="shared" si="10"/>
        <v>0</v>
      </c>
      <c r="R16" s="24">
        <f t="shared" si="11"/>
        <v>0</v>
      </c>
      <c r="S16" s="24">
        <f t="shared" si="12"/>
        <v>1</v>
      </c>
      <c r="T16" s="24">
        <f t="shared" si="13"/>
        <v>683</v>
      </c>
      <c r="U16" s="25">
        <f t="shared" si="14"/>
        <v>0.99853587115666176</v>
      </c>
      <c r="V16" s="25">
        <f t="shared" si="15"/>
        <v>0</v>
      </c>
      <c r="W16" s="25">
        <f t="shared" si="16"/>
        <v>0</v>
      </c>
      <c r="X16" s="25">
        <f t="shared" si="17"/>
        <v>1.4641288433382138E-3</v>
      </c>
      <c r="Y16" s="26">
        <f t="shared" si="18"/>
        <v>25.286969253294291</v>
      </c>
    </row>
    <row r="17" spans="1:25" x14ac:dyDescent="0.25">
      <c r="A17" s="24" t="s">
        <v>215</v>
      </c>
      <c r="B17" s="24" t="s">
        <v>216</v>
      </c>
      <c r="C17" s="24" t="s">
        <v>128</v>
      </c>
      <c r="D17" s="24">
        <v>1</v>
      </c>
      <c r="E17" s="24"/>
      <c r="F17" s="24"/>
      <c r="G17" s="24"/>
      <c r="H17" s="24">
        <v>2</v>
      </c>
      <c r="I17" s="24">
        <v>2</v>
      </c>
      <c r="J17" s="24">
        <v>1</v>
      </c>
      <c r="K17" s="24">
        <v>395</v>
      </c>
      <c r="L17" s="24"/>
      <c r="M17" s="24">
        <v>400</v>
      </c>
      <c r="N17" s="26">
        <v>64.34</v>
      </c>
      <c r="O17" s="24" t="s">
        <v>210</v>
      </c>
      <c r="P17" s="24">
        <f t="shared" si="9"/>
        <v>395</v>
      </c>
      <c r="Q17" s="24">
        <f t="shared" si="10"/>
        <v>2</v>
      </c>
      <c r="R17" s="24">
        <f t="shared" si="11"/>
        <v>2</v>
      </c>
      <c r="S17" s="24">
        <f t="shared" si="12"/>
        <v>1</v>
      </c>
      <c r="T17" s="24">
        <f t="shared" si="13"/>
        <v>400</v>
      </c>
      <c r="U17" s="25">
        <f t="shared" si="14"/>
        <v>0.98750000000000004</v>
      </c>
      <c r="V17" s="25">
        <f t="shared" si="15"/>
        <v>5.0000000000000001E-3</v>
      </c>
      <c r="W17" s="25">
        <f t="shared" si="16"/>
        <v>5.0000000000000001E-3</v>
      </c>
      <c r="X17" s="25">
        <f t="shared" si="17"/>
        <v>2.5000000000000001E-3</v>
      </c>
      <c r="Y17" s="26">
        <f t="shared" si="18"/>
        <v>64.34</v>
      </c>
    </row>
    <row r="18" spans="1:25" x14ac:dyDescent="0.25">
      <c r="A18" s="24" t="s">
        <v>215</v>
      </c>
      <c r="B18" s="24" t="s">
        <v>216</v>
      </c>
      <c r="C18" s="24" t="s">
        <v>128</v>
      </c>
      <c r="D18" s="24">
        <v>2</v>
      </c>
      <c r="E18" s="24"/>
      <c r="F18" s="24"/>
      <c r="G18" s="24">
        <v>2</v>
      </c>
      <c r="H18" s="24"/>
      <c r="I18" s="24"/>
      <c r="J18" s="24"/>
      <c r="K18" s="24">
        <v>514</v>
      </c>
      <c r="L18" s="24"/>
      <c r="M18" s="24">
        <v>516</v>
      </c>
      <c r="N18" s="26">
        <v>48.680232558139537</v>
      </c>
      <c r="O18" s="24" t="s">
        <v>210</v>
      </c>
      <c r="P18" s="24">
        <f t="shared" si="9"/>
        <v>514</v>
      </c>
      <c r="Q18" s="24">
        <f t="shared" si="10"/>
        <v>0</v>
      </c>
      <c r="R18" s="24">
        <f t="shared" si="11"/>
        <v>0</v>
      </c>
      <c r="S18" s="24">
        <f t="shared" si="12"/>
        <v>2</v>
      </c>
      <c r="T18" s="24">
        <f t="shared" si="13"/>
        <v>516</v>
      </c>
      <c r="U18" s="25">
        <f t="shared" si="14"/>
        <v>0.99612403100775193</v>
      </c>
      <c r="V18" s="25">
        <f t="shared" si="15"/>
        <v>0</v>
      </c>
      <c r="W18" s="25">
        <f t="shared" si="16"/>
        <v>0</v>
      </c>
      <c r="X18" s="25">
        <f t="shared" si="17"/>
        <v>3.875968992248062E-3</v>
      </c>
      <c r="Y18" s="26">
        <f t="shared" si="18"/>
        <v>48.680232558139537</v>
      </c>
    </row>
    <row r="19" spans="1:25" x14ac:dyDescent="0.25">
      <c r="A19" s="24" t="s">
        <v>215</v>
      </c>
      <c r="B19" s="24" t="s">
        <v>216</v>
      </c>
      <c r="C19" s="24" t="s">
        <v>128</v>
      </c>
      <c r="D19" s="24">
        <v>3</v>
      </c>
      <c r="E19" s="24"/>
      <c r="F19" s="24"/>
      <c r="G19" s="24"/>
      <c r="H19" s="24"/>
      <c r="I19" s="24">
        <v>2</v>
      </c>
      <c r="J19" s="24"/>
      <c r="K19" s="24">
        <v>514</v>
      </c>
      <c r="L19" s="24"/>
      <c r="M19" s="24">
        <v>516</v>
      </c>
      <c r="N19" s="26">
        <v>31.713178294573645</v>
      </c>
      <c r="O19" s="24" t="s">
        <v>210</v>
      </c>
      <c r="P19" s="24">
        <f t="shared" si="9"/>
        <v>514</v>
      </c>
      <c r="Q19" s="24">
        <f t="shared" si="10"/>
        <v>0</v>
      </c>
      <c r="R19" s="24">
        <f t="shared" si="11"/>
        <v>2</v>
      </c>
      <c r="S19" s="24">
        <f t="shared" si="12"/>
        <v>0</v>
      </c>
      <c r="T19" s="24">
        <f t="shared" si="13"/>
        <v>516</v>
      </c>
      <c r="U19" s="25">
        <f t="shared" si="14"/>
        <v>0.99612403100775193</v>
      </c>
      <c r="V19" s="25">
        <f t="shared" si="15"/>
        <v>0</v>
      </c>
      <c r="W19" s="25">
        <f t="shared" si="16"/>
        <v>3.875968992248062E-3</v>
      </c>
      <c r="X19" s="25">
        <f t="shared" si="17"/>
        <v>0</v>
      </c>
      <c r="Y19" s="26">
        <f t="shared" si="18"/>
        <v>31.713178294573645</v>
      </c>
    </row>
    <row r="20" spans="1:25" x14ac:dyDescent="0.25">
      <c r="A20" s="24" t="s">
        <v>215</v>
      </c>
      <c r="B20" s="24" t="s">
        <v>216</v>
      </c>
      <c r="C20" s="24" t="s">
        <v>128</v>
      </c>
      <c r="D20" s="24">
        <v>4</v>
      </c>
      <c r="E20" s="24"/>
      <c r="F20" s="24"/>
      <c r="G20" s="24"/>
      <c r="H20" s="24"/>
      <c r="I20" s="24">
        <v>1</v>
      </c>
      <c r="J20" s="24"/>
      <c r="K20" s="24">
        <v>516</v>
      </c>
      <c r="L20" s="24"/>
      <c r="M20" s="24">
        <v>517</v>
      </c>
      <c r="N20" s="26">
        <v>22.301740812379109</v>
      </c>
      <c r="O20" s="24" t="s">
        <v>210</v>
      </c>
      <c r="P20" s="24">
        <f t="shared" si="9"/>
        <v>516</v>
      </c>
      <c r="Q20" s="24">
        <f t="shared" si="10"/>
        <v>0</v>
      </c>
      <c r="R20" s="24">
        <f t="shared" si="11"/>
        <v>1</v>
      </c>
      <c r="S20" s="24">
        <f t="shared" si="12"/>
        <v>0</v>
      </c>
      <c r="T20" s="24">
        <f t="shared" si="13"/>
        <v>517</v>
      </c>
      <c r="U20" s="25">
        <f t="shared" si="14"/>
        <v>0.99806576402321079</v>
      </c>
      <c r="V20" s="25">
        <f t="shared" si="15"/>
        <v>0</v>
      </c>
      <c r="W20" s="25">
        <f t="shared" si="16"/>
        <v>1.9342359767891683E-3</v>
      </c>
      <c r="X20" s="25">
        <f t="shared" si="17"/>
        <v>0</v>
      </c>
      <c r="Y20" s="26">
        <f t="shared" si="18"/>
        <v>22.301740812379109</v>
      </c>
    </row>
    <row r="21" spans="1:25" x14ac:dyDescent="0.25">
      <c r="A21" s="24" t="s">
        <v>217</v>
      </c>
      <c r="B21" s="24" t="s">
        <v>218</v>
      </c>
      <c r="C21" s="24" t="s">
        <v>130</v>
      </c>
      <c r="D21" s="24">
        <v>1</v>
      </c>
      <c r="E21" s="24"/>
      <c r="F21" s="24"/>
      <c r="G21" s="24"/>
      <c r="H21" s="24">
        <v>284</v>
      </c>
      <c r="I21" s="24">
        <v>75</v>
      </c>
      <c r="J21" s="24"/>
      <c r="K21" s="24">
        <v>91</v>
      </c>
      <c r="L21" s="24"/>
      <c r="M21" s="24">
        <v>450</v>
      </c>
      <c r="N21" s="26">
        <v>73.333333333333329</v>
      </c>
      <c r="O21" s="24" t="s">
        <v>210</v>
      </c>
      <c r="P21" s="24">
        <f t="shared" si="9"/>
        <v>91</v>
      </c>
      <c r="Q21" s="24">
        <f t="shared" si="10"/>
        <v>284</v>
      </c>
      <c r="R21" s="24">
        <f t="shared" si="11"/>
        <v>75</v>
      </c>
      <c r="S21" s="24">
        <f t="shared" si="12"/>
        <v>0</v>
      </c>
      <c r="T21" s="24">
        <f t="shared" si="13"/>
        <v>450</v>
      </c>
      <c r="U21" s="25">
        <f t="shared" si="14"/>
        <v>0.20222222222222222</v>
      </c>
      <c r="V21" s="25">
        <f t="shared" si="15"/>
        <v>0.63111111111111107</v>
      </c>
      <c r="W21" s="25">
        <f t="shared" si="16"/>
        <v>0.16666666666666666</v>
      </c>
      <c r="X21" s="25">
        <f t="shared" si="17"/>
        <v>0</v>
      </c>
      <c r="Y21" s="26">
        <f t="shared" si="18"/>
        <v>73.333333333333329</v>
      </c>
    </row>
    <row r="22" spans="1:25" x14ac:dyDescent="0.25">
      <c r="A22" s="24" t="s">
        <v>217</v>
      </c>
      <c r="B22" s="24" t="s">
        <v>218</v>
      </c>
      <c r="C22" s="24" t="s">
        <v>130</v>
      </c>
      <c r="D22" s="24">
        <v>2</v>
      </c>
      <c r="E22" s="24"/>
      <c r="F22" s="24"/>
      <c r="G22" s="24"/>
      <c r="H22" s="24">
        <v>291</v>
      </c>
      <c r="I22" s="24">
        <v>62</v>
      </c>
      <c r="J22" s="24">
        <v>3</v>
      </c>
      <c r="K22" s="24">
        <v>94</v>
      </c>
      <c r="L22" s="24"/>
      <c r="M22" s="24">
        <v>450</v>
      </c>
      <c r="N22" s="26">
        <v>65.599999999999994</v>
      </c>
      <c r="O22" s="24" t="s">
        <v>210</v>
      </c>
      <c r="P22" s="24">
        <f t="shared" si="9"/>
        <v>94</v>
      </c>
      <c r="Q22" s="24">
        <f t="shared" si="10"/>
        <v>291</v>
      </c>
      <c r="R22" s="24">
        <f t="shared" si="11"/>
        <v>62</v>
      </c>
      <c r="S22" s="24">
        <f t="shared" si="12"/>
        <v>3</v>
      </c>
      <c r="T22" s="24">
        <f t="shared" si="13"/>
        <v>450</v>
      </c>
      <c r="U22" s="25">
        <f t="shared" si="14"/>
        <v>0.2088888888888889</v>
      </c>
      <c r="V22" s="25">
        <f t="shared" si="15"/>
        <v>0.64666666666666661</v>
      </c>
      <c r="W22" s="25">
        <f t="shared" si="16"/>
        <v>0.13777777777777778</v>
      </c>
      <c r="X22" s="25">
        <f t="shared" si="17"/>
        <v>6.6666666666666671E-3</v>
      </c>
      <c r="Y22" s="26">
        <f t="shared" si="18"/>
        <v>65.599999999999994</v>
      </c>
    </row>
    <row r="23" spans="1:25" x14ac:dyDescent="0.25">
      <c r="A23" s="24" t="s">
        <v>217</v>
      </c>
      <c r="B23" s="24" t="s">
        <v>218</v>
      </c>
      <c r="C23" s="24" t="s">
        <v>130</v>
      </c>
      <c r="D23" s="24">
        <v>3</v>
      </c>
      <c r="E23" s="24"/>
      <c r="F23" s="24"/>
      <c r="G23" s="24"/>
      <c r="H23" s="24">
        <v>245</v>
      </c>
      <c r="I23" s="24">
        <v>58</v>
      </c>
      <c r="J23" s="24">
        <v>2</v>
      </c>
      <c r="K23" s="24">
        <v>145</v>
      </c>
      <c r="L23" s="24"/>
      <c r="M23" s="24">
        <v>450</v>
      </c>
      <c r="N23" s="26">
        <v>56.666666666666664</v>
      </c>
      <c r="O23" s="24" t="s">
        <v>210</v>
      </c>
      <c r="P23" s="24">
        <f t="shared" si="9"/>
        <v>145</v>
      </c>
      <c r="Q23" s="24">
        <f t="shared" si="10"/>
        <v>245</v>
      </c>
      <c r="R23" s="24">
        <f t="shared" si="11"/>
        <v>58</v>
      </c>
      <c r="S23" s="24">
        <f t="shared" si="12"/>
        <v>2</v>
      </c>
      <c r="T23" s="24">
        <f t="shared" si="13"/>
        <v>450</v>
      </c>
      <c r="U23" s="25">
        <f t="shared" si="14"/>
        <v>0.32222222222222224</v>
      </c>
      <c r="V23" s="25">
        <f t="shared" si="15"/>
        <v>0.5444444444444444</v>
      </c>
      <c r="W23" s="25">
        <f t="shared" si="16"/>
        <v>0.12888888888888889</v>
      </c>
      <c r="X23" s="25">
        <f t="shared" si="17"/>
        <v>4.4444444444444444E-3</v>
      </c>
      <c r="Y23" s="26">
        <f t="shared" si="18"/>
        <v>56.666666666666664</v>
      </c>
    </row>
    <row r="24" spans="1:25" x14ac:dyDescent="0.25">
      <c r="A24" s="24" t="s">
        <v>217</v>
      </c>
      <c r="B24" s="24" t="s">
        <v>218</v>
      </c>
      <c r="C24" s="24" t="s">
        <v>130</v>
      </c>
      <c r="D24" s="24">
        <v>4</v>
      </c>
      <c r="E24" s="24"/>
      <c r="F24" s="24">
        <v>1</v>
      </c>
      <c r="G24" s="24">
        <v>2</v>
      </c>
      <c r="H24" s="24">
        <v>325</v>
      </c>
      <c r="I24" s="24">
        <v>87</v>
      </c>
      <c r="J24" s="24">
        <v>3</v>
      </c>
      <c r="K24" s="24">
        <v>192</v>
      </c>
      <c r="L24" s="24"/>
      <c r="M24" s="24">
        <v>610</v>
      </c>
      <c r="N24" s="26">
        <v>46.14590163934426</v>
      </c>
      <c r="O24" s="24" t="s">
        <v>210</v>
      </c>
      <c r="P24" s="24">
        <f t="shared" si="9"/>
        <v>192</v>
      </c>
      <c r="Q24" s="24">
        <f t="shared" si="10"/>
        <v>325</v>
      </c>
      <c r="R24" s="24">
        <f t="shared" si="11"/>
        <v>87</v>
      </c>
      <c r="S24" s="24">
        <f t="shared" si="12"/>
        <v>6</v>
      </c>
      <c r="T24" s="24">
        <f t="shared" si="13"/>
        <v>610</v>
      </c>
      <c r="U24" s="25">
        <f t="shared" si="14"/>
        <v>0.31475409836065577</v>
      </c>
      <c r="V24" s="25">
        <f t="shared" si="15"/>
        <v>0.53278688524590168</v>
      </c>
      <c r="W24" s="25">
        <f t="shared" si="16"/>
        <v>0.14262295081967213</v>
      </c>
      <c r="X24" s="25">
        <f t="shared" si="17"/>
        <v>9.8360655737704927E-3</v>
      </c>
      <c r="Y24" s="26">
        <f t="shared" si="18"/>
        <v>46.14590163934426</v>
      </c>
    </row>
    <row r="25" spans="1:25" x14ac:dyDescent="0.25">
      <c r="A25" s="24" t="s">
        <v>217</v>
      </c>
      <c r="B25" s="24" t="s">
        <v>218</v>
      </c>
      <c r="C25" s="24" t="s">
        <v>130</v>
      </c>
      <c r="D25" s="24">
        <v>5</v>
      </c>
      <c r="E25" s="24"/>
      <c r="F25" s="24"/>
      <c r="G25" s="24"/>
      <c r="H25" s="24">
        <v>295</v>
      </c>
      <c r="I25" s="24">
        <v>88</v>
      </c>
      <c r="J25" s="24">
        <v>2</v>
      </c>
      <c r="K25" s="24">
        <v>224</v>
      </c>
      <c r="L25" s="24">
        <v>1</v>
      </c>
      <c r="M25" s="24">
        <v>610</v>
      </c>
      <c r="N25" s="26">
        <v>35.149180327868855</v>
      </c>
      <c r="O25" s="24" t="s">
        <v>210</v>
      </c>
      <c r="P25" s="24">
        <f t="shared" si="9"/>
        <v>224</v>
      </c>
      <c r="Q25" s="24">
        <f t="shared" si="10"/>
        <v>295</v>
      </c>
      <c r="R25" s="24">
        <f t="shared" si="11"/>
        <v>88</v>
      </c>
      <c r="S25" s="24">
        <f t="shared" si="12"/>
        <v>3</v>
      </c>
      <c r="T25" s="24">
        <f t="shared" si="13"/>
        <v>610</v>
      </c>
      <c r="U25" s="25">
        <f t="shared" si="14"/>
        <v>0.36721311475409835</v>
      </c>
      <c r="V25" s="25">
        <f t="shared" si="15"/>
        <v>0.48360655737704916</v>
      </c>
      <c r="W25" s="25">
        <f t="shared" si="16"/>
        <v>0.14426229508196722</v>
      </c>
      <c r="X25" s="25">
        <f t="shared" si="17"/>
        <v>4.9180327868852463E-3</v>
      </c>
      <c r="Y25" s="26">
        <f t="shared" si="18"/>
        <v>35.149180327868855</v>
      </c>
    </row>
    <row r="26" spans="1:25" x14ac:dyDescent="0.25">
      <c r="A26" s="24" t="s">
        <v>217</v>
      </c>
      <c r="B26" s="24" t="s">
        <v>218</v>
      </c>
      <c r="C26" s="24" t="s">
        <v>130</v>
      </c>
      <c r="D26" s="24">
        <v>6</v>
      </c>
      <c r="E26" s="24"/>
      <c r="F26" s="24"/>
      <c r="G26" s="24">
        <v>1</v>
      </c>
      <c r="H26" s="24">
        <v>218</v>
      </c>
      <c r="I26" s="24">
        <v>114</v>
      </c>
      <c r="J26" s="24"/>
      <c r="K26" s="24">
        <v>279</v>
      </c>
      <c r="L26" s="24"/>
      <c r="M26" s="24">
        <v>612</v>
      </c>
      <c r="N26" s="26">
        <v>24.284313725490197</v>
      </c>
      <c r="O26" s="24" t="s">
        <v>210</v>
      </c>
      <c r="P26" s="24">
        <f t="shared" si="9"/>
        <v>279</v>
      </c>
      <c r="Q26" s="24">
        <f t="shared" si="10"/>
        <v>218</v>
      </c>
      <c r="R26" s="24">
        <f t="shared" si="11"/>
        <v>114</v>
      </c>
      <c r="S26" s="24">
        <f t="shared" si="12"/>
        <v>1</v>
      </c>
      <c r="T26" s="24">
        <f t="shared" si="13"/>
        <v>612</v>
      </c>
      <c r="U26" s="25">
        <f t="shared" si="14"/>
        <v>0.45588235294117646</v>
      </c>
      <c r="V26" s="25">
        <f t="shared" si="15"/>
        <v>0.3562091503267974</v>
      </c>
      <c r="W26" s="25">
        <f t="shared" si="16"/>
        <v>0.18627450980392157</v>
      </c>
      <c r="X26" s="25">
        <f t="shared" si="17"/>
        <v>1.6339869281045752E-3</v>
      </c>
      <c r="Y26" s="26">
        <f t="shared" si="18"/>
        <v>24.284313725490197</v>
      </c>
    </row>
    <row r="27" spans="1:25" x14ac:dyDescent="0.25">
      <c r="A27" s="24" t="s">
        <v>219</v>
      </c>
      <c r="B27" s="24" t="s">
        <v>220</v>
      </c>
      <c r="C27" s="24" t="s">
        <v>132</v>
      </c>
      <c r="D27" s="24">
        <v>1</v>
      </c>
      <c r="E27" s="24"/>
      <c r="F27" s="24"/>
      <c r="G27" s="24"/>
      <c r="H27" s="24">
        <v>57</v>
      </c>
      <c r="I27" s="24">
        <v>93</v>
      </c>
      <c r="J27" s="24">
        <v>1</v>
      </c>
      <c r="K27" s="24">
        <v>299</v>
      </c>
      <c r="L27" s="24"/>
      <c r="M27" s="24">
        <v>450</v>
      </c>
      <c r="N27" s="26">
        <v>62.313333333333333</v>
      </c>
      <c r="O27" s="24" t="s">
        <v>210</v>
      </c>
      <c r="P27" s="24">
        <f t="shared" ref="P27:P33" si="19">K27</f>
        <v>299</v>
      </c>
      <c r="Q27" s="24">
        <f t="shared" ref="Q27:R33" si="20">H27</f>
        <v>57</v>
      </c>
      <c r="R27" s="24">
        <f t="shared" si="20"/>
        <v>93</v>
      </c>
      <c r="S27" s="24">
        <f t="shared" ref="S27:S33" si="21">M27-SUM(P27:R27)</f>
        <v>1</v>
      </c>
      <c r="T27" s="24">
        <f t="shared" ref="T27:T33" si="22">SUM(P27:S27)</f>
        <v>450</v>
      </c>
      <c r="U27" s="25">
        <f t="shared" ref="U27:U33" si="23">P27/M27</f>
        <v>0.66444444444444439</v>
      </c>
      <c r="V27" s="25">
        <f t="shared" ref="V27:V33" si="24">Q27/M27</f>
        <v>0.12666666666666668</v>
      </c>
      <c r="W27" s="25">
        <f t="shared" ref="W27:W33" si="25">R27/M27</f>
        <v>0.20666666666666667</v>
      </c>
      <c r="X27" s="25">
        <f t="shared" ref="X27:X33" si="26">S27/M27</f>
        <v>2.2222222222222222E-3</v>
      </c>
      <c r="Y27" s="26">
        <f t="shared" ref="Y27:Y33" si="27">N27</f>
        <v>62.313333333333333</v>
      </c>
    </row>
    <row r="28" spans="1:25" x14ac:dyDescent="0.25">
      <c r="A28" s="24" t="s">
        <v>219</v>
      </c>
      <c r="B28" s="24" t="s">
        <v>220</v>
      </c>
      <c r="C28" s="24" t="s">
        <v>132</v>
      </c>
      <c r="D28" s="24">
        <v>2</v>
      </c>
      <c r="E28" s="24"/>
      <c r="F28" s="24">
        <v>2</v>
      </c>
      <c r="G28" s="24">
        <v>12</v>
      </c>
      <c r="H28" s="24">
        <v>55</v>
      </c>
      <c r="I28" s="24">
        <v>67</v>
      </c>
      <c r="J28" s="24">
        <v>2</v>
      </c>
      <c r="K28" s="24">
        <v>311</v>
      </c>
      <c r="L28" s="24">
        <v>1</v>
      </c>
      <c r="M28" s="24">
        <v>450</v>
      </c>
      <c r="N28" s="26">
        <v>53.346666666666664</v>
      </c>
      <c r="O28" s="24" t="s">
        <v>210</v>
      </c>
      <c r="P28" s="24">
        <f t="shared" si="19"/>
        <v>311</v>
      </c>
      <c r="Q28" s="24">
        <f t="shared" si="20"/>
        <v>55</v>
      </c>
      <c r="R28" s="24">
        <f t="shared" si="20"/>
        <v>67</v>
      </c>
      <c r="S28" s="24">
        <f t="shared" si="21"/>
        <v>17</v>
      </c>
      <c r="T28" s="24">
        <f t="shared" si="22"/>
        <v>450</v>
      </c>
      <c r="U28" s="25">
        <f t="shared" si="23"/>
        <v>0.69111111111111112</v>
      </c>
      <c r="V28" s="25">
        <f t="shared" si="24"/>
        <v>0.12222222222222222</v>
      </c>
      <c r="W28" s="25">
        <f t="shared" si="25"/>
        <v>0.14888888888888888</v>
      </c>
      <c r="X28" s="25">
        <f t="shared" si="26"/>
        <v>3.7777777777777778E-2</v>
      </c>
      <c r="Y28" s="26">
        <f t="shared" si="27"/>
        <v>53.346666666666664</v>
      </c>
    </row>
    <row r="29" spans="1:25" x14ac:dyDescent="0.25">
      <c r="A29" s="24" t="s">
        <v>219</v>
      </c>
      <c r="B29" s="24" t="s">
        <v>220</v>
      </c>
      <c r="C29" s="24" t="s">
        <v>132</v>
      </c>
      <c r="D29" s="24">
        <v>3</v>
      </c>
      <c r="E29" s="24"/>
      <c r="F29" s="24">
        <v>6</v>
      </c>
      <c r="G29" s="24">
        <v>62</v>
      </c>
      <c r="H29" s="24">
        <v>58</v>
      </c>
      <c r="I29" s="24">
        <v>70</v>
      </c>
      <c r="J29" s="24"/>
      <c r="K29" s="24">
        <v>459</v>
      </c>
      <c r="L29" s="24"/>
      <c r="M29" s="24">
        <v>655</v>
      </c>
      <c r="N29" s="26">
        <v>44.938931297709921</v>
      </c>
      <c r="O29" s="24" t="s">
        <v>210</v>
      </c>
      <c r="P29" s="24">
        <f t="shared" si="19"/>
        <v>459</v>
      </c>
      <c r="Q29" s="24">
        <f t="shared" si="20"/>
        <v>58</v>
      </c>
      <c r="R29" s="24">
        <f t="shared" si="20"/>
        <v>70</v>
      </c>
      <c r="S29" s="24">
        <f t="shared" si="21"/>
        <v>68</v>
      </c>
      <c r="T29" s="24">
        <f t="shared" si="22"/>
        <v>655</v>
      </c>
      <c r="U29" s="25">
        <f t="shared" si="23"/>
        <v>0.70076335877862594</v>
      </c>
      <c r="V29" s="25">
        <f t="shared" si="24"/>
        <v>8.8549618320610687E-2</v>
      </c>
      <c r="W29" s="25">
        <f t="shared" si="25"/>
        <v>0.10687022900763359</v>
      </c>
      <c r="X29" s="25">
        <f t="shared" si="26"/>
        <v>0.10381679389312977</v>
      </c>
      <c r="Y29" s="26">
        <f t="shared" si="27"/>
        <v>44.938931297709921</v>
      </c>
    </row>
    <row r="30" spans="1:25" x14ac:dyDescent="0.25">
      <c r="A30" s="24" t="s">
        <v>219</v>
      </c>
      <c r="B30" s="24" t="s">
        <v>220</v>
      </c>
      <c r="C30" s="24" t="s">
        <v>132</v>
      </c>
      <c r="D30" s="24">
        <v>4</v>
      </c>
      <c r="E30" s="24">
        <v>2</v>
      </c>
      <c r="F30" s="24">
        <v>7</v>
      </c>
      <c r="G30" s="24">
        <v>48</v>
      </c>
      <c r="H30" s="24">
        <v>64</v>
      </c>
      <c r="I30" s="24">
        <v>56</v>
      </c>
      <c r="J30" s="24"/>
      <c r="K30" s="24">
        <v>478</v>
      </c>
      <c r="L30" s="24"/>
      <c r="M30" s="24">
        <v>655</v>
      </c>
      <c r="N30" s="26">
        <v>39.96030534351145</v>
      </c>
      <c r="O30" s="24" t="s">
        <v>210</v>
      </c>
      <c r="P30" s="24">
        <f t="shared" si="19"/>
        <v>478</v>
      </c>
      <c r="Q30" s="24">
        <f t="shared" si="20"/>
        <v>64</v>
      </c>
      <c r="R30" s="24">
        <f t="shared" si="20"/>
        <v>56</v>
      </c>
      <c r="S30" s="24">
        <f t="shared" si="21"/>
        <v>57</v>
      </c>
      <c r="T30" s="24">
        <f t="shared" si="22"/>
        <v>655</v>
      </c>
      <c r="U30" s="25">
        <f t="shared" si="23"/>
        <v>0.72977099236641219</v>
      </c>
      <c r="V30" s="25">
        <f t="shared" si="24"/>
        <v>9.7709923664122136E-2</v>
      </c>
      <c r="W30" s="25">
        <f t="shared" si="25"/>
        <v>8.5496183206106871E-2</v>
      </c>
      <c r="X30" s="25">
        <f t="shared" si="26"/>
        <v>8.7022900763358779E-2</v>
      </c>
      <c r="Y30" s="26">
        <f t="shared" si="27"/>
        <v>39.96030534351145</v>
      </c>
    </row>
    <row r="31" spans="1:25" x14ac:dyDescent="0.25">
      <c r="A31" s="24" t="s">
        <v>219</v>
      </c>
      <c r="B31" s="24" t="s">
        <v>220</v>
      </c>
      <c r="C31" s="24" t="s">
        <v>132</v>
      </c>
      <c r="D31" s="24">
        <v>5</v>
      </c>
      <c r="E31" s="24">
        <v>3</v>
      </c>
      <c r="F31" s="24">
        <v>6</v>
      </c>
      <c r="G31" s="24">
        <v>23</v>
      </c>
      <c r="H31" s="24">
        <v>50</v>
      </c>
      <c r="I31" s="24">
        <v>62</v>
      </c>
      <c r="J31" s="24">
        <v>3</v>
      </c>
      <c r="K31" s="24">
        <v>508</v>
      </c>
      <c r="L31" s="24"/>
      <c r="M31" s="24">
        <v>655</v>
      </c>
      <c r="N31" s="26">
        <v>35.503816793893129</v>
      </c>
      <c r="O31" s="24" t="s">
        <v>210</v>
      </c>
      <c r="P31" s="24">
        <f t="shared" si="19"/>
        <v>508</v>
      </c>
      <c r="Q31" s="24">
        <f t="shared" si="20"/>
        <v>50</v>
      </c>
      <c r="R31" s="24">
        <f t="shared" si="20"/>
        <v>62</v>
      </c>
      <c r="S31" s="24">
        <f t="shared" si="21"/>
        <v>35</v>
      </c>
      <c r="T31" s="24">
        <f t="shared" si="22"/>
        <v>655</v>
      </c>
      <c r="U31" s="25">
        <f t="shared" si="23"/>
        <v>0.77557251908396951</v>
      </c>
      <c r="V31" s="25">
        <f t="shared" si="24"/>
        <v>7.6335877862595422E-2</v>
      </c>
      <c r="W31" s="25">
        <f t="shared" si="25"/>
        <v>9.465648854961832E-2</v>
      </c>
      <c r="X31" s="25">
        <f t="shared" si="26"/>
        <v>5.3435114503816793E-2</v>
      </c>
      <c r="Y31" s="26">
        <f t="shared" si="27"/>
        <v>35.503816793893129</v>
      </c>
    </row>
    <row r="32" spans="1:25" x14ac:dyDescent="0.25">
      <c r="A32" s="24" t="s">
        <v>219</v>
      </c>
      <c r="B32" s="24" t="s">
        <v>220</v>
      </c>
      <c r="C32" s="24" t="s">
        <v>132</v>
      </c>
      <c r="D32" s="24">
        <v>6</v>
      </c>
      <c r="E32" s="24">
        <v>4</v>
      </c>
      <c r="F32" s="24">
        <v>1</v>
      </c>
      <c r="G32" s="24">
        <v>4</v>
      </c>
      <c r="H32" s="24">
        <v>102</v>
      </c>
      <c r="I32" s="24">
        <v>81</v>
      </c>
      <c r="J32" s="24">
        <v>1</v>
      </c>
      <c r="K32" s="24">
        <v>461</v>
      </c>
      <c r="L32" s="24">
        <v>1</v>
      </c>
      <c r="M32" s="24">
        <v>655</v>
      </c>
      <c r="N32" s="26">
        <v>29.531297709923663</v>
      </c>
      <c r="O32" s="24" t="s">
        <v>210</v>
      </c>
      <c r="P32" s="24">
        <f t="shared" si="19"/>
        <v>461</v>
      </c>
      <c r="Q32" s="24">
        <f t="shared" si="20"/>
        <v>102</v>
      </c>
      <c r="R32" s="24">
        <f t="shared" si="20"/>
        <v>81</v>
      </c>
      <c r="S32" s="24">
        <f t="shared" si="21"/>
        <v>11</v>
      </c>
      <c r="T32" s="24">
        <f t="shared" si="22"/>
        <v>655</v>
      </c>
      <c r="U32" s="25">
        <f t="shared" si="23"/>
        <v>0.70381679389312979</v>
      </c>
      <c r="V32" s="25">
        <f t="shared" si="24"/>
        <v>0.15572519083969466</v>
      </c>
      <c r="W32" s="25">
        <f t="shared" si="25"/>
        <v>0.12366412213740458</v>
      </c>
      <c r="X32" s="25">
        <f t="shared" si="26"/>
        <v>1.6793893129770993E-2</v>
      </c>
      <c r="Y32" s="26">
        <f t="shared" si="27"/>
        <v>29.531297709923663</v>
      </c>
    </row>
    <row r="33" spans="1:25" x14ac:dyDescent="0.25">
      <c r="A33" s="24" t="s">
        <v>219</v>
      </c>
      <c r="B33" s="24" t="s">
        <v>220</v>
      </c>
      <c r="C33" s="24" t="s">
        <v>132</v>
      </c>
      <c r="D33" s="24">
        <v>7</v>
      </c>
      <c r="E33" s="24"/>
      <c r="F33" s="24"/>
      <c r="G33" s="24">
        <v>12</v>
      </c>
      <c r="H33" s="24">
        <v>72</v>
      </c>
      <c r="I33" s="24">
        <v>106</v>
      </c>
      <c r="J33" s="24"/>
      <c r="K33" s="24">
        <v>465</v>
      </c>
      <c r="L33" s="24"/>
      <c r="M33" s="24">
        <v>655</v>
      </c>
      <c r="N33" s="26">
        <v>21.908396946564885</v>
      </c>
      <c r="O33" s="24" t="s">
        <v>210</v>
      </c>
      <c r="P33" s="24">
        <f t="shared" si="19"/>
        <v>465</v>
      </c>
      <c r="Q33" s="24">
        <f t="shared" si="20"/>
        <v>72</v>
      </c>
      <c r="R33" s="24">
        <f t="shared" si="20"/>
        <v>106</v>
      </c>
      <c r="S33" s="24">
        <f t="shared" si="21"/>
        <v>12</v>
      </c>
      <c r="T33" s="24">
        <f t="shared" si="22"/>
        <v>655</v>
      </c>
      <c r="U33" s="25">
        <f t="shared" si="23"/>
        <v>0.70992366412213737</v>
      </c>
      <c r="V33" s="25">
        <f t="shared" si="24"/>
        <v>0.1099236641221374</v>
      </c>
      <c r="W33" s="25">
        <f t="shared" si="25"/>
        <v>0.16183206106870229</v>
      </c>
      <c r="X33" s="25">
        <f t="shared" si="26"/>
        <v>1.8320610687022901E-2</v>
      </c>
      <c r="Y33" s="26">
        <f t="shared" si="27"/>
        <v>21.908396946564885</v>
      </c>
    </row>
    <row r="34" spans="1:25" x14ac:dyDescent="0.25">
      <c r="A34" s="24" t="s">
        <v>219</v>
      </c>
      <c r="B34" s="24" t="s">
        <v>220</v>
      </c>
      <c r="C34" s="24" t="s">
        <v>133</v>
      </c>
      <c r="D34" s="24">
        <v>1</v>
      </c>
      <c r="E34" s="24"/>
      <c r="F34" s="24">
        <v>1</v>
      </c>
      <c r="G34" s="24"/>
      <c r="H34" s="24">
        <v>28</v>
      </c>
      <c r="I34" s="24">
        <v>110</v>
      </c>
      <c r="J34" s="24">
        <v>7</v>
      </c>
      <c r="K34" s="24">
        <v>254</v>
      </c>
      <c r="L34" s="24"/>
      <c r="M34" s="24">
        <v>400</v>
      </c>
      <c r="N34" s="26">
        <v>65.1875</v>
      </c>
      <c r="O34" s="24" t="s">
        <v>210</v>
      </c>
      <c r="P34" s="24">
        <f t="shared" si="9"/>
        <v>254</v>
      </c>
      <c r="Q34" s="24">
        <f t="shared" si="10"/>
        <v>28</v>
      </c>
      <c r="R34" s="24">
        <f t="shared" si="11"/>
        <v>110</v>
      </c>
      <c r="S34" s="24">
        <f t="shared" si="12"/>
        <v>8</v>
      </c>
      <c r="T34" s="24">
        <f t="shared" si="13"/>
        <v>400</v>
      </c>
      <c r="U34" s="25">
        <f t="shared" si="14"/>
        <v>0.63500000000000001</v>
      </c>
      <c r="V34" s="25">
        <f t="shared" si="15"/>
        <v>7.0000000000000007E-2</v>
      </c>
      <c r="W34" s="25">
        <f t="shared" si="16"/>
        <v>0.27500000000000002</v>
      </c>
      <c r="X34" s="25">
        <f t="shared" si="17"/>
        <v>0.02</v>
      </c>
      <c r="Y34" s="26">
        <f t="shared" si="18"/>
        <v>65.1875</v>
      </c>
    </row>
    <row r="35" spans="1:25" x14ac:dyDescent="0.25">
      <c r="A35" s="24" t="s">
        <v>219</v>
      </c>
      <c r="B35" s="24" t="s">
        <v>220</v>
      </c>
      <c r="C35" s="24" t="s">
        <v>133</v>
      </c>
      <c r="D35" s="24">
        <v>2</v>
      </c>
      <c r="E35" s="24"/>
      <c r="F35" s="24"/>
      <c r="G35" s="24"/>
      <c r="H35" s="24">
        <v>58</v>
      </c>
      <c r="I35" s="24">
        <v>121</v>
      </c>
      <c r="J35" s="24"/>
      <c r="K35" s="24">
        <v>239</v>
      </c>
      <c r="L35" s="24">
        <v>1</v>
      </c>
      <c r="M35" s="24">
        <v>419</v>
      </c>
      <c r="N35" s="26">
        <v>42.923627684964202</v>
      </c>
      <c r="O35" s="24" t="s">
        <v>210</v>
      </c>
      <c r="P35" s="24">
        <f t="shared" si="9"/>
        <v>239</v>
      </c>
      <c r="Q35" s="24">
        <f t="shared" si="10"/>
        <v>58</v>
      </c>
      <c r="R35" s="24">
        <f t="shared" si="11"/>
        <v>121</v>
      </c>
      <c r="S35" s="24">
        <f t="shared" si="12"/>
        <v>1</v>
      </c>
      <c r="T35" s="24">
        <f t="shared" si="13"/>
        <v>419</v>
      </c>
      <c r="U35" s="25">
        <f t="shared" si="14"/>
        <v>0.57040572792362765</v>
      </c>
      <c r="V35" s="25">
        <f t="shared" si="15"/>
        <v>0.13842482100238662</v>
      </c>
      <c r="W35" s="25">
        <f t="shared" si="16"/>
        <v>0.28878281622911695</v>
      </c>
      <c r="X35" s="25">
        <f t="shared" si="17"/>
        <v>2.3866348448687352E-3</v>
      </c>
      <c r="Y35" s="26">
        <f t="shared" si="18"/>
        <v>42.923627684964202</v>
      </c>
    </row>
    <row r="36" spans="1:25" x14ac:dyDescent="0.25">
      <c r="A36" s="24" t="s">
        <v>219</v>
      </c>
      <c r="B36" s="24" t="s">
        <v>220</v>
      </c>
      <c r="C36" s="24" t="s">
        <v>133</v>
      </c>
      <c r="D36" s="24">
        <v>3</v>
      </c>
      <c r="E36" s="24"/>
      <c r="F36" s="24"/>
      <c r="G36" s="24"/>
      <c r="H36" s="24">
        <v>44</v>
      </c>
      <c r="I36" s="24">
        <v>78</v>
      </c>
      <c r="J36" s="24"/>
      <c r="K36" s="24">
        <v>297</v>
      </c>
      <c r="L36" s="24"/>
      <c r="M36" s="24">
        <v>419</v>
      </c>
      <c r="N36" s="26">
        <v>24.29832935560859</v>
      </c>
      <c r="O36" s="24" t="s">
        <v>210</v>
      </c>
      <c r="P36" s="24">
        <f t="shared" si="9"/>
        <v>297</v>
      </c>
      <c r="Q36" s="24">
        <f t="shared" si="10"/>
        <v>44</v>
      </c>
      <c r="R36" s="24">
        <f t="shared" si="11"/>
        <v>78</v>
      </c>
      <c r="S36" s="24">
        <f t="shared" si="12"/>
        <v>0</v>
      </c>
      <c r="T36" s="24">
        <f t="shared" si="13"/>
        <v>419</v>
      </c>
      <c r="U36" s="25">
        <f t="shared" si="14"/>
        <v>0.70883054892601427</v>
      </c>
      <c r="V36" s="25">
        <f t="shared" si="15"/>
        <v>0.10501193317422435</v>
      </c>
      <c r="W36" s="25">
        <f t="shared" si="16"/>
        <v>0.18615751789976134</v>
      </c>
      <c r="X36" s="25">
        <f t="shared" si="17"/>
        <v>0</v>
      </c>
      <c r="Y36" s="26">
        <f t="shared" si="18"/>
        <v>24.29832935560859</v>
      </c>
    </row>
    <row r="37" spans="1:25" x14ac:dyDescent="0.25">
      <c r="A37" s="24" t="s">
        <v>221</v>
      </c>
      <c r="B37" s="24" t="s">
        <v>222</v>
      </c>
      <c r="C37" s="24" t="s">
        <v>135</v>
      </c>
      <c r="D37" s="24">
        <v>1</v>
      </c>
      <c r="E37" s="24"/>
      <c r="F37" s="24"/>
      <c r="G37" s="24"/>
      <c r="H37" s="24">
        <v>1</v>
      </c>
      <c r="I37" s="24"/>
      <c r="J37" s="24"/>
      <c r="K37" s="24">
        <v>449</v>
      </c>
      <c r="L37" s="24"/>
      <c r="M37" s="24">
        <v>450</v>
      </c>
      <c r="N37" s="26">
        <v>65.708888888888893</v>
      </c>
      <c r="O37" s="24" t="s">
        <v>210</v>
      </c>
      <c r="P37" s="24">
        <f t="shared" si="9"/>
        <v>449</v>
      </c>
      <c r="Q37" s="24">
        <f t="shared" si="10"/>
        <v>1</v>
      </c>
      <c r="R37" s="24">
        <f t="shared" si="11"/>
        <v>0</v>
      </c>
      <c r="S37" s="24">
        <f t="shared" si="12"/>
        <v>0</v>
      </c>
      <c r="T37" s="24">
        <f t="shared" si="13"/>
        <v>450</v>
      </c>
      <c r="U37" s="25">
        <f t="shared" si="14"/>
        <v>0.99777777777777776</v>
      </c>
      <c r="V37" s="25">
        <f t="shared" si="15"/>
        <v>2.2222222222222222E-3</v>
      </c>
      <c r="W37" s="25">
        <f t="shared" si="16"/>
        <v>0</v>
      </c>
      <c r="X37" s="25">
        <f t="shared" si="17"/>
        <v>0</v>
      </c>
      <c r="Y37" s="26">
        <f t="shared" si="18"/>
        <v>65.708888888888893</v>
      </c>
    </row>
    <row r="38" spans="1:25" x14ac:dyDescent="0.25">
      <c r="A38" s="24" t="s">
        <v>221</v>
      </c>
      <c r="B38" s="24" t="s">
        <v>222</v>
      </c>
      <c r="C38" s="24" t="s">
        <v>135</v>
      </c>
      <c r="D38" s="24">
        <v>2</v>
      </c>
      <c r="E38" s="24"/>
      <c r="F38" s="24"/>
      <c r="G38" s="24"/>
      <c r="H38" s="24">
        <v>1</v>
      </c>
      <c r="I38" s="24">
        <v>1</v>
      </c>
      <c r="J38" s="24"/>
      <c r="K38" s="24">
        <v>448</v>
      </c>
      <c r="L38" s="24"/>
      <c r="M38" s="24">
        <v>450</v>
      </c>
      <c r="N38" s="26">
        <v>59.82</v>
      </c>
      <c r="O38" s="24" t="s">
        <v>210</v>
      </c>
      <c r="P38" s="24">
        <f t="shared" si="9"/>
        <v>448</v>
      </c>
      <c r="Q38" s="24">
        <f t="shared" si="10"/>
        <v>1</v>
      </c>
      <c r="R38" s="24">
        <f t="shared" si="11"/>
        <v>1</v>
      </c>
      <c r="S38" s="24">
        <f t="shared" si="12"/>
        <v>0</v>
      </c>
      <c r="T38" s="24">
        <f t="shared" si="13"/>
        <v>450</v>
      </c>
      <c r="U38" s="25">
        <f t="shared" si="14"/>
        <v>0.99555555555555553</v>
      </c>
      <c r="V38" s="25">
        <f t="shared" si="15"/>
        <v>2.2222222222222222E-3</v>
      </c>
      <c r="W38" s="25">
        <f t="shared" si="16"/>
        <v>2.2222222222222222E-3</v>
      </c>
      <c r="X38" s="25">
        <f t="shared" si="17"/>
        <v>0</v>
      </c>
      <c r="Y38" s="26">
        <f t="shared" si="18"/>
        <v>59.82</v>
      </c>
    </row>
    <row r="39" spans="1:25" x14ac:dyDescent="0.25">
      <c r="A39" s="24" t="s">
        <v>221</v>
      </c>
      <c r="B39" s="24" t="s">
        <v>222</v>
      </c>
      <c r="C39" s="24" t="s">
        <v>135</v>
      </c>
      <c r="D39" s="24">
        <v>3</v>
      </c>
      <c r="E39" s="24"/>
      <c r="F39" s="24"/>
      <c r="G39" s="24"/>
      <c r="H39" s="24"/>
      <c r="I39" s="24">
        <v>1</v>
      </c>
      <c r="J39" s="24">
        <v>1</v>
      </c>
      <c r="K39" s="24">
        <v>698</v>
      </c>
      <c r="L39" s="24"/>
      <c r="M39" s="24">
        <v>700</v>
      </c>
      <c r="N39" s="26">
        <v>42.042857142857144</v>
      </c>
      <c r="O39" s="24" t="s">
        <v>210</v>
      </c>
      <c r="P39" s="24">
        <f t="shared" si="9"/>
        <v>698</v>
      </c>
      <c r="Q39" s="24">
        <f t="shared" si="10"/>
        <v>0</v>
      </c>
      <c r="R39" s="24">
        <f t="shared" si="11"/>
        <v>1</v>
      </c>
      <c r="S39" s="24">
        <f t="shared" si="12"/>
        <v>1</v>
      </c>
      <c r="T39" s="24">
        <f t="shared" si="13"/>
        <v>700</v>
      </c>
      <c r="U39" s="25">
        <f t="shared" si="14"/>
        <v>0.99714285714285711</v>
      </c>
      <c r="V39" s="25">
        <f t="shared" si="15"/>
        <v>0</v>
      </c>
      <c r="W39" s="25">
        <f t="shared" si="16"/>
        <v>1.4285714285714286E-3</v>
      </c>
      <c r="X39" s="25">
        <f t="shared" si="17"/>
        <v>1.4285714285714286E-3</v>
      </c>
      <c r="Y39" s="26">
        <f t="shared" si="18"/>
        <v>42.042857142857144</v>
      </c>
    </row>
    <row r="40" spans="1:25" x14ac:dyDescent="0.25">
      <c r="A40" s="24" t="s">
        <v>221</v>
      </c>
      <c r="B40" s="24" t="s">
        <v>222</v>
      </c>
      <c r="C40" s="24" t="s">
        <v>135</v>
      </c>
      <c r="D40" s="24">
        <v>4</v>
      </c>
      <c r="E40" s="24"/>
      <c r="F40" s="24"/>
      <c r="G40" s="24"/>
      <c r="H40" s="24"/>
      <c r="I40" s="24"/>
      <c r="J40" s="24"/>
      <c r="K40" s="24">
        <v>700</v>
      </c>
      <c r="L40" s="24"/>
      <c r="M40" s="24">
        <v>700</v>
      </c>
      <c r="N40" s="26">
        <v>35.767142857142858</v>
      </c>
      <c r="O40" s="24" t="s">
        <v>210</v>
      </c>
      <c r="P40" s="24">
        <f t="shared" si="9"/>
        <v>700</v>
      </c>
      <c r="Q40" s="24">
        <f t="shared" si="10"/>
        <v>0</v>
      </c>
      <c r="R40" s="24">
        <f t="shared" si="11"/>
        <v>0</v>
      </c>
      <c r="S40" s="24">
        <f t="shared" si="12"/>
        <v>0</v>
      </c>
      <c r="T40" s="24">
        <f t="shared" si="13"/>
        <v>700</v>
      </c>
      <c r="U40" s="25">
        <f t="shared" si="14"/>
        <v>1</v>
      </c>
      <c r="V40" s="25">
        <f t="shared" si="15"/>
        <v>0</v>
      </c>
      <c r="W40" s="25">
        <f t="shared" si="16"/>
        <v>0</v>
      </c>
      <c r="X40" s="25">
        <f t="shared" si="17"/>
        <v>0</v>
      </c>
      <c r="Y40" s="26">
        <f t="shared" si="18"/>
        <v>35.767142857142858</v>
      </c>
    </row>
    <row r="41" spans="1:25" x14ac:dyDescent="0.25">
      <c r="A41" s="24" t="s">
        <v>221</v>
      </c>
      <c r="B41" s="24" t="s">
        <v>222</v>
      </c>
      <c r="C41" s="24" t="s">
        <v>135</v>
      </c>
      <c r="D41" s="24">
        <v>5</v>
      </c>
      <c r="E41" s="24"/>
      <c r="F41" s="24"/>
      <c r="G41" s="24"/>
      <c r="H41" s="24"/>
      <c r="I41" s="24"/>
      <c r="J41" s="24"/>
      <c r="K41" s="24">
        <v>703</v>
      </c>
      <c r="L41" s="24"/>
      <c r="M41" s="24">
        <v>703</v>
      </c>
      <c r="N41" s="26">
        <v>26.460881934566146</v>
      </c>
      <c r="O41" s="24" t="s">
        <v>210</v>
      </c>
      <c r="P41" s="24">
        <f t="shared" si="9"/>
        <v>703</v>
      </c>
      <c r="Q41" s="24">
        <f t="shared" si="10"/>
        <v>0</v>
      </c>
      <c r="R41" s="24">
        <f t="shared" si="11"/>
        <v>0</v>
      </c>
      <c r="S41" s="24">
        <f t="shared" si="12"/>
        <v>0</v>
      </c>
      <c r="T41" s="24">
        <f t="shared" si="13"/>
        <v>703</v>
      </c>
      <c r="U41" s="25">
        <f t="shared" si="14"/>
        <v>1</v>
      </c>
      <c r="V41" s="25">
        <f t="shared" si="15"/>
        <v>0</v>
      </c>
      <c r="W41" s="25">
        <f t="shared" si="16"/>
        <v>0</v>
      </c>
      <c r="X41" s="25">
        <f t="shared" si="17"/>
        <v>0</v>
      </c>
      <c r="Y41" s="26">
        <f t="shared" si="18"/>
        <v>26.460881934566146</v>
      </c>
    </row>
    <row r="42" spans="1:25" x14ac:dyDescent="0.25">
      <c r="A42" s="24" t="s">
        <v>221</v>
      </c>
      <c r="B42" s="24" t="s">
        <v>222</v>
      </c>
      <c r="C42" s="24" t="s">
        <v>136</v>
      </c>
      <c r="D42" s="24">
        <v>1</v>
      </c>
      <c r="E42" s="24"/>
      <c r="F42" s="24">
        <v>1</v>
      </c>
      <c r="G42" s="24"/>
      <c r="H42" s="24"/>
      <c r="I42" s="24">
        <v>1</v>
      </c>
      <c r="J42" s="24"/>
      <c r="K42" s="24">
        <v>448</v>
      </c>
      <c r="L42" s="24"/>
      <c r="M42" s="24">
        <v>450</v>
      </c>
      <c r="N42" s="26">
        <v>65.413333333333327</v>
      </c>
      <c r="O42" s="24" t="s">
        <v>210</v>
      </c>
      <c r="P42" s="24">
        <f t="shared" si="9"/>
        <v>448</v>
      </c>
      <c r="Q42" s="24">
        <f t="shared" si="10"/>
        <v>0</v>
      </c>
      <c r="R42" s="24">
        <f t="shared" si="11"/>
        <v>1</v>
      </c>
      <c r="S42" s="24">
        <f t="shared" si="12"/>
        <v>1</v>
      </c>
      <c r="T42" s="24">
        <f t="shared" si="13"/>
        <v>450</v>
      </c>
      <c r="U42" s="25">
        <f t="shared" si="14"/>
        <v>0.99555555555555553</v>
      </c>
      <c r="V42" s="25">
        <f t="shared" si="15"/>
        <v>0</v>
      </c>
      <c r="W42" s="25">
        <f t="shared" si="16"/>
        <v>2.2222222222222222E-3</v>
      </c>
      <c r="X42" s="25">
        <f t="shared" si="17"/>
        <v>2.2222222222222222E-3</v>
      </c>
      <c r="Y42" s="26">
        <f t="shared" si="18"/>
        <v>65.413333333333327</v>
      </c>
    </row>
    <row r="43" spans="1:25" x14ac:dyDescent="0.25">
      <c r="A43" s="24" t="s">
        <v>221</v>
      </c>
      <c r="B43" s="24" t="s">
        <v>222</v>
      </c>
      <c r="C43" s="24" t="s">
        <v>136</v>
      </c>
      <c r="D43" s="24">
        <v>2</v>
      </c>
      <c r="E43" s="24"/>
      <c r="F43" s="24">
        <v>1</v>
      </c>
      <c r="G43" s="24"/>
      <c r="H43" s="24"/>
      <c r="I43" s="24">
        <v>3</v>
      </c>
      <c r="J43" s="24"/>
      <c r="K43" s="24">
        <v>446</v>
      </c>
      <c r="L43" s="24"/>
      <c r="M43" s="24">
        <v>450</v>
      </c>
      <c r="N43" s="26">
        <v>54.415555555555557</v>
      </c>
      <c r="O43" s="24" t="s">
        <v>210</v>
      </c>
      <c r="P43" s="24">
        <f t="shared" si="9"/>
        <v>446</v>
      </c>
      <c r="Q43" s="24">
        <f t="shared" si="10"/>
        <v>0</v>
      </c>
      <c r="R43" s="24">
        <f t="shared" si="11"/>
        <v>3</v>
      </c>
      <c r="S43" s="24">
        <f t="shared" si="12"/>
        <v>1</v>
      </c>
      <c r="T43" s="24">
        <f t="shared" si="13"/>
        <v>450</v>
      </c>
      <c r="U43" s="25">
        <f t="shared" si="14"/>
        <v>0.99111111111111116</v>
      </c>
      <c r="V43" s="25">
        <f t="shared" si="15"/>
        <v>0</v>
      </c>
      <c r="W43" s="25">
        <f t="shared" si="16"/>
        <v>6.6666666666666671E-3</v>
      </c>
      <c r="X43" s="25">
        <f t="shared" si="17"/>
        <v>2.2222222222222222E-3</v>
      </c>
      <c r="Y43" s="26">
        <f t="shared" si="18"/>
        <v>54.415555555555557</v>
      </c>
    </row>
    <row r="44" spans="1:25" x14ac:dyDescent="0.25">
      <c r="A44" s="24" t="s">
        <v>221</v>
      </c>
      <c r="B44" s="24" t="s">
        <v>222</v>
      </c>
      <c r="C44" s="24" t="s">
        <v>136</v>
      </c>
      <c r="D44" s="24">
        <v>3</v>
      </c>
      <c r="E44" s="24"/>
      <c r="F44" s="24"/>
      <c r="G44" s="24"/>
      <c r="H44" s="24"/>
      <c r="I44" s="24">
        <v>3</v>
      </c>
      <c r="J44" s="24"/>
      <c r="K44" s="24">
        <v>593</v>
      </c>
      <c r="L44" s="24"/>
      <c r="M44" s="24">
        <v>596</v>
      </c>
      <c r="N44" s="26">
        <v>39.416107382550337</v>
      </c>
      <c r="O44" s="24" t="s">
        <v>210</v>
      </c>
      <c r="P44" s="24">
        <f t="shared" si="9"/>
        <v>593</v>
      </c>
      <c r="Q44" s="24">
        <f t="shared" si="10"/>
        <v>0</v>
      </c>
      <c r="R44" s="24">
        <f t="shared" si="11"/>
        <v>3</v>
      </c>
      <c r="S44" s="24">
        <f t="shared" si="12"/>
        <v>0</v>
      </c>
      <c r="T44" s="24">
        <f t="shared" si="13"/>
        <v>596</v>
      </c>
      <c r="U44" s="25">
        <f t="shared" si="14"/>
        <v>0.99496644295302017</v>
      </c>
      <c r="V44" s="25">
        <f t="shared" si="15"/>
        <v>0</v>
      </c>
      <c r="W44" s="25">
        <f t="shared" si="16"/>
        <v>5.0335570469798654E-3</v>
      </c>
      <c r="X44" s="25">
        <f t="shared" si="17"/>
        <v>0</v>
      </c>
      <c r="Y44" s="26">
        <f t="shared" si="18"/>
        <v>39.416107382550337</v>
      </c>
    </row>
    <row r="45" spans="1:25" x14ac:dyDescent="0.25">
      <c r="A45" s="24" t="s">
        <v>221</v>
      </c>
      <c r="B45" s="24" t="s">
        <v>222</v>
      </c>
      <c r="C45" s="24" t="s">
        <v>136</v>
      </c>
      <c r="D45" s="24">
        <v>4</v>
      </c>
      <c r="E45" s="24"/>
      <c r="F45" s="24"/>
      <c r="G45" s="24"/>
      <c r="H45" s="24"/>
      <c r="I45" s="24"/>
      <c r="J45" s="24"/>
      <c r="K45" s="24">
        <v>596</v>
      </c>
      <c r="L45" s="24"/>
      <c r="M45" s="24">
        <v>596</v>
      </c>
      <c r="N45" s="26">
        <v>33.645973154362416</v>
      </c>
      <c r="O45" s="24" t="s">
        <v>210</v>
      </c>
      <c r="P45" s="24">
        <f t="shared" si="9"/>
        <v>596</v>
      </c>
      <c r="Q45" s="24">
        <f t="shared" si="10"/>
        <v>0</v>
      </c>
      <c r="R45" s="24">
        <f t="shared" si="11"/>
        <v>0</v>
      </c>
      <c r="S45" s="24">
        <f t="shared" si="12"/>
        <v>0</v>
      </c>
      <c r="T45" s="24">
        <f t="shared" si="13"/>
        <v>596</v>
      </c>
      <c r="U45" s="25">
        <f t="shared" si="14"/>
        <v>1</v>
      </c>
      <c r="V45" s="25">
        <f t="shared" si="15"/>
        <v>0</v>
      </c>
      <c r="W45" s="25">
        <f t="shared" si="16"/>
        <v>0</v>
      </c>
      <c r="X45" s="25">
        <f t="shared" si="17"/>
        <v>0</v>
      </c>
      <c r="Y45" s="26">
        <f t="shared" si="18"/>
        <v>33.645973154362416</v>
      </c>
    </row>
    <row r="46" spans="1:25" x14ac:dyDescent="0.25">
      <c r="A46" s="24" t="s">
        <v>221</v>
      </c>
      <c r="B46" s="24" t="s">
        <v>222</v>
      </c>
      <c r="C46" s="24" t="s">
        <v>136</v>
      </c>
      <c r="D46" s="24">
        <v>5</v>
      </c>
      <c r="E46" s="24"/>
      <c r="F46" s="24"/>
      <c r="G46" s="24"/>
      <c r="H46" s="24"/>
      <c r="I46" s="24"/>
      <c r="J46" s="24"/>
      <c r="K46" s="24">
        <v>596</v>
      </c>
      <c r="L46" s="24"/>
      <c r="M46" s="24">
        <v>596</v>
      </c>
      <c r="N46" s="26">
        <v>25.10234899328859</v>
      </c>
      <c r="O46" s="24" t="s">
        <v>210</v>
      </c>
      <c r="P46" s="24">
        <f t="shared" si="9"/>
        <v>596</v>
      </c>
      <c r="Q46" s="24">
        <f t="shared" si="10"/>
        <v>0</v>
      </c>
      <c r="R46" s="24">
        <f t="shared" si="11"/>
        <v>0</v>
      </c>
      <c r="S46" s="24">
        <f t="shared" si="12"/>
        <v>0</v>
      </c>
      <c r="T46" s="24">
        <f t="shared" si="13"/>
        <v>596</v>
      </c>
      <c r="U46" s="25">
        <f t="shared" si="14"/>
        <v>1</v>
      </c>
      <c r="V46" s="25">
        <f t="shared" si="15"/>
        <v>0</v>
      </c>
      <c r="W46" s="25">
        <f t="shared" si="16"/>
        <v>0</v>
      </c>
      <c r="X46" s="25">
        <f t="shared" si="17"/>
        <v>0</v>
      </c>
      <c r="Y46" s="26">
        <f t="shared" si="18"/>
        <v>25.10234899328859</v>
      </c>
    </row>
    <row r="47" spans="1:25" x14ac:dyDescent="0.25">
      <c r="A47" s="24" t="s">
        <v>223</v>
      </c>
      <c r="B47" s="24" t="s">
        <v>224</v>
      </c>
      <c r="C47" s="24" t="s">
        <v>138</v>
      </c>
      <c r="D47" s="24">
        <v>1</v>
      </c>
      <c r="E47" s="24"/>
      <c r="F47" s="24"/>
      <c r="G47" s="24"/>
      <c r="H47" s="24">
        <v>6</v>
      </c>
      <c r="I47" s="24">
        <v>31</v>
      </c>
      <c r="J47" s="24">
        <v>1</v>
      </c>
      <c r="K47" s="24">
        <v>412</v>
      </c>
      <c r="L47" s="24"/>
      <c r="M47" s="24">
        <v>450</v>
      </c>
      <c r="N47" s="26">
        <v>67.433333333333337</v>
      </c>
      <c r="O47" s="24" t="s">
        <v>210</v>
      </c>
      <c r="P47" s="24">
        <f t="shared" si="9"/>
        <v>412</v>
      </c>
      <c r="Q47" s="24">
        <f t="shared" si="10"/>
        <v>6</v>
      </c>
      <c r="R47" s="24">
        <f t="shared" si="11"/>
        <v>31</v>
      </c>
      <c r="S47" s="24">
        <f t="shared" si="12"/>
        <v>1</v>
      </c>
      <c r="T47" s="24">
        <f t="shared" si="13"/>
        <v>450</v>
      </c>
      <c r="U47" s="25">
        <f t="shared" si="14"/>
        <v>0.91555555555555557</v>
      </c>
      <c r="V47" s="25">
        <f t="shared" si="15"/>
        <v>1.3333333333333334E-2</v>
      </c>
      <c r="W47" s="25">
        <f t="shared" si="16"/>
        <v>6.8888888888888888E-2</v>
      </c>
      <c r="X47" s="25">
        <f t="shared" si="17"/>
        <v>2.2222222222222222E-3</v>
      </c>
      <c r="Y47" s="26">
        <f t="shared" si="18"/>
        <v>67.433333333333337</v>
      </c>
    </row>
    <row r="48" spans="1:25" x14ac:dyDescent="0.25">
      <c r="A48" s="24" t="s">
        <v>223</v>
      </c>
      <c r="B48" s="24" t="s">
        <v>224</v>
      </c>
      <c r="C48" s="24" t="s">
        <v>138</v>
      </c>
      <c r="D48" s="24">
        <v>2</v>
      </c>
      <c r="E48" s="24"/>
      <c r="F48" s="24"/>
      <c r="G48" s="24">
        <v>2</v>
      </c>
      <c r="H48" s="24">
        <v>2</v>
      </c>
      <c r="I48" s="24">
        <v>23</v>
      </c>
      <c r="J48" s="24"/>
      <c r="K48" s="24">
        <v>550</v>
      </c>
      <c r="L48" s="24"/>
      <c r="M48" s="24">
        <v>577</v>
      </c>
      <c r="N48" s="26">
        <v>50.641247833622181</v>
      </c>
      <c r="O48" s="24" t="s">
        <v>210</v>
      </c>
      <c r="P48" s="24">
        <f t="shared" si="9"/>
        <v>550</v>
      </c>
      <c r="Q48" s="24">
        <f t="shared" si="10"/>
        <v>2</v>
      </c>
      <c r="R48" s="24">
        <f t="shared" si="11"/>
        <v>23</v>
      </c>
      <c r="S48" s="24">
        <f t="shared" si="12"/>
        <v>2</v>
      </c>
      <c r="T48" s="24">
        <f t="shared" si="13"/>
        <v>577</v>
      </c>
      <c r="U48" s="25">
        <f t="shared" si="14"/>
        <v>0.95320623916811087</v>
      </c>
      <c r="V48" s="25">
        <f t="shared" si="15"/>
        <v>3.4662045060658577E-3</v>
      </c>
      <c r="W48" s="25">
        <f t="shared" si="16"/>
        <v>3.9861351819757362E-2</v>
      </c>
      <c r="X48" s="25">
        <f t="shared" si="17"/>
        <v>3.4662045060658577E-3</v>
      </c>
      <c r="Y48" s="26">
        <f t="shared" si="18"/>
        <v>50.641247833622181</v>
      </c>
    </row>
    <row r="49" spans="1:25" x14ac:dyDescent="0.25">
      <c r="A49" s="24" t="s">
        <v>223</v>
      </c>
      <c r="B49" s="24" t="s">
        <v>224</v>
      </c>
      <c r="C49" s="24" t="s">
        <v>138</v>
      </c>
      <c r="D49" s="24">
        <v>3</v>
      </c>
      <c r="E49" s="24"/>
      <c r="F49" s="24"/>
      <c r="G49" s="24"/>
      <c r="H49" s="24"/>
      <c r="I49" s="24">
        <v>27</v>
      </c>
      <c r="J49" s="24"/>
      <c r="K49" s="24">
        <v>550</v>
      </c>
      <c r="L49" s="24"/>
      <c r="M49" s="24">
        <v>577</v>
      </c>
      <c r="N49" s="26">
        <v>38.126516464471401</v>
      </c>
      <c r="O49" s="24" t="s">
        <v>210</v>
      </c>
      <c r="P49" s="24">
        <f t="shared" si="9"/>
        <v>550</v>
      </c>
      <c r="Q49" s="24">
        <f t="shared" si="10"/>
        <v>0</v>
      </c>
      <c r="R49" s="24">
        <f t="shared" si="11"/>
        <v>27</v>
      </c>
      <c r="S49" s="24">
        <f t="shared" si="12"/>
        <v>0</v>
      </c>
      <c r="T49" s="24">
        <f t="shared" si="13"/>
        <v>577</v>
      </c>
      <c r="U49" s="25">
        <f t="shared" si="14"/>
        <v>0.95320623916811087</v>
      </c>
      <c r="V49" s="25">
        <f t="shared" si="15"/>
        <v>0</v>
      </c>
      <c r="W49" s="25">
        <f t="shared" si="16"/>
        <v>4.6793760831889082E-2</v>
      </c>
      <c r="X49" s="25">
        <f t="shared" si="17"/>
        <v>0</v>
      </c>
      <c r="Y49" s="26">
        <f t="shared" si="18"/>
        <v>38.126516464471401</v>
      </c>
    </row>
    <row r="50" spans="1:25" x14ac:dyDescent="0.25">
      <c r="A50" s="24" t="s">
        <v>223</v>
      </c>
      <c r="B50" s="24" t="s">
        <v>224</v>
      </c>
      <c r="C50" s="24" t="s">
        <v>138</v>
      </c>
      <c r="D50" s="24">
        <v>4</v>
      </c>
      <c r="E50" s="24"/>
      <c r="F50" s="24"/>
      <c r="G50" s="24"/>
      <c r="H50" s="24"/>
      <c r="I50" s="24">
        <v>29</v>
      </c>
      <c r="J50" s="24"/>
      <c r="K50" s="24">
        <v>549</v>
      </c>
      <c r="L50" s="24"/>
      <c r="M50" s="24">
        <v>578</v>
      </c>
      <c r="N50" s="26">
        <v>23.80968858131488</v>
      </c>
      <c r="O50" s="24" t="s">
        <v>210</v>
      </c>
      <c r="P50" s="24">
        <f t="shared" si="9"/>
        <v>549</v>
      </c>
      <c r="Q50" s="24">
        <f t="shared" si="10"/>
        <v>0</v>
      </c>
      <c r="R50" s="24">
        <f t="shared" si="11"/>
        <v>29</v>
      </c>
      <c r="S50" s="24">
        <f t="shared" si="12"/>
        <v>0</v>
      </c>
      <c r="T50" s="24">
        <f t="shared" si="13"/>
        <v>578</v>
      </c>
      <c r="U50" s="25">
        <f t="shared" si="14"/>
        <v>0.94982698961937717</v>
      </c>
      <c r="V50" s="25">
        <f t="shared" si="15"/>
        <v>0</v>
      </c>
      <c r="W50" s="25">
        <f t="shared" si="16"/>
        <v>5.0173010380622836E-2</v>
      </c>
      <c r="X50" s="25">
        <f t="shared" si="17"/>
        <v>0</v>
      </c>
      <c r="Y50" s="26">
        <f t="shared" si="18"/>
        <v>23.80968858131488</v>
      </c>
    </row>
    <row r="51" spans="1:25" x14ac:dyDescent="0.25">
      <c r="A51" s="24" t="s">
        <v>225</v>
      </c>
      <c r="B51" s="24" t="s">
        <v>226</v>
      </c>
      <c r="C51" s="24" t="s">
        <v>140</v>
      </c>
      <c r="D51" s="24">
        <v>1</v>
      </c>
      <c r="E51" s="24"/>
      <c r="F51" s="24"/>
      <c r="G51" s="24"/>
      <c r="H51" s="24">
        <v>173</v>
      </c>
      <c r="I51" s="24">
        <v>39</v>
      </c>
      <c r="J51" s="24"/>
      <c r="K51" s="24">
        <v>238</v>
      </c>
      <c r="L51" s="24"/>
      <c r="M51" s="24">
        <v>450</v>
      </c>
      <c r="N51" s="26">
        <v>69.426666666666662</v>
      </c>
      <c r="O51" s="24" t="s">
        <v>210</v>
      </c>
      <c r="P51" s="24">
        <f t="shared" si="9"/>
        <v>238</v>
      </c>
      <c r="Q51" s="24">
        <f t="shared" si="10"/>
        <v>173</v>
      </c>
      <c r="R51" s="24">
        <f t="shared" si="11"/>
        <v>39</v>
      </c>
      <c r="S51" s="24">
        <f t="shared" si="12"/>
        <v>0</v>
      </c>
      <c r="T51" s="24">
        <f t="shared" si="13"/>
        <v>450</v>
      </c>
      <c r="U51" s="25">
        <f t="shared" si="14"/>
        <v>0.52888888888888885</v>
      </c>
      <c r="V51" s="25">
        <f t="shared" si="15"/>
        <v>0.38444444444444442</v>
      </c>
      <c r="W51" s="25">
        <f t="shared" si="16"/>
        <v>8.666666666666667E-2</v>
      </c>
      <c r="X51" s="25">
        <f t="shared" si="17"/>
        <v>0</v>
      </c>
      <c r="Y51" s="26">
        <f t="shared" si="18"/>
        <v>69.426666666666662</v>
      </c>
    </row>
    <row r="52" spans="1:25" x14ac:dyDescent="0.25">
      <c r="A52" s="24" t="s">
        <v>225</v>
      </c>
      <c r="B52" s="24" t="s">
        <v>226</v>
      </c>
      <c r="C52" s="24" t="s">
        <v>140</v>
      </c>
      <c r="D52" s="24">
        <v>2</v>
      </c>
      <c r="E52" s="24"/>
      <c r="F52" s="24"/>
      <c r="G52" s="24"/>
      <c r="H52" s="24">
        <v>132</v>
      </c>
      <c r="I52" s="24">
        <v>33</v>
      </c>
      <c r="J52" s="24"/>
      <c r="K52" s="24">
        <v>285</v>
      </c>
      <c r="L52" s="24"/>
      <c r="M52" s="24">
        <v>450</v>
      </c>
      <c r="N52" s="26">
        <v>57.966666666666669</v>
      </c>
      <c r="O52" s="24" t="s">
        <v>210</v>
      </c>
      <c r="P52" s="24">
        <f t="shared" si="9"/>
        <v>285</v>
      </c>
      <c r="Q52" s="24">
        <f t="shared" si="10"/>
        <v>132</v>
      </c>
      <c r="R52" s="24">
        <f t="shared" si="11"/>
        <v>33</v>
      </c>
      <c r="S52" s="24">
        <f t="shared" si="12"/>
        <v>0</v>
      </c>
      <c r="T52" s="24">
        <f t="shared" si="13"/>
        <v>450</v>
      </c>
      <c r="U52" s="25">
        <f t="shared" si="14"/>
        <v>0.6333333333333333</v>
      </c>
      <c r="V52" s="25">
        <f t="shared" si="15"/>
        <v>0.29333333333333333</v>
      </c>
      <c r="W52" s="25">
        <f t="shared" si="16"/>
        <v>7.3333333333333334E-2</v>
      </c>
      <c r="X52" s="25">
        <f t="shared" si="17"/>
        <v>0</v>
      </c>
      <c r="Y52" s="26">
        <f t="shared" si="18"/>
        <v>57.966666666666669</v>
      </c>
    </row>
    <row r="53" spans="1:25" x14ac:dyDescent="0.25">
      <c r="A53" s="24" t="s">
        <v>225</v>
      </c>
      <c r="B53" s="24" t="s">
        <v>226</v>
      </c>
      <c r="C53" s="24" t="s">
        <v>140</v>
      </c>
      <c r="D53" s="24">
        <v>3</v>
      </c>
      <c r="E53" s="24"/>
      <c r="F53" s="24"/>
      <c r="G53" s="24"/>
      <c r="H53" s="24">
        <v>149</v>
      </c>
      <c r="I53" s="24">
        <v>62</v>
      </c>
      <c r="J53" s="24"/>
      <c r="K53" s="24">
        <v>296</v>
      </c>
      <c r="L53" s="24"/>
      <c r="M53" s="24">
        <v>507</v>
      </c>
      <c r="N53" s="26">
        <v>44.426035502958577</v>
      </c>
      <c r="O53" s="24" t="s">
        <v>210</v>
      </c>
      <c r="P53" s="24">
        <f t="shared" si="9"/>
        <v>296</v>
      </c>
      <c r="Q53" s="24">
        <f t="shared" si="10"/>
        <v>149</v>
      </c>
      <c r="R53" s="24">
        <f t="shared" si="11"/>
        <v>62</v>
      </c>
      <c r="S53" s="24">
        <f t="shared" si="12"/>
        <v>0</v>
      </c>
      <c r="T53" s="24">
        <f t="shared" si="13"/>
        <v>507</v>
      </c>
      <c r="U53" s="25">
        <f t="shared" si="14"/>
        <v>0.58382642998027612</v>
      </c>
      <c r="V53" s="25">
        <f t="shared" si="15"/>
        <v>0.29388560157790927</v>
      </c>
      <c r="W53" s="25">
        <f t="shared" si="16"/>
        <v>0.1222879684418146</v>
      </c>
      <c r="X53" s="25">
        <f t="shared" si="17"/>
        <v>0</v>
      </c>
      <c r="Y53" s="26">
        <f t="shared" si="18"/>
        <v>44.426035502958577</v>
      </c>
    </row>
    <row r="54" spans="1:25" x14ac:dyDescent="0.25">
      <c r="A54" s="24" t="s">
        <v>225</v>
      </c>
      <c r="B54" s="24" t="s">
        <v>226</v>
      </c>
      <c r="C54" s="24" t="s">
        <v>140</v>
      </c>
      <c r="D54" s="24">
        <v>4</v>
      </c>
      <c r="E54" s="24"/>
      <c r="F54" s="24"/>
      <c r="G54" s="24"/>
      <c r="H54" s="24">
        <v>151</v>
      </c>
      <c r="I54" s="24">
        <v>60</v>
      </c>
      <c r="J54" s="24"/>
      <c r="K54" s="24">
        <v>296</v>
      </c>
      <c r="L54" s="24"/>
      <c r="M54" s="24">
        <v>507</v>
      </c>
      <c r="N54" s="26">
        <v>33.956607495069036</v>
      </c>
      <c r="O54" s="24" t="s">
        <v>210</v>
      </c>
      <c r="P54" s="24">
        <f t="shared" si="9"/>
        <v>296</v>
      </c>
      <c r="Q54" s="24">
        <f t="shared" si="10"/>
        <v>151</v>
      </c>
      <c r="R54" s="24">
        <f t="shared" si="11"/>
        <v>60</v>
      </c>
      <c r="S54" s="24">
        <f t="shared" si="12"/>
        <v>0</v>
      </c>
      <c r="T54" s="24">
        <f t="shared" si="13"/>
        <v>507</v>
      </c>
      <c r="U54" s="25">
        <f t="shared" si="14"/>
        <v>0.58382642998027612</v>
      </c>
      <c r="V54" s="25">
        <f t="shared" si="15"/>
        <v>0.2978303747534517</v>
      </c>
      <c r="W54" s="25">
        <f t="shared" si="16"/>
        <v>0.11834319526627218</v>
      </c>
      <c r="X54" s="25">
        <f t="shared" si="17"/>
        <v>0</v>
      </c>
      <c r="Y54" s="26">
        <f t="shared" si="18"/>
        <v>33.956607495069036</v>
      </c>
    </row>
    <row r="55" spans="1:25" x14ac:dyDescent="0.25">
      <c r="A55" s="24" t="s">
        <v>225</v>
      </c>
      <c r="B55" s="24" t="s">
        <v>226</v>
      </c>
      <c r="C55" s="24" t="s">
        <v>140</v>
      </c>
      <c r="D55" s="24">
        <v>5</v>
      </c>
      <c r="E55" s="24"/>
      <c r="F55" s="24"/>
      <c r="G55" s="24"/>
      <c r="H55" s="24">
        <v>133</v>
      </c>
      <c r="I55" s="24">
        <v>63</v>
      </c>
      <c r="J55" s="24"/>
      <c r="K55" s="24">
        <v>312</v>
      </c>
      <c r="L55" s="24"/>
      <c r="M55" s="24">
        <v>508</v>
      </c>
      <c r="N55" s="26">
        <v>23.761811023622048</v>
      </c>
      <c r="O55" s="24" t="s">
        <v>210</v>
      </c>
      <c r="P55" s="24">
        <f t="shared" si="9"/>
        <v>312</v>
      </c>
      <c r="Q55" s="24">
        <f t="shared" si="10"/>
        <v>133</v>
      </c>
      <c r="R55" s="24">
        <f t="shared" si="11"/>
        <v>63</v>
      </c>
      <c r="S55" s="24">
        <f t="shared" si="12"/>
        <v>0</v>
      </c>
      <c r="T55" s="24">
        <f t="shared" si="13"/>
        <v>508</v>
      </c>
      <c r="U55" s="25">
        <f t="shared" si="14"/>
        <v>0.61417322834645671</v>
      </c>
      <c r="V55" s="25">
        <f t="shared" si="15"/>
        <v>0.26181102362204722</v>
      </c>
      <c r="W55" s="25">
        <f t="shared" si="16"/>
        <v>0.12401574803149606</v>
      </c>
      <c r="X55" s="25">
        <f t="shared" si="17"/>
        <v>0</v>
      </c>
      <c r="Y55" s="26">
        <f t="shared" si="18"/>
        <v>23.761811023622048</v>
      </c>
    </row>
    <row r="56" spans="1:25" x14ac:dyDescent="0.25">
      <c r="A56" s="24" t="s">
        <v>227</v>
      </c>
      <c r="B56" s="24" t="s">
        <v>228</v>
      </c>
      <c r="C56" s="24" t="s">
        <v>142</v>
      </c>
      <c r="D56" s="24">
        <v>1</v>
      </c>
      <c r="E56" s="24"/>
      <c r="F56" s="24"/>
      <c r="G56" s="24"/>
      <c r="H56" s="24">
        <v>262</v>
      </c>
      <c r="I56" s="24">
        <v>129</v>
      </c>
      <c r="J56" s="24">
        <v>1</v>
      </c>
      <c r="K56" s="24">
        <v>58</v>
      </c>
      <c r="L56" s="24"/>
      <c r="M56" s="24">
        <v>450</v>
      </c>
      <c r="N56" s="26">
        <v>67.751111111111115</v>
      </c>
      <c r="O56" s="24" t="s">
        <v>210</v>
      </c>
      <c r="P56" s="24">
        <f t="shared" ref="P56:P61" si="28">K56</f>
        <v>58</v>
      </c>
      <c r="Q56" s="24">
        <f t="shared" ref="Q56:R61" si="29">H56</f>
        <v>262</v>
      </c>
      <c r="R56" s="24">
        <f t="shared" si="29"/>
        <v>129</v>
      </c>
      <c r="S56" s="24">
        <f t="shared" ref="S56:S61" si="30">M56-SUM(P56:R56)</f>
        <v>1</v>
      </c>
      <c r="T56" s="24">
        <f t="shared" ref="T56:T61" si="31">SUM(P56:S56)</f>
        <v>450</v>
      </c>
      <c r="U56" s="25">
        <f t="shared" ref="U56:U61" si="32">P56/M56</f>
        <v>0.12888888888888889</v>
      </c>
      <c r="V56" s="25">
        <f t="shared" ref="V56:V61" si="33">Q56/M56</f>
        <v>0.5822222222222222</v>
      </c>
      <c r="W56" s="25">
        <f t="shared" ref="W56:W61" si="34">R56/M56</f>
        <v>0.28666666666666668</v>
      </c>
      <c r="X56" s="25">
        <f t="shared" ref="X56:X61" si="35">S56/M56</f>
        <v>2.2222222222222222E-3</v>
      </c>
      <c r="Y56" s="26">
        <f t="shared" ref="Y56:Y61" si="36">N56</f>
        <v>67.751111111111115</v>
      </c>
    </row>
    <row r="57" spans="1:25" x14ac:dyDescent="0.25">
      <c r="A57" s="24" t="s">
        <v>227</v>
      </c>
      <c r="B57" s="24" t="s">
        <v>228</v>
      </c>
      <c r="C57" s="24" t="s">
        <v>142</v>
      </c>
      <c r="D57" s="24">
        <v>2</v>
      </c>
      <c r="E57" s="24"/>
      <c r="F57" s="24"/>
      <c r="G57" s="24"/>
      <c r="H57" s="24">
        <v>244</v>
      </c>
      <c r="I57" s="24">
        <v>132</v>
      </c>
      <c r="J57" s="24"/>
      <c r="K57" s="24">
        <v>74</v>
      </c>
      <c r="L57" s="24"/>
      <c r="M57" s="24">
        <v>450</v>
      </c>
      <c r="N57" s="26">
        <v>58.617777777777775</v>
      </c>
      <c r="O57" s="24" t="s">
        <v>210</v>
      </c>
      <c r="P57" s="24">
        <f t="shared" si="28"/>
        <v>74</v>
      </c>
      <c r="Q57" s="24">
        <f t="shared" si="29"/>
        <v>244</v>
      </c>
      <c r="R57" s="24">
        <f t="shared" si="29"/>
        <v>132</v>
      </c>
      <c r="S57" s="24">
        <f t="shared" si="30"/>
        <v>0</v>
      </c>
      <c r="T57" s="24">
        <f t="shared" si="31"/>
        <v>450</v>
      </c>
      <c r="U57" s="25">
        <f t="shared" si="32"/>
        <v>0.16444444444444445</v>
      </c>
      <c r="V57" s="25">
        <f t="shared" si="33"/>
        <v>0.54222222222222227</v>
      </c>
      <c r="W57" s="25">
        <f t="shared" si="34"/>
        <v>0.29333333333333333</v>
      </c>
      <c r="X57" s="25">
        <f t="shared" si="35"/>
        <v>0</v>
      </c>
      <c r="Y57" s="26">
        <f t="shared" si="36"/>
        <v>58.617777777777775</v>
      </c>
    </row>
    <row r="58" spans="1:25" x14ac:dyDescent="0.25">
      <c r="A58" s="24" t="s">
        <v>227</v>
      </c>
      <c r="B58" s="24" t="s">
        <v>228</v>
      </c>
      <c r="C58" s="24" t="s">
        <v>142</v>
      </c>
      <c r="D58" s="24">
        <v>3</v>
      </c>
      <c r="E58" s="24"/>
      <c r="F58" s="24">
        <v>1</v>
      </c>
      <c r="G58" s="24"/>
      <c r="H58" s="24">
        <v>301</v>
      </c>
      <c r="I58" s="24">
        <v>237</v>
      </c>
      <c r="J58" s="24"/>
      <c r="K58" s="24">
        <v>96</v>
      </c>
      <c r="L58" s="24">
        <v>1</v>
      </c>
      <c r="M58" s="24">
        <v>636</v>
      </c>
      <c r="N58" s="26">
        <v>46.410377358490564</v>
      </c>
      <c r="O58" s="24" t="s">
        <v>210</v>
      </c>
      <c r="P58" s="24">
        <f t="shared" si="28"/>
        <v>96</v>
      </c>
      <c r="Q58" s="24">
        <f t="shared" si="29"/>
        <v>301</v>
      </c>
      <c r="R58" s="24">
        <f t="shared" si="29"/>
        <v>237</v>
      </c>
      <c r="S58" s="24">
        <f t="shared" si="30"/>
        <v>2</v>
      </c>
      <c r="T58" s="24">
        <f t="shared" si="31"/>
        <v>636</v>
      </c>
      <c r="U58" s="25">
        <f t="shared" si="32"/>
        <v>0.15094339622641509</v>
      </c>
      <c r="V58" s="25">
        <f t="shared" si="33"/>
        <v>0.47327044025157233</v>
      </c>
      <c r="W58" s="25">
        <f t="shared" si="34"/>
        <v>0.37264150943396224</v>
      </c>
      <c r="X58" s="25">
        <f t="shared" si="35"/>
        <v>3.1446540880503146E-3</v>
      </c>
      <c r="Y58" s="26">
        <f t="shared" si="36"/>
        <v>46.410377358490564</v>
      </c>
    </row>
    <row r="59" spans="1:25" x14ac:dyDescent="0.25">
      <c r="A59" s="24" t="s">
        <v>227</v>
      </c>
      <c r="B59" s="24" t="s">
        <v>228</v>
      </c>
      <c r="C59" s="24" t="s">
        <v>142</v>
      </c>
      <c r="D59" s="24">
        <v>4</v>
      </c>
      <c r="E59" s="24">
        <v>1</v>
      </c>
      <c r="F59" s="24"/>
      <c r="G59" s="24"/>
      <c r="H59" s="24">
        <v>270</v>
      </c>
      <c r="I59" s="24">
        <v>219</v>
      </c>
      <c r="J59" s="24"/>
      <c r="K59" s="24">
        <v>146</v>
      </c>
      <c r="L59" s="24"/>
      <c r="M59" s="24">
        <v>636</v>
      </c>
      <c r="N59" s="26">
        <v>36.825471698113205</v>
      </c>
      <c r="O59" s="24" t="s">
        <v>210</v>
      </c>
      <c r="P59" s="24">
        <f t="shared" si="28"/>
        <v>146</v>
      </c>
      <c r="Q59" s="24">
        <f t="shared" si="29"/>
        <v>270</v>
      </c>
      <c r="R59" s="24">
        <f t="shared" si="29"/>
        <v>219</v>
      </c>
      <c r="S59" s="24">
        <f t="shared" si="30"/>
        <v>1</v>
      </c>
      <c r="T59" s="24">
        <f t="shared" si="31"/>
        <v>636</v>
      </c>
      <c r="U59" s="25">
        <f t="shared" si="32"/>
        <v>0.22955974842767296</v>
      </c>
      <c r="V59" s="25">
        <f t="shared" si="33"/>
        <v>0.42452830188679247</v>
      </c>
      <c r="W59" s="25">
        <f t="shared" si="34"/>
        <v>0.34433962264150941</v>
      </c>
      <c r="X59" s="25">
        <f t="shared" si="35"/>
        <v>1.5723270440251573E-3</v>
      </c>
      <c r="Y59" s="26">
        <f t="shared" si="36"/>
        <v>36.825471698113205</v>
      </c>
    </row>
    <row r="60" spans="1:25" x14ac:dyDescent="0.25">
      <c r="A60" s="24" t="s">
        <v>227</v>
      </c>
      <c r="B60" s="24" t="s">
        <v>228</v>
      </c>
      <c r="C60" s="24" t="s">
        <v>142</v>
      </c>
      <c r="D60" s="24">
        <v>5</v>
      </c>
      <c r="E60" s="24"/>
      <c r="F60" s="24"/>
      <c r="G60" s="24"/>
      <c r="H60" s="24">
        <v>235</v>
      </c>
      <c r="I60" s="24">
        <v>218</v>
      </c>
      <c r="J60" s="24"/>
      <c r="K60" s="24">
        <v>183</v>
      </c>
      <c r="L60" s="24"/>
      <c r="M60" s="24">
        <v>636</v>
      </c>
      <c r="N60" s="26">
        <v>29.581761006289309</v>
      </c>
      <c r="O60" s="24" t="s">
        <v>210</v>
      </c>
      <c r="P60" s="24">
        <f t="shared" si="28"/>
        <v>183</v>
      </c>
      <c r="Q60" s="24">
        <f t="shared" si="29"/>
        <v>235</v>
      </c>
      <c r="R60" s="24">
        <f t="shared" si="29"/>
        <v>218</v>
      </c>
      <c r="S60" s="24">
        <f t="shared" si="30"/>
        <v>0</v>
      </c>
      <c r="T60" s="24">
        <f t="shared" si="31"/>
        <v>636</v>
      </c>
      <c r="U60" s="25">
        <f t="shared" si="32"/>
        <v>0.28773584905660377</v>
      </c>
      <c r="V60" s="25">
        <f t="shared" si="33"/>
        <v>0.36949685534591192</v>
      </c>
      <c r="W60" s="25">
        <f t="shared" si="34"/>
        <v>0.34276729559748426</v>
      </c>
      <c r="X60" s="25">
        <f t="shared" si="35"/>
        <v>0</v>
      </c>
      <c r="Y60" s="26">
        <f t="shared" si="36"/>
        <v>29.581761006289309</v>
      </c>
    </row>
    <row r="61" spans="1:25" x14ac:dyDescent="0.25">
      <c r="A61" s="24" t="s">
        <v>227</v>
      </c>
      <c r="B61" s="24" t="s">
        <v>228</v>
      </c>
      <c r="C61" s="24" t="s">
        <v>142</v>
      </c>
      <c r="D61" s="24">
        <v>6</v>
      </c>
      <c r="E61" s="24"/>
      <c r="F61" s="24"/>
      <c r="G61" s="24"/>
      <c r="H61" s="24">
        <v>188</v>
      </c>
      <c r="I61" s="24">
        <v>238</v>
      </c>
      <c r="J61" s="24"/>
      <c r="K61" s="24">
        <v>210</v>
      </c>
      <c r="L61" s="24"/>
      <c r="M61" s="24">
        <v>636</v>
      </c>
      <c r="N61" s="26">
        <v>22.19811320754717</v>
      </c>
      <c r="O61" s="24" t="s">
        <v>210</v>
      </c>
      <c r="P61" s="24">
        <f t="shared" si="28"/>
        <v>210</v>
      </c>
      <c r="Q61" s="24">
        <f t="shared" si="29"/>
        <v>188</v>
      </c>
      <c r="R61" s="24">
        <f t="shared" si="29"/>
        <v>238</v>
      </c>
      <c r="S61" s="24">
        <f t="shared" si="30"/>
        <v>0</v>
      </c>
      <c r="T61" s="24">
        <f t="shared" si="31"/>
        <v>636</v>
      </c>
      <c r="U61" s="25">
        <f t="shared" si="32"/>
        <v>0.330188679245283</v>
      </c>
      <c r="V61" s="25">
        <f t="shared" si="33"/>
        <v>0.29559748427672955</v>
      </c>
      <c r="W61" s="25">
        <f t="shared" si="34"/>
        <v>0.37421383647798739</v>
      </c>
      <c r="X61" s="25">
        <f t="shared" si="35"/>
        <v>0</v>
      </c>
      <c r="Y61" s="26">
        <f t="shared" si="36"/>
        <v>22.19811320754717</v>
      </c>
    </row>
    <row r="62" spans="1:25" x14ac:dyDescent="0.25">
      <c r="A62" s="24" t="s">
        <v>227</v>
      </c>
      <c r="B62" s="24" t="s">
        <v>228</v>
      </c>
      <c r="C62" s="24" t="s">
        <v>143</v>
      </c>
      <c r="D62" s="24">
        <v>1</v>
      </c>
      <c r="E62" s="24"/>
      <c r="F62" s="24"/>
      <c r="G62" s="24">
        <v>1</v>
      </c>
      <c r="H62" s="24">
        <v>96</v>
      </c>
      <c r="I62" s="24">
        <v>108</v>
      </c>
      <c r="J62" s="24">
        <v>1</v>
      </c>
      <c r="K62" s="24">
        <v>244</v>
      </c>
      <c r="L62" s="24"/>
      <c r="M62" s="24">
        <v>450</v>
      </c>
      <c r="N62" s="26">
        <v>59.966666666666669</v>
      </c>
      <c r="O62" s="24" t="s">
        <v>210</v>
      </c>
      <c r="P62" s="24">
        <f t="shared" ref="P62:P113" si="37">K62</f>
        <v>244</v>
      </c>
      <c r="Q62" s="24">
        <f t="shared" ref="Q62:Q113" si="38">H62</f>
        <v>96</v>
      </c>
      <c r="R62" s="24">
        <f t="shared" ref="R62:R113" si="39">I62</f>
        <v>108</v>
      </c>
      <c r="S62" s="24">
        <f t="shared" ref="S62:S113" si="40">M62-SUM(P62:R62)</f>
        <v>2</v>
      </c>
      <c r="T62" s="24">
        <f t="shared" ref="T62:T113" si="41">SUM(P62:S62)</f>
        <v>450</v>
      </c>
      <c r="U62" s="25">
        <f t="shared" ref="U62:U113" si="42">P62/M62</f>
        <v>0.54222222222222227</v>
      </c>
      <c r="V62" s="25">
        <f t="shared" ref="V62:V113" si="43">Q62/M62</f>
        <v>0.21333333333333335</v>
      </c>
      <c r="W62" s="25">
        <f t="shared" ref="W62:W113" si="44">R62/M62</f>
        <v>0.24</v>
      </c>
      <c r="X62" s="25">
        <f t="shared" ref="X62:X113" si="45">S62/M62</f>
        <v>4.4444444444444444E-3</v>
      </c>
      <c r="Y62" s="26">
        <f t="shared" ref="Y62:Y113" si="46">N62</f>
        <v>59.966666666666669</v>
      </c>
    </row>
    <row r="63" spans="1:25" x14ac:dyDescent="0.25">
      <c r="A63" s="24" t="s">
        <v>227</v>
      </c>
      <c r="B63" s="24" t="s">
        <v>228</v>
      </c>
      <c r="C63" s="24" t="s">
        <v>143</v>
      </c>
      <c r="D63" s="24">
        <v>2</v>
      </c>
      <c r="E63" s="24"/>
      <c r="F63" s="24"/>
      <c r="G63" s="24">
        <v>1</v>
      </c>
      <c r="H63" s="24">
        <v>179</v>
      </c>
      <c r="I63" s="24">
        <v>196</v>
      </c>
      <c r="J63" s="24"/>
      <c r="K63" s="24">
        <v>244</v>
      </c>
      <c r="L63" s="24"/>
      <c r="M63" s="24">
        <v>620</v>
      </c>
      <c r="N63" s="26">
        <v>43.270967741935486</v>
      </c>
      <c r="O63" s="24" t="s">
        <v>210</v>
      </c>
      <c r="P63" s="24">
        <f t="shared" si="37"/>
        <v>244</v>
      </c>
      <c r="Q63" s="24">
        <f t="shared" si="38"/>
        <v>179</v>
      </c>
      <c r="R63" s="24">
        <f t="shared" si="39"/>
        <v>196</v>
      </c>
      <c r="S63" s="24">
        <f t="shared" si="40"/>
        <v>1</v>
      </c>
      <c r="T63" s="24">
        <f t="shared" si="41"/>
        <v>620</v>
      </c>
      <c r="U63" s="25">
        <f t="shared" si="42"/>
        <v>0.3935483870967742</v>
      </c>
      <c r="V63" s="25">
        <f t="shared" si="43"/>
        <v>0.28870967741935483</v>
      </c>
      <c r="W63" s="25">
        <f t="shared" si="44"/>
        <v>0.31612903225806449</v>
      </c>
      <c r="X63" s="25">
        <f t="shared" si="45"/>
        <v>1.6129032258064516E-3</v>
      </c>
      <c r="Y63" s="26">
        <f t="shared" si="46"/>
        <v>43.270967741935486</v>
      </c>
    </row>
    <row r="64" spans="1:25" x14ac:dyDescent="0.25">
      <c r="A64" s="24" t="s">
        <v>227</v>
      </c>
      <c r="B64" s="24" t="s">
        <v>228</v>
      </c>
      <c r="C64" s="24" t="s">
        <v>143</v>
      </c>
      <c r="D64" s="24">
        <v>3</v>
      </c>
      <c r="E64" s="24"/>
      <c r="F64" s="24"/>
      <c r="G64" s="24"/>
      <c r="H64" s="24">
        <v>196</v>
      </c>
      <c r="I64" s="24">
        <v>150</v>
      </c>
      <c r="J64" s="24"/>
      <c r="K64" s="24">
        <v>274</v>
      </c>
      <c r="L64" s="24"/>
      <c r="M64" s="24">
        <v>620</v>
      </c>
      <c r="N64" s="26">
        <v>32.70967741935484</v>
      </c>
      <c r="O64" s="24" t="s">
        <v>210</v>
      </c>
      <c r="P64" s="24">
        <f t="shared" si="37"/>
        <v>274</v>
      </c>
      <c r="Q64" s="24">
        <f t="shared" si="38"/>
        <v>196</v>
      </c>
      <c r="R64" s="24">
        <f t="shared" si="39"/>
        <v>150</v>
      </c>
      <c r="S64" s="24">
        <f t="shared" si="40"/>
        <v>0</v>
      </c>
      <c r="T64" s="24">
        <f t="shared" si="41"/>
        <v>620</v>
      </c>
      <c r="U64" s="25">
        <f t="shared" si="42"/>
        <v>0.44193548387096776</v>
      </c>
      <c r="V64" s="25">
        <f t="shared" si="43"/>
        <v>0.31612903225806449</v>
      </c>
      <c r="W64" s="25">
        <f t="shared" si="44"/>
        <v>0.24193548387096775</v>
      </c>
      <c r="X64" s="25">
        <f t="shared" si="45"/>
        <v>0</v>
      </c>
      <c r="Y64" s="26">
        <f t="shared" si="46"/>
        <v>32.70967741935484</v>
      </c>
    </row>
    <row r="65" spans="1:25" x14ac:dyDescent="0.25">
      <c r="A65" s="24" t="s">
        <v>227</v>
      </c>
      <c r="B65" s="24" t="s">
        <v>228</v>
      </c>
      <c r="C65" s="24" t="s">
        <v>143</v>
      </c>
      <c r="D65" s="24">
        <v>4</v>
      </c>
      <c r="E65" s="24"/>
      <c r="F65" s="24"/>
      <c r="G65" s="24"/>
      <c r="H65" s="24">
        <v>147</v>
      </c>
      <c r="I65" s="24">
        <v>151</v>
      </c>
      <c r="J65" s="24">
        <v>2</v>
      </c>
      <c r="K65" s="24">
        <v>322</v>
      </c>
      <c r="L65" s="24"/>
      <c r="M65" s="24">
        <v>622</v>
      </c>
      <c r="N65" s="26">
        <v>23.463022508038584</v>
      </c>
      <c r="O65" s="24" t="s">
        <v>210</v>
      </c>
      <c r="P65" s="24">
        <f t="shared" si="37"/>
        <v>322</v>
      </c>
      <c r="Q65" s="24">
        <f t="shared" si="38"/>
        <v>147</v>
      </c>
      <c r="R65" s="24">
        <f t="shared" si="39"/>
        <v>151</v>
      </c>
      <c r="S65" s="24">
        <f t="shared" si="40"/>
        <v>2</v>
      </c>
      <c r="T65" s="24">
        <f t="shared" si="41"/>
        <v>622</v>
      </c>
      <c r="U65" s="25">
        <f t="shared" si="42"/>
        <v>0.51768488745980712</v>
      </c>
      <c r="V65" s="25">
        <f t="shared" si="43"/>
        <v>0.23633440514469453</v>
      </c>
      <c r="W65" s="25">
        <f t="shared" si="44"/>
        <v>0.2427652733118971</v>
      </c>
      <c r="X65" s="25">
        <f t="shared" si="45"/>
        <v>3.2154340836012861E-3</v>
      </c>
      <c r="Y65" s="26">
        <f t="shared" si="46"/>
        <v>23.463022508038584</v>
      </c>
    </row>
    <row r="66" spans="1:25" x14ac:dyDescent="0.25">
      <c r="A66" s="24" t="s">
        <v>230</v>
      </c>
      <c r="B66" s="24" t="s">
        <v>231</v>
      </c>
      <c r="C66" s="24" t="s">
        <v>145</v>
      </c>
      <c r="D66" s="24">
        <v>1</v>
      </c>
      <c r="E66" s="24"/>
      <c r="F66" s="24"/>
      <c r="G66" s="24"/>
      <c r="H66" s="24">
        <v>309</v>
      </c>
      <c r="I66" s="24">
        <v>39</v>
      </c>
      <c r="J66" s="24"/>
      <c r="K66" s="24">
        <v>2</v>
      </c>
      <c r="L66" s="24"/>
      <c r="M66" s="24">
        <v>350</v>
      </c>
      <c r="N66" s="26">
        <v>63.725714285714282</v>
      </c>
      <c r="O66" s="24" t="s">
        <v>210</v>
      </c>
      <c r="P66" s="24">
        <f t="shared" si="37"/>
        <v>2</v>
      </c>
      <c r="Q66" s="24">
        <f t="shared" si="38"/>
        <v>309</v>
      </c>
      <c r="R66" s="24">
        <f t="shared" si="39"/>
        <v>39</v>
      </c>
      <c r="S66" s="24">
        <f t="shared" si="40"/>
        <v>0</v>
      </c>
      <c r="T66" s="24">
        <f t="shared" si="41"/>
        <v>350</v>
      </c>
      <c r="U66" s="25">
        <f t="shared" si="42"/>
        <v>5.7142857142857143E-3</v>
      </c>
      <c r="V66" s="25">
        <f t="shared" si="43"/>
        <v>0.8828571428571429</v>
      </c>
      <c r="W66" s="25">
        <f t="shared" si="44"/>
        <v>0.11142857142857143</v>
      </c>
      <c r="X66" s="25">
        <f t="shared" si="45"/>
        <v>0</v>
      </c>
      <c r="Y66" s="26">
        <f t="shared" si="46"/>
        <v>63.725714285714282</v>
      </c>
    </row>
    <row r="67" spans="1:25" x14ac:dyDescent="0.25">
      <c r="A67" s="24" t="s">
        <v>230</v>
      </c>
      <c r="B67" s="24" t="s">
        <v>231</v>
      </c>
      <c r="C67" s="24" t="s">
        <v>145</v>
      </c>
      <c r="D67" s="24">
        <v>2</v>
      </c>
      <c r="E67" s="24"/>
      <c r="F67" s="24"/>
      <c r="G67" s="24"/>
      <c r="H67" s="24">
        <v>297</v>
      </c>
      <c r="I67" s="24">
        <v>43</v>
      </c>
      <c r="J67" s="24"/>
      <c r="K67" s="24">
        <v>12</v>
      </c>
      <c r="L67" s="24"/>
      <c r="M67" s="24">
        <v>352</v>
      </c>
      <c r="N67" s="26">
        <v>33.039772727272727</v>
      </c>
      <c r="O67" s="24" t="s">
        <v>210</v>
      </c>
      <c r="P67" s="24">
        <f t="shared" si="37"/>
        <v>12</v>
      </c>
      <c r="Q67" s="24">
        <f t="shared" si="38"/>
        <v>297</v>
      </c>
      <c r="R67" s="24">
        <f t="shared" si="39"/>
        <v>43</v>
      </c>
      <c r="S67" s="24">
        <f t="shared" si="40"/>
        <v>0</v>
      </c>
      <c r="T67" s="24">
        <f t="shared" si="41"/>
        <v>352</v>
      </c>
      <c r="U67" s="25">
        <f t="shared" si="42"/>
        <v>3.4090909090909088E-2</v>
      </c>
      <c r="V67" s="25">
        <f t="shared" si="43"/>
        <v>0.84375</v>
      </c>
      <c r="W67" s="25">
        <f t="shared" si="44"/>
        <v>0.12215909090909091</v>
      </c>
      <c r="X67" s="25">
        <f t="shared" si="45"/>
        <v>0</v>
      </c>
      <c r="Y67" s="26">
        <f t="shared" si="46"/>
        <v>33.039772727272727</v>
      </c>
    </row>
    <row r="68" spans="1:25" x14ac:dyDescent="0.25">
      <c r="A68" s="24" t="s">
        <v>232</v>
      </c>
      <c r="B68" s="24" t="s">
        <v>233</v>
      </c>
      <c r="C68" s="24" t="s">
        <v>147</v>
      </c>
      <c r="D68" s="24">
        <v>1</v>
      </c>
      <c r="E68" s="24"/>
      <c r="F68" s="24"/>
      <c r="G68" s="24"/>
      <c r="H68" s="24">
        <v>37</v>
      </c>
      <c r="I68" s="24">
        <v>14</v>
      </c>
      <c r="J68" s="24"/>
      <c r="K68" s="24">
        <v>399</v>
      </c>
      <c r="L68" s="24"/>
      <c r="M68" s="24">
        <v>450</v>
      </c>
      <c r="N68" s="26">
        <v>63.582222222222221</v>
      </c>
      <c r="O68" s="24" t="s">
        <v>210</v>
      </c>
      <c r="P68" s="24">
        <f t="shared" si="37"/>
        <v>399</v>
      </c>
      <c r="Q68" s="24">
        <f t="shared" si="38"/>
        <v>37</v>
      </c>
      <c r="R68" s="24">
        <f t="shared" si="39"/>
        <v>14</v>
      </c>
      <c r="S68" s="24">
        <f t="shared" si="40"/>
        <v>0</v>
      </c>
      <c r="T68" s="24">
        <f t="shared" si="41"/>
        <v>450</v>
      </c>
      <c r="U68" s="25">
        <f t="shared" si="42"/>
        <v>0.88666666666666671</v>
      </c>
      <c r="V68" s="25">
        <f t="shared" si="43"/>
        <v>8.2222222222222224E-2</v>
      </c>
      <c r="W68" s="25">
        <f t="shared" si="44"/>
        <v>3.111111111111111E-2</v>
      </c>
      <c r="X68" s="25">
        <f t="shared" si="45"/>
        <v>0</v>
      </c>
      <c r="Y68" s="26">
        <f t="shared" si="46"/>
        <v>63.582222222222221</v>
      </c>
    </row>
    <row r="69" spans="1:25" x14ac:dyDescent="0.25">
      <c r="A69" s="24" t="s">
        <v>232</v>
      </c>
      <c r="B69" s="24" t="s">
        <v>233</v>
      </c>
      <c r="C69" s="24" t="s">
        <v>147</v>
      </c>
      <c r="D69" s="24">
        <v>2</v>
      </c>
      <c r="E69" s="24"/>
      <c r="F69" s="24"/>
      <c r="G69" s="24"/>
      <c r="H69" s="24">
        <v>22</v>
      </c>
      <c r="I69" s="24">
        <v>3</v>
      </c>
      <c r="J69" s="24"/>
      <c r="K69" s="24">
        <v>391</v>
      </c>
      <c r="L69" s="24">
        <v>1</v>
      </c>
      <c r="M69" s="24">
        <v>417</v>
      </c>
      <c r="N69" s="26">
        <v>43.717026378896882</v>
      </c>
      <c r="O69" s="24" t="s">
        <v>210</v>
      </c>
      <c r="P69" s="24">
        <f t="shared" si="37"/>
        <v>391</v>
      </c>
      <c r="Q69" s="24">
        <f t="shared" si="38"/>
        <v>22</v>
      </c>
      <c r="R69" s="24">
        <f t="shared" si="39"/>
        <v>3</v>
      </c>
      <c r="S69" s="24">
        <f t="shared" si="40"/>
        <v>1</v>
      </c>
      <c r="T69" s="24">
        <f t="shared" si="41"/>
        <v>417</v>
      </c>
      <c r="U69" s="25">
        <f t="shared" si="42"/>
        <v>0.93764988009592332</v>
      </c>
      <c r="V69" s="25">
        <f t="shared" si="43"/>
        <v>5.2757793764988008E-2</v>
      </c>
      <c r="W69" s="25">
        <f t="shared" si="44"/>
        <v>7.1942446043165471E-3</v>
      </c>
      <c r="X69" s="25">
        <f t="shared" si="45"/>
        <v>2.3980815347721821E-3</v>
      </c>
      <c r="Y69" s="26">
        <f t="shared" si="46"/>
        <v>43.717026378896882</v>
      </c>
    </row>
    <row r="70" spans="1:25" x14ac:dyDescent="0.25">
      <c r="A70" s="24" t="s">
        <v>232</v>
      </c>
      <c r="B70" s="24" t="s">
        <v>233</v>
      </c>
      <c r="C70" s="24" t="s">
        <v>147</v>
      </c>
      <c r="D70" s="24">
        <v>3</v>
      </c>
      <c r="E70" s="24"/>
      <c r="F70" s="24"/>
      <c r="G70" s="24"/>
      <c r="H70" s="24">
        <v>8</v>
      </c>
      <c r="I70" s="24">
        <v>1</v>
      </c>
      <c r="J70" s="24"/>
      <c r="K70" s="24">
        <v>409</v>
      </c>
      <c r="L70" s="24"/>
      <c r="M70" s="24">
        <v>418</v>
      </c>
      <c r="N70" s="26">
        <v>26.342105263157894</v>
      </c>
      <c r="O70" s="24" t="s">
        <v>210</v>
      </c>
      <c r="P70" s="24">
        <f t="shared" si="37"/>
        <v>409</v>
      </c>
      <c r="Q70" s="24">
        <f t="shared" si="38"/>
        <v>8</v>
      </c>
      <c r="R70" s="24">
        <f t="shared" si="39"/>
        <v>1</v>
      </c>
      <c r="S70" s="24">
        <f t="shared" si="40"/>
        <v>0</v>
      </c>
      <c r="T70" s="24">
        <f t="shared" si="41"/>
        <v>418</v>
      </c>
      <c r="U70" s="25">
        <f t="shared" si="42"/>
        <v>0.97846889952153115</v>
      </c>
      <c r="V70" s="25">
        <f t="shared" si="43"/>
        <v>1.9138755980861243E-2</v>
      </c>
      <c r="W70" s="25">
        <f t="shared" si="44"/>
        <v>2.3923444976076554E-3</v>
      </c>
      <c r="X70" s="25">
        <f t="shared" si="45"/>
        <v>0</v>
      </c>
      <c r="Y70" s="26">
        <f t="shared" si="46"/>
        <v>26.342105263157894</v>
      </c>
    </row>
    <row r="71" spans="1:25" x14ac:dyDescent="0.25">
      <c r="A71" s="24" t="s">
        <v>234</v>
      </c>
      <c r="B71" s="24" t="s">
        <v>235</v>
      </c>
      <c r="C71" s="24" t="s">
        <v>149</v>
      </c>
      <c r="D71" s="24">
        <v>1</v>
      </c>
      <c r="E71" s="24"/>
      <c r="F71" s="24"/>
      <c r="G71" s="24"/>
      <c r="H71" s="24">
        <v>306</v>
      </c>
      <c r="I71" s="24">
        <v>68</v>
      </c>
      <c r="J71" s="24"/>
      <c r="K71" s="24">
        <v>76</v>
      </c>
      <c r="L71" s="24"/>
      <c r="M71" s="24">
        <v>450</v>
      </c>
      <c r="N71" s="26">
        <v>68.702222222222218</v>
      </c>
      <c r="O71" s="24" t="s">
        <v>210</v>
      </c>
      <c r="P71" s="24">
        <f t="shared" si="37"/>
        <v>76</v>
      </c>
      <c r="Q71" s="24">
        <f t="shared" si="38"/>
        <v>306</v>
      </c>
      <c r="R71" s="24">
        <f t="shared" si="39"/>
        <v>68</v>
      </c>
      <c r="S71" s="24">
        <f t="shared" si="40"/>
        <v>0</v>
      </c>
      <c r="T71" s="24">
        <f t="shared" si="41"/>
        <v>450</v>
      </c>
      <c r="U71" s="25">
        <f t="shared" si="42"/>
        <v>0.16888888888888889</v>
      </c>
      <c r="V71" s="25">
        <f t="shared" si="43"/>
        <v>0.68</v>
      </c>
      <c r="W71" s="25">
        <f t="shared" si="44"/>
        <v>0.15111111111111111</v>
      </c>
      <c r="X71" s="25">
        <f t="shared" si="45"/>
        <v>0</v>
      </c>
      <c r="Y71" s="26">
        <f t="shared" si="46"/>
        <v>68.702222222222218</v>
      </c>
    </row>
    <row r="72" spans="1:25" x14ac:dyDescent="0.25">
      <c r="A72" s="24" t="s">
        <v>234</v>
      </c>
      <c r="B72" s="24" t="s">
        <v>235</v>
      </c>
      <c r="C72" s="24" t="s">
        <v>149</v>
      </c>
      <c r="D72" s="24">
        <v>2</v>
      </c>
      <c r="E72" s="24"/>
      <c r="F72" s="24"/>
      <c r="G72" s="24"/>
      <c r="H72" s="24">
        <v>245</v>
      </c>
      <c r="I72" s="24">
        <v>84</v>
      </c>
      <c r="J72" s="24"/>
      <c r="K72" s="24">
        <v>121</v>
      </c>
      <c r="L72" s="24"/>
      <c r="M72" s="24">
        <v>450</v>
      </c>
      <c r="N72" s="26">
        <v>54.395555555555553</v>
      </c>
      <c r="O72" s="24" t="s">
        <v>210</v>
      </c>
      <c r="P72" s="24">
        <f t="shared" si="37"/>
        <v>121</v>
      </c>
      <c r="Q72" s="24">
        <f t="shared" si="38"/>
        <v>245</v>
      </c>
      <c r="R72" s="24">
        <f t="shared" si="39"/>
        <v>84</v>
      </c>
      <c r="S72" s="24">
        <f t="shared" si="40"/>
        <v>0</v>
      </c>
      <c r="T72" s="24">
        <f t="shared" si="41"/>
        <v>450</v>
      </c>
      <c r="U72" s="25">
        <f t="shared" si="42"/>
        <v>0.2688888888888889</v>
      </c>
      <c r="V72" s="25">
        <f t="shared" si="43"/>
        <v>0.5444444444444444</v>
      </c>
      <c r="W72" s="25">
        <f t="shared" si="44"/>
        <v>0.18666666666666668</v>
      </c>
      <c r="X72" s="25">
        <f t="shared" si="45"/>
        <v>0</v>
      </c>
      <c r="Y72" s="26">
        <f t="shared" si="46"/>
        <v>54.395555555555553</v>
      </c>
    </row>
    <row r="73" spans="1:25" x14ac:dyDescent="0.25">
      <c r="A73" s="24" t="s">
        <v>234</v>
      </c>
      <c r="B73" s="24" t="s">
        <v>235</v>
      </c>
      <c r="C73" s="24" t="s">
        <v>149</v>
      </c>
      <c r="D73" s="24">
        <v>3</v>
      </c>
      <c r="E73" s="24"/>
      <c r="F73" s="24"/>
      <c r="G73" s="24"/>
      <c r="H73" s="24">
        <v>259</v>
      </c>
      <c r="I73" s="24">
        <v>146</v>
      </c>
      <c r="J73" s="24"/>
      <c r="K73" s="24">
        <v>160</v>
      </c>
      <c r="L73" s="24">
        <v>1</v>
      </c>
      <c r="M73" s="24">
        <v>566</v>
      </c>
      <c r="N73" s="26">
        <v>39.957597173144876</v>
      </c>
      <c r="O73" s="24" t="s">
        <v>210</v>
      </c>
      <c r="P73" s="24">
        <f t="shared" si="37"/>
        <v>160</v>
      </c>
      <c r="Q73" s="24">
        <f t="shared" si="38"/>
        <v>259</v>
      </c>
      <c r="R73" s="24">
        <f t="shared" si="39"/>
        <v>146</v>
      </c>
      <c r="S73" s="24">
        <f t="shared" si="40"/>
        <v>1</v>
      </c>
      <c r="T73" s="24">
        <f t="shared" si="41"/>
        <v>566</v>
      </c>
      <c r="U73" s="25">
        <f t="shared" si="42"/>
        <v>0.28268551236749118</v>
      </c>
      <c r="V73" s="25">
        <f t="shared" si="43"/>
        <v>0.4575971731448763</v>
      </c>
      <c r="W73" s="25">
        <f t="shared" si="44"/>
        <v>0.25795053003533569</v>
      </c>
      <c r="X73" s="25">
        <f t="shared" si="45"/>
        <v>1.7667844522968198E-3</v>
      </c>
      <c r="Y73" s="26">
        <f t="shared" si="46"/>
        <v>39.957597173144876</v>
      </c>
    </row>
    <row r="74" spans="1:25" x14ac:dyDescent="0.25">
      <c r="A74" s="24" t="s">
        <v>234</v>
      </c>
      <c r="B74" s="24" t="s">
        <v>235</v>
      </c>
      <c r="C74" s="24" t="s">
        <v>149</v>
      </c>
      <c r="D74" s="24">
        <v>4</v>
      </c>
      <c r="E74" s="24"/>
      <c r="F74" s="24"/>
      <c r="G74" s="24"/>
      <c r="H74" s="24">
        <v>228</v>
      </c>
      <c r="I74" s="24">
        <v>142</v>
      </c>
      <c r="J74" s="24"/>
      <c r="K74" s="24">
        <v>197</v>
      </c>
      <c r="L74" s="24"/>
      <c r="M74" s="24">
        <v>567</v>
      </c>
      <c r="N74" s="26">
        <v>26.185185185185187</v>
      </c>
      <c r="O74" s="24" t="s">
        <v>210</v>
      </c>
      <c r="P74" s="24">
        <f t="shared" si="37"/>
        <v>197</v>
      </c>
      <c r="Q74" s="24">
        <f t="shared" si="38"/>
        <v>228</v>
      </c>
      <c r="R74" s="24">
        <f t="shared" si="39"/>
        <v>142</v>
      </c>
      <c r="S74" s="24">
        <f t="shared" si="40"/>
        <v>0</v>
      </c>
      <c r="T74" s="24">
        <f t="shared" si="41"/>
        <v>567</v>
      </c>
      <c r="U74" s="25">
        <f t="shared" si="42"/>
        <v>0.34744268077601409</v>
      </c>
      <c r="V74" s="25">
        <f t="shared" si="43"/>
        <v>0.40211640211640209</v>
      </c>
      <c r="W74" s="25">
        <f t="shared" si="44"/>
        <v>0.25044091710758376</v>
      </c>
      <c r="X74" s="25">
        <f t="shared" si="45"/>
        <v>0</v>
      </c>
      <c r="Y74" s="26">
        <f t="shared" si="46"/>
        <v>26.185185185185187</v>
      </c>
    </row>
    <row r="75" spans="1:25" x14ac:dyDescent="0.25">
      <c r="A75" s="24" t="s">
        <v>236</v>
      </c>
      <c r="B75" s="24" t="s">
        <v>237</v>
      </c>
      <c r="C75" s="24" t="s">
        <v>151</v>
      </c>
      <c r="D75" s="24">
        <v>1</v>
      </c>
      <c r="E75" s="24"/>
      <c r="F75" s="24"/>
      <c r="G75" s="24"/>
      <c r="H75" s="24">
        <v>2</v>
      </c>
      <c r="I75" s="24"/>
      <c r="J75" s="24"/>
      <c r="K75" s="24">
        <v>448</v>
      </c>
      <c r="L75" s="24"/>
      <c r="M75" s="24">
        <v>450</v>
      </c>
      <c r="N75" s="26">
        <v>66.728888888888889</v>
      </c>
      <c r="O75" s="24" t="s">
        <v>210</v>
      </c>
      <c r="P75" s="24">
        <f t="shared" si="37"/>
        <v>448</v>
      </c>
      <c r="Q75" s="24">
        <f t="shared" si="38"/>
        <v>2</v>
      </c>
      <c r="R75" s="24">
        <f t="shared" si="39"/>
        <v>0</v>
      </c>
      <c r="S75" s="24">
        <f t="shared" si="40"/>
        <v>0</v>
      </c>
      <c r="T75" s="24">
        <f t="shared" si="41"/>
        <v>450</v>
      </c>
      <c r="U75" s="25">
        <f t="shared" si="42"/>
        <v>0.99555555555555553</v>
      </c>
      <c r="V75" s="25">
        <f t="shared" si="43"/>
        <v>4.4444444444444444E-3</v>
      </c>
      <c r="W75" s="25">
        <f t="shared" si="44"/>
        <v>0</v>
      </c>
      <c r="X75" s="25">
        <f t="shared" si="45"/>
        <v>0</v>
      </c>
      <c r="Y75" s="26">
        <f t="shared" si="46"/>
        <v>66.728888888888889</v>
      </c>
    </row>
    <row r="76" spans="1:25" x14ac:dyDescent="0.25">
      <c r="A76" s="24" t="s">
        <v>236</v>
      </c>
      <c r="B76" s="24" t="s">
        <v>237</v>
      </c>
      <c r="C76" s="24" t="s">
        <v>151</v>
      </c>
      <c r="D76" s="24">
        <v>2</v>
      </c>
      <c r="E76" s="24"/>
      <c r="F76" s="24"/>
      <c r="G76" s="24"/>
      <c r="H76" s="24">
        <v>4</v>
      </c>
      <c r="I76" s="24">
        <v>1</v>
      </c>
      <c r="J76" s="24"/>
      <c r="K76" s="24">
        <v>691</v>
      </c>
      <c r="L76" s="24"/>
      <c r="M76" s="24">
        <v>696</v>
      </c>
      <c r="N76" s="26">
        <v>47.449712643678161</v>
      </c>
      <c r="O76" s="24" t="s">
        <v>210</v>
      </c>
      <c r="P76" s="24">
        <f t="shared" si="37"/>
        <v>691</v>
      </c>
      <c r="Q76" s="24">
        <f t="shared" si="38"/>
        <v>4</v>
      </c>
      <c r="R76" s="24">
        <f t="shared" si="39"/>
        <v>1</v>
      </c>
      <c r="S76" s="24">
        <f t="shared" si="40"/>
        <v>0</v>
      </c>
      <c r="T76" s="24">
        <f t="shared" si="41"/>
        <v>696</v>
      </c>
      <c r="U76" s="25">
        <f t="shared" si="42"/>
        <v>0.99281609195402298</v>
      </c>
      <c r="V76" s="25">
        <f t="shared" si="43"/>
        <v>5.7471264367816091E-3</v>
      </c>
      <c r="W76" s="25">
        <f t="shared" si="44"/>
        <v>1.4367816091954023E-3</v>
      </c>
      <c r="X76" s="25">
        <f t="shared" si="45"/>
        <v>0</v>
      </c>
      <c r="Y76" s="26">
        <f t="shared" si="46"/>
        <v>47.449712643678161</v>
      </c>
    </row>
    <row r="77" spans="1:25" x14ac:dyDescent="0.25">
      <c r="A77" s="24" t="s">
        <v>236</v>
      </c>
      <c r="B77" s="24" t="s">
        <v>237</v>
      </c>
      <c r="C77" s="24" t="s">
        <v>151</v>
      </c>
      <c r="D77" s="24">
        <v>3</v>
      </c>
      <c r="E77" s="24"/>
      <c r="F77" s="24"/>
      <c r="G77" s="24"/>
      <c r="H77" s="24"/>
      <c r="I77" s="24"/>
      <c r="J77" s="24"/>
      <c r="K77" s="24">
        <v>696</v>
      </c>
      <c r="L77" s="24"/>
      <c r="M77" s="24">
        <v>696</v>
      </c>
      <c r="N77" s="26">
        <v>27.143678160919539</v>
      </c>
      <c r="O77" s="24" t="s">
        <v>210</v>
      </c>
      <c r="P77" s="24">
        <f t="shared" si="37"/>
        <v>696</v>
      </c>
      <c r="Q77" s="24">
        <f t="shared" si="38"/>
        <v>0</v>
      </c>
      <c r="R77" s="24">
        <f t="shared" si="39"/>
        <v>0</v>
      </c>
      <c r="S77" s="24">
        <f t="shared" si="40"/>
        <v>0</v>
      </c>
      <c r="T77" s="24">
        <f t="shared" si="41"/>
        <v>696</v>
      </c>
      <c r="U77" s="25">
        <f t="shared" si="42"/>
        <v>1</v>
      </c>
      <c r="V77" s="25">
        <f t="shared" si="43"/>
        <v>0</v>
      </c>
      <c r="W77" s="25">
        <f t="shared" si="44"/>
        <v>0</v>
      </c>
      <c r="X77" s="25">
        <f t="shared" si="45"/>
        <v>0</v>
      </c>
      <c r="Y77" s="26">
        <f t="shared" si="46"/>
        <v>27.143678160919539</v>
      </c>
    </row>
    <row r="78" spans="1:25" x14ac:dyDescent="0.25">
      <c r="A78" s="24" t="s">
        <v>238</v>
      </c>
      <c r="B78" s="24" t="s">
        <v>239</v>
      </c>
      <c r="C78" s="24" t="s">
        <v>153</v>
      </c>
      <c r="D78" s="24">
        <v>1</v>
      </c>
      <c r="E78" s="24"/>
      <c r="F78" s="24"/>
      <c r="G78" s="24"/>
      <c r="H78" s="24">
        <v>43</v>
      </c>
      <c r="I78" s="24">
        <v>52</v>
      </c>
      <c r="J78" s="24">
        <v>1</v>
      </c>
      <c r="K78" s="24">
        <v>254</v>
      </c>
      <c r="L78" s="24"/>
      <c r="M78" s="24">
        <v>350</v>
      </c>
      <c r="N78" s="26">
        <v>62.368571428571428</v>
      </c>
      <c r="O78" s="24" t="s">
        <v>210</v>
      </c>
      <c r="P78" s="24">
        <f t="shared" si="37"/>
        <v>254</v>
      </c>
      <c r="Q78" s="24">
        <f t="shared" si="38"/>
        <v>43</v>
      </c>
      <c r="R78" s="24">
        <f t="shared" si="39"/>
        <v>52</v>
      </c>
      <c r="S78" s="24">
        <f t="shared" si="40"/>
        <v>1</v>
      </c>
      <c r="T78" s="24">
        <f t="shared" si="41"/>
        <v>350</v>
      </c>
      <c r="U78" s="25">
        <f t="shared" si="42"/>
        <v>0.72571428571428576</v>
      </c>
      <c r="V78" s="25">
        <f t="shared" si="43"/>
        <v>0.12285714285714286</v>
      </c>
      <c r="W78" s="25">
        <f t="shared" si="44"/>
        <v>0.14857142857142858</v>
      </c>
      <c r="X78" s="25">
        <f t="shared" si="45"/>
        <v>2.8571428571428571E-3</v>
      </c>
      <c r="Y78" s="26">
        <f t="shared" si="46"/>
        <v>62.368571428571428</v>
      </c>
    </row>
    <row r="79" spans="1:25" x14ac:dyDescent="0.25">
      <c r="A79" s="24" t="s">
        <v>238</v>
      </c>
      <c r="B79" s="24" t="s">
        <v>239</v>
      </c>
      <c r="C79" s="24" t="s">
        <v>153</v>
      </c>
      <c r="D79" s="24">
        <v>2</v>
      </c>
      <c r="E79" s="24"/>
      <c r="F79" s="24"/>
      <c r="G79" s="24"/>
      <c r="H79" s="24">
        <v>50</v>
      </c>
      <c r="I79" s="24">
        <v>20</v>
      </c>
      <c r="J79" s="24">
        <v>1</v>
      </c>
      <c r="K79" s="24">
        <v>352</v>
      </c>
      <c r="L79" s="24"/>
      <c r="M79" s="24">
        <v>423</v>
      </c>
      <c r="N79" s="26">
        <v>32.030732860520096</v>
      </c>
      <c r="O79" s="24" t="s">
        <v>210</v>
      </c>
      <c r="P79" s="24">
        <f t="shared" si="37"/>
        <v>352</v>
      </c>
      <c r="Q79" s="24">
        <f t="shared" si="38"/>
        <v>50</v>
      </c>
      <c r="R79" s="24">
        <f t="shared" si="39"/>
        <v>20</v>
      </c>
      <c r="S79" s="24">
        <f t="shared" si="40"/>
        <v>1</v>
      </c>
      <c r="T79" s="24">
        <f t="shared" si="41"/>
        <v>423</v>
      </c>
      <c r="U79" s="25">
        <f t="shared" si="42"/>
        <v>0.8321513002364066</v>
      </c>
      <c r="V79" s="25">
        <f t="shared" si="43"/>
        <v>0.1182033096926714</v>
      </c>
      <c r="W79" s="25">
        <f t="shared" si="44"/>
        <v>4.7281323877068557E-2</v>
      </c>
      <c r="X79" s="25">
        <f t="shared" si="45"/>
        <v>2.3640661938534278E-3</v>
      </c>
      <c r="Y79" s="26">
        <f t="shared" si="46"/>
        <v>32.030732860520096</v>
      </c>
    </row>
    <row r="80" spans="1:25" x14ac:dyDescent="0.25">
      <c r="A80" s="24" t="s">
        <v>240</v>
      </c>
      <c r="B80" s="24" t="s">
        <v>241</v>
      </c>
      <c r="C80" s="24" t="s">
        <v>155</v>
      </c>
      <c r="D80" s="24">
        <v>1</v>
      </c>
      <c r="E80" s="24">
        <v>1</v>
      </c>
      <c r="F80" s="24"/>
      <c r="G80" s="24"/>
      <c r="H80" s="24">
        <v>27</v>
      </c>
      <c r="I80" s="24">
        <v>53</v>
      </c>
      <c r="J80" s="24"/>
      <c r="K80" s="24">
        <v>83</v>
      </c>
      <c r="L80" s="24"/>
      <c r="M80" s="24">
        <v>164</v>
      </c>
      <c r="N80" s="26">
        <v>60.914634146341463</v>
      </c>
      <c r="O80" s="24" t="s">
        <v>210</v>
      </c>
      <c r="P80" s="24">
        <f t="shared" si="37"/>
        <v>83</v>
      </c>
      <c r="Q80" s="24">
        <f t="shared" si="38"/>
        <v>27</v>
      </c>
      <c r="R80" s="24">
        <f t="shared" si="39"/>
        <v>53</v>
      </c>
      <c r="S80" s="24">
        <f t="shared" si="40"/>
        <v>1</v>
      </c>
      <c r="T80" s="24">
        <f t="shared" si="41"/>
        <v>164</v>
      </c>
      <c r="U80" s="25">
        <f t="shared" si="42"/>
        <v>0.50609756097560976</v>
      </c>
      <c r="V80" s="25">
        <f t="shared" si="43"/>
        <v>0.16463414634146342</v>
      </c>
      <c r="W80" s="25">
        <f t="shared" si="44"/>
        <v>0.32317073170731708</v>
      </c>
      <c r="X80" s="25">
        <f t="shared" si="45"/>
        <v>6.0975609756097563E-3</v>
      </c>
      <c r="Y80" s="26">
        <f t="shared" si="46"/>
        <v>60.914634146341463</v>
      </c>
    </row>
    <row r="81" spans="1:25" x14ac:dyDescent="0.25">
      <c r="A81" s="24" t="s">
        <v>242</v>
      </c>
      <c r="B81" s="24" t="s">
        <v>243</v>
      </c>
      <c r="C81" s="24" t="s">
        <v>157</v>
      </c>
      <c r="D81" s="24">
        <v>1</v>
      </c>
      <c r="E81" s="24"/>
      <c r="F81" s="24"/>
      <c r="G81" s="24"/>
      <c r="H81" s="24">
        <v>175</v>
      </c>
      <c r="I81" s="24">
        <v>261</v>
      </c>
      <c r="J81" s="24">
        <v>1</v>
      </c>
      <c r="K81" s="24">
        <v>31</v>
      </c>
      <c r="L81" s="24"/>
      <c r="M81" s="24">
        <v>468</v>
      </c>
      <c r="N81" s="26">
        <v>59.371794871794869</v>
      </c>
      <c r="O81" s="24" t="s">
        <v>210</v>
      </c>
      <c r="P81" s="24">
        <f t="shared" si="37"/>
        <v>31</v>
      </c>
      <c r="Q81" s="24">
        <f t="shared" si="38"/>
        <v>175</v>
      </c>
      <c r="R81" s="24">
        <f t="shared" si="39"/>
        <v>261</v>
      </c>
      <c r="S81" s="24">
        <f t="shared" si="40"/>
        <v>1</v>
      </c>
      <c r="T81" s="24">
        <f t="shared" si="41"/>
        <v>468</v>
      </c>
      <c r="U81" s="25">
        <f t="shared" si="42"/>
        <v>6.623931623931624E-2</v>
      </c>
      <c r="V81" s="25">
        <f t="shared" si="43"/>
        <v>0.37393162393162394</v>
      </c>
      <c r="W81" s="25">
        <f t="shared" si="44"/>
        <v>0.55769230769230771</v>
      </c>
      <c r="X81" s="25">
        <f t="shared" si="45"/>
        <v>2.136752136752137E-3</v>
      </c>
      <c r="Y81" s="26">
        <f t="shared" si="46"/>
        <v>59.371794871794869</v>
      </c>
    </row>
    <row r="82" spans="1:25" x14ac:dyDescent="0.25">
      <c r="A82" s="24" t="s">
        <v>244</v>
      </c>
      <c r="B82" s="24" t="s">
        <v>245</v>
      </c>
      <c r="C82" s="24" t="s">
        <v>159</v>
      </c>
      <c r="D82" s="24">
        <v>1</v>
      </c>
      <c r="E82" s="24"/>
      <c r="F82" s="24"/>
      <c r="G82" s="24"/>
      <c r="H82" s="24">
        <v>356</v>
      </c>
      <c r="I82" s="24">
        <v>149</v>
      </c>
      <c r="J82" s="24">
        <v>1</v>
      </c>
      <c r="K82" s="24">
        <v>150</v>
      </c>
      <c r="L82" s="24"/>
      <c r="M82" s="24">
        <v>656</v>
      </c>
      <c r="N82" s="26">
        <v>52.048780487804876</v>
      </c>
      <c r="O82" s="24" t="s">
        <v>210</v>
      </c>
      <c r="P82" s="24">
        <f t="shared" si="37"/>
        <v>150</v>
      </c>
      <c r="Q82" s="24">
        <f t="shared" si="38"/>
        <v>356</v>
      </c>
      <c r="R82" s="24">
        <f t="shared" si="39"/>
        <v>149</v>
      </c>
      <c r="S82" s="24">
        <f t="shared" si="40"/>
        <v>1</v>
      </c>
      <c r="T82" s="24">
        <f t="shared" si="41"/>
        <v>656</v>
      </c>
      <c r="U82" s="25">
        <f t="shared" si="42"/>
        <v>0.22865853658536586</v>
      </c>
      <c r="V82" s="25">
        <f t="shared" si="43"/>
        <v>0.54268292682926833</v>
      </c>
      <c r="W82" s="25">
        <f t="shared" si="44"/>
        <v>0.22713414634146342</v>
      </c>
      <c r="X82" s="25">
        <f t="shared" si="45"/>
        <v>1.5243902439024391E-3</v>
      </c>
      <c r="Y82" s="26">
        <f t="shared" si="46"/>
        <v>52.048780487804876</v>
      </c>
    </row>
    <row r="83" spans="1:25" x14ac:dyDescent="0.25">
      <c r="A83" s="24" t="s">
        <v>246</v>
      </c>
      <c r="B83" s="24" t="s">
        <v>247</v>
      </c>
      <c r="C83" s="24" t="s">
        <v>161</v>
      </c>
      <c r="D83" s="24">
        <v>1</v>
      </c>
      <c r="E83" s="24"/>
      <c r="F83" s="24"/>
      <c r="G83" s="24"/>
      <c r="H83" s="24">
        <v>29</v>
      </c>
      <c r="I83" s="24">
        <v>29</v>
      </c>
      <c r="J83" s="24"/>
      <c r="K83" s="24">
        <v>342</v>
      </c>
      <c r="L83" s="24"/>
      <c r="M83" s="24">
        <v>400</v>
      </c>
      <c r="N83" s="26">
        <v>70.625</v>
      </c>
      <c r="O83" s="24" t="s">
        <v>210</v>
      </c>
      <c r="P83" s="24">
        <f t="shared" si="37"/>
        <v>342</v>
      </c>
      <c r="Q83" s="24">
        <f t="shared" si="38"/>
        <v>29</v>
      </c>
      <c r="R83" s="24">
        <f t="shared" si="39"/>
        <v>29</v>
      </c>
      <c r="S83" s="24">
        <f t="shared" si="40"/>
        <v>0</v>
      </c>
      <c r="T83" s="24">
        <f t="shared" si="41"/>
        <v>400</v>
      </c>
      <c r="U83" s="25">
        <f t="shared" si="42"/>
        <v>0.85499999999999998</v>
      </c>
      <c r="V83" s="25">
        <f t="shared" si="43"/>
        <v>7.2499999999999995E-2</v>
      </c>
      <c r="W83" s="25">
        <f t="shared" si="44"/>
        <v>7.2499999999999995E-2</v>
      </c>
      <c r="X83" s="25">
        <f t="shared" si="45"/>
        <v>0</v>
      </c>
      <c r="Y83" s="26">
        <f t="shared" si="46"/>
        <v>70.625</v>
      </c>
    </row>
    <row r="84" spans="1:25" x14ac:dyDescent="0.25">
      <c r="A84" s="24" t="s">
        <v>246</v>
      </c>
      <c r="B84" s="24" t="s">
        <v>247</v>
      </c>
      <c r="C84" s="24" t="s">
        <v>161</v>
      </c>
      <c r="D84" s="24">
        <v>2</v>
      </c>
      <c r="E84" s="24"/>
      <c r="F84" s="24">
        <v>1</v>
      </c>
      <c r="G84" s="24">
        <v>1</v>
      </c>
      <c r="H84" s="24">
        <v>13</v>
      </c>
      <c r="I84" s="24">
        <v>22</v>
      </c>
      <c r="J84" s="24"/>
      <c r="K84" s="24">
        <v>363</v>
      </c>
      <c r="L84" s="24"/>
      <c r="M84" s="24">
        <v>400</v>
      </c>
      <c r="N84" s="26">
        <v>58.182499999999997</v>
      </c>
      <c r="O84" s="24" t="s">
        <v>210</v>
      </c>
      <c r="P84" s="24">
        <f t="shared" si="37"/>
        <v>363</v>
      </c>
      <c r="Q84" s="24">
        <f t="shared" si="38"/>
        <v>13</v>
      </c>
      <c r="R84" s="24">
        <f t="shared" si="39"/>
        <v>22</v>
      </c>
      <c r="S84" s="24">
        <f t="shared" si="40"/>
        <v>2</v>
      </c>
      <c r="T84" s="24">
        <f t="shared" si="41"/>
        <v>400</v>
      </c>
      <c r="U84" s="25">
        <f t="shared" si="42"/>
        <v>0.90749999999999997</v>
      </c>
      <c r="V84" s="25">
        <f t="shared" si="43"/>
        <v>3.2500000000000001E-2</v>
      </c>
      <c r="W84" s="25">
        <f t="shared" si="44"/>
        <v>5.5E-2</v>
      </c>
      <c r="X84" s="25">
        <f t="shared" si="45"/>
        <v>5.0000000000000001E-3</v>
      </c>
      <c r="Y84" s="26">
        <f t="shared" si="46"/>
        <v>58.182499999999997</v>
      </c>
    </row>
    <row r="85" spans="1:25" x14ac:dyDescent="0.25">
      <c r="A85" s="24" t="s">
        <v>246</v>
      </c>
      <c r="B85" s="24" t="s">
        <v>247</v>
      </c>
      <c r="C85" s="24" t="s">
        <v>161</v>
      </c>
      <c r="D85" s="24">
        <v>3</v>
      </c>
      <c r="E85" s="24"/>
      <c r="F85" s="24">
        <v>1</v>
      </c>
      <c r="G85" s="24"/>
      <c r="H85" s="24">
        <v>16</v>
      </c>
      <c r="I85" s="24">
        <v>33</v>
      </c>
      <c r="J85" s="24">
        <v>1</v>
      </c>
      <c r="K85" s="24">
        <v>470</v>
      </c>
      <c r="L85" s="24"/>
      <c r="M85" s="24">
        <v>521</v>
      </c>
      <c r="N85" s="26">
        <v>44.927063339731284</v>
      </c>
      <c r="O85" s="24" t="s">
        <v>210</v>
      </c>
      <c r="P85" s="24">
        <f t="shared" si="37"/>
        <v>470</v>
      </c>
      <c r="Q85" s="24">
        <f t="shared" si="38"/>
        <v>16</v>
      </c>
      <c r="R85" s="24">
        <f t="shared" si="39"/>
        <v>33</v>
      </c>
      <c r="S85" s="24">
        <f t="shared" si="40"/>
        <v>2</v>
      </c>
      <c r="T85" s="24">
        <f t="shared" si="41"/>
        <v>521</v>
      </c>
      <c r="U85" s="25">
        <f t="shared" si="42"/>
        <v>0.90211132437619956</v>
      </c>
      <c r="V85" s="25">
        <f t="shared" si="43"/>
        <v>3.0710172744721688E-2</v>
      </c>
      <c r="W85" s="25">
        <f t="shared" si="44"/>
        <v>6.3339731285988479E-2</v>
      </c>
      <c r="X85" s="25">
        <f t="shared" si="45"/>
        <v>3.838771593090211E-3</v>
      </c>
      <c r="Y85" s="26">
        <f t="shared" si="46"/>
        <v>44.927063339731284</v>
      </c>
    </row>
    <row r="86" spans="1:25" x14ac:dyDescent="0.25">
      <c r="A86" s="24" t="s">
        <v>246</v>
      </c>
      <c r="B86" s="24" t="s">
        <v>247</v>
      </c>
      <c r="C86" s="24" t="s">
        <v>161</v>
      </c>
      <c r="D86" s="24">
        <v>4</v>
      </c>
      <c r="E86" s="24"/>
      <c r="F86" s="24"/>
      <c r="G86" s="24"/>
      <c r="H86" s="24">
        <v>5</v>
      </c>
      <c r="I86" s="24">
        <v>17</v>
      </c>
      <c r="J86" s="24"/>
      <c r="K86" s="24">
        <v>499</v>
      </c>
      <c r="L86" s="24"/>
      <c r="M86" s="24">
        <v>521</v>
      </c>
      <c r="N86" s="26">
        <v>36.324376199616125</v>
      </c>
      <c r="O86" s="24" t="s">
        <v>210</v>
      </c>
      <c r="P86" s="24">
        <f t="shared" si="37"/>
        <v>499</v>
      </c>
      <c r="Q86" s="24">
        <f t="shared" si="38"/>
        <v>5</v>
      </c>
      <c r="R86" s="24">
        <f t="shared" si="39"/>
        <v>17</v>
      </c>
      <c r="S86" s="24">
        <f t="shared" si="40"/>
        <v>0</v>
      </c>
      <c r="T86" s="24">
        <f t="shared" si="41"/>
        <v>521</v>
      </c>
      <c r="U86" s="25">
        <f t="shared" si="42"/>
        <v>0.95777351247600773</v>
      </c>
      <c r="V86" s="25">
        <f t="shared" si="43"/>
        <v>9.5969289827255271E-3</v>
      </c>
      <c r="W86" s="25">
        <f t="shared" si="44"/>
        <v>3.2629558541266791E-2</v>
      </c>
      <c r="X86" s="25">
        <f t="shared" si="45"/>
        <v>0</v>
      </c>
      <c r="Y86" s="26">
        <f t="shared" si="46"/>
        <v>36.324376199616125</v>
      </c>
    </row>
    <row r="87" spans="1:25" x14ac:dyDescent="0.25">
      <c r="A87" s="24" t="s">
        <v>246</v>
      </c>
      <c r="B87" s="24" t="s">
        <v>247</v>
      </c>
      <c r="C87" s="24" t="s">
        <v>161</v>
      </c>
      <c r="D87" s="24">
        <v>5</v>
      </c>
      <c r="E87" s="24"/>
      <c r="F87" s="24"/>
      <c r="G87" s="24"/>
      <c r="H87" s="24">
        <v>12</v>
      </c>
      <c r="I87" s="24">
        <v>26</v>
      </c>
      <c r="J87" s="24">
        <v>1</v>
      </c>
      <c r="K87" s="24">
        <v>484</v>
      </c>
      <c r="L87" s="24"/>
      <c r="M87" s="24">
        <v>523</v>
      </c>
      <c r="N87" s="26">
        <v>24.818355640535373</v>
      </c>
      <c r="O87" s="24" t="s">
        <v>210</v>
      </c>
      <c r="P87" s="24">
        <f t="shared" si="37"/>
        <v>484</v>
      </c>
      <c r="Q87" s="24">
        <f t="shared" si="38"/>
        <v>12</v>
      </c>
      <c r="R87" s="24">
        <f t="shared" si="39"/>
        <v>26</v>
      </c>
      <c r="S87" s="24">
        <f t="shared" si="40"/>
        <v>1</v>
      </c>
      <c r="T87" s="24">
        <f t="shared" si="41"/>
        <v>523</v>
      </c>
      <c r="U87" s="25">
        <f t="shared" si="42"/>
        <v>0.9254302103250478</v>
      </c>
      <c r="V87" s="25">
        <f t="shared" si="43"/>
        <v>2.2944550669216062E-2</v>
      </c>
      <c r="W87" s="25">
        <f t="shared" si="44"/>
        <v>4.9713193116634802E-2</v>
      </c>
      <c r="X87" s="25">
        <f t="shared" si="45"/>
        <v>1.9120458891013384E-3</v>
      </c>
      <c r="Y87" s="26">
        <f t="shared" si="46"/>
        <v>24.818355640535373</v>
      </c>
    </row>
    <row r="88" spans="1:25" x14ac:dyDescent="0.25">
      <c r="A88" s="24" t="s">
        <v>248</v>
      </c>
      <c r="B88" s="24" t="s">
        <v>249</v>
      </c>
      <c r="C88" s="24" t="s">
        <v>163</v>
      </c>
      <c r="D88" s="24">
        <v>1</v>
      </c>
      <c r="E88" s="24"/>
      <c r="F88" s="24"/>
      <c r="G88" s="24"/>
      <c r="H88" s="24">
        <v>47</v>
      </c>
      <c r="I88" s="24">
        <v>58</v>
      </c>
      <c r="J88" s="24">
        <v>1</v>
      </c>
      <c r="K88" s="24">
        <v>344</v>
      </c>
      <c r="L88" s="24"/>
      <c r="M88" s="24">
        <v>450</v>
      </c>
      <c r="N88" s="26">
        <v>68.331111111111113</v>
      </c>
      <c r="O88" s="24" t="s">
        <v>210</v>
      </c>
      <c r="P88" s="24">
        <f t="shared" si="37"/>
        <v>344</v>
      </c>
      <c r="Q88" s="24">
        <f t="shared" si="38"/>
        <v>47</v>
      </c>
      <c r="R88" s="24">
        <f t="shared" si="39"/>
        <v>58</v>
      </c>
      <c r="S88" s="24">
        <f t="shared" si="40"/>
        <v>1</v>
      </c>
      <c r="T88" s="24">
        <f t="shared" si="41"/>
        <v>450</v>
      </c>
      <c r="U88" s="25">
        <f t="shared" si="42"/>
        <v>0.76444444444444448</v>
      </c>
      <c r="V88" s="25">
        <f t="shared" si="43"/>
        <v>0.10444444444444445</v>
      </c>
      <c r="W88" s="25">
        <f t="shared" si="44"/>
        <v>0.12888888888888889</v>
      </c>
      <c r="X88" s="25">
        <f t="shared" si="45"/>
        <v>2.2222222222222222E-3</v>
      </c>
      <c r="Y88" s="26">
        <f t="shared" si="46"/>
        <v>68.331111111111113</v>
      </c>
    </row>
    <row r="89" spans="1:25" x14ac:dyDescent="0.25">
      <c r="A89" s="24" t="s">
        <v>248</v>
      </c>
      <c r="B89" s="24" t="s">
        <v>249</v>
      </c>
      <c r="C89" s="24" t="s">
        <v>163</v>
      </c>
      <c r="D89" s="24">
        <v>2</v>
      </c>
      <c r="E89" s="24"/>
      <c r="F89" s="24"/>
      <c r="G89" s="24"/>
      <c r="H89" s="24">
        <v>43</v>
      </c>
      <c r="I89" s="24">
        <v>58</v>
      </c>
      <c r="J89" s="24"/>
      <c r="K89" s="24">
        <v>349</v>
      </c>
      <c r="L89" s="24"/>
      <c r="M89" s="24">
        <v>450</v>
      </c>
      <c r="N89" s="26">
        <v>56.464444444444446</v>
      </c>
      <c r="O89" s="24" t="s">
        <v>210</v>
      </c>
      <c r="P89" s="24">
        <f t="shared" si="37"/>
        <v>349</v>
      </c>
      <c r="Q89" s="24">
        <f t="shared" si="38"/>
        <v>43</v>
      </c>
      <c r="R89" s="24">
        <f t="shared" si="39"/>
        <v>58</v>
      </c>
      <c r="S89" s="24">
        <f t="shared" si="40"/>
        <v>0</v>
      </c>
      <c r="T89" s="24">
        <f t="shared" si="41"/>
        <v>450</v>
      </c>
      <c r="U89" s="25">
        <f t="shared" si="42"/>
        <v>0.77555555555555555</v>
      </c>
      <c r="V89" s="25">
        <f t="shared" si="43"/>
        <v>9.555555555555556E-2</v>
      </c>
      <c r="W89" s="25">
        <f t="shared" si="44"/>
        <v>0.12888888888888889</v>
      </c>
      <c r="X89" s="25">
        <f t="shared" si="45"/>
        <v>0</v>
      </c>
      <c r="Y89" s="26">
        <f t="shared" si="46"/>
        <v>56.464444444444446</v>
      </c>
    </row>
    <row r="90" spans="1:25" x14ac:dyDescent="0.25">
      <c r="A90" s="24" t="s">
        <v>248</v>
      </c>
      <c r="B90" s="24" t="s">
        <v>249</v>
      </c>
      <c r="C90" s="24" t="s">
        <v>163</v>
      </c>
      <c r="D90" s="24">
        <v>3</v>
      </c>
      <c r="E90" s="24"/>
      <c r="F90" s="24"/>
      <c r="G90" s="24"/>
      <c r="H90" s="24">
        <v>23</v>
      </c>
      <c r="I90" s="24">
        <v>64</v>
      </c>
      <c r="J90" s="24"/>
      <c r="K90" s="24">
        <v>493</v>
      </c>
      <c r="L90" s="24"/>
      <c r="M90" s="24">
        <v>580</v>
      </c>
      <c r="N90" s="26">
        <v>45.229310344827589</v>
      </c>
      <c r="O90" s="24" t="s">
        <v>210</v>
      </c>
      <c r="P90" s="24">
        <f t="shared" si="37"/>
        <v>493</v>
      </c>
      <c r="Q90" s="24">
        <f t="shared" si="38"/>
        <v>23</v>
      </c>
      <c r="R90" s="24">
        <f t="shared" si="39"/>
        <v>64</v>
      </c>
      <c r="S90" s="24">
        <f t="shared" si="40"/>
        <v>0</v>
      </c>
      <c r="T90" s="24">
        <f t="shared" si="41"/>
        <v>580</v>
      </c>
      <c r="U90" s="25">
        <f t="shared" si="42"/>
        <v>0.85</v>
      </c>
      <c r="V90" s="25">
        <f t="shared" si="43"/>
        <v>3.9655172413793106E-2</v>
      </c>
      <c r="W90" s="25">
        <f t="shared" si="44"/>
        <v>0.1103448275862069</v>
      </c>
      <c r="X90" s="25">
        <f t="shared" si="45"/>
        <v>0</v>
      </c>
      <c r="Y90" s="26">
        <f t="shared" si="46"/>
        <v>45.229310344827589</v>
      </c>
    </row>
    <row r="91" spans="1:25" x14ac:dyDescent="0.25">
      <c r="A91" s="24" t="s">
        <v>248</v>
      </c>
      <c r="B91" s="24" t="s">
        <v>249</v>
      </c>
      <c r="C91" s="24" t="s">
        <v>163</v>
      </c>
      <c r="D91" s="24">
        <v>4</v>
      </c>
      <c r="E91" s="24"/>
      <c r="F91" s="24"/>
      <c r="G91" s="24"/>
      <c r="H91" s="24">
        <v>26</v>
      </c>
      <c r="I91" s="24">
        <v>64</v>
      </c>
      <c r="J91" s="24"/>
      <c r="K91" s="24">
        <v>490</v>
      </c>
      <c r="L91" s="24"/>
      <c r="M91" s="24">
        <v>580</v>
      </c>
      <c r="N91" s="26">
        <v>33.306896551724137</v>
      </c>
      <c r="O91" s="24" t="s">
        <v>210</v>
      </c>
      <c r="P91" s="24">
        <f t="shared" si="37"/>
        <v>490</v>
      </c>
      <c r="Q91" s="24">
        <f t="shared" si="38"/>
        <v>26</v>
      </c>
      <c r="R91" s="24">
        <f t="shared" si="39"/>
        <v>64</v>
      </c>
      <c r="S91" s="24">
        <f t="shared" si="40"/>
        <v>0</v>
      </c>
      <c r="T91" s="24">
        <f t="shared" si="41"/>
        <v>580</v>
      </c>
      <c r="U91" s="25">
        <f t="shared" si="42"/>
        <v>0.84482758620689657</v>
      </c>
      <c r="V91" s="25">
        <f t="shared" si="43"/>
        <v>4.4827586206896551E-2</v>
      </c>
      <c r="W91" s="25">
        <f t="shared" si="44"/>
        <v>0.1103448275862069</v>
      </c>
      <c r="X91" s="25">
        <f t="shared" si="45"/>
        <v>0</v>
      </c>
      <c r="Y91" s="26">
        <f t="shared" si="46"/>
        <v>33.306896551724137</v>
      </c>
    </row>
    <row r="92" spans="1:25" x14ac:dyDescent="0.25">
      <c r="A92" s="24" t="s">
        <v>248</v>
      </c>
      <c r="B92" s="24" t="s">
        <v>249</v>
      </c>
      <c r="C92" s="24" t="s">
        <v>163</v>
      </c>
      <c r="D92" s="24">
        <v>5</v>
      </c>
      <c r="E92" s="24"/>
      <c r="F92" s="24"/>
      <c r="G92" s="24"/>
      <c r="H92" s="24">
        <v>36</v>
      </c>
      <c r="I92" s="24">
        <v>64</v>
      </c>
      <c r="J92" s="24"/>
      <c r="K92" s="24">
        <v>482</v>
      </c>
      <c r="L92" s="24"/>
      <c r="M92" s="24">
        <v>582</v>
      </c>
      <c r="N92" s="26">
        <v>23.357388316151201</v>
      </c>
      <c r="O92" s="24" t="s">
        <v>210</v>
      </c>
      <c r="P92" s="24">
        <f t="shared" si="37"/>
        <v>482</v>
      </c>
      <c r="Q92" s="24">
        <f t="shared" si="38"/>
        <v>36</v>
      </c>
      <c r="R92" s="24">
        <f t="shared" si="39"/>
        <v>64</v>
      </c>
      <c r="S92" s="24">
        <f t="shared" si="40"/>
        <v>0</v>
      </c>
      <c r="T92" s="24">
        <f t="shared" si="41"/>
        <v>582</v>
      </c>
      <c r="U92" s="25">
        <f t="shared" si="42"/>
        <v>0.82817869415807566</v>
      </c>
      <c r="V92" s="25">
        <f t="shared" si="43"/>
        <v>6.1855670103092786E-2</v>
      </c>
      <c r="W92" s="25">
        <f t="shared" si="44"/>
        <v>0.10996563573883161</v>
      </c>
      <c r="X92" s="25">
        <f t="shared" si="45"/>
        <v>0</v>
      </c>
      <c r="Y92" s="26">
        <f t="shared" si="46"/>
        <v>23.357388316151201</v>
      </c>
    </row>
    <row r="93" spans="1:25" x14ac:dyDescent="0.25">
      <c r="A93" s="24" t="s">
        <v>250</v>
      </c>
      <c r="B93" s="24" t="s">
        <v>251</v>
      </c>
      <c r="C93" s="24" t="s">
        <v>165</v>
      </c>
      <c r="D93" s="24">
        <v>1</v>
      </c>
      <c r="E93" s="24"/>
      <c r="F93" s="24"/>
      <c r="G93" s="24"/>
      <c r="H93" s="24"/>
      <c r="I93" s="24">
        <v>8</v>
      </c>
      <c r="J93" s="24"/>
      <c r="K93" s="24">
        <v>392</v>
      </c>
      <c r="L93" s="24"/>
      <c r="M93" s="24">
        <v>400</v>
      </c>
      <c r="N93" s="26">
        <v>56.4375</v>
      </c>
      <c r="O93" s="24" t="s">
        <v>210</v>
      </c>
      <c r="P93" s="24">
        <f t="shared" si="37"/>
        <v>392</v>
      </c>
      <c r="Q93" s="24">
        <f t="shared" si="38"/>
        <v>0</v>
      </c>
      <c r="R93" s="24">
        <f t="shared" si="39"/>
        <v>8</v>
      </c>
      <c r="S93" s="24">
        <f t="shared" si="40"/>
        <v>0</v>
      </c>
      <c r="T93" s="24">
        <f t="shared" si="41"/>
        <v>400</v>
      </c>
      <c r="U93" s="25">
        <f t="shared" si="42"/>
        <v>0.98</v>
      </c>
      <c r="V93" s="25">
        <f t="shared" si="43"/>
        <v>0</v>
      </c>
      <c r="W93" s="25">
        <f t="shared" si="44"/>
        <v>0.02</v>
      </c>
      <c r="X93" s="25">
        <f t="shared" si="45"/>
        <v>0</v>
      </c>
      <c r="Y93" s="26">
        <f t="shared" si="46"/>
        <v>56.4375</v>
      </c>
    </row>
    <row r="94" spans="1:25" x14ac:dyDescent="0.25">
      <c r="A94" s="24" t="s">
        <v>250</v>
      </c>
      <c r="B94" s="24" t="s">
        <v>251</v>
      </c>
      <c r="C94" s="24" t="s">
        <v>165</v>
      </c>
      <c r="D94" s="24">
        <v>2</v>
      </c>
      <c r="E94" s="24"/>
      <c r="F94" s="24"/>
      <c r="G94" s="24"/>
      <c r="H94" s="24"/>
      <c r="I94" s="24">
        <v>7</v>
      </c>
      <c r="J94" s="24"/>
      <c r="K94" s="24">
        <v>425</v>
      </c>
      <c r="L94" s="24"/>
      <c r="M94" s="24">
        <v>432</v>
      </c>
      <c r="N94" s="26">
        <v>30.349537037037038</v>
      </c>
      <c r="O94" s="24" t="s">
        <v>210</v>
      </c>
      <c r="P94" s="24">
        <f t="shared" si="37"/>
        <v>425</v>
      </c>
      <c r="Q94" s="24">
        <f t="shared" si="38"/>
        <v>0</v>
      </c>
      <c r="R94" s="24">
        <f t="shared" si="39"/>
        <v>7</v>
      </c>
      <c r="S94" s="24">
        <f t="shared" si="40"/>
        <v>0</v>
      </c>
      <c r="T94" s="24">
        <f t="shared" si="41"/>
        <v>432</v>
      </c>
      <c r="U94" s="25">
        <f t="shared" si="42"/>
        <v>0.98379629629629628</v>
      </c>
      <c r="V94" s="25">
        <f t="shared" si="43"/>
        <v>0</v>
      </c>
      <c r="W94" s="25">
        <f t="shared" si="44"/>
        <v>1.6203703703703703E-2</v>
      </c>
      <c r="X94" s="25">
        <f t="shared" si="45"/>
        <v>0</v>
      </c>
      <c r="Y94" s="26">
        <f t="shared" si="46"/>
        <v>30.349537037037038</v>
      </c>
    </row>
    <row r="95" spans="1:25" x14ac:dyDescent="0.25">
      <c r="A95" s="24" t="s">
        <v>252</v>
      </c>
      <c r="B95" s="24" t="s">
        <v>253</v>
      </c>
      <c r="C95" s="24" t="s">
        <v>167</v>
      </c>
      <c r="D95" s="24">
        <v>1</v>
      </c>
      <c r="E95" s="24">
        <v>1</v>
      </c>
      <c r="F95" s="24"/>
      <c r="G95" s="24"/>
      <c r="H95" s="24"/>
      <c r="I95" s="24"/>
      <c r="J95" s="24"/>
      <c r="K95" s="24">
        <v>427</v>
      </c>
      <c r="L95" s="24">
        <v>5</v>
      </c>
      <c r="M95" s="24">
        <v>433</v>
      </c>
      <c r="N95" s="26">
        <v>47.339491916859124</v>
      </c>
      <c r="O95" s="24" t="s">
        <v>210</v>
      </c>
      <c r="P95" s="24">
        <f t="shared" si="37"/>
        <v>427</v>
      </c>
      <c r="Q95" s="24">
        <f t="shared" si="38"/>
        <v>0</v>
      </c>
      <c r="R95" s="24">
        <f t="shared" si="39"/>
        <v>0</v>
      </c>
      <c r="S95" s="24">
        <f t="shared" si="40"/>
        <v>6</v>
      </c>
      <c r="T95" s="24">
        <f t="shared" si="41"/>
        <v>433</v>
      </c>
      <c r="U95" s="25">
        <f t="shared" si="42"/>
        <v>0.98614318706697457</v>
      </c>
      <c r="V95" s="25">
        <f t="shared" si="43"/>
        <v>0</v>
      </c>
      <c r="W95" s="25">
        <f t="shared" si="44"/>
        <v>0</v>
      </c>
      <c r="X95" s="25">
        <f t="shared" si="45"/>
        <v>1.3856812933025405E-2</v>
      </c>
      <c r="Y95" s="26">
        <f t="shared" si="46"/>
        <v>47.339491916859124</v>
      </c>
    </row>
    <row r="96" spans="1:25" x14ac:dyDescent="0.25">
      <c r="A96" s="24" t="s">
        <v>254</v>
      </c>
      <c r="B96" s="24" t="s">
        <v>255</v>
      </c>
      <c r="C96" s="24" t="s">
        <v>169</v>
      </c>
      <c r="D96" s="24">
        <v>1</v>
      </c>
      <c r="E96" s="24"/>
      <c r="F96" s="24"/>
      <c r="G96" s="24">
        <v>1</v>
      </c>
      <c r="H96" s="24">
        <v>76</v>
      </c>
      <c r="I96" s="24">
        <v>99</v>
      </c>
      <c r="J96" s="24">
        <v>2</v>
      </c>
      <c r="K96" s="24">
        <v>272</v>
      </c>
      <c r="L96" s="24"/>
      <c r="M96" s="24">
        <v>450</v>
      </c>
      <c r="N96" s="26">
        <v>63.497777777777777</v>
      </c>
      <c r="O96" s="24" t="s">
        <v>210</v>
      </c>
      <c r="P96" s="24">
        <f t="shared" ref="P96:P103" si="47">K96</f>
        <v>272</v>
      </c>
      <c r="Q96" s="24">
        <f t="shared" ref="Q96:R103" si="48">H96</f>
        <v>76</v>
      </c>
      <c r="R96" s="24">
        <f t="shared" si="48"/>
        <v>99</v>
      </c>
      <c r="S96" s="24">
        <f t="shared" ref="S96:S103" si="49">M96-SUM(P96:R96)</f>
        <v>3</v>
      </c>
      <c r="T96" s="24">
        <f t="shared" ref="T96:T103" si="50">SUM(P96:S96)</f>
        <v>450</v>
      </c>
      <c r="U96" s="25">
        <f t="shared" ref="U96:U103" si="51">P96/M96</f>
        <v>0.60444444444444445</v>
      </c>
      <c r="V96" s="25">
        <f t="shared" ref="V96:V103" si="52">Q96/M96</f>
        <v>0.16888888888888889</v>
      </c>
      <c r="W96" s="25">
        <f t="shared" ref="W96:W103" si="53">R96/M96</f>
        <v>0.22</v>
      </c>
      <c r="X96" s="25">
        <f t="shared" ref="X96:X103" si="54">S96/M96</f>
        <v>6.6666666666666671E-3</v>
      </c>
      <c r="Y96" s="26">
        <f t="shared" ref="Y96:Y103" si="55">N96</f>
        <v>63.497777777777777</v>
      </c>
    </row>
    <row r="97" spans="1:25" x14ac:dyDescent="0.25">
      <c r="A97" s="24" t="s">
        <v>254</v>
      </c>
      <c r="B97" s="24" t="s">
        <v>255</v>
      </c>
      <c r="C97" s="24" t="s">
        <v>169</v>
      </c>
      <c r="D97" s="24">
        <v>2</v>
      </c>
      <c r="E97" s="24"/>
      <c r="F97" s="24"/>
      <c r="G97" s="24"/>
      <c r="H97" s="24">
        <v>61</v>
      </c>
      <c r="I97" s="24">
        <v>82</v>
      </c>
      <c r="J97" s="24">
        <v>2</v>
      </c>
      <c r="K97" s="24">
        <v>305</v>
      </c>
      <c r="L97" s="24"/>
      <c r="M97" s="24">
        <v>450</v>
      </c>
      <c r="N97" s="26">
        <v>58.662222222222219</v>
      </c>
      <c r="O97" s="24" t="s">
        <v>210</v>
      </c>
      <c r="P97" s="24">
        <f t="shared" si="47"/>
        <v>305</v>
      </c>
      <c r="Q97" s="24">
        <f t="shared" si="48"/>
        <v>61</v>
      </c>
      <c r="R97" s="24">
        <f t="shared" si="48"/>
        <v>82</v>
      </c>
      <c r="S97" s="24">
        <f t="shared" si="49"/>
        <v>2</v>
      </c>
      <c r="T97" s="24">
        <f t="shared" si="50"/>
        <v>450</v>
      </c>
      <c r="U97" s="25">
        <f t="shared" si="51"/>
        <v>0.67777777777777781</v>
      </c>
      <c r="V97" s="25">
        <f t="shared" si="52"/>
        <v>0.13555555555555557</v>
      </c>
      <c r="W97" s="25">
        <f t="shared" si="53"/>
        <v>0.18222222222222223</v>
      </c>
      <c r="X97" s="25">
        <f t="shared" si="54"/>
        <v>4.4444444444444444E-3</v>
      </c>
      <c r="Y97" s="26">
        <f t="shared" si="55"/>
        <v>58.662222222222219</v>
      </c>
    </row>
    <row r="98" spans="1:25" x14ac:dyDescent="0.25">
      <c r="A98" s="24" t="s">
        <v>254</v>
      </c>
      <c r="B98" s="24" t="s">
        <v>255</v>
      </c>
      <c r="C98" s="24" t="s">
        <v>169</v>
      </c>
      <c r="D98" s="24">
        <v>3</v>
      </c>
      <c r="E98" s="24"/>
      <c r="F98" s="24"/>
      <c r="G98" s="24"/>
      <c r="H98" s="24">
        <v>122</v>
      </c>
      <c r="I98" s="24">
        <v>152</v>
      </c>
      <c r="J98" s="24"/>
      <c r="K98" s="24">
        <v>336</v>
      </c>
      <c r="L98" s="24"/>
      <c r="M98" s="24">
        <v>610</v>
      </c>
      <c r="N98" s="26">
        <v>49.040983606557376</v>
      </c>
      <c r="O98" s="24" t="s">
        <v>210</v>
      </c>
      <c r="P98" s="24">
        <f t="shared" si="47"/>
        <v>336</v>
      </c>
      <c r="Q98" s="24">
        <f t="shared" si="48"/>
        <v>122</v>
      </c>
      <c r="R98" s="24">
        <f t="shared" si="48"/>
        <v>152</v>
      </c>
      <c r="S98" s="24">
        <f t="shared" si="49"/>
        <v>0</v>
      </c>
      <c r="T98" s="24">
        <f t="shared" si="50"/>
        <v>610</v>
      </c>
      <c r="U98" s="25">
        <f t="shared" si="51"/>
        <v>0.55081967213114758</v>
      </c>
      <c r="V98" s="25">
        <f t="shared" si="52"/>
        <v>0.2</v>
      </c>
      <c r="W98" s="25">
        <f t="shared" si="53"/>
        <v>0.24918032786885247</v>
      </c>
      <c r="X98" s="25">
        <f t="shared" si="54"/>
        <v>0</v>
      </c>
      <c r="Y98" s="26">
        <f t="shared" si="55"/>
        <v>49.040983606557376</v>
      </c>
    </row>
    <row r="99" spans="1:25" x14ac:dyDescent="0.25">
      <c r="A99" s="24" t="s">
        <v>254</v>
      </c>
      <c r="B99" s="24" t="s">
        <v>255</v>
      </c>
      <c r="C99" s="24" t="s">
        <v>169</v>
      </c>
      <c r="D99" s="24">
        <v>4</v>
      </c>
      <c r="E99" s="24"/>
      <c r="F99" s="24"/>
      <c r="G99" s="24"/>
      <c r="H99" s="24">
        <v>133</v>
      </c>
      <c r="I99" s="24">
        <v>153</v>
      </c>
      <c r="J99" s="24"/>
      <c r="K99" s="24">
        <v>324</v>
      </c>
      <c r="L99" s="24"/>
      <c r="M99" s="24">
        <v>610</v>
      </c>
      <c r="N99" s="26">
        <v>39.598360655737707</v>
      </c>
      <c r="O99" s="24" t="s">
        <v>210</v>
      </c>
      <c r="P99" s="24">
        <f t="shared" si="47"/>
        <v>324</v>
      </c>
      <c r="Q99" s="24">
        <f t="shared" si="48"/>
        <v>133</v>
      </c>
      <c r="R99" s="24">
        <f t="shared" si="48"/>
        <v>153</v>
      </c>
      <c r="S99" s="24">
        <f t="shared" si="49"/>
        <v>0</v>
      </c>
      <c r="T99" s="24">
        <f t="shared" si="50"/>
        <v>610</v>
      </c>
      <c r="U99" s="25">
        <f t="shared" si="51"/>
        <v>0.5311475409836065</v>
      </c>
      <c r="V99" s="25">
        <f t="shared" si="52"/>
        <v>0.21803278688524591</v>
      </c>
      <c r="W99" s="25">
        <f t="shared" si="53"/>
        <v>0.25081967213114753</v>
      </c>
      <c r="X99" s="25">
        <f t="shared" si="54"/>
        <v>0</v>
      </c>
      <c r="Y99" s="26">
        <f t="shared" si="55"/>
        <v>39.598360655737707</v>
      </c>
    </row>
    <row r="100" spans="1:25" x14ac:dyDescent="0.25">
      <c r="A100" s="24" t="s">
        <v>254</v>
      </c>
      <c r="B100" s="24" t="s">
        <v>255</v>
      </c>
      <c r="C100" s="24" t="s">
        <v>169</v>
      </c>
      <c r="D100" s="24">
        <v>5</v>
      </c>
      <c r="E100" s="24"/>
      <c r="F100" s="24"/>
      <c r="G100" s="24"/>
      <c r="H100" s="24">
        <v>99</v>
      </c>
      <c r="I100" s="24">
        <v>105</v>
      </c>
      <c r="J100" s="24"/>
      <c r="K100" s="24">
        <v>406</v>
      </c>
      <c r="L100" s="24"/>
      <c r="M100" s="24">
        <v>610</v>
      </c>
      <c r="N100" s="26">
        <v>33.916393442622947</v>
      </c>
      <c r="O100" s="24" t="s">
        <v>210</v>
      </c>
      <c r="P100" s="24">
        <f t="shared" si="47"/>
        <v>406</v>
      </c>
      <c r="Q100" s="24">
        <f t="shared" si="48"/>
        <v>99</v>
      </c>
      <c r="R100" s="24">
        <f t="shared" si="48"/>
        <v>105</v>
      </c>
      <c r="S100" s="24">
        <f t="shared" si="49"/>
        <v>0</v>
      </c>
      <c r="T100" s="24">
        <f t="shared" si="50"/>
        <v>610</v>
      </c>
      <c r="U100" s="25">
        <f t="shared" si="51"/>
        <v>0.66557377049180333</v>
      </c>
      <c r="V100" s="25">
        <f t="shared" si="52"/>
        <v>0.16229508196721312</v>
      </c>
      <c r="W100" s="25">
        <f t="shared" si="53"/>
        <v>0.1721311475409836</v>
      </c>
      <c r="X100" s="25">
        <f t="shared" si="54"/>
        <v>0</v>
      </c>
      <c r="Y100" s="26">
        <f t="shared" si="55"/>
        <v>33.916393442622947</v>
      </c>
    </row>
    <row r="101" spans="1:25" x14ac:dyDescent="0.25">
      <c r="A101" s="24" t="s">
        <v>254</v>
      </c>
      <c r="B101" s="24" t="s">
        <v>255</v>
      </c>
      <c r="C101" s="24" t="s">
        <v>169</v>
      </c>
      <c r="D101" s="24">
        <v>6</v>
      </c>
      <c r="E101" s="24"/>
      <c r="F101" s="24"/>
      <c r="G101" s="24"/>
      <c r="H101" s="24">
        <v>87</v>
      </c>
      <c r="I101" s="24">
        <v>97</v>
      </c>
      <c r="J101" s="24">
        <v>2</v>
      </c>
      <c r="K101" s="24">
        <v>424</v>
      </c>
      <c r="L101" s="24"/>
      <c r="M101" s="24">
        <v>610</v>
      </c>
      <c r="N101" s="26">
        <v>29.675409836065572</v>
      </c>
      <c r="O101" s="24" t="s">
        <v>210</v>
      </c>
      <c r="P101" s="24">
        <f t="shared" si="47"/>
        <v>424</v>
      </c>
      <c r="Q101" s="24">
        <f t="shared" si="48"/>
        <v>87</v>
      </c>
      <c r="R101" s="24">
        <f t="shared" si="48"/>
        <v>97</v>
      </c>
      <c r="S101" s="24">
        <f t="shared" si="49"/>
        <v>2</v>
      </c>
      <c r="T101" s="24">
        <f t="shared" si="50"/>
        <v>610</v>
      </c>
      <c r="U101" s="25">
        <f t="shared" si="51"/>
        <v>0.69508196721311477</v>
      </c>
      <c r="V101" s="25">
        <f t="shared" si="52"/>
        <v>0.14262295081967213</v>
      </c>
      <c r="W101" s="25">
        <f t="shared" si="53"/>
        <v>0.15901639344262294</v>
      </c>
      <c r="X101" s="25">
        <f t="shared" si="54"/>
        <v>3.2786885245901639E-3</v>
      </c>
      <c r="Y101" s="26">
        <f t="shared" si="55"/>
        <v>29.675409836065572</v>
      </c>
    </row>
    <row r="102" spans="1:25" x14ac:dyDescent="0.25">
      <c r="A102" s="24" t="s">
        <v>254</v>
      </c>
      <c r="B102" s="24" t="s">
        <v>255</v>
      </c>
      <c r="C102" s="24" t="s">
        <v>169</v>
      </c>
      <c r="D102" s="24">
        <v>7</v>
      </c>
      <c r="E102" s="24">
        <v>1</v>
      </c>
      <c r="F102" s="24"/>
      <c r="G102" s="24"/>
      <c r="H102" s="24">
        <v>102</v>
      </c>
      <c r="I102" s="24">
        <v>99</v>
      </c>
      <c r="J102" s="24"/>
      <c r="K102" s="24">
        <v>408</v>
      </c>
      <c r="L102" s="24"/>
      <c r="M102" s="24">
        <v>610</v>
      </c>
      <c r="N102" s="26">
        <v>25.588524590163935</v>
      </c>
      <c r="O102" s="24" t="s">
        <v>210</v>
      </c>
      <c r="P102" s="24">
        <f t="shared" si="47"/>
        <v>408</v>
      </c>
      <c r="Q102" s="24">
        <f t="shared" si="48"/>
        <v>102</v>
      </c>
      <c r="R102" s="24">
        <f t="shared" si="48"/>
        <v>99</v>
      </c>
      <c r="S102" s="24">
        <f t="shared" si="49"/>
        <v>1</v>
      </c>
      <c r="T102" s="24">
        <f t="shared" si="50"/>
        <v>610</v>
      </c>
      <c r="U102" s="25">
        <f t="shared" si="51"/>
        <v>0.66885245901639345</v>
      </c>
      <c r="V102" s="25">
        <f t="shared" si="52"/>
        <v>0.16721311475409836</v>
      </c>
      <c r="W102" s="25">
        <f t="shared" si="53"/>
        <v>0.16229508196721312</v>
      </c>
      <c r="X102" s="25">
        <f t="shared" si="54"/>
        <v>1.639344262295082E-3</v>
      </c>
      <c r="Y102" s="26">
        <f t="shared" si="55"/>
        <v>25.588524590163935</v>
      </c>
    </row>
    <row r="103" spans="1:25" x14ac:dyDescent="0.25">
      <c r="A103" s="24" t="s">
        <v>254</v>
      </c>
      <c r="B103" s="24" t="s">
        <v>255</v>
      </c>
      <c r="C103" s="24" t="s">
        <v>169</v>
      </c>
      <c r="D103" s="24">
        <v>8</v>
      </c>
      <c r="E103" s="24"/>
      <c r="F103" s="24"/>
      <c r="G103" s="24"/>
      <c r="H103" s="24">
        <v>84</v>
      </c>
      <c r="I103" s="24">
        <v>132</v>
      </c>
      <c r="J103" s="24"/>
      <c r="K103" s="24">
        <v>398</v>
      </c>
      <c r="L103" s="24"/>
      <c r="M103" s="24">
        <v>614</v>
      </c>
      <c r="N103" s="26">
        <v>20.71172638436482</v>
      </c>
      <c r="O103" s="24" t="s">
        <v>210</v>
      </c>
      <c r="P103" s="24">
        <f t="shared" si="47"/>
        <v>398</v>
      </c>
      <c r="Q103" s="24">
        <f t="shared" si="48"/>
        <v>84</v>
      </c>
      <c r="R103" s="24">
        <f t="shared" si="48"/>
        <v>132</v>
      </c>
      <c r="S103" s="24">
        <f t="shared" si="49"/>
        <v>0</v>
      </c>
      <c r="T103" s="24">
        <f t="shared" si="50"/>
        <v>614</v>
      </c>
      <c r="U103" s="25">
        <f t="shared" si="51"/>
        <v>0.64820846905537455</v>
      </c>
      <c r="V103" s="25">
        <f t="shared" si="52"/>
        <v>0.13680781758957655</v>
      </c>
      <c r="W103" s="25">
        <f t="shared" si="53"/>
        <v>0.21498371335504887</v>
      </c>
      <c r="X103" s="25">
        <f t="shared" si="54"/>
        <v>0</v>
      </c>
      <c r="Y103" s="26">
        <f t="shared" si="55"/>
        <v>20.71172638436482</v>
      </c>
    </row>
    <row r="104" spans="1:25" x14ac:dyDescent="0.25">
      <c r="A104" s="24" t="s">
        <v>254</v>
      </c>
      <c r="B104" s="24" t="s">
        <v>255</v>
      </c>
      <c r="C104" s="24" t="s">
        <v>170</v>
      </c>
      <c r="D104" s="24">
        <v>1</v>
      </c>
      <c r="E104" s="24"/>
      <c r="F104" s="24"/>
      <c r="G104" s="24"/>
      <c r="H104" s="24">
        <v>24</v>
      </c>
      <c r="I104" s="24">
        <v>88</v>
      </c>
      <c r="J104" s="24">
        <v>1</v>
      </c>
      <c r="K104" s="24">
        <v>287</v>
      </c>
      <c r="L104" s="24"/>
      <c r="M104" s="24">
        <v>400</v>
      </c>
      <c r="N104" s="26">
        <v>67.257499999999993</v>
      </c>
      <c r="O104" s="24" t="s">
        <v>210</v>
      </c>
      <c r="P104" s="24">
        <f t="shared" si="37"/>
        <v>287</v>
      </c>
      <c r="Q104" s="24">
        <f t="shared" si="38"/>
        <v>24</v>
      </c>
      <c r="R104" s="24">
        <f t="shared" si="39"/>
        <v>88</v>
      </c>
      <c r="S104" s="24">
        <f t="shared" si="40"/>
        <v>1</v>
      </c>
      <c r="T104" s="24">
        <f t="shared" si="41"/>
        <v>400</v>
      </c>
      <c r="U104" s="25">
        <f t="shared" si="42"/>
        <v>0.71750000000000003</v>
      </c>
      <c r="V104" s="25">
        <f t="shared" si="43"/>
        <v>0.06</v>
      </c>
      <c r="W104" s="25">
        <f t="shared" si="44"/>
        <v>0.22</v>
      </c>
      <c r="X104" s="25">
        <f t="shared" si="45"/>
        <v>2.5000000000000001E-3</v>
      </c>
      <c r="Y104" s="26">
        <f t="shared" si="46"/>
        <v>67.257499999999993</v>
      </c>
    </row>
    <row r="105" spans="1:25" x14ac:dyDescent="0.25">
      <c r="A105" s="24" t="s">
        <v>254</v>
      </c>
      <c r="B105" s="24" t="s">
        <v>255</v>
      </c>
      <c r="C105" s="24" t="s">
        <v>170</v>
      </c>
      <c r="D105" s="24">
        <v>2</v>
      </c>
      <c r="E105" s="24"/>
      <c r="F105" s="24">
        <v>1</v>
      </c>
      <c r="G105" s="24"/>
      <c r="H105" s="24">
        <v>1</v>
      </c>
      <c r="I105" s="24">
        <v>43</v>
      </c>
      <c r="J105" s="24"/>
      <c r="K105" s="24">
        <v>366</v>
      </c>
      <c r="L105" s="24"/>
      <c r="M105" s="24">
        <v>411</v>
      </c>
      <c r="N105" s="26">
        <v>49.274939172749392</v>
      </c>
      <c r="O105" s="24" t="s">
        <v>210</v>
      </c>
      <c r="P105" s="24">
        <f t="shared" si="37"/>
        <v>366</v>
      </c>
      <c r="Q105" s="24">
        <f t="shared" si="38"/>
        <v>1</v>
      </c>
      <c r="R105" s="24">
        <f t="shared" si="39"/>
        <v>43</v>
      </c>
      <c r="S105" s="24">
        <f t="shared" si="40"/>
        <v>1</v>
      </c>
      <c r="T105" s="24">
        <f t="shared" si="41"/>
        <v>411</v>
      </c>
      <c r="U105" s="25">
        <f t="shared" si="42"/>
        <v>0.89051094890510951</v>
      </c>
      <c r="V105" s="25">
        <f t="shared" si="43"/>
        <v>2.4330900243309003E-3</v>
      </c>
      <c r="W105" s="25">
        <f t="shared" si="44"/>
        <v>0.10462287104622871</v>
      </c>
      <c r="X105" s="25">
        <f t="shared" si="45"/>
        <v>2.4330900243309003E-3</v>
      </c>
      <c r="Y105" s="26">
        <f t="shared" si="46"/>
        <v>49.274939172749392</v>
      </c>
    </row>
    <row r="106" spans="1:25" x14ac:dyDescent="0.25">
      <c r="A106" s="24" t="s">
        <v>254</v>
      </c>
      <c r="B106" s="24" t="s">
        <v>255</v>
      </c>
      <c r="C106" s="24" t="s">
        <v>170</v>
      </c>
      <c r="D106" s="24">
        <v>3</v>
      </c>
      <c r="E106" s="24"/>
      <c r="F106" s="24"/>
      <c r="G106" s="24"/>
      <c r="H106" s="24">
        <v>3</v>
      </c>
      <c r="I106" s="24">
        <v>16</v>
      </c>
      <c r="J106" s="24"/>
      <c r="K106" s="24">
        <v>393</v>
      </c>
      <c r="L106" s="24"/>
      <c r="M106" s="24">
        <v>412</v>
      </c>
      <c r="N106" s="26">
        <v>28.526699029126213</v>
      </c>
      <c r="O106" s="24" t="s">
        <v>210</v>
      </c>
      <c r="P106" s="24">
        <f t="shared" si="37"/>
        <v>393</v>
      </c>
      <c r="Q106" s="24">
        <f t="shared" si="38"/>
        <v>3</v>
      </c>
      <c r="R106" s="24">
        <f t="shared" si="39"/>
        <v>16</v>
      </c>
      <c r="S106" s="24">
        <f t="shared" si="40"/>
        <v>0</v>
      </c>
      <c r="T106" s="24">
        <f t="shared" si="41"/>
        <v>412</v>
      </c>
      <c r="U106" s="25">
        <f t="shared" si="42"/>
        <v>0.95388349514563109</v>
      </c>
      <c r="V106" s="25">
        <f t="shared" si="43"/>
        <v>7.2815533980582527E-3</v>
      </c>
      <c r="W106" s="25">
        <f t="shared" si="44"/>
        <v>3.8834951456310676E-2</v>
      </c>
      <c r="X106" s="25">
        <f t="shared" si="45"/>
        <v>0</v>
      </c>
      <c r="Y106" s="26">
        <f t="shared" si="46"/>
        <v>28.526699029126213</v>
      </c>
    </row>
    <row r="107" spans="1:25" x14ac:dyDescent="0.25">
      <c r="A107" s="24" t="s">
        <v>256</v>
      </c>
      <c r="B107" s="24" t="s">
        <v>257</v>
      </c>
      <c r="C107" s="24" t="s">
        <v>172</v>
      </c>
      <c r="D107" s="24">
        <v>1</v>
      </c>
      <c r="E107" s="24"/>
      <c r="F107" s="24"/>
      <c r="G107" s="24"/>
      <c r="H107" s="24">
        <v>359</v>
      </c>
      <c r="I107" s="24">
        <v>46</v>
      </c>
      <c r="J107" s="24">
        <v>1</v>
      </c>
      <c r="K107" s="24">
        <v>44</v>
      </c>
      <c r="L107" s="24"/>
      <c r="M107" s="24">
        <v>450</v>
      </c>
      <c r="N107" s="26">
        <v>73.926666666666662</v>
      </c>
      <c r="O107" s="24" t="s">
        <v>210</v>
      </c>
      <c r="P107" s="24">
        <f t="shared" si="37"/>
        <v>44</v>
      </c>
      <c r="Q107" s="24">
        <f t="shared" si="38"/>
        <v>359</v>
      </c>
      <c r="R107" s="24">
        <f t="shared" si="39"/>
        <v>46</v>
      </c>
      <c r="S107" s="24">
        <f t="shared" si="40"/>
        <v>1</v>
      </c>
      <c r="T107" s="24">
        <f t="shared" si="41"/>
        <v>450</v>
      </c>
      <c r="U107" s="25">
        <f t="shared" si="42"/>
        <v>9.7777777777777783E-2</v>
      </c>
      <c r="V107" s="25">
        <f t="shared" si="43"/>
        <v>0.79777777777777781</v>
      </c>
      <c r="W107" s="25">
        <f t="shared" si="44"/>
        <v>0.10222222222222223</v>
      </c>
      <c r="X107" s="25">
        <f t="shared" si="45"/>
        <v>2.2222222222222222E-3</v>
      </c>
      <c r="Y107" s="26">
        <f t="shared" si="46"/>
        <v>73.926666666666662</v>
      </c>
    </row>
    <row r="108" spans="1:25" x14ac:dyDescent="0.25">
      <c r="A108" s="24" t="s">
        <v>256</v>
      </c>
      <c r="B108" s="24" t="s">
        <v>257</v>
      </c>
      <c r="C108" s="24" t="s">
        <v>172</v>
      </c>
      <c r="D108" s="24">
        <v>2</v>
      </c>
      <c r="E108" s="24"/>
      <c r="F108" s="24"/>
      <c r="G108" s="24"/>
      <c r="H108" s="24">
        <v>343</v>
      </c>
      <c r="I108" s="24">
        <v>58</v>
      </c>
      <c r="J108" s="24"/>
      <c r="K108" s="24">
        <v>49</v>
      </c>
      <c r="L108" s="24"/>
      <c r="M108" s="24">
        <v>450</v>
      </c>
      <c r="N108" s="26">
        <v>68.286666666666662</v>
      </c>
      <c r="O108" s="24" t="s">
        <v>210</v>
      </c>
      <c r="P108" s="24">
        <f t="shared" si="37"/>
        <v>49</v>
      </c>
      <c r="Q108" s="24">
        <f t="shared" si="38"/>
        <v>343</v>
      </c>
      <c r="R108" s="24">
        <f t="shared" si="39"/>
        <v>58</v>
      </c>
      <c r="S108" s="24">
        <f t="shared" si="40"/>
        <v>0</v>
      </c>
      <c r="T108" s="24">
        <f t="shared" si="41"/>
        <v>450</v>
      </c>
      <c r="U108" s="25">
        <f t="shared" si="42"/>
        <v>0.10888888888888888</v>
      </c>
      <c r="V108" s="25">
        <f t="shared" si="43"/>
        <v>0.76222222222222225</v>
      </c>
      <c r="W108" s="25">
        <f t="shared" si="44"/>
        <v>0.12888888888888889</v>
      </c>
      <c r="X108" s="25">
        <f t="shared" si="45"/>
        <v>0</v>
      </c>
      <c r="Y108" s="26">
        <f t="shared" si="46"/>
        <v>68.286666666666662</v>
      </c>
    </row>
    <row r="109" spans="1:25" x14ac:dyDescent="0.25">
      <c r="A109" s="24" t="s">
        <v>256</v>
      </c>
      <c r="B109" s="24" t="s">
        <v>257</v>
      </c>
      <c r="C109" s="24" t="s">
        <v>172</v>
      </c>
      <c r="D109" s="24">
        <v>3</v>
      </c>
      <c r="E109" s="24"/>
      <c r="F109" s="24"/>
      <c r="G109" s="24"/>
      <c r="H109" s="24">
        <v>326</v>
      </c>
      <c r="I109" s="24">
        <v>49</v>
      </c>
      <c r="J109" s="24">
        <v>1</v>
      </c>
      <c r="K109" s="24">
        <v>74</v>
      </c>
      <c r="L109" s="24"/>
      <c r="M109" s="24">
        <v>450</v>
      </c>
      <c r="N109" s="26">
        <v>61.086666666666666</v>
      </c>
      <c r="O109" s="24" t="s">
        <v>210</v>
      </c>
      <c r="P109" s="24">
        <f t="shared" si="37"/>
        <v>74</v>
      </c>
      <c r="Q109" s="24">
        <f t="shared" si="38"/>
        <v>326</v>
      </c>
      <c r="R109" s="24">
        <f t="shared" si="39"/>
        <v>49</v>
      </c>
      <c r="S109" s="24">
        <f t="shared" si="40"/>
        <v>1</v>
      </c>
      <c r="T109" s="24">
        <f t="shared" si="41"/>
        <v>450</v>
      </c>
      <c r="U109" s="25">
        <f t="shared" si="42"/>
        <v>0.16444444444444445</v>
      </c>
      <c r="V109" s="25">
        <f t="shared" si="43"/>
        <v>0.72444444444444445</v>
      </c>
      <c r="W109" s="25">
        <f t="shared" si="44"/>
        <v>0.10888888888888888</v>
      </c>
      <c r="X109" s="25">
        <f t="shared" si="45"/>
        <v>2.2222222222222222E-3</v>
      </c>
      <c r="Y109" s="26">
        <f t="shared" si="46"/>
        <v>61.086666666666666</v>
      </c>
    </row>
    <row r="110" spans="1:25" x14ac:dyDescent="0.25">
      <c r="A110" s="24" t="s">
        <v>256</v>
      </c>
      <c r="B110" s="24" t="s">
        <v>257</v>
      </c>
      <c r="C110" s="24" t="s">
        <v>172</v>
      </c>
      <c r="D110" s="24">
        <v>4</v>
      </c>
      <c r="E110" s="24"/>
      <c r="F110" s="24">
        <v>1</v>
      </c>
      <c r="G110" s="24"/>
      <c r="H110" s="24">
        <v>471</v>
      </c>
      <c r="I110" s="24">
        <v>87</v>
      </c>
      <c r="J110" s="24">
        <v>1</v>
      </c>
      <c r="K110" s="24">
        <v>102</v>
      </c>
      <c r="L110" s="24"/>
      <c r="M110" s="24">
        <v>662</v>
      </c>
      <c r="N110" s="26">
        <v>53.383685800604226</v>
      </c>
      <c r="O110" s="24" t="s">
        <v>210</v>
      </c>
      <c r="P110" s="24">
        <f t="shared" si="37"/>
        <v>102</v>
      </c>
      <c r="Q110" s="24">
        <f t="shared" si="38"/>
        <v>471</v>
      </c>
      <c r="R110" s="24">
        <f t="shared" si="39"/>
        <v>87</v>
      </c>
      <c r="S110" s="24">
        <f t="shared" si="40"/>
        <v>2</v>
      </c>
      <c r="T110" s="24">
        <f t="shared" si="41"/>
        <v>662</v>
      </c>
      <c r="U110" s="25">
        <f t="shared" si="42"/>
        <v>0.15407854984894259</v>
      </c>
      <c r="V110" s="25">
        <f t="shared" si="43"/>
        <v>0.71148036253776437</v>
      </c>
      <c r="W110" s="25">
        <f t="shared" si="44"/>
        <v>0.13141993957703926</v>
      </c>
      <c r="X110" s="25">
        <f t="shared" si="45"/>
        <v>3.0211480362537764E-3</v>
      </c>
      <c r="Y110" s="26">
        <f t="shared" si="46"/>
        <v>53.383685800604226</v>
      </c>
    </row>
    <row r="111" spans="1:25" x14ac:dyDescent="0.25">
      <c r="A111" s="24" t="s">
        <v>256</v>
      </c>
      <c r="B111" s="24" t="s">
        <v>257</v>
      </c>
      <c r="C111" s="24" t="s">
        <v>172</v>
      </c>
      <c r="D111" s="24">
        <v>5</v>
      </c>
      <c r="E111" s="24"/>
      <c r="F111" s="24">
        <v>1</v>
      </c>
      <c r="G111" s="24">
        <v>2</v>
      </c>
      <c r="H111" s="24">
        <v>349</v>
      </c>
      <c r="I111" s="24">
        <v>151</v>
      </c>
      <c r="J111" s="24">
        <v>3</v>
      </c>
      <c r="K111" s="24">
        <v>155</v>
      </c>
      <c r="L111" s="24">
        <v>1</v>
      </c>
      <c r="M111" s="24">
        <v>662</v>
      </c>
      <c r="N111" s="26">
        <v>42.898791540785496</v>
      </c>
      <c r="O111" s="24" t="s">
        <v>210</v>
      </c>
      <c r="P111" s="24">
        <f t="shared" si="37"/>
        <v>155</v>
      </c>
      <c r="Q111" s="24">
        <f t="shared" si="38"/>
        <v>349</v>
      </c>
      <c r="R111" s="24">
        <f t="shared" si="39"/>
        <v>151</v>
      </c>
      <c r="S111" s="24">
        <f t="shared" si="40"/>
        <v>7</v>
      </c>
      <c r="T111" s="24">
        <f t="shared" si="41"/>
        <v>662</v>
      </c>
      <c r="U111" s="25">
        <f t="shared" si="42"/>
        <v>0.23413897280966767</v>
      </c>
      <c r="V111" s="25">
        <f t="shared" si="43"/>
        <v>0.52719033232628398</v>
      </c>
      <c r="W111" s="25">
        <f t="shared" si="44"/>
        <v>0.22809667673716011</v>
      </c>
      <c r="X111" s="25">
        <f t="shared" si="45"/>
        <v>1.0574018126888218E-2</v>
      </c>
      <c r="Y111" s="26">
        <f t="shared" si="46"/>
        <v>42.898791540785496</v>
      </c>
    </row>
    <row r="112" spans="1:25" x14ac:dyDescent="0.25">
      <c r="A112" s="24" t="s">
        <v>256</v>
      </c>
      <c r="B112" s="24" t="s">
        <v>257</v>
      </c>
      <c r="C112" s="24" t="s">
        <v>172</v>
      </c>
      <c r="D112" s="24">
        <v>6</v>
      </c>
      <c r="E112" s="24"/>
      <c r="F112" s="24"/>
      <c r="G112" s="24"/>
      <c r="H112" s="24">
        <v>259</v>
      </c>
      <c r="I112" s="24">
        <v>146</v>
      </c>
      <c r="J112" s="24"/>
      <c r="K112" s="24">
        <v>257</v>
      </c>
      <c r="L112" s="24"/>
      <c r="M112" s="24">
        <v>662</v>
      </c>
      <c r="N112" s="26">
        <v>32.800604229607252</v>
      </c>
      <c r="O112" s="24" t="s">
        <v>210</v>
      </c>
      <c r="P112" s="24">
        <f t="shared" si="37"/>
        <v>257</v>
      </c>
      <c r="Q112" s="24">
        <f t="shared" si="38"/>
        <v>259</v>
      </c>
      <c r="R112" s="24">
        <f t="shared" si="39"/>
        <v>146</v>
      </c>
      <c r="S112" s="24">
        <f t="shared" si="40"/>
        <v>0</v>
      </c>
      <c r="T112" s="24">
        <f t="shared" si="41"/>
        <v>662</v>
      </c>
      <c r="U112" s="25">
        <f t="shared" si="42"/>
        <v>0.38821752265861026</v>
      </c>
      <c r="V112" s="25">
        <f t="shared" si="43"/>
        <v>0.39123867069486407</v>
      </c>
      <c r="W112" s="25">
        <f t="shared" si="44"/>
        <v>0.22054380664652568</v>
      </c>
      <c r="X112" s="25">
        <f t="shared" si="45"/>
        <v>0</v>
      </c>
      <c r="Y112" s="26">
        <f t="shared" si="46"/>
        <v>32.800604229607252</v>
      </c>
    </row>
    <row r="113" spans="1:25" x14ac:dyDescent="0.25">
      <c r="A113" s="24" t="s">
        <v>256</v>
      </c>
      <c r="B113" s="24" t="s">
        <v>257</v>
      </c>
      <c r="C113" s="24" t="s">
        <v>172</v>
      </c>
      <c r="D113" s="24">
        <v>7</v>
      </c>
      <c r="E113" s="24"/>
      <c r="F113" s="24"/>
      <c r="G113" s="24"/>
      <c r="H113" s="24">
        <v>286</v>
      </c>
      <c r="I113" s="24">
        <v>159</v>
      </c>
      <c r="J113" s="24"/>
      <c r="K113" s="24">
        <v>217</v>
      </c>
      <c r="L113" s="24"/>
      <c r="M113" s="24">
        <v>662</v>
      </c>
      <c r="N113" s="26">
        <v>23.385196374622357</v>
      </c>
      <c r="O113" s="24" t="s">
        <v>210</v>
      </c>
      <c r="P113" s="24">
        <f t="shared" si="37"/>
        <v>217</v>
      </c>
      <c r="Q113" s="24">
        <f t="shared" si="38"/>
        <v>286</v>
      </c>
      <c r="R113" s="24">
        <f t="shared" si="39"/>
        <v>159</v>
      </c>
      <c r="S113" s="24">
        <f t="shared" si="40"/>
        <v>0</v>
      </c>
      <c r="T113" s="24">
        <f t="shared" si="41"/>
        <v>662</v>
      </c>
      <c r="U113" s="25">
        <f t="shared" si="42"/>
        <v>0.32779456193353473</v>
      </c>
      <c r="V113" s="25">
        <f t="shared" si="43"/>
        <v>0.43202416918429004</v>
      </c>
      <c r="W113" s="25">
        <f t="shared" si="44"/>
        <v>0.24018126888217523</v>
      </c>
      <c r="X113" s="25">
        <f t="shared" si="45"/>
        <v>0</v>
      </c>
      <c r="Y113" s="26">
        <f t="shared" si="46"/>
        <v>23.385196374622357</v>
      </c>
    </row>
    <row r="114" spans="1:25" x14ac:dyDescent="0.25">
      <c r="A114" s="24" t="s">
        <v>258</v>
      </c>
      <c r="B114" s="24" t="s">
        <v>259</v>
      </c>
      <c r="C114" s="24" t="s">
        <v>174</v>
      </c>
      <c r="D114" s="24">
        <v>1</v>
      </c>
      <c r="E114" s="24"/>
      <c r="F114" s="24"/>
      <c r="G114" s="24"/>
      <c r="H114" s="24">
        <v>238</v>
      </c>
      <c r="I114" s="24">
        <v>78</v>
      </c>
      <c r="J114" s="24">
        <v>2</v>
      </c>
      <c r="K114" s="24">
        <v>132</v>
      </c>
      <c r="L114" s="24"/>
      <c r="M114" s="24">
        <v>450</v>
      </c>
      <c r="N114" s="26">
        <v>71.511111111111106</v>
      </c>
      <c r="O114" s="24" t="s">
        <v>210</v>
      </c>
      <c r="P114" s="24">
        <f t="shared" ref="P114:P145" si="56">K114</f>
        <v>132</v>
      </c>
      <c r="Q114" s="24">
        <f t="shared" ref="Q114:Q145" si="57">H114</f>
        <v>238</v>
      </c>
      <c r="R114" s="24">
        <f t="shared" ref="R114:R145" si="58">I114</f>
        <v>78</v>
      </c>
      <c r="S114" s="24">
        <f t="shared" ref="S114:S145" si="59">M114-SUM(P114:R114)</f>
        <v>2</v>
      </c>
      <c r="T114" s="24">
        <f t="shared" ref="T114:T145" si="60">SUM(P114:S114)</f>
        <v>450</v>
      </c>
      <c r="U114" s="25">
        <f t="shared" ref="U114:U145" si="61">P114/M114</f>
        <v>0.29333333333333333</v>
      </c>
      <c r="V114" s="25">
        <f t="shared" ref="V114:V145" si="62">Q114/M114</f>
        <v>0.52888888888888885</v>
      </c>
      <c r="W114" s="25">
        <f t="shared" ref="W114:W145" si="63">R114/M114</f>
        <v>0.17333333333333334</v>
      </c>
      <c r="X114" s="25">
        <f t="shared" ref="X114:X145" si="64">S114/M114</f>
        <v>4.4444444444444444E-3</v>
      </c>
      <c r="Y114" s="26">
        <f t="shared" ref="Y114:Y145" si="65">N114</f>
        <v>71.511111111111106</v>
      </c>
    </row>
    <row r="115" spans="1:25" x14ac:dyDescent="0.25">
      <c r="A115" s="24" t="s">
        <v>258</v>
      </c>
      <c r="B115" s="24" t="s">
        <v>259</v>
      </c>
      <c r="C115" s="24" t="s">
        <v>174</v>
      </c>
      <c r="D115" s="24">
        <v>2</v>
      </c>
      <c r="E115" s="24"/>
      <c r="F115" s="24"/>
      <c r="G115" s="24"/>
      <c r="H115" s="24">
        <v>208</v>
      </c>
      <c r="I115" s="24">
        <v>53</v>
      </c>
      <c r="J115" s="24">
        <v>1</v>
      </c>
      <c r="K115" s="24">
        <v>188</v>
      </c>
      <c r="L115" s="24"/>
      <c r="M115" s="24">
        <v>450</v>
      </c>
      <c r="N115" s="26">
        <v>53.522222222222226</v>
      </c>
      <c r="O115" s="24" t="s">
        <v>210</v>
      </c>
      <c r="P115" s="24">
        <f t="shared" si="56"/>
        <v>188</v>
      </c>
      <c r="Q115" s="24">
        <f t="shared" si="57"/>
        <v>208</v>
      </c>
      <c r="R115" s="24">
        <f t="shared" si="58"/>
        <v>53</v>
      </c>
      <c r="S115" s="24">
        <f t="shared" si="59"/>
        <v>1</v>
      </c>
      <c r="T115" s="24">
        <f t="shared" si="60"/>
        <v>450</v>
      </c>
      <c r="U115" s="25">
        <f t="shared" si="61"/>
        <v>0.4177777777777778</v>
      </c>
      <c r="V115" s="25">
        <f t="shared" si="62"/>
        <v>0.4622222222222222</v>
      </c>
      <c r="W115" s="25">
        <f t="shared" si="63"/>
        <v>0.11777777777777777</v>
      </c>
      <c r="X115" s="25">
        <f t="shared" si="64"/>
        <v>2.2222222222222222E-3</v>
      </c>
      <c r="Y115" s="26">
        <f t="shared" si="65"/>
        <v>53.522222222222226</v>
      </c>
    </row>
    <row r="116" spans="1:25" x14ac:dyDescent="0.25">
      <c r="A116" s="24" t="s">
        <v>258</v>
      </c>
      <c r="B116" s="24" t="s">
        <v>259</v>
      </c>
      <c r="C116" s="24" t="s">
        <v>174</v>
      </c>
      <c r="D116" s="24">
        <v>3</v>
      </c>
      <c r="E116" s="24">
        <v>1</v>
      </c>
      <c r="F116" s="24">
        <v>1</v>
      </c>
      <c r="G116" s="24"/>
      <c r="H116" s="24">
        <v>148</v>
      </c>
      <c r="I116" s="24">
        <v>48</v>
      </c>
      <c r="J116" s="24">
        <v>1</v>
      </c>
      <c r="K116" s="24">
        <v>314</v>
      </c>
      <c r="L116" s="24"/>
      <c r="M116" s="24">
        <v>513</v>
      </c>
      <c r="N116" s="26">
        <v>30.251461988304094</v>
      </c>
      <c r="O116" s="24" t="s">
        <v>210</v>
      </c>
      <c r="P116" s="24">
        <f t="shared" si="56"/>
        <v>314</v>
      </c>
      <c r="Q116" s="24">
        <f t="shared" si="57"/>
        <v>148</v>
      </c>
      <c r="R116" s="24">
        <f t="shared" si="58"/>
        <v>48</v>
      </c>
      <c r="S116" s="24">
        <f t="shared" si="59"/>
        <v>3</v>
      </c>
      <c r="T116" s="24">
        <f t="shared" si="60"/>
        <v>513</v>
      </c>
      <c r="U116" s="25">
        <f t="shared" si="61"/>
        <v>0.61208576998050679</v>
      </c>
      <c r="V116" s="25">
        <f t="shared" si="62"/>
        <v>0.28849902534113059</v>
      </c>
      <c r="W116" s="25">
        <f t="shared" si="63"/>
        <v>9.3567251461988299E-2</v>
      </c>
      <c r="X116" s="25">
        <f t="shared" si="64"/>
        <v>5.8479532163742687E-3</v>
      </c>
      <c r="Y116" s="26">
        <f t="shared" si="65"/>
        <v>30.251461988304094</v>
      </c>
    </row>
    <row r="117" spans="1:25" x14ac:dyDescent="0.25">
      <c r="A117" s="24" t="s">
        <v>260</v>
      </c>
      <c r="B117" s="24" t="s">
        <v>261</v>
      </c>
      <c r="C117" s="24" t="s">
        <v>176</v>
      </c>
      <c r="D117" s="24">
        <v>1</v>
      </c>
      <c r="E117" s="24"/>
      <c r="F117" s="24"/>
      <c r="G117" s="24"/>
      <c r="H117" s="24">
        <v>213</v>
      </c>
      <c r="I117" s="24">
        <v>112</v>
      </c>
      <c r="J117" s="24">
        <v>5</v>
      </c>
      <c r="K117" s="24">
        <v>120</v>
      </c>
      <c r="L117" s="24"/>
      <c r="M117" s="24">
        <v>450</v>
      </c>
      <c r="N117" s="26">
        <v>67.726666666666674</v>
      </c>
      <c r="O117" s="24" t="s">
        <v>210</v>
      </c>
      <c r="P117" s="24">
        <f t="shared" ref="P117:P124" si="66">K117</f>
        <v>120</v>
      </c>
      <c r="Q117" s="24">
        <f t="shared" ref="Q117:R124" si="67">H117</f>
        <v>213</v>
      </c>
      <c r="R117" s="24">
        <f t="shared" si="67"/>
        <v>112</v>
      </c>
      <c r="S117" s="24">
        <f t="shared" ref="S117:S124" si="68">M117-SUM(P117:R117)</f>
        <v>5</v>
      </c>
      <c r="T117" s="24">
        <f t="shared" ref="T117:T124" si="69">SUM(P117:S117)</f>
        <v>450</v>
      </c>
      <c r="U117" s="25">
        <f t="shared" ref="U117:U124" si="70">P117/M117</f>
        <v>0.26666666666666666</v>
      </c>
      <c r="V117" s="25">
        <f t="shared" ref="V117:V124" si="71">Q117/M117</f>
        <v>0.47333333333333333</v>
      </c>
      <c r="W117" s="25">
        <f t="shared" ref="W117:W124" si="72">R117/M117</f>
        <v>0.24888888888888888</v>
      </c>
      <c r="X117" s="25">
        <f t="shared" ref="X117:X124" si="73">S117/M117</f>
        <v>1.1111111111111112E-2</v>
      </c>
      <c r="Y117" s="26">
        <f t="shared" ref="Y117:Y124" si="74">N117</f>
        <v>67.726666666666674</v>
      </c>
    </row>
    <row r="118" spans="1:25" x14ac:dyDescent="0.25">
      <c r="A118" s="24" t="s">
        <v>260</v>
      </c>
      <c r="B118" s="24" t="s">
        <v>261</v>
      </c>
      <c r="C118" s="24" t="s">
        <v>176</v>
      </c>
      <c r="D118" s="24">
        <v>2</v>
      </c>
      <c r="E118" s="24"/>
      <c r="F118" s="24"/>
      <c r="G118" s="24"/>
      <c r="H118" s="24">
        <v>227</v>
      </c>
      <c r="I118" s="24">
        <v>87</v>
      </c>
      <c r="J118" s="24">
        <v>3</v>
      </c>
      <c r="K118" s="24">
        <v>133</v>
      </c>
      <c r="L118" s="24"/>
      <c r="M118" s="24">
        <v>450</v>
      </c>
      <c r="N118" s="26">
        <v>61.606666666666669</v>
      </c>
      <c r="O118" s="24" t="s">
        <v>210</v>
      </c>
      <c r="P118" s="24">
        <f t="shared" si="66"/>
        <v>133</v>
      </c>
      <c r="Q118" s="24">
        <f t="shared" si="67"/>
        <v>227</v>
      </c>
      <c r="R118" s="24">
        <f t="shared" si="67"/>
        <v>87</v>
      </c>
      <c r="S118" s="24">
        <f t="shared" si="68"/>
        <v>3</v>
      </c>
      <c r="T118" s="24">
        <f t="shared" si="69"/>
        <v>450</v>
      </c>
      <c r="U118" s="25">
        <f t="shared" si="70"/>
        <v>0.29555555555555557</v>
      </c>
      <c r="V118" s="25">
        <f t="shared" si="71"/>
        <v>0.50444444444444447</v>
      </c>
      <c r="W118" s="25">
        <f t="shared" si="72"/>
        <v>0.19333333333333333</v>
      </c>
      <c r="X118" s="25">
        <f t="shared" si="73"/>
        <v>6.6666666666666671E-3</v>
      </c>
      <c r="Y118" s="26">
        <f t="shared" si="74"/>
        <v>61.606666666666669</v>
      </c>
    </row>
    <row r="119" spans="1:25" x14ac:dyDescent="0.25">
      <c r="A119" s="24" t="s">
        <v>260</v>
      </c>
      <c r="B119" s="24" t="s">
        <v>261</v>
      </c>
      <c r="C119" s="24" t="s">
        <v>176</v>
      </c>
      <c r="D119" s="24">
        <v>3</v>
      </c>
      <c r="E119" s="24"/>
      <c r="F119" s="24">
        <v>1</v>
      </c>
      <c r="G119" s="24">
        <v>1</v>
      </c>
      <c r="H119" s="24">
        <v>272</v>
      </c>
      <c r="I119" s="24">
        <v>196</v>
      </c>
      <c r="J119" s="24">
        <v>3</v>
      </c>
      <c r="K119" s="24">
        <v>127</v>
      </c>
      <c r="L119" s="24"/>
      <c r="M119" s="24">
        <v>600</v>
      </c>
      <c r="N119" s="26">
        <v>50.613333333333337</v>
      </c>
      <c r="O119" s="24" t="s">
        <v>210</v>
      </c>
      <c r="P119" s="24">
        <f t="shared" si="66"/>
        <v>127</v>
      </c>
      <c r="Q119" s="24">
        <f t="shared" si="67"/>
        <v>272</v>
      </c>
      <c r="R119" s="24">
        <f t="shared" si="67"/>
        <v>196</v>
      </c>
      <c r="S119" s="24">
        <f t="shared" si="68"/>
        <v>5</v>
      </c>
      <c r="T119" s="24">
        <f t="shared" si="69"/>
        <v>600</v>
      </c>
      <c r="U119" s="25">
        <f t="shared" si="70"/>
        <v>0.21166666666666667</v>
      </c>
      <c r="V119" s="25">
        <f t="shared" si="71"/>
        <v>0.45333333333333331</v>
      </c>
      <c r="W119" s="25">
        <f t="shared" si="72"/>
        <v>0.32666666666666666</v>
      </c>
      <c r="X119" s="25">
        <f t="shared" si="73"/>
        <v>8.3333333333333332E-3</v>
      </c>
      <c r="Y119" s="26">
        <f t="shared" si="74"/>
        <v>50.613333333333337</v>
      </c>
    </row>
    <row r="120" spans="1:25" x14ac:dyDescent="0.25">
      <c r="A120" s="24" t="s">
        <v>260</v>
      </c>
      <c r="B120" s="24" t="s">
        <v>261</v>
      </c>
      <c r="C120" s="24" t="s">
        <v>176</v>
      </c>
      <c r="D120" s="24">
        <v>4</v>
      </c>
      <c r="E120" s="24"/>
      <c r="F120" s="24"/>
      <c r="G120" s="24"/>
      <c r="H120" s="24">
        <v>283</v>
      </c>
      <c r="I120" s="24">
        <v>136</v>
      </c>
      <c r="J120" s="24">
        <v>2</v>
      </c>
      <c r="K120" s="24">
        <v>179</v>
      </c>
      <c r="L120" s="24">
        <v>1</v>
      </c>
      <c r="M120" s="24">
        <v>601</v>
      </c>
      <c r="N120" s="26">
        <v>42.194675540765388</v>
      </c>
      <c r="O120" s="24" t="s">
        <v>210</v>
      </c>
      <c r="P120" s="24">
        <f t="shared" si="66"/>
        <v>179</v>
      </c>
      <c r="Q120" s="24">
        <f t="shared" si="67"/>
        <v>283</v>
      </c>
      <c r="R120" s="24">
        <f t="shared" si="67"/>
        <v>136</v>
      </c>
      <c r="S120" s="24">
        <f t="shared" si="68"/>
        <v>3</v>
      </c>
      <c r="T120" s="24">
        <f t="shared" si="69"/>
        <v>601</v>
      </c>
      <c r="U120" s="25">
        <f t="shared" si="70"/>
        <v>0.29783693843594011</v>
      </c>
      <c r="V120" s="25">
        <f t="shared" si="71"/>
        <v>0.47088186356073214</v>
      </c>
      <c r="W120" s="25">
        <f t="shared" si="72"/>
        <v>0.22628951747088186</v>
      </c>
      <c r="X120" s="25">
        <f t="shared" si="73"/>
        <v>4.9916805324459234E-3</v>
      </c>
      <c r="Y120" s="26">
        <f t="shared" si="74"/>
        <v>42.194675540765388</v>
      </c>
    </row>
    <row r="121" spans="1:25" x14ac:dyDescent="0.25">
      <c r="A121" s="24" t="s">
        <v>260</v>
      </c>
      <c r="B121" s="24" t="s">
        <v>261</v>
      </c>
      <c r="C121" s="24" t="s">
        <v>176</v>
      </c>
      <c r="D121" s="24">
        <v>5</v>
      </c>
      <c r="E121" s="24"/>
      <c r="F121" s="24"/>
      <c r="G121" s="24">
        <v>1</v>
      </c>
      <c r="H121" s="24">
        <v>301</v>
      </c>
      <c r="I121" s="24">
        <v>111</v>
      </c>
      <c r="J121" s="24">
        <v>3</v>
      </c>
      <c r="K121" s="24">
        <v>185</v>
      </c>
      <c r="L121" s="24"/>
      <c r="M121" s="24">
        <v>601</v>
      </c>
      <c r="N121" s="26">
        <v>36.747088186356073</v>
      </c>
      <c r="O121" s="24" t="s">
        <v>210</v>
      </c>
      <c r="P121" s="24">
        <f t="shared" si="66"/>
        <v>185</v>
      </c>
      <c r="Q121" s="24">
        <f t="shared" si="67"/>
        <v>301</v>
      </c>
      <c r="R121" s="24">
        <f t="shared" si="67"/>
        <v>111</v>
      </c>
      <c r="S121" s="24">
        <f t="shared" si="68"/>
        <v>4</v>
      </c>
      <c r="T121" s="24">
        <f t="shared" si="69"/>
        <v>601</v>
      </c>
      <c r="U121" s="25">
        <f t="shared" si="70"/>
        <v>0.30782029950083195</v>
      </c>
      <c r="V121" s="25">
        <f t="shared" si="71"/>
        <v>0.50083194675540765</v>
      </c>
      <c r="W121" s="25">
        <f t="shared" si="72"/>
        <v>0.18469217970049917</v>
      </c>
      <c r="X121" s="25">
        <f t="shared" si="73"/>
        <v>6.6555740432612314E-3</v>
      </c>
      <c r="Y121" s="26">
        <f t="shared" si="74"/>
        <v>36.747088186356073</v>
      </c>
    </row>
    <row r="122" spans="1:25" x14ac:dyDescent="0.25">
      <c r="A122" s="24" t="s">
        <v>260</v>
      </c>
      <c r="B122" s="24" t="s">
        <v>261</v>
      </c>
      <c r="C122" s="24" t="s">
        <v>176</v>
      </c>
      <c r="D122" s="24">
        <v>6</v>
      </c>
      <c r="E122" s="24"/>
      <c r="F122" s="24"/>
      <c r="G122" s="24">
        <v>1</v>
      </c>
      <c r="H122" s="24">
        <v>318</v>
      </c>
      <c r="I122" s="24">
        <v>109</v>
      </c>
      <c r="J122" s="24">
        <v>4</v>
      </c>
      <c r="K122" s="24">
        <v>169</v>
      </c>
      <c r="L122" s="24"/>
      <c r="M122" s="24">
        <v>601</v>
      </c>
      <c r="N122" s="26">
        <v>32.124792013311151</v>
      </c>
      <c r="O122" s="24" t="s">
        <v>210</v>
      </c>
      <c r="P122" s="24">
        <f t="shared" si="66"/>
        <v>169</v>
      </c>
      <c r="Q122" s="24">
        <f t="shared" si="67"/>
        <v>318</v>
      </c>
      <c r="R122" s="24">
        <f t="shared" si="67"/>
        <v>109</v>
      </c>
      <c r="S122" s="24">
        <f t="shared" si="68"/>
        <v>5</v>
      </c>
      <c r="T122" s="24">
        <f t="shared" si="69"/>
        <v>601</v>
      </c>
      <c r="U122" s="25">
        <f t="shared" si="70"/>
        <v>0.28119800332778699</v>
      </c>
      <c r="V122" s="25">
        <f t="shared" si="71"/>
        <v>0.52911813643926786</v>
      </c>
      <c r="W122" s="25">
        <f t="shared" si="72"/>
        <v>0.18136439267886856</v>
      </c>
      <c r="X122" s="25">
        <f t="shared" si="73"/>
        <v>8.3194675540765387E-3</v>
      </c>
      <c r="Y122" s="26">
        <f t="shared" si="74"/>
        <v>32.124792013311151</v>
      </c>
    </row>
    <row r="123" spans="1:25" x14ac:dyDescent="0.25">
      <c r="A123" s="24" t="s">
        <v>260</v>
      </c>
      <c r="B123" s="24" t="s">
        <v>261</v>
      </c>
      <c r="C123" s="24" t="s">
        <v>176</v>
      </c>
      <c r="D123" s="24">
        <v>7</v>
      </c>
      <c r="E123" s="24"/>
      <c r="F123" s="24"/>
      <c r="G123" s="24"/>
      <c r="H123" s="24">
        <v>315</v>
      </c>
      <c r="I123" s="24">
        <v>118</v>
      </c>
      <c r="J123" s="24"/>
      <c r="K123" s="24">
        <v>168</v>
      </c>
      <c r="L123" s="24"/>
      <c r="M123" s="24">
        <v>601</v>
      </c>
      <c r="N123" s="26">
        <v>26.469217970049918</v>
      </c>
      <c r="O123" s="24" t="s">
        <v>210</v>
      </c>
      <c r="P123" s="24">
        <f t="shared" si="66"/>
        <v>168</v>
      </c>
      <c r="Q123" s="24">
        <f t="shared" si="67"/>
        <v>315</v>
      </c>
      <c r="R123" s="24">
        <f t="shared" si="67"/>
        <v>118</v>
      </c>
      <c r="S123" s="24">
        <f t="shared" si="68"/>
        <v>0</v>
      </c>
      <c r="T123" s="24">
        <f t="shared" si="69"/>
        <v>601</v>
      </c>
      <c r="U123" s="25">
        <f t="shared" si="70"/>
        <v>0.27953410981697169</v>
      </c>
      <c r="V123" s="25">
        <f t="shared" si="71"/>
        <v>0.52412645590682194</v>
      </c>
      <c r="W123" s="25">
        <f t="shared" si="72"/>
        <v>0.19633943427620631</v>
      </c>
      <c r="X123" s="25">
        <f t="shared" si="73"/>
        <v>0</v>
      </c>
      <c r="Y123" s="26">
        <f t="shared" si="74"/>
        <v>26.469217970049918</v>
      </c>
    </row>
    <row r="124" spans="1:25" x14ac:dyDescent="0.25">
      <c r="A124" s="24" t="s">
        <v>260</v>
      </c>
      <c r="B124" s="24" t="s">
        <v>261</v>
      </c>
      <c r="C124" s="24" t="s">
        <v>176</v>
      </c>
      <c r="D124" s="24">
        <v>8</v>
      </c>
      <c r="E124" s="24"/>
      <c r="F124" s="24"/>
      <c r="G124" s="24"/>
      <c r="H124" s="24">
        <v>304</v>
      </c>
      <c r="I124" s="24">
        <v>131</v>
      </c>
      <c r="J124" s="24"/>
      <c r="K124" s="24">
        <v>166</v>
      </c>
      <c r="L124" s="24"/>
      <c r="M124" s="24">
        <v>601</v>
      </c>
      <c r="N124" s="26">
        <v>21.226289517470882</v>
      </c>
      <c r="O124" s="24" t="s">
        <v>210</v>
      </c>
      <c r="P124" s="24">
        <f t="shared" si="66"/>
        <v>166</v>
      </c>
      <c r="Q124" s="24">
        <f t="shared" si="67"/>
        <v>304</v>
      </c>
      <c r="R124" s="24">
        <f t="shared" si="67"/>
        <v>131</v>
      </c>
      <c r="S124" s="24">
        <f t="shared" si="68"/>
        <v>0</v>
      </c>
      <c r="T124" s="24">
        <f t="shared" si="69"/>
        <v>601</v>
      </c>
      <c r="U124" s="25">
        <f t="shared" si="70"/>
        <v>0.27620632279534107</v>
      </c>
      <c r="V124" s="25">
        <f t="shared" si="71"/>
        <v>0.50582362728785357</v>
      </c>
      <c r="W124" s="25">
        <f t="shared" si="72"/>
        <v>0.21797004991680533</v>
      </c>
      <c r="X124" s="25">
        <f t="shared" si="73"/>
        <v>0</v>
      </c>
      <c r="Y124" s="26">
        <f t="shared" si="74"/>
        <v>21.226289517470882</v>
      </c>
    </row>
    <row r="125" spans="1:25" x14ac:dyDescent="0.25">
      <c r="A125" s="24" t="s">
        <v>260</v>
      </c>
      <c r="B125" s="24" t="s">
        <v>261</v>
      </c>
      <c r="C125" s="24" t="s">
        <v>177</v>
      </c>
      <c r="D125" s="24">
        <v>1</v>
      </c>
      <c r="E125" s="24"/>
      <c r="F125" s="24"/>
      <c r="G125" s="24"/>
      <c r="H125" s="24">
        <v>304</v>
      </c>
      <c r="I125" s="24">
        <v>76</v>
      </c>
      <c r="J125" s="24">
        <v>2</v>
      </c>
      <c r="K125" s="24">
        <v>68</v>
      </c>
      <c r="L125" s="24"/>
      <c r="M125" s="24">
        <v>450</v>
      </c>
      <c r="N125" s="26">
        <v>68.995555555555555</v>
      </c>
      <c r="O125" s="24" t="s">
        <v>210</v>
      </c>
      <c r="P125" s="24">
        <f t="shared" si="56"/>
        <v>68</v>
      </c>
      <c r="Q125" s="24">
        <f t="shared" si="57"/>
        <v>304</v>
      </c>
      <c r="R125" s="24">
        <f t="shared" si="58"/>
        <v>76</v>
      </c>
      <c r="S125" s="24">
        <f t="shared" si="59"/>
        <v>2</v>
      </c>
      <c r="T125" s="24">
        <f t="shared" si="60"/>
        <v>450</v>
      </c>
      <c r="U125" s="25">
        <f t="shared" si="61"/>
        <v>0.15111111111111111</v>
      </c>
      <c r="V125" s="25">
        <f t="shared" si="62"/>
        <v>0.67555555555555558</v>
      </c>
      <c r="W125" s="25">
        <f t="shared" si="63"/>
        <v>0.16888888888888889</v>
      </c>
      <c r="X125" s="25">
        <f t="shared" si="64"/>
        <v>4.4444444444444444E-3</v>
      </c>
      <c r="Y125" s="26">
        <f t="shared" si="65"/>
        <v>68.995555555555555</v>
      </c>
    </row>
    <row r="126" spans="1:25" x14ac:dyDescent="0.25">
      <c r="A126" s="24" t="s">
        <v>260</v>
      </c>
      <c r="B126" s="24" t="s">
        <v>261</v>
      </c>
      <c r="C126" s="24" t="s">
        <v>177</v>
      </c>
      <c r="D126" s="24">
        <v>2</v>
      </c>
      <c r="E126" s="24"/>
      <c r="F126" s="24"/>
      <c r="G126" s="24"/>
      <c r="H126" s="24">
        <v>296</v>
      </c>
      <c r="I126" s="24">
        <v>103</v>
      </c>
      <c r="J126" s="24">
        <v>2</v>
      </c>
      <c r="K126" s="24">
        <v>49</v>
      </c>
      <c r="L126" s="24"/>
      <c r="M126" s="24">
        <v>450</v>
      </c>
      <c r="N126" s="26">
        <v>60.926666666666669</v>
      </c>
      <c r="O126" s="24" t="s">
        <v>210</v>
      </c>
      <c r="P126" s="24">
        <f t="shared" si="56"/>
        <v>49</v>
      </c>
      <c r="Q126" s="24">
        <f t="shared" si="57"/>
        <v>296</v>
      </c>
      <c r="R126" s="24">
        <f t="shared" si="58"/>
        <v>103</v>
      </c>
      <c r="S126" s="24">
        <f t="shared" si="59"/>
        <v>2</v>
      </c>
      <c r="T126" s="24">
        <f t="shared" si="60"/>
        <v>450</v>
      </c>
      <c r="U126" s="25">
        <f t="shared" si="61"/>
        <v>0.10888888888888888</v>
      </c>
      <c r="V126" s="25">
        <f t="shared" si="62"/>
        <v>0.65777777777777779</v>
      </c>
      <c r="W126" s="25">
        <f t="shared" si="63"/>
        <v>0.22888888888888889</v>
      </c>
      <c r="X126" s="25">
        <f t="shared" si="64"/>
        <v>4.4444444444444444E-3</v>
      </c>
      <c r="Y126" s="26">
        <f t="shared" si="65"/>
        <v>60.926666666666669</v>
      </c>
    </row>
    <row r="127" spans="1:25" x14ac:dyDescent="0.25">
      <c r="A127" s="24" t="s">
        <v>260</v>
      </c>
      <c r="B127" s="24" t="s">
        <v>261</v>
      </c>
      <c r="C127" s="24" t="s">
        <v>177</v>
      </c>
      <c r="D127" s="24">
        <v>3</v>
      </c>
      <c r="E127" s="24"/>
      <c r="F127" s="24"/>
      <c r="G127" s="24"/>
      <c r="H127" s="24">
        <v>501</v>
      </c>
      <c r="I127" s="24">
        <v>120</v>
      </c>
      <c r="J127" s="24">
        <v>2</v>
      </c>
      <c r="K127" s="24">
        <v>96</v>
      </c>
      <c r="L127" s="24"/>
      <c r="M127" s="24">
        <v>719</v>
      </c>
      <c r="N127" s="26">
        <v>49.126564673157162</v>
      </c>
      <c r="O127" s="24" t="s">
        <v>210</v>
      </c>
      <c r="P127" s="24">
        <f t="shared" si="56"/>
        <v>96</v>
      </c>
      <c r="Q127" s="24">
        <f t="shared" si="57"/>
        <v>501</v>
      </c>
      <c r="R127" s="24">
        <f t="shared" si="58"/>
        <v>120</v>
      </c>
      <c r="S127" s="24">
        <f t="shared" si="59"/>
        <v>2</v>
      </c>
      <c r="T127" s="24">
        <f t="shared" si="60"/>
        <v>719</v>
      </c>
      <c r="U127" s="25">
        <f t="shared" si="61"/>
        <v>0.13351877607788595</v>
      </c>
      <c r="V127" s="25">
        <f t="shared" si="62"/>
        <v>0.69680111265646727</v>
      </c>
      <c r="W127" s="25">
        <f t="shared" si="63"/>
        <v>0.16689847009735745</v>
      </c>
      <c r="X127" s="25">
        <f t="shared" si="64"/>
        <v>2.7816411682892906E-3</v>
      </c>
      <c r="Y127" s="26">
        <f t="shared" si="65"/>
        <v>49.126564673157162</v>
      </c>
    </row>
    <row r="128" spans="1:25" x14ac:dyDescent="0.25">
      <c r="A128" s="24" t="s">
        <v>260</v>
      </c>
      <c r="B128" s="24" t="s">
        <v>261</v>
      </c>
      <c r="C128" s="24" t="s">
        <v>177</v>
      </c>
      <c r="D128" s="24">
        <v>4</v>
      </c>
      <c r="E128" s="24"/>
      <c r="F128" s="24"/>
      <c r="G128" s="24"/>
      <c r="H128" s="24">
        <v>446</v>
      </c>
      <c r="I128" s="24">
        <v>111</v>
      </c>
      <c r="J128" s="24">
        <v>5</v>
      </c>
      <c r="K128" s="24">
        <v>157</v>
      </c>
      <c r="L128" s="24"/>
      <c r="M128" s="24">
        <v>719</v>
      </c>
      <c r="N128" s="26">
        <v>38.495132127955493</v>
      </c>
      <c r="O128" s="24" t="s">
        <v>210</v>
      </c>
      <c r="P128" s="24">
        <f t="shared" si="56"/>
        <v>157</v>
      </c>
      <c r="Q128" s="24">
        <f t="shared" si="57"/>
        <v>446</v>
      </c>
      <c r="R128" s="24">
        <f t="shared" si="58"/>
        <v>111</v>
      </c>
      <c r="S128" s="24">
        <f t="shared" si="59"/>
        <v>5</v>
      </c>
      <c r="T128" s="24">
        <f t="shared" si="60"/>
        <v>719</v>
      </c>
      <c r="U128" s="25">
        <f t="shared" si="61"/>
        <v>0.21835883171070933</v>
      </c>
      <c r="V128" s="25">
        <f t="shared" si="62"/>
        <v>0.62030598052851182</v>
      </c>
      <c r="W128" s="25">
        <f t="shared" si="63"/>
        <v>0.15438108484005564</v>
      </c>
      <c r="X128" s="25">
        <f t="shared" si="64"/>
        <v>6.954102920723227E-3</v>
      </c>
      <c r="Y128" s="26">
        <f t="shared" si="65"/>
        <v>38.495132127955493</v>
      </c>
    </row>
    <row r="129" spans="1:25" x14ac:dyDescent="0.25">
      <c r="A129" s="24" t="s">
        <v>260</v>
      </c>
      <c r="B129" s="24" t="s">
        <v>261</v>
      </c>
      <c r="C129" s="24" t="s">
        <v>177</v>
      </c>
      <c r="D129" s="24">
        <v>5</v>
      </c>
      <c r="E129" s="24"/>
      <c r="F129" s="24"/>
      <c r="G129" s="24"/>
      <c r="H129" s="24">
        <v>427</v>
      </c>
      <c r="I129" s="24">
        <v>144</v>
      </c>
      <c r="J129" s="24">
        <v>3</v>
      </c>
      <c r="K129" s="24">
        <v>146</v>
      </c>
      <c r="L129" s="24"/>
      <c r="M129" s="24">
        <v>720</v>
      </c>
      <c r="N129" s="26">
        <v>30.276388888888889</v>
      </c>
      <c r="O129" s="24" t="s">
        <v>210</v>
      </c>
      <c r="P129" s="24">
        <f t="shared" si="56"/>
        <v>146</v>
      </c>
      <c r="Q129" s="24">
        <f t="shared" si="57"/>
        <v>427</v>
      </c>
      <c r="R129" s="24">
        <f t="shared" si="58"/>
        <v>144</v>
      </c>
      <c r="S129" s="24">
        <f t="shared" si="59"/>
        <v>3</v>
      </c>
      <c r="T129" s="24">
        <f t="shared" si="60"/>
        <v>720</v>
      </c>
      <c r="U129" s="25">
        <f t="shared" si="61"/>
        <v>0.20277777777777778</v>
      </c>
      <c r="V129" s="25">
        <f t="shared" si="62"/>
        <v>0.59305555555555556</v>
      </c>
      <c r="W129" s="25">
        <f t="shared" si="63"/>
        <v>0.2</v>
      </c>
      <c r="X129" s="25">
        <f t="shared" si="64"/>
        <v>4.1666666666666666E-3</v>
      </c>
      <c r="Y129" s="26">
        <f t="shared" si="65"/>
        <v>30.276388888888889</v>
      </c>
    </row>
    <row r="130" spans="1:25" x14ac:dyDescent="0.25">
      <c r="A130" s="24" t="s">
        <v>260</v>
      </c>
      <c r="B130" s="24" t="s">
        <v>261</v>
      </c>
      <c r="C130" s="24" t="s">
        <v>177</v>
      </c>
      <c r="D130" s="24">
        <v>6</v>
      </c>
      <c r="E130" s="24"/>
      <c r="F130" s="24"/>
      <c r="G130" s="24"/>
      <c r="H130" s="24">
        <v>409</v>
      </c>
      <c r="I130" s="24">
        <v>158</v>
      </c>
      <c r="J130" s="24"/>
      <c r="K130" s="24">
        <v>153</v>
      </c>
      <c r="L130" s="24"/>
      <c r="M130" s="24">
        <v>720</v>
      </c>
      <c r="N130" s="26">
        <v>22.556944444444444</v>
      </c>
      <c r="O130" s="24" t="s">
        <v>210</v>
      </c>
      <c r="P130" s="24">
        <f t="shared" si="56"/>
        <v>153</v>
      </c>
      <c r="Q130" s="24">
        <f t="shared" si="57"/>
        <v>409</v>
      </c>
      <c r="R130" s="24">
        <f t="shared" si="58"/>
        <v>158</v>
      </c>
      <c r="S130" s="24">
        <f t="shared" si="59"/>
        <v>0</v>
      </c>
      <c r="T130" s="24">
        <f t="shared" si="60"/>
        <v>720</v>
      </c>
      <c r="U130" s="25">
        <f t="shared" si="61"/>
        <v>0.21249999999999999</v>
      </c>
      <c r="V130" s="25">
        <f t="shared" si="62"/>
        <v>0.56805555555555554</v>
      </c>
      <c r="W130" s="25">
        <f t="shared" si="63"/>
        <v>0.21944444444444444</v>
      </c>
      <c r="X130" s="25">
        <f t="shared" si="64"/>
        <v>0</v>
      </c>
      <c r="Y130" s="26">
        <f t="shared" si="65"/>
        <v>22.556944444444444</v>
      </c>
    </row>
    <row r="131" spans="1:25" x14ac:dyDescent="0.25">
      <c r="A131" s="24" t="s">
        <v>262</v>
      </c>
      <c r="B131" s="24" t="s">
        <v>263</v>
      </c>
      <c r="C131" s="24" t="s">
        <v>179</v>
      </c>
      <c r="D131" s="24">
        <v>1</v>
      </c>
      <c r="E131" s="24"/>
      <c r="F131" s="24"/>
      <c r="G131" s="24"/>
      <c r="H131" s="24">
        <v>5</v>
      </c>
      <c r="I131" s="24">
        <v>3</v>
      </c>
      <c r="J131" s="24"/>
      <c r="K131" s="24">
        <v>392</v>
      </c>
      <c r="L131" s="24"/>
      <c r="M131" s="24">
        <v>400</v>
      </c>
      <c r="N131" s="26">
        <v>59.534999999999997</v>
      </c>
      <c r="O131" s="24" t="s">
        <v>210</v>
      </c>
      <c r="P131" s="24">
        <f t="shared" si="56"/>
        <v>392</v>
      </c>
      <c r="Q131" s="24">
        <f t="shared" si="57"/>
        <v>5</v>
      </c>
      <c r="R131" s="24">
        <f t="shared" si="58"/>
        <v>3</v>
      </c>
      <c r="S131" s="24">
        <f t="shared" si="59"/>
        <v>0</v>
      </c>
      <c r="T131" s="24">
        <f t="shared" si="60"/>
        <v>400</v>
      </c>
      <c r="U131" s="25">
        <f t="shared" si="61"/>
        <v>0.98</v>
      </c>
      <c r="V131" s="25">
        <f t="shared" si="62"/>
        <v>1.2500000000000001E-2</v>
      </c>
      <c r="W131" s="25">
        <f t="shared" si="63"/>
        <v>7.4999999999999997E-3</v>
      </c>
      <c r="X131" s="25">
        <f t="shared" si="64"/>
        <v>0</v>
      </c>
      <c r="Y131" s="26">
        <f t="shared" si="65"/>
        <v>59.534999999999997</v>
      </c>
    </row>
    <row r="132" spans="1:25" x14ac:dyDescent="0.25">
      <c r="A132" s="24" t="s">
        <v>262</v>
      </c>
      <c r="B132" s="24" t="s">
        <v>263</v>
      </c>
      <c r="C132" s="24" t="s">
        <v>179</v>
      </c>
      <c r="D132" s="24">
        <v>2</v>
      </c>
      <c r="E132" s="24"/>
      <c r="F132" s="24"/>
      <c r="G132" s="24">
        <v>1</v>
      </c>
      <c r="H132" s="24">
        <v>2</v>
      </c>
      <c r="I132" s="24">
        <v>2</v>
      </c>
      <c r="J132" s="24"/>
      <c r="K132" s="24">
        <v>508</v>
      </c>
      <c r="L132" s="24"/>
      <c r="M132" s="24">
        <v>513</v>
      </c>
      <c r="N132" s="26">
        <v>31.941520467836256</v>
      </c>
      <c r="O132" s="24" t="s">
        <v>210</v>
      </c>
      <c r="P132" s="24">
        <f t="shared" si="56"/>
        <v>508</v>
      </c>
      <c r="Q132" s="24">
        <f t="shared" si="57"/>
        <v>2</v>
      </c>
      <c r="R132" s="24">
        <f t="shared" si="58"/>
        <v>2</v>
      </c>
      <c r="S132" s="24">
        <f t="shared" si="59"/>
        <v>1</v>
      </c>
      <c r="T132" s="24">
        <f t="shared" si="60"/>
        <v>513</v>
      </c>
      <c r="U132" s="25">
        <f t="shared" si="61"/>
        <v>0.99025341130604283</v>
      </c>
      <c r="V132" s="25">
        <f t="shared" si="62"/>
        <v>3.8986354775828458E-3</v>
      </c>
      <c r="W132" s="25">
        <f t="shared" si="63"/>
        <v>3.8986354775828458E-3</v>
      </c>
      <c r="X132" s="25">
        <f t="shared" si="64"/>
        <v>1.9493177387914229E-3</v>
      </c>
      <c r="Y132" s="26">
        <f t="shared" si="65"/>
        <v>31.941520467836256</v>
      </c>
    </row>
    <row r="133" spans="1:25" x14ac:dyDescent="0.25">
      <c r="A133" s="24" t="s">
        <v>264</v>
      </c>
      <c r="B133" s="24" t="s">
        <v>265</v>
      </c>
      <c r="C133" s="24" t="s">
        <v>181</v>
      </c>
      <c r="D133" s="24">
        <v>1</v>
      </c>
      <c r="E133" s="24"/>
      <c r="F133" s="24">
        <v>1</v>
      </c>
      <c r="G133" s="24"/>
      <c r="H133" s="24">
        <v>10</v>
      </c>
      <c r="I133" s="24">
        <v>6</v>
      </c>
      <c r="J133" s="24"/>
      <c r="K133" s="24">
        <v>367</v>
      </c>
      <c r="L133" s="24">
        <v>16</v>
      </c>
      <c r="M133" s="24">
        <v>400</v>
      </c>
      <c r="N133" s="26">
        <v>58.85</v>
      </c>
      <c r="O133" s="24" t="s">
        <v>210</v>
      </c>
      <c r="P133" s="24">
        <f t="shared" si="56"/>
        <v>367</v>
      </c>
      <c r="Q133" s="24">
        <f t="shared" si="57"/>
        <v>10</v>
      </c>
      <c r="R133" s="24">
        <f t="shared" si="58"/>
        <v>6</v>
      </c>
      <c r="S133" s="24">
        <f t="shared" si="59"/>
        <v>17</v>
      </c>
      <c r="T133" s="24">
        <f t="shared" si="60"/>
        <v>400</v>
      </c>
      <c r="U133" s="25">
        <f t="shared" si="61"/>
        <v>0.91749999999999998</v>
      </c>
      <c r="V133" s="25">
        <f t="shared" si="62"/>
        <v>2.5000000000000001E-2</v>
      </c>
      <c r="W133" s="25">
        <f t="shared" si="63"/>
        <v>1.4999999999999999E-2</v>
      </c>
      <c r="X133" s="25">
        <f t="shared" si="64"/>
        <v>4.2500000000000003E-2</v>
      </c>
      <c r="Y133" s="26">
        <f t="shared" si="65"/>
        <v>58.85</v>
      </c>
    </row>
    <row r="134" spans="1:25" x14ac:dyDescent="0.25">
      <c r="A134" s="24" t="s">
        <v>264</v>
      </c>
      <c r="B134" s="24" t="s">
        <v>265</v>
      </c>
      <c r="C134" s="24" t="s">
        <v>181</v>
      </c>
      <c r="D134" s="24">
        <v>2</v>
      </c>
      <c r="E134" s="24">
        <v>5</v>
      </c>
      <c r="F134" s="24"/>
      <c r="G134" s="24">
        <v>2</v>
      </c>
      <c r="H134" s="24">
        <v>10</v>
      </c>
      <c r="I134" s="24">
        <v>11</v>
      </c>
      <c r="J134" s="24">
        <v>2</v>
      </c>
      <c r="K134" s="24">
        <v>456</v>
      </c>
      <c r="L134" s="24">
        <v>20</v>
      </c>
      <c r="M134" s="24">
        <v>506</v>
      </c>
      <c r="N134" s="26">
        <v>31.047430830039527</v>
      </c>
      <c r="O134" s="24" t="s">
        <v>210</v>
      </c>
      <c r="P134" s="24">
        <f t="shared" si="56"/>
        <v>456</v>
      </c>
      <c r="Q134" s="24">
        <f t="shared" si="57"/>
        <v>10</v>
      </c>
      <c r="R134" s="24">
        <f t="shared" si="58"/>
        <v>11</v>
      </c>
      <c r="S134" s="24">
        <f t="shared" si="59"/>
        <v>29</v>
      </c>
      <c r="T134" s="24">
        <f t="shared" si="60"/>
        <v>506</v>
      </c>
      <c r="U134" s="25">
        <f t="shared" si="61"/>
        <v>0.90118577075098816</v>
      </c>
      <c r="V134" s="25">
        <f t="shared" si="62"/>
        <v>1.9762845849802372E-2</v>
      </c>
      <c r="W134" s="25">
        <f t="shared" si="63"/>
        <v>2.1739130434782608E-2</v>
      </c>
      <c r="X134" s="25">
        <f t="shared" si="64"/>
        <v>5.731225296442688E-2</v>
      </c>
      <c r="Y134" s="26">
        <f t="shared" si="65"/>
        <v>31.047430830039527</v>
      </c>
    </row>
    <row r="135" spans="1:25" x14ac:dyDescent="0.25">
      <c r="A135" s="24" t="s">
        <v>266</v>
      </c>
      <c r="B135" s="24" t="s">
        <v>267</v>
      </c>
      <c r="C135" s="24" t="s">
        <v>183</v>
      </c>
      <c r="D135" s="24">
        <v>1</v>
      </c>
      <c r="E135" s="24"/>
      <c r="F135" s="24"/>
      <c r="G135" s="24"/>
      <c r="H135" s="24">
        <v>53</v>
      </c>
      <c r="I135" s="24">
        <v>49</v>
      </c>
      <c r="J135" s="24"/>
      <c r="K135" s="24">
        <v>264</v>
      </c>
      <c r="L135" s="24"/>
      <c r="M135" s="24">
        <v>366</v>
      </c>
      <c r="N135" s="26">
        <v>57.415300546448087</v>
      </c>
      <c r="O135" s="24" t="s">
        <v>210</v>
      </c>
      <c r="P135" s="24">
        <f t="shared" si="56"/>
        <v>264</v>
      </c>
      <c r="Q135" s="24">
        <f t="shared" si="57"/>
        <v>53</v>
      </c>
      <c r="R135" s="24">
        <f t="shared" si="58"/>
        <v>49</v>
      </c>
      <c r="S135" s="24">
        <f t="shared" si="59"/>
        <v>0</v>
      </c>
      <c r="T135" s="24">
        <f t="shared" si="60"/>
        <v>366</v>
      </c>
      <c r="U135" s="25">
        <f t="shared" si="61"/>
        <v>0.72131147540983609</v>
      </c>
      <c r="V135" s="25">
        <f t="shared" si="62"/>
        <v>0.1448087431693989</v>
      </c>
      <c r="W135" s="25">
        <f t="shared" si="63"/>
        <v>0.13387978142076504</v>
      </c>
      <c r="X135" s="25">
        <f t="shared" si="64"/>
        <v>0</v>
      </c>
      <c r="Y135" s="26">
        <f t="shared" si="65"/>
        <v>57.415300546448087</v>
      </c>
    </row>
    <row r="136" spans="1:25" x14ac:dyDescent="0.25">
      <c r="A136" s="24" t="s">
        <v>266</v>
      </c>
      <c r="B136" s="24" t="s">
        <v>267</v>
      </c>
      <c r="C136" s="24" t="s">
        <v>183</v>
      </c>
      <c r="D136" s="24">
        <v>2</v>
      </c>
      <c r="E136" s="24"/>
      <c r="F136" s="24"/>
      <c r="G136" s="24"/>
      <c r="H136" s="24">
        <v>51</v>
      </c>
      <c r="I136" s="24">
        <v>47</v>
      </c>
      <c r="J136" s="24"/>
      <c r="K136" s="24">
        <v>268</v>
      </c>
      <c r="L136" s="24"/>
      <c r="M136" s="24">
        <v>366</v>
      </c>
      <c r="N136" s="26">
        <v>28.781420765027324</v>
      </c>
      <c r="O136" s="24" t="s">
        <v>210</v>
      </c>
      <c r="P136" s="24">
        <f t="shared" si="56"/>
        <v>268</v>
      </c>
      <c r="Q136" s="24">
        <f t="shared" si="57"/>
        <v>51</v>
      </c>
      <c r="R136" s="24">
        <f t="shared" si="58"/>
        <v>47</v>
      </c>
      <c r="S136" s="24">
        <f t="shared" si="59"/>
        <v>0</v>
      </c>
      <c r="T136" s="24">
        <f t="shared" si="60"/>
        <v>366</v>
      </c>
      <c r="U136" s="25">
        <f t="shared" si="61"/>
        <v>0.73224043715846998</v>
      </c>
      <c r="V136" s="25">
        <f t="shared" si="62"/>
        <v>0.13934426229508196</v>
      </c>
      <c r="W136" s="25">
        <f t="shared" si="63"/>
        <v>0.12841530054644809</v>
      </c>
      <c r="X136" s="25">
        <f t="shared" si="64"/>
        <v>0</v>
      </c>
      <c r="Y136" s="26">
        <f t="shared" si="65"/>
        <v>28.781420765027324</v>
      </c>
    </row>
    <row r="137" spans="1:25" x14ac:dyDescent="0.25">
      <c r="A137" s="24" t="s">
        <v>268</v>
      </c>
      <c r="B137" s="24" t="s">
        <v>269</v>
      </c>
      <c r="C137" s="24" t="s">
        <v>185</v>
      </c>
      <c r="D137" s="24">
        <v>1</v>
      </c>
      <c r="E137" s="24"/>
      <c r="F137" s="24"/>
      <c r="G137" s="24"/>
      <c r="H137" s="24">
        <v>253</v>
      </c>
      <c r="I137" s="24">
        <v>81</v>
      </c>
      <c r="J137" s="24">
        <v>2</v>
      </c>
      <c r="K137" s="24">
        <v>114</v>
      </c>
      <c r="L137" s="24"/>
      <c r="M137" s="24">
        <v>450</v>
      </c>
      <c r="N137" s="26">
        <v>69.391111111111115</v>
      </c>
      <c r="O137" s="24" t="s">
        <v>210</v>
      </c>
      <c r="P137" s="24">
        <f t="shared" si="56"/>
        <v>114</v>
      </c>
      <c r="Q137" s="24">
        <f t="shared" si="57"/>
        <v>253</v>
      </c>
      <c r="R137" s="24">
        <f t="shared" si="58"/>
        <v>81</v>
      </c>
      <c r="S137" s="24">
        <f t="shared" si="59"/>
        <v>2</v>
      </c>
      <c r="T137" s="24">
        <f t="shared" si="60"/>
        <v>450</v>
      </c>
      <c r="U137" s="25">
        <f t="shared" si="61"/>
        <v>0.25333333333333335</v>
      </c>
      <c r="V137" s="25">
        <f t="shared" si="62"/>
        <v>0.56222222222222218</v>
      </c>
      <c r="W137" s="25">
        <f t="shared" si="63"/>
        <v>0.18</v>
      </c>
      <c r="X137" s="25">
        <f t="shared" si="64"/>
        <v>4.4444444444444444E-3</v>
      </c>
      <c r="Y137" s="26">
        <f t="shared" si="65"/>
        <v>69.391111111111115</v>
      </c>
    </row>
    <row r="138" spans="1:25" x14ac:dyDescent="0.25">
      <c r="A138" s="24" t="s">
        <v>268</v>
      </c>
      <c r="B138" s="24" t="s">
        <v>269</v>
      </c>
      <c r="C138" s="24" t="s">
        <v>185</v>
      </c>
      <c r="D138" s="24">
        <v>2</v>
      </c>
      <c r="E138" s="24"/>
      <c r="F138" s="24"/>
      <c r="G138" s="24"/>
      <c r="H138" s="24">
        <v>284</v>
      </c>
      <c r="I138" s="24">
        <v>76</v>
      </c>
      <c r="J138" s="24">
        <v>1</v>
      </c>
      <c r="K138" s="24">
        <v>89</v>
      </c>
      <c r="L138" s="24"/>
      <c r="M138" s="24">
        <v>450</v>
      </c>
      <c r="N138" s="26">
        <v>62.04</v>
      </c>
      <c r="O138" s="24" t="s">
        <v>210</v>
      </c>
      <c r="P138" s="24">
        <f t="shared" si="56"/>
        <v>89</v>
      </c>
      <c r="Q138" s="24">
        <f t="shared" si="57"/>
        <v>284</v>
      </c>
      <c r="R138" s="24">
        <f t="shared" si="58"/>
        <v>76</v>
      </c>
      <c r="S138" s="24">
        <f t="shared" si="59"/>
        <v>1</v>
      </c>
      <c r="T138" s="24">
        <f t="shared" si="60"/>
        <v>450</v>
      </c>
      <c r="U138" s="25">
        <f t="shared" si="61"/>
        <v>0.19777777777777777</v>
      </c>
      <c r="V138" s="25">
        <f t="shared" si="62"/>
        <v>0.63111111111111107</v>
      </c>
      <c r="W138" s="25">
        <f t="shared" si="63"/>
        <v>0.16888888888888889</v>
      </c>
      <c r="X138" s="25">
        <f t="shared" si="64"/>
        <v>2.2222222222222222E-3</v>
      </c>
      <c r="Y138" s="26">
        <f t="shared" si="65"/>
        <v>62.04</v>
      </c>
    </row>
    <row r="139" spans="1:25" x14ac:dyDescent="0.25">
      <c r="A139" s="24" t="s">
        <v>268</v>
      </c>
      <c r="B139" s="24" t="s">
        <v>269</v>
      </c>
      <c r="C139" s="24" t="s">
        <v>185</v>
      </c>
      <c r="D139" s="24">
        <v>3</v>
      </c>
      <c r="E139" s="24"/>
      <c r="F139" s="24">
        <v>1</v>
      </c>
      <c r="G139" s="24"/>
      <c r="H139" s="24">
        <v>410</v>
      </c>
      <c r="I139" s="24">
        <v>135</v>
      </c>
      <c r="J139" s="24"/>
      <c r="K139" s="24">
        <v>110</v>
      </c>
      <c r="L139" s="24"/>
      <c r="M139" s="24">
        <v>656</v>
      </c>
      <c r="N139" s="26">
        <v>51.085365853658537</v>
      </c>
      <c r="O139" s="24" t="s">
        <v>210</v>
      </c>
      <c r="P139" s="24">
        <f t="shared" si="56"/>
        <v>110</v>
      </c>
      <c r="Q139" s="24">
        <f t="shared" si="57"/>
        <v>410</v>
      </c>
      <c r="R139" s="24">
        <f t="shared" si="58"/>
        <v>135</v>
      </c>
      <c r="S139" s="24">
        <f t="shared" si="59"/>
        <v>1</v>
      </c>
      <c r="T139" s="24">
        <f t="shared" si="60"/>
        <v>656</v>
      </c>
      <c r="U139" s="25">
        <f t="shared" si="61"/>
        <v>0.1676829268292683</v>
      </c>
      <c r="V139" s="25">
        <f t="shared" si="62"/>
        <v>0.625</v>
      </c>
      <c r="W139" s="25">
        <f t="shared" si="63"/>
        <v>0.20579268292682926</v>
      </c>
      <c r="X139" s="25">
        <f t="shared" si="64"/>
        <v>1.5243902439024391E-3</v>
      </c>
      <c r="Y139" s="26">
        <f t="shared" si="65"/>
        <v>51.085365853658537</v>
      </c>
    </row>
    <row r="140" spans="1:25" x14ac:dyDescent="0.25">
      <c r="A140" s="24" t="s">
        <v>268</v>
      </c>
      <c r="B140" s="24" t="s">
        <v>269</v>
      </c>
      <c r="C140" s="24" t="s">
        <v>185</v>
      </c>
      <c r="D140" s="24">
        <v>4</v>
      </c>
      <c r="E140" s="24"/>
      <c r="F140" s="24">
        <v>2</v>
      </c>
      <c r="G140" s="24">
        <v>1</v>
      </c>
      <c r="H140" s="24">
        <v>353</v>
      </c>
      <c r="I140" s="24">
        <v>125</v>
      </c>
      <c r="J140" s="24">
        <v>2</v>
      </c>
      <c r="K140" s="24">
        <v>173</v>
      </c>
      <c r="L140" s="24"/>
      <c r="M140" s="24">
        <v>656</v>
      </c>
      <c r="N140" s="26">
        <v>39.900914634146339</v>
      </c>
      <c r="O140" s="24" t="s">
        <v>210</v>
      </c>
      <c r="P140" s="24">
        <f t="shared" si="56"/>
        <v>173</v>
      </c>
      <c r="Q140" s="24">
        <f t="shared" si="57"/>
        <v>353</v>
      </c>
      <c r="R140" s="24">
        <f t="shared" si="58"/>
        <v>125</v>
      </c>
      <c r="S140" s="24">
        <f t="shared" si="59"/>
        <v>5</v>
      </c>
      <c r="T140" s="24">
        <f t="shared" si="60"/>
        <v>656</v>
      </c>
      <c r="U140" s="25">
        <f t="shared" si="61"/>
        <v>0.26371951219512196</v>
      </c>
      <c r="V140" s="25">
        <f t="shared" si="62"/>
        <v>0.53810975609756095</v>
      </c>
      <c r="W140" s="25">
        <f t="shared" si="63"/>
        <v>0.19054878048780488</v>
      </c>
      <c r="X140" s="25">
        <f t="shared" si="64"/>
        <v>7.621951219512195E-3</v>
      </c>
      <c r="Y140" s="26">
        <f t="shared" si="65"/>
        <v>39.900914634146339</v>
      </c>
    </row>
    <row r="141" spans="1:25" x14ac:dyDescent="0.25">
      <c r="A141" s="24" t="s">
        <v>268</v>
      </c>
      <c r="B141" s="24" t="s">
        <v>269</v>
      </c>
      <c r="C141" s="24" t="s">
        <v>185</v>
      </c>
      <c r="D141" s="24">
        <v>5</v>
      </c>
      <c r="E141" s="24"/>
      <c r="F141" s="24"/>
      <c r="G141" s="24"/>
      <c r="H141" s="24">
        <v>383</v>
      </c>
      <c r="I141" s="24">
        <v>100</v>
      </c>
      <c r="J141" s="24"/>
      <c r="K141" s="24">
        <v>173</v>
      </c>
      <c r="L141" s="24"/>
      <c r="M141" s="24">
        <v>656</v>
      </c>
      <c r="N141" s="26">
        <v>29.832317073170731</v>
      </c>
      <c r="O141" s="24" t="s">
        <v>210</v>
      </c>
      <c r="P141" s="24">
        <f t="shared" si="56"/>
        <v>173</v>
      </c>
      <c r="Q141" s="24">
        <f t="shared" si="57"/>
        <v>383</v>
      </c>
      <c r="R141" s="24">
        <f t="shared" si="58"/>
        <v>100</v>
      </c>
      <c r="S141" s="24">
        <f t="shared" si="59"/>
        <v>0</v>
      </c>
      <c r="T141" s="24">
        <f t="shared" si="60"/>
        <v>656</v>
      </c>
      <c r="U141" s="25">
        <f t="shared" si="61"/>
        <v>0.26371951219512196</v>
      </c>
      <c r="V141" s="25">
        <f t="shared" si="62"/>
        <v>0.58384146341463417</v>
      </c>
      <c r="W141" s="25">
        <f t="shared" si="63"/>
        <v>0.1524390243902439</v>
      </c>
      <c r="X141" s="25">
        <f t="shared" si="64"/>
        <v>0</v>
      </c>
      <c r="Y141" s="26">
        <f t="shared" si="65"/>
        <v>29.832317073170731</v>
      </c>
    </row>
    <row r="142" spans="1:25" x14ac:dyDescent="0.25">
      <c r="A142" s="24" t="s">
        <v>268</v>
      </c>
      <c r="B142" s="24" t="s">
        <v>269</v>
      </c>
      <c r="C142" s="24" t="s">
        <v>185</v>
      </c>
      <c r="D142" s="24">
        <v>6</v>
      </c>
      <c r="E142" s="24"/>
      <c r="F142" s="24"/>
      <c r="G142" s="24"/>
      <c r="H142" s="24">
        <v>336</v>
      </c>
      <c r="I142" s="24">
        <v>101</v>
      </c>
      <c r="J142" s="24"/>
      <c r="K142" s="24">
        <v>219</v>
      </c>
      <c r="L142" s="24"/>
      <c r="M142" s="24">
        <v>656</v>
      </c>
      <c r="N142" s="26">
        <v>21.949695121951219</v>
      </c>
      <c r="O142" s="24" t="s">
        <v>210</v>
      </c>
      <c r="P142" s="24">
        <f t="shared" si="56"/>
        <v>219</v>
      </c>
      <c r="Q142" s="24">
        <f t="shared" si="57"/>
        <v>336</v>
      </c>
      <c r="R142" s="24">
        <f t="shared" si="58"/>
        <v>101</v>
      </c>
      <c r="S142" s="24">
        <f t="shared" si="59"/>
        <v>0</v>
      </c>
      <c r="T142" s="24">
        <f t="shared" si="60"/>
        <v>656</v>
      </c>
      <c r="U142" s="25">
        <f t="shared" si="61"/>
        <v>0.33384146341463417</v>
      </c>
      <c r="V142" s="25">
        <f t="shared" si="62"/>
        <v>0.51219512195121952</v>
      </c>
      <c r="W142" s="25">
        <f t="shared" si="63"/>
        <v>0.15396341463414634</v>
      </c>
      <c r="X142" s="25">
        <f t="shared" si="64"/>
        <v>0</v>
      </c>
      <c r="Y142" s="26">
        <f t="shared" si="65"/>
        <v>21.949695121951219</v>
      </c>
    </row>
    <row r="143" spans="1:25" x14ac:dyDescent="0.25">
      <c r="A143" s="24" t="s">
        <v>268</v>
      </c>
      <c r="B143" s="24" t="s">
        <v>269</v>
      </c>
      <c r="C143" s="24" t="s">
        <v>186</v>
      </c>
      <c r="D143" s="24">
        <v>1</v>
      </c>
      <c r="E143" s="24"/>
      <c r="F143" s="24"/>
      <c r="G143" s="24"/>
      <c r="H143" s="24">
        <v>250</v>
      </c>
      <c r="I143" s="24">
        <v>78</v>
      </c>
      <c r="J143" s="24">
        <v>5</v>
      </c>
      <c r="K143" s="24">
        <v>63</v>
      </c>
      <c r="L143" s="24">
        <v>4</v>
      </c>
      <c r="M143" s="24">
        <v>400</v>
      </c>
      <c r="N143" s="26">
        <v>68.567499999999995</v>
      </c>
      <c r="O143" s="24" t="s">
        <v>210</v>
      </c>
      <c r="P143" s="24">
        <f t="shared" si="56"/>
        <v>63</v>
      </c>
      <c r="Q143" s="24">
        <f t="shared" si="57"/>
        <v>250</v>
      </c>
      <c r="R143" s="24">
        <f t="shared" si="58"/>
        <v>78</v>
      </c>
      <c r="S143" s="24">
        <f t="shared" si="59"/>
        <v>9</v>
      </c>
      <c r="T143" s="24">
        <f t="shared" si="60"/>
        <v>400</v>
      </c>
      <c r="U143" s="25">
        <f t="shared" si="61"/>
        <v>0.1575</v>
      </c>
      <c r="V143" s="25">
        <f t="shared" si="62"/>
        <v>0.625</v>
      </c>
      <c r="W143" s="25">
        <f t="shared" si="63"/>
        <v>0.19500000000000001</v>
      </c>
      <c r="X143" s="25">
        <f t="shared" si="64"/>
        <v>2.2499999999999999E-2</v>
      </c>
      <c r="Y143" s="26">
        <f t="shared" si="65"/>
        <v>68.567499999999995</v>
      </c>
    </row>
    <row r="144" spans="1:25" x14ac:dyDescent="0.25">
      <c r="A144" s="24" t="s">
        <v>268</v>
      </c>
      <c r="B144" s="24" t="s">
        <v>269</v>
      </c>
      <c r="C144" s="24" t="s">
        <v>186</v>
      </c>
      <c r="D144" s="24">
        <v>2</v>
      </c>
      <c r="E144" s="24"/>
      <c r="F144" s="24"/>
      <c r="G144" s="24">
        <v>1</v>
      </c>
      <c r="H144" s="24">
        <v>239</v>
      </c>
      <c r="I144" s="24">
        <v>80</v>
      </c>
      <c r="J144" s="24">
        <v>4</v>
      </c>
      <c r="K144" s="24">
        <v>106</v>
      </c>
      <c r="L144" s="24">
        <v>10</v>
      </c>
      <c r="M144" s="24">
        <v>440</v>
      </c>
      <c r="N144" s="26">
        <v>47.222727272727276</v>
      </c>
      <c r="O144" s="24" t="s">
        <v>210</v>
      </c>
      <c r="P144" s="24">
        <f t="shared" si="56"/>
        <v>106</v>
      </c>
      <c r="Q144" s="24">
        <f t="shared" si="57"/>
        <v>239</v>
      </c>
      <c r="R144" s="24">
        <f t="shared" si="58"/>
        <v>80</v>
      </c>
      <c r="S144" s="24">
        <f t="shared" si="59"/>
        <v>15</v>
      </c>
      <c r="T144" s="24">
        <f t="shared" si="60"/>
        <v>440</v>
      </c>
      <c r="U144" s="25">
        <f t="shared" si="61"/>
        <v>0.24090909090909091</v>
      </c>
      <c r="V144" s="25">
        <f t="shared" si="62"/>
        <v>0.54318181818181821</v>
      </c>
      <c r="W144" s="25">
        <f t="shared" si="63"/>
        <v>0.18181818181818182</v>
      </c>
      <c r="X144" s="25">
        <f t="shared" si="64"/>
        <v>3.4090909090909088E-2</v>
      </c>
      <c r="Y144" s="26">
        <f t="shared" si="65"/>
        <v>47.222727272727276</v>
      </c>
    </row>
    <row r="145" spans="1:25" x14ac:dyDescent="0.25">
      <c r="A145" s="24" t="s">
        <v>268</v>
      </c>
      <c r="B145" s="24" t="s">
        <v>269</v>
      </c>
      <c r="C145" s="24" t="s">
        <v>186</v>
      </c>
      <c r="D145" s="24">
        <v>3</v>
      </c>
      <c r="E145" s="24"/>
      <c r="F145" s="24"/>
      <c r="G145" s="24"/>
      <c r="H145" s="24">
        <v>231</v>
      </c>
      <c r="I145" s="24">
        <v>92</v>
      </c>
      <c r="J145" s="24">
        <v>7</v>
      </c>
      <c r="K145" s="24">
        <v>109</v>
      </c>
      <c r="L145" s="24">
        <v>2</v>
      </c>
      <c r="M145" s="24">
        <v>441</v>
      </c>
      <c r="N145" s="26">
        <v>28.746031746031747</v>
      </c>
      <c r="O145" s="24" t="s">
        <v>210</v>
      </c>
      <c r="P145" s="24">
        <f t="shared" si="56"/>
        <v>109</v>
      </c>
      <c r="Q145" s="24">
        <f t="shared" si="57"/>
        <v>231</v>
      </c>
      <c r="R145" s="24">
        <f t="shared" si="58"/>
        <v>92</v>
      </c>
      <c r="S145" s="24">
        <f t="shared" si="59"/>
        <v>9</v>
      </c>
      <c r="T145" s="24">
        <f t="shared" si="60"/>
        <v>441</v>
      </c>
      <c r="U145" s="25">
        <f t="shared" si="61"/>
        <v>0.2471655328798186</v>
      </c>
      <c r="V145" s="25">
        <f t="shared" si="62"/>
        <v>0.52380952380952384</v>
      </c>
      <c r="W145" s="25">
        <f t="shared" si="63"/>
        <v>0.20861678004535147</v>
      </c>
      <c r="X145" s="25">
        <f t="shared" si="64"/>
        <v>2.0408163265306121E-2</v>
      </c>
      <c r="Y145" s="26">
        <f t="shared" si="65"/>
        <v>28.746031746031747</v>
      </c>
    </row>
    <row r="146" spans="1:25" x14ac:dyDescent="0.25">
      <c r="A146" s="22"/>
      <c r="B146" s="22"/>
      <c r="C146" s="22"/>
      <c r="D146" s="22"/>
      <c r="E146" s="22">
        <v>103</v>
      </c>
      <c r="F146" s="22">
        <v>109</v>
      </c>
      <c r="G146" s="22">
        <v>467</v>
      </c>
      <c r="H146" s="22">
        <v>19088</v>
      </c>
      <c r="I146" s="22">
        <v>9786</v>
      </c>
      <c r="J146" s="22">
        <v>132</v>
      </c>
      <c r="K146" s="22">
        <v>51345</v>
      </c>
      <c r="L146" s="22">
        <v>69</v>
      </c>
      <c r="M146" s="22">
        <v>81099</v>
      </c>
      <c r="N146" s="28"/>
      <c r="O146" s="22"/>
      <c r="P146" s="24">
        <v>51345</v>
      </c>
      <c r="Q146" s="24">
        <v>19088</v>
      </c>
      <c r="R146" s="24">
        <v>9786</v>
      </c>
      <c r="S146" s="24">
        <v>880</v>
      </c>
      <c r="T146" s="24">
        <v>81099</v>
      </c>
      <c r="U146" s="25">
        <v>0.63311508156697371</v>
      </c>
      <c r="V146" s="25">
        <v>0.23536665063687592</v>
      </c>
      <c r="W146" s="25">
        <v>0.12066733251951318</v>
      </c>
      <c r="X146" s="25">
        <v>1.0850935276637197E-2</v>
      </c>
      <c r="Y146" s="26">
        <v>0</v>
      </c>
    </row>
    <row r="148" spans="1:25" x14ac:dyDescent="0.25">
      <c r="A148" s="24" t="s">
        <v>227</v>
      </c>
      <c r="B148" s="24" t="s">
        <v>228</v>
      </c>
      <c r="C148" s="24" t="s">
        <v>229</v>
      </c>
      <c r="D148" s="24"/>
      <c r="E148" s="24"/>
      <c r="F148" s="24"/>
      <c r="G148" s="24"/>
      <c r="H148" s="24"/>
      <c r="I148" s="24"/>
      <c r="J148" s="24"/>
      <c r="K148" s="24">
        <v>2</v>
      </c>
      <c r="L148" s="24"/>
      <c r="M148" s="24">
        <v>2</v>
      </c>
      <c r="N148" s="26">
        <v>32</v>
      </c>
      <c r="O148" s="24" t="s">
        <v>210</v>
      </c>
      <c r="P148" s="24">
        <f>K148</f>
        <v>2</v>
      </c>
      <c r="Q148" s="24">
        <f t="shared" ref="Q148:R151" si="75">H148</f>
        <v>0</v>
      </c>
      <c r="R148" s="24">
        <f t="shared" si="75"/>
        <v>0</v>
      </c>
      <c r="S148" s="24">
        <f>M148-SUM(P148:R148)</f>
        <v>0</v>
      </c>
      <c r="T148" s="24">
        <f>SUM(P148:S148)</f>
        <v>2</v>
      </c>
      <c r="U148" s="25">
        <f>P148/M148</f>
        <v>1</v>
      </c>
      <c r="V148" s="25">
        <f>Q148/M148</f>
        <v>0</v>
      </c>
      <c r="W148" s="25">
        <f>R148/M148</f>
        <v>0</v>
      </c>
      <c r="X148" s="25">
        <f>S148/M148</f>
        <v>0</v>
      </c>
      <c r="Y148" s="26">
        <f>N148</f>
        <v>32</v>
      </c>
    </row>
    <row r="149" spans="1:25" x14ac:dyDescent="0.25">
      <c r="A149" s="24" t="s">
        <v>236</v>
      </c>
      <c r="B149" s="24" t="s">
        <v>237</v>
      </c>
      <c r="C149" s="24" t="s">
        <v>229</v>
      </c>
      <c r="D149" s="24"/>
      <c r="E149" s="24"/>
      <c r="F149" s="24"/>
      <c r="G149" s="24"/>
      <c r="H149" s="24"/>
      <c r="I149" s="24"/>
      <c r="J149" s="24"/>
      <c r="K149" s="24">
        <v>1</v>
      </c>
      <c r="L149" s="24"/>
      <c r="M149" s="24">
        <v>1</v>
      </c>
      <c r="N149" s="26">
        <v>32</v>
      </c>
      <c r="O149" s="24" t="s">
        <v>210</v>
      </c>
      <c r="P149" s="24">
        <f>K149</f>
        <v>1</v>
      </c>
      <c r="Q149" s="24">
        <f t="shared" si="75"/>
        <v>0</v>
      </c>
      <c r="R149" s="24">
        <f t="shared" si="75"/>
        <v>0</v>
      </c>
      <c r="S149" s="24">
        <f>M149-SUM(P149:R149)</f>
        <v>0</v>
      </c>
      <c r="T149" s="24">
        <f>SUM(P149:S149)</f>
        <v>1</v>
      </c>
      <c r="U149" s="25">
        <f>P149/M149</f>
        <v>1</v>
      </c>
      <c r="V149" s="25">
        <f>Q149/M149</f>
        <v>0</v>
      </c>
      <c r="W149" s="25">
        <f>R149/M149</f>
        <v>0</v>
      </c>
      <c r="X149" s="25">
        <f>S149/M149</f>
        <v>0</v>
      </c>
      <c r="Y149" s="26">
        <f>N149</f>
        <v>32</v>
      </c>
    </row>
    <row r="150" spans="1:25" x14ac:dyDescent="0.25">
      <c r="A150" s="24" t="s">
        <v>256</v>
      </c>
      <c r="B150" s="24" t="s">
        <v>257</v>
      </c>
      <c r="C150" s="24" t="s">
        <v>229</v>
      </c>
      <c r="D150" s="24"/>
      <c r="E150" s="24"/>
      <c r="F150" s="24"/>
      <c r="G150" s="24"/>
      <c r="H150" s="24">
        <v>1</v>
      </c>
      <c r="I150" s="24"/>
      <c r="J150" s="24"/>
      <c r="K150" s="24"/>
      <c r="L150" s="24"/>
      <c r="M150" s="24">
        <v>1</v>
      </c>
      <c r="N150" s="26">
        <v>54</v>
      </c>
      <c r="O150" s="24" t="s">
        <v>210</v>
      </c>
      <c r="P150" s="24">
        <f>K150</f>
        <v>0</v>
      </c>
      <c r="Q150" s="24">
        <f t="shared" si="75"/>
        <v>1</v>
      </c>
      <c r="R150" s="24">
        <f t="shared" si="75"/>
        <v>0</v>
      </c>
      <c r="S150" s="24">
        <f>M150-SUM(P150:R150)</f>
        <v>0</v>
      </c>
      <c r="T150" s="24">
        <f>SUM(P150:S150)</f>
        <v>1</v>
      </c>
      <c r="U150" s="25">
        <f>P150/M150</f>
        <v>0</v>
      </c>
      <c r="V150" s="25">
        <f>Q150/M150</f>
        <v>1</v>
      </c>
      <c r="W150" s="25">
        <f>R150/M150</f>
        <v>0</v>
      </c>
      <c r="X150" s="25">
        <f>S150/M150</f>
        <v>0</v>
      </c>
      <c r="Y150" s="26">
        <f>N150</f>
        <v>54</v>
      </c>
    </row>
    <row r="151" spans="1:25" x14ac:dyDescent="0.25">
      <c r="A151" s="22"/>
      <c r="B151" s="22"/>
      <c r="C151" s="30" t="s">
        <v>280</v>
      </c>
      <c r="D151" s="22"/>
      <c r="E151" s="22">
        <f>SUM(E148:E150)</f>
        <v>0</v>
      </c>
      <c r="F151" s="22">
        <f t="shared" ref="F151:M151" si="76">SUM(F148:F150)</f>
        <v>0</v>
      </c>
      <c r="G151" s="22">
        <f t="shared" si="76"/>
        <v>0</v>
      </c>
      <c r="H151" s="22">
        <f t="shared" si="76"/>
        <v>1</v>
      </c>
      <c r="I151" s="22">
        <f t="shared" si="76"/>
        <v>0</v>
      </c>
      <c r="J151" s="22">
        <f t="shared" si="76"/>
        <v>0</v>
      </c>
      <c r="K151" s="22">
        <f t="shared" si="76"/>
        <v>3</v>
      </c>
      <c r="L151" s="22">
        <f t="shared" si="76"/>
        <v>0</v>
      </c>
      <c r="M151" s="22">
        <f t="shared" si="76"/>
        <v>4</v>
      </c>
      <c r="N151" s="28">
        <f>AVERAGE(N148:N150)</f>
        <v>39.333333333333336</v>
      </c>
      <c r="O151" s="22"/>
      <c r="P151" s="24">
        <f>K151</f>
        <v>3</v>
      </c>
      <c r="Q151" s="24">
        <f t="shared" si="75"/>
        <v>1</v>
      </c>
      <c r="R151" s="24">
        <f t="shared" si="75"/>
        <v>0</v>
      </c>
      <c r="S151" s="24">
        <f>M151-SUM(P151:R151)</f>
        <v>0</v>
      </c>
      <c r="T151" s="24">
        <f>SUM(P151:S151)</f>
        <v>4</v>
      </c>
      <c r="U151" s="25">
        <f>P151/M151</f>
        <v>0.75</v>
      </c>
      <c r="V151" s="25">
        <f>Q151/M151</f>
        <v>0.25</v>
      </c>
      <c r="W151" s="25">
        <f>R151/M151</f>
        <v>0</v>
      </c>
      <c r="X151" s="25">
        <f>S151/M151</f>
        <v>0</v>
      </c>
      <c r="Y151" s="26">
        <f>N151</f>
        <v>39.333333333333336</v>
      </c>
    </row>
    <row r="153" spans="1:25" x14ac:dyDescent="0.25">
      <c r="A153" s="24" t="s">
        <v>217</v>
      </c>
      <c r="B153" s="24" t="s">
        <v>218</v>
      </c>
      <c r="C153" s="24" t="s">
        <v>109</v>
      </c>
      <c r="D153" s="24">
        <v>1</v>
      </c>
      <c r="E153" s="24"/>
      <c r="F153" s="24"/>
      <c r="G153" s="24">
        <v>1</v>
      </c>
      <c r="H153" s="24"/>
      <c r="I153" s="24">
        <v>1</v>
      </c>
      <c r="J153" s="24"/>
      <c r="K153" s="24">
        <v>33</v>
      </c>
      <c r="L153" s="24"/>
      <c r="M153" s="24">
        <v>35</v>
      </c>
      <c r="N153" s="26">
        <v>38.285714285714285</v>
      </c>
      <c r="O153" s="24" t="s">
        <v>210</v>
      </c>
      <c r="P153" s="24">
        <f t="shared" ref="P153:P167" si="77">K153</f>
        <v>33</v>
      </c>
      <c r="Q153" s="24">
        <f t="shared" ref="Q153:Q167" si="78">H153</f>
        <v>0</v>
      </c>
      <c r="R153" s="24">
        <f t="shared" ref="R153:R167" si="79">I153</f>
        <v>1</v>
      </c>
      <c r="S153" s="24">
        <f t="shared" ref="S153:S167" si="80">M153-SUM(P153:R153)</f>
        <v>1</v>
      </c>
      <c r="T153" s="24">
        <f t="shared" ref="T153:T167" si="81">SUM(P153:S153)</f>
        <v>35</v>
      </c>
      <c r="U153" s="25">
        <f t="shared" ref="U153:U167" si="82">P153/M153</f>
        <v>0.94285714285714284</v>
      </c>
      <c r="V153" s="25">
        <f t="shared" ref="V153:V167" si="83">Q153/M153</f>
        <v>0</v>
      </c>
      <c r="W153" s="25">
        <f t="shared" ref="W153:W167" si="84">R153/M153</f>
        <v>2.8571428571428571E-2</v>
      </c>
      <c r="X153" s="25">
        <f t="shared" ref="X153:X167" si="85">S153/M153</f>
        <v>2.8571428571428571E-2</v>
      </c>
      <c r="Y153" s="26">
        <f t="shared" ref="Y153:Y167" si="86">N153</f>
        <v>38.285714285714285</v>
      </c>
    </row>
    <row r="154" spans="1:25" x14ac:dyDescent="0.25">
      <c r="A154" s="24" t="s">
        <v>219</v>
      </c>
      <c r="B154" s="24" t="s">
        <v>220</v>
      </c>
      <c r="C154" s="24" t="s">
        <v>110</v>
      </c>
      <c r="D154" s="24">
        <v>1</v>
      </c>
      <c r="E154" s="24">
        <v>19</v>
      </c>
      <c r="F154" s="24">
        <v>10</v>
      </c>
      <c r="G154" s="24">
        <v>58</v>
      </c>
      <c r="H154" s="24">
        <v>10</v>
      </c>
      <c r="I154" s="24">
        <v>25</v>
      </c>
      <c r="J154" s="24">
        <v>5</v>
      </c>
      <c r="K154" s="24">
        <v>354</v>
      </c>
      <c r="L154" s="24">
        <v>1</v>
      </c>
      <c r="M154" s="24">
        <v>482</v>
      </c>
      <c r="N154" s="26">
        <v>31.450207468879668</v>
      </c>
      <c r="O154" s="24" t="s">
        <v>210</v>
      </c>
      <c r="P154" s="24">
        <f t="shared" si="77"/>
        <v>354</v>
      </c>
      <c r="Q154" s="24">
        <f t="shared" si="78"/>
        <v>10</v>
      </c>
      <c r="R154" s="24">
        <f t="shared" si="79"/>
        <v>25</v>
      </c>
      <c r="S154" s="24">
        <f t="shared" si="80"/>
        <v>93</v>
      </c>
      <c r="T154" s="24">
        <f t="shared" si="81"/>
        <v>482</v>
      </c>
      <c r="U154" s="25">
        <f t="shared" si="82"/>
        <v>0.73443983402489632</v>
      </c>
      <c r="V154" s="25">
        <f t="shared" si="83"/>
        <v>2.0746887966804978E-2</v>
      </c>
      <c r="W154" s="25">
        <f t="shared" si="84"/>
        <v>5.1867219917012451E-2</v>
      </c>
      <c r="X154" s="25">
        <f t="shared" si="85"/>
        <v>0.19294605809128632</v>
      </c>
      <c r="Y154" s="26">
        <f t="shared" si="86"/>
        <v>31.450207468879668</v>
      </c>
    </row>
    <row r="155" spans="1:25" x14ac:dyDescent="0.25">
      <c r="A155" s="24" t="s">
        <v>219</v>
      </c>
      <c r="B155" s="24" t="s">
        <v>220</v>
      </c>
      <c r="C155" s="24" t="s">
        <v>110</v>
      </c>
      <c r="D155" s="24">
        <v>2</v>
      </c>
      <c r="E155" s="24">
        <v>18</v>
      </c>
      <c r="F155" s="24">
        <v>18</v>
      </c>
      <c r="G155" s="24">
        <v>73</v>
      </c>
      <c r="H155" s="24">
        <v>15</v>
      </c>
      <c r="I155" s="24">
        <v>22</v>
      </c>
      <c r="J155" s="24">
        <v>3</v>
      </c>
      <c r="K155" s="24">
        <v>333</v>
      </c>
      <c r="L155" s="24"/>
      <c r="M155" s="24">
        <v>482</v>
      </c>
      <c r="N155" s="26">
        <v>31.616182572614107</v>
      </c>
      <c r="O155" s="24" t="s">
        <v>210</v>
      </c>
      <c r="P155" s="24">
        <f t="shared" si="77"/>
        <v>333</v>
      </c>
      <c r="Q155" s="24">
        <f t="shared" si="78"/>
        <v>15</v>
      </c>
      <c r="R155" s="24">
        <f t="shared" si="79"/>
        <v>22</v>
      </c>
      <c r="S155" s="24">
        <f t="shared" si="80"/>
        <v>112</v>
      </c>
      <c r="T155" s="24">
        <f t="shared" si="81"/>
        <v>482</v>
      </c>
      <c r="U155" s="25">
        <f t="shared" si="82"/>
        <v>0.6908713692946058</v>
      </c>
      <c r="V155" s="25">
        <f t="shared" si="83"/>
        <v>3.1120331950207469E-2</v>
      </c>
      <c r="W155" s="25">
        <f t="shared" si="84"/>
        <v>4.5643153526970952E-2</v>
      </c>
      <c r="X155" s="25">
        <f t="shared" si="85"/>
        <v>0.23236514522821577</v>
      </c>
      <c r="Y155" s="26">
        <f t="shared" si="86"/>
        <v>31.616182572614107</v>
      </c>
    </row>
    <row r="156" spans="1:25" x14ac:dyDescent="0.25">
      <c r="A156" s="24" t="s">
        <v>219</v>
      </c>
      <c r="B156" s="24" t="s">
        <v>220</v>
      </c>
      <c r="C156" s="24" t="s">
        <v>110</v>
      </c>
      <c r="D156" s="24">
        <v>3</v>
      </c>
      <c r="E156" s="24">
        <v>1</v>
      </c>
      <c r="F156" s="24">
        <v>1</v>
      </c>
      <c r="G156" s="24">
        <v>1</v>
      </c>
      <c r="H156" s="24"/>
      <c r="I156" s="24"/>
      <c r="J156" s="24"/>
      <c r="K156" s="24">
        <v>479</v>
      </c>
      <c r="L156" s="24"/>
      <c r="M156" s="24">
        <v>482</v>
      </c>
      <c r="N156" s="26">
        <v>30.773858921161825</v>
      </c>
      <c r="O156" s="24" t="s">
        <v>210</v>
      </c>
      <c r="P156" s="24">
        <f t="shared" si="77"/>
        <v>479</v>
      </c>
      <c r="Q156" s="24">
        <f t="shared" si="78"/>
        <v>0</v>
      </c>
      <c r="R156" s="24">
        <f t="shared" si="79"/>
        <v>0</v>
      </c>
      <c r="S156" s="24">
        <f t="shared" si="80"/>
        <v>3</v>
      </c>
      <c r="T156" s="24">
        <f t="shared" si="81"/>
        <v>482</v>
      </c>
      <c r="U156" s="25">
        <f t="shared" si="82"/>
        <v>0.99377593360995853</v>
      </c>
      <c r="V156" s="25">
        <f t="shared" si="83"/>
        <v>0</v>
      </c>
      <c r="W156" s="25">
        <f t="shared" si="84"/>
        <v>0</v>
      </c>
      <c r="X156" s="25">
        <f t="shared" si="85"/>
        <v>6.2240663900414933E-3</v>
      </c>
      <c r="Y156" s="26">
        <f t="shared" si="86"/>
        <v>30.773858921161825</v>
      </c>
    </row>
    <row r="157" spans="1:25" x14ac:dyDescent="0.25">
      <c r="A157" s="24" t="s">
        <v>219</v>
      </c>
      <c r="B157" s="24" t="s">
        <v>220</v>
      </c>
      <c r="C157" s="24" t="s">
        <v>110</v>
      </c>
      <c r="D157" s="24">
        <v>4</v>
      </c>
      <c r="E157" s="24"/>
      <c r="F157" s="24"/>
      <c r="G157" s="24">
        <v>2</v>
      </c>
      <c r="H157" s="24"/>
      <c r="I157" s="24"/>
      <c r="J157" s="24">
        <v>2</v>
      </c>
      <c r="K157" s="24">
        <v>478</v>
      </c>
      <c r="L157" s="24"/>
      <c r="M157" s="24">
        <v>482</v>
      </c>
      <c r="N157" s="26">
        <v>34.836099585062243</v>
      </c>
      <c r="O157" s="24" t="s">
        <v>210</v>
      </c>
      <c r="P157" s="24">
        <f t="shared" si="77"/>
        <v>478</v>
      </c>
      <c r="Q157" s="24">
        <f t="shared" si="78"/>
        <v>0</v>
      </c>
      <c r="R157" s="24">
        <f t="shared" si="79"/>
        <v>0</v>
      </c>
      <c r="S157" s="24">
        <f t="shared" si="80"/>
        <v>4</v>
      </c>
      <c r="T157" s="24">
        <f t="shared" si="81"/>
        <v>482</v>
      </c>
      <c r="U157" s="25">
        <f t="shared" si="82"/>
        <v>0.99170124481327804</v>
      </c>
      <c r="V157" s="25">
        <f t="shared" si="83"/>
        <v>0</v>
      </c>
      <c r="W157" s="25">
        <f t="shared" si="84"/>
        <v>0</v>
      </c>
      <c r="X157" s="25">
        <f t="shared" si="85"/>
        <v>8.2987551867219917E-3</v>
      </c>
      <c r="Y157" s="26">
        <f t="shared" si="86"/>
        <v>34.836099585062243</v>
      </c>
    </row>
    <row r="158" spans="1:25" x14ac:dyDescent="0.25">
      <c r="A158" s="24" t="s">
        <v>219</v>
      </c>
      <c r="B158" s="24" t="s">
        <v>220</v>
      </c>
      <c r="C158" s="24" t="s">
        <v>110</v>
      </c>
      <c r="D158" s="24">
        <v>5</v>
      </c>
      <c r="E158" s="24">
        <v>1</v>
      </c>
      <c r="F158" s="24">
        <v>1</v>
      </c>
      <c r="G158" s="24">
        <v>5</v>
      </c>
      <c r="H158" s="24">
        <v>1</v>
      </c>
      <c r="I158" s="24"/>
      <c r="J158" s="24"/>
      <c r="K158" s="24">
        <v>474</v>
      </c>
      <c r="L158" s="24"/>
      <c r="M158" s="24">
        <v>482</v>
      </c>
      <c r="N158" s="26">
        <v>27.695020746887966</v>
      </c>
      <c r="O158" s="24" t="s">
        <v>210</v>
      </c>
      <c r="P158" s="24">
        <f t="shared" si="77"/>
        <v>474</v>
      </c>
      <c r="Q158" s="24">
        <f t="shared" si="78"/>
        <v>1</v>
      </c>
      <c r="R158" s="24">
        <f t="shared" si="79"/>
        <v>0</v>
      </c>
      <c r="S158" s="24">
        <f t="shared" si="80"/>
        <v>7</v>
      </c>
      <c r="T158" s="24">
        <f t="shared" si="81"/>
        <v>482</v>
      </c>
      <c r="U158" s="25">
        <f t="shared" si="82"/>
        <v>0.98340248962655596</v>
      </c>
      <c r="V158" s="25">
        <f t="shared" si="83"/>
        <v>2.0746887966804979E-3</v>
      </c>
      <c r="W158" s="25">
        <f t="shared" si="84"/>
        <v>0</v>
      </c>
      <c r="X158" s="25">
        <f t="shared" si="85"/>
        <v>1.4522821576763486E-2</v>
      </c>
      <c r="Y158" s="26">
        <f t="shared" si="86"/>
        <v>27.695020746887966</v>
      </c>
    </row>
    <row r="159" spans="1:25" x14ac:dyDescent="0.25">
      <c r="A159" s="24" t="s">
        <v>219</v>
      </c>
      <c r="B159" s="24" t="s">
        <v>220</v>
      </c>
      <c r="C159" s="24" t="s">
        <v>110</v>
      </c>
      <c r="D159" s="24">
        <v>6</v>
      </c>
      <c r="E159" s="24">
        <v>7</v>
      </c>
      <c r="F159" s="24">
        <v>1</v>
      </c>
      <c r="G159" s="24">
        <v>9</v>
      </c>
      <c r="H159" s="24">
        <v>1</v>
      </c>
      <c r="I159" s="24">
        <v>5</v>
      </c>
      <c r="J159" s="24"/>
      <c r="K159" s="24">
        <v>459</v>
      </c>
      <c r="L159" s="24"/>
      <c r="M159" s="24">
        <v>482</v>
      </c>
      <c r="N159" s="26">
        <v>29.402489626556015</v>
      </c>
      <c r="O159" s="24" t="s">
        <v>210</v>
      </c>
      <c r="P159" s="24">
        <f t="shared" si="77"/>
        <v>459</v>
      </c>
      <c r="Q159" s="24">
        <f t="shared" si="78"/>
        <v>1</v>
      </c>
      <c r="R159" s="24">
        <f t="shared" si="79"/>
        <v>5</v>
      </c>
      <c r="S159" s="24">
        <f t="shared" si="80"/>
        <v>17</v>
      </c>
      <c r="T159" s="24">
        <f t="shared" si="81"/>
        <v>482</v>
      </c>
      <c r="U159" s="25">
        <f t="shared" si="82"/>
        <v>0.9522821576763485</v>
      </c>
      <c r="V159" s="25">
        <f t="shared" si="83"/>
        <v>2.0746887966804979E-3</v>
      </c>
      <c r="W159" s="25">
        <f t="shared" si="84"/>
        <v>1.0373443983402489E-2</v>
      </c>
      <c r="X159" s="25">
        <f t="shared" si="85"/>
        <v>3.5269709543568464E-2</v>
      </c>
      <c r="Y159" s="26">
        <f t="shared" si="86"/>
        <v>29.402489626556015</v>
      </c>
    </row>
    <row r="160" spans="1:25" x14ac:dyDescent="0.25">
      <c r="A160" s="24" t="s">
        <v>219</v>
      </c>
      <c r="B160" s="24" t="s">
        <v>220</v>
      </c>
      <c r="C160" s="24" t="s">
        <v>110</v>
      </c>
      <c r="D160" s="24">
        <v>7</v>
      </c>
      <c r="E160" s="24">
        <v>12</v>
      </c>
      <c r="F160" s="24">
        <v>13</v>
      </c>
      <c r="G160" s="24">
        <v>42</v>
      </c>
      <c r="H160" s="24">
        <v>7</v>
      </c>
      <c r="I160" s="24">
        <v>14</v>
      </c>
      <c r="J160" s="24">
        <v>2</v>
      </c>
      <c r="K160" s="24">
        <v>392</v>
      </c>
      <c r="L160" s="24"/>
      <c r="M160" s="24">
        <v>482</v>
      </c>
      <c r="N160" s="26">
        <v>33.61825726141079</v>
      </c>
      <c r="O160" s="24" t="s">
        <v>210</v>
      </c>
      <c r="P160" s="24">
        <f t="shared" si="77"/>
        <v>392</v>
      </c>
      <c r="Q160" s="24">
        <f t="shared" si="78"/>
        <v>7</v>
      </c>
      <c r="R160" s="24">
        <f t="shared" si="79"/>
        <v>14</v>
      </c>
      <c r="S160" s="24">
        <f t="shared" si="80"/>
        <v>69</v>
      </c>
      <c r="T160" s="24">
        <f t="shared" si="81"/>
        <v>482</v>
      </c>
      <c r="U160" s="25">
        <f t="shared" si="82"/>
        <v>0.81327800829875518</v>
      </c>
      <c r="V160" s="25">
        <f t="shared" si="83"/>
        <v>1.4522821576763486E-2</v>
      </c>
      <c r="W160" s="25">
        <f t="shared" si="84"/>
        <v>2.9045643153526972E-2</v>
      </c>
      <c r="X160" s="25">
        <f t="shared" si="85"/>
        <v>0.14315352697095435</v>
      </c>
      <c r="Y160" s="26">
        <f t="shared" si="86"/>
        <v>33.61825726141079</v>
      </c>
    </row>
    <row r="161" spans="1:25" x14ac:dyDescent="0.25">
      <c r="A161" s="24" t="s">
        <v>219</v>
      </c>
      <c r="B161" s="24" t="s">
        <v>220</v>
      </c>
      <c r="C161" s="24" t="s">
        <v>110</v>
      </c>
      <c r="D161" s="24">
        <v>8</v>
      </c>
      <c r="E161" s="24">
        <v>16</v>
      </c>
      <c r="F161" s="24">
        <v>15</v>
      </c>
      <c r="G161" s="24">
        <v>58</v>
      </c>
      <c r="H161" s="24">
        <v>3</v>
      </c>
      <c r="I161" s="24">
        <v>4</v>
      </c>
      <c r="J161" s="24">
        <v>3</v>
      </c>
      <c r="K161" s="24">
        <v>383</v>
      </c>
      <c r="L161" s="24"/>
      <c r="M161" s="24">
        <v>482</v>
      </c>
      <c r="N161" s="26">
        <v>33.53526970954357</v>
      </c>
      <c r="O161" s="24" t="s">
        <v>210</v>
      </c>
      <c r="P161" s="24">
        <f t="shared" si="77"/>
        <v>383</v>
      </c>
      <c r="Q161" s="24">
        <f t="shared" si="78"/>
        <v>3</v>
      </c>
      <c r="R161" s="24">
        <f t="shared" si="79"/>
        <v>4</v>
      </c>
      <c r="S161" s="24">
        <f t="shared" si="80"/>
        <v>92</v>
      </c>
      <c r="T161" s="24">
        <f t="shared" si="81"/>
        <v>482</v>
      </c>
      <c r="U161" s="25">
        <f t="shared" si="82"/>
        <v>0.79460580912863066</v>
      </c>
      <c r="V161" s="25">
        <f t="shared" si="83"/>
        <v>6.2240663900414933E-3</v>
      </c>
      <c r="W161" s="25">
        <f t="shared" si="84"/>
        <v>8.2987551867219917E-3</v>
      </c>
      <c r="X161" s="25">
        <f t="shared" si="85"/>
        <v>0.1908713692946058</v>
      </c>
      <c r="Y161" s="26">
        <f t="shared" si="86"/>
        <v>33.53526970954357</v>
      </c>
    </row>
    <row r="162" spans="1:25" x14ac:dyDescent="0.25">
      <c r="A162" s="24" t="s">
        <v>219</v>
      </c>
      <c r="B162" s="24" t="s">
        <v>220</v>
      </c>
      <c r="C162" s="24" t="s">
        <v>110</v>
      </c>
      <c r="D162" s="24">
        <v>9</v>
      </c>
      <c r="E162" s="24">
        <v>3</v>
      </c>
      <c r="F162" s="24">
        <v>1</v>
      </c>
      <c r="G162" s="24">
        <v>3</v>
      </c>
      <c r="H162" s="24">
        <v>1</v>
      </c>
      <c r="I162" s="24"/>
      <c r="J162" s="24"/>
      <c r="K162" s="24">
        <v>472</v>
      </c>
      <c r="L162" s="24">
        <v>2</v>
      </c>
      <c r="M162" s="24">
        <v>482</v>
      </c>
      <c r="N162" s="26">
        <v>31.614107883817429</v>
      </c>
      <c r="O162" s="24" t="s">
        <v>210</v>
      </c>
      <c r="P162" s="24">
        <f t="shared" si="77"/>
        <v>472</v>
      </c>
      <c r="Q162" s="24">
        <f t="shared" si="78"/>
        <v>1</v>
      </c>
      <c r="R162" s="24">
        <f t="shared" si="79"/>
        <v>0</v>
      </c>
      <c r="S162" s="24">
        <f t="shared" si="80"/>
        <v>9</v>
      </c>
      <c r="T162" s="24">
        <f t="shared" si="81"/>
        <v>482</v>
      </c>
      <c r="U162" s="25">
        <f t="shared" si="82"/>
        <v>0.97925311203319498</v>
      </c>
      <c r="V162" s="25">
        <f t="shared" si="83"/>
        <v>2.0746887966804979E-3</v>
      </c>
      <c r="W162" s="25">
        <f t="shared" si="84"/>
        <v>0</v>
      </c>
      <c r="X162" s="25">
        <f t="shared" si="85"/>
        <v>1.8672199170124481E-2</v>
      </c>
      <c r="Y162" s="26">
        <f t="shared" si="86"/>
        <v>31.614107883817429</v>
      </c>
    </row>
    <row r="163" spans="1:25" x14ac:dyDescent="0.25">
      <c r="A163" s="24" t="s">
        <v>219</v>
      </c>
      <c r="B163" s="24" t="s">
        <v>220</v>
      </c>
      <c r="C163" s="24" t="s">
        <v>110</v>
      </c>
      <c r="D163" s="24">
        <v>10</v>
      </c>
      <c r="E163" s="24">
        <v>6</v>
      </c>
      <c r="F163" s="24">
        <v>9</v>
      </c>
      <c r="G163" s="24">
        <v>27</v>
      </c>
      <c r="H163" s="24">
        <v>2</v>
      </c>
      <c r="I163" s="24">
        <v>10</v>
      </c>
      <c r="J163" s="24">
        <v>2</v>
      </c>
      <c r="K163" s="24">
        <v>434</v>
      </c>
      <c r="L163" s="24"/>
      <c r="M163" s="24">
        <v>490</v>
      </c>
      <c r="N163" s="26">
        <v>33.916326530612245</v>
      </c>
      <c r="O163" s="24" t="s">
        <v>210</v>
      </c>
      <c r="P163" s="24">
        <f t="shared" si="77"/>
        <v>434</v>
      </c>
      <c r="Q163" s="24">
        <f t="shared" si="78"/>
        <v>2</v>
      </c>
      <c r="R163" s="24">
        <f t="shared" si="79"/>
        <v>10</v>
      </c>
      <c r="S163" s="24">
        <f t="shared" si="80"/>
        <v>44</v>
      </c>
      <c r="T163" s="24">
        <f t="shared" si="81"/>
        <v>490</v>
      </c>
      <c r="U163" s="25">
        <f t="shared" si="82"/>
        <v>0.88571428571428568</v>
      </c>
      <c r="V163" s="25">
        <f t="shared" si="83"/>
        <v>4.0816326530612249E-3</v>
      </c>
      <c r="W163" s="25">
        <f t="shared" si="84"/>
        <v>2.0408163265306121E-2</v>
      </c>
      <c r="X163" s="25">
        <f t="shared" si="85"/>
        <v>8.9795918367346933E-2</v>
      </c>
      <c r="Y163" s="26">
        <f t="shared" si="86"/>
        <v>33.916326530612245</v>
      </c>
    </row>
    <row r="164" spans="1:25" x14ac:dyDescent="0.25">
      <c r="A164" s="24" t="s">
        <v>227</v>
      </c>
      <c r="B164" s="24" t="s">
        <v>228</v>
      </c>
      <c r="C164" s="24" t="s">
        <v>112</v>
      </c>
      <c r="D164" s="24">
        <v>1</v>
      </c>
      <c r="E164" s="24"/>
      <c r="F164" s="24"/>
      <c r="G164" s="24"/>
      <c r="H164" s="24"/>
      <c r="I164" s="24"/>
      <c r="J164" s="24"/>
      <c r="K164" s="24">
        <v>21</v>
      </c>
      <c r="L164" s="24"/>
      <c r="M164" s="24">
        <v>21</v>
      </c>
      <c r="N164" s="26">
        <v>38.476190476190474</v>
      </c>
      <c r="O164" s="24" t="s">
        <v>210</v>
      </c>
      <c r="P164" s="24">
        <f t="shared" si="77"/>
        <v>21</v>
      </c>
      <c r="Q164" s="24">
        <f t="shared" si="78"/>
        <v>0</v>
      </c>
      <c r="R164" s="24">
        <f t="shared" si="79"/>
        <v>0</v>
      </c>
      <c r="S164" s="24">
        <f t="shared" si="80"/>
        <v>0</v>
      </c>
      <c r="T164" s="24">
        <f t="shared" si="81"/>
        <v>21</v>
      </c>
      <c r="U164" s="25">
        <f t="shared" si="82"/>
        <v>1</v>
      </c>
      <c r="V164" s="25">
        <f t="shared" si="83"/>
        <v>0</v>
      </c>
      <c r="W164" s="25">
        <f t="shared" si="84"/>
        <v>0</v>
      </c>
      <c r="X164" s="25">
        <f t="shared" si="85"/>
        <v>0</v>
      </c>
      <c r="Y164" s="26">
        <f t="shared" si="86"/>
        <v>38.476190476190474</v>
      </c>
    </row>
    <row r="165" spans="1:25" x14ac:dyDescent="0.25">
      <c r="A165" s="24" t="s">
        <v>234</v>
      </c>
      <c r="B165" s="24" t="s">
        <v>235</v>
      </c>
      <c r="C165" s="24" t="s">
        <v>112</v>
      </c>
      <c r="D165" s="24">
        <v>1</v>
      </c>
      <c r="E165" s="24"/>
      <c r="F165" s="24"/>
      <c r="G165" s="24"/>
      <c r="H165" s="24"/>
      <c r="I165" s="24">
        <v>1</v>
      </c>
      <c r="J165" s="24"/>
      <c r="K165" s="24">
        <v>7</v>
      </c>
      <c r="L165" s="24"/>
      <c r="M165" s="24">
        <v>8</v>
      </c>
      <c r="N165" s="26">
        <v>32.5</v>
      </c>
      <c r="O165" s="24" t="s">
        <v>210</v>
      </c>
      <c r="P165" s="24">
        <f t="shared" si="77"/>
        <v>7</v>
      </c>
      <c r="Q165" s="24">
        <f t="shared" si="78"/>
        <v>0</v>
      </c>
      <c r="R165" s="24">
        <f t="shared" si="79"/>
        <v>1</v>
      </c>
      <c r="S165" s="24">
        <f t="shared" si="80"/>
        <v>0</v>
      </c>
      <c r="T165" s="24">
        <f t="shared" si="81"/>
        <v>8</v>
      </c>
      <c r="U165" s="25">
        <f t="shared" si="82"/>
        <v>0.875</v>
      </c>
      <c r="V165" s="25">
        <f t="shared" si="83"/>
        <v>0</v>
      </c>
      <c r="W165" s="25">
        <f t="shared" si="84"/>
        <v>0.125</v>
      </c>
      <c r="X165" s="25">
        <f t="shared" si="85"/>
        <v>0</v>
      </c>
      <c r="Y165" s="26">
        <f t="shared" si="86"/>
        <v>32.5</v>
      </c>
    </row>
    <row r="166" spans="1:25" x14ac:dyDescent="0.25">
      <c r="C166" t="str">
        <f>C165</f>
        <v>RUANG B, DEWAN SERBAGUNA IPD TAMPIN (DUN GEMENCHEH)</v>
      </c>
      <c r="D166">
        <f>D165</f>
        <v>1</v>
      </c>
      <c r="E166">
        <f>SUM(E164:E165)</f>
        <v>0</v>
      </c>
      <c r="F166">
        <f t="shared" ref="F166:M166" si="87">SUM(F164:F165)</f>
        <v>0</v>
      </c>
      <c r="G166">
        <f t="shared" si="87"/>
        <v>0</v>
      </c>
      <c r="H166">
        <f t="shared" si="87"/>
        <v>0</v>
      </c>
      <c r="I166">
        <f t="shared" si="87"/>
        <v>1</v>
      </c>
      <c r="J166">
        <f t="shared" si="87"/>
        <v>0</v>
      </c>
      <c r="K166">
        <f t="shared" si="87"/>
        <v>28</v>
      </c>
      <c r="L166">
        <f t="shared" si="87"/>
        <v>0</v>
      </c>
      <c r="M166">
        <f t="shared" si="87"/>
        <v>29</v>
      </c>
      <c r="N166" s="27">
        <f>AVERAGE(N164:N165)</f>
        <v>35.488095238095241</v>
      </c>
      <c r="P166" s="24">
        <f t="shared" si="77"/>
        <v>28</v>
      </c>
      <c r="Q166" s="24">
        <f t="shared" si="78"/>
        <v>0</v>
      </c>
      <c r="R166" s="24">
        <f t="shared" si="79"/>
        <v>1</v>
      </c>
      <c r="S166" s="24">
        <f t="shared" si="80"/>
        <v>0</v>
      </c>
      <c r="T166" s="24">
        <f t="shared" si="81"/>
        <v>29</v>
      </c>
      <c r="U166" s="25">
        <f t="shared" si="82"/>
        <v>0.96551724137931039</v>
      </c>
      <c r="V166" s="25">
        <f t="shared" si="83"/>
        <v>0</v>
      </c>
      <c r="W166" s="25">
        <f t="shared" si="84"/>
        <v>3.4482758620689655E-2</v>
      </c>
      <c r="X166" s="25">
        <f t="shared" si="85"/>
        <v>0</v>
      </c>
      <c r="Y166" s="26">
        <f t="shared" si="86"/>
        <v>35.488095238095241</v>
      </c>
    </row>
    <row r="167" spans="1:25" x14ac:dyDescent="0.25">
      <c r="A167" s="24" t="s">
        <v>258</v>
      </c>
      <c r="B167" s="24" t="s">
        <v>259</v>
      </c>
      <c r="C167" s="24" t="s">
        <v>114</v>
      </c>
      <c r="D167" s="24">
        <v>1</v>
      </c>
      <c r="E167" s="24"/>
      <c r="F167" s="24">
        <v>2</v>
      </c>
      <c r="G167" s="24">
        <v>2</v>
      </c>
      <c r="H167" s="24">
        <v>2</v>
      </c>
      <c r="I167" s="24">
        <v>8</v>
      </c>
      <c r="J167" s="24"/>
      <c r="K167" s="24">
        <v>314</v>
      </c>
      <c r="L167" s="24"/>
      <c r="M167" s="24">
        <v>328</v>
      </c>
      <c r="N167" s="26">
        <v>38.027439024390247</v>
      </c>
      <c r="O167" s="24" t="s">
        <v>210</v>
      </c>
      <c r="P167" s="24">
        <f t="shared" si="77"/>
        <v>314</v>
      </c>
      <c r="Q167" s="24">
        <f t="shared" si="78"/>
        <v>2</v>
      </c>
      <c r="R167" s="24">
        <f t="shared" si="79"/>
        <v>8</v>
      </c>
      <c r="S167" s="24">
        <f t="shared" si="80"/>
        <v>4</v>
      </c>
      <c r="T167" s="24">
        <f t="shared" si="81"/>
        <v>328</v>
      </c>
      <c r="U167" s="25">
        <f t="shared" si="82"/>
        <v>0.95731707317073167</v>
      </c>
      <c r="V167" s="25">
        <f t="shared" si="83"/>
        <v>6.0975609756097563E-3</v>
      </c>
      <c r="W167" s="25">
        <f t="shared" si="84"/>
        <v>2.4390243902439025E-2</v>
      </c>
      <c r="X167" s="25">
        <f t="shared" si="85"/>
        <v>1.2195121951219513E-2</v>
      </c>
      <c r="Y167" s="26">
        <f t="shared" si="86"/>
        <v>38.027439024390247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A2" sqref="A2:L19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8" width="15.109375" customWidth="1"/>
    <col min="9" max="9" width="15.33203125" customWidth="1"/>
    <col min="10" max="10" width="12.6640625" customWidth="1"/>
    <col min="11" max="11" width="12.88671875" customWidth="1"/>
    <col min="12" max="12" width="12.6640625" customWidth="1"/>
  </cols>
  <sheetData>
    <row r="1" spans="1:12" ht="34.799999999999997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5" customHeight="1" x14ac:dyDescent="0.25">
      <c r="A4" s="66"/>
      <c r="B4" s="69"/>
      <c r="C4" s="69"/>
      <c r="D4" s="72"/>
      <c r="E4" s="75"/>
      <c r="F4" s="3" t="s">
        <v>100</v>
      </c>
      <c r="G4" s="3" t="s">
        <v>101</v>
      </c>
      <c r="H4" s="3" t="s">
        <v>102</v>
      </c>
      <c r="I4" s="3" t="s">
        <v>103</v>
      </c>
      <c r="J4" s="86"/>
      <c r="K4" s="81"/>
      <c r="L4" s="84"/>
    </row>
    <row r="5" spans="1:12" ht="19.2" customHeight="1" x14ac:dyDescent="0.25">
      <c r="A5" s="4">
        <v>1</v>
      </c>
      <c r="B5" s="47" t="s">
        <v>14</v>
      </c>
      <c r="C5" s="48"/>
      <c r="D5" s="3"/>
      <c r="E5" s="6">
        <v>2090</v>
      </c>
      <c r="F5" s="7">
        <v>859</v>
      </c>
      <c r="G5" s="7">
        <v>34</v>
      </c>
      <c r="H5" s="7">
        <v>655</v>
      </c>
      <c r="I5" s="7">
        <v>276</v>
      </c>
      <c r="J5" s="8">
        <v>1824</v>
      </c>
      <c r="K5" s="7">
        <v>124</v>
      </c>
      <c r="L5" s="9">
        <v>142</v>
      </c>
    </row>
    <row r="6" spans="1:12" ht="18.75" customHeight="1" x14ac:dyDescent="0.25">
      <c r="A6" s="49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</row>
    <row r="7" spans="1:12" ht="32.700000000000003" customHeight="1" x14ac:dyDescent="0.25">
      <c r="A7" s="52">
        <v>2</v>
      </c>
      <c r="B7" s="55" t="s">
        <v>16</v>
      </c>
      <c r="C7" s="5" t="s">
        <v>17</v>
      </c>
      <c r="D7" s="11">
        <v>1</v>
      </c>
      <c r="E7" s="7">
        <v>30</v>
      </c>
      <c r="F7" s="7">
        <v>23</v>
      </c>
      <c r="G7" s="7">
        <v>0</v>
      </c>
      <c r="H7" s="7">
        <v>6</v>
      </c>
      <c r="I7" s="7">
        <v>1</v>
      </c>
      <c r="J7" s="9">
        <v>30</v>
      </c>
      <c r="K7" s="7">
        <v>0</v>
      </c>
      <c r="L7" s="9">
        <v>0</v>
      </c>
    </row>
    <row r="8" spans="1:12" ht="17.25" customHeight="1" x14ac:dyDescent="0.25">
      <c r="A8" s="53"/>
      <c r="B8" s="56"/>
      <c r="C8" s="58" t="s">
        <v>18</v>
      </c>
      <c r="D8" s="11">
        <v>1</v>
      </c>
      <c r="E8" s="7">
        <v>365</v>
      </c>
      <c r="F8" s="7">
        <v>127</v>
      </c>
      <c r="G8" s="7">
        <v>5</v>
      </c>
      <c r="H8" s="7">
        <v>194</v>
      </c>
      <c r="I8" s="7">
        <v>35</v>
      </c>
      <c r="J8" s="9">
        <v>361</v>
      </c>
      <c r="K8" s="7">
        <v>4</v>
      </c>
      <c r="L8" s="9">
        <v>0</v>
      </c>
    </row>
    <row r="9" spans="1:12" ht="17.25" customHeight="1" x14ac:dyDescent="0.25">
      <c r="A9" s="53"/>
      <c r="B9" s="56"/>
      <c r="C9" s="59"/>
      <c r="D9" s="11">
        <v>2</v>
      </c>
      <c r="E9" s="7">
        <v>360</v>
      </c>
      <c r="F9" s="7">
        <v>137</v>
      </c>
      <c r="G9" s="7">
        <v>5</v>
      </c>
      <c r="H9" s="7">
        <v>170</v>
      </c>
      <c r="I9" s="7">
        <v>44</v>
      </c>
      <c r="J9" s="9">
        <v>356</v>
      </c>
      <c r="K9" s="7">
        <v>4</v>
      </c>
      <c r="L9" s="9">
        <v>0</v>
      </c>
    </row>
    <row r="10" spans="1:12" ht="17.25" customHeight="1" x14ac:dyDescent="0.25">
      <c r="A10" s="53"/>
      <c r="B10" s="56"/>
      <c r="C10" s="59"/>
      <c r="D10" s="11">
        <v>3</v>
      </c>
      <c r="E10" s="7">
        <v>382</v>
      </c>
      <c r="F10" s="7">
        <v>131</v>
      </c>
      <c r="G10" s="7">
        <v>7</v>
      </c>
      <c r="H10" s="7">
        <v>223</v>
      </c>
      <c r="I10" s="7">
        <v>19</v>
      </c>
      <c r="J10" s="9">
        <v>380</v>
      </c>
      <c r="K10" s="7">
        <v>2</v>
      </c>
      <c r="L10" s="9">
        <v>0</v>
      </c>
    </row>
    <row r="11" spans="1:12" ht="17.25" customHeight="1" x14ac:dyDescent="0.25">
      <c r="A11" s="53"/>
      <c r="B11" s="56"/>
      <c r="C11" s="59"/>
      <c r="D11" s="11">
        <v>4</v>
      </c>
      <c r="E11" s="7">
        <v>395</v>
      </c>
      <c r="F11" s="7">
        <v>149</v>
      </c>
      <c r="G11" s="7">
        <v>8</v>
      </c>
      <c r="H11" s="7">
        <v>223</v>
      </c>
      <c r="I11" s="7">
        <v>10</v>
      </c>
      <c r="J11" s="9">
        <v>390</v>
      </c>
      <c r="K11" s="7">
        <v>5</v>
      </c>
      <c r="L11" s="9">
        <v>0</v>
      </c>
    </row>
    <row r="12" spans="1:12" ht="17.25" customHeight="1" x14ac:dyDescent="0.25">
      <c r="A12" s="53"/>
      <c r="B12" s="56"/>
      <c r="C12" s="59"/>
      <c r="D12" s="11">
        <v>5</v>
      </c>
      <c r="E12" s="7">
        <v>334</v>
      </c>
      <c r="F12" s="7">
        <v>127</v>
      </c>
      <c r="G12" s="7">
        <v>5</v>
      </c>
      <c r="H12" s="7">
        <v>180</v>
      </c>
      <c r="I12" s="7">
        <v>16</v>
      </c>
      <c r="J12" s="9">
        <v>328</v>
      </c>
      <c r="K12" s="7">
        <v>6</v>
      </c>
      <c r="L12" s="9">
        <v>0</v>
      </c>
    </row>
    <row r="13" spans="1:12" ht="17.25" customHeight="1" x14ac:dyDescent="0.25">
      <c r="A13" s="53"/>
      <c r="B13" s="56"/>
      <c r="C13" s="59"/>
      <c r="D13" s="11">
        <v>6</v>
      </c>
      <c r="E13" s="7">
        <v>389</v>
      </c>
      <c r="F13" s="7">
        <v>156</v>
      </c>
      <c r="G13" s="7">
        <v>4</v>
      </c>
      <c r="H13" s="7">
        <v>201</v>
      </c>
      <c r="I13" s="7">
        <v>24</v>
      </c>
      <c r="J13" s="9">
        <v>385</v>
      </c>
      <c r="K13" s="7">
        <v>4</v>
      </c>
      <c r="L13" s="9">
        <v>0</v>
      </c>
    </row>
    <row r="14" spans="1:12" ht="17.25" customHeight="1" x14ac:dyDescent="0.25">
      <c r="A14" s="53"/>
      <c r="B14" s="56"/>
      <c r="C14" s="59"/>
      <c r="D14" s="11">
        <v>7</v>
      </c>
      <c r="E14" s="7">
        <v>384</v>
      </c>
      <c r="F14" s="7">
        <v>134</v>
      </c>
      <c r="G14" s="7">
        <v>7</v>
      </c>
      <c r="H14" s="7">
        <v>204</v>
      </c>
      <c r="I14" s="7">
        <v>32</v>
      </c>
      <c r="J14" s="9">
        <v>377</v>
      </c>
      <c r="K14" s="7">
        <v>7</v>
      </c>
      <c r="L14" s="9">
        <v>0</v>
      </c>
    </row>
    <row r="15" spans="1:12" ht="17.25" customHeight="1" x14ac:dyDescent="0.25">
      <c r="A15" s="53"/>
      <c r="B15" s="56"/>
      <c r="C15" s="59"/>
      <c r="D15" s="11">
        <v>8</v>
      </c>
      <c r="E15" s="7">
        <v>439</v>
      </c>
      <c r="F15" s="7">
        <v>175</v>
      </c>
      <c r="G15" s="7">
        <v>5</v>
      </c>
      <c r="H15" s="7">
        <v>233</v>
      </c>
      <c r="I15" s="7">
        <v>21</v>
      </c>
      <c r="J15" s="9">
        <v>434</v>
      </c>
      <c r="K15" s="7">
        <v>5</v>
      </c>
      <c r="L15" s="9">
        <v>0</v>
      </c>
    </row>
    <row r="16" spans="1:12" ht="17.25" customHeight="1" x14ac:dyDescent="0.25">
      <c r="A16" s="53"/>
      <c r="B16" s="56"/>
      <c r="C16" s="59"/>
      <c r="D16" s="11">
        <v>9</v>
      </c>
      <c r="E16" s="7">
        <v>436</v>
      </c>
      <c r="F16" s="7">
        <v>142</v>
      </c>
      <c r="G16" s="7">
        <v>4</v>
      </c>
      <c r="H16" s="7">
        <v>270</v>
      </c>
      <c r="I16" s="7">
        <v>14</v>
      </c>
      <c r="J16" s="9">
        <v>430</v>
      </c>
      <c r="K16" s="7">
        <v>6</v>
      </c>
      <c r="L16" s="9">
        <v>0</v>
      </c>
    </row>
    <row r="17" spans="1:12" ht="17.25" customHeight="1" x14ac:dyDescent="0.25">
      <c r="A17" s="54"/>
      <c r="B17" s="57"/>
      <c r="C17" s="60"/>
      <c r="D17" s="11">
        <v>10</v>
      </c>
      <c r="E17" s="7">
        <v>451</v>
      </c>
      <c r="F17" s="7">
        <v>154</v>
      </c>
      <c r="G17" s="7">
        <v>7</v>
      </c>
      <c r="H17" s="7">
        <v>257</v>
      </c>
      <c r="I17" s="7">
        <v>29</v>
      </c>
      <c r="J17" s="9">
        <v>447</v>
      </c>
      <c r="K17" s="7">
        <v>4</v>
      </c>
      <c r="L17" s="9">
        <v>0</v>
      </c>
    </row>
    <row r="18" spans="1:12" ht="32.700000000000003" customHeight="1" x14ac:dyDescent="0.25">
      <c r="A18" s="10">
        <v>3</v>
      </c>
      <c r="B18" s="12" t="s">
        <v>19</v>
      </c>
      <c r="C18" s="5" t="s">
        <v>20</v>
      </c>
      <c r="D18" s="11">
        <v>1</v>
      </c>
      <c r="E18" s="7">
        <v>28</v>
      </c>
      <c r="F18" s="7">
        <v>22</v>
      </c>
      <c r="G18" s="7">
        <v>0</v>
      </c>
      <c r="H18" s="7">
        <v>6</v>
      </c>
      <c r="I18" s="7">
        <v>0</v>
      </c>
      <c r="J18" s="9">
        <v>28</v>
      </c>
      <c r="K18" s="7">
        <v>0</v>
      </c>
      <c r="L18" s="9">
        <v>0</v>
      </c>
    </row>
    <row r="19" spans="1:12" ht="23.55" customHeight="1" x14ac:dyDescent="0.25">
      <c r="A19" s="4">
        <v>4</v>
      </c>
      <c r="B19" s="12" t="s">
        <v>21</v>
      </c>
      <c r="C19" s="13" t="s">
        <v>22</v>
      </c>
      <c r="D19" s="11">
        <v>1</v>
      </c>
      <c r="E19" s="7">
        <v>291</v>
      </c>
      <c r="F19" s="7">
        <v>229</v>
      </c>
      <c r="G19" s="7">
        <v>1</v>
      </c>
      <c r="H19" s="7">
        <v>51</v>
      </c>
      <c r="I19" s="7">
        <v>10</v>
      </c>
      <c r="J19" s="9">
        <v>291</v>
      </c>
      <c r="K19" s="7">
        <v>0</v>
      </c>
      <c r="L19" s="9">
        <v>0</v>
      </c>
    </row>
    <row r="20" spans="1:12" ht="30" customHeight="1" x14ac:dyDescent="0.25"/>
    <row r="21" spans="1:12" ht="19.05" customHeight="1" x14ac:dyDescent="0.25"/>
    <row r="22" spans="1:12" ht="252" customHeight="1" x14ac:dyDescent="0.25"/>
    <row r="23" spans="1:12" ht="252" customHeight="1" x14ac:dyDescent="0.25"/>
  </sheetData>
  <mergeCells count="15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B5:C5"/>
    <mergeCell ref="A6:L6"/>
    <mergeCell ref="A7:A17"/>
    <mergeCell ref="B7:B17"/>
    <mergeCell ref="C8:C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opLeftCell="A5" workbookViewId="0">
      <selection activeCell="A6" sqref="A6:L2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6640625" customWidth="1"/>
    <col min="11" max="11" width="12.88671875" customWidth="1"/>
    <col min="12" max="12" width="12.6640625" customWidth="1"/>
  </cols>
  <sheetData>
    <row r="1" spans="1:12" ht="34.799999999999997" customHeight="1" x14ac:dyDescent="0.25">
      <c r="A1" s="61" t="s">
        <v>23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5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9.05" customHeight="1" x14ac:dyDescent="0.25">
      <c r="A5" s="97" t="s">
        <v>24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17.25" customHeight="1" x14ac:dyDescent="0.25">
      <c r="A6" s="52">
        <v>5</v>
      </c>
      <c r="B6" s="87" t="s">
        <v>25</v>
      </c>
      <c r="C6" s="90" t="s">
        <v>26</v>
      </c>
      <c r="D6" s="11">
        <v>1</v>
      </c>
      <c r="E6" s="7">
        <v>378</v>
      </c>
      <c r="F6" s="7">
        <v>274</v>
      </c>
      <c r="G6" s="7">
        <v>6</v>
      </c>
      <c r="H6" s="7">
        <v>44</v>
      </c>
      <c r="I6" s="7">
        <v>45</v>
      </c>
      <c r="J6" s="14">
        <v>369</v>
      </c>
      <c r="K6" s="7">
        <v>9</v>
      </c>
      <c r="L6" s="15">
        <v>0</v>
      </c>
    </row>
    <row r="7" spans="1:12" ht="17.25" customHeight="1" x14ac:dyDescent="0.25">
      <c r="A7" s="53"/>
      <c r="B7" s="88"/>
      <c r="C7" s="91"/>
      <c r="D7" s="11">
        <v>2</v>
      </c>
      <c r="E7" s="7">
        <v>354</v>
      </c>
      <c r="F7" s="7">
        <v>223</v>
      </c>
      <c r="G7" s="7">
        <v>5</v>
      </c>
      <c r="H7" s="7">
        <v>88</v>
      </c>
      <c r="I7" s="7">
        <v>33</v>
      </c>
      <c r="J7" s="14">
        <v>349</v>
      </c>
      <c r="K7" s="7">
        <v>5</v>
      </c>
      <c r="L7" s="15">
        <v>0</v>
      </c>
    </row>
    <row r="8" spans="1:12" ht="17.25" customHeight="1" x14ac:dyDescent="0.25">
      <c r="A8" s="53"/>
      <c r="B8" s="88"/>
      <c r="C8" s="91"/>
      <c r="D8" s="11">
        <v>3</v>
      </c>
      <c r="E8" s="7">
        <v>511</v>
      </c>
      <c r="F8" s="7">
        <v>262</v>
      </c>
      <c r="G8" s="7">
        <v>12</v>
      </c>
      <c r="H8" s="7">
        <v>178</v>
      </c>
      <c r="I8" s="7">
        <v>58</v>
      </c>
      <c r="J8" s="14">
        <v>510</v>
      </c>
      <c r="K8" s="7">
        <v>1</v>
      </c>
      <c r="L8" s="15">
        <v>0</v>
      </c>
    </row>
    <row r="9" spans="1:12" ht="17.25" customHeight="1" x14ac:dyDescent="0.25">
      <c r="A9" s="53"/>
      <c r="B9" s="88"/>
      <c r="C9" s="92"/>
      <c r="D9" s="11">
        <v>4</v>
      </c>
      <c r="E9" s="7">
        <v>538</v>
      </c>
      <c r="F9" s="7">
        <v>251</v>
      </c>
      <c r="G9" s="7">
        <v>2</v>
      </c>
      <c r="H9" s="7">
        <v>231</v>
      </c>
      <c r="I9" s="7">
        <v>52</v>
      </c>
      <c r="J9" s="14">
        <v>536</v>
      </c>
      <c r="K9" s="7">
        <v>2</v>
      </c>
      <c r="L9" s="15">
        <v>0</v>
      </c>
    </row>
    <row r="10" spans="1:12" ht="17.25" customHeight="1" x14ac:dyDescent="0.25">
      <c r="A10" s="53"/>
      <c r="B10" s="88"/>
      <c r="C10" s="90" t="s">
        <v>27</v>
      </c>
      <c r="D10" s="11">
        <v>1</v>
      </c>
      <c r="E10" s="7">
        <v>367</v>
      </c>
      <c r="F10" s="7">
        <v>277</v>
      </c>
      <c r="G10" s="7">
        <v>5</v>
      </c>
      <c r="H10" s="7">
        <v>44</v>
      </c>
      <c r="I10" s="7">
        <v>34</v>
      </c>
      <c r="J10" s="14">
        <v>360</v>
      </c>
      <c r="K10" s="7">
        <v>7</v>
      </c>
      <c r="L10" s="15">
        <v>0</v>
      </c>
    </row>
    <row r="11" spans="1:12" ht="17.25" customHeight="1" x14ac:dyDescent="0.25">
      <c r="A11" s="53"/>
      <c r="B11" s="88"/>
      <c r="C11" s="91"/>
      <c r="D11" s="11">
        <v>2</v>
      </c>
      <c r="E11" s="7">
        <v>378</v>
      </c>
      <c r="F11" s="7">
        <v>258</v>
      </c>
      <c r="G11" s="7">
        <v>5</v>
      </c>
      <c r="H11" s="7">
        <v>70</v>
      </c>
      <c r="I11" s="7">
        <v>40</v>
      </c>
      <c r="J11" s="14">
        <v>373</v>
      </c>
      <c r="K11" s="7">
        <v>5</v>
      </c>
      <c r="L11" s="15">
        <v>0</v>
      </c>
    </row>
    <row r="12" spans="1:12" ht="17.25" customHeight="1" x14ac:dyDescent="0.25">
      <c r="A12" s="53"/>
      <c r="B12" s="88"/>
      <c r="C12" s="91"/>
      <c r="D12" s="11">
        <v>3</v>
      </c>
      <c r="E12" s="7">
        <v>459</v>
      </c>
      <c r="F12" s="7">
        <v>246</v>
      </c>
      <c r="G12" s="7">
        <v>5</v>
      </c>
      <c r="H12" s="7">
        <v>161</v>
      </c>
      <c r="I12" s="7">
        <v>45</v>
      </c>
      <c r="J12" s="14">
        <v>457</v>
      </c>
      <c r="K12" s="7">
        <v>2</v>
      </c>
      <c r="L12" s="15">
        <v>0</v>
      </c>
    </row>
    <row r="13" spans="1:12" ht="17.25" customHeight="1" x14ac:dyDescent="0.25">
      <c r="A13" s="53"/>
      <c r="B13" s="88"/>
      <c r="C13" s="91"/>
      <c r="D13" s="11">
        <v>4</v>
      </c>
      <c r="E13" s="7">
        <v>481</v>
      </c>
      <c r="F13" s="7">
        <v>250</v>
      </c>
      <c r="G13" s="7">
        <v>2</v>
      </c>
      <c r="H13" s="7">
        <v>175</v>
      </c>
      <c r="I13" s="7">
        <v>52</v>
      </c>
      <c r="J13" s="14">
        <v>479</v>
      </c>
      <c r="K13" s="7">
        <v>2</v>
      </c>
      <c r="L13" s="15">
        <v>0</v>
      </c>
    </row>
    <row r="14" spans="1:12" ht="17.25" customHeight="1" x14ac:dyDescent="0.25">
      <c r="A14" s="54"/>
      <c r="B14" s="89"/>
      <c r="C14" s="92"/>
      <c r="D14" s="11">
        <v>5</v>
      </c>
      <c r="E14" s="7">
        <v>500</v>
      </c>
      <c r="F14" s="7">
        <v>241</v>
      </c>
      <c r="G14" s="7">
        <v>2</v>
      </c>
      <c r="H14" s="7">
        <v>204</v>
      </c>
      <c r="I14" s="7">
        <v>53</v>
      </c>
      <c r="J14" s="14">
        <v>500</v>
      </c>
      <c r="K14" s="7">
        <v>0</v>
      </c>
      <c r="L14" s="15">
        <v>0</v>
      </c>
    </row>
    <row r="15" spans="1:12" ht="17.25" customHeight="1" x14ac:dyDescent="0.25">
      <c r="A15" s="52">
        <v>6</v>
      </c>
      <c r="B15" s="93" t="s">
        <v>28</v>
      </c>
      <c r="C15" s="95" t="s">
        <v>29</v>
      </c>
      <c r="D15" s="11">
        <v>1</v>
      </c>
      <c r="E15" s="7">
        <v>357</v>
      </c>
      <c r="F15" s="7">
        <v>208</v>
      </c>
      <c r="G15" s="7">
        <v>1</v>
      </c>
      <c r="H15" s="7">
        <v>92</v>
      </c>
      <c r="I15" s="7">
        <v>52</v>
      </c>
      <c r="J15" s="14">
        <v>353</v>
      </c>
      <c r="K15" s="7">
        <v>4</v>
      </c>
      <c r="L15" s="15">
        <v>0</v>
      </c>
    </row>
    <row r="16" spans="1:12" ht="17.25" customHeight="1" x14ac:dyDescent="0.25">
      <c r="A16" s="54"/>
      <c r="B16" s="94"/>
      <c r="C16" s="96"/>
      <c r="D16" s="11">
        <v>2</v>
      </c>
      <c r="E16" s="7">
        <v>341</v>
      </c>
      <c r="F16" s="7">
        <v>137</v>
      </c>
      <c r="G16" s="7">
        <v>2</v>
      </c>
      <c r="H16" s="7">
        <v>151</v>
      </c>
      <c r="I16" s="7">
        <v>49</v>
      </c>
      <c r="J16" s="14">
        <v>339</v>
      </c>
      <c r="K16" s="7">
        <v>2</v>
      </c>
      <c r="L16" s="15">
        <v>0</v>
      </c>
    </row>
    <row r="17" spans="1:12" ht="17.25" customHeight="1" x14ac:dyDescent="0.25">
      <c r="A17" s="52">
        <v>7</v>
      </c>
      <c r="B17" s="87" t="s">
        <v>30</v>
      </c>
      <c r="C17" s="90" t="s">
        <v>31</v>
      </c>
      <c r="D17" s="11">
        <v>1</v>
      </c>
      <c r="E17" s="7">
        <v>314</v>
      </c>
      <c r="F17" s="7">
        <v>231</v>
      </c>
      <c r="G17" s="7">
        <v>8</v>
      </c>
      <c r="H17" s="7">
        <v>52</v>
      </c>
      <c r="I17" s="7">
        <v>19</v>
      </c>
      <c r="J17" s="14">
        <v>310</v>
      </c>
      <c r="K17" s="7">
        <v>4</v>
      </c>
      <c r="L17" s="15">
        <v>0</v>
      </c>
    </row>
    <row r="18" spans="1:12" ht="17.25" customHeight="1" x14ac:dyDescent="0.25">
      <c r="A18" s="53"/>
      <c r="B18" s="88"/>
      <c r="C18" s="91"/>
      <c r="D18" s="11">
        <v>2</v>
      </c>
      <c r="E18" s="7">
        <v>351</v>
      </c>
      <c r="F18" s="7">
        <v>203</v>
      </c>
      <c r="G18" s="7">
        <v>7</v>
      </c>
      <c r="H18" s="7">
        <v>97</v>
      </c>
      <c r="I18" s="7">
        <v>38</v>
      </c>
      <c r="J18" s="14">
        <v>345</v>
      </c>
      <c r="K18" s="7">
        <v>6</v>
      </c>
      <c r="L18" s="15">
        <v>0</v>
      </c>
    </row>
    <row r="19" spans="1:12" ht="17.25" customHeight="1" x14ac:dyDescent="0.25">
      <c r="A19" s="53"/>
      <c r="B19" s="88"/>
      <c r="C19" s="91"/>
      <c r="D19" s="11">
        <v>3</v>
      </c>
      <c r="E19" s="7">
        <v>466</v>
      </c>
      <c r="F19" s="7">
        <v>205</v>
      </c>
      <c r="G19" s="7">
        <v>7</v>
      </c>
      <c r="H19" s="7">
        <v>191</v>
      </c>
      <c r="I19" s="7">
        <v>60</v>
      </c>
      <c r="J19" s="14">
        <v>463</v>
      </c>
      <c r="K19" s="7">
        <v>3</v>
      </c>
      <c r="L19" s="15">
        <v>0</v>
      </c>
    </row>
    <row r="20" spans="1:12" ht="17.25" customHeight="1" x14ac:dyDescent="0.25">
      <c r="A20" s="54"/>
      <c r="B20" s="89"/>
      <c r="C20" s="92"/>
      <c r="D20" s="11">
        <v>4</v>
      </c>
      <c r="E20" s="7">
        <v>508</v>
      </c>
      <c r="F20" s="7">
        <v>217</v>
      </c>
      <c r="G20" s="7">
        <v>4</v>
      </c>
      <c r="H20" s="7">
        <v>224</v>
      </c>
      <c r="I20" s="7">
        <v>61</v>
      </c>
      <c r="J20" s="14">
        <v>506</v>
      </c>
      <c r="K20" s="7">
        <v>2</v>
      </c>
      <c r="L20" s="15">
        <v>0</v>
      </c>
    </row>
    <row r="21" spans="1:12" ht="17.25" customHeight="1" x14ac:dyDescent="0.25">
      <c r="A21" s="52">
        <v>8</v>
      </c>
      <c r="B21" s="87" t="s">
        <v>32</v>
      </c>
      <c r="C21" s="90" t="s">
        <v>33</v>
      </c>
      <c r="D21" s="11">
        <v>1</v>
      </c>
      <c r="E21" s="7">
        <v>319</v>
      </c>
      <c r="F21" s="7">
        <v>225</v>
      </c>
      <c r="G21" s="7">
        <v>5</v>
      </c>
      <c r="H21" s="7">
        <v>53</v>
      </c>
      <c r="I21" s="7">
        <v>31</v>
      </c>
      <c r="J21" s="14">
        <v>314</v>
      </c>
      <c r="K21" s="7">
        <v>5</v>
      </c>
      <c r="L21" s="15">
        <v>0</v>
      </c>
    </row>
    <row r="22" spans="1:12" ht="17.25" customHeight="1" x14ac:dyDescent="0.25">
      <c r="A22" s="53"/>
      <c r="B22" s="88"/>
      <c r="C22" s="91"/>
      <c r="D22" s="11">
        <v>2</v>
      </c>
      <c r="E22" s="7">
        <v>403</v>
      </c>
      <c r="F22" s="7">
        <v>240</v>
      </c>
      <c r="G22" s="7">
        <v>4</v>
      </c>
      <c r="H22" s="7">
        <v>120</v>
      </c>
      <c r="I22" s="7">
        <v>38</v>
      </c>
      <c r="J22" s="14">
        <v>402</v>
      </c>
      <c r="K22" s="7">
        <v>1</v>
      </c>
      <c r="L22" s="15">
        <v>0</v>
      </c>
    </row>
    <row r="23" spans="1:12" ht="17.25" customHeight="1" x14ac:dyDescent="0.25">
      <c r="A23" s="53"/>
      <c r="B23" s="88"/>
      <c r="C23" s="91"/>
      <c r="D23" s="11">
        <v>3</v>
      </c>
      <c r="E23" s="7">
        <v>378</v>
      </c>
      <c r="F23" s="7">
        <v>173</v>
      </c>
      <c r="G23" s="7">
        <v>6</v>
      </c>
      <c r="H23" s="7">
        <v>153</v>
      </c>
      <c r="I23" s="7">
        <v>44</v>
      </c>
      <c r="J23" s="14">
        <v>376</v>
      </c>
      <c r="K23" s="7">
        <v>2</v>
      </c>
      <c r="L23" s="15">
        <v>0</v>
      </c>
    </row>
    <row r="24" spans="1:12" ht="17.25" customHeight="1" x14ac:dyDescent="0.25">
      <c r="A24" s="54"/>
      <c r="B24" s="89"/>
      <c r="C24" s="92"/>
      <c r="D24" s="11">
        <v>4</v>
      </c>
      <c r="E24" s="7">
        <v>402</v>
      </c>
      <c r="F24" s="7">
        <v>183</v>
      </c>
      <c r="G24" s="7">
        <v>6</v>
      </c>
      <c r="H24" s="7">
        <v>160</v>
      </c>
      <c r="I24" s="7">
        <v>49</v>
      </c>
      <c r="J24" s="14">
        <v>398</v>
      </c>
      <c r="K24" s="7">
        <v>4</v>
      </c>
      <c r="L24" s="15">
        <v>0</v>
      </c>
    </row>
    <row r="25" spans="1:12" ht="30" customHeight="1" x14ac:dyDescent="0.25"/>
    <row r="26" spans="1:12" ht="310.05" customHeight="1" x14ac:dyDescent="0.25"/>
    <row r="27" spans="1:12" ht="310.05" customHeight="1" x14ac:dyDescent="0.25"/>
  </sheetData>
  <mergeCells count="24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L5"/>
    <mergeCell ref="A6:A14"/>
    <mergeCell ref="B6:B14"/>
    <mergeCell ref="C6:C9"/>
    <mergeCell ref="C10:C14"/>
    <mergeCell ref="A21:A24"/>
    <mergeCell ref="B21:B24"/>
    <mergeCell ref="C21:C24"/>
    <mergeCell ref="A15:A16"/>
    <mergeCell ref="B15:B16"/>
    <mergeCell ref="C15:C16"/>
    <mergeCell ref="A17:A20"/>
    <mergeCell ref="B17:B20"/>
    <mergeCell ref="C17:C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opLeftCell="A5" workbookViewId="0">
      <selection activeCell="A5" sqref="A5:L25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34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52">
        <v>9</v>
      </c>
      <c r="B5" s="90" t="s">
        <v>35</v>
      </c>
      <c r="C5" s="90" t="s">
        <v>36</v>
      </c>
      <c r="D5" s="11">
        <v>1</v>
      </c>
      <c r="E5" s="7">
        <v>249</v>
      </c>
      <c r="F5" s="7">
        <v>69</v>
      </c>
      <c r="G5" s="7">
        <v>12</v>
      </c>
      <c r="H5" s="7">
        <v>8</v>
      </c>
      <c r="I5" s="7">
        <v>151</v>
      </c>
      <c r="J5" s="14">
        <v>240</v>
      </c>
      <c r="K5" s="7">
        <v>9</v>
      </c>
      <c r="L5" s="15">
        <v>0</v>
      </c>
    </row>
    <row r="6" spans="1:12" ht="17.25" customHeight="1" x14ac:dyDescent="0.25">
      <c r="A6" s="53"/>
      <c r="B6" s="91"/>
      <c r="C6" s="91"/>
      <c r="D6" s="11">
        <v>2</v>
      </c>
      <c r="E6" s="7">
        <v>323</v>
      </c>
      <c r="F6" s="7">
        <v>71</v>
      </c>
      <c r="G6" s="7">
        <v>6</v>
      </c>
      <c r="H6" s="7">
        <v>21</v>
      </c>
      <c r="I6" s="7">
        <v>217</v>
      </c>
      <c r="J6" s="14">
        <v>315</v>
      </c>
      <c r="K6" s="7">
        <v>8</v>
      </c>
      <c r="L6" s="15">
        <v>0</v>
      </c>
    </row>
    <row r="7" spans="1:12" ht="17.25" customHeight="1" x14ac:dyDescent="0.25">
      <c r="A7" s="53"/>
      <c r="B7" s="91"/>
      <c r="C7" s="91"/>
      <c r="D7" s="11">
        <v>3</v>
      </c>
      <c r="E7" s="7">
        <v>336</v>
      </c>
      <c r="F7" s="7">
        <v>93</v>
      </c>
      <c r="G7" s="7">
        <v>4</v>
      </c>
      <c r="H7" s="7">
        <v>27</v>
      </c>
      <c r="I7" s="7">
        <v>204</v>
      </c>
      <c r="J7" s="14">
        <v>328</v>
      </c>
      <c r="K7" s="7">
        <v>8</v>
      </c>
      <c r="L7" s="15">
        <v>0</v>
      </c>
    </row>
    <row r="8" spans="1:12" ht="17.25" customHeight="1" x14ac:dyDescent="0.25">
      <c r="A8" s="53"/>
      <c r="B8" s="91"/>
      <c r="C8" s="91"/>
      <c r="D8" s="11">
        <v>4</v>
      </c>
      <c r="E8" s="7">
        <v>394</v>
      </c>
      <c r="F8" s="7">
        <v>81</v>
      </c>
      <c r="G8" s="7">
        <v>7</v>
      </c>
      <c r="H8" s="7">
        <v>52</v>
      </c>
      <c r="I8" s="7">
        <v>246</v>
      </c>
      <c r="J8" s="14">
        <v>386</v>
      </c>
      <c r="K8" s="7">
        <v>8</v>
      </c>
      <c r="L8" s="15">
        <v>0</v>
      </c>
    </row>
    <row r="9" spans="1:12" ht="17.25" customHeight="1" x14ac:dyDescent="0.25">
      <c r="A9" s="53"/>
      <c r="B9" s="91"/>
      <c r="C9" s="91"/>
      <c r="D9" s="11">
        <v>5</v>
      </c>
      <c r="E9" s="7">
        <v>377</v>
      </c>
      <c r="F9" s="7">
        <v>79</v>
      </c>
      <c r="G9" s="7">
        <v>5</v>
      </c>
      <c r="H9" s="7">
        <v>67</v>
      </c>
      <c r="I9" s="7">
        <v>225</v>
      </c>
      <c r="J9" s="14">
        <v>376</v>
      </c>
      <c r="K9" s="7">
        <v>1</v>
      </c>
      <c r="L9" s="15">
        <v>0</v>
      </c>
    </row>
    <row r="10" spans="1:12" ht="17.25" customHeight="1" x14ac:dyDescent="0.25">
      <c r="A10" s="54"/>
      <c r="B10" s="92"/>
      <c r="C10" s="92"/>
      <c r="D10" s="11">
        <v>6</v>
      </c>
      <c r="E10" s="7">
        <v>442</v>
      </c>
      <c r="F10" s="7">
        <v>100</v>
      </c>
      <c r="G10" s="7">
        <v>4</v>
      </c>
      <c r="H10" s="7">
        <v>105</v>
      </c>
      <c r="I10" s="7">
        <v>232</v>
      </c>
      <c r="J10" s="14">
        <v>441</v>
      </c>
      <c r="K10" s="7">
        <v>1</v>
      </c>
      <c r="L10" s="15">
        <v>0</v>
      </c>
    </row>
    <row r="11" spans="1:12" ht="17.25" customHeight="1" x14ac:dyDescent="0.25">
      <c r="A11" s="100">
        <v>10</v>
      </c>
      <c r="B11" s="90" t="s">
        <v>37</v>
      </c>
      <c r="C11" s="90" t="s">
        <v>38</v>
      </c>
      <c r="D11" s="11">
        <v>1</v>
      </c>
      <c r="E11" s="7">
        <v>338</v>
      </c>
      <c r="F11" s="7">
        <v>182</v>
      </c>
      <c r="G11" s="7">
        <v>3</v>
      </c>
      <c r="H11" s="7">
        <v>60</v>
      </c>
      <c r="I11" s="7">
        <v>86</v>
      </c>
      <c r="J11" s="14">
        <v>331</v>
      </c>
      <c r="K11" s="7">
        <v>7</v>
      </c>
      <c r="L11" s="15">
        <v>0</v>
      </c>
    </row>
    <row r="12" spans="1:12" ht="17.25" customHeight="1" x14ac:dyDescent="0.25">
      <c r="A12" s="101"/>
      <c r="B12" s="91"/>
      <c r="C12" s="91"/>
      <c r="D12" s="11">
        <v>2</v>
      </c>
      <c r="E12" s="7">
        <v>278</v>
      </c>
      <c r="F12" s="7">
        <v>107</v>
      </c>
      <c r="G12" s="7">
        <v>5</v>
      </c>
      <c r="H12" s="7">
        <v>63</v>
      </c>
      <c r="I12" s="7">
        <v>102</v>
      </c>
      <c r="J12" s="14">
        <v>277</v>
      </c>
      <c r="K12" s="7">
        <v>1</v>
      </c>
      <c r="L12" s="15">
        <v>0</v>
      </c>
    </row>
    <row r="13" spans="1:12" ht="17.25" customHeight="1" x14ac:dyDescent="0.25">
      <c r="A13" s="101"/>
      <c r="B13" s="91"/>
      <c r="C13" s="91"/>
      <c r="D13" s="11">
        <v>3</v>
      </c>
      <c r="E13" s="7">
        <v>287</v>
      </c>
      <c r="F13" s="7">
        <v>108</v>
      </c>
      <c r="G13" s="7">
        <v>6</v>
      </c>
      <c r="H13" s="7">
        <v>94</v>
      </c>
      <c r="I13" s="7">
        <v>69</v>
      </c>
      <c r="J13" s="14">
        <v>277</v>
      </c>
      <c r="K13" s="7">
        <v>10</v>
      </c>
      <c r="L13" s="15">
        <v>0</v>
      </c>
    </row>
    <row r="14" spans="1:12" ht="17.25" customHeight="1" x14ac:dyDescent="0.25">
      <c r="A14" s="101"/>
      <c r="B14" s="91"/>
      <c r="C14" s="91"/>
      <c r="D14" s="11">
        <v>4</v>
      </c>
      <c r="E14" s="7">
        <v>282</v>
      </c>
      <c r="F14" s="7">
        <v>84</v>
      </c>
      <c r="G14" s="7">
        <v>7</v>
      </c>
      <c r="H14" s="7">
        <v>108</v>
      </c>
      <c r="I14" s="7">
        <v>77</v>
      </c>
      <c r="J14" s="14">
        <v>276</v>
      </c>
      <c r="K14" s="7">
        <v>6</v>
      </c>
      <c r="L14" s="15">
        <v>0</v>
      </c>
    </row>
    <row r="15" spans="1:12" ht="17.25" customHeight="1" x14ac:dyDescent="0.25">
      <c r="A15" s="101"/>
      <c r="B15" s="91"/>
      <c r="C15" s="91"/>
      <c r="D15" s="11">
        <v>5</v>
      </c>
      <c r="E15" s="7">
        <v>323</v>
      </c>
      <c r="F15" s="7">
        <v>104</v>
      </c>
      <c r="G15" s="7">
        <v>3</v>
      </c>
      <c r="H15" s="7">
        <v>132</v>
      </c>
      <c r="I15" s="7">
        <v>82</v>
      </c>
      <c r="J15" s="14">
        <v>321</v>
      </c>
      <c r="K15" s="7">
        <v>2</v>
      </c>
      <c r="L15" s="15">
        <v>0</v>
      </c>
    </row>
    <row r="16" spans="1:12" ht="17.25" customHeight="1" x14ac:dyDescent="0.25">
      <c r="A16" s="101"/>
      <c r="B16" s="91"/>
      <c r="C16" s="91"/>
      <c r="D16" s="11">
        <v>6</v>
      </c>
      <c r="E16" s="7">
        <v>380</v>
      </c>
      <c r="F16" s="7">
        <v>111</v>
      </c>
      <c r="G16" s="7">
        <v>5</v>
      </c>
      <c r="H16" s="7">
        <v>141</v>
      </c>
      <c r="I16" s="7">
        <v>123</v>
      </c>
      <c r="J16" s="14">
        <v>380</v>
      </c>
      <c r="K16" s="7">
        <v>0</v>
      </c>
      <c r="L16" s="15">
        <v>0</v>
      </c>
    </row>
    <row r="17" spans="1:12" ht="17.25" customHeight="1" x14ac:dyDescent="0.25">
      <c r="A17" s="101"/>
      <c r="B17" s="91"/>
      <c r="C17" s="92"/>
      <c r="D17" s="11">
        <v>7</v>
      </c>
      <c r="E17" s="7">
        <v>434</v>
      </c>
      <c r="F17" s="7">
        <v>113</v>
      </c>
      <c r="G17" s="7">
        <v>4</v>
      </c>
      <c r="H17" s="7">
        <v>165</v>
      </c>
      <c r="I17" s="7">
        <v>151</v>
      </c>
      <c r="J17" s="14">
        <v>433</v>
      </c>
      <c r="K17" s="7">
        <v>1</v>
      </c>
      <c r="L17" s="15">
        <v>0</v>
      </c>
    </row>
    <row r="18" spans="1:12" ht="17.25" customHeight="1" x14ac:dyDescent="0.25">
      <c r="A18" s="101"/>
      <c r="B18" s="91"/>
      <c r="C18" s="87" t="s">
        <v>39</v>
      </c>
      <c r="D18" s="11">
        <v>1</v>
      </c>
      <c r="E18" s="7">
        <v>266</v>
      </c>
      <c r="F18" s="7">
        <v>114</v>
      </c>
      <c r="G18" s="7">
        <v>5</v>
      </c>
      <c r="H18" s="7">
        <v>58</v>
      </c>
      <c r="I18" s="7">
        <v>70</v>
      </c>
      <c r="J18" s="14">
        <v>247</v>
      </c>
      <c r="K18" s="7">
        <v>18</v>
      </c>
      <c r="L18" s="15">
        <v>1</v>
      </c>
    </row>
    <row r="19" spans="1:12" ht="17.25" customHeight="1" x14ac:dyDescent="0.25">
      <c r="A19" s="101"/>
      <c r="B19" s="91"/>
      <c r="C19" s="88"/>
      <c r="D19" s="11">
        <v>2</v>
      </c>
      <c r="E19" s="7">
        <v>282</v>
      </c>
      <c r="F19" s="7">
        <v>70</v>
      </c>
      <c r="G19" s="7">
        <v>1</v>
      </c>
      <c r="H19" s="7">
        <v>84</v>
      </c>
      <c r="I19" s="7">
        <v>124</v>
      </c>
      <c r="J19" s="14">
        <v>279</v>
      </c>
      <c r="K19" s="7">
        <v>3</v>
      </c>
      <c r="L19" s="15">
        <v>0</v>
      </c>
    </row>
    <row r="20" spans="1:12" ht="17.25" customHeight="1" x14ac:dyDescent="0.25">
      <c r="A20" s="102"/>
      <c r="B20" s="92"/>
      <c r="C20" s="89"/>
      <c r="D20" s="11">
        <v>3</v>
      </c>
      <c r="E20" s="7">
        <v>311</v>
      </c>
      <c r="F20" s="7">
        <v>64</v>
      </c>
      <c r="G20" s="7">
        <v>3</v>
      </c>
      <c r="H20" s="7">
        <v>125</v>
      </c>
      <c r="I20" s="7">
        <v>117</v>
      </c>
      <c r="J20" s="14">
        <v>309</v>
      </c>
      <c r="K20" s="7">
        <v>2</v>
      </c>
      <c r="L20" s="15">
        <v>0</v>
      </c>
    </row>
    <row r="21" spans="1:12" ht="17.25" customHeight="1" x14ac:dyDescent="0.25">
      <c r="A21" s="52">
        <v>11</v>
      </c>
      <c r="B21" s="87" t="s">
        <v>40</v>
      </c>
      <c r="C21" s="90" t="s">
        <v>41</v>
      </c>
      <c r="D21" s="11">
        <v>1</v>
      </c>
      <c r="E21" s="7">
        <v>375</v>
      </c>
      <c r="F21" s="7">
        <v>281</v>
      </c>
      <c r="G21" s="7">
        <v>5</v>
      </c>
      <c r="H21" s="7">
        <v>56</v>
      </c>
      <c r="I21" s="7">
        <v>23</v>
      </c>
      <c r="J21" s="14">
        <v>365</v>
      </c>
      <c r="K21" s="7">
        <v>10</v>
      </c>
      <c r="L21" s="15">
        <v>0</v>
      </c>
    </row>
    <row r="22" spans="1:12" ht="17.25" customHeight="1" x14ac:dyDescent="0.25">
      <c r="A22" s="53"/>
      <c r="B22" s="88"/>
      <c r="C22" s="91"/>
      <c r="D22" s="11">
        <v>2</v>
      </c>
      <c r="E22" s="7">
        <v>374</v>
      </c>
      <c r="F22" s="7">
        <v>217</v>
      </c>
      <c r="G22" s="7">
        <v>2</v>
      </c>
      <c r="H22" s="7">
        <v>109</v>
      </c>
      <c r="I22" s="7">
        <v>40</v>
      </c>
      <c r="J22" s="14">
        <v>368</v>
      </c>
      <c r="K22" s="7">
        <v>6</v>
      </c>
      <c r="L22" s="15">
        <v>0</v>
      </c>
    </row>
    <row r="23" spans="1:12" ht="17.25" customHeight="1" x14ac:dyDescent="0.25">
      <c r="A23" s="53"/>
      <c r="B23" s="88"/>
      <c r="C23" s="91"/>
      <c r="D23" s="11">
        <v>3</v>
      </c>
      <c r="E23" s="7">
        <v>526</v>
      </c>
      <c r="F23" s="7">
        <v>274</v>
      </c>
      <c r="G23" s="7">
        <v>5</v>
      </c>
      <c r="H23" s="7">
        <v>197</v>
      </c>
      <c r="I23" s="7">
        <v>47</v>
      </c>
      <c r="J23" s="14">
        <v>523</v>
      </c>
      <c r="K23" s="7">
        <v>3</v>
      </c>
      <c r="L23" s="15">
        <v>0</v>
      </c>
    </row>
    <row r="24" spans="1:12" ht="17.25" customHeight="1" x14ac:dyDescent="0.25">
      <c r="A24" s="53"/>
      <c r="B24" s="88"/>
      <c r="C24" s="91"/>
      <c r="D24" s="11">
        <v>4</v>
      </c>
      <c r="E24" s="7">
        <v>513</v>
      </c>
      <c r="F24" s="7">
        <v>239</v>
      </c>
      <c r="G24" s="7">
        <v>4</v>
      </c>
      <c r="H24" s="7">
        <v>223</v>
      </c>
      <c r="I24" s="7">
        <v>44</v>
      </c>
      <c r="J24" s="14">
        <v>510</v>
      </c>
      <c r="K24" s="7">
        <v>3</v>
      </c>
      <c r="L24" s="15">
        <v>0</v>
      </c>
    </row>
    <row r="25" spans="1:12" ht="17.25" customHeight="1" x14ac:dyDescent="0.25">
      <c r="A25" s="54"/>
      <c r="B25" s="89"/>
      <c r="C25" s="92"/>
      <c r="D25" s="11">
        <v>5</v>
      </c>
      <c r="E25" s="7">
        <v>536</v>
      </c>
      <c r="F25" s="7">
        <v>232</v>
      </c>
      <c r="G25" s="7">
        <v>3</v>
      </c>
      <c r="H25" s="7">
        <v>244</v>
      </c>
      <c r="I25" s="7">
        <v>56</v>
      </c>
      <c r="J25" s="14">
        <v>535</v>
      </c>
      <c r="K25" s="7">
        <v>1</v>
      </c>
      <c r="L25" s="15">
        <v>0</v>
      </c>
    </row>
    <row r="26" spans="1:12" ht="30" customHeight="1" x14ac:dyDescent="0.25"/>
    <row r="27" spans="1:12" ht="342" customHeight="1" x14ac:dyDescent="0.25"/>
    <row r="28" spans="1:12" ht="342" customHeight="1" x14ac:dyDescent="0.25"/>
  </sheetData>
  <mergeCells count="20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21:A25"/>
    <mergeCell ref="B21:B25"/>
    <mergeCell ref="C21:C25"/>
    <mergeCell ref="A5:A10"/>
    <mergeCell ref="B5:B10"/>
    <mergeCell ref="C5:C10"/>
    <mergeCell ref="A11:A20"/>
    <mergeCell ref="B11:B20"/>
    <mergeCell ref="C11:C17"/>
    <mergeCell ref="C18:C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topLeftCell="A3" workbookViewId="0">
      <selection activeCell="A5" sqref="A5:L2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42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52">
        <v>11</v>
      </c>
      <c r="B5" s="87" t="s">
        <v>40</v>
      </c>
      <c r="C5" s="103" t="s">
        <v>43</v>
      </c>
      <c r="D5" s="11">
        <v>1</v>
      </c>
      <c r="E5" s="7">
        <v>380</v>
      </c>
      <c r="F5" s="7">
        <v>285</v>
      </c>
      <c r="G5" s="7">
        <v>6</v>
      </c>
      <c r="H5" s="7">
        <v>50</v>
      </c>
      <c r="I5" s="7">
        <v>33</v>
      </c>
      <c r="J5" s="14">
        <v>374</v>
      </c>
      <c r="K5" s="7">
        <v>6</v>
      </c>
      <c r="L5" s="15">
        <v>0</v>
      </c>
    </row>
    <row r="6" spans="1:12" ht="17.25" customHeight="1" x14ac:dyDescent="0.25">
      <c r="A6" s="53"/>
      <c r="B6" s="88"/>
      <c r="C6" s="104"/>
      <c r="D6" s="11">
        <v>2</v>
      </c>
      <c r="E6" s="7">
        <v>392</v>
      </c>
      <c r="F6" s="7">
        <v>284</v>
      </c>
      <c r="G6" s="7">
        <v>2</v>
      </c>
      <c r="H6" s="7">
        <v>59</v>
      </c>
      <c r="I6" s="7">
        <v>40</v>
      </c>
      <c r="J6" s="14">
        <v>385</v>
      </c>
      <c r="K6" s="7">
        <v>7</v>
      </c>
      <c r="L6" s="15">
        <v>0</v>
      </c>
    </row>
    <row r="7" spans="1:12" ht="17.25" customHeight="1" x14ac:dyDescent="0.25">
      <c r="A7" s="53"/>
      <c r="B7" s="88"/>
      <c r="C7" s="104"/>
      <c r="D7" s="11">
        <v>3</v>
      </c>
      <c r="E7" s="7">
        <v>450</v>
      </c>
      <c r="F7" s="7">
        <v>213</v>
      </c>
      <c r="G7" s="7">
        <v>4</v>
      </c>
      <c r="H7" s="7">
        <v>176</v>
      </c>
      <c r="I7" s="7">
        <v>54</v>
      </c>
      <c r="J7" s="14">
        <v>447</v>
      </c>
      <c r="K7" s="7">
        <v>3</v>
      </c>
      <c r="L7" s="15">
        <v>0</v>
      </c>
    </row>
    <row r="8" spans="1:12" ht="17.25" customHeight="1" x14ac:dyDescent="0.25">
      <c r="A8" s="53"/>
      <c r="B8" s="88"/>
      <c r="C8" s="104"/>
      <c r="D8" s="11">
        <v>4</v>
      </c>
      <c r="E8" s="7">
        <v>469</v>
      </c>
      <c r="F8" s="7">
        <v>204</v>
      </c>
      <c r="G8" s="7">
        <v>7</v>
      </c>
      <c r="H8" s="7">
        <v>214</v>
      </c>
      <c r="I8" s="7">
        <v>39</v>
      </c>
      <c r="J8" s="14">
        <v>464</v>
      </c>
      <c r="K8" s="7">
        <v>4</v>
      </c>
      <c r="L8" s="15">
        <v>1</v>
      </c>
    </row>
    <row r="9" spans="1:12" ht="17.25" customHeight="1" x14ac:dyDescent="0.25">
      <c r="A9" s="54"/>
      <c r="B9" s="89"/>
      <c r="C9" s="105"/>
      <c r="D9" s="11">
        <v>5</v>
      </c>
      <c r="E9" s="7">
        <v>451</v>
      </c>
      <c r="F9" s="7">
        <v>176</v>
      </c>
      <c r="G9" s="7">
        <v>3</v>
      </c>
      <c r="H9" s="7">
        <v>239</v>
      </c>
      <c r="I9" s="7">
        <v>32</v>
      </c>
      <c r="J9" s="14">
        <v>450</v>
      </c>
      <c r="K9" s="7">
        <v>1</v>
      </c>
      <c r="L9" s="15">
        <v>0</v>
      </c>
    </row>
    <row r="10" spans="1:12" ht="17.25" customHeight="1" x14ac:dyDescent="0.25">
      <c r="A10" s="100">
        <v>12</v>
      </c>
      <c r="B10" s="87" t="s">
        <v>44</v>
      </c>
      <c r="C10" s="87" t="s">
        <v>45</v>
      </c>
      <c r="D10" s="11">
        <v>1</v>
      </c>
      <c r="E10" s="7">
        <v>322</v>
      </c>
      <c r="F10" s="7">
        <v>236</v>
      </c>
      <c r="G10" s="7">
        <v>4</v>
      </c>
      <c r="H10" s="7">
        <v>35</v>
      </c>
      <c r="I10" s="7">
        <v>42</v>
      </c>
      <c r="J10" s="14">
        <v>317</v>
      </c>
      <c r="K10" s="7">
        <v>5</v>
      </c>
      <c r="L10" s="15">
        <v>0</v>
      </c>
    </row>
    <row r="11" spans="1:12" ht="17.25" customHeight="1" x14ac:dyDescent="0.25">
      <c r="A11" s="101"/>
      <c r="B11" s="88"/>
      <c r="C11" s="88"/>
      <c r="D11" s="11">
        <v>2</v>
      </c>
      <c r="E11" s="7">
        <v>443</v>
      </c>
      <c r="F11" s="7">
        <v>266</v>
      </c>
      <c r="G11" s="7">
        <v>7</v>
      </c>
      <c r="H11" s="7">
        <v>117</v>
      </c>
      <c r="I11" s="7">
        <v>49</v>
      </c>
      <c r="J11" s="14">
        <v>439</v>
      </c>
      <c r="K11" s="7">
        <v>4</v>
      </c>
      <c r="L11" s="15">
        <v>0</v>
      </c>
    </row>
    <row r="12" spans="1:12" ht="17.25" customHeight="1" x14ac:dyDescent="0.25">
      <c r="A12" s="101"/>
      <c r="B12" s="88"/>
      <c r="C12" s="88"/>
      <c r="D12" s="11">
        <v>3</v>
      </c>
      <c r="E12" s="7">
        <v>412</v>
      </c>
      <c r="F12" s="7">
        <v>190</v>
      </c>
      <c r="G12" s="7">
        <v>6</v>
      </c>
      <c r="H12" s="7">
        <v>168</v>
      </c>
      <c r="I12" s="7">
        <v>45</v>
      </c>
      <c r="J12" s="14">
        <v>409</v>
      </c>
      <c r="K12" s="7">
        <v>3</v>
      </c>
      <c r="L12" s="15">
        <v>0</v>
      </c>
    </row>
    <row r="13" spans="1:12" ht="17.25" customHeight="1" x14ac:dyDescent="0.25">
      <c r="A13" s="102"/>
      <c r="B13" s="89"/>
      <c r="C13" s="89"/>
      <c r="D13" s="11">
        <v>4</v>
      </c>
      <c r="E13" s="7">
        <v>431</v>
      </c>
      <c r="F13" s="7">
        <v>196</v>
      </c>
      <c r="G13" s="7">
        <v>2</v>
      </c>
      <c r="H13" s="7">
        <v>189</v>
      </c>
      <c r="I13" s="7">
        <v>43</v>
      </c>
      <c r="J13" s="14">
        <v>430</v>
      </c>
      <c r="K13" s="7">
        <v>1</v>
      </c>
      <c r="L13" s="15">
        <v>0</v>
      </c>
    </row>
    <row r="14" spans="1:12" ht="17.25" customHeight="1" x14ac:dyDescent="0.25">
      <c r="A14" s="100">
        <v>13</v>
      </c>
      <c r="B14" s="87" t="s">
        <v>46</v>
      </c>
      <c r="C14" s="90" t="s">
        <v>47</v>
      </c>
      <c r="D14" s="11">
        <v>1</v>
      </c>
      <c r="E14" s="7">
        <v>331</v>
      </c>
      <c r="F14" s="7">
        <v>164</v>
      </c>
      <c r="G14" s="7">
        <v>6</v>
      </c>
      <c r="H14" s="7">
        <v>26</v>
      </c>
      <c r="I14" s="7">
        <v>127</v>
      </c>
      <c r="J14" s="14">
        <v>323</v>
      </c>
      <c r="K14" s="7">
        <v>8</v>
      </c>
      <c r="L14" s="15">
        <v>0</v>
      </c>
    </row>
    <row r="15" spans="1:12" ht="17.25" customHeight="1" x14ac:dyDescent="0.25">
      <c r="A15" s="101"/>
      <c r="B15" s="88"/>
      <c r="C15" s="91"/>
      <c r="D15" s="11">
        <v>2</v>
      </c>
      <c r="E15" s="7">
        <v>363</v>
      </c>
      <c r="F15" s="7">
        <v>170</v>
      </c>
      <c r="G15" s="7">
        <v>6</v>
      </c>
      <c r="H15" s="7">
        <v>58</v>
      </c>
      <c r="I15" s="7">
        <v>124</v>
      </c>
      <c r="J15" s="14">
        <v>358</v>
      </c>
      <c r="K15" s="7">
        <v>5</v>
      </c>
      <c r="L15" s="15">
        <v>0</v>
      </c>
    </row>
    <row r="16" spans="1:12" ht="17.25" customHeight="1" x14ac:dyDescent="0.25">
      <c r="A16" s="101"/>
      <c r="B16" s="88"/>
      <c r="C16" s="91"/>
      <c r="D16" s="11">
        <v>3</v>
      </c>
      <c r="E16" s="7">
        <v>372</v>
      </c>
      <c r="F16" s="7">
        <v>132</v>
      </c>
      <c r="G16" s="7">
        <v>7</v>
      </c>
      <c r="H16" s="7">
        <v>75</v>
      </c>
      <c r="I16" s="7">
        <v>155</v>
      </c>
      <c r="J16" s="14">
        <v>369</v>
      </c>
      <c r="K16" s="7">
        <v>3</v>
      </c>
      <c r="L16" s="15">
        <v>0</v>
      </c>
    </row>
    <row r="17" spans="1:12" ht="17.25" customHeight="1" x14ac:dyDescent="0.25">
      <c r="A17" s="101"/>
      <c r="B17" s="88"/>
      <c r="C17" s="91"/>
      <c r="D17" s="11">
        <v>4</v>
      </c>
      <c r="E17" s="7">
        <v>348</v>
      </c>
      <c r="F17" s="7">
        <v>107</v>
      </c>
      <c r="G17" s="7">
        <v>9</v>
      </c>
      <c r="H17" s="7">
        <v>83</v>
      </c>
      <c r="I17" s="7">
        <v>149</v>
      </c>
      <c r="J17" s="14">
        <v>348</v>
      </c>
      <c r="K17" s="7">
        <v>0</v>
      </c>
      <c r="L17" s="15">
        <v>0</v>
      </c>
    </row>
    <row r="18" spans="1:12" ht="17.25" customHeight="1" x14ac:dyDescent="0.25">
      <c r="A18" s="102"/>
      <c r="B18" s="89"/>
      <c r="C18" s="92"/>
      <c r="D18" s="11">
        <v>5</v>
      </c>
      <c r="E18" s="7">
        <v>381</v>
      </c>
      <c r="F18" s="7">
        <v>131</v>
      </c>
      <c r="G18" s="7">
        <v>3</v>
      </c>
      <c r="H18" s="7">
        <v>93</v>
      </c>
      <c r="I18" s="7">
        <v>152</v>
      </c>
      <c r="J18" s="14">
        <v>379</v>
      </c>
      <c r="K18" s="7">
        <v>2</v>
      </c>
      <c r="L18" s="15">
        <v>0</v>
      </c>
    </row>
    <row r="19" spans="1:12" ht="17.25" customHeight="1" x14ac:dyDescent="0.25">
      <c r="A19" s="100">
        <v>14</v>
      </c>
      <c r="B19" s="58" t="s">
        <v>48</v>
      </c>
      <c r="C19" s="58" t="s">
        <v>49</v>
      </c>
      <c r="D19" s="11">
        <v>1</v>
      </c>
      <c r="E19" s="7">
        <v>319</v>
      </c>
      <c r="F19" s="7">
        <v>80</v>
      </c>
      <c r="G19" s="7">
        <v>9</v>
      </c>
      <c r="H19" s="7">
        <v>16</v>
      </c>
      <c r="I19" s="7">
        <v>202</v>
      </c>
      <c r="J19" s="14">
        <v>307</v>
      </c>
      <c r="K19" s="7">
        <v>12</v>
      </c>
      <c r="L19" s="15">
        <v>0</v>
      </c>
    </row>
    <row r="20" spans="1:12" ht="17.25" customHeight="1" x14ac:dyDescent="0.25">
      <c r="A20" s="101"/>
      <c r="B20" s="59"/>
      <c r="C20" s="59"/>
      <c r="D20" s="11">
        <v>2</v>
      </c>
      <c r="E20" s="7">
        <v>363</v>
      </c>
      <c r="F20" s="7">
        <v>73</v>
      </c>
      <c r="G20" s="7">
        <v>7</v>
      </c>
      <c r="H20" s="7">
        <v>23</v>
      </c>
      <c r="I20" s="7">
        <v>256</v>
      </c>
      <c r="J20" s="14">
        <v>359</v>
      </c>
      <c r="K20" s="7">
        <v>4</v>
      </c>
      <c r="L20" s="15">
        <v>0</v>
      </c>
    </row>
    <row r="21" spans="1:12" ht="17.25" customHeight="1" x14ac:dyDescent="0.25">
      <c r="A21" s="101"/>
      <c r="B21" s="59"/>
      <c r="C21" s="59"/>
      <c r="D21" s="11">
        <v>3</v>
      </c>
      <c r="E21" s="7">
        <v>431</v>
      </c>
      <c r="F21" s="7">
        <v>70</v>
      </c>
      <c r="G21" s="7">
        <v>1</v>
      </c>
      <c r="H21" s="7">
        <v>24</v>
      </c>
      <c r="I21" s="7">
        <v>329</v>
      </c>
      <c r="J21" s="14">
        <v>424</v>
      </c>
      <c r="K21" s="7">
        <v>7</v>
      </c>
      <c r="L21" s="15">
        <v>0</v>
      </c>
    </row>
    <row r="22" spans="1:12" ht="17.25" customHeight="1" x14ac:dyDescent="0.25">
      <c r="A22" s="101"/>
      <c r="B22" s="59"/>
      <c r="C22" s="59"/>
      <c r="D22" s="11">
        <v>4</v>
      </c>
      <c r="E22" s="7">
        <v>428</v>
      </c>
      <c r="F22" s="7">
        <v>65</v>
      </c>
      <c r="G22" s="7">
        <v>2</v>
      </c>
      <c r="H22" s="7">
        <v>43</v>
      </c>
      <c r="I22" s="7">
        <v>318</v>
      </c>
      <c r="J22" s="14">
        <v>428</v>
      </c>
      <c r="K22" s="7">
        <v>0</v>
      </c>
      <c r="L22" s="15">
        <v>0</v>
      </c>
    </row>
    <row r="23" spans="1:12" ht="17.25" customHeight="1" x14ac:dyDescent="0.25">
      <c r="A23" s="101"/>
      <c r="B23" s="59"/>
      <c r="C23" s="59"/>
      <c r="D23" s="11">
        <v>5</v>
      </c>
      <c r="E23" s="7">
        <v>425</v>
      </c>
      <c r="F23" s="7">
        <v>82</v>
      </c>
      <c r="G23" s="7">
        <v>3</v>
      </c>
      <c r="H23" s="7">
        <v>54</v>
      </c>
      <c r="I23" s="7">
        <v>282</v>
      </c>
      <c r="J23" s="14">
        <v>421</v>
      </c>
      <c r="K23" s="7">
        <v>4</v>
      </c>
      <c r="L23" s="15">
        <v>0</v>
      </c>
    </row>
    <row r="24" spans="1:12" ht="17.25" customHeight="1" x14ac:dyDescent="0.25">
      <c r="A24" s="102"/>
      <c r="B24" s="60"/>
      <c r="C24" s="60"/>
      <c r="D24" s="11">
        <v>6</v>
      </c>
      <c r="E24" s="7">
        <v>500</v>
      </c>
      <c r="F24" s="7">
        <v>101</v>
      </c>
      <c r="G24" s="7">
        <v>2</v>
      </c>
      <c r="H24" s="7">
        <v>83</v>
      </c>
      <c r="I24" s="7">
        <v>314</v>
      </c>
      <c r="J24" s="14">
        <v>500</v>
      </c>
      <c r="K24" s="7">
        <v>0</v>
      </c>
      <c r="L24" s="15">
        <v>0</v>
      </c>
    </row>
    <row r="25" spans="1:12" ht="30" customHeight="1" x14ac:dyDescent="0.25"/>
    <row r="26" spans="1:12" ht="325.95" customHeight="1" x14ac:dyDescent="0.25"/>
    <row r="27" spans="1:12" ht="325.95" customHeight="1" x14ac:dyDescent="0.25"/>
  </sheetData>
  <mergeCells count="22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9"/>
    <mergeCell ref="B5:B9"/>
    <mergeCell ref="C5:C9"/>
    <mergeCell ref="A10:A13"/>
    <mergeCell ref="B10:B13"/>
    <mergeCell ref="C10:C13"/>
    <mergeCell ref="A14:A18"/>
    <mergeCell ref="B14:B18"/>
    <mergeCell ref="C14:C18"/>
    <mergeCell ref="A19:A24"/>
    <mergeCell ref="B19:B24"/>
    <mergeCell ref="C19:C2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>
      <selection activeCell="A5" sqref="A5:L23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50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100">
        <v>14</v>
      </c>
      <c r="B5" s="103" t="s">
        <v>48</v>
      </c>
      <c r="C5" s="103" t="s">
        <v>51</v>
      </c>
      <c r="D5" s="11">
        <v>1</v>
      </c>
      <c r="E5" s="7">
        <v>372</v>
      </c>
      <c r="F5" s="7">
        <v>163</v>
      </c>
      <c r="G5" s="7">
        <v>8</v>
      </c>
      <c r="H5" s="7">
        <v>47</v>
      </c>
      <c r="I5" s="7">
        <v>151</v>
      </c>
      <c r="J5" s="14">
        <v>369</v>
      </c>
      <c r="K5" s="7">
        <v>3</v>
      </c>
      <c r="L5" s="15">
        <v>0</v>
      </c>
    </row>
    <row r="6" spans="1:12" ht="17.25" customHeight="1" x14ac:dyDescent="0.25">
      <c r="A6" s="101"/>
      <c r="B6" s="104"/>
      <c r="C6" s="104"/>
      <c r="D6" s="11">
        <v>2</v>
      </c>
      <c r="E6" s="7">
        <v>427</v>
      </c>
      <c r="F6" s="7">
        <v>116</v>
      </c>
      <c r="G6" s="7">
        <v>9</v>
      </c>
      <c r="H6" s="7">
        <v>68</v>
      </c>
      <c r="I6" s="7">
        <v>227</v>
      </c>
      <c r="J6" s="14">
        <v>420</v>
      </c>
      <c r="K6" s="7">
        <v>7</v>
      </c>
      <c r="L6" s="15">
        <v>0</v>
      </c>
    </row>
    <row r="7" spans="1:12" ht="17.25" customHeight="1" x14ac:dyDescent="0.25">
      <c r="A7" s="101"/>
      <c r="B7" s="104"/>
      <c r="C7" s="104"/>
      <c r="D7" s="11">
        <v>3</v>
      </c>
      <c r="E7" s="7">
        <v>429</v>
      </c>
      <c r="F7" s="7">
        <v>112</v>
      </c>
      <c r="G7" s="7">
        <v>14</v>
      </c>
      <c r="H7" s="7">
        <v>86</v>
      </c>
      <c r="I7" s="7">
        <v>215</v>
      </c>
      <c r="J7" s="14">
        <v>427</v>
      </c>
      <c r="K7" s="7">
        <v>2</v>
      </c>
      <c r="L7" s="15">
        <v>0</v>
      </c>
    </row>
    <row r="8" spans="1:12" ht="17.25" customHeight="1" x14ac:dyDescent="0.25">
      <c r="A8" s="102"/>
      <c r="B8" s="105"/>
      <c r="C8" s="105"/>
      <c r="D8" s="11">
        <v>4</v>
      </c>
      <c r="E8" s="7">
        <v>471</v>
      </c>
      <c r="F8" s="7">
        <v>143</v>
      </c>
      <c r="G8" s="7">
        <v>3</v>
      </c>
      <c r="H8" s="7">
        <v>97</v>
      </c>
      <c r="I8" s="7">
        <v>227</v>
      </c>
      <c r="J8" s="14">
        <v>470</v>
      </c>
      <c r="K8" s="7">
        <v>1</v>
      </c>
      <c r="L8" s="15">
        <v>0</v>
      </c>
    </row>
    <row r="9" spans="1:12" ht="17.25" customHeight="1" x14ac:dyDescent="0.25">
      <c r="A9" s="100">
        <v>15</v>
      </c>
      <c r="B9" s="106" t="s">
        <v>52</v>
      </c>
      <c r="C9" s="103" t="s">
        <v>53</v>
      </c>
      <c r="D9" s="11">
        <v>1</v>
      </c>
      <c r="E9" s="7">
        <v>257</v>
      </c>
      <c r="F9" s="7">
        <v>72</v>
      </c>
      <c r="G9" s="7">
        <v>0</v>
      </c>
      <c r="H9" s="7">
        <v>5</v>
      </c>
      <c r="I9" s="7">
        <v>179</v>
      </c>
      <c r="J9" s="14">
        <v>256</v>
      </c>
      <c r="K9" s="7">
        <v>1</v>
      </c>
      <c r="L9" s="15">
        <v>0</v>
      </c>
    </row>
    <row r="10" spans="1:12" ht="17.25" customHeight="1" x14ac:dyDescent="0.25">
      <c r="A10" s="102"/>
      <c r="B10" s="107"/>
      <c r="C10" s="105"/>
      <c r="D10" s="11">
        <v>2</v>
      </c>
      <c r="E10" s="7">
        <v>218</v>
      </c>
      <c r="F10" s="7">
        <v>34</v>
      </c>
      <c r="G10" s="7">
        <v>0</v>
      </c>
      <c r="H10" s="7">
        <v>7</v>
      </c>
      <c r="I10" s="7">
        <v>173</v>
      </c>
      <c r="J10" s="14">
        <v>214</v>
      </c>
      <c r="K10" s="7">
        <v>4</v>
      </c>
      <c r="L10" s="15">
        <v>0</v>
      </c>
    </row>
    <row r="11" spans="1:12" ht="17.25" customHeight="1" x14ac:dyDescent="0.25">
      <c r="A11" s="100">
        <v>16</v>
      </c>
      <c r="B11" s="108" t="s">
        <v>54</v>
      </c>
      <c r="C11" s="90" t="s">
        <v>55</v>
      </c>
      <c r="D11" s="11">
        <v>1</v>
      </c>
      <c r="E11" s="7">
        <v>357</v>
      </c>
      <c r="F11" s="7">
        <v>256</v>
      </c>
      <c r="G11" s="7">
        <v>7</v>
      </c>
      <c r="H11" s="7">
        <v>40</v>
      </c>
      <c r="I11" s="7">
        <v>49</v>
      </c>
      <c r="J11" s="14">
        <v>352</v>
      </c>
      <c r="K11" s="7">
        <v>5</v>
      </c>
      <c r="L11" s="15">
        <v>0</v>
      </c>
    </row>
    <row r="12" spans="1:12" ht="17.25" customHeight="1" x14ac:dyDescent="0.25">
      <c r="A12" s="101"/>
      <c r="B12" s="109"/>
      <c r="C12" s="91"/>
      <c r="D12" s="11">
        <v>2</v>
      </c>
      <c r="E12" s="7">
        <v>309</v>
      </c>
      <c r="F12" s="7">
        <v>177</v>
      </c>
      <c r="G12" s="7">
        <v>7</v>
      </c>
      <c r="H12" s="7">
        <v>80</v>
      </c>
      <c r="I12" s="7">
        <v>41</v>
      </c>
      <c r="J12" s="14">
        <v>305</v>
      </c>
      <c r="K12" s="7">
        <v>4</v>
      </c>
      <c r="L12" s="15">
        <v>0</v>
      </c>
    </row>
    <row r="13" spans="1:12" ht="17.25" customHeight="1" x14ac:dyDescent="0.25">
      <c r="A13" s="102"/>
      <c r="B13" s="110"/>
      <c r="C13" s="92"/>
      <c r="D13" s="11">
        <v>3</v>
      </c>
      <c r="E13" s="7">
        <v>335</v>
      </c>
      <c r="F13" s="7">
        <v>197</v>
      </c>
      <c r="G13" s="7">
        <v>4</v>
      </c>
      <c r="H13" s="7">
        <v>102</v>
      </c>
      <c r="I13" s="7">
        <v>32</v>
      </c>
      <c r="J13" s="14">
        <v>335</v>
      </c>
      <c r="K13" s="7">
        <v>0</v>
      </c>
      <c r="L13" s="15">
        <v>0</v>
      </c>
    </row>
    <row r="14" spans="1:12" ht="17.25" customHeight="1" x14ac:dyDescent="0.25">
      <c r="A14" s="100">
        <v>17</v>
      </c>
      <c r="B14" s="93" t="s">
        <v>56</v>
      </c>
      <c r="C14" s="103" t="s">
        <v>57</v>
      </c>
      <c r="D14" s="11">
        <v>1</v>
      </c>
      <c r="E14" s="7">
        <v>303</v>
      </c>
      <c r="F14" s="7">
        <v>103</v>
      </c>
      <c r="G14" s="7">
        <v>5</v>
      </c>
      <c r="H14" s="7">
        <v>7</v>
      </c>
      <c r="I14" s="7">
        <v>178</v>
      </c>
      <c r="J14" s="14">
        <v>293</v>
      </c>
      <c r="K14" s="7">
        <v>10</v>
      </c>
      <c r="L14" s="15">
        <v>0</v>
      </c>
    </row>
    <row r="15" spans="1:12" ht="17.25" customHeight="1" x14ac:dyDescent="0.25">
      <c r="A15" s="101"/>
      <c r="B15" s="111"/>
      <c r="C15" s="104"/>
      <c r="D15" s="11">
        <v>2</v>
      </c>
      <c r="E15" s="7">
        <v>310</v>
      </c>
      <c r="F15" s="7">
        <v>102</v>
      </c>
      <c r="G15" s="7">
        <v>3</v>
      </c>
      <c r="H15" s="7">
        <v>23</v>
      </c>
      <c r="I15" s="7">
        <v>181</v>
      </c>
      <c r="J15" s="14">
        <v>309</v>
      </c>
      <c r="K15" s="7">
        <v>1</v>
      </c>
      <c r="L15" s="15">
        <v>0</v>
      </c>
    </row>
    <row r="16" spans="1:12" ht="17.25" customHeight="1" x14ac:dyDescent="0.25">
      <c r="A16" s="101"/>
      <c r="B16" s="111"/>
      <c r="C16" s="104"/>
      <c r="D16" s="11">
        <v>3</v>
      </c>
      <c r="E16" s="7">
        <v>323</v>
      </c>
      <c r="F16" s="7">
        <v>77</v>
      </c>
      <c r="G16" s="7">
        <v>3</v>
      </c>
      <c r="H16" s="7">
        <v>45</v>
      </c>
      <c r="I16" s="7">
        <v>193</v>
      </c>
      <c r="J16" s="14">
        <v>318</v>
      </c>
      <c r="K16" s="7">
        <v>5</v>
      </c>
      <c r="L16" s="15">
        <v>0</v>
      </c>
    </row>
    <row r="17" spans="1:12" ht="17.25" customHeight="1" x14ac:dyDescent="0.25">
      <c r="A17" s="102"/>
      <c r="B17" s="94"/>
      <c r="C17" s="105"/>
      <c r="D17" s="11">
        <v>4</v>
      </c>
      <c r="E17" s="7">
        <v>349</v>
      </c>
      <c r="F17" s="7">
        <v>107</v>
      </c>
      <c r="G17" s="7">
        <v>0</v>
      </c>
      <c r="H17" s="7">
        <v>59</v>
      </c>
      <c r="I17" s="7">
        <v>179</v>
      </c>
      <c r="J17" s="14">
        <v>345</v>
      </c>
      <c r="K17" s="7">
        <v>4</v>
      </c>
      <c r="L17" s="15">
        <v>0</v>
      </c>
    </row>
    <row r="18" spans="1:12" ht="17.25" customHeight="1" x14ac:dyDescent="0.25">
      <c r="A18" s="100">
        <v>18</v>
      </c>
      <c r="B18" s="55" t="s">
        <v>58</v>
      </c>
      <c r="C18" s="90" t="s">
        <v>59</v>
      </c>
      <c r="D18" s="11">
        <v>1</v>
      </c>
      <c r="E18" s="7">
        <v>334</v>
      </c>
      <c r="F18" s="7">
        <v>261</v>
      </c>
      <c r="G18" s="7">
        <v>3</v>
      </c>
      <c r="H18" s="7">
        <v>40</v>
      </c>
      <c r="I18" s="7">
        <v>24</v>
      </c>
      <c r="J18" s="14">
        <v>328</v>
      </c>
      <c r="K18" s="7">
        <v>6</v>
      </c>
      <c r="L18" s="15">
        <v>0</v>
      </c>
    </row>
    <row r="19" spans="1:12" ht="17.25" customHeight="1" x14ac:dyDescent="0.25">
      <c r="A19" s="101"/>
      <c r="B19" s="56"/>
      <c r="C19" s="91"/>
      <c r="D19" s="11">
        <v>2</v>
      </c>
      <c r="E19" s="7">
        <v>521</v>
      </c>
      <c r="F19" s="7">
        <v>297</v>
      </c>
      <c r="G19" s="7">
        <v>10</v>
      </c>
      <c r="H19" s="7">
        <v>140</v>
      </c>
      <c r="I19" s="7">
        <v>68</v>
      </c>
      <c r="J19" s="14">
        <v>515</v>
      </c>
      <c r="K19" s="7">
        <v>6</v>
      </c>
      <c r="L19" s="15">
        <v>0</v>
      </c>
    </row>
    <row r="20" spans="1:12" ht="17.25" customHeight="1" x14ac:dyDescent="0.25">
      <c r="A20" s="102"/>
      <c r="B20" s="57"/>
      <c r="C20" s="92"/>
      <c r="D20" s="11">
        <v>3</v>
      </c>
      <c r="E20" s="7">
        <v>516</v>
      </c>
      <c r="F20" s="7">
        <v>272</v>
      </c>
      <c r="G20" s="7">
        <v>4</v>
      </c>
      <c r="H20" s="7">
        <v>197</v>
      </c>
      <c r="I20" s="7">
        <v>43</v>
      </c>
      <c r="J20" s="14">
        <v>516</v>
      </c>
      <c r="K20" s="7">
        <v>0</v>
      </c>
      <c r="L20" s="15">
        <v>0</v>
      </c>
    </row>
    <row r="21" spans="1:12" ht="17.25" customHeight="1" x14ac:dyDescent="0.25">
      <c r="A21" s="100">
        <v>19</v>
      </c>
      <c r="B21" s="106" t="s">
        <v>60</v>
      </c>
      <c r="C21" s="95" t="s">
        <v>61</v>
      </c>
      <c r="D21" s="11">
        <v>1</v>
      </c>
      <c r="E21" s="7">
        <v>259</v>
      </c>
      <c r="F21" s="7">
        <v>147</v>
      </c>
      <c r="G21" s="7">
        <v>3</v>
      </c>
      <c r="H21" s="7">
        <v>27</v>
      </c>
      <c r="I21" s="7">
        <v>78</v>
      </c>
      <c r="J21" s="14">
        <v>255</v>
      </c>
      <c r="K21" s="7">
        <v>4</v>
      </c>
      <c r="L21" s="15">
        <v>0</v>
      </c>
    </row>
    <row r="22" spans="1:12" ht="17.25" customHeight="1" x14ac:dyDescent="0.25">
      <c r="A22" s="102"/>
      <c r="B22" s="107"/>
      <c r="C22" s="96"/>
      <c r="D22" s="11">
        <v>2</v>
      </c>
      <c r="E22" s="7">
        <v>303</v>
      </c>
      <c r="F22" s="7">
        <v>149</v>
      </c>
      <c r="G22" s="7">
        <v>3</v>
      </c>
      <c r="H22" s="7">
        <v>78</v>
      </c>
      <c r="I22" s="7">
        <v>73</v>
      </c>
      <c r="J22" s="14">
        <v>303</v>
      </c>
      <c r="K22" s="7">
        <v>0</v>
      </c>
      <c r="L22" s="15">
        <v>0</v>
      </c>
    </row>
    <row r="23" spans="1:12" ht="23.7" customHeight="1" x14ac:dyDescent="0.25">
      <c r="A23" s="17">
        <v>20</v>
      </c>
      <c r="B23" s="13" t="s">
        <v>62</v>
      </c>
      <c r="C23" s="16" t="s">
        <v>63</v>
      </c>
      <c r="D23" s="11">
        <v>1</v>
      </c>
      <c r="E23" s="7">
        <v>106</v>
      </c>
      <c r="F23" s="7">
        <v>62</v>
      </c>
      <c r="G23" s="7">
        <v>0</v>
      </c>
      <c r="H23" s="7">
        <v>13</v>
      </c>
      <c r="I23" s="7">
        <v>26</v>
      </c>
      <c r="J23" s="14">
        <v>101</v>
      </c>
      <c r="K23" s="7">
        <v>5</v>
      </c>
      <c r="L23" s="15">
        <v>0</v>
      </c>
    </row>
    <row r="24" spans="1:12" ht="30" customHeight="1" x14ac:dyDescent="0.25"/>
    <row r="25" spans="1:12" ht="316.95" customHeight="1" x14ac:dyDescent="0.25"/>
    <row r="26" spans="1:12" ht="316.95" customHeight="1" x14ac:dyDescent="0.25"/>
  </sheetData>
  <mergeCells count="28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8"/>
    <mergeCell ref="B5:B8"/>
    <mergeCell ref="C5:C8"/>
    <mergeCell ref="A9:A10"/>
    <mergeCell ref="B9:B10"/>
    <mergeCell ref="C9:C10"/>
    <mergeCell ref="A11:A13"/>
    <mergeCell ref="B11:B13"/>
    <mergeCell ref="C11:C13"/>
    <mergeCell ref="A14:A17"/>
    <mergeCell ref="B14:B17"/>
    <mergeCell ref="C14:C17"/>
    <mergeCell ref="A18:A20"/>
    <mergeCell ref="B18:B20"/>
    <mergeCell ref="C18:C20"/>
    <mergeCell ref="A21:A22"/>
    <mergeCell ref="B21:B22"/>
    <mergeCell ref="C21:C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topLeftCell="A5" workbookViewId="0">
      <selection activeCell="A5" sqref="A5:L19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32.700000000000003" customHeight="1" x14ac:dyDescent="0.25">
      <c r="A5" s="10">
        <v>21</v>
      </c>
      <c r="B5" s="16" t="s">
        <v>65</v>
      </c>
      <c r="C5" s="5" t="s">
        <v>66</v>
      </c>
      <c r="D5" s="11">
        <v>1</v>
      </c>
      <c r="E5" s="7">
        <v>341</v>
      </c>
      <c r="F5" s="7">
        <v>75</v>
      </c>
      <c r="G5" s="18">
        <v>5</v>
      </c>
      <c r="H5" s="7">
        <v>21</v>
      </c>
      <c r="I5" s="7">
        <v>229</v>
      </c>
      <c r="J5" s="14">
        <v>330</v>
      </c>
      <c r="K5" s="7">
        <v>11</v>
      </c>
      <c r="L5" s="15">
        <v>0</v>
      </c>
    </row>
    <row r="6" spans="1:12" ht="32.700000000000003" customHeight="1" x14ac:dyDescent="0.25">
      <c r="A6" s="10">
        <v>22</v>
      </c>
      <c r="B6" s="5" t="s">
        <v>67</v>
      </c>
      <c r="C6" s="5" t="s">
        <v>68</v>
      </c>
      <c r="D6" s="11">
        <v>1</v>
      </c>
      <c r="E6" s="7">
        <v>480</v>
      </c>
      <c r="F6" s="7">
        <v>109</v>
      </c>
      <c r="G6" s="18">
        <v>5</v>
      </c>
      <c r="H6" s="7">
        <v>31</v>
      </c>
      <c r="I6" s="7">
        <v>325</v>
      </c>
      <c r="J6" s="14">
        <v>470</v>
      </c>
      <c r="K6" s="7">
        <v>10</v>
      </c>
      <c r="L6" s="15">
        <v>0</v>
      </c>
    </row>
    <row r="7" spans="1:12" ht="17.25" customHeight="1" x14ac:dyDescent="0.25">
      <c r="A7" s="100">
        <v>23</v>
      </c>
      <c r="B7" s="103" t="s">
        <v>69</v>
      </c>
      <c r="C7" s="90" t="s">
        <v>70</v>
      </c>
      <c r="D7" s="11">
        <v>1</v>
      </c>
      <c r="E7" s="7">
        <v>312</v>
      </c>
      <c r="F7" s="7">
        <v>223</v>
      </c>
      <c r="G7" s="18">
        <v>4</v>
      </c>
      <c r="H7" s="7">
        <v>28</v>
      </c>
      <c r="I7" s="7">
        <v>47</v>
      </c>
      <c r="J7" s="14">
        <v>302</v>
      </c>
      <c r="K7" s="7">
        <v>10</v>
      </c>
      <c r="L7" s="15">
        <v>0</v>
      </c>
    </row>
    <row r="8" spans="1:12" ht="17.25" customHeight="1" x14ac:dyDescent="0.25">
      <c r="A8" s="101"/>
      <c r="B8" s="104"/>
      <c r="C8" s="91"/>
      <c r="D8" s="11">
        <v>2</v>
      </c>
      <c r="E8" s="7">
        <v>340</v>
      </c>
      <c r="F8" s="7">
        <v>222</v>
      </c>
      <c r="G8" s="18">
        <v>7</v>
      </c>
      <c r="H8" s="7">
        <v>50</v>
      </c>
      <c r="I8" s="7">
        <v>56</v>
      </c>
      <c r="J8" s="14">
        <v>335</v>
      </c>
      <c r="K8" s="7">
        <v>5</v>
      </c>
      <c r="L8" s="15">
        <v>0</v>
      </c>
    </row>
    <row r="9" spans="1:12" ht="17.25" customHeight="1" x14ac:dyDescent="0.25">
      <c r="A9" s="101"/>
      <c r="B9" s="104"/>
      <c r="C9" s="91"/>
      <c r="D9" s="11">
        <v>3</v>
      </c>
      <c r="E9" s="7">
        <v>381</v>
      </c>
      <c r="F9" s="7">
        <v>174</v>
      </c>
      <c r="G9" s="18">
        <v>4</v>
      </c>
      <c r="H9" s="7">
        <v>137</v>
      </c>
      <c r="I9" s="7">
        <v>64</v>
      </c>
      <c r="J9" s="14">
        <v>379</v>
      </c>
      <c r="K9" s="7">
        <v>2</v>
      </c>
      <c r="L9" s="15">
        <v>0</v>
      </c>
    </row>
    <row r="10" spans="1:12" ht="17.25" customHeight="1" x14ac:dyDescent="0.25">
      <c r="A10" s="101"/>
      <c r="B10" s="104"/>
      <c r="C10" s="91"/>
      <c r="D10" s="11">
        <v>4</v>
      </c>
      <c r="E10" s="7">
        <v>390</v>
      </c>
      <c r="F10" s="7">
        <v>180</v>
      </c>
      <c r="G10" s="18">
        <v>4</v>
      </c>
      <c r="H10" s="7">
        <v>165</v>
      </c>
      <c r="I10" s="7">
        <v>41</v>
      </c>
      <c r="J10" s="14">
        <v>390</v>
      </c>
      <c r="K10" s="7">
        <v>0</v>
      </c>
      <c r="L10" s="15">
        <v>0</v>
      </c>
    </row>
    <row r="11" spans="1:12" ht="17.25" customHeight="1" x14ac:dyDescent="0.25">
      <c r="A11" s="102"/>
      <c r="B11" s="105"/>
      <c r="C11" s="92"/>
      <c r="D11" s="11">
        <v>5</v>
      </c>
      <c r="E11" s="7">
        <v>395</v>
      </c>
      <c r="F11" s="7">
        <v>178</v>
      </c>
      <c r="G11" s="18">
        <v>0</v>
      </c>
      <c r="H11" s="7">
        <v>149</v>
      </c>
      <c r="I11" s="7">
        <v>67</v>
      </c>
      <c r="J11" s="14">
        <v>394</v>
      </c>
      <c r="K11" s="7">
        <v>1</v>
      </c>
      <c r="L11" s="15">
        <v>0</v>
      </c>
    </row>
    <row r="12" spans="1:12" ht="17.25" customHeight="1" x14ac:dyDescent="0.25">
      <c r="A12" s="100">
        <v>24</v>
      </c>
      <c r="B12" s="55" t="s">
        <v>71</v>
      </c>
      <c r="C12" s="90" t="s">
        <v>72</v>
      </c>
      <c r="D12" s="11">
        <v>1</v>
      </c>
      <c r="E12" s="7">
        <v>327</v>
      </c>
      <c r="F12" s="7">
        <v>161</v>
      </c>
      <c r="G12" s="19">
        <v>11</v>
      </c>
      <c r="H12" s="7">
        <v>57</v>
      </c>
      <c r="I12" s="7">
        <v>89</v>
      </c>
      <c r="J12" s="14">
        <v>318</v>
      </c>
      <c r="K12" s="7">
        <v>9</v>
      </c>
      <c r="L12" s="15">
        <v>0</v>
      </c>
    </row>
    <row r="13" spans="1:12" ht="17.25" customHeight="1" x14ac:dyDescent="0.25">
      <c r="A13" s="101"/>
      <c r="B13" s="56"/>
      <c r="C13" s="91"/>
      <c r="D13" s="11">
        <v>2</v>
      </c>
      <c r="E13" s="7">
        <v>367</v>
      </c>
      <c r="F13" s="7">
        <v>161</v>
      </c>
      <c r="G13" s="18">
        <v>6</v>
      </c>
      <c r="H13" s="7">
        <v>94</v>
      </c>
      <c r="I13" s="7">
        <v>104</v>
      </c>
      <c r="J13" s="14">
        <v>365</v>
      </c>
      <c r="K13" s="7">
        <v>2</v>
      </c>
      <c r="L13" s="15">
        <v>0</v>
      </c>
    </row>
    <row r="14" spans="1:12" ht="17.25" customHeight="1" x14ac:dyDescent="0.25">
      <c r="A14" s="101"/>
      <c r="B14" s="56"/>
      <c r="C14" s="91"/>
      <c r="D14" s="11">
        <v>3</v>
      </c>
      <c r="E14" s="7">
        <v>447</v>
      </c>
      <c r="F14" s="7">
        <v>170</v>
      </c>
      <c r="G14" s="19">
        <v>15</v>
      </c>
      <c r="H14" s="7">
        <v>139</v>
      </c>
      <c r="I14" s="7">
        <v>122</v>
      </c>
      <c r="J14" s="14">
        <v>446</v>
      </c>
      <c r="K14" s="7">
        <v>1</v>
      </c>
      <c r="L14" s="15">
        <v>0</v>
      </c>
    </row>
    <row r="15" spans="1:12" ht="17.25" customHeight="1" x14ac:dyDescent="0.25">
      <c r="A15" s="101"/>
      <c r="B15" s="56"/>
      <c r="C15" s="91"/>
      <c r="D15" s="11">
        <v>4</v>
      </c>
      <c r="E15" s="7">
        <v>412</v>
      </c>
      <c r="F15" s="7">
        <v>152</v>
      </c>
      <c r="G15" s="18">
        <v>7</v>
      </c>
      <c r="H15" s="7">
        <v>149</v>
      </c>
      <c r="I15" s="7">
        <v>102</v>
      </c>
      <c r="J15" s="14">
        <v>410</v>
      </c>
      <c r="K15" s="7">
        <v>2</v>
      </c>
      <c r="L15" s="15">
        <v>0</v>
      </c>
    </row>
    <row r="16" spans="1:12" ht="17.25" customHeight="1" x14ac:dyDescent="0.25">
      <c r="A16" s="102"/>
      <c r="B16" s="57"/>
      <c r="C16" s="92"/>
      <c r="D16" s="11">
        <v>5</v>
      </c>
      <c r="E16" s="7">
        <v>456</v>
      </c>
      <c r="F16" s="7">
        <v>186</v>
      </c>
      <c r="G16" s="18">
        <v>2</v>
      </c>
      <c r="H16" s="7">
        <v>158</v>
      </c>
      <c r="I16" s="7">
        <v>109</v>
      </c>
      <c r="J16" s="14">
        <v>455</v>
      </c>
      <c r="K16" s="7">
        <v>1</v>
      </c>
      <c r="L16" s="15">
        <v>0</v>
      </c>
    </row>
    <row r="17" spans="1:12" ht="17.25" customHeight="1" x14ac:dyDescent="0.25">
      <c r="A17" s="100">
        <v>25</v>
      </c>
      <c r="B17" s="106" t="s">
        <v>73</v>
      </c>
      <c r="C17" s="95" t="s">
        <v>74</v>
      </c>
      <c r="D17" s="11">
        <v>1</v>
      </c>
      <c r="E17" s="7">
        <v>313</v>
      </c>
      <c r="F17" s="7">
        <v>191</v>
      </c>
      <c r="G17" s="19">
        <v>12</v>
      </c>
      <c r="H17" s="7">
        <v>67</v>
      </c>
      <c r="I17" s="7">
        <v>39</v>
      </c>
      <c r="J17" s="14">
        <v>309</v>
      </c>
      <c r="K17" s="7">
        <v>4</v>
      </c>
      <c r="L17" s="15">
        <v>0</v>
      </c>
    </row>
    <row r="18" spans="1:12" ht="17.25" customHeight="1" x14ac:dyDescent="0.25">
      <c r="A18" s="102"/>
      <c r="B18" s="107"/>
      <c r="C18" s="96"/>
      <c r="D18" s="11">
        <v>2</v>
      </c>
      <c r="E18" s="7">
        <v>340</v>
      </c>
      <c r="F18" s="7">
        <v>186</v>
      </c>
      <c r="G18" s="18">
        <v>7</v>
      </c>
      <c r="H18" s="7">
        <v>94</v>
      </c>
      <c r="I18" s="7">
        <v>50</v>
      </c>
      <c r="J18" s="14">
        <v>337</v>
      </c>
      <c r="K18" s="7">
        <v>3</v>
      </c>
      <c r="L18" s="15">
        <v>0</v>
      </c>
    </row>
    <row r="19" spans="1:12" ht="32.700000000000003" customHeight="1" x14ac:dyDescent="0.25">
      <c r="A19" s="10">
        <v>26</v>
      </c>
      <c r="B19" s="13" t="s">
        <v>75</v>
      </c>
      <c r="C19" s="16" t="s">
        <v>76</v>
      </c>
      <c r="D19" s="11">
        <v>1</v>
      </c>
      <c r="E19" s="7">
        <v>358</v>
      </c>
      <c r="F19" s="7">
        <v>207</v>
      </c>
      <c r="G19" s="19">
        <v>17</v>
      </c>
      <c r="H19" s="7">
        <v>86</v>
      </c>
      <c r="I19" s="7">
        <v>46</v>
      </c>
      <c r="J19" s="14">
        <v>356</v>
      </c>
      <c r="K19" s="7">
        <v>2</v>
      </c>
      <c r="L19" s="15">
        <v>0</v>
      </c>
    </row>
    <row r="20" spans="1:12" ht="30" customHeight="1" x14ac:dyDescent="0.25"/>
    <row r="21" spans="1:12" ht="294" customHeight="1" x14ac:dyDescent="0.25"/>
    <row r="22" spans="1:12" ht="294" customHeight="1" x14ac:dyDescent="0.25"/>
  </sheetData>
  <mergeCells count="19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17:A18"/>
    <mergeCell ref="B17:B18"/>
    <mergeCell ref="C17:C18"/>
    <mergeCell ref="A7:A11"/>
    <mergeCell ref="B7:B11"/>
    <mergeCell ref="C7:C11"/>
    <mergeCell ref="A12:A16"/>
    <mergeCell ref="B12:B16"/>
    <mergeCell ref="C12:C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8"/>
  <sheetViews>
    <sheetView topLeftCell="A5" workbookViewId="0">
      <selection activeCell="A5" sqref="A5:L25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77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100">
        <v>27</v>
      </c>
      <c r="B5" s="108" t="s">
        <v>78</v>
      </c>
      <c r="C5" s="90" t="s">
        <v>79</v>
      </c>
      <c r="D5" s="11">
        <v>1</v>
      </c>
      <c r="E5" s="7">
        <v>364</v>
      </c>
      <c r="F5" s="7">
        <v>188</v>
      </c>
      <c r="G5" s="7">
        <v>2</v>
      </c>
      <c r="H5" s="7">
        <v>35</v>
      </c>
      <c r="I5" s="7">
        <v>134</v>
      </c>
      <c r="J5" s="14">
        <v>359</v>
      </c>
      <c r="K5" s="7">
        <v>5</v>
      </c>
      <c r="L5" s="15">
        <v>0</v>
      </c>
    </row>
    <row r="6" spans="1:12" ht="17.25" customHeight="1" x14ac:dyDescent="0.25">
      <c r="A6" s="101"/>
      <c r="B6" s="109"/>
      <c r="C6" s="91"/>
      <c r="D6" s="11">
        <v>2</v>
      </c>
      <c r="E6" s="7">
        <v>399</v>
      </c>
      <c r="F6" s="7">
        <v>197</v>
      </c>
      <c r="G6" s="7">
        <v>7</v>
      </c>
      <c r="H6" s="7">
        <v>58</v>
      </c>
      <c r="I6" s="7">
        <v>130</v>
      </c>
      <c r="J6" s="14">
        <v>392</v>
      </c>
      <c r="K6" s="7">
        <v>7</v>
      </c>
      <c r="L6" s="15">
        <v>0</v>
      </c>
    </row>
    <row r="7" spans="1:12" ht="17.25" customHeight="1" x14ac:dyDescent="0.25">
      <c r="A7" s="101"/>
      <c r="B7" s="109"/>
      <c r="C7" s="91"/>
      <c r="D7" s="11">
        <v>3</v>
      </c>
      <c r="E7" s="7">
        <v>504</v>
      </c>
      <c r="F7" s="7">
        <v>173</v>
      </c>
      <c r="G7" s="7">
        <v>7</v>
      </c>
      <c r="H7" s="7">
        <v>94</v>
      </c>
      <c r="I7" s="7">
        <v>222</v>
      </c>
      <c r="J7" s="14">
        <v>496</v>
      </c>
      <c r="K7" s="7">
        <v>8</v>
      </c>
      <c r="L7" s="15">
        <v>0</v>
      </c>
    </row>
    <row r="8" spans="1:12" ht="17.25" customHeight="1" x14ac:dyDescent="0.25">
      <c r="A8" s="101"/>
      <c r="B8" s="109"/>
      <c r="C8" s="91"/>
      <c r="D8" s="11">
        <v>4</v>
      </c>
      <c r="E8" s="7">
        <v>444</v>
      </c>
      <c r="F8" s="7">
        <v>140</v>
      </c>
      <c r="G8" s="7">
        <v>5</v>
      </c>
      <c r="H8" s="7">
        <v>98</v>
      </c>
      <c r="I8" s="7">
        <v>198</v>
      </c>
      <c r="J8" s="14">
        <v>441</v>
      </c>
      <c r="K8" s="7">
        <v>3</v>
      </c>
      <c r="L8" s="15">
        <v>0</v>
      </c>
    </row>
    <row r="9" spans="1:12" ht="17.25" customHeight="1" x14ac:dyDescent="0.25">
      <c r="A9" s="101"/>
      <c r="B9" s="109"/>
      <c r="C9" s="91"/>
      <c r="D9" s="11">
        <v>5</v>
      </c>
      <c r="E9" s="7">
        <v>442</v>
      </c>
      <c r="F9" s="7">
        <v>136</v>
      </c>
      <c r="G9" s="7">
        <v>8</v>
      </c>
      <c r="H9" s="7">
        <v>124</v>
      </c>
      <c r="I9" s="7">
        <v>170</v>
      </c>
      <c r="J9" s="14">
        <v>438</v>
      </c>
      <c r="K9" s="7">
        <v>4</v>
      </c>
      <c r="L9" s="15">
        <v>0</v>
      </c>
    </row>
    <row r="10" spans="1:12" ht="17.25" customHeight="1" x14ac:dyDescent="0.25">
      <c r="A10" s="101"/>
      <c r="B10" s="109"/>
      <c r="C10" s="91"/>
      <c r="D10" s="11">
        <v>6</v>
      </c>
      <c r="E10" s="7">
        <v>442</v>
      </c>
      <c r="F10" s="7">
        <v>157</v>
      </c>
      <c r="G10" s="7">
        <v>4</v>
      </c>
      <c r="H10" s="7">
        <v>132</v>
      </c>
      <c r="I10" s="7">
        <v>148</v>
      </c>
      <c r="J10" s="14">
        <v>441</v>
      </c>
      <c r="K10" s="7">
        <v>1</v>
      </c>
      <c r="L10" s="15">
        <v>0</v>
      </c>
    </row>
    <row r="11" spans="1:12" ht="17.25" customHeight="1" x14ac:dyDescent="0.25">
      <c r="A11" s="101"/>
      <c r="B11" s="109"/>
      <c r="C11" s="91"/>
      <c r="D11" s="11">
        <v>7</v>
      </c>
      <c r="E11" s="7">
        <v>473</v>
      </c>
      <c r="F11" s="7">
        <v>138</v>
      </c>
      <c r="G11" s="7">
        <v>7</v>
      </c>
      <c r="H11" s="7">
        <v>128</v>
      </c>
      <c r="I11" s="7">
        <v>200</v>
      </c>
      <c r="J11" s="14">
        <v>473</v>
      </c>
      <c r="K11" s="7">
        <v>0</v>
      </c>
      <c r="L11" s="15">
        <v>0</v>
      </c>
    </row>
    <row r="12" spans="1:12" ht="17.25" customHeight="1" x14ac:dyDescent="0.25">
      <c r="A12" s="101"/>
      <c r="B12" s="109"/>
      <c r="C12" s="92"/>
      <c r="D12" s="11">
        <v>8</v>
      </c>
      <c r="E12" s="7">
        <v>511</v>
      </c>
      <c r="F12" s="7">
        <v>137</v>
      </c>
      <c r="G12" s="7">
        <v>4</v>
      </c>
      <c r="H12" s="7">
        <v>159</v>
      </c>
      <c r="I12" s="7">
        <v>211</v>
      </c>
      <c r="J12" s="14">
        <v>511</v>
      </c>
      <c r="K12" s="7">
        <v>0</v>
      </c>
      <c r="L12" s="15">
        <v>0</v>
      </c>
    </row>
    <row r="13" spans="1:12" ht="17.25" customHeight="1" x14ac:dyDescent="0.25">
      <c r="A13" s="101"/>
      <c r="B13" s="109"/>
      <c r="C13" s="103" t="s">
        <v>80</v>
      </c>
      <c r="D13" s="11">
        <v>1</v>
      </c>
      <c r="E13" s="7">
        <v>296</v>
      </c>
      <c r="F13" s="7">
        <v>175</v>
      </c>
      <c r="G13" s="7">
        <v>5</v>
      </c>
      <c r="H13" s="7">
        <v>36</v>
      </c>
      <c r="I13" s="7">
        <v>74</v>
      </c>
      <c r="J13" s="14">
        <v>290</v>
      </c>
      <c r="K13" s="7">
        <v>6</v>
      </c>
      <c r="L13" s="15">
        <v>0</v>
      </c>
    </row>
    <row r="14" spans="1:12" ht="17.25" customHeight="1" x14ac:dyDescent="0.25">
      <c r="A14" s="101"/>
      <c r="B14" s="109"/>
      <c r="C14" s="104"/>
      <c r="D14" s="11">
        <v>2</v>
      </c>
      <c r="E14" s="7">
        <v>329</v>
      </c>
      <c r="F14" s="7">
        <v>183</v>
      </c>
      <c r="G14" s="7">
        <v>5</v>
      </c>
      <c r="H14" s="7">
        <v>79</v>
      </c>
      <c r="I14" s="7">
        <v>61</v>
      </c>
      <c r="J14" s="14">
        <v>328</v>
      </c>
      <c r="K14" s="7">
        <v>1</v>
      </c>
      <c r="L14" s="15">
        <v>0</v>
      </c>
    </row>
    <row r="15" spans="1:12" ht="17.25" customHeight="1" x14ac:dyDescent="0.25">
      <c r="A15" s="102"/>
      <c r="B15" s="110"/>
      <c r="C15" s="105"/>
      <c r="D15" s="11">
        <v>3</v>
      </c>
      <c r="E15" s="7">
        <v>333</v>
      </c>
      <c r="F15" s="7">
        <v>153</v>
      </c>
      <c r="G15" s="7">
        <v>6</v>
      </c>
      <c r="H15" s="7">
        <v>127</v>
      </c>
      <c r="I15" s="7">
        <v>44</v>
      </c>
      <c r="J15" s="14">
        <v>330</v>
      </c>
      <c r="K15" s="7">
        <v>3</v>
      </c>
      <c r="L15" s="15">
        <v>0</v>
      </c>
    </row>
    <row r="16" spans="1:12" ht="17.25" customHeight="1" x14ac:dyDescent="0.25">
      <c r="A16" s="100">
        <v>28</v>
      </c>
      <c r="B16" s="87" t="s">
        <v>81</v>
      </c>
      <c r="C16" s="58" t="s">
        <v>82</v>
      </c>
      <c r="D16" s="11">
        <v>1</v>
      </c>
      <c r="E16" s="7">
        <v>299</v>
      </c>
      <c r="F16" s="7">
        <v>52</v>
      </c>
      <c r="G16" s="7">
        <v>1</v>
      </c>
      <c r="H16" s="7">
        <v>6</v>
      </c>
      <c r="I16" s="7">
        <v>235</v>
      </c>
      <c r="J16" s="14">
        <v>294</v>
      </c>
      <c r="K16" s="7">
        <v>5</v>
      </c>
      <c r="L16" s="15">
        <v>0</v>
      </c>
    </row>
    <row r="17" spans="1:12" ht="17.25" customHeight="1" x14ac:dyDescent="0.25">
      <c r="A17" s="101"/>
      <c r="B17" s="88"/>
      <c r="C17" s="59"/>
      <c r="D17" s="11">
        <v>2</v>
      </c>
      <c r="E17" s="7">
        <v>368</v>
      </c>
      <c r="F17" s="7">
        <v>68</v>
      </c>
      <c r="G17" s="7">
        <v>6</v>
      </c>
      <c r="H17" s="7">
        <v>13</v>
      </c>
      <c r="I17" s="7">
        <v>277</v>
      </c>
      <c r="J17" s="14">
        <v>364</v>
      </c>
      <c r="K17" s="7">
        <v>4</v>
      </c>
      <c r="L17" s="15">
        <v>0</v>
      </c>
    </row>
    <row r="18" spans="1:12" ht="17.25" customHeight="1" x14ac:dyDescent="0.25">
      <c r="A18" s="101"/>
      <c r="B18" s="88"/>
      <c r="C18" s="59"/>
      <c r="D18" s="11">
        <v>3</v>
      </c>
      <c r="E18" s="7">
        <v>377</v>
      </c>
      <c r="F18" s="7">
        <v>54</v>
      </c>
      <c r="G18" s="7">
        <v>4</v>
      </c>
      <c r="H18" s="7">
        <v>12</v>
      </c>
      <c r="I18" s="7">
        <v>298</v>
      </c>
      <c r="J18" s="14">
        <v>368</v>
      </c>
      <c r="K18" s="7">
        <v>9</v>
      </c>
      <c r="L18" s="15">
        <v>0</v>
      </c>
    </row>
    <row r="19" spans="1:12" ht="17.25" customHeight="1" x14ac:dyDescent="0.25">
      <c r="A19" s="101"/>
      <c r="B19" s="88"/>
      <c r="C19" s="59"/>
      <c r="D19" s="11">
        <v>4</v>
      </c>
      <c r="E19" s="7">
        <v>531</v>
      </c>
      <c r="F19" s="7">
        <v>78</v>
      </c>
      <c r="G19" s="7">
        <v>1</v>
      </c>
      <c r="H19" s="7">
        <v>32</v>
      </c>
      <c r="I19" s="7">
        <v>411</v>
      </c>
      <c r="J19" s="14">
        <v>522</v>
      </c>
      <c r="K19" s="7">
        <v>9</v>
      </c>
      <c r="L19" s="15">
        <v>0</v>
      </c>
    </row>
    <row r="20" spans="1:12" ht="17.25" customHeight="1" x14ac:dyDescent="0.25">
      <c r="A20" s="101"/>
      <c r="B20" s="88"/>
      <c r="C20" s="59"/>
      <c r="D20" s="11">
        <v>5</v>
      </c>
      <c r="E20" s="7">
        <v>475</v>
      </c>
      <c r="F20" s="7">
        <v>67</v>
      </c>
      <c r="G20" s="7">
        <v>3</v>
      </c>
      <c r="H20" s="7">
        <v>58</v>
      </c>
      <c r="I20" s="7">
        <v>345</v>
      </c>
      <c r="J20" s="14">
        <v>473</v>
      </c>
      <c r="K20" s="7">
        <v>2</v>
      </c>
      <c r="L20" s="15">
        <v>0</v>
      </c>
    </row>
    <row r="21" spans="1:12" ht="17.25" customHeight="1" x14ac:dyDescent="0.25">
      <c r="A21" s="101"/>
      <c r="B21" s="88"/>
      <c r="C21" s="59"/>
      <c r="D21" s="11">
        <v>6</v>
      </c>
      <c r="E21" s="7">
        <v>432</v>
      </c>
      <c r="F21" s="7">
        <v>81</v>
      </c>
      <c r="G21" s="7">
        <v>1</v>
      </c>
      <c r="H21" s="7">
        <v>71</v>
      </c>
      <c r="I21" s="7">
        <v>277</v>
      </c>
      <c r="J21" s="14">
        <v>430</v>
      </c>
      <c r="K21" s="7">
        <v>2</v>
      </c>
      <c r="L21" s="15">
        <v>0</v>
      </c>
    </row>
    <row r="22" spans="1:12" ht="17.25" customHeight="1" x14ac:dyDescent="0.25">
      <c r="A22" s="102"/>
      <c r="B22" s="89"/>
      <c r="C22" s="60"/>
      <c r="D22" s="11">
        <v>7</v>
      </c>
      <c r="E22" s="7">
        <v>486</v>
      </c>
      <c r="F22" s="7">
        <v>87</v>
      </c>
      <c r="G22" s="7">
        <v>3</v>
      </c>
      <c r="H22" s="7">
        <v>67</v>
      </c>
      <c r="I22" s="7">
        <v>324</v>
      </c>
      <c r="J22" s="14">
        <v>481</v>
      </c>
      <c r="K22" s="7">
        <v>5</v>
      </c>
      <c r="L22" s="15">
        <v>0</v>
      </c>
    </row>
    <row r="23" spans="1:12" ht="17.25" customHeight="1" x14ac:dyDescent="0.25">
      <c r="A23" s="100">
        <v>29</v>
      </c>
      <c r="B23" s="90" t="s">
        <v>83</v>
      </c>
      <c r="C23" s="103" t="s">
        <v>84</v>
      </c>
      <c r="D23" s="11">
        <v>1</v>
      </c>
      <c r="E23" s="7">
        <v>305</v>
      </c>
      <c r="F23" s="7">
        <v>96</v>
      </c>
      <c r="G23" s="7">
        <v>4</v>
      </c>
      <c r="H23" s="7">
        <v>21</v>
      </c>
      <c r="I23" s="7">
        <v>180</v>
      </c>
      <c r="J23" s="14">
        <v>301</v>
      </c>
      <c r="K23" s="7">
        <v>4</v>
      </c>
      <c r="L23" s="15">
        <v>0</v>
      </c>
    </row>
    <row r="24" spans="1:12" ht="17.25" customHeight="1" x14ac:dyDescent="0.25">
      <c r="A24" s="101"/>
      <c r="B24" s="91"/>
      <c r="C24" s="104"/>
      <c r="D24" s="11">
        <v>2</v>
      </c>
      <c r="E24" s="7">
        <v>335</v>
      </c>
      <c r="F24" s="7">
        <v>104</v>
      </c>
      <c r="G24" s="7">
        <v>4</v>
      </c>
      <c r="H24" s="7">
        <v>45</v>
      </c>
      <c r="I24" s="7">
        <v>181</v>
      </c>
      <c r="J24" s="14">
        <v>334</v>
      </c>
      <c r="K24" s="7">
        <v>1</v>
      </c>
      <c r="L24" s="15">
        <v>0</v>
      </c>
    </row>
    <row r="25" spans="1:12" ht="17.25" customHeight="1" x14ac:dyDescent="0.25">
      <c r="A25" s="102"/>
      <c r="B25" s="92"/>
      <c r="C25" s="105"/>
      <c r="D25" s="11">
        <v>3</v>
      </c>
      <c r="E25" s="7">
        <v>337</v>
      </c>
      <c r="F25" s="7">
        <v>80</v>
      </c>
      <c r="G25" s="7">
        <v>2</v>
      </c>
      <c r="H25" s="7">
        <v>94</v>
      </c>
      <c r="I25" s="7">
        <v>159</v>
      </c>
      <c r="J25" s="14">
        <v>335</v>
      </c>
      <c r="K25" s="7">
        <v>2</v>
      </c>
      <c r="L25" s="15">
        <v>0</v>
      </c>
    </row>
    <row r="26" spans="1:12" ht="30" customHeight="1" x14ac:dyDescent="0.25"/>
    <row r="27" spans="1:12" ht="342" customHeight="1" x14ac:dyDescent="0.25"/>
    <row r="28" spans="1:12" ht="342" customHeight="1" x14ac:dyDescent="0.25"/>
  </sheetData>
  <mergeCells count="20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23:A25"/>
    <mergeCell ref="B23:B25"/>
    <mergeCell ref="C23:C25"/>
    <mergeCell ref="A5:A15"/>
    <mergeCell ref="B5:B15"/>
    <mergeCell ref="C5:C12"/>
    <mergeCell ref="C13:C15"/>
    <mergeCell ref="A16:A22"/>
    <mergeCell ref="B16:B22"/>
    <mergeCell ref="C16:C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topLeftCell="A5" workbookViewId="0">
      <selection activeCell="A5" sqref="A5:L2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85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100">
        <v>30</v>
      </c>
      <c r="B5" s="58" t="s">
        <v>86</v>
      </c>
      <c r="C5" s="58" t="s">
        <v>87</v>
      </c>
      <c r="D5" s="11">
        <v>1</v>
      </c>
      <c r="E5" s="7">
        <v>328</v>
      </c>
      <c r="F5" s="7">
        <v>98</v>
      </c>
      <c r="G5" s="7">
        <v>8</v>
      </c>
      <c r="H5" s="7">
        <v>21</v>
      </c>
      <c r="I5" s="7">
        <v>193</v>
      </c>
      <c r="J5" s="14">
        <v>320</v>
      </c>
      <c r="K5" s="7">
        <v>8</v>
      </c>
      <c r="L5" s="15">
        <v>0</v>
      </c>
    </row>
    <row r="6" spans="1:12" ht="17.25" customHeight="1" x14ac:dyDescent="0.25">
      <c r="A6" s="101"/>
      <c r="B6" s="59"/>
      <c r="C6" s="59"/>
      <c r="D6" s="11">
        <v>2</v>
      </c>
      <c r="E6" s="7">
        <v>360</v>
      </c>
      <c r="F6" s="7">
        <v>91</v>
      </c>
      <c r="G6" s="7">
        <v>5</v>
      </c>
      <c r="H6" s="7">
        <v>29</v>
      </c>
      <c r="I6" s="7">
        <v>232</v>
      </c>
      <c r="J6" s="14">
        <v>357</v>
      </c>
      <c r="K6" s="7">
        <v>3</v>
      </c>
      <c r="L6" s="15">
        <v>0</v>
      </c>
    </row>
    <row r="7" spans="1:12" ht="17.25" customHeight="1" x14ac:dyDescent="0.25">
      <c r="A7" s="101"/>
      <c r="B7" s="59"/>
      <c r="C7" s="59"/>
      <c r="D7" s="11">
        <v>3</v>
      </c>
      <c r="E7" s="7">
        <v>471</v>
      </c>
      <c r="F7" s="7">
        <v>78</v>
      </c>
      <c r="G7" s="7">
        <v>3</v>
      </c>
      <c r="H7" s="7">
        <v>45</v>
      </c>
      <c r="I7" s="7">
        <v>339</v>
      </c>
      <c r="J7" s="14">
        <v>465</v>
      </c>
      <c r="K7" s="7">
        <v>6</v>
      </c>
      <c r="L7" s="15">
        <v>0</v>
      </c>
    </row>
    <row r="8" spans="1:12" ht="17.25" customHeight="1" x14ac:dyDescent="0.25">
      <c r="A8" s="101"/>
      <c r="B8" s="59"/>
      <c r="C8" s="59"/>
      <c r="D8" s="11">
        <v>4</v>
      </c>
      <c r="E8" s="7">
        <v>447</v>
      </c>
      <c r="F8" s="7">
        <v>78</v>
      </c>
      <c r="G8" s="7">
        <v>5</v>
      </c>
      <c r="H8" s="7">
        <v>56</v>
      </c>
      <c r="I8" s="7">
        <v>304</v>
      </c>
      <c r="J8" s="14">
        <v>443</v>
      </c>
      <c r="K8" s="7">
        <v>4</v>
      </c>
      <c r="L8" s="15">
        <v>0</v>
      </c>
    </row>
    <row r="9" spans="1:12" ht="17.25" customHeight="1" x14ac:dyDescent="0.25">
      <c r="A9" s="101"/>
      <c r="B9" s="59"/>
      <c r="C9" s="59"/>
      <c r="D9" s="11">
        <v>5</v>
      </c>
      <c r="E9" s="7">
        <v>423</v>
      </c>
      <c r="F9" s="7">
        <v>58</v>
      </c>
      <c r="G9" s="7">
        <v>5</v>
      </c>
      <c r="H9" s="7">
        <v>70</v>
      </c>
      <c r="I9" s="7">
        <v>287</v>
      </c>
      <c r="J9" s="14">
        <v>420</v>
      </c>
      <c r="K9" s="7">
        <v>3</v>
      </c>
      <c r="L9" s="15">
        <v>0</v>
      </c>
    </row>
    <row r="10" spans="1:12" ht="17.25" customHeight="1" x14ac:dyDescent="0.25">
      <c r="A10" s="101"/>
      <c r="B10" s="59"/>
      <c r="C10" s="59"/>
      <c r="D10" s="11">
        <v>6</v>
      </c>
      <c r="E10" s="7">
        <v>402</v>
      </c>
      <c r="F10" s="7">
        <v>54</v>
      </c>
      <c r="G10" s="7">
        <v>5</v>
      </c>
      <c r="H10" s="7">
        <v>54</v>
      </c>
      <c r="I10" s="7">
        <v>287</v>
      </c>
      <c r="J10" s="14">
        <v>400</v>
      </c>
      <c r="K10" s="7">
        <v>2</v>
      </c>
      <c r="L10" s="15">
        <v>0</v>
      </c>
    </row>
    <row r="11" spans="1:12" ht="17.25" customHeight="1" x14ac:dyDescent="0.25">
      <c r="A11" s="101"/>
      <c r="B11" s="59"/>
      <c r="C11" s="59"/>
      <c r="D11" s="11">
        <v>7</v>
      </c>
      <c r="E11" s="7">
        <v>406</v>
      </c>
      <c r="F11" s="7">
        <v>59</v>
      </c>
      <c r="G11" s="7">
        <v>3</v>
      </c>
      <c r="H11" s="7">
        <v>53</v>
      </c>
      <c r="I11" s="7">
        <v>288</v>
      </c>
      <c r="J11" s="14">
        <v>403</v>
      </c>
      <c r="K11" s="7">
        <v>3</v>
      </c>
      <c r="L11" s="15">
        <v>0</v>
      </c>
    </row>
    <row r="12" spans="1:12" ht="17.25" customHeight="1" x14ac:dyDescent="0.25">
      <c r="A12" s="101"/>
      <c r="B12" s="59"/>
      <c r="C12" s="60"/>
      <c r="D12" s="11">
        <v>8</v>
      </c>
      <c r="E12" s="7">
        <v>461</v>
      </c>
      <c r="F12" s="7">
        <v>62</v>
      </c>
      <c r="G12" s="7">
        <v>2</v>
      </c>
      <c r="H12" s="7">
        <v>66</v>
      </c>
      <c r="I12" s="7">
        <v>330</v>
      </c>
      <c r="J12" s="14">
        <v>460</v>
      </c>
      <c r="K12" s="7">
        <v>1</v>
      </c>
      <c r="L12" s="15">
        <v>0</v>
      </c>
    </row>
    <row r="13" spans="1:12" ht="17.25" customHeight="1" x14ac:dyDescent="0.25">
      <c r="A13" s="101"/>
      <c r="B13" s="59"/>
      <c r="C13" s="90" t="s">
        <v>88</v>
      </c>
      <c r="D13" s="11">
        <v>1</v>
      </c>
      <c r="E13" s="7">
        <v>321</v>
      </c>
      <c r="F13" s="7">
        <v>55</v>
      </c>
      <c r="G13" s="7">
        <v>7</v>
      </c>
      <c r="H13" s="7">
        <v>17</v>
      </c>
      <c r="I13" s="7">
        <v>241</v>
      </c>
      <c r="J13" s="14">
        <v>320</v>
      </c>
      <c r="K13" s="7">
        <v>1</v>
      </c>
      <c r="L13" s="15">
        <v>0</v>
      </c>
    </row>
    <row r="14" spans="1:12" ht="17.25" customHeight="1" x14ac:dyDescent="0.25">
      <c r="A14" s="101"/>
      <c r="B14" s="59"/>
      <c r="C14" s="91"/>
      <c r="D14" s="11">
        <v>2</v>
      </c>
      <c r="E14" s="7">
        <v>365</v>
      </c>
      <c r="F14" s="7">
        <v>45</v>
      </c>
      <c r="G14" s="7">
        <v>2</v>
      </c>
      <c r="H14" s="7">
        <v>20</v>
      </c>
      <c r="I14" s="7">
        <v>292</v>
      </c>
      <c r="J14" s="14">
        <v>359</v>
      </c>
      <c r="K14" s="7">
        <v>5</v>
      </c>
      <c r="L14" s="15">
        <v>1</v>
      </c>
    </row>
    <row r="15" spans="1:12" ht="17.25" customHeight="1" x14ac:dyDescent="0.25">
      <c r="A15" s="101"/>
      <c r="B15" s="59"/>
      <c r="C15" s="91"/>
      <c r="D15" s="11">
        <v>3</v>
      </c>
      <c r="E15" s="7">
        <v>530</v>
      </c>
      <c r="F15" s="7">
        <v>65</v>
      </c>
      <c r="G15" s="7">
        <v>3</v>
      </c>
      <c r="H15" s="7">
        <v>32</v>
      </c>
      <c r="I15" s="7">
        <v>422</v>
      </c>
      <c r="J15" s="14">
        <v>522</v>
      </c>
      <c r="K15" s="7">
        <v>8</v>
      </c>
      <c r="L15" s="15">
        <v>0</v>
      </c>
    </row>
    <row r="16" spans="1:12" ht="17.25" customHeight="1" x14ac:dyDescent="0.25">
      <c r="A16" s="101"/>
      <c r="B16" s="59"/>
      <c r="C16" s="91"/>
      <c r="D16" s="11">
        <v>4</v>
      </c>
      <c r="E16" s="7">
        <v>498</v>
      </c>
      <c r="F16" s="7">
        <v>60</v>
      </c>
      <c r="G16" s="7">
        <v>4</v>
      </c>
      <c r="H16" s="7">
        <v>64</v>
      </c>
      <c r="I16" s="7">
        <v>365</v>
      </c>
      <c r="J16" s="14">
        <v>493</v>
      </c>
      <c r="K16" s="7">
        <v>5</v>
      </c>
      <c r="L16" s="15">
        <v>0</v>
      </c>
    </row>
    <row r="17" spans="1:12" ht="17.25" customHeight="1" x14ac:dyDescent="0.25">
      <c r="A17" s="101"/>
      <c r="B17" s="59"/>
      <c r="C17" s="91"/>
      <c r="D17" s="11">
        <v>5</v>
      </c>
      <c r="E17" s="7">
        <v>477</v>
      </c>
      <c r="F17" s="7">
        <v>43</v>
      </c>
      <c r="G17" s="7">
        <v>3</v>
      </c>
      <c r="H17" s="7">
        <v>49</v>
      </c>
      <c r="I17" s="7">
        <v>366</v>
      </c>
      <c r="J17" s="14">
        <v>461</v>
      </c>
      <c r="K17" s="7">
        <v>16</v>
      </c>
      <c r="L17" s="15">
        <v>0</v>
      </c>
    </row>
    <row r="18" spans="1:12" ht="17.25" customHeight="1" x14ac:dyDescent="0.25">
      <c r="A18" s="102"/>
      <c r="B18" s="60"/>
      <c r="C18" s="92"/>
      <c r="D18" s="11">
        <v>6</v>
      </c>
      <c r="E18" s="7">
        <v>536</v>
      </c>
      <c r="F18" s="7">
        <v>56</v>
      </c>
      <c r="G18" s="7">
        <v>2</v>
      </c>
      <c r="H18" s="7">
        <v>66</v>
      </c>
      <c r="I18" s="7">
        <v>405</v>
      </c>
      <c r="J18" s="14">
        <v>529</v>
      </c>
      <c r="K18" s="7">
        <v>7</v>
      </c>
      <c r="L18" s="15">
        <v>0</v>
      </c>
    </row>
    <row r="19" spans="1:12" ht="17.25" customHeight="1" x14ac:dyDescent="0.25">
      <c r="A19" s="100">
        <v>31</v>
      </c>
      <c r="B19" s="112" t="s">
        <v>89</v>
      </c>
      <c r="C19" s="95" t="s">
        <v>90</v>
      </c>
      <c r="D19" s="11">
        <v>1</v>
      </c>
      <c r="E19" s="7">
        <v>319</v>
      </c>
      <c r="F19" s="7">
        <v>219</v>
      </c>
      <c r="G19" s="7">
        <v>2</v>
      </c>
      <c r="H19" s="7">
        <v>65</v>
      </c>
      <c r="I19" s="7">
        <v>26</v>
      </c>
      <c r="J19" s="14">
        <v>312</v>
      </c>
      <c r="K19" s="7">
        <v>7</v>
      </c>
      <c r="L19" s="15">
        <v>0</v>
      </c>
    </row>
    <row r="20" spans="1:12" ht="17.25" customHeight="1" x14ac:dyDescent="0.25">
      <c r="A20" s="102"/>
      <c r="B20" s="113"/>
      <c r="C20" s="96"/>
      <c r="D20" s="11">
        <v>2</v>
      </c>
      <c r="E20" s="7">
        <v>396</v>
      </c>
      <c r="F20" s="7">
        <v>214</v>
      </c>
      <c r="G20" s="7">
        <v>3</v>
      </c>
      <c r="H20" s="7">
        <v>147</v>
      </c>
      <c r="I20" s="7">
        <v>29</v>
      </c>
      <c r="J20" s="14">
        <v>393</v>
      </c>
      <c r="K20" s="7">
        <v>3</v>
      </c>
      <c r="L20" s="15">
        <v>0</v>
      </c>
    </row>
    <row r="21" spans="1:12" ht="17.25" customHeight="1" x14ac:dyDescent="0.25">
      <c r="A21" s="100">
        <v>32</v>
      </c>
      <c r="B21" s="112" t="s">
        <v>91</v>
      </c>
      <c r="C21" s="95" t="s">
        <v>92</v>
      </c>
      <c r="D21" s="11">
        <v>1</v>
      </c>
      <c r="E21" s="7">
        <v>314</v>
      </c>
      <c r="F21" s="7">
        <v>190</v>
      </c>
      <c r="G21" s="7">
        <v>8</v>
      </c>
      <c r="H21" s="7">
        <v>54</v>
      </c>
      <c r="I21" s="7">
        <v>58</v>
      </c>
      <c r="J21" s="14">
        <v>310</v>
      </c>
      <c r="K21" s="7">
        <v>3</v>
      </c>
      <c r="L21" s="15">
        <v>1</v>
      </c>
    </row>
    <row r="22" spans="1:12" ht="17.25" customHeight="1" x14ac:dyDescent="0.25">
      <c r="A22" s="102"/>
      <c r="B22" s="113"/>
      <c r="C22" s="96"/>
      <c r="D22" s="11">
        <v>2</v>
      </c>
      <c r="E22" s="7">
        <v>399</v>
      </c>
      <c r="F22" s="7">
        <v>175</v>
      </c>
      <c r="G22" s="7">
        <v>6</v>
      </c>
      <c r="H22" s="7">
        <v>131</v>
      </c>
      <c r="I22" s="7">
        <v>82</v>
      </c>
      <c r="J22" s="14">
        <v>394</v>
      </c>
      <c r="K22" s="7">
        <v>5</v>
      </c>
      <c r="L22" s="15">
        <v>0</v>
      </c>
    </row>
    <row r="23" spans="1:12" ht="17.25" customHeight="1" x14ac:dyDescent="0.25">
      <c r="A23" s="100">
        <v>33</v>
      </c>
      <c r="B23" s="106" t="s">
        <v>93</v>
      </c>
      <c r="C23" s="112" t="s">
        <v>94</v>
      </c>
      <c r="D23" s="11">
        <v>1</v>
      </c>
      <c r="E23" s="7">
        <v>275</v>
      </c>
      <c r="F23" s="7">
        <v>122</v>
      </c>
      <c r="G23" s="7">
        <v>5</v>
      </c>
      <c r="H23" s="7">
        <v>59</v>
      </c>
      <c r="I23" s="7">
        <v>86</v>
      </c>
      <c r="J23" s="14">
        <v>272</v>
      </c>
      <c r="K23" s="7">
        <v>3</v>
      </c>
      <c r="L23" s="15">
        <v>0</v>
      </c>
    </row>
    <row r="24" spans="1:12" ht="17.25" customHeight="1" x14ac:dyDescent="0.25">
      <c r="A24" s="102"/>
      <c r="B24" s="107"/>
      <c r="C24" s="113"/>
      <c r="D24" s="11">
        <v>2</v>
      </c>
      <c r="E24" s="7">
        <v>280</v>
      </c>
      <c r="F24" s="7">
        <v>92</v>
      </c>
      <c r="G24" s="7">
        <v>1</v>
      </c>
      <c r="H24" s="7">
        <v>106</v>
      </c>
      <c r="I24" s="7">
        <v>80</v>
      </c>
      <c r="J24" s="14">
        <v>279</v>
      </c>
      <c r="K24" s="7">
        <v>1</v>
      </c>
      <c r="L24" s="15">
        <v>0</v>
      </c>
    </row>
    <row r="25" spans="1:12" ht="30" customHeight="1" x14ac:dyDescent="0.25"/>
    <row r="26" spans="1:12" ht="325.95" customHeight="1" x14ac:dyDescent="0.25"/>
    <row r="27" spans="1:12" ht="325.95" customHeight="1" x14ac:dyDescent="0.25"/>
  </sheetData>
  <mergeCells count="23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18"/>
    <mergeCell ref="B5:B18"/>
    <mergeCell ref="C5:C12"/>
    <mergeCell ref="C13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workbookViewId="0">
      <selection activeCell="A5" sqref="A5:L1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61" t="s">
        <v>95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18" customHeight="1" x14ac:dyDescent="0.25">
      <c r="A2" s="64" t="s">
        <v>1</v>
      </c>
      <c r="B2" s="67" t="s">
        <v>2</v>
      </c>
      <c r="C2" s="67" t="s">
        <v>3</v>
      </c>
      <c r="D2" s="70" t="s">
        <v>4</v>
      </c>
      <c r="E2" s="73" t="s">
        <v>5</v>
      </c>
      <c r="F2" s="76" t="s">
        <v>6</v>
      </c>
      <c r="G2" s="77"/>
      <c r="H2" s="77"/>
      <c r="I2" s="77"/>
      <c r="J2" s="78"/>
      <c r="K2" s="79" t="s">
        <v>7</v>
      </c>
      <c r="L2" s="82" t="s">
        <v>8</v>
      </c>
    </row>
    <row r="3" spans="1:12" ht="29.7" customHeight="1" x14ac:dyDescent="0.25">
      <c r="A3" s="65"/>
      <c r="B3" s="68"/>
      <c r="C3" s="68"/>
      <c r="D3" s="71"/>
      <c r="E3" s="74"/>
      <c r="F3" s="1" t="s">
        <v>9</v>
      </c>
      <c r="G3" s="1" t="s">
        <v>10</v>
      </c>
      <c r="H3" s="1" t="s">
        <v>11</v>
      </c>
      <c r="I3" s="2" t="s">
        <v>12</v>
      </c>
      <c r="J3" s="85" t="s">
        <v>13</v>
      </c>
      <c r="K3" s="80"/>
      <c r="L3" s="83"/>
    </row>
    <row r="4" spans="1:12" ht="28.2" customHeight="1" x14ac:dyDescent="0.25">
      <c r="A4" s="66"/>
      <c r="B4" s="69"/>
      <c r="C4" s="69"/>
      <c r="D4" s="72"/>
      <c r="E4" s="75"/>
      <c r="F4" s="3"/>
      <c r="G4" s="3"/>
      <c r="H4" s="3"/>
      <c r="I4" s="3"/>
      <c r="J4" s="86"/>
      <c r="K4" s="81"/>
      <c r="L4" s="84"/>
    </row>
    <row r="5" spans="1:12" ht="17.25" customHeight="1" x14ac:dyDescent="0.25">
      <c r="A5" s="100">
        <v>34</v>
      </c>
      <c r="B5" s="55" t="s">
        <v>96</v>
      </c>
      <c r="C5" s="90" t="s">
        <v>97</v>
      </c>
      <c r="D5" s="7">
        <v>1</v>
      </c>
      <c r="E5" s="7">
        <v>314</v>
      </c>
      <c r="F5" s="7">
        <v>62</v>
      </c>
      <c r="G5" s="7">
        <v>5</v>
      </c>
      <c r="H5" s="7">
        <v>23</v>
      </c>
      <c r="I5" s="7">
        <v>214</v>
      </c>
      <c r="J5" s="9">
        <v>304</v>
      </c>
      <c r="K5" s="7">
        <v>10</v>
      </c>
      <c r="L5" s="9">
        <v>0</v>
      </c>
    </row>
    <row r="6" spans="1:12" ht="17.25" customHeight="1" x14ac:dyDescent="0.25">
      <c r="A6" s="101"/>
      <c r="B6" s="56"/>
      <c r="C6" s="91"/>
      <c r="D6" s="7">
        <v>2</v>
      </c>
      <c r="E6" s="7">
        <v>376</v>
      </c>
      <c r="F6" s="7">
        <v>78</v>
      </c>
      <c r="G6" s="7">
        <v>3</v>
      </c>
      <c r="H6" s="7">
        <v>23</v>
      </c>
      <c r="I6" s="7">
        <v>261</v>
      </c>
      <c r="J6" s="9">
        <v>365</v>
      </c>
      <c r="K6" s="7">
        <v>11</v>
      </c>
      <c r="L6" s="9">
        <v>0</v>
      </c>
    </row>
    <row r="7" spans="1:12" ht="17.25" customHeight="1" x14ac:dyDescent="0.25">
      <c r="A7" s="101"/>
      <c r="B7" s="56"/>
      <c r="C7" s="91"/>
      <c r="D7" s="7">
        <v>3</v>
      </c>
      <c r="E7" s="7">
        <v>513</v>
      </c>
      <c r="F7" s="7">
        <v>62</v>
      </c>
      <c r="G7" s="7">
        <v>7</v>
      </c>
      <c r="H7" s="7">
        <v>34</v>
      </c>
      <c r="I7" s="7">
        <v>406</v>
      </c>
      <c r="J7" s="9">
        <v>509</v>
      </c>
      <c r="K7" s="7">
        <v>4</v>
      </c>
      <c r="L7" s="9">
        <v>0</v>
      </c>
    </row>
    <row r="8" spans="1:12" ht="17.25" customHeight="1" x14ac:dyDescent="0.25">
      <c r="A8" s="101"/>
      <c r="B8" s="56"/>
      <c r="C8" s="91"/>
      <c r="D8" s="7">
        <v>4</v>
      </c>
      <c r="E8" s="7">
        <v>462</v>
      </c>
      <c r="F8" s="7">
        <v>73</v>
      </c>
      <c r="G8" s="7">
        <v>2</v>
      </c>
      <c r="H8" s="7">
        <v>59</v>
      </c>
      <c r="I8" s="7">
        <v>326</v>
      </c>
      <c r="J8" s="9">
        <v>460</v>
      </c>
      <c r="K8" s="7">
        <v>2</v>
      </c>
      <c r="L8" s="9">
        <v>0</v>
      </c>
    </row>
    <row r="9" spans="1:12" ht="17.25" customHeight="1" x14ac:dyDescent="0.25">
      <c r="A9" s="101"/>
      <c r="B9" s="56"/>
      <c r="C9" s="91"/>
      <c r="D9" s="7">
        <v>5</v>
      </c>
      <c r="E9" s="7">
        <v>439</v>
      </c>
      <c r="F9" s="7">
        <v>54</v>
      </c>
      <c r="G9" s="7">
        <v>8</v>
      </c>
      <c r="H9" s="7">
        <v>51</v>
      </c>
      <c r="I9" s="7">
        <v>326</v>
      </c>
      <c r="J9" s="9">
        <v>439</v>
      </c>
      <c r="K9" s="7">
        <v>0</v>
      </c>
      <c r="L9" s="9">
        <v>0</v>
      </c>
    </row>
    <row r="10" spans="1:12" ht="17.25" customHeight="1" x14ac:dyDescent="0.25">
      <c r="A10" s="101"/>
      <c r="B10" s="56"/>
      <c r="C10" s="92"/>
      <c r="D10" s="7">
        <v>6</v>
      </c>
      <c r="E10" s="7">
        <v>501</v>
      </c>
      <c r="F10" s="7">
        <v>63</v>
      </c>
      <c r="G10" s="7">
        <v>4</v>
      </c>
      <c r="H10" s="7">
        <v>79</v>
      </c>
      <c r="I10" s="7">
        <v>353</v>
      </c>
      <c r="J10" s="9">
        <v>499</v>
      </c>
      <c r="K10" s="7">
        <v>2</v>
      </c>
      <c r="L10" s="9">
        <v>0</v>
      </c>
    </row>
    <row r="11" spans="1:12" ht="17.25" customHeight="1" x14ac:dyDescent="0.25">
      <c r="A11" s="101"/>
      <c r="B11" s="56"/>
      <c r="C11" s="90" t="s">
        <v>98</v>
      </c>
      <c r="D11" s="7">
        <v>1</v>
      </c>
      <c r="E11" s="7">
        <v>278</v>
      </c>
      <c r="F11" s="7">
        <v>40</v>
      </c>
      <c r="G11" s="7">
        <v>1</v>
      </c>
      <c r="H11" s="7">
        <v>23</v>
      </c>
      <c r="I11" s="7">
        <v>202</v>
      </c>
      <c r="J11" s="9">
        <v>266</v>
      </c>
      <c r="K11" s="7">
        <v>12</v>
      </c>
      <c r="L11" s="9">
        <v>0</v>
      </c>
    </row>
    <row r="12" spans="1:12" ht="17.25" customHeight="1" x14ac:dyDescent="0.25">
      <c r="A12" s="101"/>
      <c r="B12" s="56"/>
      <c r="C12" s="91"/>
      <c r="D12" s="7">
        <v>2</v>
      </c>
      <c r="E12" s="7">
        <v>308</v>
      </c>
      <c r="F12" s="7">
        <v>54</v>
      </c>
      <c r="G12" s="7">
        <v>5</v>
      </c>
      <c r="H12" s="7">
        <v>30</v>
      </c>
      <c r="I12" s="7">
        <v>211</v>
      </c>
      <c r="J12" s="9">
        <v>300</v>
      </c>
      <c r="K12" s="7">
        <v>8</v>
      </c>
      <c r="L12" s="9">
        <v>0</v>
      </c>
    </row>
    <row r="13" spans="1:12" ht="17.25" customHeight="1" x14ac:dyDescent="0.25">
      <c r="A13" s="102"/>
      <c r="B13" s="57"/>
      <c r="C13" s="92"/>
      <c r="D13" s="7">
        <v>3</v>
      </c>
      <c r="E13" s="7">
        <v>305</v>
      </c>
      <c r="F13" s="7">
        <v>30</v>
      </c>
      <c r="G13" s="7">
        <v>2</v>
      </c>
      <c r="H13" s="7">
        <v>36</v>
      </c>
      <c r="I13" s="7">
        <v>235</v>
      </c>
      <c r="J13" s="9">
        <v>303</v>
      </c>
      <c r="K13" s="7">
        <v>2</v>
      </c>
      <c r="L13" s="9">
        <v>0</v>
      </c>
    </row>
    <row r="14" spans="1:12" ht="19.5" customHeight="1" x14ac:dyDescent="0.25">
      <c r="A14" s="114" t="s">
        <v>99</v>
      </c>
      <c r="B14" s="115"/>
      <c r="C14" s="116"/>
      <c r="D14" s="20">
        <v>158</v>
      </c>
      <c r="E14" s="21">
        <v>61960</v>
      </c>
      <c r="F14" s="21">
        <v>23283</v>
      </c>
      <c r="G14" s="20">
        <v>781</v>
      </c>
      <c r="H14" s="21">
        <v>14962</v>
      </c>
      <c r="I14" s="21">
        <v>22007</v>
      </c>
      <c r="J14" s="21">
        <v>61033</v>
      </c>
      <c r="K14" s="20">
        <v>781</v>
      </c>
      <c r="L14" s="20">
        <v>146</v>
      </c>
    </row>
    <row r="15" spans="1:12" ht="30" customHeight="1" x14ac:dyDescent="0.25"/>
    <row r="16" spans="1:12" ht="147" customHeight="1" x14ac:dyDescent="0.25"/>
    <row r="17" ht="147" customHeight="1" x14ac:dyDescent="0.25"/>
  </sheetData>
  <mergeCells count="15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13"/>
    <mergeCell ref="B5:B13"/>
    <mergeCell ref="C5:C10"/>
    <mergeCell ref="C11:C13"/>
    <mergeCell ref="A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RaceWorksheet</vt:lpstr>
      <vt:lpstr>P133Tampin</vt:lpstr>
      <vt:lpstr>N36Repah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Ming Ong</cp:lastModifiedBy>
  <dcterms:created xsi:type="dcterms:W3CDTF">2023-01-24T06:47:11Z</dcterms:created>
  <dcterms:modified xsi:type="dcterms:W3CDTF">2023-12-20T02:05:36Z</dcterms:modified>
</cp:coreProperties>
</file>