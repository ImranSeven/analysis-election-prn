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FDD7FE41-ADD4-4742-9627-E5EDD74BC30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ceWorksheet" sheetId="15" r:id="rId1"/>
    <sheet name="P132PortDickson" sheetId="13" r:id="rId2"/>
    <sheet name="N30Lukut" sheetId="16" r:id="rId3"/>
    <sheet name="Race&amp;Age" sheetId="14" r:id="rId4"/>
    <sheet name="Table 1" sheetId="1" r:id="rId5"/>
    <sheet name="Table 2" sheetId="2" r:id="rId6"/>
    <sheet name="Table 3" sheetId="3" r:id="rId7"/>
    <sheet name="Table 4" sheetId="4" r:id="rId8"/>
    <sheet name="Table 5" sheetId="5" r:id="rId9"/>
    <sheet name="Table 6" sheetId="6" r:id="rId10"/>
    <sheet name="Table 7" sheetId="7" r:id="rId11"/>
    <sheet name="Table 8" sheetId="8" r:id="rId12"/>
    <sheet name="Table 9" sheetId="9" r:id="rId13"/>
    <sheet name="Table 10" sheetId="10" r:id="rId14"/>
    <sheet name="Table 11" sheetId="11" r:id="rId15"/>
    <sheet name="Table 12" sheetId="12" r:id="rId16"/>
  </sheets>
  <definedNames>
    <definedName name="_xlnm._FilterDatabase" localSheetId="1" hidden="1">P132PortDickson!$A$1:$AD$200</definedName>
    <definedName name="_xlnm._FilterDatabase" localSheetId="3" hidden="1">'Race&amp;Age'!$A$1:$Y$179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5" i="16" l="1"/>
  <c r="AB26" i="16"/>
  <c r="AB6" i="16"/>
  <c r="S45" i="16"/>
  <c r="S26" i="16"/>
  <c r="S6" i="16"/>
  <c r="AD208" i="13"/>
  <c r="AB208" i="13"/>
  <c r="AA208" i="13"/>
  <c r="Z208" i="13"/>
  <c r="Y208" i="13"/>
  <c r="AD207" i="13"/>
  <c r="AB207" i="13"/>
  <c r="AA207" i="13"/>
  <c r="Z207" i="13"/>
  <c r="Y207" i="13"/>
  <c r="AD206" i="13"/>
  <c r="AB206" i="13"/>
  <c r="AA206" i="13"/>
  <c r="Z206" i="13"/>
  <c r="Y206" i="13"/>
  <c r="AD205" i="13"/>
  <c r="AB205" i="13"/>
  <c r="AA205" i="13"/>
  <c r="Z205" i="13"/>
  <c r="Y205" i="13"/>
  <c r="AD204" i="13"/>
  <c r="AB204" i="13"/>
  <c r="AA204" i="13"/>
  <c r="Z204" i="13"/>
  <c r="Y204" i="13"/>
  <c r="S208" i="13"/>
  <c r="R208" i="13"/>
  <c r="Q208" i="13"/>
  <c r="P208" i="13"/>
  <c r="O208" i="13"/>
  <c r="S207" i="13"/>
  <c r="R207" i="13"/>
  <c r="Q207" i="13"/>
  <c r="P207" i="13"/>
  <c r="O207" i="13"/>
  <c r="S206" i="13"/>
  <c r="R206" i="13"/>
  <c r="Q206" i="13"/>
  <c r="P206" i="13"/>
  <c r="O206" i="13"/>
  <c r="S205" i="13"/>
  <c r="R205" i="13"/>
  <c r="Q205" i="13"/>
  <c r="P205" i="13"/>
  <c r="O205" i="13"/>
  <c r="S204" i="13"/>
  <c r="R204" i="13"/>
  <c r="Q204" i="13"/>
  <c r="P204" i="13"/>
  <c r="O204" i="13"/>
  <c r="X208" i="13"/>
  <c r="W208" i="13"/>
  <c r="V208" i="13"/>
  <c r="U208" i="13"/>
  <c r="T208" i="13"/>
  <c r="X207" i="13"/>
  <c r="W207" i="13"/>
  <c r="V207" i="13"/>
  <c r="U207" i="13"/>
  <c r="T207" i="13"/>
  <c r="X206" i="13"/>
  <c r="W206" i="13"/>
  <c r="V206" i="13"/>
  <c r="U206" i="13"/>
  <c r="T206" i="13"/>
  <c r="X205" i="13"/>
  <c r="W205" i="13"/>
  <c r="V205" i="13"/>
  <c r="U205" i="13"/>
  <c r="T205" i="13"/>
  <c r="X204" i="13"/>
  <c r="W204" i="13"/>
  <c r="V204" i="13"/>
  <c r="U204" i="13"/>
  <c r="T204" i="13"/>
  <c r="N208" i="13"/>
  <c r="M208" i="13"/>
  <c r="L208" i="13"/>
  <c r="K208" i="13"/>
  <c r="J208" i="13"/>
  <c r="I208" i="13"/>
  <c r="H208" i="13"/>
  <c r="G208" i="13"/>
  <c r="F208" i="13"/>
  <c r="N207" i="13"/>
  <c r="M207" i="13"/>
  <c r="L207" i="13"/>
  <c r="K207" i="13"/>
  <c r="J207" i="13"/>
  <c r="I207" i="13"/>
  <c r="H207" i="13"/>
  <c r="G207" i="13"/>
  <c r="F207" i="13"/>
  <c r="N206" i="13"/>
  <c r="M206" i="13"/>
  <c r="L206" i="13"/>
  <c r="K206" i="13"/>
  <c r="J206" i="13"/>
  <c r="I206" i="13"/>
  <c r="H206" i="13"/>
  <c r="G206" i="13"/>
  <c r="F206" i="13"/>
  <c r="N205" i="13"/>
  <c r="M205" i="13"/>
  <c r="L205" i="13"/>
  <c r="K205" i="13"/>
  <c r="J205" i="13"/>
  <c r="I205" i="13"/>
  <c r="H205" i="13"/>
  <c r="G205" i="13"/>
  <c r="F205" i="13"/>
  <c r="N204" i="13"/>
  <c r="M204" i="13"/>
  <c r="L204" i="13"/>
  <c r="K204" i="13"/>
  <c r="J204" i="13"/>
  <c r="I204" i="13"/>
  <c r="H204" i="13"/>
  <c r="G204" i="13"/>
  <c r="F204" i="13"/>
  <c r="E208" i="13"/>
  <c r="E207" i="13"/>
  <c r="E206" i="13"/>
  <c r="E205" i="13"/>
  <c r="E204" i="13"/>
  <c r="AC202" i="13"/>
  <c r="X202" i="13"/>
  <c r="W202" i="13"/>
  <c r="AB202" i="13" s="1"/>
  <c r="V202" i="13"/>
  <c r="AA202" i="13" s="1"/>
  <c r="U202" i="13"/>
  <c r="Z202" i="13" s="1"/>
  <c r="T202" i="13"/>
  <c r="N202" i="13"/>
  <c r="L202" i="13"/>
  <c r="K202" i="13"/>
  <c r="J202" i="13"/>
  <c r="I202" i="13"/>
  <c r="H202" i="13"/>
  <c r="G202" i="13"/>
  <c r="F202" i="13"/>
  <c r="E202" i="13"/>
  <c r="AD108" i="13"/>
  <c r="AD97" i="13"/>
  <c r="AD85" i="13"/>
  <c r="AQ47" i="15"/>
  <c r="AQ8" i="15"/>
  <c r="AH47" i="15"/>
  <c r="AH8" i="15"/>
  <c r="Y45" i="15"/>
  <c r="Y27" i="15"/>
  <c r="Y8" i="15"/>
  <c r="N234" i="14"/>
  <c r="Y234" i="14" s="1"/>
  <c r="M234" i="14"/>
  <c r="L234" i="14"/>
  <c r="K234" i="14"/>
  <c r="P234" i="14" s="1"/>
  <c r="U234" i="14" s="1"/>
  <c r="J234" i="14"/>
  <c r="I234" i="14"/>
  <c r="R234" i="14" s="1"/>
  <c r="W234" i="14" s="1"/>
  <c r="H234" i="14"/>
  <c r="Q234" i="14" s="1"/>
  <c r="V234" i="14" s="1"/>
  <c r="G234" i="14"/>
  <c r="F234" i="14"/>
  <c r="E234" i="14"/>
  <c r="D234" i="14"/>
  <c r="C234" i="14"/>
  <c r="N230" i="14"/>
  <c r="Y230" i="14" s="1"/>
  <c r="N229" i="14"/>
  <c r="Y229" i="14" s="1"/>
  <c r="N228" i="14"/>
  <c r="Y228" i="14" s="1"/>
  <c r="N227" i="14"/>
  <c r="Y227" i="14" s="1"/>
  <c r="N226" i="14"/>
  <c r="Y226" i="14" s="1"/>
  <c r="N225" i="14"/>
  <c r="Y225" i="14" s="1"/>
  <c r="N224" i="14"/>
  <c r="Y224" i="14" s="1"/>
  <c r="N223" i="14"/>
  <c r="Y223" i="14" s="1"/>
  <c r="N222" i="14"/>
  <c r="Y222" i="14" s="1"/>
  <c r="N221" i="14"/>
  <c r="Y221" i="14" s="1"/>
  <c r="M230" i="14"/>
  <c r="L230" i="14"/>
  <c r="K230" i="14"/>
  <c r="P230" i="14" s="1"/>
  <c r="J230" i="14"/>
  <c r="I230" i="14"/>
  <c r="R230" i="14" s="1"/>
  <c r="H230" i="14"/>
  <c r="Q230" i="14" s="1"/>
  <c r="G230" i="14"/>
  <c r="F230" i="14"/>
  <c r="E230" i="14"/>
  <c r="M229" i="14"/>
  <c r="L229" i="14"/>
  <c r="K229" i="14"/>
  <c r="P229" i="14" s="1"/>
  <c r="J229" i="14"/>
  <c r="I229" i="14"/>
  <c r="R229" i="14" s="1"/>
  <c r="H229" i="14"/>
  <c r="Q229" i="14" s="1"/>
  <c r="G229" i="14"/>
  <c r="F229" i="14"/>
  <c r="E229" i="14"/>
  <c r="M228" i="14"/>
  <c r="L228" i="14"/>
  <c r="K228" i="14"/>
  <c r="P228" i="14" s="1"/>
  <c r="J228" i="14"/>
  <c r="I228" i="14"/>
  <c r="R228" i="14" s="1"/>
  <c r="H228" i="14"/>
  <c r="Q228" i="14" s="1"/>
  <c r="V228" i="14" s="1"/>
  <c r="G228" i="14"/>
  <c r="F228" i="14"/>
  <c r="E228" i="14"/>
  <c r="M227" i="14"/>
  <c r="L227" i="14"/>
  <c r="K227" i="14"/>
  <c r="P227" i="14" s="1"/>
  <c r="J227" i="14"/>
  <c r="I227" i="14"/>
  <c r="R227" i="14" s="1"/>
  <c r="H227" i="14"/>
  <c r="Q227" i="14" s="1"/>
  <c r="G227" i="14"/>
  <c r="F227" i="14"/>
  <c r="E227" i="14"/>
  <c r="M226" i="14"/>
  <c r="L226" i="14"/>
  <c r="K226" i="14"/>
  <c r="P226" i="14" s="1"/>
  <c r="J226" i="14"/>
  <c r="I226" i="14"/>
  <c r="R226" i="14" s="1"/>
  <c r="H226" i="14"/>
  <c r="Q226" i="14" s="1"/>
  <c r="G226" i="14"/>
  <c r="F226" i="14"/>
  <c r="E226" i="14"/>
  <c r="M225" i="14"/>
  <c r="L225" i="14"/>
  <c r="K225" i="14"/>
  <c r="P225" i="14" s="1"/>
  <c r="J225" i="14"/>
  <c r="I225" i="14"/>
  <c r="R225" i="14" s="1"/>
  <c r="H225" i="14"/>
  <c r="Q225" i="14" s="1"/>
  <c r="G225" i="14"/>
  <c r="F225" i="14"/>
  <c r="E225" i="14"/>
  <c r="M224" i="14"/>
  <c r="L224" i="14"/>
  <c r="K224" i="14"/>
  <c r="P224" i="14" s="1"/>
  <c r="J224" i="14"/>
  <c r="I224" i="14"/>
  <c r="R224" i="14" s="1"/>
  <c r="H224" i="14"/>
  <c r="Q224" i="14" s="1"/>
  <c r="V224" i="14" s="1"/>
  <c r="G224" i="14"/>
  <c r="F224" i="14"/>
  <c r="E224" i="14"/>
  <c r="M223" i="14"/>
  <c r="L223" i="14"/>
  <c r="K223" i="14"/>
  <c r="P223" i="14" s="1"/>
  <c r="U223" i="14" s="1"/>
  <c r="J223" i="14"/>
  <c r="I223" i="14"/>
  <c r="R223" i="14" s="1"/>
  <c r="W223" i="14" s="1"/>
  <c r="H223" i="14"/>
  <c r="Q223" i="14" s="1"/>
  <c r="V223" i="14" s="1"/>
  <c r="G223" i="14"/>
  <c r="F223" i="14"/>
  <c r="E223" i="14"/>
  <c r="M222" i="14"/>
  <c r="L222" i="14"/>
  <c r="K222" i="14"/>
  <c r="P222" i="14" s="1"/>
  <c r="J222" i="14"/>
  <c r="I222" i="14"/>
  <c r="R222" i="14" s="1"/>
  <c r="H222" i="14"/>
  <c r="Q222" i="14" s="1"/>
  <c r="G222" i="14"/>
  <c r="F222" i="14"/>
  <c r="E222" i="14"/>
  <c r="M221" i="14"/>
  <c r="L221" i="14"/>
  <c r="K221" i="14"/>
  <c r="P221" i="14" s="1"/>
  <c r="J221" i="14"/>
  <c r="I221" i="14"/>
  <c r="R221" i="14" s="1"/>
  <c r="H221" i="14"/>
  <c r="Q221" i="14" s="1"/>
  <c r="V221" i="14" s="1"/>
  <c r="G221" i="14"/>
  <c r="F221" i="14"/>
  <c r="E221" i="14"/>
  <c r="N200" i="14"/>
  <c r="Y200" i="14" s="1"/>
  <c r="M200" i="14"/>
  <c r="L200" i="14"/>
  <c r="K200" i="14"/>
  <c r="P200" i="14" s="1"/>
  <c r="J200" i="14"/>
  <c r="I200" i="14"/>
  <c r="R200" i="14" s="1"/>
  <c r="H200" i="14"/>
  <c r="Q200" i="14" s="1"/>
  <c r="G200" i="14"/>
  <c r="F200" i="14"/>
  <c r="E200" i="14"/>
  <c r="D200" i="14"/>
  <c r="C200" i="14"/>
  <c r="N196" i="14"/>
  <c r="Y196" i="14" s="1"/>
  <c r="M196" i="14"/>
  <c r="L196" i="14"/>
  <c r="K196" i="14"/>
  <c r="P196" i="14" s="1"/>
  <c r="J196" i="14"/>
  <c r="I196" i="14"/>
  <c r="R196" i="14" s="1"/>
  <c r="H196" i="14"/>
  <c r="Q196" i="14" s="1"/>
  <c r="V196" i="14" s="1"/>
  <c r="G196" i="14"/>
  <c r="F196" i="14"/>
  <c r="E196" i="14"/>
  <c r="D196" i="14"/>
  <c r="C196" i="14"/>
  <c r="N191" i="14"/>
  <c r="Y191" i="14" s="1"/>
  <c r="M191" i="14"/>
  <c r="L191" i="14"/>
  <c r="K191" i="14"/>
  <c r="P191" i="14" s="1"/>
  <c r="J191" i="14"/>
  <c r="I191" i="14"/>
  <c r="R191" i="14" s="1"/>
  <c r="H191" i="14"/>
  <c r="Q191" i="14" s="1"/>
  <c r="G191" i="14"/>
  <c r="F191" i="14"/>
  <c r="E191" i="14"/>
  <c r="Y178" i="14"/>
  <c r="R178" i="14"/>
  <c r="W178" i="14" s="1"/>
  <c r="Q178" i="14"/>
  <c r="V178" i="14" s="1"/>
  <c r="P178" i="14"/>
  <c r="U178" i="14" s="1"/>
  <c r="Y177" i="14"/>
  <c r="R177" i="14"/>
  <c r="W177" i="14" s="1"/>
  <c r="Q177" i="14"/>
  <c r="V177" i="14" s="1"/>
  <c r="P177" i="14"/>
  <c r="U177" i="14" s="1"/>
  <c r="Y176" i="14"/>
  <c r="R176" i="14"/>
  <c r="W176" i="14" s="1"/>
  <c r="Q176" i="14"/>
  <c r="V176" i="14" s="1"/>
  <c r="P176" i="14"/>
  <c r="U176" i="14" s="1"/>
  <c r="Y175" i="14"/>
  <c r="R175" i="14"/>
  <c r="W175" i="14" s="1"/>
  <c r="Q175" i="14"/>
  <c r="V175" i="14" s="1"/>
  <c r="P175" i="14"/>
  <c r="Y174" i="14"/>
  <c r="R174" i="14"/>
  <c r="W174" i="14" s="1"/>
  <c r="Q174" i="14"/>
  <c r="V174" i="14" s="1"/>
  <c r="P174" i="14"/>
  <c r="Y173" i="14"/>
  <c r="R173" i="14"/>
  <c r="W173" i="14" s="1"/>
  <c r="Q173" i="14"/>
  <c r="V173" i="14" s="1"/>
  <c r="P173" i="14"/>
  <c r="U173" i="14" s="1"/>
  <c r="Y172" i="14"/>
  <c r="R172" i="14"/>
  <c r="W172" i="14" s="1"/>
  <c r="Q172" i="14"/>
  <c r="V172" i="14" s="1"/>
  <c r="P172" i="14"/>
  <c r="U172" i="14" s="1"/>
  <c r="Y171" i="14"/>
  <c r="R171" i="14"/>
  <c r="W171" i="14" s="1"/>
  <c r="Q171" i="14"/>
  <c r="V171" i="14" s="1"/>
  <c r="P171" i="14"/>
  <c r="U171" i="14" s="1"/>
  <c r="Y170" i="14"/>
  <c r="R170" i="14"/>
  <c r="W170" i="14" s="1"/>
  <c r="Q170" i="14"/>
  <c r="V170" i="14" s="1"/>
  <c r="P170" i="14"/>
  <c r="U170" i="14" s="1"/>
  <c r="Y169" i="14"/>
  <c r="R169" i="14"/>
  <c r="W169" i="14" s="1"/>
  <c r="Q169" i="14"/>
  <c r="V169" i="14" s="1"/>
  <c r="P169" i="14"/>
  <c r="Y168" i="14"/>
  <c r="R168" i="14"/>
  <c r="W168" i="14" s="1"/>
  <c r="Q168" i="14"/>
  <c r="V168" i="14" s="1"/>
  <c r="P168" i="14"/>
  <c r="U168" i="14" s="1"/>
  <c r="Y190" i="14"/>
  <c r="R190" i="14"/>
  <c r="W190" i="14" s="1"/>
  <c r="Q190" i="14"/>
  <c r="V190" i="14" s="1"/>
  <c r="P190" i="14"/>
  <c r="U190" i="14" s="1"/>
  <c r="Y167" i="14"/>
  <c r="R167" i="14"/>
  <c r="W167" i="14" s="1"/>
  <c r="Q167" i="14"/>
  <c r="V167" i="14" s="1"/>
  <c r="P167" i="14"/>
  <c r="U167" i="14" s="1"/>
  <c r="Y166" i="14"/>
  <c r="R166" i="14"/>
  <c r="W166" i="14" s="1"/>
  <c r="Q166" i="14"/>
  <c r="V166" i="14" s="1"/>
  <c r="P166" i="14"/>
  <c r="U166" i="14" s="1"/>
  <c r="Y165" i="14"/>
  <c r="R165" i="14"/>
  <c r="W165" i="14" s="1"/>
  <c r="Q165" i="14"/>
  <c r="V165" i="14" s="1"/>
  <c r="P165" i="14"/>
  <c r="U165" i="14" s="1"/>
  <c r="Y164" i="14"/>
  <c r="R164" i="14"/>
  <c r="W164" i="14" s="1"/>
  <c r="Q164" i="14"/>
  <c r="V164" i="14" s="1"/>
  <c r="P164" i="14"/>
  <c r="U164" i="14" s="1"/>
  <c r="Y163" i="14"/>
  <c r="R163" i="14"/>
  <c r="Q163" i="14"/>
  <c r="V163" i="14" s="1"/>
  <c r="P163" i="14"/>
  <c r="U163" i="14" s="1"/>
  <c r="Y162" i="14"/>
  <c r="R162" i="14"/>
  <c r="W162" i="14" s="1"/>
  <c r="Q162" i="14"/>
  <c r="V162" i="14" s="1"/>
  <c r="P162" i="14"/>
  <c r="Y161" i="14"/>
  <c r="R161" i="14"/>
  <c r="W161" i="14" s="1"/>
  <c r="Q161" i="14"/>
  <c r="V161" i="14" s="1"/>
  <c r="P161" i="14"/>
  <c r="U161" i="14" s="1"/>
  <c r="Y240" i="14"/>
  <c r="R240" i="14"/>
  <c r="W240" i="14" s="1"/>
  <c r="Q240" i="14"/>
  <c r="V240" i="14" s="1"/>
  <c r="P240" i="14"/>
  <c r="U240" i="14" s="1"/>
  <c r="Y160" i="14"/>
  <c r="R160" i="14"/>
  <c r="W160" i="14" s="1"/>
  <c r="Q160" i="14"/>
  <c r="V160" i="14" s="1"/>
  <c r="P160" i="14"/>
  <c r="U160" i="14" s="1"/>
  <c r="Y159" i="14"/>
  <c r="R159" i="14"/>
  <c r="W159" i="14" s="1"/>
  <c r="Q159" i="14"/>
  <c r="V159" i="14" s="1"/>
  <c r="P159" i="14"/>
  <c r="Y158" i="14"/>
  <c r="R158" i="14"/>
  <c r="Q158" i="14"/>
  <c r="V158" i="14" s="1"/>
  <c r="P158" i="14"/>
  <c r="U158" i="14" s="1"/>
  <c r="Y157" i="14"/>
  <c r="R157" i="14"/>
  <c r="W157" i="14" s="1"/>
  <c r="Q157" i="14"/>
  <c r="V157" i="14" s="1"/>
  <c r="P157" i="14"/>
  <c r="Y156" i="14"/>
  <c r="R156" i="14"/>
  <c r="W156" i="14" s="1"/>
  <c r="Q156" i="14"/>
  <c r="V156" i="14" s="1"/>
  <c r="P156" i="14"/>
  <c r="U156" i="14" s="1"/>
  <c r="Y155" i="14"/>
  <c r="R155" i="14"/>
  <c r="W155" i="14" s="1"/>
  <c r="Q155" i="14"/>
  <c r="V155" i="14" s="1"/>
  <c r="P155" i="14"/>
  <c r="U155" i="14" s="1"/>
  <c r="Y154" i="14"/>
  <c r="R154" i="14"/>
  <c r="W154" i="14" s="1"/>
  <c r="Q154" i="14"/>
  <c r="V154" i="14" s="1"/>
  <c r="P154" i="14"/>
  <c r="U154" i="14" s="1"/>
  <c r="Y153" i="14"/>
  <c r="R153" i="14"/>
  <c r="W153" i="14" s="1"/>
  <c r="Q153" i="14"/>
  <c r="V153" i="14" s="1"/>
  <c r="P153" i="14"/>
  <c r="Y152" i="14"/>
  <c r="R152" i="14"/>
  <c r="Q152" i="14"/>
  <c r="V152" i="14" s="1"/>
  <c r="P152" i="14"/>
  <c r="U152" i="14" s="1"/>
  <c r="Y151" i="14"/>
  <c r="R151" i="14"/>
  <c r="W151" i="14" s="1"/>
  <c r="Q151" i="14"/>
  <c r="V151" i="14" s="1"/>
  <c r="P151" i="14"/>
  <c r="Y189" i="14"/>
  <c r="R189" i="14"/>
  <c r="W189" i="14" s="1"/>
  <c r="Q189" i="14"/>
  <c r="V189" i="14" s="1"/>
  <c r="P189" i="14"/>
  <c r="U189" i="14" s="1"/>
  <c r="Y150" i="14"/>
  <c r="R150" i="14"/>
  <c r="W150" i="14" s="1"/>
  <c r="Q150" i="14"/>
  <c r="V150" i="14" s="1"/>
  <c r="P150" i="14"/>
  <c r="U150" i="14" s="1"/>
  <c r="Y149" i="14"/>
  <c r="R149" i="14"/>
  <c r="W149" i="14" s="1"/>
  <c r="Q149" i="14"/>
  <c r="V149" i="14" s="1"/>
  <c r="P149" i="14"/>
  <c r="U149" i="14" s="1"/>
  <c r="Y148" i="14"/>
  <c r="R148" i="14"/>
  <c r="W148" i="14" s="1"/>
  <c r="Q148" i="14"/>
  <c r="V148" i="14" s="1"/>
  <c r="P148" i="14"/>
  <c r="Y147" i="14"/>
  <c r="R147" i="14"/>
  <c r="Q147" i="14"/>
  <c r="V147" i="14" s="1"/>
  <c r="P147" i="14"/>
  <c r="U147" i="14" s="1"/>
  <c r="Y146" i="14"/>
  <c r="R146" i="14"/>
  <c r="W146" i="14" s="1"/>
  <c r="Q146" i="14"/>
  <c r="V146" i="14" s="1"/>
  <c r="P146" i="14"/>
  <c r="Y145" i="14"/>
  <c r="R145" i="14"/>
  <c r="W145" i="14" s="1"/>
  <c r="Q145" i="14"/>
  <c r="V145" i="14" s="1"/>
  <c r="P145" i="14"/>
  <c r="U145" i="14" s="1"/>
  <c r="Y144" i="14"/>
  <c r="R144" i="14"/>
  <c r="W144" i="14" s="1"/>
  <c r="Q144" i="14"/>
  <c r="V144" i="14" s="1"/>
  <c r="P144" i="14"/>
  <c r="U144" i="14" s="1"/>
  <c r="Y143" i="14"/>
  <c r="R143" i="14"/>
  <c r="W143" i="14" s="1"/>
  <c r="Q143" i="14"/>
  <c r="V143" i="14" s="1"/>
  <c r="P143" i="14"/>
  <c r="U143" i="14" s="1"/>
  <c r="Y142" i="14"/>
  <c r="R142" i="14"/>
  <c r="W142" i="14" s="1"/>
  <c r="Q142" i="14"/>
  <c r="V142" i="14" s="1"/>
  <c r="P142" i="14"/>
  <c r="Y141" i="14"/>
  <c r="R141" i="14"/>
  <c r="Q141" i="14"/>
  <c r="V141" i="14" s="1"/>
  <c r="P141" i="14"/>
  <c r="U141" i="14" s="1"/>
  <c r="Y140" i="14"/>
  <c r="R140" i="14"/>
  <c r="W140" i="14" s="1"/>
  <c r="Q140" i="14"/>
  <c r="V140" i="14" s="1"/>
  <c r="P140" i="14"/>
  <c r="Y139" i="14"/>
  <c r="R139" i="14"/>
  <c r="W139" i="14" s="1"/>
  <c r="Q139" i="14"/>
  <c r="V139" i="14" s="1"/>
  <c r="P139" i="14"/>
  <c r="U139" i="14" s="1"/>
  <c r="Y138" i="14"/>
  <c r="R138" i="14"/>
  <c r="W138" i="14" s="1"/>
  <c r="Q138" i="14"/>
  <c r="V138" i="14" s="1"/>
  <c r="P138" i="14"/>
  <c r="U138" i="14" s="1"/>
  <c r="Y137" i="14"/>
  <c r="R137" i="14"/>
  <c r="W137" i="14" s="1"/>
  <c r="Q137" i="14"/>
  <c r="V137" i="14" s="1"/>
  <c r="P137" i="14"/>
  <c r="U137" i="14" s="1"/>
  <c r="Y136" i="14"/>
  <c r="R136" i="14"/>
  <c r="Q136" i="14"/>
  <c r="V136" i="14" s="1"/>
  <c r="P136" i="14"/>
  <c r="Y135" i="14"/>
  <c r="R135" i="14"/>
  <c r="Q135" i="14"/>
  <c r="V135" i="14" s="1"/>
  <c r="P135" i="14"/>
  <c r="U135" i="14" s="1"/>
  <c r="Y233" i="14"/>
  <c r="R233" i="14"/>
  <c r="W233" i="14" s="1"/>
  <c r="Q233" i="14"/>
  <c r="V233" i="14" s="1"/>
  <c r="P233" i="14"/>
  <c r="Y239" i="14"/>
  <c r="R239" i="14"/>
  <c r="W239" i="14" s="1"/>
  <c r="Q239" i="14"/>
  <c r="V239" i="14" s="1"/>
  <c r="P239" i="14"/>
  <c r="U239" i="14" s="1"/>
  <c r="Y238" i="14"/>
  <c r="R238" i="14"/>
  <c r="W238" i="14" s="1"/>
  <c r="Q238" i="14"/>
  <c r="V238" i="14" s="1"/>
  <c r="P238" i="14"/>
  <c r="U238" i="14" s="1"/>
  <c r="Y237" i="14"/>
  <c r="R237" i="14"/>
  <c r="Q237" i="14"/>
  <c r="V237" i="14" s="1"/>
  <c r="P237" i="14"/>
  <c r="U237" i="14" s="1"/>
  <c r="Y236" i="14"/>
  <c r="R236" i="14"/>
  <c r="W236" i="14" s="1"/>
  <c r="Q236" i="14"/>
  <c r="V236" i="14" s="1"/>
  <c r="P236" i="14"/>
  <c r="Y235" i="14"/>
  <c r="R235" i="14"/>
  <c r="Q235" i="14"/>
  <c r="V235" i="14" s="1"/>
  <c r="P235" i="14"/>
  <c r="U235" i="14" s="1"/>
  <c r="Y133" i="14"/>
  <c r="R133" i="14"/>
  <c r="W133" i="14" s="1"/>
  <c r="Q133" i="14"/>
  <c r="V133" i="14" s="1"/>
  <c r="P133" i="14"/>
  <c r="Y132" i="14"/>
  <c r="R132" i="14"/>
  <c r="W132" i="14" s="1"/>
  <c r="Q132" i="14"/>
  <c r="P132" i="14"/>
  <c r="U132" i="14" s="1"/>
  <c r="Y131" i="14"/>
  <c r="R131" i="14"/>
  <c r="W131" i="14" s="1"/>
  <c r="Q131" i="14"/>
  <c r="V131" i="14" s="1"/>
  <c r="P131" i="14"/>
  <c r="U131" i="14" s="1"/>
  <c r="Y130" i="14"/>
  <c r="R130" i="14"/>
  <c r="W130" i="14" s="1"/>
  <c r="Q130" i="14"/>
  <c r="V130" i="14" s="1"/>
  <c r="P130" i="14"/>
  <c r="U130" i="14" s="1"/>
  <c r="Y129" i="14"/>
  <c r="R129" i="14"/>
  <c r="W129" i="14" s="1"/>
  <c r="Q129" i="14"/>
  <c r="V129" i="14" s="1"/>
  <c r="P129" i="14"/>
  <c r="Y128" i="14"/>
  <c r="R128" i="14"/>
  <c r="W128" i="14" s="1"/>
  <c r="Q128" i="14"/>
  <c r="V128" i="14" s="1"/>
  <c r="P128" i="14"/>
  <c r="U128" i="14" s="1"/>
  <c r="Y188" i="14"/>
  <c r="R188" i="14"/>
  <c r="W188" i="14" s="1"/>
  <c r="Q188" i="14"/>
  <c r="V188" i="14" s="1"/>
  <c r="P188" i="14"/>
  <c r="Y232" i="14"/>
  <c r="R232" i="14"/>
  <c r="W232" i="14" s="1"/>
  <c r="Q232" i="14"/>
  <c r="P232" i="14"/>
  <c r="U232" i="14" s="1"/>
  <c r="Y134" i="14"/>
  <c r="R134" i="14"/>
  <c r="W134" i="14" s="1"/>
  <c r="Q134" i="14"/>
  <c r="V134" i="14" s="1"/>
  <c r="P134" i="14"/>
  <c r="U134" i="14" s="1"/>
  <c r="Y127" i="14"/>
  <c r="R127" i="14"/>
  <c r="Q127" i="14"/>
  <c r="V127" i="14" s="1"/>
  <c r="P127" i="14"/>
  <c r="Y126" i="14"/>
  <c r="R126" i="14"/>
  <c r="W126" i="14" s="1"/>
  <c r="Q126" i="14"/>
  <c r="V126" i="14" s="1"/>
  <c r="P126" i="14"/>
  <c r="Y125" i="14"/>
  <c r="R125" i="14"/>
  <c r="W125" i="14" s="1"/>
  <c r="Q125" i="14"/>
  <c r="V125" i="14" s="1"/>
  <c r="P125" i="14"/>
  <c r="U125" i="14" s="1"/>
  <c r="Y124" i="14"/>
  <c r="R124" i="14"/>
  <c r="W124" i="14" s="1"/>
  <c r="Q124" i="14"/>
  <c r="V124" i="14" s="1"/>
  <c r="P124" i="14"/>
  <c r="Y123" i="14"/>
  <c r="R123" i="14"/>
  <c r="W123" i="14" s="1"/>
  <c r="Q123" i="14"/>
  <c r="P123" i="14"/>
  <c r="U123" i="14" s="1"/>
  <c r="Y122" i="14"/>
  <c r="R122" i="14"/>
  <c r="W122" i="14" s="1"/>
  <c r="Q122" i="14"/>
  <c r="V122" i="14" s="1"/>
  <c r="P122" i="14"/>
  <c r="U122" i="14" s="1"/>
  <c r="Y121" i="14"/>
  <c r="R121" i="14"/>
  <c r="W121" i="14" s="1"/>
  <c r="Q121" i="14"/>
  <c r="V121" i="14" s="1"/>
  <c r="P121" i="14"/>
  <c r="U121" i="14" s="1"/>
  <c r="Y120" i="14"/>
  <c r="R120" i="14"/>
  <c r="W120" i="14" s="1"/>
  <c r="Q120" i="14"/>
  <c r="V120" i="14" s="1"/>
  <c r="P120" i="14"/>
  <c r="Y119" i="14"/>
  <c r="R119" i="14"/>
  <c r="W119" i="14" s="1"/>
  <c r="Q119" i="14"/>
  <c r="P119" i="14"/>
  <c r="U119" i="14" s="1"/>
  <c r="Y118" i="14"/>
  <c r="R118" i="14"/>
  <c r="W118" i="14" s="1"/>
  <c r="Q118" i="14"/>
  <c r="V118" i="14" s="1"/>
  <c r="P118" i="14"/>
  <c r="Y117" i="14"/>
  <c r="R117" i="14"/>
  <c r="W117" i="14" s="1"/>
  <c r="Q117" i="14"/>
  <c r="P117" i="14"/>
  <c r="U117" i="14" s="1"/>
  <c r="Y116" i="14"/>
  <c r="R116" i="14"/>
  <c r="W116" i="14" s="1"/>
  <c r="Q116" i="14"/>
  <c r="V116" i="14" s="1"/>
  <c r="P116" i="14"/>
  <c r="U116" i="14" s="1"/>
  <c r="Y187" i="14"/>
  <c r="R187" i="14"/>
  <c r="W187" i="14" s="1"/>
  <c r="Q187" i="14"/>
  <c r="V187" i="14" s="1"/>
  <c r="P187" i="14"/>
  <c r="U187" i="14" s="1"/>
  <c r="Y115" i="14"/>
  <c r="R115" i="14"/>
  <c r="W115" i="14" s="1"/>
  <c r="Q115" i="14"/>
  <c r="V115" i="14" s="1"/>
  <c r="P115" i="14"/>
  <c r="Y114" i="14"/>
  <c r="R114" i="14"/>
  <c r="W114" i="14" s="1"/>
  <c r="Q114" i="14"/>
  <c r="V114" i="14" s="1"/>
  <c r="P114" i="14"/>
  <c r="U114" i="14" s="1"/>
  <c r="Y113" i="14"/>
  <c r="R113" i="14"/>
  <c r="W113" i="14" s="1"/>
  <c r="Q113" i="14"/>
  <c r="V113" i="14" s="1"/>
  <c r="P113" i="14"/>
  <c r="Y112" i="14"/>
  <c r="R112" i="14"/>
  <c r="W112" i="14" s="1"/>
  <c r="Q112" i="14"/>
  <c r="P112" i="14"/>
  <c r="U112" i="14" s="1"/>
  <c r="Y231" i="14"/>
  <c r="R231" i="14"/>
  <c r="W231" i="14" s="1"/>
  <c r="Q231" i="14"/>
  <c r="V231" i="14" s="1"/>
  <c r="P231" i="14"/>
  <c r="U231" i="14" s="1"/>
  <c r="Y111" i="14"/>
  <c r="R111" i="14"/>
  <c r="W111" i="14" s="1"/>
  <c r="Q111" i="14"/>
  <c r="V111" i="14" s="1"/>
  <c r="P111" i="14"/>
  <c r="U111" i="14" s="1"/>
  <c r="Y110" i="14"/>
  <c r="R110" i="14"/>
  <c r="W110" i="14" s="1"/>
  <c r="Q110" i="14"/>
  <c r="V110" i="14" s="1"/>
  <c r="P110" i="14"/>
  <c r="Y109" i="14"/>
  <c r="R109" i="14"/>
  <c r="W109" i="14" s="1"/>
  <c r="Q109" i="14"/>
  <c r="V109" i="14" s="1"/>
  <c r="P109" i="14"/>
  <c r="U109" i="14" s="1"/>
  <c r="Y108" i="14"/>
  <c r="R108" i="14"/>
  <c r="W108" i="14" s="1"/>
  <c r="Q108" i="14"/>
  <c r="V108" i="14" s="1"/>
  <c r="P108" i="14"/>
  <c r="Y107" i="14"/>
  <c r="R107" i="14"/>
  <c r="W107" i="14" s="1"/>
  <c r="Q107" i="14"/>
  <c r="P107" i="14"/>
  <c r="U107" i="14" s="1"/>
  <c r="Y106" i="14"/>
  <c r="R106" i="14"/>
  <c r="W106" i="14" s="1"/>
  <c r="Q106" i="14"/>
  <c r="V106" i="14" s="1"/>
  <c r="P106" i="14"/>
  <c r="Y105" i="14"/>
  <c r="R105" i="14"/>
  <c r="Q105" i="14"/>
  <c r="V105" i="14" s="1"/>
  <c r="P105" i="14"/>
  <c r="U105" i="14" s="1"/>
  <c r="Y104" i="14"/>
  <c r="R104" i="14"/>
  <c r="Q104" i="14"/>
  <c r="V104" i="14" s="1"/>
  <c r="P104" i="14"/>
  <c r="U104" i="14" s="1"/>
  <c r="Y103" i="14"/>
  <c r="R103" i="14"/>
  <c r="W103" i="14" s="1"/>
  <c r="Q103" i="14"/>
  <c r="V103" i="14" s="1"/>
  <c r="P103" i="14"/>
  <c r="U103" i="14" s="1"/>
  <c r="Y102" i="14"/>
  <c r="R102" i="14"/>
  <c r="W102" i="14" s="1"/>
  <c r="Q102" i="14"/>
  <c r="V102" i="14" s="1"/>
  <c r="P102" i="14"/>
  <c r="U102" i="14" s="1"/>
  <c r="Y101" i="14"/>
  <c r="R101" i="14"/>
  <c r="W101" i="14" s="1"/>
  <c r="Q101" i="14"/>
  <c r="P101" i="14"/>
  <c r="U101" i="14" s="1"/>
  <c r="Y100" i="14"/>
  <c r="R100" i="14"/>
  <c r="W100" i="14" s="1"/>
  <c r="Q100" i="14"/>
  <c r="V100" i="14" s="1"/>
  <c r="P100" i="14"/>
  <c r="Y99" i="14"/>
  <c r="R99" i="14"/>
  <c r="Q99" i="14"/>
  <c r="V99" i="14" s="1"/>
  <c r="P99" i="14"/>
  <c r="U99" i="14" s="1"/>
  <c r="Y98" i="14"/>
  <c r="R98" i="14"/>
  <c r="W98" i="14" s="1"/>
  <c r="Q98" i="14"/>
  <c r="V98" i="14" s="1"/>
  <c r="P98" i="14"/>
  <c r="Y97" i="14"/>
  <c r="R97" i="14"/>
  <c r="W97" i="14" s="1"/>
  <c r="Q97" i="14"/>
  <c r="V97" i="14" s="1"/>
  <c r="P97" i="14"/>
  <c r="U97" i="14" s="1"/>
  <c r="Y186" i="14"/>
  <c r="R186" i="14"/>
  <c r="W186" i="14" s="1"/>
  <c r="Q186" i="14"/>
  <c r="V186" i="14" s="1"/>
  <c r="P186" i="14"/>
  <c r="U186" i="14" s="1"/>
  <c r="Y199" i="14"/>
  <c r="R199" i="14"/>
  <c r="W199" i="14" s="1"/>
  <c r="Q199" i="14"/>
  <c r="V199" i="14" s="1"/>
  <c r="P199" i="14"/>
  <c r="Y96" i="14"/>
  <c r="R96" i="14"/>
  <c r="W96" i="14" s="1"/>
  <c r="Q96" i="14"/>
  <c r="V96" i="14" s="1"/>
  <c r="P96" i="14"/>
  <c r="Y95" i="14"/>
  <c r="R95" i="14"/>
  <c r="Q95" i="14"/>
  <c r="V95" i="14" s="1"/>
  <c r="P95" i="14"/>
  <c r="U95" i="14" s="1"/>
  <c r="Y94" i="14"/>
  <c r="R94" i="14"/>
  <c r="W94" i="14" s="1"/>
  <c r="Q94" i="14"/>
  <c r="V94" i="14" s="1"/>
  <c r="P94" i="14"/>
  <c r="U94" i="14" s="1"/>
  <c r="Y93" i="14"/>
  <c r="R93" i="14"/>
  <c r="W93" i="14" s="1"/>
  <c r="Q93" i="14"/>
  <c r="V93" i="14" s="1"/>
  <c r="P93" i="14"/>
  <c r="Y92" i="14"/>
  <c r="R92" i="14"/>
  <c r="W92" i="14" s="1"/>
  <c r="Q92" i="14"/>
  <c r="V92" i="14" s="1"/>
  <c r="P92" i="14"/>
  <c r="U92" i="14" s="1"/>
  <c r="Y91" i="14"/>
  <c r="R91" i="14"/>
  <c r="W91" i="14" s="1"/>
  <c r="Q91" i="14"/>
  <c r="V91" i="14" s="1"/>
  <c r="P91" i="14"/>
  <c r="Y220" i="14"/>
  <c r="R220" i="14"/>
  <c r="W220" i="14" s="1"/>
  <c r="Q220" i="14"/>
  <c r="V220" i="14" s="1"/>
  <c r="P220" i="14"/>
  <c r="Y219" i="14"/>
  <c r="R219" i="14"/>
  <c r="Q219" i="14"/>
  <c r="V219" i="14" s="1"/>
  <c r="P219" i="14"/>
  <c r="U219" i="14" s="1"/>
  <c r="Y218" i="14"/>
  <c r="R218" i="14"/>
  <c r="W218" i="14" s="1"/>
  <c r="Q218" i="14"/>
  <c r="V218" i="14" s="1"/>
  <c r="P218" i="14"/>
  <c r="Y217" i="14"/>
  <c r="R217" i="14"/>
  <c r="W217" i="14" s="1"/>
  <c r="Q217" i="14"/>
  <c r="V217" i="14" s="1"/>
  <c r="P217" i="14"/>
  <c r="U217" i="14" s="1"/>
  <c r="Y216" i="14"/>
  <c r="R216" i="14"/>
  <c r="W216" i="14" s="1"/>
  <c r="Q216" i="14"/>
  <c r="V216" i="14" s="1"/>
  <c r="P216" i="14"/>
  <c r="U216" i="14" s="1"/>
  <c r="Y215" i="14"/>
  <c r="R215" i="14"/>
  <c r="W215" i="14" s="1"/>
  <c r="Q215" i="14"/>
  <c r="V215" i="14" s="1"/>
  <c r="P215" i="14"/>
  <c r="Y214" i="14"/>
  <c r="R214" i="14"/>
  <c r="W214" i="14" s="1"/>
  <c r="Q214" i="14"/>
  <c r="V214" i="14" s="1"/>
  <c r="P214" i="14"/>
  <c r="Y213" i="14"/>
  <c r="R213" i="14"/>
  <c r="W213" i="14" s="1"/>
  <c r="Q213" i="14"/>
  <c r="V213" i="14" s="1"/>
  <c r="P213" i="14"/>
  <c r="Y212" i="14"/>
  <c r="R212" i="14"/>
  <c r="W212" i="14" s="1"/>
  <c r="Q212" i="14"/>
  <c r="V212" i="14" s="1"/>
  <c r="P212" i="14"/>
  <c r="Y211" i="14"/>
  <c r="R211" i="14"/>
  <c r="W211" i="14" s="1"/>
  <c r="Q211" i="14"/>
  <c r="V211" i="14" s="1"/>
  <c r="P211" i="14"/>
  <c r="U211" i="14" s="1"/>
  <c r="Y198" i="14"/>
  <c r="R198" i="14"/>
  <c r="W198" i="14" s="1"/>
  <c r="Q198" i="14"/>
  <c r="V198" i="14" s="1"/>
  <c r="P198" i="14"/>
  <c r="U198" i="14" s="1"/>
  <c r="Y90" i="14"/>
  <c r="R90" i="14"/>
  <c r="W90" i="14" s="1"/>
  <c r="Q90" i="14"/>
  <c r="V90" i="14" s="1"/>
  <c r="P90" i="14"/>
  <c r="Y89" i="14"/>
  <c r="R89" i="14"/>
  <c r="W89" i="14" s="1"/>
  <c r="Q89" i="14"/>
  <c r="V89" i="14" s="1"/>
  <c r="P89" i="14"/>
  <c r="Y88" i="14"/>
  <c r="R88" i="14"/>
  <c r="W88" i="14" s="1"/>
  <c r="Q88" i="14"/>
  <c r="V88" i="14" s="1"/>
  <c r="P88" i="14"/>
  <c r="Y87" i="14"/>
  <c r="R87" i="14"/>
  <c r="W87" i="14" s="1"/>
  <c r="Q87" i="14"/>
  <c r="V87" i="14" s="1"/>
  <c r="P87" i="14"/>
  <c r="U87" i="14" s="1"/>
  <c r="Y86" i="14"/>
  <c r="R86" i="14"/>
  <c r="W86" i="14" s="1"/>
  <c r="Q86" i="14"/>
  <c r="V86" i="14" s="1"/>
  <c r="P86" i="14"/>
  <c r="U86" i="14" s="1"/>
  <c r="Y85" i="14"/>
  <c r="R85" i="14"/>
  <c r="W85" i="14" s="1"/>
  <c r="Q85" i="14"/>
  <c r="V85" i="14" s="1"/>
  <c r="P85" i="14"/>
  <c r="U85" i="14" s="1"/>
  <c r="Y84" i="14"/>
  <c r="R84" i="14"/>
  <c r="W84" i="14" s="1"/>
  <c r="Q84" i="14"/>
  <c r="V84" i="14" s="1"/>
  <c r="P84" i="14"/>
  <c r="Y83" i="14"/>
  <c r="R83" i="14"/>
  <c r="W83" i="14" s="1"/>
  <c r="Q83" i="14"/>
  <c r="V83" i="14" s="1"/>
  <c r="P83" i="14"/>
  <c r="Y82" i="14"/>
  <c r="R82" i="14"/>
  <c r="W82" i="14" s="1"/>
  <c r="Q82" i="14"/>
  <c r="V82" i="14" s="1"/>
  <c r="P82" i="14"/>
  <c r="Y210" i="14"/>
  <c r="R210" i="14"/>
  <c r="W210" i="14" s="1"/>
  <c r="Q210" i="14"/>
  <c r="V210" i="14" s="1"/>
  <c r="P210" i="14"/>
  <c r="Y209" i="14"/>
  <c r="R209" i="14"/>
  <c r="W209" i="14" s="1"/>
  <c r="Q209" i="14"/>
  <c r="V209" i="14" s="1"/>
  <c r="P209" i="14"/>
  <c r="Y208" i="14"/>
  <c r="R208" i="14"/>
  <c r="W208" i="14" s="1"/>
  <c r="Q208" i="14"/>
  <c r="V208" i="14" s="1"/>
  <c r="P208" i="14"/>
  <c r="U208" i="14" s="1"/>
  <c r="Y207" i="14"/>
  <c r="R207" i="14"/>
  <c r="W207" i="14" s="1"/>
  <c r="Q207" i="14"/>
  <c r="V207" i="14" s="1"/>
  <c r="P207" i="14"/>
  <c r="Y206" i="14"/>
  <c r="R206" i="14"/>
  <c r="W206" i="14" s="1"/>
  <c r="Q206" i="14"/>
  <c r="V206" i="14" s="1"/>
  <c r="P206" i="14"/>
  <c r="Y205" i="14"/>
  <c r="R205" i="14"/>
  <c r="W205" i="14" s="1"/>
  <c r="Q205" i="14"/>
  <c r="V205" i="14" s="1"/>
  <c r="P205" i="14"/>
  <c r="Y204" i="14"/>
  <c r="R204" i="14"/>
  <c r="W204" i="14" s="1"/>
  <c r="Q204" i="14"/>
  <c r="V204" i="14" s="1"/>
  <c r="P204" i="14"/>
  <c r="Y203" i="14"/>
  <c r="R203" i="14"/>
  <c r="W203" i="14" s="1"/>
  <c r="Q203" i="14"/>
  <c r="V203" i="14" s="1"/>
  <c r="P203" i="14"/>
  <c r="U203" i="14" s="1"/>
  <c r="Y202" i="14"/>
  <c r="R202" i="14"/>
  <c r="W202" i="14" s="1"/>
  <c r="Q202" i="14"/>
  <c r="V202" i="14" s="1"/>
  <c r="P202" i="14"/>
  <c r="U202" i="14" s="1"/>
  <c r="Y201" i="14"/>
  <c r="R201" i="14"/>
  <c r="W201" i="14" s="1"/>
  <c r="Q201" i="14"/>
  <c r="V201" i="14" s="1"/>
  <c r="P201" i="14"/>
  <c r="Y81" i="14"/>
  <c r="R81" i="14"/>
  <c r="W81" i="14" s="1"/>
  <c r="Q81" i="14"/>
  <c r="V81" i="14" s="1"/>
  <c r="P81" i="14"/>
  <c r="U81" i="14" s="1"/>
  <c r="Y80" i="14"/>
  <c r="R80" i="14"/>
  <c r="W80" i="14" s="1"/>
  <c r="Q80" i="14"/>
  <c r="V80" i="14" s="1"/>
  <c r="P80" i="14"/>
  <c r="Y79" i="14"/>
  <c r="R79" i="14"/>
  <c r="W79" i="14" s="1"/>
  <c r="Q79" i="14"/>
  <c r="V79" i="14" s="1"/>
  <c r="P79" i="14"/>
  <c r="Y78" i="14"/>
  <c r="R78" i="14"/>
  <c r="W78" i="14" s="1"/>
  <c r="Q78" i="14"/>
  <c r="V78" i="14" s="1"/>
  <c r="P78" i="14"/>
  <c r="Y77" i="14"/>
  <c r="R77" i="14"/>
  <c r="W77" i="14" s="1"/>
  <c r="Q77" i="14"/>
  <c r="V77" i="14" s="1"/>
  <c r="P77" i="14"/>
  <c r="U77" i="14" s="1"/>
  <c r="Y76" i="14"/>
  <c r="R76" i="14"/>
  <c r="W76" i="14" s="1"/>
  <c r="Q76" i="14"/>
  <c r="V76" i="14" s="1"/>
  <c r="P76" i="14"/>
  <c r="Y75" i="14"/>
  <c r="R75" i="14"/>
  <c r="W75" i="14" s="1"/>
  <c r="Q75" i="14"/>
  <c r="V75" i="14" s="1"/>
  <c r="P75" i="14"/>
  <c r="U75" i="14" s="1"/>
  <c r="Y74" i="14"/>
  <c r="R74" i="14"/>
  <c r="W74" i="14" s="1"/>
  <c r="Q74" i="14"/>
  <c r="V74" i="14" s="1"/>
  <c r="P74" i="14"/>
  <c r="Y73" i="14"/>
  <c r="R73" i="14"/>
  <c r="W73" i="14" s="1"/>
  <c r="Q73" i="14"/>
  <c r="V73" i="14" s="1"/>
  <c r="P73" i="14"/>
  <c r="Y72" i="14"/>
  <c r="R72" i="14"/>
  <c r="W72" i="14" s="1"/>
  <c r="Q72" i="14"/>
  <c r="V72" i="14" s="1"/>
  <c r="P72" i="14"/>
  <c r="U72" i="14" s="1"/>
  <c r="Y71" i="14"/>
  <c r="R71" i="14"/>
  <c r="W71" i="14" s="1"/>
  <c r="Q71" i="14"/>
  <c r="V71" i="14" s="1"/>
  <c r="P71" i="14"/>
  <c r="U71" i="14" s="1"/>
  <c r="Y70" i="14"/>
  <c r="R70" i="14"/>
  <c r="W70" i="14" s="1"/>
  <c r="Q70" i="14"/>
  <c r="V70" i="14" s="1"/>
  <c r="P70" i="14"/>
  <c r="Y69" i="14"/>
  <c r="R69" i="14"/>
  <c r="W69" i="14" s="1"/>
  <c r="Q69" i="14"/>
  <c r="V69" i="14" s="1"/>
  <c r="P69" i="14"/>
  <c r="Y68" i="14"/>
  <c r="R68" i="14"/>
  <c r="W68" i="14" s="1"/>
  <c r="Q68" i="14"/>
  <c r="V68" i="14" s="1"/>
  <c r="P68" i="14"/>
  <c r="U68" i="14" s="1"/>
  <c r="Y67" i="14"/>
  <c r="R67" i="14"/>
  <c r="W67" i="14" s="1"/>
  <c r="Q67" i="14"/>
  <c r="V67" i="14" s="1"/>
  <c r="P67" i="14"/>
  <c r="Y66" i="14"/>
  <c r="R66" i="14"/>
  <c r="W66" i="14" s="1"/>
  <c r="Q66" i="14"/>
  <c r="V66" i="14" s="1"/>
  <c r="P66" i="14"/>
  <c r="U66" i="14" s="1"/>
  <c r="Y65" i="14"/>
  <c r="R65" i="14"/>
  <c r="W65" i="14" s="1"/>
  <c r="Q65" i="14"/>
  <c r="V65" i="14" s="1"/>
  <c r="P65" i="14"/>
  <c r="U65" i="14" s="1"/>
  <c r="Y64" i="14"/>
  <c r="R64" i="14"/>
  <c r="W64" i="14" s="1"/>
  <c r="Q64" i="14"/>
  <c r="V64" i="14" s="1"/>
  <c r="P64" i="14"/>
  <c r="U64" i="14" s="1"/>
  <c r="Y63" i="14"/>
  <c r="R63" i="14"/>
  <c r="W63" i="14" s="1"/>
  <c r="Q63" i="14"/>
  <c r="V63" i="14" s="1"/>
  <c r="P63" i="14"/>
  <c r="U63" i="14" s="1"/>
  <c r="Y62" i="14"/>
  <c r="R62" i="14"/>
  <c r="W62" i="14" s="1"/>
  <c r="Q62" i="14"/>
  <c r="V62" i="14" s="1"/>
  <c r="P62" i="14"/>
  <c r="U62" i="14" s="1"/>
  <c r="Y61" i="14"/>
  <c r="R61" i="14"/>
  <c r="W61" i="14" s="1"/>
  <c r="Q61" i="14"/>
  <c r="V61" i="14" s="1"/>
  <c r="P61" i="14"/>
  <c r="U61" i="14" s="1"/>
  <c r="Y60" i="14"/>
  <c r="R60" i="14"/>
  <c r="W60" i="14" s="1"/>
  <c r="Q60" i="14"/>
  <c r="V60" i="14" s="1"/>
  <c r="P60" i="14"/>
  <c r="Y59" i="14"/>
  <c r="R59" i="14"/>
  <c r="W59" i="14" s="1"/>
  <c r="Q59" i="14"/>
  <c r="V59" i="14" s="1"/>
  <c r="P59" i="14"/>
  <c r="U59" i="14" s="1"/>
  <c r="Y58" i="14"/>
  <c r="R58" i="14"/>
  <c r="W58" i="14" s="1"/>
  <c r="Q58" i="14"/>
  <c r="V58" i="14" s="1"/>
  <c r="P58" i="14"/>
  <c r="U58" i="14" s="1"/>
  <c r="Y57" i="14"/>
  <c r="R57" i="14"/>
  <c r="W57" i="14" s="1"/>
  <c r="Q57" i="14"/>
  <c r="V57" i="14" s="1"/>
  <c r="P57" i="14"/>
  <c r="U57" i="14" s="1"/>
  <c r="Y56" i="14"/>
  <c r="R56" i="14"/>
  <c r="W56" i="14" s="1"/>
  <c r="Q56" i="14"/>
  <c r="V56" i="14" s="1"/>
  <c r="P56" i="14"/>
  <c r="Y55" i="14"/>
  <c r="R55" i="14"/>
  <c r="W55" i="14" s="1"/>
  <c r="Q55" i="14"/>
  <c r="V55" i="14" s="1"/>
  <c r="P55" i="14"/>
  <c r="U55" i="14" s="1"/>
  <c r="Y54" i="14"/>
  <c r="R54" i="14"/>
  <c r="W54" i="14" s="1"/>
  <c r="Q54" i="14"/>
  <c r="V54" i="14" s="1"/>
  <c r="P54" i="14"/>
  <c r="U54" i="14" s="1"/>
  <c r="Y185" i="14"/>
  <c r="R185" i="14"/>
  <c r="W185" i="14" s="1"/>
  <c r="Q185" i="14"/>
  <c r="V185" i="14" s="1"/>
  <c r="P185" i="14"/>
  <c r="Y197" i="14"/>
  <c r="R197" i="14"/>
  <c r="W197" i="14" s="1"/>
  <c r="Q197" i="14"/>
  <c r="V197" i="14" s="1"/>
  <c r="P197" i="14"/>
  <c r="U197" i="14" s="1"/>
  <c r="Y53" i="14"/>
  <c r="R53" i="14"/>
  <c r="W53" i="14" s="1"/>
  <c r="Q53" i="14"/>
  <c r="V53" i="14" s="1"/>
  <c r="P53" i="14"/>
  <c r="U53" i="14" s="1"/>
  <c r="Y52" i="14"/>
  <c r="R52" i="14"/>
  <c r="W52" i="14" s="1"/>
  <c r="Q52" i="14"/>
  <c r="V52" i="14" s="1"/>
  <c r="P52" i="14"/>
  <c r="U52" i="14" s="1"/>
  <c r="Y51" i="14"/>
  <c r="R51" i="14"/>
  <c r="W51" i="14" s="1"/>
  <c r="Q51" i="14"/>
  <c r="V51" i="14" s="1"/>
  <c r="P51" i="14"/>
  <c r="U51" i="14" s="1"/>
  <c r="Y50" i="14"/>
  <c r="R50" i="14"/>
  <c r="W50" i="14" s="1"/>
  <c r="Q50" i="14"/>
  <c r="V50" i="14" s="1"/>
  <c r="P50" i="14"/>
  <c r="Y49" i="14"/>
  <c r="R49" i="14"/>
  <c r="W49" i="14" s="1"/>
  <c r="Q49" i="14"/>
  <c r="V49" i="14" s="1"/>
  <c r="P49" i="14"/>
  <c r="U49" i="14" s="1"/>
  <c r="Y48" i="14"/>
  <c r="R48" i="14"/>
  <c r="W48" i="14" s="1"/>
  <c r="Q48" i="14"/>
  <c r="V48" i="14" s="1"/>
  <c r="P48" i="14"/>
  <c r="U48" i="14" s="1"/>
  <c r="Y47" i="14"/>
  <c r="R47" i="14"/>
  <c r="W47" i="14" s="1"/>
  <c r="Q47" i="14"/>
  <c r="V47" i="14" s="1"/>
  <c r="P47" i="14"/>
  <c r="U47" i="14" s="1"/>
  <c r="Y46" i="14"/>
  <c r="R46" i="14"/>
  <c r="W46" i="14" s="1"/>
  <c r="Q46" i="14"/>
  <c r="V46" i="14" s="1"/>
  <c r="P46" i="14"/>
  <c r="U46" i="14" s="1"/>
  <c r="Y45" i="14"/>
  <c r="R45" i="14"/>
  <c r="W45" i="14" s="1"/>
  <c r="Q45" i="14"/>
  <c r="V45" i="14" s="1"/>
  <c r="P45" i="14"/>
  <c r="U45" i="14" s="1"/>
  <c r="Y44" i="14"/>
  <c r="R44" i="14"/>
  <c r="W44" i="14" s="1"/>
  <c r="Q44" i="14"/>
  <c r="V44" i="14" s="1"/>
  <c r="P44" i="14"/>
  <c r="U44" i="14" s="1"/>
  <c r="Y43" i="14"/>
  <c r="R43" i="14"/>
  <c r="W43" i="14" s="1"/>
  <c r="Q43" i="14"/>
  <c r="V43" i="14" s="1"/>
  <c r="P43" i="14"/>
  <c r="U43" i="14" s="1"/>
  <c r="Y42" i="14"/>
  <c r="R42" i="14"/>
  <c r="W42" i="14" s="1"/>
  <c r="Q42" i="14"/>
  <c r="V42" i="14" s="1"/>
  <c r="P42" i="14"/>
  <c r="Y41" i="14"/>
  <c r="R41" i="14"/>
  <c r="W41" i="14" s="1"/>
  <c r="Q41" i="14"/>
  <c r="V41" i="14" s="1"/>
  <c r="P41" i="14"/>
  <c r="U41" i="14" s="1"/>
  <c r="Y40" i="14"/>
  <c r="R40" i="14"/>
  <c r="W40" i="14" s="1"/>
  <c r="Q40" i="14"/>
  <c r="V40" i="14" s="1"/>
  <c r="P40" i="14"/>
  <c r="U40" i="14" s="1"/>
  <c r="Y184" i="14"/>
  <c r="R184" i="14"/>
  <c r="W184" i="14" s="1"/>
  <c r="Q184" i="14"/>
  <c r="V184" i="14" s="1"/>
  <c r="P184" i="14"/>
  <c r="Y39" i="14"/>
  <c r="R39" i="14"/>
  <c r="W39" i="14" s="1"/>
  <c r="Q39" i="14"/>
  <c r="V39" i="14" s="1"/>
  <c r="P39" i="14"/>
  <c r="U39" i="14" s="1"/>
  <c r="Y38" i="14"/>
  <c r="R38" i="14"/>
  <c r="W38" i="14" s="1"/>
  <c r="Q38" i="14"/>
  <c r="V38" i="14" s="1"/>
  <c r="P38" i="14"/>
  <c r="U38" i="14" s="1"/>
  <c r="Y37" i="14"/>
  <c r="R37" i="14"/>
  <c r="W37" i="14" s="1"/>
  <c r="Q37" i="14"/>
  <c r="V37" i="14" s="1"/>
  <c r="P37" i="14"/>
  <c r="Y36" i="14"/>
  <c r="R36" i="14"/>
  <c r="W36" i="14" s="1"/>
  <c r="Q36" i="14"/>
  <c r="V36" i="14" s="1"/>
  <c r="P36" i="14"/>
  <c r="U36" i="14" s="1"/>
  <c r="Y35" i="14"/>
  <c r="R35" i="14"/>
  <c r="W35" i="14" s="1"/>
  <c r="Q35" i="14"/>
  <c r="V35" i="14" s="1"/>
  <c r="P35" i="14"/>
  <c r="U35" i="14" s="1"/>
  <c r="Y34" i="14"/>
  <c r="R34" i="14"/>
  <c r="W34" i="14" s="1"/>
  <c r="Q34" i="14"/>
  <c r="V34" i="14" s="1"/>
  <c r="P34" i="14"/>
  <c r="Y33" i="14"/>
  <c r="R33" i="14"/>
  <c r="W33" i="14" s="1"/>
  <c r="Q33" i="14"/>
  <c r="V33" i="14" s="1"/>
  <c r="P33" i="14"/>
  <c r="U33" i="14" s="1"/>
  <c r="Y32" i="14"/>
  <c r="R32" i="14"/>
  <c r="W32" i="14" s="1"/>
  <c r="Q32" i="14"/>
  <c r="V32" i="14" s="1"/>
  <c r="P32" i="14"/>
  <c r="U32" i="14" s="1"/>
  <c r="Y31" i="14"/>
  <c r="R31" i="14"/>
  <c r="W31" i="14" s="1"/>
  <c r="Q31" i="14"/>
  <c r="V31" i="14" s="1"/>
  <c r="P31" i="14"/>
  <c r="U31" i="14" s="1"/>
  <c r="Y30" i="14"/>
  <c r="R30" i="14"/>
  <c r="W30" i="14" s="1"/>
  <c r="Q30" i="14"/>
  <c r="V30" i="14" s="1"/>
  <c r="P30" i="14"/>
  <c r="U30" i="14" s="1"/>
  <c r="Y29" i="14"/>
  <c r="R29" i="14"/>
  <c r="W29" i="14" s="1"/>
  <c r="Q29" i="14"/>
  <c r="V29" i="14" s="1"/>
  <c r="P29" i="14"/>
  <c r="U29" i="14" s="1"/>
  <c r="Y28" i="14"/>
  <c r="R28" i="14"/>
  <c r="W28" i="14" s="1"/>
  <c r="Q28" i="14"/>
  <c r="V28" i="14" s="1"/>
  <c r="P28" i="14"/>
  <c r="Y27" i="14"/>
  <c r="R27" i="14"/>
  <c r="W27" i="14" s="1"/>
  <c r="Q27" i="14"/>
  <c r="V27" i="14" s="1"/>
  <c r="P27" i="14"/>
  <c r="U27" i="14" s="1"/>
  <c r="Y26" i="14"/>
  <c r="R26" i="14"/>
  <c r="W26" i="14" s="1"/>
  <c r="Q26" i="14"/>
  <c r="V26" i="14" s="1"/>
  <c r="P26" i="14"/>
  <c r="U26" i="14" s="1"/>
  <c r="Y25" i="14"/>
  <c r="R25" i="14"/>
  <c r="W25" i="14" s="1"/>
  <c r="Q25" i="14"/>
  <c r="V25" i="14" s="1"/>
  <c r="P25" i="14"/>
  <c r="Y24" i="14"/>
  <c r="R24" i="14"/>
  <c r="W24" i="14" s="1"/>
  <c r="Q24" i="14"/>
  <c r="V24" i="14" s="1"/>
  <c r="P24" i="14"/>
  <c r="U24" i="14" s="1"/>
  <c r="Y183" i="14"/>
  <c r="R183" i="14"/>
  <c r="W183" i="14" s="1"/>
  <c r="Q183" i="14"/>
  <c r="V183" i="14" s="1"/>
  <c r="P183" i="14"/>
  <c r="U183" i="14" s="1"/>
  <c r="Y195" i="14"/>
  <c r="R195" i="14"/>
  <c r="W195" i="14" s="1"/>
  <c r="Q195" i="14"/>
  <c r="V195" i="14" s="1"/>
  <c r="P195" i="14"/>
  <c r="Y23" i="14"/>
  <c r="R23" i="14"/>
  <c r="W23" i="14" s="1"/>
  <c r="Q23" i="14"/>
  <c r="V23" i="14" s="1"/>
  <c r="P23" i="14"/>
  <c r="U23" i="14" s="1"/>
  <c r="Y22" i="14"/>
  <c r="R22" i="14"/>
  <c r="W22" i="14" s="1"/>
  <c r="Q22" i="14"/>
  <c r="V22" i="14" s="1"/>
  <c r="P22" i="14"/>
  <c r="U22" i="14" s="1"/>
  <c r="Y21" i="14"/>
  <c r="R21" i="14"/>
  <c r="W21" i="14" s="1"/>
  <c r="Q21" i="14"/>
  <c r="V21" i="14" s="1"/>
  <c r="P21" i="14"/>
  <c r="Y20" i="14"/>
  <c r="R20" i="14"/>
  <c r="W20" i="14" s="1"/>
  <c r="Q20" i="14"/>
  <c r="V20" i="14" s="1"/>
  <c r="P20" i="14"/>
  <c r="U20" i="14" s="1"/>
  <c r="Y19" i="14"/>
  <c r="R19" i="14"/>
  <c r="W19" i="14" s="1"/>
  <c r="Q19" i="14"/>
  <c r="V19" i="14" s="1"/>
  <c r="P19" i="14"/>
  <c r="U19" i="14" s="1"/>
  <c r="Y18" i="14"/>
  <c r="R18" i="14"/>
  <c r="W18" i="14" s="1"/>
  <c r="Q18" i="14"/>
  <c r="V18" i="14" s="1"/>
  <c r="P18" i="14"/>
  <c r="U18" i="14" s="1"/>
  <c r="Y17" i="14"/>
  <c r="R17" i="14"/>
  <c r="W17" i="14" s="1"/>
  <c r="Q17" i="14"/>
  <c r="V17" i="14" s="1"/>
  <c r="P17" i="14"/>
  <c r="U17" i="14" s="1"/>
  <c r="Y16" i="14"/>
  <c r="R16" i="14"/>
  <c r="W16" i="14" s="1"/>
  <c r="Q16" i="14"/>
  <c r="V16" i="14" s="1"/>
  <c r="P16" i="14"/>
  <c r="U16" i="14" s="1"/>
  <c r="Y194" i="14"/>
  <c r="R194" i="14"/>
  <c r="W194" i="14" s="1"/>
  <c r="Q194" i="14"/>
  <c r="V194" i="14" s="1"/>
  <c r="P194" i="14"/>
  <c r="Y15" i="14"/>
  <c r="R15" i="14"/>
  <c r="W15" i="14" s="1"/>
  <c r="Q15" i="14"/>
  <c r="V15" i="14" s="1"/>
  <c r="P15" i="14"/>
  <c r="U15" i="14" s="1"/>
  <c r="Y14" i="14"/>
  <c r="R14" i="14"/>
  <c r="W14" i="14" s="1"/>
  <c r="Q14" i="14"/>
  <c r="V14" i="14" s="1"/>
  <c r="P14" i="14"/>
  <c r="U14" i="14" s="1"/>
  <c r="Y13" i="14"/>
  <c r="R13" i="14"/>
  <c r="W13" i="14" s="1"/>
  <c r="Q13" i="14"/>
  <c r="V13" i="14" s="1"/>
  <c r="P13" i="14"/>
  <c r="U13" i="14" s="1"/>
  <c r="Y12" i="14"/>
  <c r="R12" i="14"/>
  <c r="W12" i="14" s="1"/>
  <c r="Q12" i="14"/>
  <c r="V12" i="14" s="1"/>
  <c r="P12" i="14"/>
  <c r="U12" i="14" s="1"/>
  <c r="Y11" i="14"/>
  <c r="R11" i="14"/>
  <c r="W11" i="14" s="1"/>
  <c r="Q11" i="14"/>
  <c r="V11" i="14" s="1"/>
  <c r="P11" i="14"/>
  <c r="U11" i="14" s="1"/>
  <c r="Y182" i="14"/>
  <c r="R182" i="14"/>
  <c r="W182" i="14" s="1"/>
  <c r="Q182" i="14"/>
  <c r="V182" i="14" s="1"/>
  <c r="P182" i="14"/>
  <c r="U182" i="14" s="1"/>
  <c r="Y7" i="14"/>
  <c r="R7" i="14"/>
  <c r="W7" i="14" s="1"/>
  <c r="Q7" i="14"/>
  <c r="V7" i="14" s="1"/>
  <c r="P7" i="14"/>
  <c r="U7" i="14" s="1"/>
  <c r="Y10" i="14"/>
  <c r="R10" i="14"/>
  <c r="W10" i="14" s="1"/>
  <c r="Q10" i="14"/>
  <c r="V10" i="14" s="1"/>
  <c r="P10" i="14"/>
  <c r="U10" i="14" s="1"/>
  <c r="Y9" i="14"/>
  <c r="R9" i="14"/>
  <c r="W9" i="14" s="1"/>
  <c r="Q9" i="14"/>
  <c r="V9" i="14" s="1"/>
  <c r="P9" i="14"/>
  <c r="Y8" i="14"/>
  <c r="R8" i="14"/>
  <c r="W8" i="14" s="1"/>
  <c r="Q8" i="14"/>
  <c r="V8" i="14" s="1"/>
  <c r="P8" i="14"/>
  <c r="U8" i="14" s="1"/>
  <c r="Y6" i="14"/>
  <c r="R6" i="14"/>
  <c r="W6" i="14" s="1"/>
  <c r="Q6" i="14"/>
  <c r="V6" i="14" s="1"/>
  <c r="P6" i="14"/>
  <c r="U6" i="14" s="1"/>
  <c r="Y5" i="14"/>
  <c r="R5" i="14"/>
  <c r="W5" i="14" s="1"/>
  <c r="Q5" i="14"/>
  <c r="V5" i="14" s="1"/>
  <c r="P5" i="14"/>
  <c r="U5" i="14" s="1"/>
  <c r="Y4" i="14"/>
  <c r="R4" i="14"/>
  <c r="W4" i="14" s="1"/>
  <c r="Q4" i="14"/>
  <c r="V4" i="14" s="1"/>
  <c r="P4" i="14"/>
  <c r="U4" i="14" s="1"/>
  <c r="Y3" i="14"/>
  <c r="R3" i="14"/>
  <c r="W3" i="14" s="1"/>
  <c r="Q3" i="14"/>
  <c r="V3" i="14" s="1"/>
  <c r="P3" i="14"/>
  <c r="U3" i="14" s="1"/>
  <c r="Y2" i="14"/>
  <c r="R2" i="14"/>
  <c r="W2" i="14" s="1"/>
  <c r="Q2" i="14"/>
  <c r="V2" i="14" s="1"/>
  <c r="P2" i="14"/>
  <c r="Y181" i="14"/>
  <c r="R181" i="14"/>
  <c r="W181" i="14" s="1"/>
  <c r="Q181" i="14"/>
  <c r="V181" i="14" s="1"/>
  <c r="P181" i="14"/>
  <c r="U181" i="14" s="1"/>
  <c r="Y193" i="14"/>
  <c r="R193" i="14"/>
  <c r="W193" i="14" s="1"/>
  <c r="Q193" i="14"/>
  <c r="V193" i="14" s="1"/>
  <c r="P193" i="14"/>
  <c r="U193" i="14" s="1"/>
  <c r="O157" i="13"/>
  <c r="O145" i="13"/>
  <c r="O116" i="13"/>
  <c r="P104" i="13"/>
  <c r="S84" i="13"/>
  <c r="Q84" i="13"/>
  <c r="O73" i="13"/>
  <c r="Q46" i="13"/>
  <c r="O46" i="13"/>
  <c r="P34" i="13"/>
  <c r="Q32" i="13"/>
  <c r="O32" i="13"/>
  <c r="S24" i="13"/>
  <c r="R24" i="13"/>
  <c r="R22" i="13"/>
  <c r="Q13" i="13"/>
  <c r="P10" i="13"/>
  <c r="Q8" i="13"/>
  <c r="O8" i="13"/>
  <c r="M200" i="13"/>
  <c r="P200" i="13" s="1"/>
  <c r="M199" i="13"/>
  <c r="M198" i="13"/>
  <c r="M197" i="13"/>
  <c r="M196" i="13"/>
  <c r="M195" i="13"/>
  <c r="Q195" i="13" s="1"/>
  <c r="M194" i="13"/>
  <c r="M193" i="13"/>
  <c r="O193" i="13" s="1"/>
  <c r="M192" i="13"/>
  <c r="S192" i="13" s="1"/>
  <c r="M191" i="13"/>
  <c r="M190" i="13"/>
  <c r="R190" i="13" s="1"/>
  <c r="M189" i="13"/>
  <c r="M188" i="13"/>
  <c r="P188" i="13" s="1"/>
  <c r="M187" i="13"/>
  <c r="M186" i="13"/>
  <c r="M185" i="13"/>
  <c r="S185" i="13" s="1"/>
  <c r="M184" i="13"/>
  <c r="M183" i="13"/>
  <c r="P183" i="13" s="1"/>
  <c r="M182" i="13"/>
  <c r="M181" i="13"/>
  <c r="O181" i="13" s="1"/>
  <c r="M180" i="13"/>
  <c r="S180" i="13" s="1"/>
  <c r="M179" i="13"/>
  <c r="M178" i="13"/>
  <c r="R178" i="13" s="1"/>
  <c r="M177" i="13"/>
  <c r="M176" i="13"/>
  <c r="P176" i="13" s="1"/>
  <c r="M175" i="13"/>
  <c r="M174" i="13"/>
  <c r="M173" i="13"/>
  <c r="S173" i="13" s="1"/>
  <c r="M172" i="13"/>
  <c r="M171" i="13"/>
  <c r="P171" i="13" s="1"/>
  <c r="M170" i="13"/>
  <c r="M169" i="13"/>
  <c r="AD169" i="13" s="1"/>
  <c r="M168" i="13"/>
  <c r="AD168" i="13" s="1"/>
  <c r="M167" i="13"/>
  <c r="M166" i="13"/>
  <c r="M165" i="13"/>
  <c r="M164" i="13"/>
  <c r="M163" i="13"/>
  <c r="M162" i="13"/>
  <c r="M161" i="13"/>
  <c r="R161" i="13" s="1"/>
  <c r="M160" i="13"/>
  <c r="M159" i="13"/>
  <c r="Q159" i="13" s="1"/>
  <c r="M158" i="13"/>
  <c r="M157" i="13"/>
  <c r="AD157" i="13" s="1"/>
  <c r="M156" i="13"/>
  <c r="S156" i="13" s="1"/>
  <c r="M155" i="13"/>
  <c r="M154" i="13"/>
  <c r="M153" i="13"/>
  <c r="M152" i="13"/>
  <c r="M151" i="13"/>
  <c r="M150" i="13"/>
  <c r="M149" i="13"/>
  <c r="M148" i="13"/>
  <c r="M147" i="13"/>
  <c r="Q147" i="13" s="1"/>
  <c r="M146" i="13"/>
  <c r="M145" i="13"/>
  <c r="AD145" i="13" s="1"/>
  <c r="M144" i="13"/>
  <c r="AD144" i="13" s="1"/>
  <c r="M143" i="13"/>
  <c r="M142" i="13"/>
  <c r="R142" i="13" s="1"/>
  <c r="M141" i="13"/>
  <c r="M140" i="13"/>
  <c r="M139" i="13"/>
  <c r="M138" i="13"/>
  <c r="M137" i="13"/>
  <c r="R137" i="13" s="1"/>
  <c r="M136" i="13"/>
  <c r="M135" i="13"/>
  <c r="M134" i="13"/>
  <c r="M133" i="13"/>
  <c r="AD133" i="13" s="1"/>
  <c r="M132" i="13"/>
  <c r="AD132" i="13" s="1"/>
  <c r="M131" i="13"/>
  <c r="M130" i="13"/>
  <c r="R130" i="13" s="1"/>
  <c r="M129" i="13"/>
  <c r="M128" i="13"/>
  <c r="P128" i="13" s="1"/>
  <c r="M127" i="13"/>
  <c r="M126" i="13"/>
  <c r="M125" i="13"/>
  <c r="M124" i="13"/>
  <c r="M123" i="13"/>
  <c r="Q123" i="13" s="1"/>
  <c r="M122" i="13"/>
  <c r="M121" i="13"/>
  <c r="O121" i="13" s="1"/>
  <c r="M120" i="13"/>
  <c r="S120" i="13" s="1"/>
  <c r="M119" i="13"/>
  <c r="M118" i="13"/>
  <c r="R118" i="13" s="1"/>
  <c r="M117" i="13"/>
  <c r="M116" i="13"/>
  <c r="P116" i="13" s="1"/>
  <c r="M115" i="13"/>
  <c r="M114" i="13"/>
  <c r="M113" i="13"/>
  <c r="S113" i="13" s="1"/>
  <c r="M112" i="13"/>
  <c r="M111" i="13"/>
  <c r="P111" i="13" s="1"/>
  <c r="M110" i="13"/>
  <c r="M109" i="13"/>
  <c r="O109" i="13" s="1"/>
  <c r="M108" i="13"/>
  <c r="S108" i="13" s="1"/>
  <c r="M107" i="13"/>
  <c r="M106" i="13"/>
  <c r="R106" i="13" s="1"/>
  <c r="M105" i="13"/>
  <c r="M104" i="13"/>
  <c r="O104" i="13" s="1"/>
  <c r="M103" i="13"/>
  <c r="R103" i="13" s="1"/>
  <c r="M102" i="13"/>
  <c r="M101" i="13"/>
  <c r="S101" i="13" s="1"/>
  <c r="M100" i="13"/>
  <c r="M99" i="13"/>
  <c r="M98" i="13"/>
  <c r="M97" i="13"/>
  <c r="O97" i="13" s="1"/>
  <c r="M96" i="13"/>
  <c r="S96" i="13" s="1"/>
  <c r="M95" i="13"/>
  <c r="M94" i="13"/>
  <c r="R94" i="13" s="1"/>
  <c r="M93" i="13"/>
  <c r="M92" i="13"/>
  <c r="P92" i="13" s="1"/>
  <c r="M91" i="13"/>
  <c r="M90" i="13"/>
  <c r="M89" i="13"/>
  <c r="M88" i="13"/>
  <c r="M87" i="13"/>
  <c r="Q87" i="13" s="1"/>
  <c r="M86" i="13"/>
  <c r="S86" i="13" s="1"/>
  <c r="M85" i="13"/>
  <c r="O85" i="13" s="1"/>
  <c r="M84" i="13"/>
  <c r="M83" i="13"/>
  <c r="M82" i="13"/>
  <c r="R82" i="13" s="1"/>
  <c r="M81" i="13"/>
  <c r="M80" i="13"/>
  <c r="M79" i="13"/>
  <c r="M78" i="13"/>
  <c r="M77" i="13"/>
  <c r="S77" i="13" s="1"/>
  <c r="M76" i="13"/>
  <c r="M75" i="13"/>
  <c r="M74" i="13"/>
  <c r="M73" i="13"/>
  <c r="AD73" i="13" s="1"/>
  <c r="M72" i="13"/>
  <c r="AD72" i="13" s="1"/>
  <c r="M71" i="13"/>
  <c r="M70" i="13"/>
  <c r="O70" i="13" s="1"/>
  <c r="M69" i="13"/>
  <c r="M68" i="13"/>
  <c r="O68" i="13" s="1"/>
  <c r="M67" i="13"/>
  <c r="R67" i="13" s="1"/>
  <c r="M66" i="13"/>
  <c r="M65" i="13"/>
  <c r="S65" i="13" s="1"/>
  <c r="M64" i="13"/>
  <c r="M63" i="13"/>
  <c r="Q63" i="13" s="1"/>
  <c r="M62" i="13"/>
  <c r="S62" i="13" s="1"/>
  <c r="M61" i="13"/>
  <c r="O61" i="13" s="1"/>
  <c r="M60" i="13"/>
  <c r="S60" i="13" s="1"/>
  <c r="M59" i="13"/>
  <c r="M58" i="13"/>
  <c r="R58" i="13" s="1"/>
  <c r="M57" i="13"/>
  <c r="M56" i="13"/>
  <c r="P56" i="13" s="1"/>
  <c r="M55" i="13"/>
  <c r="R55" i="13" s="1"/>
  <c r="M54" i="13"/>
  <c r="M53" i="13"/>
  <c r="S53" i="13" s="1"/>
  <c r="M52" i="13"/>
  <c r="M51" i="13"/>
  <c r="Q51" i="13" s="1"/>
  <c r="M50" i="13"/>
  <c r="S50" i="13" s="1"/>
  <c r="M49" i="13"/>
  <c r="AD49" i="13" s="1"/>
  <c r="M48" i="13"/>
  <c r="AD48" i="13" s="1"/>
  <c r="M47" i="13"/>
  <c r="M46" i="13"/>
  <c r="R46" i="13" s="1"/>
  <c r="M45" i="13"/>
  <c r="M44" i="13"/>
  <c r="P44" i="13" s="1"/>
  <c r="M43" i="13"/>
  <c r="M42" i="13"/>
  <c r="M41" i="13"/>
  <c r="M40" i="13"/>
  <c r="P40" i="13" s="1"/>
  <c r="M39" i="13"/>
  <c r="AD39" i="13" s="1"/>
  <c r="M38" i="13"/>
  <c r="AD38" i="13" s="1"/>
  <c r="M37" i="13"/>
  <c r="S37" i="13" s="1"/>
  <c r="M36" i="13"/>
  <c r="Q36" i="13" s="1"/>
  <c r="M35" i="13"/>
  <c r="AD35" i="13" s="1"/>
  <c r="M34" i="13"/>
  <c r="AD34" i="13" s="1"/>
  <c r="M33" i="13"/>
  <c r="AD33" i="13" s="1"/>
  <c r="M32" i="13"/>
  <c r="AD32" i="13" s="1"/>
  <c r="M31" i="13"/>
  <c r="AD31" i="13" s="1"/>
  <c r="M30" i="13"/>
  <c r="AD30" i="13" s="1"/>
  <c r="M29" i="13"/>
  <c r="AD29" i="13" s="1"/>
  <c r="M28" i="13"/>
  <c r="AD28" i="13" s="1"/>
  <c r="M27" i="13"/>
  <c r="AD27" i="13" s="1"/>
  <c r="M26" i="13"/>
  <c r="AD26" i="13" s="1"/>
  <c r="M25" i="13"/>
  <c r="S25" i="13" s="1"/>
  <c r="M24" i="13"/>
  <c r="Q24" i="13" s="1"/>
  <c r="M23" i="13"/>
  <c r="AD23" i="13" s="1"/>
  <c r="M22" i="13"/>
  <c r="AD22" i="13" s="1"/>
  <c r="M21" i="13"/>
  <c r="AD21" i="13" s="1"/>
  <c r="M20" i="13"/>
  <c r="AD20" i="13" s="1"/>
  <c r="M19" i="13"/>
  <c r="AD19" i="13" s="1"/>
  <c r="M18" i="13"/>
  <c r="AD18" i="13" s="1"/>
  <c r="M17" i="13"/>
  <c r="AD17" i="13" s="1"/>
  <c r="M16" i="13"/>
  <c r="AD16" i="13" s="1"/>
  <c r="M15" i="13"/>
  <c r="AD15" i="13" s="1"/>
  <c r="M14" i="13"/>
  <c r="AD14" i="13" s="1"/>
  <c r="M13" i="13"/>
  <c r="S13" i="13" s="1"/>
  <c r="M12" i="13"/>
  <c r="AD12" i="13" s="1"/>
  <c r="M11" i="13"/>
  <c r="AD11" i="13" s="1"/>
  <c r="M10" i="13"/>
  <c r="AD10" i="13" s="1"/>
  <c r="M9" i="13"/>
  <c r="AD9" i="13" s="1"/>
  <c r="M8" i="13"/>
  <c r="AD8" i="13" s="1"/>
  <c r="M7" i="13"/>
  <c r="AD7" i="13" s="1"/>
  <c r="M6" i="13"/>
  <c r="AD6" i="13" s="1"/>
  <c r="M5" i="13"/>
  <c r="AD5" i="13" s="1"/>
  <c r="M4" i="13"/>
  <c r="AD4" i="13" s="1"/>
  <c r="M3" i="13"/>
  <c r="P3" i="13" s="1"/>
  <c r="M2" i="13"/>
  <c r="AD2" i="13" s="1"/>
  <c r="W224" i="14" l="1"/>
  <c r="U224" i="14"/>
  <c r="U228" i="14"/>
  <c r="S7" i="13"/>
  <c r="P13" i="13"/>
  <c r="Q22" i="13"/>
  <c r="S31" i="13"/>
  <c r="O39" i="13"/>
  <c r="R65" i="13"/>
  <c r="S144" i="13"/>
  <c r="AD36" i="13"/>
  <c r="P39" i="13"/>
  <c r="P8" i="13"/>
  <c r="O15" i="13"/>
  <c r="S22" i="13"/>
  <c r="P32" i="13"/>
  <c r="R113" i="13"/>
  <c r="AD96" i="13"/>
  <c r="Q10" i="13"/>
  <c r="S17" i="13"/>
  <c r="O25" i="13"/>
  <c r="Q34" i="13"/>
  <c r="R173" i="13"/>
  <c r="Q17" i="13"/>
  <c r="R10" i="13"/>
  <c r="O18" i="13"/>
  <c r="P25" i="13"/>
  <c r="R34" i="13"/>
  <c r="O128" i="13"/>
  <c r="R185" i="13"/>
  <c r="R17" i="13"/>
  <c r="O3" i="13"/>
  <c r="S10" i="13"/>
  <c r="S19" i="13"/>
  <c r="O27" i="13"/>
  <c r="S34" i="13"/>
  <c r="O94" i="13"/>
  <c r="Q5" i="13"/>
  <c r="O11" i="13"/>
  <c r="O20" i="13"/>
  <c r="Q29" i="13"/>
  <c r="R36" i="13"/>
  <c r="O56" i="13"/>
  <c r="Q94" i="13"/>
  <c r="Q130" i="13"/>
  <c r="O188" i="13"/>
  <c r="AD180" i="13"/>
  <c r="R5" i="13"/>
  <c r="R12" i="13"/>
  <c r="P20" i="13"/>
  <c r="R29" i="13"/>
  <c r="S36" i="13"/>
  <c r="AD13" i="13"/>
  <c r="S5" i="13"/>
  <c r="S12" i="13"/>
  <c r="Q20" i="13"/>
  <c r="S29" i="13"/>
  <c r="O37" i="13"/>
  <c r="Q142" i="13"/>
  <c r="O200" i="13"/>
  <c r="AD24" i="13"/>
  <c r="Y202" i="13"/>
  <c r="O6" i="13"/>
  <c r="O13" i="13"/>
  <c r="P22" i="13"/>
  <c r="O30" i="13"/>
  <c r="P37" i="13"/>
  <c r="P65" i="13"/>
  <c r="AD25" i="13"/>
  <c r="S122" i="13"/>
  <c r="R122" i="13"/>
  <c r="Q122" i="13"/>
  <c r="P122" i="13"/>
  <c r="O122" i="13"/>
  <c r="AD122" i="13"/>
  <c r="AD99" i="13"/>
  <c r="S99" i="13"/>
  <c r="R99" i="13"/>
  <c r="O99" i="13"/>
  <c r="AD171" i="13"/>
  <c r="S171" i="13"/>
  <c r="R171" i="13"/>
  <c r="O171" i="13"/>
  <c r="S76" i="13"/>
  <c r="R76" i="13"/>
  <c r="Q76" i="13"/>
  <c r="P76" i="13"/>
  <c r="AD76" i="13"/>
  <c r="O76" i="13"/>
  <c r="S148" i="13"/>
  <c r="R148" i="13"/>
  <c r="Q148" i="13"/>
  <c r="P148" i="13"/>
  <c r="AD148" i="13"/>
  <c r="O148" i="13"/>
  <c r="Q3" i="13"/>
  <c r="P159" i="13"/>
  <c r="O41" i="13"/>
  <c r="AD41" i="13"/>
  <c r="Q41" i="13"/>
  <c r="O101" i="13"/>
  <c r="AD101" i="13"/>
  <c r="Q101" i="13"/>
  <c r="P149" i="13"/>
  <c r="O149" i="13"/>
  <c r="AD149" i="13"/>
  <c r="Q149" i="13"/>
  <c r="P197" i="13"/>
  <c r="O197" i="13"/>
  <c r="AD197" i="13"/>
  <c r="Q197" i="13"/>
  <c r="AD78" i="13"/>
  <c r="S78" i="13"/>
  <c r="R78" i="13"/>
  <c r="Q78" i="13"/>
  <c r="P78" i="13"/>
  <c r="O78" i="13"/>
  <c r="AD138" i="13"/>
  <c r="S138" i="13"/>
  <c r="R138" i="13"/>
  <c r="Q138" i="13"/>
  <c r="P138" i="13"/>
  <c r="O138" i="13"/>
  <c r="AD186" i="13"/>
  <c r="S186" i="13"/>
  <c r="R186" i="13"/>
  <c r="Q186" i="13"/>
  <c r="P186" i="13"/>
  <c r="O186" i="13"/>
  <c r="AD198" i="13"/>
  <c r="S198" i="13"/>
  <c r="R198" i="13"/>
  <c r="Q198" i="13"/>
  <c r="P198" i="13"/>
  <c r="O198" i="13"/>
  <c r="S3" i="13"/>
  <c r="P6" i="13"/>
  <c r="R8" i="13"/>
  <c r="S15" i="13"/>
  <c r="P18" i="13"/>
  <c r="R20" i="13"/>
  <c r="O23" i="13"/>
  <c r="Q25" i="13"/>
  <c r="S27" i="13"/>
  <c r="P30" i="13"/>
  <c r="R32" i="13"/>
  <c r="O35" i="13"/>
  <c r="Q37" i="13"/>
  <c r="S39" i="13"/>
  <c r="Q48" i="13"/>
  <c r="O58" i="13"/>
  <c r="P77" i="13"/>
  <c r="Q96" i="13"/>
  <c r="O106" i="13"/>
  <c r="Q118" i="13"/>
  <c r="S132" i="13"/>
  <c r="P147" i="13"/>
  <c r="O176" i="13"/>
  <c r="Q190" i="13"/>
  <c r="AD37" i="13"/>
  <c r="AD109" i="13"/>
  <c r="AD181" i="13"/>
  <c r="R98" i="13"/>
  <c r="Q98" i="13"/>
  <c r="P98" i="13"/>
  <c r="O98" i="13"/>
  <c r="AD98" i="13"/>
  <c r="S170" i="13"/>
  <c r="R170" i="13"/>
  <c r="Q170" i="13"/>
  <c r="P170" i="13"/>
  <c r="O170" i="13"/>
  <c r="AD170" i="13"/>
  <c r="AD63" i="13"/>
  <c r="S63" i="13"/>
  <c r="R63" i="13"/>
  <c r="O63" i="13"/>
  <c r="AD135" i="13"/>
  <c r="S135" i="13"/>
  <c r="R135" i="13"/>
  <c r="O135" i="13"/>
  <c r="Q171" i="13"/>
  <c r="S100" i="13"/>
  <c r="R100" i="13"/>
  <c r="Q100" i="13"/>
  <c r="P100" i="13"/>
  <c r="AD100" i="13"/>
  <c r="O100" i="13"/>
  <c r="S160" i="13"/>
  <c r="R160" i="13"/>
  <c r="Q160" i="13"/>
  <c r="P160" i="13"/>
  <c r="AD160" i="13"/>
  <c r="O160" i="13"/>
  <c r="O89" i="13"/>
  <c r="AD89" i="13"/>
  <c r="Q89" i="13"/>
  <c r="P161" i="13"/>
  <c r="O161" i="13"/>
  <c r="AD161" i="13"/>
  <c r="Q161" i="13"/>
  <c r="R15" i="13"/>
  <c r="AD90" i="13"/>
  <c r="S90" i="13"/>
  <c r="R90" i="13"/>
  <c r="Q90" i="13"/>
  <c r="P90" i="13"/>
  <c r="O90" i="13"/>
  <c r="Q43" i="13"/>
  <c r="P43" i="13"/>
  <c r="AD43" i="13"/>
  <c r="O43" i="13"/>
  <c r="S43" i="13"/>
  <c r="Q55" i="13"/>
  <c r="P55" i="13"/>
  <c r="AD55" i="13"/>
  <c r="O55" i="13"/>
  <c r="S55" i="13"/>
  <c r="Q67" i="13"/>
  <c r="P67" i="13"/>
  <c r="AD67" i="13"/>
  <c r="O67" i="13"/>
  <c r="S67" i="13"/>
  <c r="Q79" i="13"/>
  <c r="P79" i="13"/>
  <c r="AD79" i="13"/>
  <c r="O79" i="13"/>
  <c r="S79" i="13"/>
  <c r="Q91" i="13"/>
  <c r="P91" i="13"/>
  <c r="AD91" i="13"/>
  <c r="O91" i="13"/>
  <c r="S91" i="13"/>
  <c r="Q103" i="13"/>
  <c r="P103" i="13"/>
  <c r="AD103" i="13"/>
  <c r="O103" i="13"/>
  <c r="S103" i="13"/>
  <c r="R115" i="13"/>
  <c r="Q115" i="13"/>
  <c r="P115" i="13"/>
  <c r="AD115" i="13"/>
  <c r="O115" i="13"/>
  <c r="S115" i="13"/>
  <c r="R127" i="13"/>
  <c r="Q127" i="13"/>
  <c r="P127" i="13"/>
  <c r="AD127" i="13"/>
  <c r="O127" i="13"/>
  <c r="S127" i="13"/>
  <c r="R139" i="13"/>
  <c r="Q139" i="13"/>
  <c r="P139" i="13"/>
  <c r="AD139" i="13"/>
  <c r="O139" i="13"/>
  <c r="S139" i="13"/>
  <c r="R151" i="13"/>
  <c r="Q151" i="13"/>
  <c r="P151" i="13"/>
  <c r="AD151" i="13"/>
  <c r="O151" i="13"/>
  <c r="S151" i="13"/>
  <c r="R163" i="13"/>
  <c r="Q163" i="13"/>
  <c r="P163" i="13"/>
  <c r="AD163" i="13"/>
  <c r="O163" i="13"/>
  <c r="S163" i="13"/>
  <c r="R175" i="13"/>
  <c r="Q175" i="13"/>
  <c r="P175" i="13"/>
  <c r="AD175" i="13"/>
  <c r="O175" i="13"/>
  <c r="S175" i="13"/>
  <c r="R187" i="13"/>
  <c r="Q187" i="13"/>
  <c r="P187" i="13"/>
  <c r="AD187" i="13"/>
  <c r="O187" i="13"/>
  <c r="S187" i="13"/>
  <c r="R199" i="13"/>
  <c r="Q199" i="13"/>
  <c r="P199" i="13"/>
  <c r="AD199" i="13"/>
  <c r="O199" i="13"/>
  <c r="S199" i="13"/>
  <c r="O4" i="13"/>
  <c r="Q6" i="13"/>
  <c r="S8" i="13"/>
  <c r="P11" i="13"/>
  <c r="R13" i="13"/>
  <c r="O16" i="13"/>
  <c r="Q18" i="13"/>
  <c r="S20" i="13"/>
  <c r="P23" i="13"/>
  <c r="R25" i="13"/>
  <c r="O28" i="13"/>
  <c r="Q30" i="13"/>
  <c r="S32" i="13"/>
  <c r="P35" i="13"/>
  <c r="R37" i="13"/>
  <c r="O40" i="13"/>
  <c r="S48" i="13"/>
  <c r="Q58" i="13"/>
  <c r="R77" i="13"/>
  <c r="P87" i="13"/>
  <c r="Q106" i="13"/>
  <c r="O133" i="13"/>
  <c r="S161" i="13"/>
  <c r="AD120" i="13"/>
  <c r="AD192" i="13"/>
  <c r="S110" i="13"/>
  <c r="R110" i="13"/>
  <c r="Q110" i="13"/>
  <c r="P110" i="13"/>
  <c r="O110" i="13"/>
  <c r="AD110" i="13"/>
  <c r="AD42" i="13"/>
  <c r="S42" i="13"/>
  <c r="R42" i="13"/>
  <c r="Q42" i="13"/>
  <c r="P42" i="13"/>
  <c r="O42" i="13"/>
  <c r="AD150" i="13"/>
  <c r="S150" i="13"/>
  <c r="R150" i="13"/>
  <c r="Q150" i="13"/>
  <c r="P150" i="13"/>
  <c r="O150" i="13"/>
  <c r="AD44" i="13"/>
  <c r="S44" i="13"/>
  <c r="R44" i="13"/>
  <c r="Q44" i="13"/>
  <c r="AD56" i="13"/>
  <c r="S56" i="13"/>
  <c r="R56" i="13"/>
  <c r="Q56" i="13"/>
  <c r="AD68" i="13"/>
  <c r="S68" i="13"/>
  <c r="R68" i="13"/>
  <c r="Q68" i="13"/>
  <c r="AD80" i="13"/>
  <c r="S80" i="13"/>
  <c r="R80" i="13"/>
  <c r="Q80" i="13"/>
  <c r="AD92" i="13"/>
  <c r="S92" i="13"/>
  <c r="R92" i="13"/>
  <c r="Q92" i="13"/>
  <c r="AD104" i="13"/>
  <c r="S104" i="13"/>
  <c r="R104" i="13"/>
  <c r="Q104" i="13"/>
  <c r="AD116" i="13"/>
  <c r="S116" i="13"/>
  <c r="R116" i="13"/>
  <c r="Q116" i="13"/>
  <c r="AD128" i="13"/>
  <c r="S128" i="13"/>
  <c r="R128" i="13"/>
  <c r="Q128" i="13"/>
  <c r="AD140" i="13"/>
  <c r="S140" i="13"/>
  <c r="R140" i="13"/>
  <c r="Q140" i="13"/>
  <c r="AD152" i="13"/>
  <c r="S152" i="13"/>
  <c r="R152" i="13"/>
  <c r="Q152" i="13"/>
  <c r="AD164" i="13"/>
  <c r="S164" i="13"/>
  <c r="R164" i="13"/>
  <c r="Q164" i="13"/>
  <c r="AD176" i="13"/>
  <c r="S176" i="13"/>
  <c r="R176" i="13"/>
  <c r="Q176" i="13"/>
  <c r="AD188" i="13"/>
  <c r="S188" i="13"/>
  <c r="R188" i="13"/>
  <c r="Q188" i="13"/>
  <c r="AD200" i="13"/>
  <c r="S200" i="13"/>
  <c r="R200" i="13"/>
  <c r="Q200" i="13"/>
  <c r="P4" i="13"/>
  <c r="R6" i="13"/>
  <c r="O9" i="13"/>
  <c r="Q11" i="13"/>
  <c r="P16" i="13"/>
  <c r="R18" i="13"/>
  <c r="O21" i="13"/>
  <c r="Q23" i="13"/>
  <c r="P28" i="13"/>
  <c r="R30" i="13"/>
  <c r="O33" i="13"/>
  <c r="Q35" i="13"/>
  <c r="O49" i="13"/>
  <c r="P68" i="13"/>
  <c r="P135" i="13"/>
  <c r="R149" i="13"/>
  <c r="O164" i="13"/>
  <c r="Q178" i="13"/>
  <c r="AD121" i="13"/>
  <c r="AD193" i="13"/>
  <c r="R86" i="13"/>
  <c r="Q86" i="13"/>
  <c r="P86" i="13"/>
  <c r="O86" i="13"/>
  <c r="AD86" i="13"/>
  <c r="S194" i="13"/>
  <c r="R194" i="13"/>
  <c r="Q194" i="13"/>
  <c r="P194" i="13"/>
  <c r="O194" i="13"/>
  <c r="AD194" i="13"/>
  <c r="AD147" i="13"/>
  <c r="S147" i="13"/>
  <c r="R147" i="13"/>
  <c r="O147" i="13"/>
  <c r="S112" i="13"/>
  <c r="R112" i="13"/>
  <c r="Q112" i="13"/>
  <c r="P112" i="13"/>
  <c r="AD112" i="13"/>
  <c r="O112" i="13"/>
  <c r="O53" i="13"/>
  <c r="AD53" i="13"/>
  <c r="Q53" i="13"/>
  <c r="AD126" i="13"/>
  <c r="S126" i="13"/>
  <c r="R126" i="13"/>
  <c r="Q126" i="13"/>
  <c r="P126" i="13"/>
  <c r="O126" i="13"/>
  <c r="AD45" i="13"/>
  <c r="S45" i="13"/>
  <c r="R45" i="13"/>
  <c r="Q45" i="13"/>
  <c r="P45" i="13"/>
  <c r="O45" i="13"/>
  <c r="AD57" i="13"/>
  <c r="S57" i="13"/>
  <c r="R57" i="13"/>
  <c r="Q57" i="13"/>
  <c r="P57" i="13"/>
  <c r="O57" i="13"/>
  <c r="AD69" i="13"/>
  <c r="S69" i="13"/>
  <c r="R69" i="13"/>
  <c r="Q69" i="13"/>
  <c r="P69" i="13"/>
  <c r="O69" i="13"/>
  <c r="AD81" i="13"/>
  <c r="S81" i="13"/>
  <c r="R81" i="13"/>
  <c r="Q81" i="13"/>
  <c r="P81" i="13"/>
  <c r="O81" i="13"/>
  <c r="AD93" i="13"/>
  <c r="S93" i="13"/>
  <c r="R93" i="13"/>
  <c r="Q93" i="13"/>
  <c r="P93" i="13"/>
  <c r="O93" i="13"/>
  <c r="AD105" i="13"/>
  <c r="S105" i="13"/>
  <c r="R105" i="13"/>
  <c r="Q105" i="13"/>
  <c r="P105" i="13"/>
  <c r="O105" i="13"/>
  <c r="AD117" i="13"/>
  <c r="S117" i="13"/>
  <c r="R117" i="13"/>
  <c r="Q117" i="13"/>
  <c r="P117" i="13"/>
  <c r="O117" i="13"/>
  <c r="AD129" i="13"/>
  <c r="S129" i="13"/>
  <c r="R129" i="13"/>
  <c r="Q129" i="13"/>
  <c r="P129" i="13"/>
  <c r="O129" i="13"/>
  <c r="AD141" i="13"/>
  <c r="S141" i="13"/>
  <c r="R141" i="13"/>
  <c r="Q141" i="13"/>
  <c r="P141" i="13"/>
  <c r="O141" i="13"/>
  <c r="AD153" i="13"/>
  <c r="S153" i="13"/>
  <c r="R153" i="13"/>
  <c r="Q153" i="13"/>
  <c r="P153" i="13"/>
  <c r="O153" i="13"/>
  <c r="AD165" i="13"/>
  <c r="S165" i="13"/>
  <c r="R165" i="13"/>
  <c r="Q165" i="13"/>
  <c r="P165" i="13"/>
  <c r="O165" i="13"/>
  <c r="AD177" i="13"/>
  <c r="S177" i="13"/>
  <c r="R177" i="13"/>
  <c r="Q177" i="13"/>
  <c r="P177" i="13"/>
  <c r="O177" i="13"/>
  <c r="AD189" i="13"/>
  <c r="S189" i="13"/>
  <c r="R189" i="13"/>
  <c r="Q189" i="13"/>
  <c r="P189" i="13"/>
  <c r="O189" i="13"/>
  <c r="O2" i="13"/>
  <c r="Q4" i="13"/>
  <c r="S6" i="13"/>
  <c r="P9" i="13"/>
  <c r="R11" i="13"/>
  <c r="O14" i="13"/>
  <c r="Q16" i="13"/>
  <c r="S18" i="13"/>
  <c r="P21" i="13"/>
  <c r="R23" i="13"/>
  <c r="O26" i="13"/>
  <c r="Q28" i="13"/>
  <c r="S30" i="13"/>
  <c r="P33" i="13"/>
  <c r="R35" i="13"/>
  <c r="O38" i="13"/>
  <c r="P41" i="13"/>
  <c r="Q60" i="13"/>
  <c r="R79" i="13"/>
  <c r="P89" i="13"/>
  <c r="S98" i="13"/>
  <c r="Q108" i="13"/>
  <c r="Q135" i="13"/>
  <c r="S149" i="13"/>
  <c r="P164" i="13"/>
  <c r="AD60" i="13"/>
  <c r="S182" i="13"/>
  <c r="R182" i="13"/>
  <c r="Q182" i="13"/>
  <c r="P182" i="13"/>
  <c r="O182" i="13"/>
  <c r="AD182" i="13"/>
  <c r="AD75" i="13"/>
  <c r="S75" i="13"/>
  <c r="R75" i="13"/>
  <c r="O75" i="13"/>
  <c r="S52" i="13"/>
  <c r="R52" i="13"/>
  <c r="Q52" i="13"/>
  <c r="P52" i="13"/>
  <c r="AD52" i="13"/>
  <c r="O52" i="13"/>
  <c r="P75" i="13"/>
  <c r="O65" i="13"/>
  <c r="AD65" i="13"/>
  <c r="Q65" i="13"/>
  <c r="R39" i="13"/>
  <c r="AD114" i="13"/>
  <c r="S114" i="13"/>
  <c r="R114" i="13"/>
  <c r="Q114" i="13"/>
  <c r="P114" i="13"/>
  <c r="O114" i="13"/>
  <c r="AD46" i="13"/>
  <c r="S46" i="13"/>
  <c r="P46" i="13"/>
  <c r="AD58" i="13"/>
  <c r="S58" i="13"/>
  <c r="P58" i="13"/>
  <c r="AD70" i="13"/>
  <c r="S70" i="13"/>
  <c r="P70" i="13"/>
  <c r="AD82" i="13"/>
  <c r="S82" i="13"/>
  <c r="P82" i="13"/>
  <c r="AD94" i="13"/>
  <c r="S94" i="13"/>
  <c r="P94" i="13"/>
  <c r="AD106" i="13"/>
  <c r="S106" i="13"/>
  <c r="P106" i="13"/>
  <c r="AD118" i="13"/>
  <c r="O118" i="13"/>
  <c r="S118" i="13"/>
  <c r="P118" i="13"/>
  <c r="AD130" i="13"/>
  <c r="O130" i="13"/>
  <c r="S130" i="13"/>
  <c r="P130" i="13"/>
  <c r="AD142" i="13"/>
  <c r="O142" i="13"/>
  <c r="S142" i="13"/>
  <c r="P142" i="13"/>
  <c r="AD154" i="13"/>
  <c r="O154" i="13"/>
  <c r="S154" i="13"/>
  <c r="P154" i="13"/>
  <c r="AD166" i="13"/>
  <c r="O166" i="13"/>
  <c r="S166" i="13"/>
  <c r="P166" i="13"/>
  <c r="AD178" i="13"/>
  <c r="O178" i="13"/>
  <c r="S178" i="13"/>
  <c r="P178" i="13"/>
  <c r="AD190" i="13"/>
  <c r="O190" i="13"/>
  <c r="S190" i="13"/>
  <c r="P190" i="13"/>
  <c r="P2" i="13"/>
  <c r="R4" i="13"/>
  <c r="O7" i="13"/>
  <c r="Q9" i="13"/>
  <c r="S11" i="13"/>
  <c r="P14" i="13"/>
  <c r="R16" i="13"/>
  <c r="O19" i="13"/>
  <c r="Q21" i="13"/>
  <c r="S23" i="13"/>
  <c r="P26" i="13"/>
  <c r="R28" i="13"/>
  <c r="O31" i="13"/>
  <c r="Q33" i="13"/>
  <c r="S35" i="13"/>
  <c r="P38" i="13"/>
  <c r="R41" i="13"/>
  <c r="P51" i="13"/>
  <c r="Q70" i="13"/>
  <c r="O80" i="13"/>
  <c r="R89" i="13"/>
  <c r="P99" i="13"/>
  <c r="P123" i="13"/>
  <c r="O152" i="13"/>
  <c r="Q166" i="13"/>
  <c r="P195" i="13"/>
  <c r="AD61" i="13"/>
  <c r="R50" i="13"/>
  <c r="Q50" i="13"/>
  <c r="P50" i="13"/>
  <c r="O50" i="13"/>
  <c r="AD50" i="13"/>
  <c r="S134" i="13"/>
  <c r="R134" i="13"/>
  <c r="Q134" i="13"/>
  <c r="P134" i="13"/>
  <c r="O134" i="13"/>
  <c r="AD134" i="13"/>
  <c r="M202" i="13"/>
  <c r="AD3" i="13"/>
  <c r="AD87" i="13"/>
  <c r="S87" i="13"/>
  <c r="R87" i="13"/>
  <c r="O87" i="13"/>
  <c r="AD159" i="13"/>
  <c r="S159" i="13"/>
  <c r="R159" i="13"/>
  <c r="O159" i="13"/>
  <c r="P27" i="13"/>
  <c r="S64" i="13"/>
  <c r="R64" i="13"/>
  <c r="Q64" i="13"/>
  <c r="P64" i="13"/>
  <c r="AD64" i="13"/>
  <c r="O64" i="13"/>
  <c r="S136" i="13"/>
  <c r="R136" i="13"/>
  <c r="Q136" i="13"/>
  <c r="P136" i="13"/>
  <c r="AD136" i="13"/>
  <c r="O136" i="13"/>
  <c r="S196" i="13"/>
  <c r="R196" i="13"/>
  <c r="Q196" i="13"/>
  <c r="P196" i="13"/>
  <c r="AD196" i="13"/>
  <c r="O196" i="13"/>
  <c r="O77" i="13"/>
  <c r="AD77" i="13"/>
  <c r="Q77" i="13"/>
  <c r="P137" i="13"/>
  <c r="O137" i="13"/>
  <c r="AD137" i="13"/>
  <c r="Q137" i="13"/>
  <c r="P185" i="13"/>
  <c r="O185" i="13"/>
  <c r="AD185" i="13"/>
  <c r="Q185" i="13"/>
  <c r="AD66" i="13"/>
  <c r="S66" i="13"/>
  <c r="R66" i="13"/>
  <c r="Q66" i="13"/>
  <c r="P66" i="13"/>
  <c r="O66" i="13"/>
  <c r="AD162" i="13"/>
  <c r="S162" i="13"/>
  <c r="R162" i="13"/>
  <c r="Q162" i="13"/>
  <c r="P162" i="13"/>
  <c r="O162" i="13"/>
  <c r="S47" i="13"/>
  <c r="R47" i="13"/>
  <c r="Q47" i="13"/>
  <c r="P47" i="13"/>
  <c r="O47" i="13"/>
  <c r="AD47" i="13"/>
  <c r="S59" i="13"/>
  <c r="R59" i="13"/>
  <c r="Q59" i="13"/>
  <c r="P59" i="13"/>
  <c r="O59" i="13"/>
  <c r="AD59" i="13"/>
  <c r="S71" i="13"/>
  <c r="R71" i="13"/>
  <c r="Q71" i="13"/>
  <c r="P71" i="13"/>
  <c r="O71" i="13"/>
  <c r="AD71" i="13"/>
  <c r="S83" i="13"/>
  <c r="R83" i="13"/>
  <c r="Q83" i="13"/>
  <c r="P83" i="13"/>
  <c r="O83" i="13"/>
  <c r="AD83" i="13"/>
  <c r="S95" i="13"/>
  <c r="R95" i="13"/>
  <c r="Q95" i="13"/>
  <c r="P95" i="13"/>
  <c r="O95" i="13"/>
  <c r="AD95" i="13"/>
  <c r="S107" i="13"/>
  <c r="R107" i="13"/>
  <c r="Q107" i="13"/>
  <c r="P107" i="13"/>
  <c r="O107" i="13"/>
  <c r="AD107" i="13"/>
  <c r="S119" i="13"/>
  <c r="R119" i="13"/>
  <c r="Q119" i="13"/>
  <c r="P119" i="13"/>
  <c r="O119" i="13"/>
  <c r="AD119" i="13"/>
  <c r="S131" i="13"/>
  <c r="R131" i="13"/>
  <c r="Q131" i="13"/>
  <c r="P131" i="13"/>
  <c r="O131" i="13"/>
  <c r="AD131" i="13"/>
  <c r="S143" i="13"/>
  <c r="R143" i="13"/>
  <c r="Q143" i="13"/>
  <c r="P143" i="13"/>
  <c r="O143" i="13"/>
  <c r="AD143" i="13"/>
  <c r="S155" i="13"/>
  <c r="R155" i="13"/>
  <c r="Q155" i="13"/>
  <c r="P155" i="13"/>
  <c r="O155" i="13"/>
  <c r="AD155" i="13"/>
  <c r="S167" i="13"/>
  <c r="R167" i="13"/>
  <c r="Q167" i="13"/>
  <c r="P167" i="13"/>
  <c r="O167" i="13"/>
  <c r="AD167" i="13"/>
  <c r="S179" i="13"/>
  <c r="R179" i="13"/>
  <c r="Q179" i="13"/>
  <c r="P179" i="13"/>
  <c r="O179" i="13"/>
  <c r="AD179" i="13"/>
  <c r="S191" i="13"/>
  <c r="R191" i="13"/>
  <c r="Q191" i="13"/>
  <c r="P191" i="13"/>
  <c r="O191" i="13"/>
  <c r="AD191" i="13"/>
  <c r="Q2" i="13"/>
  <c r="S4" i="13"/>
  <c r="P7" i="13"/>
  <c r="R9" i="13"/>
  <c r="O12" i="13"/>
  <c r="Q14" i="13"/>
  <c r="S16" i="13"/>
  <c r="P19" i="13"/>
  <c r="R21" i="13"/>
  <c r="O24" i="13"/>
  <c r="Q26" i="13"/>
  <c r="S28" i="13"/>
  <c r="P31" i="13"/>
  <c r="R33" i="13"/>
  <c r="O36" i="13"/>
  <c r="Q38" i="13"/>
  <c r="S41" i="13"/>
  <c r="R70" i="13"/>
  <c r="P80" i="13"/>
  <c r="S89" i="13"/>
  <c r="Q99" i="13"/>
  <c r="S137" i="13"/>
  <c r="P152" i="13"/>
  <c r="R166" i="13"/>
  <c r="Q202" i="13"/>
  <c r="R74" i="13"/>
  <c r="Q74" i="13"/>
  <c r="P74" i="13"/>
  <c r="O74" i="13"/>
  <c r="AD74" i="13"/>
  <c r="S158" i="13"/>
  <c r="R158" i="13"/>
  <c r="Q158" i="13"/>
  <c r="P158" i="13"/>
  <c r="O158" i="13"/>
  <c r="AD158" i="13"/>
  <c r="AD123" i="13"/>
  <c r="S123" i="13"/>
  <c r="R123" i="13"/>
  <c r="O123" i="13"/>
  <c r="AD195" i="13"/>
  <c r="S195" i="13"/>
  <c r="R195" i="13"/>
  <c r="O195" i="13"/>
  <c r="P15" i="13"/>
  <c r="S74" i="13"/>
  <c r="S88" i="13"/>
  <c r="R88" i="13"/>
  <c r="Q88" i="13"/>
  <c r="P88" i="13"/>
  <c r="AD88" i="13"/>
  <c r="O88" i="13"/>
  <c r="S172" i="13"/>
  <c r="R172" i="13"/>
  <c r="Q172" i="13"/>
  <c r="P172" i="13"/>
  <c r="AD172" i="13"/>
  <c r="O172" i="13"/>
  <c r="P125" i="13"/>
  <c r="O125" i="13"/>
  <c r="AD125" i="13"/>
  <c r="Q125" i="13"/>
  <c r="AD174" i="13"/>
  <c r="S174" i="13"/>
  <c r="R174" i="13"/>
  <c r="Q174" i="13"/>
  <c r="P174" i="13"/>
  <c r="O174" i="13"/>
  <c r="P48" i="13"/>
  <c r="O48" i="13"/>
  <c r="R48" i="13"/>
  <c r="P60" i="13"/>
  <c r="O60" i="13"/>
  <c r="R60" i="13"/>
  <c r="P72" i="13"/>
  <c r="O72" i="13"/>
  <c r="R72" i="13"/>
  <c r="P84" i="13"/>
  <c r="O84" i="13"/>
  <c r="R84" i="13"/>
  <c r="P96" i="13"/>
  <c r="O96" i="13"/>
  <c r="R96" i="13"/>
  <c r="P108" i="13"/>
  <c r="O108" i="13"/>
  <c r="R108" i="13"/>
  <c r="Q120" i="13"/>
  <c r="P120" i="13"/>
  <c r="O120" i="13"/>
  <c r="R120" i="13"/>
  <c r="Q132" i="13"/>
  <c r="P132" i="13"/>
  <c r="O132" i="13"/>
  <c r="R132" i="13"/>
  <c r="Q144" i="13"/>
  <c r="P144" i="13"/>
  <c r="O144" i="13"/>
  <c r="R144" i="13"/>
  <c r="Q156" i="13"/>
  <c r="P156" i="13"/>
  <c r="O156" i="13"/>
  <c r="R156" i="13"/>
  <c r="Q168" i="13"/>
  <c r="P168" i="13"/>
  <c r="O168" i="13"/>
  <c r="R168" i="13"/>
  <c r="Q180" i="13"/>
  <c r="P180" i="13"/>
  <c r="O180" i="13"/>
  <c r="R180" i="13"/>
  <c r="Q192" i="13"/>
  <c r="P192" i="13"/>
  <c r="O192" i="13"/>
  <c r="R192" i="13"/>
  <c r="R2" i="13"/>
  <c r="O5" i="13"/>
  <c r="Q7" i="13"/>
  <c r="S9" i="13"/>
  <c r="P12" i="13"/>
  <c r="R14" i="13"/>
  <c r="O17" i="13"/>
  <c r="Q19" i="13"/>
  <c r="S21" i="13"/>
  <c r="P24" i="13"/>
  <c r="R26" i="13"/>
  <c r="O29" i="13"/>
  <c r="Q31" i="13"/>
  <c r="S33" i="13"/>
  <c r="P36" i="13"/>
  <c r="R38" i="13"/>
  <c r="R43" i="13"/>
  <c r="P53" i="13"/>
  <c r="Q72" i="13"/>
  <c r="O82" i="13"/>
  <c r="R91" i="13"/>
  <c r="P101" i="13"/>
  <c r="R125" i="13"/>
  <c r="O140" i="13"/>
  <c r="Q154" i="13"/>
  <c r="S168" i="13"/>
  <c r="R197" i="13"/>
  <c r="R62" i="13"/>
  <c r="Q62" i="13"/>
  <c r="P62" i="13"/>
  <c r="O62" i="13"/>
  <c r="AD62" i="13"/>
  <c r="S146" i="13"/>
  <c r="R146" i="13"/>
  <c r="Q146" i="13"/>
  <c r="P146" i="13"/>
  <c r="O146" i="13"/>
  <c r="AD146" i="13"/>
  <c r="AD51" i="13"/>
  <c r="S51" i="13"/>
  <c r="R51" i="13"/>
  <c r="O51" i="13"/>
  <c r="AD111" i="13"/>
  <c r="S111" i="13"/>
  <c r="R111" i="13"/>
  <c r="O111" i="13"/>
  <c r="AD183" i="13"/>
  <c r="S183" i="13"/>
  <c r="R183" i="13"/>
  <c r="O183" i="13"/>
  <c r="S40" i="13"/>
  <c r="R40" i="13"/>
  <c r="Q40" i="13"/>
  <c r="AD40" i="13"/>
  <c r="S124" i="13"/>
  <c r="R124" i="13"/>
  <c r="Q124" i="13"/>
  <c r="P124" i="13"/>
  <c r="AD124" i="13"/>
  <c r="O124" i="13"/>
  <c r="S184" i="13"/>
  <c r="R184" i="13"/>
  <c r="Q184" i="13"/>
  <c r="P184" i="13"/>
  <c r="AD184" i="13"/>
  <c r="O184" i="13"/>
  <c r="Q15" i="13"/>
  <c r="Q27" i="13"/>
  <c r="Q39" i="13"/>
  <c r="P113" i="13"/>
  <c r="O113" i="13"/>
  <c r="AD113" i="13"/>
  <c r="Q113" i="13"/>
  <c r="P173" i="13"/>
  <c r="O173" i="13"/>
  <c r="AD173" i="13"/>
  <c r="Q173" i="13"/>
  <c r="R3" i="13"/>
  <c r="R27" i="13"/>
  <c r="Q75" i="13"/>
  <c r="AD54" i="13"/>
  <c r="S54" i="13"/>
  <c r="R54" i="13"/>
  <c r="Q54" i="13"/>
  <c r="P54" i="13"/>
  <c r="O54" i="13"/>
  <c r="AD102" i="13"/>
  <c r="S102" i="13"/>
  <c r="R102" i="13"/>
  <c r="Q102" i="13"/>
  <c r="P102" i="13"/>
  <c r="O102" i="13"/>
  <c r="S49" i="13"/>
  <c r="R49" i="13"/>
  <c r="Q49" i="13"/>
  <c r="P49" i="13"/>
  <c r="S61" i="13"/>
  <c r="R61" i="13"/>
  <c r="Q61" i="13"/>
  <c r="P61" i="13"/>
  <c r="S73" i="13"/>
  <c r="R73" i="13"/>
  <c r="Q73" i="13"/>
  <c r="P73" i="13"/>
  <c r="S85" i="13"/>
  <c r="R85" i="13"/>
  <c r="Q85" i="13"/>
  <c r="P85" i="13"/>
  <c r="S97" i="13"/>
  <c r="R97" i="13"/>
  <c r="Q97" i="13"/>
  <c r="P97" i="13"/>
  <c r="S109" i="13"/>
  <c r="R109" i="13"/>
  <c r="Q109" i="13"/>
  <c r="P109" i="13"/>
  <c r="S121" i="13"/>
  <c r="R121" i="13"/>
  <c r="Q121" i="13"/>
  <c r="P121" i="13"/>
  <c r="S133" i="13"/>
  <c r="R133" i="13"/>
  <c r="Q133" i="13"/>
  <c r="P133" i="13"/>
  <c r="S145" i="13"/>
  <c r="R145" i="13"/>
  <c r="Q145" i="13"/>
  <c r="P145" i="13"/>
  <c r="S157" i="13"/>
  <c r="R157" i="13"/>
  <c r="Q157" i="13"/>
  <c r="P157" i="13"/>
  <c r="S169" i="13"/>
  <c r="R169" i="13"/>
  <c r="Q169" i="13"/>
  <c r="P169" i="13"/>
  <c r="S181" i="13"/>
  <c r="R181" i="13"/>
  <c r="Q181" i="13"/>
  <c r="P181" i="13"/>
  <c r="S193" i="13"/>
  <c r="R193" i="13"/>
  <c r="Q193" i="13"/>
  <c r="P193" i="13"/>
  <c r="S2" i="13"/>
  <c r="P5" i="13"/>
  <c r="R7" i="13"/>
  <c r="O10" i="13"/>
  <c r="Q12" i="13"/>
  <c r="S14" i="13"/>
  <c r="P17" i="13"/>
  <c r="R19" i="13"/>
  <c r="O22" i="13"/>
  <c r="S26" i="13"/>
  <c r="P29" i="13"/>
  <c r="R31" i="13"/>
  <c r="O34" i="13"/>
  <c r="S38" i="13"/>
  <c r="O44" i="13"/>
  <c r="R53" i="13"/>
  <c r="P63" i="13"/>
  <c r="S72" i="13"/>
  <c r="Q82" i="13"/>
  <c r="O92" i="13"/>
  <c r="R101" i="13"/>
  <c r="Q111" i="13"/>
  <c r="S125" i="13"/>
  <c r="P140" i="13"/>
  <c r="R154" i="13"/>
  <c r="O169" i="13"/>
  <c r="Q183" i="13"/>
  <c r="S197" i="13"/>
  <c r="AD84" i="13"/>
  <c r="AD156" i="13"/>
  <c r="R202" i="13"/>
  <c r="W196" i="14"/>
  <c r="U196" i="14"/>
  <c r="U200" i="14"/>
  <c r="W221" i="14"/>
  <c r="W225" i="14"/>
  <c r="V200" i="14"/>
  <c r="W200" i="14"/>
  <c r="U225" i="14"/>
  <c r="W228" i="14"/>
  <c r="S234" i="14"/>
  <c r="X234" i="14" s="1"/>
  <c r="V225" i="14"/>
  <c r="U229" i="14"/>
  <c r="V229" i="14"/>
  <c r="U222" i="14"/>
  <c r="U230" i="14"/>
  <c r="W229" i="14"/>
  <c r="V227" i="14"/>
  <c r="W227" i="14"/>
  <c r="S226" i="14"/>
  <c r="X226" i="14" s="1"/>
  <c r="V222" i="14"/>
  <c r="V230" i="14"/>
  <c r="W222" i="14"/>
  <c r="W230" i="14"/>
  <c r="S221" i="14"/>
  <c r="X221" i="14" s="1"/>
  <c r="U221" i="14"/>
  <c r="S227" i="14"/>
  <c r="X227" i="14" s="1"/>
  <c r="U227" i="14"/>
  <c r="W226" i="14"/>
  <c r="V226" i="14"/>
  <c r="U226" i="14"/>
  <c r="S225" i="14"/>
  <c r="X225" i="14" s="1"/>
  <c r="S224" i="14"/>
  <c r="S230" i="14"/>
  <c r="S223" i="14"/>
  <c r="X223" i="14" s="1"/>
  <c r="S229" i="14"/>
  <c r="X229" i="14" s="1"/>
  <c r="S222" i="14"/>
  <c r="X222" i="14" s="1"/>
  <c r="S228" i="14"/>
  <c r="X228" i="14" s="1"/>
  <c r="S200" i="14"/>
  <c r="X200" i="14" s="1"/>
  <c r="S196" i="14"/>
  <c r="V191" i="14"/>
  <c r="W191" i="14"/>
  <c r="U191" i="14"/>
  <c r="S127" i="14"/>
  <c r="X127" i="14" s="1"/>
  <c r="S142" i="14"/>
  <c r="X142" i="14" s="1"/>
  <c r="S148" i="14"/>
  <c r="X148" i="14" s="1"/>
  <c r="S191" i="14"/>
  <c r="X191" i="14" s="1"/>
  <c r="S185" i="14"/>
  <c r="T185" i="14" s="1"/>
  <c r="S118" i="14"/>
  <c r="X118" i="14" s="1"/>
  <c r="S99" i="14"/>
  <c r="X99" i="14" s="1"/>
  <c r="S50" i="14"/>
  <c r="X50" i="14" s="1"/>
  <c r="S60" i="14"/>
  <c r="X60" i="14" s="1"/>
  <c r="S93" i="14"/>
  <c r="X93" i="14" s="1"/>
  <c r="S195" i="14"/>
  <c r="T195" i="14" s="1"/>
  <c r="S28" i="14"/>
  <c r="X28" i="14" s="1"/>
  <c r="S34" i="14"/>
  <c r="T34" i="14" s="1"/>
  <c r="S37" i="14"/>
  <c r="X37" i="14" s="1"/>
  <c r="S184" i="14"/>
  <c r="T184" i="14" s="1"/>
  <c r="S107" i="14"/>
  <c r="X107" i="14" s="1"/>
  <c r="S9" i="14"/>
  <c r="T9" i="14" s="1"/>
  <c r="S98" i="14"/>
  <c r="X98" i="14" s="1"/>
  <c r="S175" i="14"/>
  <c r="T175" i="14" s="1"/>
  <c r="S67" i="14"/>
  <c r="X67" i="14" s="1"/>
  <c r="S140" i="14"/>
  <c r="X140" i="14" s="1"/>
  <c r="S79" i="14"/>
  <c r="X79" i="14" s="1"/>
  <c r="S204" i="14"/>
  <c r="X204" i="14" s="1"/>
  <c r="S162" i="14"/>
  <c r="X162" i="14" s="1"/>
  <c r="U37" i="14"/>
  <c r="S232" i="14"/>
  <c r="X232" i="14" s="1"/>
  <c r="S2" i="14"/>
  <c r="T2" i="14" s="1"/>
  <c r="S86" i="14"/>
  <c r="X86" i="14" s="1"/>
  <c r="S169" i="14"/>
  <c r="T169" i="14" s="1"/>
  <c r="S218" i="14"/>
  <c r="X218" i="14" s="1"/>
  <c r="S42" i="14"/>
  <c r="X42" i="14" s="1"/>
  <c r="S78" i="14"/>
  <c r="X78" i="14" s="1"/>
  <c r="S120" i="14"/>
  <c r="X120" i="14" s="1"/>
  <c r="S126" i="14"/>
  <c r="X126" i="14" s="1"/>
  <c r="S209" i="14"/>
  <c r="X209" i="14" s="1"/>
  <c r="S129" i="14"/>
  <c r="X129" i="14" s="1"/>
  <c r="S194" i="14"/>
  <c r="X194" i="14" s="1"/>
  <c r="S110" i="14"/>
  <c r="X110" i="14" s="1"/>
  <c r="S174" i="14"/>
  <c r="X174" i="14" s="1"/>
  <c r="S112" i="14"/>
  <c r="X112" i="14" s="1"/>
  <c r="S115" i="14"/>
  <c r="X115" i="14" s="1"/>
  <c r="U194" i="14"/>
  <c r="U174" i="14"/>
  <c r="S117" i="14"/>
  <c r="X117" i="14" s="1"/>
  <c r="U93" i="14"/>
  <c r="U169" i="14"/>
  <c r="U78" i="14"/>
  <c r="S233" i="14"/>
  <c r="X233" i="14" s="1"/>
  <c r="S4" i="14"/>
  <c r="X4" i="14" s="1"/>
  <c r="U2" i="14"/>
  <c r="S24" i="14"/>
  <c r="X24" i="14" s="1"/>
  <c r="U209" i="14"/>
  <c r="S94" i="14"/>
  <c r="X94" i="14" s="1"/>
  <c r="V232" i="14"/>
  <c r="U195" i="14"/>
  <c r="S159" i="14"/>
  <c r="X159" i="14" s="1"/>
  <c r="S210" i="14"/>
  <c r="X210" i="14" s="1"/>
  <c r="S20" i="14"/>
  <c r="X20" i="14" s="1"/>
  <c r="S15" i="14"/>
  <c r="X15" i="14" s="1"/>
  <c r="S219" i="14"/>
  <c r="X219" i="14" s="1"/>
  <c r="S95" i="14"/>
  <c r="X95" i="14" s="1"/>
  <c r="V112" i="14"/>
  <c r="S132" i="14"/>
  <c r="X132" i="14" s="1"/>
  <c r="U9" i="14"/>
  <c r="S7" i="14"/>
  <c r="X7" i="14" s="1"/>
  <c r="S25" i="14"/>
  <c r="X25" i="14" s="1"/>
  <c r="S68" i="14"/>
  <c r="X68" i="14" s="1"/>
  <c r="W104" i="14"/>
  <c r="W136" i="14"/>
  <c r="S21" i="14"/>
  <c r="X21" i="14" s="1"/>
  <c r="U50" i="14"/>
  <c r="S66" i="14"/>
  <c r="X66" i="14" s="1"/>
  <c r="S73" i="14"/>
  <c r="X73" i="14" s="1"/>
  <c r="U184" i="14"/>
  <c r="S55" i="14"/>
  <c r="X55" i="14" s="1"/>
  <c r="S168" i="14"/>
  <c r="X168" i="14" s="1"/>
  <c r="U25" i="14"/>
  <c r="S211" i="14"/>
  <c r="X211" i="14" s="1"/>
  <c r="U98" i="14"/>
  <c r="U115" i="14"/>
  <c r="U127" i="14"/>
  <c r="S164" i="14"/>
  <c r="X164" i="14" s="1"/>
  <c r="U175" i="14"/>
  <c r="U21" i="14"/>
  <c r="U185" i="14"/>
  <c r="U60" i="14"/>
  <c r="S69" i="14"/>
  <c r="X69" i="14" s="1"/>
  <c r="S105" i="14"/>
  <c r="X105" i="14" s="1"/>
  <c r="S123" i="14"/>
  <c r="X123" i="14" s="1"/>
  <c r="U34" i="14"/>
  <c r="S119" i="14"/>
  <c r="X119" i="14" s="1"/>
  <c r="W127" i="14"/>
  <c r="S190" i="14"/>
  <c r="X190" i="14" s="1"/>
  <c r="U42" i="14"/>
  <c r="U79" i="14"/>
  <c r="S203" i="14"/>
  <c r="S18" i="14"/>
  <c r="T18" i="14" s="1"/>
  <c r="S56" i="14"/>
  <c r="X56" i="14" s="1"/>
  <c r="S65" i="14"/>
  <c r="X65" i="14" s="1"/>
  <c r="U204" i="14"/>
  <c r="S212" i="14"/>
  <c r="X212" i="14" s="1"/>
  <c r="S216" i="14"/>
  <c r="X216" i="14" s="1"/>
  <c r="S104" i="14"/>
  <c r="X104" i="14" s="1"/>
  <c r="V119" i="14"/>
  <c r="U129" i="14"/>
  <c r="S136" i="14"/>
  <c r="X136" i="14" s="1"/>
  <c r="S153" i="14"/>
  <c r="X153" i="14" s="1"/>
  <c r="S13" i="14"/>
  <c r="T13" i="14" s="1"/>
  <c r="U28" i="14"/>
  <c r="S45" i="14"/>
  <c r="T45" i="14" s="1"/>
  <c r="U56" i="14"/>
  <c r="S87" i="14"/>
  <c r="X87" i="14" s="1"/>
  <c r="U126" i="14"/>
  <c r="U88" i="14"/>
  <c r="S88" i="14"/>
  <c r="X88" i="14" s="1"/>
  <c r="U100" i="14"/>
  <c r="S100" i="14"/>
  <c r="X100" i="14" s="1"/>
  <c r="U133" i="14"/>
  <c r="S181" i="14"/>
  <c r="X181" i="14" s="1"/>
  <c r="S8" i="14"/>
  <c r="X8" i="14" s="1"/>
  <c r="S12" i="14"/>
  <c r="X12" i="14" s="1"/>
  <c r="S17" i="14"/>
  <c r="X17" i="14" s="1"/>
  <c r="S23" i="14"/>
  <c r="X23" i="14" s="1"/>
  <c r="S27" i="14"/>
  <c r="X27" i="14" s="1"/>
  <c r="S33" i="14"/>
  <c r="X33" i="14" s="1"/>
  <c r="S39" i="14"/>
  <c r="X39" i="14" s="1"/>
  <c r="S44" i="14"/>
  <c r="X44" i="14" s="1"/>
  <c r="S62" i="14"/>
  <c r="X62" i="14" s="1"/>
  <c r="U73" i="14"/>
  <c r="U206" i="14"/>
  <c r="S206" i="14"/>
  <c r="X206" i="14" s="1"/>
  <c r="S85" i="14"/>
  <c r="X85" i="14" s="1"/>
  <c r="U90" i="14"/>
  <c r="S90" i="14"/>
  <c r="X90" i="14" s="1"/>
  <c r="S217" i="14"/>
  <c r="X217" i="14" s="1"/>
  <c r="S125" i="14"/>
  <c r="X125" i="14" s="1"/>
  <c r="W152" i="14"/>
  <c r="S152" i="14"/>
  <c r="X152" i="14" s="1"/>
  <c r="S49" i="14"/>
  <c r="X49" i="14" s="1"/>
  <c r="S53" i="14"/>
  <c r="X53" i="14" s="1"/>
  <c r="S197" i="14"/>
  <c r="X197" i="14" s="1"/>
  <c r="S75" i="14"/>
  <c r="X75" i="14" s="1"/>
  <c r="S81" i="14"/>
  <c r="X81" i="14" s="1"/>
  <c r="S92" i="14"/>
  <c r="X92" i="14" s="1"/>
  <c r="U199" i="14"/>
  <c r="S199" i="14"/>
  <c r="X199" i="14" s="1"/>
  <c r="S109" i="14"/>
  <c r="X109" i="14" s="1"/>
  <c r="V123" i="14"/>
  <c r="S6" i="14"/>
  <c r="X6" i="14" s="1"/>
  <c r="S11" i="14"/>
  <c r="X11" i="14" s="1"/>
  <c r="S16" i="14"/>
  <c r="X16" i="14" s="1"/>
  <c r="S22" i="14"/>
  <c r="X22" i="14" s="1"/>
  <c r="S26" i="14"/>
  <c r="X26" i="14" s="1"/>
  <c r="S32" i="14"/>
  <c r="X32" i="14" s="1"/>
  <c r="S38" i="14"/>
  <c r="X38" i="14" s="1"/>
  <c r="S43" i="14"/>
  <c r="X43" i="14" s="1"/>
  <c r="S61" i="14"/>
  <c r="X61" i="14" s="1"/>
  <c r="S72" i="14"/>
  <c r="X72" i="14" s="1"/>
  <c r="U82" i="14"/>
  <c r="S82" i="14"/>
  <c r="X82" i="14" s="1"/>
  <c r="S102" i="14"/>
  <c r="X102" i="14" s="1"/>
  <c r="W105" i="14"/>
  <c r="V107" i="14"/>
  <c r="S133" i="14"/>
  <c r="X133" i="14" s="1"/>
  <c r="W147" i="14"/>
  <c r="S147" i="14"/>
  <c r="X147" i="14" s="1"/>
  <c r="U162" i="14"/>
  <c r="U69" i="14"/>
  <c r="S208" i="14"/>
  <c r="X208" i="14" s="1"/>
  <c r="U84" i="14"/>
  <c r="S84" i="14"/>
  <c r="X84" i="14" s="1"/>
  <c r="U212" i="14"/>
  <c r="U214" i="14"/>
  <c r="S214" i="14"/>
  <c r="W95" i="14"/>
  <c r="U124" i="14"/>
  <c r="U157" i="14"/>
  <c r="U118" i="14"/>
  <c r="S5" i="14"/>
  <c r="X5" i="14" s="1"/>
  <c r="S182" i="14"/>
  <c r="X182" i="14" s="1"/>
  <c r="S31" i="14"/>
  <c r="X31" i="14" s="1"/>
  <c r="S48" i="14"/>
  <c r="S97" i="14"/>
  <c r="X97" i="14" s="1"/>
  <c r="U106" i="14"/>
  <c r="S106" i="14"/>
  <c r="X106" i="14" s="1"/>
  <c r="U108" i="14"/>
  <c r="S114" i="14"/>
  <c r="X114" i="14" s="1"/>
  <c r="U120" i="14"/>
  <c r="S128" i="14"/>
  <c r="X128" i="14" s="1"/>
  <c r="W141" i="14"/>
  <c r="S141" i="14"/>
  <c r="X141" i="14" s="1"/>
  <c r="U74" i="14"/>
  <c r="U80" i="14"/>
  <c r="U205" i="14"/>
  <c r="S205" i="14"/>
  <c r="X205" i="14" s="1"/>
  <c r="U91" i="14"/>
  <c r="S91" i="14"/>
  <c r="X91" i="14" s="1"/>
  <c r="U151" i="14"/>
  <c r="S30" i="14"/>
  <c r="X30" i="14" s="1"/>
  <c r="S36" i="14"/>
  <c r="X36" i="14" s="1"/>
  <c r="S41" i="14"/>
  <c r="X41" i="14" s="1"/>
  <c r="S47" i="14"/>
  <c r="X47" i="14" s="1"/>
  <c r="S52" i="14"/>
  <c r="X52" i="14" s="1"/>
  <c r="S64" i="14"/>
  <c r="X64" i="14" s="1"/>
  <c r="S71" i="14"/>
  <c r="X71" i="14" s="1"/>
  <c r="S77" i="14"/>
  <c r="X77" i="14" s="1"/>
  <c r="S202" i="14"/>
  <c r="X202" i="14" s="1"/>
  <c r="U207" i="14"/>
  <c r="S207" i="14"/>
  <c r="X207" i="14" s="1"/>
  <c r="U89" i="14"/>
  <c r="S89" i="14"/>
  <c r="X89" i="14" s="1"/>
  <c r="U96" i="14"/>
  <c r="S96" i="14"/>
  <c r="X96" i="14" s="1"/>
  <c r="S124" i="14"/>
  <c r="X124" i="14" s="1"/>
  <c r="W135" i="14"/>
  <c r="S135" i="14"/>
  <c r="X135" i="14" s="1"/>
  <c r="S157" i="14"/>
  <c r="X157" i="14" s="1"/>
  <c r="S236" i="14"/>
  <c r="X236" i="14" s="1"/>
  <c r="U236" i="14"/>
  <c r="S54" i="14"/>
  <c r="X54" i="14" s="1"/>
  <c r="S59" i="14"/>
  <c r="X59" i="14" s="1"/>
  <c r="S63" i="14"/>
  <c r="X63" i="14" s="1"/>
  <c r="U70" i="14"/>
  <c r="S70" i="14"/>
  <c r="X70" i="14" s="1"/>
  <c r="W219" i="14"/>
  <c r="S101" i="14"/>
  <c r="X101" i="14" s="1"/>
  <c r="S108" i="14"/>
  <c r="X108" i="14" s="1"/>
  <c r="U113" i="14"/>
  <c r="U188" i="14"/>
  <c r="W235" i="14"/>
  <c r="S235" i="14"/>
  <c r="X235" i="14" s="1"/>
  <c r="U146" i="14"/>
  <c r="S3" i="14"/>
  <c r="X3" i="14" s="1"/>
  <c r="S10" i="14"/>
  <c r="X10" i="14" s="1"/>
  <c r="S14" i="14"/>
  <c r="X14" i="14" s="1"/>
  <c r="S19" i="14"/>
  <c r="X19" i="14" s="1"/>
  <c r="S183" i="14"/>
  <c r="X183" i="14" s="1"/>
  <c r="S29" i="14"/>
  <c r="X29" i="14" s="1"/>
  <c r="S35" i="14"/>
  <c r="X35" i="14" s="1"/>
  <c r="S40" i="14"/>
  <c r="X40" i="14" s="1"/>
  <c r="S46" i="14"/>
  <c r="X46" i="14" s="1"/>
  <c r="S51" i="14"/>
  <c r="X51" i="14" s="1"/>
  <c r="S74" i="14"/>
  <c r="X74" i="14" s="1"/>
  <c r="U76" i="14"/>
  <c r="S76" i="14"/>
  <c r="S80" i="14"/>
  <c r="X80" i="14" s="1"/>
  <c r="U201" i="14"/>
  <c r="S201" i="14"/>
  <c r="U213" i="14"/>
  <c r="S213" i="14"/>
  <c r="X213" i="14" s="1"/>
  <c r="S237" i="14"/>
  <c r="X237" i="14" s="1"/>
  <c r="W237" i="14"/>
  <c r="S151" i="14"/>
  <c r="X151" i="14" s="1"/>
  <c r="U67" i="14"/>
  <c r="U210" i="14"/>
  <c r="U83" i="14"/>
  <c r="S83" i="14"/>
  <c r="X83" i="14" s="1"/>
  <c r="S198" i="14"/>
  <c r="X198" i="14" s="1"/>
  <c r="U215" i="14"/>
  <c r="S215" i="14"/>
  <c r="X215" i="14" s="1"/>
  <c r="U218" i="14"/>
  <c r="S186" i="14"/>
  <c r="X186" i="14" s="1"/>
  <c r="W99" i="14"/>
  <c r="V101" i="14"/>
  <c r="S103" i="14"/>
  <c r="X103" i="14" s="1"/>
  <c r="U110" i="14"/>
  <c r="V117" i="14"/>
  <c r="V132" i="14"/>
  <c r="U140" i="14"/>
  <c r="W163" i="14"/>
  <c r="S163" i="14"/>
  <c r="X163" i="14" s="1"/>
  <c r="U233" i="14"/>
  <c r="S57" i="14"/>
  <c r="X57" i="14" s="1"/>
  <c r="S58" i="14"/>
  <c r="U220" i="14"/>
  <c r="S220" i="14"/>
  <c r="S113" i="14"/>
  <c r="X113" i="14" s="1"/>
  <c r="S121" i="14"/>
  <c r="X121" i="14" s="1"/>
  <c r="S188" i="14"/>
  <c r="X188" i="14" s="1"/>
  <c r="S146" i="14"/>
  <c r="X146" i="14" s="1"/>
  <c r="W158" i="14"/>
  <c r="S158" i="14"/>
  <c r="X158" i="14" s="1"/>
  <c r="U136" i="14"/>
  <c r="U142" i="14"/>
  <c r="U148" i="14"/>
  <c r="U153" i="14"/>
  <c r="U159" i="14"/>
  <c r="S173" i="14"/>
  <c r="X173" i="14" s="1"/>
  <c r="S239" i="14"/>
  <c r="X239" i="14" s="1"/>
  <c r="S139" i="14"/>
  <c r="X139" i="14" s="1"/>
  <c r="S145" i="14"/>
  <c r="X145" i="14" s="1"/>
  <c r="S189" i="14"/>
  <c r="X189" i="14" s="1"/>
  <c r="S156" i="14"/>
  <c r="X156" i="14" s="1"/>
  <c r="S161" i="14"/>
  <c r="X161" i="14" s="1"/>
  <c r="S167" i="14"/>
  <c r="X167" i="14" s="1"/>
  <c r="S172" i="14"/>
  <c r="X172" i="14" s="1"/>
  <c r="S178" i="14"/>
  <c r="X178" i="14" s="1"/>
  <c r="S231" i="14"/>
  <c r="S116" i="14"/>
  <c r="S122" i="14"/>
  <c r="S134" i="14"/>
  <c r="S131" i="14"/>
  <c r="S238" i="14"/>
  <c r="S138" i="14"/>
  <c r="S144" i="14"/>
  <c r="S150" i="14"/>
  <c r="S155" i="14"/>
  <c r="S240" i="14"/>
  <c r="X240" i="14" s="1"/>
  <c r="S166" i="14"/>
  <c r="X166" i="14" s="1"/>
  <c r="S171" i="14"/>
  <c r="X171" i="14" s="1"/>
  <c r="S177" i="14"/>
  <c r="S111" i="14"/>
  <c r="X111" i="14" s="1"/>
  <c r="S187" i="14"/>
  <c r="X187" i="14" s="1"/>
  <c r="S130" i="14"/>
  <c r="X130" i="14" s="1"/>
  <c r="S137" i="14"/>
  <c r="X137" i="14" s="1"/>
  <c r="S143" i="14"/>
  <c r="X143" i="14" s="1"/>
  <c r="S149" i="14"/>
  <c r="X149" i="14" s="1"/>
  <c r="S154" i="14"/>
  <c r="X154" i="14" s="1"/>
  <c r="S160" i="14"/>
  <c r="X160" i="14" s="1"/>
  <c r="S165" i="14"/>
  <c r="X165" i="14" s="1"/>
  <c r="S170" i="14"/>
  <c r="X170" i="14" s="1"/>
  <c r="S176" i="14"/>
  <c r="X176" i="14" s="1"/>
  <c r="S193" i="14"/>
  <c r="X193" i="14" s="1"/>
  <c r="AD202" i="13" l="1"/>
  <c r="P202" i="13"/>
  <c r="O202" i="13"/>
  <c r="S202" i="13"/>
  <c r="T234" i="14"/>
  <c r="T226" i="14"/>
  <c r="T225" i="14"/>
  <c r="T228" i="14"/>
  <c r="T148" i="14"/>
  <c r="T221" i="14"/>
  <c r="T222" i="14"/>
  <c r="T227" i="14"/>
  <c r="T223" i="14"/>
  <c r="X230" i="14"/>
  <c r="T230" i="14"/>
  <c r="X224" i="14"/>
  <c r="T224" i="14"/>
  <c r="T229" i="14"/>
  <c r="T142" i="14"/>
  <c r="T127" i="14"/>
  <c r="X185" i="14"/>
  <c r="T118" i="14"/>
  <c r="T200" i="14"/>
  <c r="T216" i="14"/>
  <c r="T211" i="14"/>
  <c r="T105" i="14"/>
  <c r="T212" i="14"/>
  <c r="X175" i="14"/>
  <c r="T67" i="14"/>
  <c r="T99" i="14"/>
  <c r="T117" i="14"/>
  <c r="T42" i="14"/>
  <c r="T50" i="14"/>
  <c r="T196" i="14"/>
  <c r="X196" i="14"/>
  <c r="T20" i="14"/>
  <c r="X34" i="14"/>
  <c r="T129" i="14"/>
  <c r="T28" i="14"/>
  <c r="T162" i="14"/>
  <c r="T233" i="14"/>
  <c r="T120" i="14"/>
  <c r="T60" i="14"/>
  <c r="T204" i="14"/>
  <c r="T25" i="14"/>
  <c r="T21" i="14"/>
  <c r="T219" i="14"/>
  <c r="T98" i="14"/>
  <c r="T93" i="14"/>
  <c r="T218" i="14"/>
  <c r="T126" i="14"/>
  <c r="T191" i="14"/>
  <c r="T125" i="14"/>
  <c r="T95" i="14"/>
  <c r="T194" i="14"/>
  <c r="T66" i="14"/>
  <c r="T4" i="14"/>
  <c r="X169" i="14"/>
  <c r="T209" i="14"/>
  <c r="T110" i="14"/>
  <c r="T15" i="14"/>
  <c r="T232" i="14"/>
  <c r="T190" i="14"/>
  <c r="T101" i="14"/>
  <c r="X195" i="14"/>
  <c r="T37" i="14"/>
  <c r="T70" i="14"/>
  <c r="X9" i="14"/>
  <c r="T55" i="14"/>
  <c r="T69" i="14"/>
  <c r="T7" i="14"/>
  <c r="T44" i="14"/>
  <c r="T84" i="14"/>
  <c r="T78" i="14"/>
  <c r="X2" i="14"/>
  <c r="T174" i="14"/>
  <c r="X184" i="14"/>
  <c r="T24" i="14"/>
  <c r="T107" i="14"/>
  <c r="T86" i="14"/>
  <c r="T112" i="14"/>
  <c r="T210" i="14"/>
  <c r="T106" i="14"/>
  <c r="T123" i="14"/>
  <c r="T207" i="14"/>
  <c r="T153" i="14"/>
  <c r="T159" i="14"/>
  <c r="T68" i="14"/>
  <c r="T89" i="14"/>
  <c r="T140" i="14"/>
  <c r="T63" i="14"/>
  <c r="T79" i="14"/>
  <c r="T152" i="14"/>
  <c r="T183" i="14"/>
  <c r="T202" i="14"/>
  <c r="T94" i="14"/>
  <c r="T115" i="14"/>
  <c r="T38" i="14"/>
  <c r="T100" i="14"/>
  <c r="T11" i="14"/>
  <c r="T92" i="14"/>
  <c r="T96" i="14"/>
  <c r="T3" i="14"/>
  <c r="T32" i="14"/>
  <c r="T71" i="14"/>
  <c r="T5" i="14"/>
  <c r="T64" i="14"/>
  <c r="T81" i="14"/>
  <c r="T239" i="14"/>
  <c r="T168" i="14"/>
  <c r="T167" i="14"/>
  <c r="T75" i="14"/>
  <c r="T149" i="14"/>
  <c r="T160" i="14"/>
  <c r="T47" i="14"/>
  <c r="T158" i="14"/>
  <c r="T197" i="14"/>
  <c r="T206" i="14"/>
  <c r="T51" i="14"/>
  <c r="T188" i="14"/>
  <c r="T143" i="14"/>
  <c r="T72" i="14"/>
  <c r="T147" i="14"/>
  <c r="T172" i="14"/>
  <c r="T46" i="14"/>
  <c r="T141" i="14"/>
  <c r="X18" i="14"/>
  <c r="T203" i="14"/>
  <c r="X203" i="14"/>
  <c r="T164" i="14"/>
  <c r="T119" i="14"/>
  <c r="T139" i="14"/>
  <c r="T40" i="14"/>
  <c r="T205" i="14"/>
  <c r="T113" i="14"/>
  <c r="T130" i="14"/>
  <c r="T65" i="14"/>
  <c r="T87" i="14"/>
  <c r="T132" i="14"/>
  <c r="T53" i="14"/>
  <c r="T73" i="14"/>
  <c r="T137" i="14"/>
  <c r="T31" i="14"/>
  <c r="T6" i="14"/>
  <c r="T97" i="14"/>
  <c r="X45" i="14"/>
  <c r="T52" i="14"/>
  <c r="T235" i="14"/>
  <c r="T135" i="14"/>
  <c r="T187" i="14"/>
  <c r="T136" i="14"/>
  <c r="T171" i="14"/>
  <c r="T103" i="14"/>
  <c r="X13" i="14"/>
  <c r="T56" i="14"/>
  <c r="T104" i="14"/>
  <c r="T166" i="14"/>
  <c r="T173" i="14"/>
  <c r="T59" i="14"/>
  <c r="T91" i="14"/>
  <c r="T62" i="14"/>
  <c r="T178" i="14"/>
  <c r="T54" i="14"/>
  <c r="T182" i="14"/>
  <c r="T8" i="14"/>
  <c r="T134" i="14"/>
  <c r="X134" i="14"/>
  <c r="T165" i="14"/>
  <c r="T57" i="14"/>
  <c r="X220" i="14"/>
  <c r="T220" i="14"/>
  <c r="T240" i="14"/>
  <c r="X122" i="14"/>
  <c r="T122" i="14"/>
  <c r="T198" i="14"/>
  <c r="T163" i="14"/>
  <c r="T124" i="14"/>
  <c r="T49" i="14"/>
  <c r="T88" i="14"/>
  <c r="T17" i="14"/>
  <c r="X131" i="14"/>
  <c r="T131" i="14"/>
  <c r="X48" i="14"/>
  <c r="T48" i="14"/>
  <c r="T83" i="14"/>
  <c r="T58" i="14"/>
  <c r="X58" i="14"/>
  <c r="T215" i="14"/>
  <c r="T108" i="14"/>
  <c r="T102" i="14"/>
  <c r="T61" i="14"/>
  <c r="T199" i="14"/>
  <c r="T12" i="14"/>
  <c r="X76" i="14"/>
  <c r="T76" i="14"/>
  <c r="T35" i="14"/>
  <c r="T43" i="14"/>
  <c r="T39" i="14"/>
  <c r="T33" i="14"/>
  <c r="T181" i="14"/>
  <c r="T29" i="14"/>
  <c r="T109" i="14"/>
  <c r="X214" i="14"/>
  <c r="T214" i="14"/>
  <c r="T236" i="14"/>
  <c r="X201" i="14"/>
  <c r="T201" i="14"/>
  <c r="T121" i="14"/>
  <c r="T146" i="14"/>
  <c r="T80" i="14"/>
  <c r="T82" i="14"/>
  <c r="T217" i="14"/>
  <c r="T154" i="14"/>
  <c r="T177" i="14"/>
  <c r="X177" i="14"/>
  <c r="T231" i="14"/>
  <c r="X231" i="14"/>
  <c r="T150" i="14"/>
  <c r="X150" i="14"/>
  <c r="T144" i="14"/>
  <c r="X144" i="14"/>
  <c r="T176" i="14"/>
  <c r="T19" i="14"/>
  <c r="T213" i="14"/>
  <c r="T41" i="14"/>
  <c r="T26" i="14"/>
  <c r="T128" i="14"/>
  <c r="T85" i="14"/>
  <c r="T133" i="14"/>
  <c r="T23" i="14"/>
  <c r="T161" i="14"/>
  <c r="T189" i="14"/>
  <c r="T186" i="14"/>
  <c r="T14" i="14"/>
  <c r="T36" i="14"/>
  <c r="T151" i="14"/>
  <c r="T74" i="14"/>
  <c r="T157" i="14"/>
  <c r="T90" i="14"/>
  <c r="T22" i="14"/>
  <c r="T114" i="14"/>
  <c r="T27" i="14"/>
  <c r="X116" i="14"/>
  <c r="T116" i="14"/>
  <c r="T155" i="14"/>
  <c r="X155" i="14"/>
  <c r="T156" i="14"/>
  <c r="T138" i="14"/>
  <c r="X138" i="14"/>
  <c r="X238" i="14"/>
  <c r="T238" i="14"/>
  <c r="T145" i="14"/>
  <c r="T10" i="14"/>
  <c r="T77" i="14"/>
  <c r="T30" i="14"/>
  <c r="T237" i="14"/>
  <c r="T208" i="14"/>
  <c r="T16" i="14"/>
  <c r="T170" i="14"/>
  <c r="T111" i="14"/>
  <c r="T193" i="14"/>
</calcChain>
</file>

<file path=xl/sharedStrings.xml><?xml version="1.0" encoding="utf-8"?>
<sst xmlns="http://schemas.openxmlformats.org/spreadsheetml/2006/main" count="1365" uniqueCount="333">
  <si>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1/12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</si>
  <si>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</si>
  <si>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</si>
  <si>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</si>
  <si>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</si>
  <si>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 xml:space="preserve">Jumlah kertas undi yang patut berada di dalam peti undi
</t>
    </r>
    <r>
      <rPr>
        <b/>
        <sz val="7"/>
        <rFont val="Arial"/>
        <family val="2"/>
      </rPr>
      <t>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</si>
  <si>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</si>
  <si>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>Bilangan kertas undi yang ditolak 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</si>
  <si>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</si>
  <si>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CIKGU HAJI RAFIEI MUSTAPHA</t>
    </r>
  </si>
  <si>
    <r>
      <rPr>
        <sz val="6"/>
        <rFont val="Arial"/>
        <family val="2"/>
      </rPr>
      <t>DATUK P.KAMALANATHAN</t>
    </r>
  </si>
  <si>
    <r>
      <rPr>
        <sz val="6"/>
        <rFont val="Arial"/>
        <family val="2"/>
      </rPr>
      <t>RANI KULUP</t>
    </r>
  </si>
  <si>
    <r>
      <rPr>
        <sz val="6"/>
        <rFont val="Arial"/>
        <family val="2"/>
      </rPr>
      <t>DR. AHMAD IDHAM BIN AHMAD NADZRI</t>
    </r>
  </si>
  <si>
    <r>
      <rPr>
        <sz val="6"/>
        <rFont val="Arial"/>
        <family val="2"/>
      </rPr>
      <t>DATO' SERI AMINUDDIN BIN HARUN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</si>
  <si>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</si>
  <si>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</si>
  <si>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</si>
  <si>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132/29/00</t>
    </r>
  </si>
  <si>
    <r>
      <rPr>
        <sz val="8"/>
        <rFont val="Arial"/>
        <family val="2"/>
      </rPr>
      <t>BILIK MAKLUMAT, BALAI POLIS PORT DICKSON (DUN CHUAH)</t>
    </r>
  </si>
  <si>
    <r>
      <rPr>
        <sz val="8"/>
        <rFont val="Arial"/>
        <family val="2"/>
      </rPr>
      <t>UNDI AWAL 132/30/00</t>
    </r>
  </si>
  <si>
    <r>
      <rPr>
        <sz val="8"/>
        <rFont val="Arial"/>
        <family val="2"/>
      </rPr>
      <t>BILIK LATIHAN, IBU PEJABAT POLIS DAERAH PORT DICKSON (DUN LUKUT)</t>
    </r>
  </si>
  <si>
    <r>
      <rPr>
        <sz val="8"/>
        <rFont val="Arial"/>
        <family val="2"/>
      </rPr>
      <t>UNDI AWAL 132/31/00</t>
    </r>
  </si>
  <si>
    <r>
      <rPr>
        <sz val="8"/>
        <rFont val="Arial"/>
        <family val="2"/>
      </rPr>
      <t>KHEMAH A, IBU PEJABAT POLIS DAERAH PORT DICKSON (DUN BAGAN PINANG)</t>
    </r>
  </si>
  <si>
    <r>
      <rPr>
        <sz val="8"/>
        <rFont val="Arial"/>
        <family val="2"/>
      </rPr>
      <t>PUSASDA PORT DICKSON (DUN BAGAN PINANG)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</si>
  <si>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2/12</t>
    </r>
  </si>
  <si>
    <r>
      <rPr>
        <sz val="8"/>
        <rFont val="Arial"/>
        <family val="2"/>
      </rPr>
      <t>UNDI AWAL 132/32/00</t>
    </r>
  </si>
  <si>
    <r>
      <rPr>
        <sz val="8"/>
        <rFont val="Arial"/>
        <family val="2"/>
      </rPr>
      <t>KHEMAH B, IBU PEJABAT POLIS DAERAH PORT DICKSON (DUN LINGGI)</t>
    </r>
  </si>
  <si>
    <r>
      <rPr>
        <sz val="8"/>
        <rFont val="Arial"/>
        <family val="2"/>
      </rPr>
      <t>DEWAN SERBAGUNA KEM SEGENTING (DUN LINGGI)</t>
    </r>
  </si>
  <si>
    <r>
      <rPr>
        <sz val="8"/>
        <rFont val="Arial"/>
        <family val="2"/>
      </rPr>
      <t>UNDI AWAL 132/33/00</t>
    </r>
  </si>
  <si>
    <r>
      <rPr>
        <sz val="8"/>
        <rFont val="Arial"/>
        <family val="2"/>
      </rPr>
      <t>KHEMAH C, IBU PEJABAT POLIS DAERAH PORT DICKSON (DUN SRI TANJUNG)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</si>
  <si>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</si>
  <si>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TANAH MERAH 132/29/01</t>
    </r>
  </si>
  <si>
    <r>
      <rPr>
        <sz val="8"/>
        <rFont val="Arial"/>
        <family val="2"/>
      </rPr>
      <t>SEKOLAH JENIS KEBANGSAAN (TAMIL) LADANG TANAH MERAH</t>
    </r>
  </si>
  <si>
    <r>
      <rPr>
        <sz val="8"/>
        <rFont val="Arial"/>
        <family val="2"/>
      </rPr>
      <t>SEKOLAH RENDAH JENIS KEBANGSAAN (CINA) KAMPUNG BARU TANAH MERAH SITE 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</si>
  <si>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3/12</t>
    </r>
  </si>
  <si>
    <r>
      <rPr>
        <sz val="8"/>
        <rFont val="Arial"/>
        <family val="2"/>
      </rPr>
      <t>SEKOLAH MENENGAH KEBANGSAAN TANAH MERAH</t>
    </r>
  </si>
  <si>
    <r>
      <rPr>
        <sz val="8"/>
        <rFont val="Arial"/>
        <family val="2"/>
      </rPr>
      <t>KAMPONG PACHITAN 132/29/02</t>
    </r>
  </si>
  <si>
    <r>
      <rPr>
        <sz val="8"/>
        <rFont val="Arial"/>
        <family val="2"/>
      </rPr>
      <t>SEKOLAH KEBANGSAAN KAMPUNG SAWAH</t>
    </r>
  </si>
  <si>
    <r>
      <rPr>
        <sz val="8"/>
        <rFont val="Arial"/>
        <family val="2"/>
      </rPr>
      <t>BUKIT PELANDOK 132/29/03</t>
    </r>
  </si>
  <si>
    <r>
      <rPr>
        <sz val="8"/>
        <rFont val="Arial"/>
        <family val="2"/>
      </rPr>
      <t>SEKOLAH JENIS KEBANGSAAN (CINA) YIK CHIAO</t>
    </r>
  </si>
  <si>
    <r>
      <rPr>
        <sz val="8"/>
        <rFont val="Arial"/>
        <family val="2"/>
      </rPr>
      <t>SUNGAI NIPAH 132/29/04</t>
    </r>
  </si>
  <si>
    <r>
      <rPr>
        <sz val="8"/>
        <rFont val="Arial"/>
        <family val="2"/>
      </rPr>
      <t>SEKOLAH JENIS KEBANGSAAN (CINA) KAMPUNG BARU SG. NIPAH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</si>
  <si>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4/12</t>
    </r>
  </si>
  <si>
    <r>
      <rPr>
        <sz val="8"/>
        <rFont val="Arial"/>
        <family val="2"/>
      </rPr>
      <t>CHUAH 132/29/05</t>
    </r>
  </si>
  <si>
    <r>
      <rPr>
        <sz val="8"/>
        <rFont val="Arial"/>
        <family val="2"/>
      </rPr>
      <t>SEKOLAH MENENGAH AGAMA CHUAH</t>
    </r>
  </si>
  <si>
    <r>
      <rPr>
        <sz val="8"/>
        <rFont val="Arial"/>
        <family val="2"/>
      </rPr>
      <t xml:space="preserve">KAMPONG JIMAH BARU
</t>
    </r>
    <r>
      <rPr>
        <sz val="8"/>
        <rFont val="Arial"/>
        <family val="2"/>
      </rPr>
      <t>132/30/01</t>
    </r>
  </si>
  <si>
    <r>
      <rPr>
        <sz val="8"/>
        <rFont val="Arial"/>
        <family val="2"/>
      </rPr>
      <t>SEKOLAH KEBANGSAAN JIMAH BARU</t>
    </r>
  </si>
  <si>
    <r>
      <rPr>
        <sz val="8"/>
        <rFont val="Arial"/>
        <family val="2"/>
      </rPr>
      <t xml:space="preserve">BANDAR SPRING HILL
</t>
    </r>
    <r>
      <rPr>
        <sz val="8"/>
        <rFont val="Arial"/>
        <family val="2"/>
      </rPr>
      <t>132/30/02</t>
    </r>
  </si>
  <si>
    <r>
      <rPr>
        <sz val="8"/>
        <rFont val="Arial"/>
        <family val="2"/>
      </rPr>
      <t>SEKOLAH JENIS KEBANGSAAN (TAMIL) BANDAR SPRINGHILL</t>
    </r>
  </si>
  <si>
    <r>
      <rPr>
        <sz val="8"/>
        <rFont val="Arial"/>
        <family val="2"/>
      </rPr>
      <t>TAMAN INDAH JAYA 132/30/03</t>
    </r>
  </si>
  <si>
    <r>
      <rPr>
        <sz val="8"/>
        <rFont val="Arial"/>
        <family val="2"/>
      </rPr>
      <t>SEKOLAH KEBANGSAAN LUKUT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</si>
  <si>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5/12</t>
    </r>
  </si>
  <si>
    <r>
      <rPr>
        <sz val="8"/>
        <rFont val="Arial"/>
        <family val="2"/>
      </rPr>
      <t>KUALA LUKUT 132/30/04</t>
    </r>
  </si>
  <si>
    <r>
      <rPr>
        <sz val="8"/>
        <rFont val="Arial"/>
        <family val="2"/>
      </rPr>
      <t>SEKOLAH MENENGAH KEBANGSAAN RAJA JUMAAT</t>
    </r>
  </si>
  <si>
    <r>
      <rPr>
        <sz val="8"/>
        <rFont val="Arial"/>
        <family val="2"/>
      </rPr>
      <t>LUKUT 132/30/05</t>
    </r>
  </si>
  <si>
    <r>
      <rPr>
        <sz val="8"/>
        <rFont val="Arial"/>
        <family val="2"/>
      </rPr>
      <t>SEKOLAH JENIS KEBANGSAAN (TAMIL) LADANG SUNGAI SALAK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</si>
  <si>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6/12</t>
    </r>
  </si>
  <si>
    <r>
      <rPr>
        <sz val="8"/>
        <rFont val="Arial"/>
        <family val="2"/>
      </rPr>
      <t>SRI PARIT 132/30/06</t>
    </r>
  </si>
  <si>
    <r>
      <rPr>
        <sz val="8"/>
        <rFont val="Arial"/>
        <family val="2"/>
      </rPr>
      <t>SEKOLAH JENIS KEBANGSAAN (CINA) CHUNG HUA LUKUT</t>
    </r>
  </si>
  <si>
    <r>
      <rPr>
        <sz val="8"/>
        <rFont val="Arial"/>
        <family val="2"/>
      </rPr>
      <t>TANJONG GEMOK 132/30/07</t>
    </r>
  </si>
  <si>
    <r>
      <rPr>
        <sz val="8"/>
        <rFont val="Arial"/>
        <family val="2"/>
      </rPr>
      <t>SEKOLAH JENIS KEBANGSAAN (CINA) BRADWALL</t>
    </r>
  </si>
  <si>
    <r>
      <rPr>
        <sz val="8"/>
        <rFont val="Arial"/>
        <family val="2"/>
      </rPr>
      <t>LADANG ATHERTON 132/31/01</t>
    </r>
  </si>
  <si>
    <r>
      <rPr>
        <sz val="8"/>
        <rFont val="Arial"/>
        <family val="2"/>
      </rPr>
      <t>SEKOLAH JENIS KEBANGSAAN (TAMIL) LADANG ATHERTON</t>
    </r>
  </si>
  <si>
    <r>
      <rPr>
        <sz val="8"/>
        <rFont val="Arial"/>
        <family val="2"/>
      </rPr>
      <t>PEKAN SILIAU 132/31/02</t>
    </r>
  </si>
  <si>
    <r>
      <rPr>
        <sz val="8"/>
        <rFont val="Arial"/>
        <family val="2"/>
      </rPr>
      <t>SEKOLAH JENIS KEBANGSAAN (TAMIL) LADANG SILIAU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</si>
  <si>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7/12</t>
    </r>
  </si>
  <si>
    <r>
      <rPr>
        <sz val="8"/>
        <rFont val="Arial"/>
        <family val="2"/>
      </rPr>
      <t>LADANG BRADWALL 132/31/03</t>
    </r>
  </si>
  <si>
    <r>
      <rPr>
        <sz val="8"/>
        <rFont val="Arial"/>
        <family val="2"/>
      </rPr>
      <t>SEKOLAH JENIS KEBANGSAAN (TAMIL) LADANG BRADWALL</t>
    </r>
  </si>
  <si>
    <r>
      <rPr>
        <sz val="8"/>
        <rFont val="Arial"/>
        <family val="2"/>
      </rPr>
      <t>SUA BETONG 132/31/04</t>
    </r>
  </si>
  <si>
    <r>
      <rPr>
        <sz val="8"/>
        <rFont val="Arial"/>
        <family val="2"/>
      </rPr>
      <t>SEKOLAH JENIS KEBANGSAAN (TAMIL) LADANG SUA BETONG</t>
    </r>
  </si>
  <si>
    <r>
      <rPr>
        <sz val="8"/>
        <rFont val="Arial"/>
        <family val="2"/>
      </rPr>
      <t>SUNGGALA 132/31/05</t>
    </r>
  </si>
  <si>
    <r>
      <rPr>
        <sz val="8"/>
        <rFont val="Arial"/>
        <family val="2"/>
      </rPr>
      <t>SEKOLAH KEBANGSAAN SI-RUSA</t>
    </r>
  </si>
  <si>
    <r>
      <rPr>
        <sz val="8"/>
        <rFont val="Arial"/>
        <family val="2"/>
      </rPr>
      <t>KAMPONG BAGAN PINANG 132/31/06</t>
    </r>
  </si>
  <si>
    <r>
      <rPr>
        <sz val="8"/>
        <rFont val="Arial"/>
        <family val="2"/>
      </rPr>
      <t>SEKOLAH KEBANGSAAN PANGLIMA ADNAN</t>
    </r>
  </si>
  <si>
    <r>
      <rPr>
        <sz val="8"/>
        <rFont val="Arial"/>
        <family val="2"/>
      </rPr>
      <t>SI RUSA 132/31/07</t>
    </r>
  </si>
  <si>
    <r>
      <rPr>
        <sz val="8"/>
        <rFont val="Arial"/>
        <family val="2"/>
      </rPr>
      <t>SEKOLAH KEBANGSAAN KAMPUNG BARU SIRUSA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</si>
  <si>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8/12</t>
    </r>
  </si>
  <si>
    <r>
      <rPr>
        <sz val="8"/>
        <rFont val="Arial"/>
        <family val="2"/>
      </rPr>
      <t>TELOK KEMANG 132/31/08</t>
    </r>
  </si>
  <si>
    <r>
      <rPr>
        <sz val="8"/>
        <rFont val="Arial"/>
        <family val="2"/>
      </rPr>
      <t>SEKOLAH KEBANGSAAN TELOK KEMANG</t>
    </r>
  </si>
  <si>
    <r>
      <rPr>
        <sz val="8"/>
        <rFont val="Arial"/>
        <family val="2"/>
      </rPr>
      <t>SEKOLAH MENENGAH AGAMA TELOK KEMANG</t>
    </r>
  </si>
  <si>
    <r>
      <rPr>
        <sz val="8"/>
        <rFont val="Arial"/>
        <family val="2"/>
      </rPr>
      <t>AYER KUNING 132/32/01</t>
    </r>
  </si>
  <si>
    <r>
      <rPr>
        <sz val="8"/>
        <rFont val="Arial"/>
        <family val="2"/>
      </rPr>
      <t>BALAI RAYA KAMPUNG BARISAN</t>
    </r>
  </si>
  <si>
    <r>
      <rPr>
        <sz val="8"/>
        <rFont val="Arial"/>
        <family val="2"/>
      </rPr>
      <t>LINGGI 132/32/02</t>
    </r>
  </si>
  <si>
    <r>
      <rPr>
        <sz val="8"/>
        <rFont val="Arial"/>
        <family val="2"/>
      </rPr>
      <t>SEKOLAH KEBANGSAAN LINGGI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</si>
  <si>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  MUKASURAT: 9/12</t>
    </r>
  </si>
  <si>
    <r>
      <rPr>
        <sz val="8"/>
        <rFont val="Arial"/>
        <family val="2"/>
      </rPr>
      <t>KAMPONG PENGKALAN DURIAN 132/32/03</t>
    </r>
  </si>
  <si>
    <r>
      <rPr>
        <sz val="8"/>
        <rFont val="Arial"/>
        <family val="2"/>
      </rPr>
      <t>PUSAT PEMULIHAN DALAM KOMUNITI CAHAYA IKHSAN LINGGI</t>
    </r>
  </si>
  <si>
    <r>
      <rPr>
        <sz val="8"/>
        <rFont val="Arial"/>
        <family val="2"/>
      </rPr>
      <t>PENGKALAN KEMPAS 132/32/04</t>
    </r>
  </si>
  <si>
    <r>
      <rPr>
        <sz val="8"/>
        <rFont val="Arial"/>
        <family val="2"/>
      </rPr>
      <t>SEKOLAH JENIS KEBANGSAAN (CINA) YIK HWA</t>
    </r>
  </si>
  <si>
    <r>
      <rPr>
        <sz val="8"/>
        <rFont val="Arial"/>
        <family val="2"/>
      </rPr>
      <t>LADANG SENGKANG 132/32/05</t>
    </r>
  </si>
  <si>
    <r>
      <rPr>
        <sz val="8"/>
        <rFont val="Arial"/>
        <family val="2"/>
      </rPr>
      <t>SEKOLAH JENIS KEBANGSAAN (TAMIL) LADANG SENGKANG</t>
    </r>
  </si>
  <si>
    <r>
      <rPr>
        <sz val="8"/>
        <rFont val="Arial"/>
        <family val="2"/>
      </rPr>
      <t>KAMPONG SUNGAI RAYA 132/32/06</t>
    </r>
  </si>
  <si>
    <r>
      <rPr>
        <sz val="8"/>
        <rFont val="Arial"/>
        <family val="2"/>
      </rPr>
      <t>SEKOLAH KEBANGSAAN TANJONG AGAS</t>
    </r>
  </si>
  <si>
    <r>
      <rPr>
        <sz val="8"/>
        <rFont val="Arial"/>
        <family val="2"/>
      </rPr>
      <t>PASIR PANJANG 132/32/07</t>
    </r>
  </si>
  <si>
    <r>
      <rPr>
        <sz val="8"/>
        <rFont val="Arial"/>
        <family val="2"/>
      </rPr>
      <t>SEKOLAH JENIS KEBANGSAAN (CINA) CHUNG HUA PASIR PANJANG</t>
    </r>
  </si>
  <si>
    <r>
      <rPr>
        <sz val="8"/>
        <rFont val="Arial"/>
        <family val="2"/>
      </rPr>
      <t>BALAI RAYA KAMPUNG ORANG ASLI PALEBAR BARU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</si>
  <si>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MUKASURAT: 10/12</t>
    </r>
  </si>
  <si>
    <r>
      <rPr>
        <sz val="8"/>
        <rFont val="Arial"/>
        <family val="2"/>
      </rPr>
      <t>BANDAR BARU SUNGGALA 132/32/08</t>
    </r>
  </si>
  <si>
    <r>
      <rPr>
        <sz val="8"/>
        <rFont val="Arial"/>
        <family val="2"/>
      </rPr>
      <t>SEKOLAH KEBANGSAAN INTAN PERDANA</t>
    </r>
  </si>
  <si>
    <r>
      <rPr>
        <sz val="8"/>
        <rFont val="Arial"/>
        <family val="2"/>
      </rPr>
      <t>SEKOLAH MENENGAH KEBANGSAAN INTAN PERDANA</t>
    </r>
  </si>
  <si>
    <r>
      <rPr>
        <sz val="8"/>
        <rFont val="Arial"/>
        <family val="2"/>
      </rPr>
      <t>KAMPONG PAYA 132/33/01</t>
    </r>
  </si>
  <si>
    <r>
      <rPr>
        <sz val="8"/>
        <rFont val="Arial"/>
        <family val="2"/>
      </rPr>
      <t>KOLEJ VOKASIONAL PORT DICKSON</t>
    </r>
  </si>
  <si>
    <r>
      <rPr>
        <sz val="8"/>
        <rFont val="Arial"/>
        <family val="2"/>
      </rPr>
      <t>SEKOLAH RENDAH AGAMA TAMAN DESA PERMAI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</si>
  <si>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MUKASURAT: 11/12</t>
    </r>
  </si>
  <si>
    <r>
      <rPr>
        <sz val="8"/>
        <rFont val="Arial"/>
        <family val="2"/>
      </rPr>
      <t>KAMPONG ARAB 132/33/02</t>
    </r>
  </si>
  <si>
    <r>
      <rPr>
        <sz val="8"/>
        <rFont val="Arial"/>
        <family val="2"/>
      </rPr>
      <t>SEKOLAH KEBANGSAAN KAMPONG GELAM</t>
    </r>
  </si>
  <si>
    <r>
      <rPr>
        <sz val="8"/>
        <rFont val="Arial"/>
        <family val="2"/>
      </rPr>
      <t>KAMPONG CHOKRA 132/33/03</t>
    </r>
  </si>
  <si>
    <r>
      <rPr>
        <sz val="8"/>
        <rFont val="Arial"/>
        <family val="2"/>
      </rPr>
      <t>SEKOLAH JENIS KEBANGSAAN (TAMIL) PORT DICKSON</t>
    </r>
  </si>
  <si>
    <r>
      <rPr>
        <sz val="8"/>
        <rFont val="Arial"/>
        <family val="2"/>
      </rPr>
      <t>PEKAN PORT DICKSON 132/33/04</t>
    </r>
  </si>
  <si>
    <r>
      <rPr>
        <sz val="8"/>
        <rFont val="Arial"/>
        <family val="2"/>
      </rPr>
      <t>SEKOLAH KEBANGSAAN PORT DICKSON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</si>
  <si>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P.132 PORT DICKSON
</t>
    </r>
    <r>
      <rPr>
        <b/>
        <sz val="10"/>
        <rFont val="Arial"/>
        <family val="2"/>
      </rPr>
      <t>JUMLAH PEMILIH: 104,450                                                                                                                                                                                           MUKASURAT: 12/12</t>
    </r>
  </si>
  <si>
    <r>
      <rPr>
        <sz val="8"/>
        <rFont val="Arial"/>
        <family val="2"/>
      </rPr>
      <t>SEKOLAH MENENGAH KEBANGSAAN DATUK HAJI ABDUL SAMAD</t>
    </r>
  </si>
  <si>
    <r>
      <rPr>
        <b/>
        <sz val="12"/>
        <rFont val="Arial"/>
        <family val="2"/>
      </rPr>
      <t>JUMLAH</t>
    </r>
  </si>
  <si>
    <t>PN</t>
  </si>
  <si>
    <t>BN</t>
  </si>
  <si>
    <t>IND</t>
  </si>
  <si>
    <t>PEJUANG</t>
  </si>
  <si>
    <t>PH</t>
  </si>
  <si>
    <t>Bil</t>
  </si>
  <si>
    <t>Nama Pusat Mengundi</t>
  </si>
  <si>
    <t>Bilangan kertas undi yang ditolak (C)</t>
  </si>
  <si>
    <t>Jumlah undian oleh pemilih</t>
  </si>
  <si>
    <t>UNDI POS</t>
  </si>
  <si>
    <t>UNDI AWAL 132/29/00</t>
  </si>
  <si>
    <t>BILIK MAKLUMAT, BALAI POLIS PORT DICKSON (DUN CHUAH)</t>
  </si>
  <si>
    <t>UNDI AWAL 132/30/00</t>
  </si>
  <si>
    <t>BILIK LATIHAN, IBU PEJABAT POLIS DAERAH PORT DICKSON (DUN LUKUT)</t>
  </si>
  <si>
    <t>UNDI AWAL 132/31/00</t>
  </si>
  <si>
    <t>KHEMAH A, IBU PEJABAT POLIS DAERAH PORT DICKSON (DUN BAGAN PINANG)</t>
  </si>
  <si>
    <t>PUSASDA PORT DICKSON (DUN BAGAN PINANG)</t>
  </si>
  <si>
    <t>Undi Tidak Dimasukkan</t>
  </si>
  <si>
    <t>Nama &amp; Kod DM</t>
  </si>
  <si>
    <t>Saluran</t>
  </si>
  <si>
    <t>Jumlah kertas undi dikeluarkan</t>
  </si>
  <si>
    <t>UNDI AWAL 132/32/00</t>
  </si>
  <si>
    <t>KHEMAH B, IBU PEJABAT POLIS DAERAH PORT DICKSON (DUN LINGGI)</t>
  </si>
  <si>
    <t>DEWAN SERBAGUNA KEM SEGENTING (DUN LINGGI)</t>
  </si>
  <si>
    <t>UNDI AWAL 132/33/00</t>
  </si>
  <si>
    <t>KHEMAH C, IBU PEJABAT POLIS DAERAH PORT DICKSON (DUN SRI TANJUNG)</t>
  </si>
  <si>
    <t>TANAH MERAH 132/29/01</t>
  </si>
  <si>
    <t>SEKOLAH JENIS KEBANGSAAN (TAMIL) LADANG TANAH MERAH</t>
  </si>
  <si>
    <t>SEKOLAH RENDAH JENIS KEBANGSAAN (CINA) KAMPUNG BARU TANAH MERAH SITE A</t>
  </si>
  <si>
    <t>SEKOLAH MENENGAH KEBANGSAAN TANAH MERAH</t>
  </si>
  <si>
    <t>KAMPONG PACHITAN 132/29/02</t>
  </si>
  <si>
    <t>SEKOLAH KEBANGSAAN KAMPUNG SAWAH</t>
  </si>
  <si>
    <t>BUKIT PELANDOK 132/29/03</t>
  </si>
  <si>
    <t>SEKOLAH JENIS KEBANGSAAN (CINA) YIK CHIAO</t>
  </si>
  <si>
    <t>SUNGAI NIPAH 132/29/04</t>
  </si>
  <si>
    <t>SEKOLAH JENIS KEBANGSAAN (CINA) KAMPUNG BARU SG. NIPAH</t>
  </si>
  <si>
    <t>CHUAH 132/29/05</t>
  </si>
  <si>
    <t>SEKOLAH MENENGAH AGAMA CHUAH</t>
  </si>
  <si>
    <t>KAMPONG JIMAH BARU
132/30/01</t>
  </si>
  <si>
    <t>SEKOLAH KEBANGSAAN JIMAH BARU</t>
  </si>
  <si>
    <t>BANDAR SPRING HILL
132/30/02</t>
  </si>
  <si>
    <t>SEKOLAH JENIS KEBANGSAAN (TAMIL) BANDAR SPRINGHILL</t>
  </si>
  <si>
    <t>TAMAN INDAH JAYA 132/30/03</t>
  </si>
  <si>
    <t>SEKOLAH KEBANGSAAN LUKUT</t>
  </si>
  <si>
    <t>KUALA LUKUT 132/30/04</t>
  </si>
  <si>
    <t>SEKOLAH MENENGAH KEBANGSAAN RAJA JUMAAT</t>
  </si>
  <si>
    <t>LUKUT 132/30/05</t>
  </si>
  <si>
    <t>SEKOLAH JENIS KEBANGSAAN (TAMIL) LADANG SUNGAI SALAK</t>
  </si>
  <si>
    <t>SRI PARIT 132/30/06</t>
  </si>
  <si>
    <t>SEKOLAH JENIS KEBANGSAAN (CINA) CHUNG HUA LUKUT</t>
  </si>
  <si>
    <t>TANJONG GEMOK 132/30/07</t>
  </si>
  <si>
    <t>SEKOLAH JENIS KEBANGSAAN (CINA) BRADWALL</t>
  </si>
  <si>
    <t>LADANG ATHERTON 132/31/01</t>
  </si>
  <si>
    <t>SEKOLAH JENIS KEBANGSAAN (TAMIL) LADANG ATHERTON</t>
  </si>
  <si>
    <t>PEKAN SILIAU 132/31/02</t>
  </si>
  <si>
    <t>SEKOLAH JENIS KEBANGSAAN (TAMIL) LADANG SILIAU</t>
  </si>
  <si>
    <t>LADANG BRADWALL 132/31/03</t>
  </si>
  <si>
    <t>SEKOLAH JENIS KEBANGSAAN (TAMIL) LADANG BRADWALL</t>
  </si>
  <si>
    <t>SUA BETONG 132/31/04</t>
  </si>
  <si>
    <t>SEKOLAH JENIS KEBANGSAAN (TAMIL) LADANG SUA BETONG</t>
  </si>
  <si>
    <t>SUNGGALA 132/31/05</t>
  </si>
  <si>
    <t>SEKOLAH KEBANGSAAN SI-RUSA</t>
  </si>
  <si>
    <t>KAMPONG BAGAN PINANG 132/31/06</t>
  </si>
  <si>
    <t>SEKOLAH KEBANGSAAN PANGLIMA ADNAN</t>
  </si>
  <si>
    <t>SI RUSA 132/31/07</t>
  </si>
  <si>
    <t>SEKOLAH KEBANGSAAN KAMPUNG BARU SIRUSA</t>
  </si>
  <si>
    <t>TELOK KEMANG 132/31/08</t>
  </si>
  <si>
    <t>SEKOLAH KEBANGSAAN TELOK KEMANG</t>
  </si>
  <si>
    <t>SEKOLAH MENENGAH AGAMA TELOK KEMANG</t>
  </si>
  <si>
    <t>AYER KUNING 132/32/01</t>
  </si>
  <si>
    <t>BALAI RAYA KAMPUNG BARISAN</t>
  </si>
  <si>
    <t>LINGGI 132/32/02</t>
  </si>
  <si>
    <t>SEKOLAH KEBANGSAAN LINGGI</t>
  </si>
  <si>
    <t>KAMPONG PENGKALAN DURIAN 132/32/03</t>
  </si>
  <si>
    <t>PUSAT PEMULIHAN DALAM KOMUNITI CAHAYA IKHSAN LINGGI</t>
  </si>
  <si>
    <t>PENGKALAN KEMPAS 132/32/04</t>
  </si>
  <si>
    <t>SEKOLAH JENIS KEBANGSAAN (CINA) YIK HWA</t>
  </si>
  <si>
    <t>LADANG SENGKANG 132/32/05</t>
  </si>
  <si>
    <t>SEKOLAH JENIS KEBANGSAAN (TAMIL) LADANG SENGKANG</t>
  </si>
  <si>
    <t>KAMPONG SUNGAI RAYA 132/32/06</t>
  </si>
  <si>
    <t>SEKOLAH KEBANGSAAN TANJONG AGAS</t>
  </si>
  <si>
    <t>PASIR PANJANG 132/32/07</t>
  </si>
  <si>
    <t>SEKOLAH JENIS KEBANGSAAN (CINA) CHUNG HUA PASIR PANJANG</t>
  </si>
  <si>
    <t>BALAI RAYA KAMPUNG ORANG ASLI PALEBAR BARU</t>
  </si>
  <si>
    <t>BANDAR BARU SUNGGALA 132/32/08</t>
  </si>
  <si>
    <t>SEKOLAH KEBANGSAAN INTAN PERDANA</t>
  </si>
  <si>
    <t>SEKOLAH MENENGAH KEBANGSAAN INTAN PERDANA</t>
  </si>
  <si>
    <t>KAMPONG PAYA 132/33/01</t>
  </si>
  <si>
    <t>KOLEJ VOKASIONAL PORT DICKSON</t>
  </si>
  <si>
    <t>SEKOLAH RENDAH AGAMA TAMAN DESA PERMAI</t>
  </si>
  <si>
    <t>KAMPONG ARAB 132/33/02</t>
  </si>
  <si>
    <t>SEKOLAH KEBANGSAAN KAMPONG GELAM</t>
  </si>
  <si>
    <t>KAMPONG CHOKRA 132/33/03</t>
  </si>
  <si>
    <t>SEKOLAH JENIS KEBANGSAAN (TAMIL) PORT DICKSON</t>
  </si>
  <si>
    <t>PEKAN PORT DICKSON 132/33/04</t>
  </si>
  <si>
    <t>SEKOLAH KEBANGSAAN PORT DICKSON</t>
  </si>
  <si>
    <t>SEKOLAH MENENGAH KEBANGSAAN DATUK HAJI ABDUL SAMAD</t>
  </si>
  <si>
    <t>JUMLAH</t>
  </si>
  <si>
    <t>Jumlah Undi</t>
  </si>
  <si>
    <t>PH%</t>
  </si>
  <si>
    <t>PN%</t>
  </si>
  <si>
    <t>BN%</t>
  </si>
  <si>
    <t>PEJUANG%</t>
  </si>
  <si>
    <t>IND%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</si>
  <si>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</si>
  <si>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</si>
  <si>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</si>
  <si>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</si>
  <si>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</si>
  <si>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</si>
  <si>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</si>
  <si>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</si>
  <si>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</si>
  <si>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</si>
  <si>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</si>
  <si>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</si>
  <si>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</si>
  <si>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</si>
  <si>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</si>
  <si>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1322901</t>
  </si>
  <si>
    <t>TANAH MERAH</t>
  </si>
  <si>
    <t>132_PORT DICKSON</t>
  </si>
  <si>
    <t>POS</t>
  </si>
  <si>
    <t>1322902</t>
  </si>
  <si>
    <t>KAMPONG PACHITAN</t>
  </si>
  <si>
    <t>1322903</t>
  </si>
  <si>
    <t>BUKIT PELANDOK</t>
  </si>
  <si>
    <t>1322904</t>
  </si>
  <si>
    <t>SUNGAI NIPAH</t>
  </si>
  <si>
    <t>1322905</t>
  </si>
  <si>
    <t>CHUAH</t>
  </si>
  <si>
    <t>1323001</t>
  </si>
  <si>
    <t>KAMPONG JIMAH BARU</t>
  </si>
  <si>
    <t>1323002</t>
  </si>
  <si>
    <t>BANDAR SPRING HILL</t>
  </si>
  <si>
    <t>1323003</t>
  </si>
  <si>
    <t>TAMAN INDAH JAYA</t>
  </si>
  <si>
    <t>1323004</t>
  </si>
  <si>
    <t>KUALA LUKUT</t>
  </si>
  <si>
    <t>1323005</t>
  </si>
  <si>
    <t>LUKUT</t>
  </si>
  <si>
    <t>1323006</t>
  </si>
  <si>
    <t>SRI PARIT</t>
  </si>
  <si>
    <t>1323007</t>
  </si>
  <si>
    <t>TANJONG GEMOK</t>
  </si>
  <si>
    <t>1323101</t>
  </si>
  <si>
    <t>LADANG ATHERTON</t>
  </si>
  <si>
    <t>1323102</t>
  </si>
  <si>
    <t>PEKAN SILIAU</t>
  </si>
  <si>
    <t>1323103</t>
  </si>
  <si>
    <t>LADANG BRADWALL</t>
  </si>
  <si>
    <t>1323104</t>
  </si>
  <si>
    <t>SUA BETONG</t>
  </si>
  <si>
    <t>1323105</t>
  </si>
  <si>
    <t>SUNGGALA</t>
  </si>
  <si>
    <t>1323106</t>
  </si>
  <si>
    <t>KAMPONG BAGAN PINANG</t>
  </si>
  <si>
    <t>1323107</t>
  </si>
  <si>
    <t>SI RUSA</t>
  </si>
  <si>
    <t>1323108</t>
  </si>
  <si>
    <t>TELOK KEMANG</t>
  </si>
  <si>
    <t>1323201</t>
  </si>
  <si>
    <t>AYER KUNING</t>
  </si>
  <si>
    <t>1323202</t>
  </si>
  <si>
    <t>LINGGI</t>
  </si>
  <si>
    <t>1323203</t>
  </si>
  <si>
    <t>KAMPONG PENGKALAN DURIAN</t>
  </si>
  <si>
    <t>1323204</t>
  </si>
  <si>
    <t>PENGKALAN KEMPAS</t>
  </si>
  <si>
    <t>1323205</t>
  </si>
  <si>
    <t>LADANG SENGKANG</t>
  </si>
  <si>
    <t>1323206</t>
  </si>
  <si>
    <t>KAMPONG SUNGAI RAYA</t>
  </si>
  <si>
    <t>1323207</t>
  </si>
  <si>
    <t>PASIR PANJANG</t>
  </si>
  <si>
    <t>1323208</t>
  </si>
  <si>
    <t>BANDAR BARU SUNGGALA</t>
  </si>
  <si>
    <t>1323301</t>
  </si>
  <si>
    <t>KAMPONG PAYA</t>
  </si>
  <si>
    <t>1323302</t>
  </si>
  <si>
    <t>KAMPONG ARAB</t>
  </si>
  <si>
    <t>1323303</t>
  </si>
  <si>
    <t>KAMPONG CHOKRA</t>
  </si>
  <si>
    <t>1323304</t>
  </si>
  <si>
    <t>PEKAN PORT DICKSON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</si>
  <si>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</si>
  <si>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</si>
  <si>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</si>
  <si>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</si>
  <si>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</si>
  <si>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</si>
  <si>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</si>
  <si>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</si>
  <si>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</si>
  <si>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</si>
  <si>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</si>
  <si>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PH Malay</t>
  </si>
  <si>
    <t>PN Malay</t>
  </si>
  <si>
    <t>PH Chinese</t>
  </si>
  <si>
    <t>BN Chinese</t>
  </si>
  <si>
    <t>PH Indian</t>
  </si>
  <si>
    <t>BN Indian</t>
  </si>
  <si>
    <t>Turnout%</t>
  </si>
  <si>
    <t>UNDI AWAL</t>
  </si>
  <si>
    <t>N29</t>
  </si>
  <si>
    <t>Chuah</t>
  </si>
  <si>
    <t>N30</t>
  </si>
  <si>
    <t>Lukut</t>
  </si>
  <si>
    <t>N31</t>
  </si>
  <si>
    <t>Bagan Pinang</t>
  </si>
  <si>
    <t>N32</t>
  </si>
  <si>
    <t>Linggi</t>
  </si>
  <si>
    <t>N33</t>
  </si>
  <si>
    <t>Sri Tanjung</t>
  </si>
  <si>
    <t>Turnout Malay%</t>
  </si>
  <si>
    <t>Turnout Chinese%</t>
  </si>
  <si>
    <t>Turnout Indian%</t>
  </si>
  <si>
    <t>PH Malay%</t>
  </si>
  <si>
    <t>PH Chinese%</t>
  </si>
  <si>
    <t>PH Indian%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</si>
</sst>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0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center" indent="1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center" wrapText="1" indent="2"/>
    </xf>
    <xf numFmtId="1" fontId="5" fillId="0" borderId="1" xfId="0" applyNumberFormat="1" applyFont="1" applyBorder="1" applyAlignment="1">
      <alignment horizontal="center" vertical="center" shrinkToFit="1"/>
    </xf>
    <xf numFmtId="1" fontId="5" fillId="2" borderId="1" xfId="0" applyNumberFormat="1" applyFont="1" applyFill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right" vertical="center" indent="2" shrinkToFit="1"/>
    </xf>
    <xf numFmtId="1" fontId="5" fillId="2" borderId="1" xfId="0" applyNumberFormat="1" applyFont="1" applyFill="1" applyBorder="1" applyAlignment="1">
      <alignment horizontal="right" vertical="center" indent="2" shrinkToFit="1"/>
    </xf>
    <xf numFmtId="1" fontId="5" fillId="0" borderId="1" xfId="0" applyNumberFormat="1" applyFont="1" applyBorder="1" applyAlignment="1">
      <alignment horizontal="right" vertical="center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lef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4" fontId="0" fillId="0" borderId="8" xfId="1" applyNumberFormat="1" applyFont="1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164" fontId="0" fillId="3" borderId="0" xfId="1" applyNumberFormat="1" applyFont="1" applyFill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164" fontId="0" fillId="4" borderId="8" xfId="1" applyNumberFormat="1" applyFont="1" applyFill="1" applyBorder="1" applyAlignment="1">
      <alignment horizontal="left" vertical="top"/>
    </xf>
    <xf numFmtId="0" fontId="0" fillId="4" borderId="8" xfId="0" applyFill="1" applyBorder="1"/>
    <xf numFmtId="164" fontId="0" fillId="4" borderId="8" xfId="1" applyNumberFormat="1" applyFont="1" applyFill="1" applyBorder="1"/>
    <xf numFmtId="165" fontId="0" fillId="4" borderId="8" xfId="0" applyNumberFormat="1" applyFill="1" applyBorder="1"/>
    <xf numFmtId="0" fontId="0" fillId="4" borderId="0" xfId="0" applyFill="1" applyAlignment="1">
      <alignment horizontal="left" vertical="top"/>
    </xf>
    <xf numFmtId="0" fontId="11" fillId="0" borderId="8" xfId="0" applyFont="1" applyBorder="1"/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10"/>
    </xf>
    <xf numFmtId="0" fontId="6" fillId="2" borderId="3" xfId="0" applyFont="1" applyFill="1" applyBorder="1" applyAlignment="1">
      <alignment horizontal="left" vertical="top" wrapText="1" indent="10"/>
    </xf>
    <xf numFmtId="0" fontId="6" fillId="2" borderId="4" xfId="0" applyFont="1" applyFill="1" applyBorder="1" applyAlignment="1">
      <alignment horizontal="left" vertical="top" wrapText="1" indent="10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" fontId="3" fillId="0" borderId="5" xfId="0" applyNumberFormat="1" applyFont="1" applyBorder="1" applyAlignment="1">
      <alignment horizontal="left" vertical="top" indent="1" shrinkToFit="1"/>
    </xf>
    <xf numFmtId="1" fontId="3" fillId="0" borderId="7" xfId="0" applyNumberFormat="1" applyFont="1" applyBorder="1" applyAlignment="1">
      <alignment horizontal="left" vertical="top" indent="1" shrinkToFit="1"/>
    </xf>
    <xf numFmtId="1" fontId="3" fillId="0" borderId="5" xfId="0" applyNumberFormat="1" applyFont="1" applyBorder="1" applyAlignment="1">
      <alignment horizontal="left" vertical="center" indent="1" shrinkToFit="1"/>
    </xf>
    <xf numFmtId="1" fontId="3" fillId="0" borderId="6" xfId="0" applyNumberFormat="1" applyFont="1" applyBorder="1" applyAlignment="1">
      <alignment horizontal="left" vertical="center" indent="1" shrinkToFit="1"/>
    </xf>
    <xf numFmtId="1" fontId="3" fillId="0" borderId="7" xfId="0" applyNumberFormat="1" applyFont="1" applyBorder="1" applyAlignment="1">
      <alignment horizontal="left" vertical="center" indent="1" shrinkToFi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3" borderId="8" xfId="0" applyFill="1" applyBorder="1" applyAlignment="1">
      <alignment horizontal="left" vertical="top"/>
    </xf>
    <xf numFmtId="164" fontId="0" fillId="3" borderId="8" xfId="1" applyNumberFormat="1" applyFont="1" applyFill="1" applyBorder="1" applyAlignment="1">
      <alignment horizontal="left" vertical="top"/>
    </xf>
    <xf numFmtId="0" fontId="0" fillId="3" borderId="8" xfId="0" applyFill="1" applyBorder="1"/>
    <xf numFmtId="164" fontId="0" fillId="3" borderId="8" xfId="1" applyNumberFormat="1" applyFont="1" applyFill="1" applyBorder="1"/>
    <xf numFmtId="165" fontId="0" fillId="3" borderId="8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P132 Port Dickson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268591426071741E-2"/>
                  <c:y val="-0.36406678331875186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RaceWorksheet!$K$2:$K$178</c:f>
              <c:numCache>
                <c:formatCode>0.0%</c:formatCode>
                <c:ptCount val="177"/>
                <c:pt idx="0">
                  <c:v>5.5E-2</c:v>
                </c:pt>
                <c:pt idx="1">
                  <c:v>6.25E-2</c:v>
                </c:pt>
                <c:pt idx="2">
                  <c:v>4.9411764705882349E-2</c:v>
                </c:pt>
                <c:pt idx="3">
                  <c:v>7.4297188755020074E-2</c:v>
                </c:pt>
                <c:pt idx="4">
                  <c:v>0.18</c:v>
                </c:pt>
                <c:pt idx="5">
                  <c:v>0.13777777777777778</c:v>
                </c:pt>
                <c:pt idx="6">
                  <c:v>0.13841368584758942</c:v>
                </c:pt>
                <c:pt idx="7">
                  <c:v>0.2375776397515528</c:v>
                </c:pt>
                <c:pt idx="8">
                  <c:v>9.4936708860759497E-3</c:v>
                </c:pt>
                <c:pt idx="9">
                  <c:v>0.25555555555555554</c:v>
                </c:pt>
                <c:pt idx="10">
                  <c:v>0.32666666666666666</c:v>
                </c:pt>
                <c:pt idx="11">
                  <c:v>0.3306581059390048</c:v>
                </c:pt>
                <c:pt idx="12">
                  <c:v>0.4606741573033708</c:v>
                </c:pt>
                <c:pt idx="13">
                  <c:v>0.56000000000000005</c:v>
                </c:pt>
                <c:pt idx="14">
                  <c:v>5.3333333333333337E-2</c:v>
                </c:pt>
                <c:pt idx="15">
                  <c:v>5.5555555555555552E-2</c:v>
                </c:pt>
                <c:pt idx="16">
                  <c:v>9.8827470686767172E-2</c:v>
                </c:pt>
                <c:pt idx="17">
                  <c:v>9.5477386934673364E-2</c:v>
                </c:pt>
                <c:pt idx="18">
                  <c:v>9.7152428810720268E-2</c:v>
                </c:pt>
                <c:pt idx="19">
                  <c:v>6.8333333333333329E-2</c:v>
                </c:pt>
                <c:pt idx="20">
                  <c:v>6.222222222222222E-2</c:v>
                </c:pt>
                <c:pt idx="21">
                  <c:v>7.0344827586206901E-2</c:v>
                </c:pt>
                <c:pt idx="22">
                  <c:v>0.48444444444444446</c:v>
                </c:pt>
                <c:pt idx="23">
                  <c:v>0.46</c:v>
                </c:pt>
                <c:pt idx="24">
                  <c:v>0.49911504424778763</c:v>
                </c:pt>
                <c:pt idx="25">
                  <c:v>0.536283185840708</c:v>
                </c:pt>
                <c:pt idx="26">
                  <c:v>0.45263157894736844</c:v>
                </c:pt>
                <c:pt idx="27">
                  <c:v>0.61072664359861595</c:v>
                </c:pt>
                <c:pt idx="28">
                  <c:v>0.88222222222222224</c:v>
                </c:pt>
                <c:pt idx="29">
                  <c:v>0.70531400966183577</c:v>
                </c:pt>
                <c:pt idx="30">
                  <c:v>0.87710843373493974</c:v>
                </c:pt>
                <c:pt idx="31">
                  <c:v>0.15777777777777777</c:v>
                </c:pt>
                <c:pt idx="32">
                  <c:v>0.30666666666666664</c:v>
                </c:pt>
                <c:pt idx="33">
                  <c:v>0.26474820143884892</c:v>
                </c:pt>
                <c:pt idx="34">
                  <c:v>0.29166666666666669</c:v>
                </c:pt>
                <c:pt idx="35">
                  <c:v>0.41954022988505746</c:v>
                </c:pt>
                <c:pt idx="36">
                  <c:v>0.48419540229885055</c:v>
                </c:pt>
                <c:pt idx="37">
                  <c:v>0.51</c:v>
                </c:pt>
                <c:pt idx="38">
                  <c:v>6.8888888888888888E-2</c:v>
                </c:pt>
                <c:pt idx="39">
                  <c:v>0.20666666666666667</c:v>
                </c:pt>
                <c:pt idx="40">
                  <c:v>0.16988950276243095</c:v>
                </c:pt>
                <c:pt idx="41">
                  <c:v>0.25276243093922651</c:v>
                </c:pt>
                <c:pt idx="42">
                  <c:v>0.29103448275862071</c:v>
                </c:pt>
                <c:pt idx="43">
                  <c:v>0.13111111111111112</c:v>
                </c:pt>
                <c:pt idx="44">
                  <c:v>9.3333333333333338E-2</c:v>
                </c:pt>
                <c:pt idx="45">
                  <c:v>0.13333333333333333</c:v>
                </c:pt>
                <c:pt idx="46">
                  <c:v>0.14086687306501547</c:v>
                </c:pt>
                <c:pt idx="47">
                  <c:v>0.10526315789473684</c:v>
                </c:pt>
                <c:pt idx="48">
                  <c:v>0.10681114551083591</c:v>
                </c:pt>
                <c:pt idx="49">
                  <c:v>0.16718266253869968</c:v>
                </c:pt>
                <c:pt idx="50">
                  <c:v>0.24613003095975233</c:v>
                </c:pt>
                <c:pt idx="51">
                  <c:v>0.23647604327666152</c:v>
                </c:pt>
                <c:pt idx="52">
                  <c:v>0.10666666666666667</c:v>
                </c:pt>
                <c:pt idx="53">
                  <c:v>0.12888888888888889</c:v>
                </c:pt>
                <c:pt idx="54">
                  <c:v>0.16666666666666666</c:v>
                </c:pt>
                <c:pt idx="55">
                  <c:v>0.23488773747841105</c:v>
                </c:pt>
                <c:pt idx="56">
                  <c:v>0.30517241379310345</c:v>
                </c:pt>
                <c:pt idx="57">
                  <c:v>0.31724137931034485</c:v>
                </c:pt>
                <c:pt idx="58">
                  <c:v>0.35517241379310344</c:v>
                </c:pt>
                <c:pt idx="59">
                  <c:v>8.4444444444444447E-2</c:v>
                </c:pt>
                <c:pt idx="60">
                  <c:v>8.2222222222222224E-2</c:v>
                </c:pt>
                <c:pt idx="61">
                  <c:v>5.6692913385826771E-2</c:v>
                </c:pt>
                <c:pt idx="62">
                  <c:v>0.10393700787401575</c:v>
                </c:pt>
                <c:pt idx="63">
                  <c:v>0.12598425196850394</c:v>
                </c:pt>
                <c:pt idx="64">
                  <c:v>0.12440944881889764</c:v>
                </c:pt>
                <c:pt idx="65">
                  <c:v>0.10393700787401575</c:v>
                </c:pt>
                <c:pt idx="66">
                  <c:v>0.14106583072100312</c:v>
                </c:pt>
                <c:pt idx="67">
                  <c:v>0.18222222222222223</c:v>
                </c:pt>
                <c:pt idx="68">
                  <c:v>0.20444444444444446</c:v>
                </c:pt>
                <c:pt idx="69">
                  <c:v>0.21439749608763695</c:v>
                </c:pt>
                <c:pt idx="70">
                  <c:v>0.20187793427230047</c:v>
                </c:pt>
                <c:pt idx="71">
                  <c:v>0.26134585289514867</c:v>
                </c:pt>
                <c:pt idx="72">
                  <c:v>0.27386541471048514</c:v>
                </c:pt>
                <c:pt idx="73">
                  <c:v>0.2519561815336463</c:v>
                </c:pt>
                <c:pt idx="74">
                  <c:v>5.0264550264550262E-2</c:v>
                </c:pt>
                <c:pt idx="75">
                  <c:v>0.06</c:v>
                </c:pt>
                <c:pt idx="76">
                  <c:v>0.12138728323699421</c:v>
                </c:pt>
                <c:pt idx="77">
                  <c:v>3.5519125683060107E-2</c:v>
                </c:pt>
                <c:pt idx="78">
                  <c:v>8.5714285714285715E-2</c:v>
                </c:pt>
                <c:pt idx="79">
                  <c:v>0.25467289719626168</c:v>
                </c:pt>
                <c:pt idx="80">
                  <c:v>0.73777777777777775</c:v>
                </c:pt>
                <c:pt idx="81">
                  <c:v>0.81974248927038629</c:v>
                </c:pt>
                <c:pt idx="82">
                  <c:v>0.79613733905579398</c:v>
                </c:pt>
                <c:pt idx="83">
                  <c:v>0.85333333333333339</c:v>
                </c:pt>
                <c:pt idx="84">
                  <c:v>0.88888888888888884</c:v>
                </c:pt>
                <c:pt idx="85">
                  <c:v>0.85507246376811596</c:v>
                </c:pt>
                <c:pt idx="86">
                  <c:v>0.91739130434782612</c:v>
                </c:pt>
                <c:pt idx="87">
                  <c:v>0.92630057803468213</c:v>
                </c:pt>
                <c:pt idx="88">
                  <c:v>0.94812680115273773</c:v>
                </c:pt>
                <c:pt idx="89">
                  <c:v>0.78</c:v>
                </c:pt>
                <c:pt idx="90">
                  <c:v>0.88444444444444448</c:v>
                </c:pt>
                <c:pt idx="91">
                  <c:v>0.89799072642967548</c:v>
                </c:pt>
                <c:pt idx="92">
                  <c:v>0.85316846986089645</c:v>
                </c:pt>
                <c:pt idx="93">
                  <c:v>0.89026275115919629</c:v>
                </c:pt>
                <c:pt idx="94">
                  <c:v>0.88562596599690879</c:v>
                </c:pt>
                <c:pt idx="95">
                  <c:v>0.48888888888888887</c:v>
                </c:pt>
                <c:pt idx="96">
                  <c:v>0.57999999999999996</c:v>
                </c:pt>
                <c:pt idx="97">
                  <c:v>0.62</c:v>
                </c:pt>
                <c:pt idx="98">
                  <c:v>0.61515601783060925</c:v>
                </c:pt>
                <c:pt idx="99">
                  <c:v>0.6953937592867756</c:v>
                </c:pt>
                <c:pt idx="100">
                  <c:v>0.70919881305637977</c:v>
                </c:pt>
                <c:pt idx="101">
                  <c:v>0.72592592592592597</c:v>
                </c:pt>
                <c:pt idx="102">
                  <c:v>0.94444444444444442</c:v>
                </c:pt>
                <c:pt idx="103">
                  <c:v>0.95513748191027492</c:v>
                </c:pt>
                <c:pt idx="104">
                  <c:v>0.85094066570188132</c:v>
                </c:pt>
                <c:pt idx="105">
                  <c:v>0.92329956584659911</c:v>
                </c:pt>
                <c:pt idx="106">
                  <c:v>0.95947901591895801</c:v>
                </c:pt>
                <c:pt idx="107">
                  <c:v>0.95079594790159194</c:v>
                </c:pt>
                <c:pt idx="108">
                  <c:v>0.08</c:v>
                </c:pt>
                <c:pt idx="109">
                  <c:v>0.18357487922705315</c:v>
                </c:pt>
                <c:pt idx="110">
                  <c:v>0.49333333333333335</c:v>
                </c:pt>
                <c:pt idx="111">
                  <c:v>0.51555555555555554</c:v>
                </c:pt>
                <c:pt idx="112">
                  <c:v>0.63839999999999997</c:v>
                </c:pt>
                <c:pt idx="113">
                  <c:v>0.69648562300319494</c:v>
                </c:pt>
                <c:pt idx="114">
                  <c:v>0.52222222222222225</c:v>
                </c:pt>
                <c:pt idx="115">
                  <c:v>0.46808510638297873</c:v>
                </c:pt>
                <c:pt idx="116">
                  <c:v>0.56286266924564798</c:v>
                </c:pt>
                <c:pt idx="117">
                  <c:v>0.38666666666666666</c:v>
                </c:pt>
                <c:pt idx="118">
                  <c:v>0.47663551401869159</c:v>
                </c:pt>
                <c:pt idx="119">
                  <c:v>0.56529850746268662</c:v>
                </c:pt>
                <c:pt idx="120">
                  <c:v>2.2857142857142857E-2</c:v>
                </c:pt>
                <c:pt idx="121">
                  <c:v>0.10621242484969939</c:v>
                </c:pt>
                <c:pt idx="122">
                  <c:v>0.90888888888888886</c:v>
                </c:pt>
                <c:pt idx="123">
                  <c:v>0.92321116928446767</c:v>
                </c:pt>
                <c:pt idx="124">
                  <c:v>0.93542757417102962</c:v>
                </c:pt>
                <c:pt idx="125">
                  <c:v>0.97909407665505221</c:v>
                </c:pt>
                <c:pt idx="126">
                  <c:v>0.33460076045627374</c:v>
                </c:pt>
                <c:pt idx="127">
                  <c:v>0.40666666666666668</c:v>
                </c:pt>
                <c:pt idx="128">
                  <c:v>0.51555555555555554</c:v>
                </c:pt>
                <c:pt idx="129">
                  <c:v>0.55052264808362372</c:v>
                </c:pt>
                <c:pt idx="130">
                  <c:v>0.57491289198606277</c:v>
                </c:pt>
                <c:pt idx="131">
                  <c:v>0.6376306620209059</c:v>
                </c:pt>
                <c:pt idx="132">
                  <c:v>0.65043478260869569</c:v>
                </c:pt>
                <c:pt idx="133">
                  <c:v>0.66444444444444439</c:v>
                </c:pt>
                <c:pt idx="134">
                  <c:v>0.66222222222222227</c:v>
                </c:pt>
                <c:pt idx="135">
                  <c:v>0.71715610510046368</c:v>
                </c:pt>
                <c:pt idx="136">
                  <c:v>0.74188562596599694</c:v>
                </c:pt>
                <c:pt idx="137">
                  <c:v>0.72179289026275117</c:v>
                </c:pt>
                <c:pt idx="138">
                  <c:v>0.68672839506172845</c:v>
                </c:pt>
                <c:pt idx="139">
                  <c:v>0.61333333333333329</c:v>
                </c:pt>
                <c:pt idx="140">
                  <c:v>0.66129032258064513</c:v>
                </c:pt>
                <c:pt idx="141">
                  <c:v>0.76539589442815248</c:v>
                </c:pt>
                <c:pt idx="142">
                  <c:v>0.44444444444444442</c:v>
                </c:pt>
                <c:pt idx="143">
                  <c:v>0.42666666666666669</c:v>
                </c:pt>
                <c:pt idx="144">
                  <c:v>0.57111111111111112</c:v>
                </c:pt>
                <c:pt idx="145">
                  <c:v>0.5778097982708934</c:v>
                </c:pt>
                <c:pt idx="146">
                  <c:v>0.65850144092219021</c:v>
                </c:pt>
                <c:pt idx="147">
                  <c:v>0.73775216138328525</c:v>
                </c:pt>
                <c:pt idx="148">
                  <c:v>0.81007194244604319</c:v>
                </c:pt>
                <c:pt idx="149">
                  <c:v>0.39111111111111113</c:v>
                </c:pt>
                <c:pt idx="150">
                  <c:v>0.3237639553429027</c:v>
                </c:pt>
                <c:pt idx="151">
                  <c:v>0.34928229665071769</c:v>
                </c:pt>
                <c:pt idx="152">
                  <c:v>0.38437001594896331</c:v>
                </c:pt>
                <c:pt idx="153">
                  <c:v>0.41082802547770703</c:v>
                </c:pt>
                <c:pt idx="154">
                  <c:v>0.19777777777777777</c:v>
                </c:pt>
                <c:pt idx="155">
                  <c:v>0.19333333333333333</c:v>
                </c:pt>
                <c:pt idx="156">
                  <c:v>0.2012072434607646</c:v>
                </c:pt>
                <c:pt idx="157">
                  <c:v>0.27364185110663986</c:v>
                </c:pt>
                <c:pt idx="158">
                  <c:v>0.30923694779116467</c:v>
                </c:pt>
                <c:pt idx="159">
                  <c:v>0.13555555555555557</c:v>
                </c:pt>
                <c:pt idx="160">
                  <c:v>0.15777777777777777</c:v>
                </c:pt>
                <c:pt idx="161">
                  <c:v>0.28444444444444444</c:v>
                </c:pt>
                <c:pt idx="162">
                  <c:v>0.20666666666666667</c:v>
                </c:pt>
                <c:pt idx="163">
                  <c:v>0.17666666666666667</c:v>
                </c:pt>
                <c:pt idx="164">
                  <c:v>0.26833333333333331</c:v>
                </c:pt>
                <c:pt idx="165">
                  <c:v>0.33222591362126247</c:v>
                </c:pt>
                <c:pt idx="166">
                  <c:v>0.14000000000000001</c:v>
                </c:pt>
                <c:pt idx="167">
                  <c:v>0.23777777777777778</c:v>
                </c:pt>
                <c:pt idx="168">
                  <c:v>0.30666666666666664</c:v>
                </c:pt>
                <c:pt idx="169">
                  <c:v>0.34969325153374231</c:v>
                </c:pt>
                <c:pt idx="170">
                  <c:v>0.34969325153374231</c:v>
                </c:pt>
                <c:pt idx="171">
                  <c:v>0.47142857142857142</c:v>
                </c:pt>
                <c:pt idx="172">
                  <c:v>0.42</c:v>
                </c:pt>
                <c:pt idx="173">
                  <c:v>0.38222222222222224</c:v>
                </c:pt>
                <c:pt idx="174">
                  <c:v>0.40117130307467058</c:v>
                </c:pt>
                <c:pt idx="175">
                  <c:v>0.54612005856515378</c:v>
                </c:pt>
                <c:pt idx="176">
                  <c:v>0.57518248175182485</c:v>
                </c:pt>
              </c:numCache>
            </c:numRef>
          </c:xVal>
          <c:yVal>
            <c:numRef>
              <c:f>RaceWorksheet!$A$2:$A$178</c:f>
              <c:numCache>
                <c:formatCode>0.0%</c:formatCode>
                <c:ptCount val="177"/>
                <c:pt idx="0">
                  <c:v>0.65106382978723409</c:v>
                </c:pt>
                <c:pt idx="1">
                  <c:v>0.69366197183098588</c:v>
                </c:pt>
                <c:pt idx="2">
                  <c:v>0.71052631578947367</c:v>
                </c:pt>
                <c:pt idx="3">
                  <c:v>0.70707070707070707</c:v>
                </c:pt>
                <c:pt idx="4">
                  <c:v>0.62694300518134716</c:v>
                </c:pt>
                <c:pt idx="5">
                  <c:v>0.82165605095541405</c:v>
                </c:pt>
                <c:pt idx="6">
                  <c:v>0.69298245614035092</c:v>
                </c:pt>
                <c:pt idx="7">
                  <c:v>0.78870292887029292</c:v>
                </c:pt>
                <c:pt idx="8">
                  <c:v>0.73541666666666672</c:v>
                </c:pt>
                <c:pt idx="9">
                  <c:v>0.64308681672025725</c:v>
                </c:pt>
                <c:pt idx="10">
                  <c:v>0.58221024258760112</c:v>
                </c:pt>
                <c:pt idx="11">
                  <c:v>0.651685393258427</c:v>
                </c:pt>
                <c:pt idx="12">
                  <c:v>0.62632696390658171</c:v>
                </c:pt>
                <c:pt idx="13">
                  <c:v>0.55000000000000004</c:v>
                </c:pt>
                <c:pt idx="14">
                  <c:v>0.75328947368421051</c:v>
                </c:pt>
                <c:pt idx="15">
                  <c:v>0.83656509695290859</c:v>
                </c:pt>
                <c:pt idx="16">
                  <c:v>0.8</c:v>
                </c:pt>
                <c:pt idx="17">
                  <c:v>0.87892376681614348</c:v>
                </c:pt>
                <c:pt idx="18">
                  <c:v>0.85874439461883412</c:v>
                </c:pt>
                <c:pt idx="19">
                  <c:v>0.84421052631578952</c:v>
                </c:pt>
                <c:pt idx="20">
                  <c:v>0.7288629737609329</c:v>
                </c:pt>
                <c:pt idx="21">
                  <c:v>0.83395522388059706</c:v>
                </c:pt>
                <c:pt idx="22">
                  <c:v>0.51249999999999996</c:v>
                </c:pt>
                <c:pt idx="23">
                  <c:v>0.54933333333333334</c:v>
                </c:pt>
                <c:pt idx="24">
                  <c:v>0.58008658008658009</c:v>
                </c:pt>
                <c:pt idx="25">
                  <c:v>0.55974842767295596</c:v>
                </c:pt>
                <c:pt idx="26">
                  <c:v>0.64318181818181819</c:v>
                </c:pt>
                <c:pt idx="27">
                  <c:v>0.48695652173913045</c:v>
                </c:pt>
                <c:pt idx="28">
                  <c:v>0.28125</c:v>
                </c:pt>
                <c:pt idx="29">
                  <c:v>0.34810126582278483</c:v>
                </c:pt>
                <c:pt idx="30">
                  <c:v>0.25</c:v>
                </c:pt>
                <c:pt idx="31">
                  <c:v>0.63091482649842268</c:v>
                </c:pt>
                <c:pt idx="32">
                  <c:v>0.56613756613756616</c:v>
                </c:pt>
                <c:pt idx="33">
                  <c:v>0.66958041958041958</c:v>
                </c:pt>
                <c:pt idx="34">
                  <c:v>0.70425138632162665</c:v>
                </c:pt>
                <c:pt idx="35">
                  <c:v>0.61689587426326131</c:v>
                </c:pt>
                <c:pt idx="36">
                  <c:v>0.62068965517241381</c:v>
                </c:pt>
                <c:pt idx="37">
                  <c:v>0.56994818652849744</c:v>
                </c:pt>
                <c:pt idx="38">
                  <c:v>0.75147928994082835</c:v>
                </c:pt>
                <c:pt idx="39">
                  <c:v>0.71276595744680848</c:v>
                </c:pt>
                <c:pt idx="40">
                  <c:v>0.77163904235727443</c:v>
                </c:pt>
                <c:pt idx="41">
                  <c:v>0.77052238805970152</c:v>
                </c:pt>
                <c:pt idx="42">
                  <c:v>0.71633752244165172</c:v>
                </c:pt>
                <c:pt idx="43">
                  <c:v>0.76872964169381108</c:v>
                </c:pt>
                <c:pt idx="44">
                  <c:v>0.79234972677595628</c:v>
                </c:pt>
                <c:pt idx="45">
                  <c:v>0.8262032085561497</c:v>
                </c:pt>
                <c:pt idx="46">
                  <c:v>0.81285444234404536</c:v>
                </c:pt>
                <c:pt idx="47">
                  <c:v>0.8661257606490872</c:v>
                </c:pt>
                <c:pt idx="48">
                  <c:v>0.87396694214876036</c:v>
                </c:pt>
                <c:pt idx="49">
                  <c:v>0.80982905982905984</c:v>
                </c:pt>
                <c:pt idx="50">
                  <c:v>0.78418803418803418</c:v>
                </c:pt>
                <c:pt idx="51">
                  <c:v>0.77842003853564545</c:v>
                </c:pt>
                <c:pt idx="52">
                  <c:v>0.80528052805280526</c:v>
                </c:pt>
                <c:pt idx="53">
                  <c:v>0.80158730158730163</c:v>
                </c:pt>
                <c:pt idx="54">
                  <c:v>0.79629629629629628</c:v>
                </c:pt>
                <c:pt idx="55">
                  <c:v>0.75854700854700852</c:v>
                </c:pt>
                <c:pt idx="56">
                  <c:v>0.68564920273348517</c:v>
                </c:pt>
                <c:pt idx="57">
                  <c:v>0.6967592592592593</c:v>
                </c:pt>
                <c:pt idx="58">
                  <c:v>0.67653758542141229</c:v>
                </c:pt>
                <c:pt idx="59">
                  <c:v>0.79084967320261434</c:v>
                </c:pt>
                <c:pt idx="60">
                  <c:v>0.89528795811518325</c:v>
                </c:pt>
                <c:pt idx="61">
                  <c:v>0.89130434782608692</c:v>
                </c:pt>
                <c:pt idx="62">
                  <c:v>0.85835095137420714</c:v>
                </c:pt>
                <c:pt idx="63">
                  <c:v>0.84913793103448276</c:v>
                </c:pt>
                <c:pt idx="64">
                  <c:v>0.84868421052631582</c:v>
                </c:pt>
                <c:pt idx="65">
                  <c:v>0.85809312638580926</c:v>
                </c:pt>
                <c:pt idx="66">
                  <c:v>0.84631147540983609</c:v>
                </c:pt>
                <c:pt idx="67">
                  <c:v>0.70977917981072558</c:v>
                </c:pt>
                <c:pt idx="68">
                  <c:v>0.77049180327868849</c:v>
                </c:pt>
                <c:pt idx="69">
                  <c:v>0.80327868852459017</c:v>
                </c:pt>
                <c:pt idx="70">
                  <c:v>0.78678038379530912</c:v>
                </c:pt>
                <c:pt idx="71">
                  <c:v>0.76744186046511631</c:v>
                </c:pt>
                <c:pt idx="72">
                  <c:v>0.76993166287015946</c:v>
                </c:pt>
                <c:pt idx="73">
                  <c:v>0.78476190476190477</c:v>
                </c:pt>
                <c:pt idx="74">
                  <c:v>0.68181818181818177</c:v>
                </c:pt>
                <c:pt idx="75">
                  <c:v>0.57988165680473369</c:v>
                </c:pt>
                <c:pt idx="76">
                  <c:v>0.66548042704626331</c:v>
                </c:pt>
                <c:pt idx="77">
                  <c:v>0.57518796992481203</c:v>
                </c:pt>
                <c:pt idx="78">
                  <c:v>0.60747663551401865</c:v>
                </c:pt>
                <c:pt idx="79">
                  <c:v>0.60559006211180122</c:v>
                </c:pt>
                <c:pt idx="80">
                  <c:v>0.30327868852459017</c:v>
                </c:pt>
                <c:pt idx="81">
                  <c:v>0.13756613756613756</c:v>
                </c:pt>
                <c:pt idx="82">
                  <c:v>0.27932960893854747</c:v>
                </c:pt>
                <c:pt idx="83">
                  <c:v>0.21828908554572271</c:v>
                </c:pt>
                <c:pt idx="84">
                  <c:v>0.25459317585301838</c:v>
                </c:pt>
                <c:pt idx="85">
                  <c:v>0.25636363636363635</c:v>
                </c:pt>
                <c:pt idx="86">
                  <c:v>0.25595238095238093</c:v>
                </c:pt>
                <c:pt idx="87">
                  <c:v>0.30245746691871456</c:v>
                </c:pt>
                <c:pt idx="88">
                  <c:v>0.26630434782608697</c:v>
                </c:pt>
                <c:pt idx="89">
                  <c:v>0.25</c:v>
                </c:pt>
                <c:pt idx="90">
                  <c:v>0.21680216802168023</c:v>
                </c:pt>
                <c:pt idx="91">
                  <c:v>0.22717149220489977</c:v>
                </c:pt>
                <c:pt idx="92">
                  <c:v>0.27171492204899778</c:v>
                </c:pt>
                <c:pt idx="93">
                  <c:v>0.2839506172839506</c:v>
                </c:pt>
                <c:pt idx="94">
                  <c:v>0.28117913832199548</c:v>
                </c:pt>
                <c:pt idx="95">
                  <c:v>0.47232472324723246</c:v>
                </c:pt>
                <c:pt idx="96">
                  <c:v>0.45772594752186591</c:v>
                </c:pt>
                <c:pt idx="97">
                  <c:v>0.44141689373297005</c:v>
                </c:pt>
                <c:pt idx="98">
                  <c:v>0.44337811900191937</c:v>
                </c:pt>
                <c:pt idx="99">
                  <c:v>0.40292275574112735</c:v>
                </c:pt>
                <c:pt idx="100">
                  <c:v>0.3907563025210084</c:v>
                </c:pt>
                <c:pt idx="101">
                  <c:v>0.395985401459854</c:v>
                </c:pt>
                <c:pt idx="102">
                  <c:v>0.12737127371273713</c:v>
                </c:pt>
                <c:pt idx="103">
                  <c:v>0.12758620689655173</c:v>
                </c:pt>
                <c:pt idx="104">
                  <c:v>0.21327967806841047</c:v>
                </c:pt>
                <c:pt idx="105">
                  <c:v>0.22690763052208834</c:v>
                </c:pt>
                <c:pt idx="106">
                  <c:v>0.19666048237476808</c:v>
                </c:pt>
                <c:pt idx="107">
                  <c:v>0.15355805243445692</c:v>
                </c:pt>
                <c:pt idx="108">
                  <c:v>0.64634146341463417</c:v>
                </c:pt>
                <c:pt idx="109">
                  <c:v>0.67741935483870963</c:v>
                </c:pt>
                <c:pt idx="110">
                  <c:v>0.34228187919463088</c:v>
                </c:pt>
                <c:pt idx="111">
                  <c:v>0.42450142450142453</c:v>
                </c:pt>
                <c:pt idx="112">
                  <c:v>0.35714285714285715</c:v>
                </c:pt>
                <c:pt idx="113">
                  <c:v>0.38775510204081631</c:v>
                </c:pt>
                <c:pt idx="114">
                  <c:v>0.5</c:v>
                </c:pt>
                <c:pt idx="115">
                  <c:v>0.58033573141486805</c:v>
                </c:pt>
                <c:pt idx="116">
                  <c:v>0.46715328467153283</c:v>
                </c:pt>
                <c:pt idx="117">
                  <c:v>0.59682539682539681</c:v>
                </c:pt>
                <c:pt idx="118">
                  <c:v>0.5890736342042755</c:v>
                </c:pt>
                <c:pt idx="119">
                  <c:v>0.47826086956521741</c:v>
                </c:pt>
                <c:pt idx="120">
                  <c:v>0.57794676806083645</c:v>
                </c:pt>
                <c:pt idx="121">
                  <c:v>0.6649746192893401</c:v>
                </c:pt>
                <c:pt idx="122">
                  <c:v>0.19327731092436976</c:v>
                </c:pt>
                <c:pt idx="123">
                  <c:v>0.19547325102880658</c:v>
                </c:pt>
                <c:pt idx="124">
                  <c:v>0.13151927437641722</c:v>
                </c:pt>
                <c:pt idx="125">
                  <c:v>0.10652173913043478</c:v>
                </c:pt>
                <c:pt idx="126">
                  <c:v>0.47602739726027399</c:v>
                </c:pt>
                <c:pt idx="127">
                  <c:v>0.41853932584269665</c:v>
                </c:pt>
                <c:pt idx="128">
                  <c:v>0.44708423326133911</c:v>
                </c:pt>
                <c:pt idx="129">
                  <c:v>0.46511627906976744</c:v>
                </c:pt>
                <c:pt idx="130">
                  <c:v>0.37922705314009664</c:v>
                </c:pt>
                <c:pt idx="131">
                  <c:v>0.36069114470842334</c:v>
                </c:pt>
                <c:pt idx="132">
                  <c:v>0.22857142857142856</c:v>
                </c:pt>
                <c:pt idx="133">
                  <c:v>0.25</c:v>
                </c:pt>
                <c:pt idx="134">
                  <c:v>0.38953488372093026</c:v>
                </c:pt>
                <c:pt idx="135">
                  <c:v>0.2857142857142857</c:v>
                </c:pt>
                <c:pt idx="136">
                  <c:v>0.30120481927710846</c:v>
                </c:pt>
                <c:pt idx="137">
                  <c:v>0.34090909090909088</c:v>
                </c:pt>
                <c:pt idx="138">
                  <c:v>0.37398373983739835</c:v>
                </c:pt>
                <c:pt idx="139">
                  <c:v>0.31339031339031337</c:v>
                </c:pt>
                <c:pt idx="140">
                  <c:v>0.34392523364485983</c:v>
                </c:pt>
                <c:pt idx="141">
                  <c:v>0.31097560975609756</c:v>
                </c:pt>
                <c:pt idx="142">
                  <c:v>0.48239436619718312</c:v>
                </c:pt>
                <c:pt idx="143">
                  <c:v>0.59340659340659341</c:v>
                </c:pt>
                <c:pt idx="144">
                  <c:v>0.48704663212435234</c:v>
                </c:pt>
                <c:pt idx="145">
                  <c:v>0.46345811051693403</c:v>
                </c:pt>
                <c:pt idx="146">
                  <c:v>0.46950092421441775</c:v>
                </c:pt>
                <c:pt idx="147">
                  <c:v>0.41392649903288203</c:v>
                </c:pt>
                <c:pt idx="148">
                  <c:v>0.37147887323943662</c:v>
                </c:pt>
                <c:pt idx="149">
                  <c:v>0.54878048780487809</c:v>
                </c:pt>
                <c:pt idx="150">
                  <c:v>0.68400000000000005</c:v>
                </c:pt>
                <c:pt idx="151">
                  <c:v>0.68149882903981263</c:v>
                </c:pt>
                <c:pt idx="152">
                  <c:v>0.6753812636165577</c:v>
                </c:pt>
                <c:pt idx="153">
                  <c:v>0.65191146881287731</c:v>
                </c:pt>
                <c:pt idx="154">
                  <c:v>0.65886287625418061</c:v>
                </c:pt>
                <c:pt idx="155">
                  <c:v>0.73351648351648346</c:v>
                </c:pt>
                <c:pt idx="156">
                  <c:v>0.74365482233502533</c:v>
                </c:pt>
                <c:pt idx="157">
                  <c:v>0.73743016759776536</c:v>
                </c:pt>
                <c:pt idx="158">
                  <c:v>0.70499999999999996</c:v>
                </c:pt>
                <c:pt idx="159">
                  <c:v>0.68441064638783267</c:v>
                </c:pt>
                <c:pt idx="160">
                  <c:v>0.68358208955223876</c:v>
                </c:pt>
                <c:pt idx="161">
                  <c:v>0.60571428571428576</c:v>
                </c:pt>
                <c:pt idx="162">
                  <c:v>0.68510638297872339</c:v>
                </c:pt>
                <c:pt idx="163">
                  <c:v>0.76870748299319724</c:v>
                </c:pt>
                <c:pt idx="164">
                  <c:v>0.7665847665847666</c:v>
                </c:pt>
                <c:pt idx="165">
                  <c:v>0.6886363636363636</c:v>
                </c:pt>
                <c:pt idx="166">
                  <c:v>0.82173913043478264</c:v>
                </c:pt>
                <c:pt idx="167">
                  <c:v>0.66485013623978206</c:v>
                </c:pt>
                <c:pt idx="168">
                  <c:v>0.70262390670553931</c:v>
                </c:pt>
                <c:pt idx="169">
                  <c:v>0.66386554621848737</c:v>
                </c:pt>
                <c:pt idx="170">
                  <c:v>0.76870748299319724</c:v>
                </c:pt>
                <c:pt idx="171">
                  <c:v>0.60060060060060061</c:v>
                </c:pt>
                <c:pt idx="172">
                  <c:v>0.38922155688622756</c:v>
                </c:pt>
                <c:pt idx="173">
                  <c:v>0.59366754617414252</c:v>
                </c:pt>
                <c:pt idx="174">
                  <c:v>0.56530214424951264</c:v>
                </c:pt>
                <c:pt idx="175">
                  <c:v>0.52566735112936347</c:v>
                </c:pt>
                <c:pt idx="176">
                  <c:v>0.50457038391224862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8-44E6-8DFF-E950C6162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52399"/>
        <c:axId val="341704415"/>
      </c:scatterChart>
      <c:valAx>
        <c:axId val="464752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04415"/>
        <c:crosses val="autoZero"/>
        <c:crossBetween val="midCat"/>
      </c:valAx>
      <c:valAx>
        <c:axId val="341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P132 Port Dickson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016382327209099"/>
                  <c:y val="-0.15933836395450568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RaceWorksheet!$K$2:$K$178</c:f>
              <c:numCache>
                <c:formatCode>0.0%</c:formatCode>
                <c:ptCount val="177"/>
                <c:pt idx="0">
                  <c:v>5.5E-2</c:v>
                </c:pt>
                <c:pt idx="1">
                  <c:v>6.25E-2</c:v>
                </c:pt>
                <c:pt idx="2">
                  <c:v>4.9411764705882349E-2</c:v>
                </c:pt>
                <c:pt idx="3">
                  <c:v>7.4297188755020074E-2</c:v>
                </c:pt>
                <c:pt idx="4">
                  <c:v>0.18</c:v>
                </c:pt>
                <c:pt idx="5">
                  <c:v>0.13777777777777778</c:v>
                </c:pt>
                <c:pt idx="6">
                  <c:v>0.13841368584758942</c:v>
                </c:pt>
                <c:pt idx="7">
                  <c:v>0.2375776397515528</c:v>
                </c:pt>
                <c:pt idx="8">
                  <c:v>9.4936708860759497E-3</c:v>
                </c:pt>
                <c:pt idx="9">
                  <c:v>0.25555555555555554</c:v>
                </c:pt>
                <c:pt idx="10">
                  <c:v>0.32666666666666666</c:v>
                </c:pt>
                <c:pt idx="11">
                  <c:v>0.3306581059390048</c:v>
                </c:pt>
                <c:pt idx="12">
                  <c:v>0.4606741573033708</c:v>
                </c:pt>
                <c:pt idx="13">
                  <c:v>0.56000000000000005</c:v>
                </c:pt>
                <c:pt idx="14">
                  <c:v>5.3333333333333337E-2</c:v>
                </c:pt>
                <c:pt idx="15">
                  <c:v>5.5555555555555552E-2</c:v>
                </c:pt>
                <c:pt idx="16">
                  <c:v>9.8827470686767172E-2</c:v>
                </c:pt>
                <c:pt idx="17">
                  <c:v>9.5477386934673364E-2</c:v>
                </c:pt>
                <c:pt idx="18">
                  <c:v>9.7152428810720268E-2</c:v>
                </c:pt>
                <c:pt idx="19">
                  <c:v>6.8333333333333329E-2</c:v>
                </c:pt>
                <c:pt idx="20">
                  <c:v>6.222222222222222E-2</c:v>
                </c:pt>
                <c:pt idx="21">
                  <c:v>7.0344827586206901E-2</c:v>
                </c:pt>
                <c:pt idx="22">
                  <c:v>0.48444444444444446</c:v>
                </c:pt>
                <c:pt idx="23">
                  <c:v>0.46</c:v>
                </c:pt>
                <c:pt idx="24">
                  <c:v>0.49911504424778763</c:v>
                </c:pt>
                <c:pt idx="25">
                  <c:v>0.536283185840708</c:v>
                </c:pt>
                <c:pt idx="26">
                  <c:v>0.45263157894736844</c:v>
                </c:pt>
                <c:pt idx="27">
                  <c:v>0.61072664359861595</c:v>
                </c:pt>
                <c:pt idx="28">
                  <c:v>0.88222222222222224</c:v>
                </c:pt>
                <c:pt idx="29">
                  <c:v>0.70531400966183577</c:v>
                </c:pt>
                <c:pt idx="30">
                  <c:v>0.87710843373493974</c:v>
                </c:pt>
                <c:pt idx="31">
                  <c:v>0.15777777777777777</c:v>
                </c:pt>
                <c:pt idx="32">
                  <c:v>0.30666666666666664</c:v>
                </c:pt>
                <c:pt idx="33">
                  <c:v>0.26474820143884892</c:v>
                </c:pt>
                <c:pt idx="34">
                  <c:v>0.29166666666666669</c:v>
                </c:pt>
                <c:pt idx="35">
                  <c:v>0.41954022988505746</c:v>
                </c:pt>
                <c:pt idx="36">
                  <c:v>0.48419540229885055</c:v>
                </c:pt>
                <c:pt idx="37">
                  <c:v>0.51</c:v>
                </c:pt>
                <c:pt idx="38">
                  <c:v>6.8888888888888888E-2</c:v>
                </c:pt>
                <c:pt idx="39">
                  <c:v>0.20666666666666667</c:v>
                </c:pt>
                <c:pt idx="40">
                  <c:v>0.16988950276243095</c:v>
                </c:pt>
                <c:pt idx="41">
                  <c:v>0.25276243093922651</c:v>
                </c:pt>
                <c:pt idx="42">
                  <c:v>0.29103448275862071</c:v>
                </c:pt>
                <c:pt idx="43">
                  <c:v>0.13111111111111112</c:v>
                </c:pt>
                <c:pt idx="44">
                  <c:v>9.3333333333333338E-2</c:v>
                </c:pt>
                <c:pt idx="45">
                  <c:v>0.13333333333333333</c:v>
                </c:pt>
                <c:pt idx="46">
                  <c:v>0.14086687306501547</c:v>
                </c:pt>
                <c:pt idx="47">
                  <c:v>0.10526315789473684</c:v>
                </c:pt>
                <c:pt idx="48">
                  <c:v>0.10681114551083591</c:v>
                </c:pt>
                <c:pt idx="49">
                  <c:v>0.16718266253869968</c:v>
                </c:pt>
                <c:pt idx="50">
                  <c:v>0.24613003095975233</c:v>
                </c:pt>
                <c:pt idx="51">
                  <c:v>0.23647604327666152</c:v>
                </c:pt>
                <c:pt idx="52">
                  <c:v>0.10666666666666667</c:v>
                </c:pt>
                <c:pt idx="53">
                  <c:v>0.12888888888888889</c:v>
                </c:pt>
                <c:pt idx="54">
                  <c:v>0.16666666666666666</c:v>
                </c:pt>
                <c:pt idx="55">
                  <c:v>0.23488773747841105</c:v>
                </c:pt>
                <c:pt idx="56">
                  <c:v>0.30517241379310345</c:v>
                </c:pt>
                <c:pt idx="57">
                  <c:v>0.31724137931034485</c:v>
                </c:pt>
                <c:pt idx="58">
                  <c:v>0.35517241379310344</c:v>
                </c:pt>
                <c:pt idx="59">
                  <c:v>8.4444444444444447E-2</c:v>
                </c:pt>
                <c:pt idx="60">
                  <c:v>8.2222222222222224E-2</c:v>
                </c:pt>
                <c:pt idx="61">
                  <c:v>5.6692913385826771E-2</c:v>
                </c:pt>
                <c:pt idx="62">
                  <c:v>0.10393700787401575</c:v>
                </c:pt>
                <c:pt idx="63">
                  <c:v>0.12598425196850394</c:v>
                </c:pt>
                <c:pt idx="64">
                  <c:v>0.12440944881889764</c:v>
                </c:pt>
                <c:pt idx="65">
                  <c:v>0.10393700787401575</c:v>
                </c:pt>
                <c:pt idx="66">
                  <c:v>0.14106583072100312</c:v>
                </c:pt>
                <c:pt idx="67">
                  <c:v>0.18222222222222223</c:v>
                </c:pt>
                <c:pt idx="68">
                  <c:v>0.20444444444444446</c:v>
                </c:pt>
                <c:pt idx="69">
                  <c:v>0.21439749608763695</c:v>
                </c:pt>
                <c:pt idx="70">
                  <c:v>0.20187793427230047</c:v>
                </c:pt>
                <c:pt idx="71">
                  <c:v>0.26134585289514867</c:v>
                </c:pt>
                <c:pt idx="72">
                  <c:v>0.27386541471048514</c:v>
                </c:pt>
                <c:pt idx="73">
                  <c:v>0.2519561815336463</c:v>
                </c:pt>
                <c:pt idx="74">
                  <c:v>5.0264550264550262E-2</c:v>
                </c:pt>
                <c:pt idx="75">
                  <c:v>0.06</c:v>
                </c:pt>
                <c:pt idx="76">
                  <c:v>0.12138728323699421</c:v>
                </c:pt>
                <c:pt idx="77">
                  <c:v>3.5519125683060107E-2</c:v>
                </c:pt>
                <c:pt idx="78">
                  <c:v>8.5714285714285715E-2</c:v>
                </c:pt>
                <c:pt idx="79">
                  <c:v>0.25467289719626168</c:v>
                </c:pt>
                <c:pt idx="80">
                  <c:v>0.73777777777777775</c:v>
                </c:pt>
                <c:pt idx="81">
                  <c:v>0.81974248927038629</c:v>
                </c:pt>
                <c:pt idx="82">
                  <c:v>0.79613733905579398</c:v>
                </c:pt>
                <c:pt idx="83">
                  <c:v>0.85333333333333339</c:v>
                </c:pt>
                <c:pt idx="84">
                  <c:v>0.88888888888888884</c:v>
                </c:pt>
                <c:pt idx="85">
                  <c:v>0.85507246376811596</c:v>
                </c:pt>
                <c:pt idx="86">
                  <c:v>0.91739130434782612</c:v>
                </c:pt>
                <c:pt idx="87">
                  <c:v>0.92630057803468213</c:v>
                </c:pt>
                <c:pt idx="88">
                  <c:v>0.94812680115273773</c:v>
                </c:pt>
                <c:pt idx="89">
                  <c:v>0.78</c:v>
                </c:pt>
                <c:pt idx="90">
                  <c:v>0.88444444444444448</c:v>
                </c:pt>
                <c:pt idx="91">
                  <c:v>0.89799072642967548</c:v>
                </c:pt>
                <c:pt idx="92">
                  <c:v>0.85316846986089645</c:v>
                </c:pt>
                <c:pt idx="93">
                  <c:v>0.89026275115919629</c:v>
                </c:pt>
                <c:pt idx="94">
                  <c:v>0.88562596599690879</c:v>
                </c:pt>
                <c:pt idx="95">
                  <c:v>0.48888888888888887</c:v>
                </c:pt>
                <c:pt idx="96">
                  <c:v>0.57999999999999996</c:v>
                </c:pt>
                <c:pt idx="97">
                  <c:v>0.62</c:v>
                </c:pt>
                <c:pt idx="98">
                  <c:v>0.61515601783060925</c:v>
                </c:pt>
                <c:pt idx="99">
                  <c:v>0.6953937592867756</c:v>
                </c:pt>
                <c:pt idx="100">
                  <c:v>0.70919881305637977</c:v>
                </c:pt>
                <c:pt idx="101">
                  <c:v>0.72592592592592597</c:v>
                </c:pt>
                <c:pt idx="102">
                  <c:v>0.94444444444444442</c:v>
                </c:pt>
                <c:pt idx="103">
                  <c:v>0.95513748191027492</c:v>
                </c:pt>
                <c:pt idx="104">
                  <c:v>0.85094066570188132</c:v>
                </c:pt>
                <c:pt idx="105">
                  <c:v>0.92329956584659911</c:v>
                </c:pt>
                <c:pt idx="106">
                  <c:v>0.95947901591895801</c:v>
                </c:pt>
                <c:pt idx="107">
                  <c:v>0.95079594790159194</c:v>
                </c:pt>
                <c:pt idx="108">
                  <c:v>0.08</c:v>
                </c:pt>
                <c:pt idx="109">
                  <c:v>0.18357487922705315</c:v>
                </c:pt>
                <c:pt idx="110">
                  <c:v>0.49333333333333335</c:v>
                </c:pt>
                <c:pt idx="111">
                  <c:v>0.51555555555555554</c:v>
                </c:pt>
                <c:pt idx="112">
                  <c:v>0.63839999999999997</c:v>
                </c:pt>
                <c:pt idx="113">
                  <c:v>0.69648562300319494</c:v>
                </c:pt>
                <c:pt idx="114">
                  <c:v>0.52222222222222225</c:v>
                </c:pt>
                <c:pt idx="115">
                  <c:v>0.46808510638297873</c:v>
                </c:pt>
                <c:pt idx="116">
                  <c:v>0.56286266924564798</c:v>
                </c:pt>
                <c:pt idx="117">
                  <c:v>0.38666666666666666</c:v>
                </c:pt>
                <c:pt idx="118">
                  <c:v>0.47663551401869159</c:v>
                </c:pt>
                <c:pt idx="119">
                  <c:v>0.56529850746268662</c:v>
                </c:pt>
                <c:pt idx="120">
                  <c:v>2.2857142857142857E-2</c:v>
                </c:pt>
                <c:pt idx="121">
                  <c:v>0.10621242484969939</c:v>
                </c:pt>
                <c:pt idx="122">
                  <c:v>0.90888888888888886</c:v>
                </c:pt>
                <c:pt idx="123">
                  <c:v>0.92321116928446767</c:v>
                </c:pt>
                <c:pt idx="124">
                  <c:v>0.93542757417102962</c:v>
                </c:pt>
                <c:pt idx="125">
                  <c:v>0.97909407665505221</c:v>
                </c:pt>
                <c:pt idx="126">
                  <c:v>0.33460076045627374</c:v>
                </c:pt>
                <c:pt idx="127">
                  <c:v>0.40666666666666668</c:v>
                </c:pt>
                <c:pt idx="128">
                  <c:v>0.51555555555555554</c:v>
                </c:pt>
                <c:pt idx="129">
                  <c:v>0.55052264808362372</c:v>
                </c:pt>
                <c:pt idx="130">
                  <c:v>0.57491289198606277</c:v>
                </c:pt>
                <c:pt idx="131">
                  <c:v>0.6376306620209059</c:v>
                </c:pt>
                <c:pt idx="132">
                  <c:v>0.65043478260869569</c:v>
                </c:pt>
                <c:pt idx="133">
                  <c:v>0.66444444444444439</c:v>
                </c:pt>
                <c:pt idx="134">
                  <c:v>0.66222222222222227</c:v>
                </c:pt>
                <c:pt idx="135">
                  <c:v>0.71715610510046368</c:v>
                </c:pt>
                <c:pt idx="136">
                  <c:v>0.74188562596599694</c:v>
                </c:pt>
                <c:pt idx="137">
                  <c:v>0.72179289026275117</c:v>
                </c:pt>
                <c:pt idx="138">
                  <c:v>0.68672839506172845</c:v>
                </c:pt>
                <c:pt idx="139">
                  <c:v>0.61333333333333329</c:v>
                </c:pt>
                <c:pt idx="140">
                  <c:v>0.66129032258064513</c:v>
                </c:pt>
                <c:pt idx="141">
                  <c:v>0.76539589442815248</c:v>
                </c:pt>
                <c:pt idx="142">
                  <c:v>0.44444444444444442</c:v>
                </c:pt>
                <c:pt idx="143">
                  <c:v>0.42666666666666669</c:v>
                </c:pt>
                <c:pt idx="144">
                  <c:v>0.57111111111111112</c:v>
                </c:pt>
                <c:pt idx="145">
                  <c:v>0.5778097982708934</c:v>
                </c:pt>
                <c:pt idx="146">
                  <c:v>0.65850144092219021</c:v>
                </c:pt>
                <c:pt idx="147">
                  <c:v>0.73775216138328525</c:v>
                </c:pt>
                <c:pt idx="148">
                  <c:v>0.81007194244604319</c:v>
                </c:pt>
                <c:pt idx="149">
                  <c:v>0.39111111111111113</c:v>
                </c:pt>
                <c:pt idx="150">
                  <c:v>0.3237639553429027</c:v>
                </c:pt>
                <c:pt idx="151">
                  <c:v>0.34928229665071769</c:v>
                </c:pt>
                <c:pt idx="152">
                  <c:v>0.38437001594896331</c:v>
                </c:pt>
                <c:pt idx="153">
                  <c:v>0.41082802547770703</c:v>
                </c:pt>
                <c:pt idx="154">
                  <c:v>0.19777777777777777</c:v>
                </c:pt>
                <c:pt idx="155">
                  <c:v>0.19333333333333333</c:v>
                </c:pt>
                <c:pt idx="156">
                  <c:v>0.2012072434607646</c:v>
                </c:pt>
                <c:pt idx="157">
                  <c:v>0.27364185110663986</c:v>
                </c:pt>
                <c:pt idx="158">
                  <c:v>0.30923694779116467</c:v>
                </c:pt>
                <c:pt idx="159">
                  <c:v>0.13555555555555557</c:v>
                </c:pt>
                <c:pt idx="160">
                  <c:v>0.15777777777777777</c:v>
                </c:pt>
                <c:pt idx="161">
                  <c:v>0.28444444444444444</c:v>
                </c:pt>
                <c:pt idx="162">
                  <c:v>0.20666666666666667</c:v>
                </c:pt>
                <c:pt idx="163">
                  <c:v>0.17666666666666667</c:v>
                </c:pt>
                <c:pt idx="164">
                  <c:v>0.26833333333333331</c:v>
                </c:pt>
                <c:pt idx="165">
                  <c:v>0.33222591362126247</c:v>
                </c:pt>
                <c:pt idx="166">
                  <c:v>0.14000000000000001</c:v>
                </c:pt>
                <c:pt idx="167">
                  <c:v>0.23777777777777778</c:v>
                </c:pt>
                <c:pt idx="168">
                  <c:v>0.30666666666666664</c:v>
                </c:pt>
                <c:pt idx="169">
                  <c:v>0.34969325153374231</c:v>
                </c:pt>
                <c:pt idx="170">
                  <c:v>0.34969325153374231</c:v>
                </c:pt>
                <c:pt idx="171">
                  <c:v>0.47142857142857142</c:v>
                </c:pt>
                <c:pt idx="172">
                  <c:v>0.42</c:v>
                </c:pt>
                <c:pt idx="173">
                  <c:v>0.38222222222222224</c:v>
                </c:pt>
                <c:pt idx="174">
                  <c:v>0.40117130307467058</c:v>
                </c:pt>
                <c:pt idx="175">
                  <c:v>0.54612005856515378</c:v>
                </c:pt>
                <c:pt idx="176">
                  <c:v>0.57518248175182485</c:v>
                </c:pt>
              </c:numCache>
            </c:numRef>
          </c:xVal>
          <c:yVal>
            <c:numRef>
              <c:f>RaceWorksheet!$B$2:$B$178</c:f>
              <c:numCache>
                <c:formatCode>0.0%</c:formatCode>
                <c:ptCount val="177"/>
                <c:pt idx="0">
                  <c:v>2.9787234042553193E-2</c:v>
                </c:pt>
                <c:pt idx="1">
                  <c:v>1.0563380281690141E-2</c:v>
                </c:pt>
                <c:pt idx="2">
                  <c:v>2.3391812865497075E-2</c:v>
                </c:pt>
                <c:pt idx="3">
                  <c:v>5.0505050505050504E-2</c:v>
                </c:pt>
                <c:pt idx="4">
                  <c:v>0.11139896373056994</c:v>
                </c:pt>
                <c:pt idx="5">
                  <c:v>8.4925690021231421E-3</c:v>
                </c:pt>
                <c:pt idx="6">
                  <c:v>7.8947368421052627E-2</c:v>
                </c:pt>
                <c:pt idx="7">
                  <c:v>5.6485355648535567E-2</c:v>
                </c:pt>
                <c:pt idx="8">
                  <c:v>0.13333333333333333</c:v>
                </c:pt>
                <c:pt idx="9">
                  <c:v>2.5723472668810289E-2</c:v>
                </c:pt>
                <c:pt idx="10">
                  <c:v>4.8517520215633422E-2</c:v>
                </c:pt>
                <c:pt idx="11">
                  <c:v>0.10786516853932585</c:v>
                </c:pt>
                <c:pt idx="12">
                  <c:v>0.11464968152866242</c:v>
                </c:pt>
                <c:pt idx="13">
                  <c:v>0.2</c:v>
                </c:pt>
                <c:pt idx="14">
                  <c:v>3.2894736842105261E-2</c:v>
                </c:pt>
                <c:pt idx="15">
                  <c:v>1.662049861495845E-2</c:v>
                </c:pt>
                <c:pt idx="16">
                  <c:v>3.7499999999999999E-2</c:v>
                </c:pt>
                <c:pt idx="17">
                  <c:v>2.914798206278027E-2</c:v>
                </c:pt>
                <c:pt idx="18">
                  <c:v>3.811659192825112E-2</c:v>
                </c:pt>
                <c:pt idx="19">
                  <c:v>2.1052631578947368E-2</c:v>
                </c:pt>
                <c:pt idx="20">
                  <c:v>2.3323615160349854E-2</c:v>
                </c:pt>
                <c:pt idx="21">
                  <c:v>2.0522388059701493E-2</c:v>
                </c:pt>
                <c:pt idx="22">
                  <c:v>5.9374999999999997E-2</c:v>
                </c:pt>
                <c:pt idx="23">
                  <c:v>4.2666666666666665E-2</c:v>
                </c:pt>
                <c:pt idx="24">
                  <c:v>0.11038961038961038</c:v>
                </c:pt>
                <c:pt idx="25">
                  <c:v>0.15932914046121593</c:v>
                </c:pt>
                <c:pt idx="26">
                  <c:v>0.15681818181818183</c:v>
                </c:pt>
                <c:pt idx="27">
                  <c:v>0.25869565217391305</c:v>
                </c:pt>
                <c:pt idx="28">
                  <c:v>0.14772727272727273</c:v>
                </c:pt>
                <c:pt idx="29">
                  <c:v>0.23734177215189872</c:v>
                </c:pt>
                <c:pt idx="30">
                  <c:v>0.42732558139534882</c:v>
                </c:pt>
                <c:pt idx="31">
                  <c:v>8.2018927444794956E-2</c:v>
                </c:pt>
                <c:pt idx="32">
                  <c:v>0.16666666666666666</c:v>
                </c:pt>
                <c:pt idx="33">
                  <c:v>0.16083916083916083</c:v>
                </c:pt>
                <c:pt idx="34">
                  <c:v>0.15341959334565619</c:v>
                </c:pt>
                <c:pt idx="35">
                  <c:v>0.19842829076620824</c:v>
                </c:pt>
                <c:pt idx="36">
                  <c:v>0.24682395644283123</c:v>
                </c:pt>
                <c:pt idx="37">
                  <c:v>0.30569948186528495</c:v>
                </c:pt>
                <c:pt idx="38">
                  <c:v>2.6627218934911243E-2</c:v>
                </c:pt>
                <c:pt idx="39">
                  <c:v>7.1808510638297879E-2</c:v>
                </c:pt>
                <c:pt idx="40">
                  <c:v>9.3922651933701654E-2</c:v>
                </c:pt>
                <c:pt idx="41">
                  <c:v>0.13246268656716417</c:v>
                </c:pt>
                <c:pt idx="42">
                  <c:v>0.14362657091561939</c:v>
                </c:pt>
                <c:pt idx="43">
                  <c:v>3.2573289902280131E-2</c:v>
                </c:pt>
                <c:pt idx="44">
                  <c:v>3.825136612021858E-2</c:v>
                </c:pt>
                <c:pt idx="45">
                  <c:v>4.2780748663101602E-2</c:v>
                </c:pt>
                <c:pt idx="46">
                  <c:v>7.1833648393194713E-2</c:v>
                </c:pt>
                <c:pt idx="47">
                  <c:v>5.0709939148073022E-2</c:v>
                </c:pt>
                <c:pt idx="48">
                  <c:v>6.1983471074380167E-2</c:v>
                </c:pt>
                <c:pt idx="49">
                  <c:v>9.8290598290598288E-2</c:v>
                </c:pt>
                <c:pt idx="50">
                  <c:v>0.14316239316239315</c:v>
                </c:pt>
                <c:pt idx="51">
                  <c:v>0.11946050096339114</c:v>
                </c:pt>
                <c:pt idx="52">
                  <c:v>4.2904290429042903E-2</c:v>
                </c:pt>
                <c:pt idx="53">
                  <c:v>6.0846560846560843E-2</c:v>
                </c:pt>
                <c:pt idx="54">
                  <c:v>7.407407407407407E-2</c:v>
                </c:pt>
                <c:pt idx="55">
                  <c:v>7.2649572649572655E-2</c:v>
                </c:pt>
                <c:pt idx="56">
                  <c:v>0.12528473804100229</c:v>
                </c:pt>
                <c:pt idx="57">
                  <c:v>0.15509259259259259</c:v>
                </c:pt>
                <c:pt idx="58">
                  <c:v>0.17084282460136674</c:v>
                </c:pt>
                <c:pt idx="59">
                  <c:v>6.2091503267973858E-2</c:v>
                </c:pt>
                <c:pt idx="60">
                  <c:v>1.832460732984293E-2</c:v>
                </c:pt>
                <c:pt idx="61">
                  <c:v>2.3715415019762844E-2</c:v>
                </c:pt>
                <c:pt idx="62">
                  <c:v>5.0739957716701901E-2</c:v>
                </c:pt>
                <c:pt idx="63">
                  <c:v>7.1120689655172417E-2</c:v>
                </c:pt>
                <c:pt idx="64">
                  <c:v>8.1140350877192985E-2</c:v>
                </c:pt>
                <c:pt idx="65">
                  <c:v>6.8736141906873618E-2</c:v>
                </c:pt>
                <c:pt idx="66">
                  <c:v>8.6065573770491802E-2</c:v>
                </c:pt>
                <c:pt idx="67">
                  <c:v>6.6246056782334389E-2</c:v>
                </c:pt>
                <c:pt idx="68">
                  <c:v>7.9234972677595633E-2</c:v>
                </c:pt>
                <c:pt idx="69">
                  <c:v>5.737704918032787E-2</c:v>
                </c:pt>
                <c:pt idx="70">
                  <c:v>6.8230277185501065E-2</c:v>
                </c:pt>
                <c:pt idx="71">
                  <c:v>0.12473572938689217</c:v>
                </c:pt>
                <c:pt idx="72">
                  <c:v>0.12072892938496584</c:v>
                </c:pt>
                <c:pt idx="73">
                  <c:v>9.1428571428571428E-2</c:v>
                </c:pt>
                <c:pt idx="74">
                  <c:v>4.924242424242424E-2</c:v>
                </c:pt>
                <c:pt idx="75">
                  <c:v>2.9585798816568046E-2</c:v>
                </c:pt>
                <c:pt idx="76">
                  <c:v>7.1174377224199295E-2</c:v>
                </c:pt>
                <c:pt idx="77">
                  <c:v>2.2556390977443608E-2</c:v>
                </c:pt>
                <c:pt idx="78">
                  <c:v>6.0747663551401869E-2</c:v>
                </c:pt>
                <c:pt idx="79">
                  <c:v>0.16149068322981366</c:v>
                </c:pt>
                <c:pt idx="80">
                  <c:v>0.34836065573770492</c:v>
                </c:pt>
                <c:pt idx="81">
                  <c:v>0.56084656084656082</c:v>
                </c:pt>
                <c:pt idx="82">
                  <c:v>0.51955307262569828</c:v>
                </c:pt>
                <c:pt idx="83">
                  <c:v>0.25368731563421831</c:v>
                </c:pt>
                <c:pt idx="84">
                  <c:v>0.29133858267716534</c:v>
                </c:pt>
                <c:pt idx="85">
                  <c:v>0.3927272727272727</c:v>
                </c:pt>
                <c:pt idx="86">
                  <c:v>0.43253968253968256</c:v>
                </c:pt>
                <c:pt idx="87">
                  <c:v>0.4045368620037807</c:v>
                </c:pt>
                <c:pt idx="88">
                  <c:v>0.48007246376811596</c:v>
                </c:pt>
                <c:pt idx="89">
                  <c:v>0.20192307692307693</c:v>
                </c:pt>
                <c:pt idx="90">
                  <c:v>0.3143631436314363</c:v>
                </c:pt>
                <c:pt idx="91">
                  <c:v>0.45211581291759467</c:v>
                </c:pt>
                <c:pt idx="92">
                  <c:v>0.41870824053452116</c:v>
                </c:pt>
                <c:pt idx="93">
                  <c:v>0.46090534979423869</c:v>
                </c:pt>
                <c:pt idx="94">
                  <c:v>0.47165532879818595</c:v>
                </c:pt>
                <c:pt idx="95">
                  <c:v>0.12546125461254612</c:v>
                </c:pt>
                <c:pt idx="96">
                  <c:v>0.17784256559766765</c:v>
                </c:pt>
                <c:pt idx="97">
                  <c:v>0.20435967302452315</c:v>
                </c:pt>
                <c:pt idx="98">
                  <c:v>0.32053742802303264</c:v>
                </c:pt>
                <c:pt idx="99">
                  <c:v>0.34237995824634654</c:v>
                </c:pt>
                <c:pt idx="100">
                  <c:v>0.41176470588235292</c:v>
                </c:pt>
                <c:pt idx="101">
                  <c:v>0.42518248175182483</c:v>
                </c:pt>
                <c:pt idx="102">
                  <c:v>0.32520325203252032</c:v>
                </c:pt>
                <c:pt idx="103">
                  <c:v>0.47758620689655173</c:v>
                </c:pt>
                <c:pt idx="104">
                  <c:v>0.49899396378269617</c:v>
                </c:pt>
                <c:pt idx="105">
                  <c:v>0.50803212851405621</c:v>
                </c:pt>
                <c:pt idx="106">
                  <c:v>0.56957328385899819</c:v>
                </c:pt>
                <c:pt idx="107">
                  <c:v>0.5898876404494382</c:v>
                </c:pt>
                <c:pt idx="108">
                  <c:v>2.7439024390243903E-2</c:v>
                </c:pt>
                <c:pt idx="109">
                  <c:v>0.10967741935483871</c:v>
                </c:pt>
                <c:pt idx="110">
                  <c:v>8.3892617449664433E-2</c:v>
                </c:pt>
                <c:pt idx="111">
                  <c:v>0.13390313390313391</c:v>
                </c:pt>
                <c:pt idx="112">
                  <c:v>0.20039682539682541</c:v>
                </c:pt>
                <c:pt idx="113">
                  <c:v>0.26734693877551019</c:v>
                </c:pt>
                <c:pt idx="114">
                  <c:v>0.12571428571428572</c:v>
                </c:pt>
                <c:pt idx="115">
                  <c:v>0.17266187050359713</c:v>
                </c:pt>
                <c:pt idx="116">
                  <c:v>0.25060827250608275</c:v>
                </c:pt>
                <c:pt idx="117">
                  <c:v>9.841269841269841E-2</c:v>
                </c:pt>
                <c:pt idx="118">
                  <c:v>0.15201900237529692</c:v>
                </c:pt>
                <c:pt idx="119">
                  <c:v>0.24396135265700483</c:v>
                </c:pt>
                <c:pt idx="120">
                  <c:v>3.0418250950570342E-2</c:v>
                </c:pt>
                <c:pt idx="121">
                  <c:v>4.5685279187817257E-2</c:v>
                </c:pt>
                <c:pt idx="122">
                  <c:v>0.19327731092436976</c:v>
                </c:pt>
                <c:pt idx="123">
                  <c:v>0.36213991769547327</c:v>
                </c:pt>
                <c:pt idx="124">
                  <c:v>0.52380952380952384</c:v>
                </c:pt>
                <c:pt idx="125">
                  <c:v>0.5304347826086957</c:v>
                </c:pt>
                <c:pt idx="126">
                  <c:v>0.14383561643835616</c:v>
                </c:pt>
                <c:pt idx="127">
                  <c:v>9.8314606741573038E-2</c:v>
                </c:pt>
                <c:pt idx="128">
                  <c:v>0.18790496760259179</c:v>
                </c:pt>
                <c:pt idx="129">
                  <c:v>0.27906976744186046</c:v>
                </c:pt>
                <c:pt idx="130">
                  <c:v>0.31159420289855072</c:v>
                </c:pt>
                <c:pt idx="131">
                  <c:v>0.32181425485961124</c:v>
                </c:pt>
                <c:pt idx="132">
                  <c:v>9.5238095238095233E-2</c:v>
                </c:pt>
                <c:pt idx="133">
                  <c:v>0.16569767441860464</c:v>
                </c:pt>
                <c:pt idx="134">
                  <c:v>0.21220930232558138</c:v>
                </c:pt>
                <c:pt idx="135">
                  <c:v>0.3891625615763547</c:v>
                </c:pt>
                <c:pt idx="136">
                  <c:v>0.40481927710843374</c:v>
                </c:pt>
                <c:pt idx="137">
                  <c:v>0.41363636363636364</c:v>
                </c:pt>
                <c:pt idx="138">
                  <c:v>0.38414634146341464</c:v>
                </c:pt>
                <c:pt idx="139">
                  <c:v>0.1396011396011396</c:v>
                </c:pt>
                <c:pt idx="140">
                  <c:v>0.3102803738317757</c:v>
                </c:pt>
                <c:pt idx="141">
                  <c:v>0.42073170731707316</c:v>
                </c:pt>
                <c:pt idx="142">
                  <c:v>0.13380281690140844</c:v>
                </c:pt>
                <c:pt idx="143">
                  <c:v>0.12912087912087913</c:v>
                </c:pt>
                <c:pt idx="144">
                  <c:v>0.24611398963730569</c:v>
                </c:pt>
                <c:pt idx="145">
                  <c:v>0.28163992869875221</c:v>
                </c:pt>
                <c:pt idx="146">
                  <c:v>0.29390018484288355</c:v>
                </c:pt>
                <c:pt idx="147">
                  <c:v>0.38684719535783363</c:v>
                </c:pt>
                <c:pt idx="148">
                  <c:v>0.45422535211267606</c:v>
                </c:pt>
                <c:pt idx="149">
                  <c:v>0.16463414634146342</c:v>
                </c:pt>
                <c:pt idx="150">
                  <c:v>0.152</c:v>
                </c:pt>
                <c:pt idx="151">
                  <c:v>0.18266978922716628</c:v>
                </c:pt>
                <c:pt idx="152">
                  <c:v>0.20479302832244009</c:v>
                </c:pt>
                <c:pt idx="153">
                  <c:v>0.23742454728370221</c:v>
                </c:pt>
                <c:pt idx="154">
                  <c:v>4.0133779264214048E-2</c:v>
                </c:pt>
                <c:pt idx="155">
                  <c:v>5.21978021978022E-2</c:v>
                </c:pt>
                <c:pt idx="156">
                  <c:v>9.6446700507614211E-2</c:v>
                </c:pt>
                <c:pt idx="157">
                  <c:v>0.12290502793296089</c:v>
                </c:pt>
                <c:pt idx="158">
                  <c:v>0.15</c:v>
                </c:pt>
                <c:pt idx="159">
                  <c:v>4.1825095057034217E-2</c:v>
                </c:pt>
                <c:pt idx="160">
                  <c:v>5.0746268656716415E-2</c:v>
                </c:pt>
                <c:pt idx="161">
                  <c:v>7.4285714285714288E-2</c:v>
                </c:pt>
                <c:pt idx="162">
                  <c:v>5.9574468085106386E-2</c:v>
                </c:pt>
                <c:pt idx="163">
                  <c:v>8.8435374149659865E-2</c:v>
                </c:pt>
                <c:pt idx="164">
                  <c:v>0.12530712530712532</c:v>
                </c:pt>
                <c:pt idx="165">
                  <c:v>0.17045454545454544</c:v>
                </c:pt>
                <c:pt idx="166">
                  <c:v>3.4782608695652174E-2</c:v>
                </c:pt>
                <c:pt idx="167">
                  <c:v>0.1907356948228883</c:v>
                </c:pt>
                <c:pt idx="168">
                  <c:v>0.13702623906705538</c:v>
                </c:pt>
                <c:pt idx="169">
                  <c:v>0.12605042016806722</c:v>
                </c:pt>
                <c:pt idx="170">
                  <c:v>8.8435374149659865E-2</c:v>
                </c:pt>
                <c:pt idx="171">
                  <c:v>0.25225225225225223</c:v>
                </c:pt>
                <c:pt idx="172">
                  <c:v>0.1407185628742515</c:v>
                </c:pt>
                <c:pt idx="173">
                  <c:v>0.11609498680738786</c:v>
                </c:pt>
                <c:pt idx="174">
                  <c:v>0.18323586744639375</c:v>
                </c:pt>
                <c:pt idx="175">
                  <c:v>0.26488706365503079</c:v>
                </c:pt>
                <c:pt idx="176">
                  <c:v>0.29616087751371117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23-4898-AD92-76B970F51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52399"/>
        <c:axId val="341704415"/>
      </c:scatterChart>
      <c:valAx>
        <c:axId val="464752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04415"/>
        <c:crosses val="autoZero"/>
        <c:crossBetween val="midCat"/>
      </c:valAx>
      <c:valAx>
        <c:axId val="341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P132 Port Dickson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521216097987754"/>
                  <c:y val="-0.22294692330125401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RaceWorksheet!$K$2:$K$178</c:f>
              <c:numCache>
                <c:formatCode>0.0%</c:formatCode>
                <c:ptCount val="177"/>
                <c:pt idx="0">
                  <c:v>5.5E-2</c:v>
                </c:pt>
                <c:pt idx="1">
                  <c:v>6.25E-2</c:v>
                </c:pt>
                <c:pt idx="2">
                  <c:v>4.9411764705882349E-2</c:v>
                </c:pt>
                <c:pt idx="3">
                  <c:v>7.4297188755020074E-2</c:v>
                </c:pt>
                <c:pt idx="4">
                  <c:v>0.18</c:v>
                </c:pt>
                <c:pt idx="5">
                  <c:v>0.13777777777777778</c:v>
                </c:pt>
                <c:pt idx="6">
                  <c:v>0.13841368584758942</c:v>
                </c:pt>
                <c:pt idx="7">
                  <c:v>0.2375776397515528</c:v>
                </c:pt>
                <c:pt idx="8">
                  <c:v>9.4936708860759497E-3</c:v>
                </c:pt>
                <c:pt idx="9">
                  <c:v>0.25555555555555554</c:v>
                </c:pt>
                <c:pt idx="10">
                  <c:v>0.32666666666666666</c:v>
                </c:pt>
                <c:pt idx="11">
                  <c:v>0.3306581059390048</c:v>
                </c:pt>
                <c:pt idx="12">
                  <c:v>0.4606741573033708</c:v>
                </c:pt>
                <c:pt idx="13">
                  <c:v>0.56000000000000005</c:v>
                </c:pt>
                <c:pt idx="14">
                  <c:v>5.3333333333333337E-2</c:v>
                </c:pt>
                <c:pt idx="15">
                  <c:v>5.5555555555555552E-2</c:v>
                </c:pt>
                <c:pt idx="16">
                  <c:v>9.8827470686767172E-2</c:v>
                </c:pt>
                <c:pt idx="17">
                  <c:v>9.5477386934673364E-2</c:v>
                </c:pt>
                <c:pt idx="18">
                  <c:v>9.7152428810720268E-2</c:v>
                </c:pt>
                <c:pt idx="19">
                  <c:v>6.8333333333333329E-2</c:v>
                </c:pt>
                <c:pt idx="20">
                  <c:v>6.222222222222222E-2</c:v>
                </c:pt>
                <c:pt idx="21">
                  <c:v>7.0344827586206901E-2</c:v>
                </c:pt>
                <c:pt idx="22">
                  <c:v>0.48444444444444446</c:v>
                </c:pt>
                <c:pt idx="23">
                  <c:v>0.46</c:v>
                </c:pt>
                <c:pt idx="24">
                  <c:v>0.49911504424778763</c:v>
                </c:pt>
                <c:pt idx="25">
                  <c:v>0.536283185840708</c:v>
                </c:pt>
                <c:pt idx="26">
                  <c:v>0.45263157894736844</c:v>
                </c:pt>
                <c:pt idx="27">
                  <c:v>0.61072664359861595</c:v>
                </c:pt>
                <c:pt idx="28">
                  <c:v>0.88222222222222224</c:v>
                </c:pt>
                <c:pt idx="29">
                  <c:v>0.70531400966183577</c:v>
                </c:pt>
                <c:pt idx="30">
                  <c:v>0.87710843373493974</c:v>
                </c:pt>
                <c:pt idx="31">
                  <c:v>0.15777777777777777</c:v>
                </c:pt>
                <c:pt idx="32">
                  <c:v>0.30666666666666664</c:v>
                </c:pt>
                <c:pt idx="33">
                  <c:v>0.26474820143884892</c:v>
                </c:pt>
                <c:pt idx="34">
                  <c:v>0.29166666666666669</c:v>
                </c:pt>
                <c:pt idx="35">
                  <c:v>0.41954022988505746</c:v>
                </c:pt>
                <c:pt idx="36">
                  <c:v>0.48419540229885055</c:v>
                </c:pt>
                <c:pt idx="37">
                  <c:v>0.51</c:v>
                </c:pt>
                <c:pt idx="38">
                  <c:v>6.8888888888888888E-2</c:v>
                </c:pt>
                <c:pt idx="39">
                  <c:v>0.20666666666666667</c:v>
                </c:pt>
                <c:pt idx="40">
                  <c:v>0.16988950276243095</c:v>
                </c:pt>
                <c:pt idx="41">
                  <c:v>0.25276243093922651</c:v>
                </c:pt>
                <c:pt idx="42">
                  <c:v>0.29103448275862071</c:v>
                </c:pt>
                <c:pt idx="43">
                  <c:v>0.13111111111111112</c:v>
                </c:pt>
                <c:pt idx="44">
                  <c:v>9.3333333333333338E-2</c:v>
                </c:pt>
                <c:pt idx="45">
                  <c:v>0.13333333333333333</c:v>
                </c:pt>
                <c:pt idx="46">
                  <c:v>0.14086687306501547</c:v>
                </c:pt>
                <c:pt idx="47">
                  <c:v>0.10526315789473684</c:v>
                </c:pt>
                <c:pt idx="48">
                  <c:v>0.10681114551083591</c:v>
                </c:pt>
                <c:pt idx="49">
                  <c:v>0.16718266253869968</c:v>
                </c:pt>
                <c:pt idx="50">
                  <c:v>0.24613003095975233</c:v>
                </c:pt>
                <c:pt idx="51">
                  <c:v>0.23647604327666152</c:v>
                </c:pt>
                <c:pt idx="52">
                  <c:v>0.10666666666666667</c:v>
                </c:pt>
                <c:pt idx="53">
                  <c:v>0.12888888888888889</c:v>
                </c:pt>
                <c:pt idx="54">
                  <c:v>0.16666666666666666</c:v>
                </c:pt>
                <c:pt idx="55">
                  <c:v>0.23488773747841105</c:v>
                </c:pt>
                <c:pt idx="56">
                  <c:v>0.30517241379310345</c:v>
                </c:pt>
                <c:pt idx="57">
                  <c:v>0.31724137931034485</c:v>
                </c:pt>
                <c:pt idx="58">
                  <c:v>0.35517241379310344</c:v>
                </c:pt>
                <c:pt idx="59">
                  <c:v>8.4444444444444447E-2</c:v>
                </c:pt>
                <c:pt idx="60">
                  <c:v>8.2222222222222224E-2</c:v>
                </c:pt>
                <c:pt idx="61">
                  <c:v>5.6692913385826771E-2</c:v>
                </c:pt>
                <c:pt idx="62">
                  <c:v>0.10393700787401575</c:v>
                </c:pt>
                <c:pt idx="63">
                  <c:v>0.12598425196850394</c:v>
                </c:pt>
                <c:pt idx="64">
                  <c:v>0.12440944881889764</c:v>
                </c:pt>
                <c:pt idx="65">
                  <c:v>0.10393700787401575</c:v>
                </c:pt>
                <c:pt idx="66">
                  <c:v>0.14106583072100312</c:v>
                </c:pt>
                <c:pt idx="67">
                  <c:v>0.18222222222222223</c:v>
                </c:pt>
                <c:pt idx="68">
                  <c:v>0.20444444444444446</c:v>
                </c:pt>
                <c:pt idx="69">
                  <c:v>0.21439749608763695</c:v>
                </c:pt>
                <c:pt idx="70">
                  <c:v>0.20187793427230047</c:v>
                </c:pt>
                <c:pt idx="71">
                  <c:v>0.26134585289514867</c:v>
                </c:pt>
                <c:pt idx="72">
                  <c:v>0.27386541471048514</c:v>
                </c:pt>
                <c:pt idx="73">
                  <c:v>0.2519561815336463</c:v>
                </c:pt>
                <c:pt idx="74">
                  <c:v>5.0264550264550262E-2</c:v>
                </c:pt>
                <c:pt idx="75">
                  <c:v>0.06</c:v>
                </c:pt>
                <c:pt idx="76">
                  <c:v>0.12138728323699421</c:v>
                </c:pt>
                <c:pt idx="77">
                  <c:v>3.5519125683060107E-2</c:v>
                </c:pt>
                <c:pt idx="78">
                  <c:v>8.5714285714285715E-2</c:v>
                </c:pt>
                <c:pt idx="79">
                  <c:v>0.25467289719626168</c:v>
                </c:pt>
                <c:pt idx="80">
                  <c:v>0.73777777777777775</c:v>
                </c:pt>
                <c:pt idx="81">
                  <c:v>0.81974248927038629</c:v>
                </c:pt>
                <c:pt idx="82">
                  <c:v>0.79613733905579398</c:v>
                </c:pt>
                <c:pt idx="83">
                  <c:v>0.85333333333333339</c:v>
                </c:pt>
                <c:pt idx="84">
                  <c:v>0.88888888888888884</c:v>
                </c:pt>
                <c:pt idx="85">
                  <c:v>0.85507246376811596</c:v>
                </c:pt>
                <c:pt idx="86">
                  <c:v>0.91739130434782612</c:v>
                </c:pt>
                <c:pt idx="87">
                  <c:v>0.92630057803468213</c:v>
                </c:pt>
                <c:pt idx="88">
                  <c:v>0.94812680115273773</c:v>
                </c:pt>
                <c:pt idx="89">
                  <c:v>0.78</c:v>
                </c:pt>
                <c:pt idx="90">
                  <c:v>0.88444444444444448</c:v>
                </c:pt>
                <c:pt idx="91">
                  <c:v>0.89799072642967548</c:v>
                </c:pt>
                <c:pt idx="92">
                  <c:v>0.85316846986089645</c:v>
                </c:pt>
                <c:pt idx="93">
                  <c:v>0.89026275115919629</c:v>
                </c:pt>
                <c:pt idx="94">
                  <c:v>0.88562596599690879</c:v>
                </c:pt>
                <c:pt idx="95">
                  <c:v>0.48888888888888887</c:v>
                </c:pt>
                <c:pt idx="96">
                  <c:v>0.57999999999999996</c:v>
                </c:pt>
                <c:pt idx="97">
                  <c:v>0.62</c:v>
                </c:pt>
                <c:pt idx="98">
                  <c:v>0.61515601783060925</c:v>
                </c:pt>
                <c:pt idx="99">
                  <c:v>0.6953937592867756</c:v>
                </c:pt>
                <c:pt idx="100">
                  <c:v>0.70919881305637977</c:v>
                </c:pt>
                <c:pt idx="101">
                  <c:v>0.72592592592592597</c:v>
                </c:pt>
                <c:pt idx="102">
                  <c:v>0.94444444444444442</c:v>
                </c:pt>
                <c:pt idx="103">
                  <c:v>0.95513748191027492</c:v>
                </c:pt>
                <c:pt idx="104">
                  <c:v>0.85094066570188132</c:v>
                </c:pt>
                <c:pt idx="105">
                  <c:v>0.92329956584659911</c:v>
                </c:pt>
                <c:pt idx="106">
                  <c:v>0.95947901591895801</c:v>
                </c:pt>
                <c:pt idx="107">
                  <c:v>0.95079594790159194</c:v>
                </c:pt>
                <c:pt idx="108">
                  <c:v>0.08</c:v>
                </c:pt>
                <c:pt idx="109">
                  <c:v>0.18357487922705315</c:v>
                </c:pt>
                <c:pt idx="110">
                  <c:v>0.49333333333333335</c:v>
                </c:pt>
                <c:pt idx="111">
                  <c:v>0.51555555555555554</c:v>
                </c:pt>
                <c:pt idx="112">
                  <c:v>0.63839999999999997</c:v>
                </c:pt>
                <c:pt idx="113">
                  <c:v>0.69648562300319494</c:v>
                </c:pt>
                <c:pt idx="114">
                  <c:v>0.52222222222222225</c:v>
                </c:pt>
                <c:pt idx="115">
                  <c:v>0.46808510638297873</c:v>
                </c:pt>
                <c:pt idx="116">
                  <c:v>0.56286266924564798</c:v>
                </c:pt>
                <c:pt idx="117">
                  <c:v>0.38666666666666666</c:v>
                </c:pt>
                <c:pt idx="118">
                  <c:v>0.47663551401869159</c:v>
                </c:pt>
                <c:pt idx="119">
                  <c:v>0.56529850746268662</c:v>
                </c:pt>
                <c:pt idx="120">
                  <c:v>2.2857142857142857E-2</c:v>
                </c:pt>
                <c:pt idx="121">
                  <c:v>0.10621242484969939</c:v>
                </c:pt>
                <c:pt idx="122">
                  <c:v>0.90888888888888886</c:v>
                </c:pt>
                <c:pt idx="123">
                  <c:v>0.92321116928446767</c:v>
                </c:pt>
                <c:pt idx="124">
                  <c:v>0.93542757417102962</c:v>
                </c:pt>
                <c:pt idx="125">
                  <c:v>0.97909407665505221</c:v>
                </c:pt>
                <c:pt idx="126">
                  <c:v>0.33460076045627374</c:v>
                </c:pt>
                <c:pt idx="127">
                  <c:v>0.40666666666666668</c:v>
                </c:pt>
                <c:pt idx="128">
                  <c:v>0.51555555555555554</c:v>
                </c:pt>
                <c:pt idx="129">
                  <c:v>0.55052264808362372</c:v>
                </c:pt>
                <c:pt idx="130">
                  <c:v>0.57491289198606277</c:v>
                </c:pt>
                <c:pt idx="131">
                  <c:v>0.6376306620209059</c:v>
                </c:pt>
                <c:pt idx="132">
                  <c:v>0.65043478260869569</c:v>
                </c:pt>
                <c:pt idx="133">
                  <c:v>0.66444444444444439</c:v>
                </c:pt>
                <c:pt idx="134">
                  <c:v>0.66222222222222227</c:v>
                </c:pt>
                <c:pt idx="135">
                  <c:v>0.71715610510046368</c:v>
                </c:pt>
                <c:pt idx="136">
                  <c:v>0.74188562596599694</c:v>
                </c:pt>
                <c:pt idx="137">
                  <c:v>0.72179289026275117</c:v>
                </c:pt>
                <c:pt idx="138">
                  <c:v>0.68672839506172845</c:v>
                </c:pt>
                <c:pt idx="139">
                  <c:v>0.61333333333333329</c:v>
                </c:pt>
                <c:pt idx="140">
                  <c:v>0.66129032258064513</c:v>
                </c:pt>
                <c:pt idx="141">
                  <c:v>0.76539589442815248</c:v>
                </c:pt>
                <c:pt idx="142">
                  <c:v>0.44444444444444442</c:v>
                </c:pt>
                <c:pt idx="143">
                  <c:v>0.42666666666666669</c:v>
                </c:pt>
                <c:pt idx="144">
                  <c:v>0.57111111111111112</c:v>
                </c:pt>
                <c:pt idx="145">
                  <c:v>0.5778097982708934</c:v>
                </c:pt>
                <c:pt idx="146">
                  <c:v>0.65850144092219021</c:v>
                </c:pt>
                <c:pt idx="147">
                  <c:v>0.73775216138328525</c:v>
                </c:pt>
                <c:pt idx="148">
                  <c:v>0.81007194244604319</c:v>
                </c:pt>
                <c:pt idx="149">
                  <c:v>0.39111111111111113</c:v>
                </c:pt>
                <c:pt idx="150">
                  <c:v>0.3237639553429027</c:v>
                </c:pt>
                <c:pt idx="151">
                  <c:v>0.34928229665071769</c:v>
                </c:pt>
                <c:pt idx="152">
                  <c:v>0.38437001594896331</c:v>
                </c:pt>
                <c:pt idx="153">
                  <c:v>0.41082802547770703</c:v>
                </c:pt>
                <c:pt idx="154">
                  <c:v>0.19777777777777777</c:v>
                </c:pt>
                <c:pt idx="155">
                  <c:v>0.19333333333333333</c:v>
                </c:pt>
                <c:pt idx="156">
                  <c:v>0.2012072434607646</c:v>
                </c:pt>
                <c:pt idx="157">
                  <c:v>0.27364185110663986</c:v>
                </c:pt>
                <c:pt idx="158">
                  <c:v>0.30923694779116467</c:v>
                </c:pt>
                <c:pt idx="159">
                  <c:v>0.13555555555555557</c:v>
                </c:pt>
                <c:pt idx="160">
                  <c:v>0.15777777777777777</c:v>
                </c:pt>
                <c:pt idx="161">
                  <c:v>0.28444444444444444</c:v>
                </c:pt>
                <c:pt idx="162">
                  <c:v>0.20666666666666667</c:v>
                </c:pt>
                <c:pt idx="163">
                  <c:v>0.17666666666666667</c:v>
                </c:pt>
                <c:pt idx="164">
                  <c:v>0.26833333333333331</c:v>
                </c:pt>
                <c:pt idx="165">
                  <c:v>0.33222591362126247</c:v>
                </c:pt>
                <c:pt idx="166">
                  <c:v>0.14000000000000001</c:v>
                </c:pt>
                <c:pt idx="167">
                  <c:v>0.23777777777777778</c:v>
                </c:pt>
                <c:pt idx="168">
                  <c:v>0.30666666666666664</c:v>
                </c:pt>
                <c:pt idx="169">
                  <c:v>0.34969325153374231</c:v>
                </c:pt>
                <c:pt idx="170">
                  <c:v>0.34969325153374231</c:v>
                </c:pt>
                <c:pt idx="171">
                  <c:v>0.47142857142857142</c:v>
                </c:pt>
                <c:pt idx="172">
                  <c:v>0.42</c:v>
                </c:pt>
                <c:pt idx="173">
                  <c:v>0.38222222222222224</c:v>
                </c:pt>
                <c:pt idx="174">
                  <c:v>0.40117130307467058</c:v>
                </c:pt>
                <c:pt idx="175">
                  <c:v>0.54612005856515378</c:v>
                </c:pt>
                <c:pt idx="176">
                  <c:v>0.57518248175182485</c:v>
                </c:pt>
              </c:numCache>
            </c:numRef>
          </c:xVal>
          <c:yVal>
            <c:numRef>
              <c:f>RaceWorksheet!$C$2:$C$178</c:f>
              <c:numCache>
                <c:formatCode>0.0%</c:formatCode>
                <c:ptCount val="177"/>
                <c:pt idx="0">
                  <c:v>0.24255319148936169</c:v>
                </c:pt>
                <c:pt idx="1">
                  <c:v>0.25</c:v>
                </c:pt>
                <c:pt idx="2">
                  <c:v>0.21929824561403508</c:v>
                </c:pt>
                <c:pt idx="3">
                  <c:v>0.21717171717171718</c:v>
                </c:pt>
                <c:pt idx="4">
                  <c:v>0.23834196891191708</c:v>
                </c:pt>
                <c:pt idx="5">
                  <c:v>0.16560509554140126</c:v>
                </c:pt>
                <c:pt idx="6">
                  <c:v>0.20175438596491227</c:v>
                </c:pt>
                <c:pt idx="7">
                  <c:v>0.14853556485355648</c:v>
                </c:pt>
                <c:pt idx="8">
                  <c:v>0.11874999999999999</c:v>
                </c:pt>
                <c:pt idx="9">
                  <c:v>0.30546623794212219</c:v>
                </c:pt>
                <c:pt idx="10">
                  <c:v>0.33423180592991913</c:v>
                </c:pt>
                <c:pt idx="11">
                  <c:v>0.22022471910112359</c:v>
                </c:pt>
                <c:pt idx="12">
                  <c:v>0.24203821656050956</c:v>
                </c:pt>
                <c:pt idx="13">
                  <c:v>0.24038461538461539</c:v>
                </c:pt>
                <c:pt idx="14">
                  <c:v>0.1875</c:v>
                </c:pt>
                <c:pt idx="15">
                  <c:v>0.13573407202216067</c:v>
                </c:pt>
                <c:pt idx="16">
                  <c:v>0.14583333333333334</c:v>
                </c:pt>
                <c:pt idx="17">
                  <c:v>8.2959641255605385E-2</c:v>
                </c:pt>
                <c:pt idx="18">
                  <c:v>0.10089686098654709</c:v>
                </c:pt>
                <c:pt idx="19">
                  <c:v>0.13052631578947368</c:v>
                </c:pt>
                <c:pt idx="20">
                  <c:v>0.22157434402332363</c:v>
                </c:pt>
                <c:pt idx="21">
                  <c:v>0.13619402985074627</c:v>
                </c:pt>
                <c:pt idx="22">
                  <c:v>0.390625</c:v>
                </c:pt>
                <c:pt idx="23">
                  <c:v>0.38133333333333336</c:v>
                </c:pt>
                <c:pt idx="24">
                  <c:v>0.29220779220779219</c:v>
                </c:pt>
                <c:pt idx="25">
                  <c:v>0.27044025157232704</c:v>
                </c:pt>
                <c:pt idx="26">
                  <c:v>0.19318181818181818</c:v>
                </c:pt>
                <c:pt idx="27">
                  <c:v>0.2391304347826087</c:v>
                </c:pt>
                <c:pt idx="28">
                  <c:v>0.54261363636363635</c:v>
                </c:pt>
                <c:pt idx="29">
                  <c:v>0.38607594936708861</c:v>
                </c:pt>
                <c:pt idx="30">
                  <c:v>0.31686046511627908</c:v>
                </c:pt>
                <c:pt idx="31">
                  <c:v>0.22397476340694006</c:v>
                </c:pt>
                <c:pt idx="32">
                  <c:v>0.22486772486772486</c:v>
                </c:pt>
                <c:pt idx="33">
                  <c:v>0.14685314685314685</c:v>
                </c:pt>
                <c:pt idx="34">
                  <c:v>0.1256931608133087</c:v>
                </c:pt>
                <c:pt idx="35">
                  <c:v>0.16502946954813361</c:v>
                </c:pt>
                <c:pt idx="36">
                  <c:v>0.11978221415607986</c:v>
                </c:pt>
                <c:pt idx="37">
                  <c:v>0.11226252158894647</c:v>
                </c:pt>
                <c:pt idx="38">
                  <c:v>0.16568047337278108</c:v>
                </c:pt>
                <c:pt idx="39">
                  <c:v>0.17819148936170212</c:v>
                </c:pt>
                <c:pt idx="40">
                  <c:v>0.12338858195211787</c:v>
                </c:pt>
                <c:pt idx="41">
                  <c:v>8.9552238805970144E-2</c:v>
                </c:pt>
                <c:pt idx="42">
                  <c:v>0.13644524236983843</c:v>
                </c:pt>
                <c:pt idx="43">
                  <c:v>0.15309446254071662</c:v>
                </c:pt>
                <c:pt idx="44">
                  <c:v>0.13661202185792351</c:v>
                </c:pt>
                <c:pt idx="45">
                  <c:v>0.10962566844919786</c:v>
                </c:pt>
                <c:pt idx="46">
                  <c:v>9.6408317580340269E-2</c:v>
                </c:pt>
                <c:pt idx="47">
                  <c:v>7.099391480730223E-2</c:v>
                </c:pt>
                <c:pt idx="48">
                  <c:v>5.9917355371900828E-2</c:v>
                </c:pt>
                <c:pt idx="49">
                  <c:v>8.11965811965812E-2</c:v>
                </c:pt>
                <c:pt idx="50">
                  <c:v>5.5555555555555552E-2</c:v>
                </c:pt>
                <c:pt idx="51">
                  <c:v>8.0924855491329481E-2</c:v>
                </c:pt>
                <c:pt idx="52">
                  <c:v>0.11551155115511551</c:v>
                </c:pt>
                <c:pt idx="53">
                  <c:v>0.1164021164021164</c:v>
                </c:pt>
                <c:pt idx="54">
                  <c:v>0.11375661375661375</c:v>
                </c:pt>
                <c:pt idx="55">
                  <c:v>0.1517094017094017</c:v>
                </c:pt>
                <c:pt idx="56">
                  <c:v>0.18223234624145787</c:v>
                </c:pt>
                <c:pt idx="57">
                  <c:v>0.13194444444444445</c:v>
                </c:pt>
                <c:pt idx="58">
                  <c:v>0.13895216400911162</c:v>
                </c:pt>
                <c:pt idx="59">
                  <c:v>0.1111111111111111</c:v>
                </c:pt>
                <c:pt idx="60">
                  <c:v>7.5916230366492143E-2</c:v>
                </c:pt>
                <c:pt idx="61">
                  <c:v>5.9288537549407112E-2</c:v>
                </c:pt>
                <c:pt idx="62">
                  <c:v>8.8794926004228336E-2</c:v>
                </c:pt>
                <c:pt idx="63">
                  <c:v>7.3275862068965511E-2</c:v>
                </c:pt>
                <c:pt idx="64">
                  <c:v>6.3596491228070179E-2</c:v>
                </c:pt>
                <c:pt idx="65">
                  <c:v>6.4301552106430154E-2</c:v>
                </c:pt>
                <c:pt idx="66">
                  <c:v>5.9426229508196718E-2</c:v>
                </c:pt>
                <c:pt idx="67">
                  <c:v>0.20820189274447951</c:v>
                </c:pt>
                <c:pt idx="68">
                  <c:v>0.13114754098360656</c:v>
                </c:pt>
                <c:pt idx="69">
                  <c:v>0.125</c:v>
                </c:pt>
                <c:pt idx="70">
                  <c:v>0.12366737739872068</c:v>
                </c:pt>
                <c:pt idx="71">
                  <c:v>9.0909090909090912E-2</c:v>
                </c:pt>
                <c:pt idx="72">
                  <c:v>7.5170842824601361E-2</c:v>
                </c:pt>
                <c:pt idx="73">
                  <c:v>0.11619047619047619</c:v>
                </c:pt>
                <c:pt idx="74">
                  <c:v>0.21590909090909091</c:v>
                </c:pt>
                <c:pt idx="75">
                  <c:v>0.31952662721893493</c:v>
                </c:pt>
                <c:pt idx="76">
                  <c:v>0.24555160142348753</c:v>
                </c:pt>
                <c:pt idx="77">
                  <c:v>0.36090225563909772</c:v>
                </c:pt>
                <c:pt idx="78">
                  <c:v>0.26635514018691586</c:v>
                </c:pt>
                <c:pt idx="79">
                  <c:v>0.20186335403726707</c:v>
                </c:pt>
                <c:pt idx="80">
                  <c:v>0.3155737704918033</c:v>
                </c:pt>
                <c:pt idx="81">
                  <c:v>0.28042328042328041</c:v>
                </c:pt>
                <c:pt idx="82">
                  <c:v>0.18435754189944134</c:v>
                </c:pt>
                <c:pt idx="83">
                  <c:v>0.49557522123893805</c:v>
                </c:pt>
                <c:pt idx="84">
                  <c:v>0.4356955380577428</c:v>
                </c:pt>
                <c:pt idx="85">
                  <c:v>0.30727272727272725</c:v>
                </c:pt>
                <c:pt idx="86">
                  <c:v>0.28373015873015872</c:v>
                </c:pt>
                <c:pt idx="87">
                  <c:v>0.26654064272211719</c:v>
                </c:pt>
                <c:pt idx="88">
                  <c:v>0.21920289855072464</c:v>
                </c:pt>
                <c:pt idx="89">
                  <c:v>0.50320512820512819</c:v>
                </c:pt>
                <c:pt idx="90">
                  <c:v>0.43360433604336046</c:v>
                </c:pt>
                <c:pt idx="91">
                  <c:v>0.31403118040089084</c:v>
                </c:pt>
                <c:pt idx="92">
                  <c:v>0.27616926503340755</c:v>
                </c:pt>
                <c:pt idx="93">
                  <c:v>0.24279835390946503</c:v>
                </c:pt>
                <c:pt idx="94">
                  <c:v>0.22902494331065759</c:v>
                </c:pt>
                <c:pt idx="95">
                  <c:v>0.35793357933579334</c:v>
                </c:pt>
                <c:pt idx="96">
                  <c:v>0.33819241982507287</c:v>
                </c:pt>
                <c:pt idx="97">
                  <c:v>0.33787465940054495</c:v>
                </c:pt>
                <c:pt idx="98">
                  <c:v>0.21305182341650672</c:v>
                </c:pt>
                <c:pt idx="99">
                  <c:v>0.23382045929018788</c:v>
                </c:pt>
                <c:pt idx="100">
                  <c:v>0.18067226890756302</c:v>
                </c:pt>
                <c:pt idx="101">
                  <c:v>0.16605839416058393</c:v>
                </c:pt>
                <c:pt idx="102">
                  <c:v>0.50948509485094851</c:v>
                </c:pt>
                <c:pt idx="103">
                  <c:v>0.3724137931034483</c:v>
                </c:pt>
                <c:pt idx="104">
                  <c:v>0.25352112676056338</c:v>
                </c:pt>
                <c:pt idx="105">
                  <c:v>0.2289156626506024</c:v>
                </c:pt>
                <c:pt idx="106">
                  <c:v>0.21335807050092764</c:v>
                </c:pt>
                <c:pt idx="107">
                  <c:v>0.21722846441947566</c:v>
                </c:pt>
                <c:pt idx="108">
                  <c:v>0.29878048780487804</c:v>
                </c:pt>
                <c:pt idx="109">
                  <c:v>0.20645161290322581</c:v>
                </c:pt>
                <c:pt idx="110">
                  <c:v>0.43288590604026844</c:v>
                </c:pt>
                <c:pt idx="111">
                  <c:v>0.40740740740740738</c:v>
                </c:pt>
                <c:pt idx="112">
                  <c:v>0.41269841269841268</c:v>
                </c:pt>
                <c:pt idx="113">
                  <c:v>0.32244897959183672</c:v>
                </c:pt>
                <c:pt idx="114">
                  <c:v>0.36285714285714288</c:v>
                </c:pt>
                <c:pt idx="115">
                  <c:v>0.23261390887290168</c:v>
                </c:pt>
                <c:pt idx="116">
                  <c:v>0.27493917274939172</c:v>
                </c:pt>
                <c:pt idx="117">
                  <c:v>0.26984126984126983</c:v>
                </c:pt>
                <c:pt idx="118">
                  <c:v>0.25178147268408552</c:v>
                </c:pt>
                <c:pt idx="119">
                  <c:v>0.27053140096618356</c:v>
                </c:pt>
                <c:pt idx="120">
                  <c:v>0.34220532319391633</c:v>
                </c:pt>
                <c:pt idx="121">
                  <c:v>0.26649746192893403</c:v>
                </c:pt>
                <c:pt idx="122">
                  <c:v>0.59663865546218486</c:v>
                </c:pt>
                <c:pt idx="123">
                  <c:v>0.40946502057613171</c:v>
                </c:pt>
                <c:pt idx="124">
                  <c:v>0.33106575963718821</c:v>
                </c:pt>
                <c:pt idx="125">
                  <c:v>0.35</c:v>
                </c:pt>
                <c:pt idx="126">
                  <c:v>0.3321917808219178</c:v>
                </c:pt>
                <c:pt idx="127">
                  <c:v>0.4550561797752809</c:v>
                </c:pt>
                <c:pt idx="128">
                  <c:v>0.35637149028077753</c:v>
                </c:pt>
                <c:pt idx="129">
                  <c:v>0.23255813953488372</c:v>
                </c:pt>
                <c:pt idx="130">
                  <c:v>0.2922705314009662</c:v>
                </c:pt>
                <c:pt idx="131">
                  <c:v>0.29805615550755937</c:v>
                </c:pt>
                <c:pt idx="132">
                  <c:v>0.63809523809523805</c:v>
                </c:pt>
                <c:pt idx="133">
                  <c:v>0.56104651162790697</c:v>
                </c:pt>
                <c:pt idx="134">
                  <c:v>0.36337209302325579</c:v>
                </c:pt>
                <c:pt idx="135">
                  <c:v>0.28078817733990147</c:v>
                </c:pt>
                <c:pt idx="136">
                  <c:v>0.27710843373493976</c:v>
                </c:pt>
                <c:pt idx="137">
                  <c:v>0.22727272727272727</c:v>
                </c:pt>
                <c:pt idx="138">
                  <c:v>0.23577235772357724</c:v>
                </c:pt>
                <c:pt idx="139">
                  <c:v>0.5213675213675214</c:v>
                </c:pt>
                <c:pt idx="140">
                  <c:v>0.31775700934579437</c:v>
                </c:pt>
                <c:pt idx="141">
                  <c:v>0.26016260162601629</c:v>
                </c:pt>
                <c:pt idx="142">
                  <c:v>0.34507042253521125</c:v>
                </c:pt>
                <c:pt idx="143">
                  <c:v>0.25824175824175827</c:v>
                </c:pt>
                <c:pt idx="144">
                  <c:v>0.24611398963730569</c:v>
                </c:pt>
                <c:pt idx="145">
                  <c:v>0.22994652406417113</c:v>
                </c:pt>
                <c:pt idx="146">
                  <c:v>0.21072088724584104</c:v>
                </c:pt>
                <c:pt idx="147">
                  <c:v>0.17794970986460348</c:v>
                </c:pt>
                <c:pt idx="148">
                  <c:v>0.1619718309859155</c:v>
                </c:pt>
                <c:pt idx="149">
                  <c:v>0.25609756097560976</c:v>
                </c:pt>
                <c:pt idx="150">
                  <c:v>0.14599999999999999</c:v>
                </c:pt>
                <c:pt idx="151">
                  <c:v>0.11475409836065574</c:v>
                </c:pt>
                <c:pt idx="152">
                  <c:v>0.10893246187363835</c:v>
                </c:pt>
                <c:pt idx="153">
                  <c:v>0.10261569416498995</c:v>
                </c:pt>
                <c:pt idx="154">
                  <c:v>0.23411371237458195</c:v>
                </c:pt>
                <c:pt idx="155">
                  <c:v>0.19505494505494506</c:v>
                </c:pt>
                <c:pt idx="156">
                  <c:v>0.14974619289340102</c:v>
                </c:pt>
                <c:pt idx="157">
                  <c:v>0.13128491620111732</c:v>
                </c:pt>
                <c:pt idx="158">
                  <c:v>0.13500000000000001</c:v>
                </c:pt>
                <c:pt idx="159">
                  <c:v>0.21673003802281368</c:v>
                </c:pt>
                <c:pt idx="160">
                  <c:v>0.22388059701492538</c:v>
                </c:pt>
                <c:pt idx="161">
                  <c:v>0.28285714285714286</c:v>
                </c:pt>
                <c:pt idx="162">
                  <c:v>0.23191489361702128</c:v>
                </c:pt>
                <c:pt idx="163">
                  <c:v>0.12471655328798185</c:v>
                </c:pt>
                <c:pt idx="164">
                  <c:v>0.10319410319410319</c:v>
                </c:pt>
                <c:pt idx="165">
                  <c:v>0.13409090909090909</c:v>
                </c:pt>
                <c:pt idx="166">
                  <c:v>0.12173913043478261</c:v>
                </c:pt>
                <c:pt idx="167">
                  <c:v>0.13079019073569481</c:v>
                </c:pt>
                <c:pt idx="168">
                  <c:v>0.14285714285714285</c:v>
                </c:pt>
                <c:pt idx="169">
                  <c:v>0.18207282913165265</c:v>
                </c:pt>
                <c:pt idx="170">
                  <c:v>0.12471655328798185</c:v>
                </c:pt>
                <c:pt idx="171">
                  <c:v>0.13513513513513514</c:v>
                </c:pt>
                <c:pt idx="172">
                  <c:v>0.42215568862275449</c:v>
                </c:pt>
                <c:pt idx="173">
                  <c:v>0.27176781002638523</c:v>
                </c:pt>
                <c:pt idx="174">
                  <c:v>0.2124756335282651</c:v>
                </c:pt>
                <c:pt idx="175">
                  <c:v>0.18480492813141683</c:v>
                </c:pt>
                <c:pt idx="176">
                  <c:v>0.17001828153564899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84-432D-8B88-49753327D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52399"/>
        <c:axId val="341704415"/>
      </c:scatterChart>
      <c:valAx>
        <c:axId val="464752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04415"/>
        <c:crosses val="autoZero"/>
        <c:crossBetween val="midCat"/>
      </c:valAx>
      <c:valAx>
        <c:axId val="341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P132 Port Dickson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233595800524935E-2"/>
                  <c:y val="0.26232793817439487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RaceWorksheet!$L$2:$L$178</c:f>
              <c:numCache>
                <c:formatCode>0.0%</c:formatCode>
                <c:ptCount val="177"/>
                <c:pt idx="0">
                  <c:v>0.53500000000000003</c:v>
                </c:pt>
                <c:pt idx="1">
                  <c:v>0.56999999999999995</c:v>
                </c:pt>
                <c:pt idx="2">
                  <c:v>0.53647058823529414</c:v>
                </c:pt>
                <c:pt idx="3">
                  <c:v>0.51405622489959835</c:v>
                </c:pt>
                <c:pt idx="4">
                  <c:v>0.06</c:v>
                </c:pt>
                <c:pt idx="5">
                  <c:v>0.48222222222222222</c:v>
                </c:pt>
                <c:pt idx="6">
                  <c:v>0.51010886469673411</c:v>
                </c:pt>
                <c:pt idx="7">
                  <c:v>0.39906832298136646</c:v>
                </c:pt>
                <c:pt idx="8">
                  <c:v>0.90822784810126578</c:v>
                </c:pt>
                <c:pt idx="9">
                  <c:v>0.52888888888888885</c:v>
                </c:pt>
                <c:pt idx="10">
                  <c:v>0.39111111111111113</c:v>
                </c:pt>
                <c:pt idx="11">
                  <c:v>0.43980738362760835</c:v>
                </c:pt>
                <c:pt idx="12">
                  <c:v>0.4478330658105939</c:v>
                </c:pt>
                <c:pt idx="13">
                  <c:v>0.36799999999999999</c:v>
                </c:pt>
                <c:pt idx="14">
                  <c:v>0.78888888888888886</c:v>
                </c:pt>
                <c:pt idx="15">
                  <c:v>0.83333333333333337</c:v>
                </c:pt>
                <c:pt idx="16">
                  <c:v>0.78726968174204359</c:v>
                </c:pt>
                <c:pt idx="17">
                  <c:v>0.7755443886097152</c:v>
                </c:pt>
                <c:pt idx="18">
                  <c:v>0.70854271356783916</c:v>
                </c:pt>
                <c:pt idx="19">
                  <c:v>0.59666666666666668</c:v>
                </c:pt>
                <c:pt idx="20">
                  <c:v>0.89555555555555555</c:v>
                </c:pt>
                <c:pt idx="21">
                  <c:v>0.8606896551724138</c:v>
                </c:pt>
                <c:pt idx="22">
                  <c:v>0.44444444444444442</c:v>
                </c:pt>
                <c:pt idx="23">
                  <c:v>0.46444444444444444</c:v>
                </c:pt>
                <c:pt idx="24">
                  <c:v>0.39646017699115044</c:v>
                </c:pt>
                <c:pt idx="25">
                  <c:v>0.31150442477876106</c:v>
                </c:pt>
                <c:pt idx="26">
                  <c:v>0.38596491228070173</c:v>
                </c:pt>
                <c:pt idx="27">
                  <c:v>0.27854671280276816</c:v>
                </c:pt>
                <c:pt idx="28">
                  <c:v>6.6666666666666666E-2</c:v>
                </c:pt>
                <c:pt idx="29">
                  <c:v>0.18357487922705315</c:v>
                </c:pt>
                <c:pt idx="30">
                  <c:v>9.8795180722891562E-2</c:v>
                </c:pt>
                <c:pt idx="31">
                  <c:v>0.31777777777777777</c:v>
                </c:pt>
                <c:pt idx="32">
                  <c:v>0.20444444444444446</c:v>
                </c:pt>
                <c:pt idx="33">
                  <c:v>0.20431654676258992</c:v>
                </c:pt>
                <c:pt idx="34">
                  <c:v>0.16666666666666666</c:v>
                </c:pt>
                <c:pt idx="35">
                  <c:v>0.13218390804597702</c:v>
                </c:pt>
                <c:pt idx="36">
                  <c:v>0.12931034482758622</c:v>
                </c:pt>
                <c:pt idx="37">
                  <c:v>0.12571428571428572</c:v>
                </c:pt>
                <c:pt idx="38">
                  <c:v>0.63777777777777778</c:v>
                </c:pt>
                <c:pt idx="39">
                  <c:v>0.44222222222222224</c:v>
                </c:pt>
                <c:pt idx="40">
                  <c:v>0.40331491712707185</c:v>
                </c:pt>
                <c:pt idx="41">
                  <c:v>0.38812154696132595</c:v>
                </c:pt>
                <c:pt idx="42">
                  <c:v>0.32</c:v>
                </c:pt>
                <c:pt idx="43">
                  <c:v>0.73555555555555552</c:v>
                </c:pt>
                <c:pt idx="44">
                  <c:v>0.73555555555555552</c:v>
                </c:pt>
                <c:pt idx="45">
                  <c:v>0.7155555555555555</c:v>
                </c:pt>
                <c:pt idx="46">
                  <c:v>0.70278637770897834</c:v>
                </c:pt>
                <c:pt idx="47">
                  <c:v>0.71826625386996901</c:v>
                </c:pt>
                <c:pt idx="48">
                  <c:v>0.67956656346749222</c:v>
                </c:pt>
                <c:pt idx="49">
                  <c:v>0.60216718266253866</c:v>
                </c:pt>
                <c:pt idx="50">
                  <c:v>0.52476780185758509</c:v>
                </c:pt>
                <c:pt idx="51">
                  <c:v>0.58268933539412671</c:v>
                </c:pt>
                <c:pt idx="52">
                  <c:v>0.79555555555555557</c:v>
                </c:pt>
                <c:pt idx="53">
                  <c:v>0.79555555555555557</c:v>
                </c:pt>
                <c:pt idx="54">
                  <c:v>0.7</c:v>
                </c:pt>
                <c:pt idx="55">
                  <c:v>0.56476683937823835</c:v>
                </c:pt>
                <c:pt idx="56">
                  <c:v>0.4879310344827586</c:v>
                </c:pt>
                <c:pt idx="57">
                  <c:v>0.47068965517241379</c:v>
                </c:pt>
                <c:pt idx="58">
                  <c:v>0.36206896551724138</c:v>
                </c:pt>
                <c:pt idx="59">
                  <c:v>0.77777777777777779</c:v>
                </c:pt>
                <c:pt idx="60">
                  <c:v>0.81777777777777783</c:v>
                </c:pt>
                <c:pt idx="61">
                  <c:v>0.83307086614173231</c:v>
                </c:pt>
                <c:pt idx="62">
                  <c:v>0.72283464566929134</c:v>
                </c:pt>
                <c:pt idx="63">
                  <c:v>0.721259842519685</c:v>
                </c:pt>
                <c:pt idx="64">
                  <c:v>0.68976377952755907</c:v>
                </c:pt>
                <c:pt idx="65">
                  <c:v>0.70078740157480313</c:v>
                </c:pt>
                <c:pt idx="66">
                  <c:v>0.6739811912225705</c:v>
                </c:pt>
                <c:pt idx="67">
                  <c:v>0.4</c:v>
                </c:pt>
                <c:pt idx="68">
                  <c:v>0.39555555555555555</c:v>
                </c:pt>
                <c:pt idx="69">
                  <c:v>0.4569640062597809</c:v>
                </c:pt>
                <c:pt idx="70">
                  <c:v>0.49452269170579027</c:v>
                </c:pt>
                <c:pt idx="71">
                  <c:v>0.47261345852895148</c:v>
                </c:pt>
                <c:pt idx="72">
                  <c:v>0.45070422535211269</c:v>
                </c:pt>
                <c:pt idx="73">
                  <c:v>0.47417840375586856</c:v>
                </c:pt>
                <c:pt idx="74">
                  <c:v>8.2010582010582006E-2</c:v>
                </c:pt>
                <c:pt idx="75">
                  <c:v>0.16800000000000001</c:v>
                </c:pt>
                <c:pt idx="76">
                  <c:v>0.10982658959537572</c:v>
                </c:pt>
                <c:pt idx="77">
                  <c:v>0.23224043715846995</c:v>
                </c:pt>
                <c:pt idx="78">
                  <c:v>0.31714285714285712</c:v>
                </c:pt>
                <c:pt idx="79">
                  <c:v>0.10747663551401869</c:v>
                </c:pt>
                <c:pt idx="80">
                  <c:v>7.3333333333333334E-2</c:v>
                </c:pt>
                <c:pt idx="81">
                  <c:v>1.7167381974248927E-2</c:v>
                </c:pt>
                <c:pt idx="82">
                  <c:v>3.8626609442060089E-2</c:v>
                </c:pt>
                <c:pt idx="83">
                  <c:v>3.7777777777777778E-2</c:v>
                </c:pt>
                <c:pt idx="84">
                  <c:v>2.6666666666666668E-2</c:v>
                </c:pt>
                <c:pt idx="85">
                  <c:v>2.753623188405797E-2</c:v>
                </c:pt>
                <c:pt idx="86">
                  <c:v>2.318840579710145E-2</c:v>
                </c:pt>
                <c:pt idx="87">
                  <c:v>2.7456647398843931E-2</c:v>
                </c:pt>
                <c:pt idx="88">
                  <c:v>1.4409221902017291E-2</c:v>
                </c:pt>
                <c:pt idx="89">
                  <c:v>0.11333333333333333</c:v>
                </c:pt>
                <c:pt idx="90">
                  <c:v>2.2222222222222223E-2</c:v>
                </c:pt>
                <c:pt idx="91">
                  <c:v>2.3183925811437404E-2</c:v>
                </c:pt>
                <c:pt idx="92">
                  <c:v>3.4003091190108192E-2</c:v>
                </c:pt>
                <c:pt idx="93">
                  <c:v>3.8639876352395672E-2</c:v>
                </c:pt>
                <c:pt idx="94">
                  <c:v>2.3183925811437404E-2</c:v>
                </c:pt>
                <c:pt idx="95">
                  <c:v>0.42888888888888888</c:v>
                </c:pt>
                <c:pt idx="96">
                  <c:v>0.34666666666666668</c:v>
                </c:pt>
                <c:pt idx="97">
                  <c:v>0.28888888888888886</c:v>
                </c:pt>
                <c:pt idx="98">
                  <c:v>0.27786032689450224</c:v>
                </c:pt>
                <c:pt idx="99">
                  <c:v>0.21693907875185736</c:v>
                </c:pt>
                <c:pt idx="100">
                  <c:v>0.21810089020771514</c:v>
                </c:pt>
                <c:pt idx="101">
                  <c:v>0.20592592592592593</c:v>
                </c:pt>
                <c:pt idx="102">
                  <c:v>0.02</c:v>
                </c:pt>
                <c:pt idx="103">
                  <c:v>1.4471780028943559E-2</c:v>
                </c:pt>
                <c:pt idx="104">
                  <c:v>7.2358900144717797E-2</c:v>
                </c:pt>
                <c:pt idx="105">
                  <c:v>3.9073806078147609E-2</c:v>
                </c:pt>
                <c:pt idx="106">
                  <c:v>2.0260492040520984E-2</c:v>
                </c:pt>
                <c:pt idx="107">
                  <c:v>2.8943560057887119E-2</c:v>
                </c:pt>
                <c:pt idx="108">
                  <c:v>0.53111111111111109</c:v>
                </c:pt>
                <c:pt idx="109">
                  <c:v>0.36070853462157809</c:v>
                </c:pt>
                <c:pt idx="110">
                  <c:v>0.26666666666666666</c:v>
                </c:pt>
                <c:pt idx="111">
                  <c:v>0.21111111111111111</c:v>
                </c:pt>
                <c:pt idx="112">
                  <c:v>0.12</c:v>
                </c:pt>
                <c:pt idx="113">
                  <c:v>0.10223642172523961</c:v>
                </c:pt>
                <c:pt idx="114">
                  <c:v>0.27333333333333332</c:v>
                </c:pt>
                <c:pt idx="115">
                  <c:v>0.25531914893617019</c:v>
                </c:pt>
                <c:pt idx="116">
                  <c:v>0.22630560928433269</c:v>
                </c:pt>
                <c:pt idx="117">
                  <c:v>0.5822222222222222</c:v>
                </c:pt>
                <c:pt idx="118">
                  <c:v>0.47102803738317756</c:v>
                </c:pt>
                <c:pt idx="119">
                  <c:v>0.33208955223880599</c:v>
                </c:pt>
                <c:pt idx="120">
                  <c:v>0.29428571428571426</c:v>
                </c:pt>
                <c:pt idx="121">
                  <c:v>0.14428857715430862</c:v>
                </c:pt>
                <c:pt idx="122">
                  <c:v>8.2222222222222224E-2</c:v>
                </c:pt>
                <c:pt idx="123">
                  <c:v>5.4101221640488653E-2</c:v>
                </c:pt>
                <c:pt idx="124">
                  <c:v>2.6178010471204188E-2</c:v>
                </c:pt>
                <c:pt idx="125">
                  <c:v>3.4843205574912892E-3</c:v>
                </c:pt>
                <c:pt idx="126">
                  <c:v>9.5057034220532313E-2</c:v>
                </c:pt>
                <c:pt idx="127">
                  <c:v>0.51555555555555554</c:v>
                </c:pt>
                <c:pt idx="128">
                  <c:v>0.3888888888888889</c:v>
                </c:pt>
                <c:pt idx="129">
                  <c:v>0.33449477351916379</c:v>
                </c:pt>
                <c:pt idx="130">
                  <c:v>0.30662020905923343</c:v>
                </c:pt>
                <c:pt idx="131">
                  <c:v>0.2456445993031359</c:v>
                </c:pt>
                <c:pt idx="132">
                  <c:v>0.20347826086956522</c:v>
                </c:pt>
                <c:pt idx="133">
                  <c:v>3.7777777777777778E-2</c:v>
                </c:pt>
                <c:pt idx="134">
                  <c:v>7.1111111111111111E-2</c:v>
                </c:pt>
                <c:pt idx="135">
                  <c:v>5.2550231839258117E-2</c:v>
                </c:pt>
                <c:pt idx="136">
                  <c:v>3.4003091190108192E-2</c:v>
                </c:pt>
                <c:pt idx="137">
                  <c:v>4.1731066460587329E-2</c:v>
                </c:pt>
                <c:pt idx="138">
                  <c:v>3.0864197530864196E-2</c:v>
                </c:pt>
                <c:pt idx="139">
                  <c:v>0.14000000000000001</c:v>
                </c:pt>
                <c:pt idx="140">
                  <c:v>0.12756598240469208</c:v>
                </c:pt>
                <c:pt idx="141">
                  <c:v>8.9442815249266866E-2</c:v>
                </c:pt>
                <c:pt idx="142">
                  <c:v>0.36888888888888888</c:v>
                </c:pt>
                <c:pt idx="143">
                  <c:v>0.35555555555555557</c:v>
                </c:pt>
                <c:pt idx="144">
                  <c:v>0.22</c:v>
                </c:pt>
                <c:pt idx="145">
                  <c:v>0.24063400576368876</c:v>
                </c:pt>
                <c:pt idx="146">
                  <c:v>0.21037463976945245</c:v>
                </c:pt>
                <c:pt idx="147">
                  <c:v>0.1729106628242075</c:v>
                </c:pt>
                <c:pt idx="148">
                  <c:v>0.12949640287769784</c:v>
                </c:pt>
                <c:pt idx="149">
                  <c:v>0.2688888888888889</c:v>
                </c:pt>
                <c:pt idx="150">
                  <c:v>0.39712918660287083</c:v>
                </c:pt>
                <c:pt idx="151">
                  <c:v>0.47687400318979267</c:v>
                </c:pt>
                <c:pt idx="152">
                  <c:v>0.44816586921850082</c:v>
                </c:pt>
                <c:pt idx="153">
                  <c:v>0.43312101910828027</c:v>
                </c:pt>
                <c:pt idx="154">
                  <c:v>0.48666666666666669</c:v>
                </c:pt>
                <c:pt idx="155">
                  <c:v>0.38666666666666666</c:v>
                </c:pt>
                <c:pt idx="156">
                  <c:v>0.4164989939637827</c:v>
                </c:pt>
                <c:pt idx="157">
                  <c:v>0.44064386317907445</c:v>
                </c:pt>
                <c:pt idx="158">
                  <c:v>0.41566265060240964</c:v>
                </c:pt>
                <c:pt idx="159">
                  <c:v>0.38</c:v>
                </c:pt>
                <c:pt idx="160">
                  <c:v>0.33777777777777779</c:v>
                </c:pt>
                <c:pt idx="161">
                  <c:v>0.27555555555555555</c:v>
                </c:pt>
                <c:pt idx="162">
                  <c:v>0.35</c:v>
                </c:pt>
                <c:pt idx="163">
                  <c:v>0.41333333333333333</c:v>
                </c:pt>
                <c:pt idx="164">
                  <c:v>0.41166666666666668</c:v>
                </c:pt>
                <c:pt idx="165">
                  <c:v>0.39700996677740863</c:v>
                </c:pt>
                <c:pt idx="166">
                  <c:v>0.57333333333333336</c:v>
                </c:pt>
                <c:pt idx="167">
                  <c:v>0.50888888888888884</c:v>
                </c:pt>
                <c:pt idx="168">
                  <c:v>0.44</c:v>
                </c:pt>
                <c:pt idx="169">
                  <c:v>0.41922290388548056</c:v>
                </c:pt>
                <c:pt idx="170">
                  <c:v>0.42126789366053169</c:v>
                </c:pt>
                <c:pt idx="171">
                  <c:v>0.31428571428571428</c:v>
                </c:pt>
                <c:pt idx="172">
                  <c:v>8.8888888888888892E-2</c:v>
                </c:pt>
                <c:pt idx="173">
                  <c:v>0.1</c:v>
                </c:pt>
                <c:pt idx="174">
                  <c:v>0.12591508052708639</c:v>
                </c:pt>
                <c:pt idx="175">
                  <c:v>8.1991215226939973E-2</c:v>
                </c:pt>
                <c:pt idx="176">
                  <c:v>7.0072992700729933E-2</c:v>
                </c:pt>
              </c:numCache>
            </c:numRef>
          </c:xVal>
          <c:yVal>
            <c:numRef>
              <c:f>RaceWorksheet!$A$2:$A$178</c:f>
              <c:numCache>
                <c:formatCode>0.0%</c:formatCode>
                <c:ptCount val="177"/>
                <c:pt idx="0">
                  <c:v>0.65106382978723409</c:v>
                </c:pt>
                <c:pt idx="1">
                  <c:v>0.69366197183098588</c:v>
                </c:pt>
                <c:pt idx="2">
                  <c:v>0.71052631578947367</c:v>
                </c:pt>
                <c:pt idx="3">
                  <c:v>0.70707070707070707</c:v>
                </c:pt>
                <c:pt idx="4">
                  <c:v>0.62694300518134716</c:v>
                </c:pt>
                <c:pt idx="5">
                  <c:v>0.82165605095541405</c:v>
                </c:pt>
                <c:pt idx="6">
                  <c:v>0.69298245614035092</c:v>
                </c:pt>
                <c:pt idx="7">
                  <c:v>0.78870292887029292</c:v>
                </c:pt>
                <c:pt idx="8">
                  <c:v>0.73541666666666672</c:v>
                </c:pt>
                <c:pt idx="9">
                  <c:v>0.64308681672025725</c:v>
                </c:pt>
                <c:pt idx="10">
                  <c:v>0.58221024258760112</c:v>
                </c:pt>
                <c:pt idx="11">
                  <c:v>0.651685393258427</c:v>
                </c:pt>
                <c:pt idx="12">
                  <c:v>0.62632696390658171</c:v>
                </c:pt>
                <c:pt idx="13">
                  <c:v>0.55000000000000004</c:v>
                </c:pt>
                <c:pt idx="14">
                  <c:v>0.75328947368421051</c:v>
                </c:pt>
                <c:pt idx="15">
                  <c:v>0.83656509695290859</c:v>
                </c:pt>
                <c:pt idx="16">
                  <c:v>0.8</c:v>
                </c:pt>
                <c:pt idx="17">
                  <c:v>0.87892376681614348</c:v>
                </c:pt>
                <c:pt idx="18">
                  <c:v>0.85874439461883412</c:v>
                </c:pt>
                <c:pt idx="19">
                  <c:v>0.84421052631578952</c:v>
                </c:pt>
                <c:pt idx="20">
                  <c:v>0.7288629737609329</c:v>
                </c:pt>
                <c:pt idx="21">
                  <c:v>0.83395522388059706</c:v>
                </c:pt>
                <c:pt idx="22">
                  <c:v>0.51249999999999996</c:v>
                </c:pt>
                <c:pt idx="23">
                  <c:v>0.54933333333333334</c:v>
                </c:pt>
                <c:pt idx="24">
                  <c:v>0.58008658008658009</c:v>
                </c:pt>
                <c:pt idx="25">
                  <c:v>0.55974842767295596</c:v>
                </c:pt>
                <c:pt idx="26">
                  <c:v>0.64318181818181819</c:v>
                </c:pt>
                <c:pt idx="27">
                  <c:v>0.48695652173913045</c:v>
                </c:pt>
                <c:pt idx="28">
                  <c:v>0.28125</c:v>
                </c:pt>
                <c:pt idx="29">
                  <c:v>0.34810126582278483</c:v>
                </c:pt>
                <c:pt idx="30">
                  <c:v>0.25</c:v>
                </c:pt>
                <c:pt idx="31">
                  <c:v>0.63091482649842268</c:v>
                </c:pt>
                <c:pt idx="32">
                  <c:v>0.56613756613756616</c:v>
                </c:pt>
                <c:pt idx="33">
                  <c:v>0.66958041958041958</c:v>
                </c:pt>
                <c:pt idx="34">
                  <c:v>0.70425138632162665</c:v>
                </c:pt>
                <c:pt idx="35">
                  <c:v>0.61689587426326131</c:v>
                </c:pt>
                <c:pt idx="36">
                  <c:v>0.62068965517241381</c:v>
                </c:pt>
                <c:pt idx="37">
                  <c:v>0.56994818652849744</c:v>
                </c:pt>
                <c:pt idx="38">
                  <c:v>0.75147928994082835</c:v>
                </c:pt>
                <c:pt idx="39">
                  <c:v>0.71276595744680848</c:v>
                </c:pt>
                <c:pt idx="40">
                  <c:v>0.77163904235727443</c:v>
                </c:pt>
                <c:pt idx="41">
                  <c:v>0.77052238805970152</c:v>
                </c:pt>
                <c:pt idx="42">
                  <c:v>0.71633752244165172</c:v>
                </c:pt>
                <c:pt idx="43">
                  <c:v>0.76872964169381108</c:v>
                </c:pt>
                <c:pt idx="44">
                  <c:v>0.79234972677595628</c:v>
                </c:pt>
                <c:pt idx="45">
                  <c:v>0.8262032085561497</c:v>
                </c:pt>
                <c:pt idx="46">
                  <c:v>0.81285444234404536</c:v>
                </c:pt>
                <c:pt idx="47">
                  <c:v>0.8661257606490872</c:v>
                </c:pt>
                <c:pt idx="48">
                  <c:v>0.87396694214876036</c:v>
                </c:pt>
                <c:pt idx="49">
                  <c:v>0.80982905982905984</c:v>
                </c:pt>
                <c:pt idx="50">
                  <c:v>0.78418803418803418</c:v>
                </c:pt>
                <c:pt idx="51">
                  <c:v>0.77842003853564545</c:v>
                </c:pt>
                <c:pt idx="52">
                  <c:v>0.80528052805280526</c:v>
                </c:pt>
                <c:pt idx="53">
                  <c:v>0.80158730158730163</c:v>
                </c:pt>
                <c:pt idx="54">
                  <c:v>0.79629629629629628</c:v>
                </c:pt>
                <c:pt idx="55">
                  <c:v>0.75854700854700852</c:v>
                </c:pt>
                <c:pt idx="56">
                  <c:v>0.68564920273348517</c:v>
                </c:pt>
                <c:pt idx="57">
                  <c:v>0.6967592592592593</c:v>
                </c:pt>
                <c:pt idx="58">
                  <c:v>0.67653758542141229</c:v>
                </c:pt>
                <c:pt idx="59">
                  <c:v>0.79084967320261434</c:v>
                </c:pt>
                <c:pt idx="60">
                  <c:v>0.89528795811518325</c:v>
                </c:pt>
                <c:pt idx="61">
                  <c:v>0.89130434782608692</c:v>
                </c:pt>
                <c:pt idx="62">
                  <c:v>0.85835095137420714</c:v>
                </c:pt>
                <c:pt idx="63">
                  <c:v>0.84913793103448276</c:v>
                </c:pt>
                <c:pt idx="64">
                  <c:v>0.84868421052631582</c:v>
                </c:pt>
                <c:pt idx="65">
                  <c:v>0.85809312638580926</c:v>
                </c:pt>
                <c:pt idx="66">
                  <c:v>0.84631147540983609</c:v>
                </c:pt>
                <c:pt idx="67">
                  <c:v>0.70977917981072558</c:v>
                </c:pt>
                <c:pt idx="68">
                  <c:v>0.77049180327868849</c:v>
                </c:pt>
                <c:pt idx="69">
                  <c:v>0.80327868852459017</c:v>
                </c:pt>
                <c:pt idx="70">
                  <c:v>0.78678038379530912</c:v>
                </c:pt>
                <c:pt idx="71">
                  <c:v>0.76744186046511631</c:v>
                </c:pt>
                <c:pt idx="72">
                  <c:v>0.76993166287015946</c:v>
                </c:pt>
                <c:pt idx="73">
                  <c:v>0.78476190476190477</c:v>
                </c:pt>
                <c:pt idx="74">
                  <c:v>0.68181818181818177</c:v>
                </c:pt>
                <c:pt idx="75">
                  <c:v>0.57988165680473369</c:v>
                </c:pt>
                <c:pt idx="76">
                  <c:v>0.66548042704626331</c:v>
                </c:pt>
                <c:pt idx="77">
                  <c:v>0.57518796992481203</c:v>
                </c:pt>
                <c:pt idx="78">
                  <c:v>0.60747663551401865</c:v>
                </c:pt>
                <c:pt idx="79">
                  <c:v>0.60559006211180122</c:v>
                </c:pt>
                <c:pt idx="80">
                  <c:v>0.30327868852459017</c:v>
                </c:pt>
                <c:pt idx="81">
                  <c:v>0.13756613756613756</c:v>
                </c:pt>
                <c:pt idx="82">
                  <c:v>0.27932960893854747</c:v>
                </c:pt>
                <c:pt idx="83">
                  <c:v>0.21828908554572271</c:v>
                </c:pt>
                <c:pt idx="84">
                  <c:v>0.25459317585301838</c:v>
                </c:pt>
                <c:pt idx="85">
                  <c:v>0.25636363636363635</c:v>
                </c:pt>
                <c:pt idx="86">
                  <c:v>0.25595238095238093</c:v>
                </c:pt>
                <c:pt idx="87">
                  <c:v>0.30245746691871456</c:v>
                </c:pt>
                <c:pt idx="88">
                  <c:v>0.26630434782608697</c:v>
                </c:pt>
                <c:pt idx="89">
                  <c:v>0.25</c:v>
                </c:pt>
                <c:pt idx="90">
                  <c:v>0.21680216802168023</c:v>
                </c:pt>
                <c:pt idx="91">
                  <c:v>0.22717149220489977</c:v>
                </c:pt>
                <c:pt idx="92">
                  <c:v>0.27171492204899778</c:v>
                </c:pt>
                <c:pt idx="93">
                  <c:v>0.2839506172839506</c:v>
                </c:pt>
                <c:pt idx="94">
                  <c:v>0.28117913832199548</c:v>
                </c:pt>
                <c:pt idx="95">
                  <c:v>0.47232472324723246</c:v>
                </c:pt>
                <c:pt idx="96">
                  <c:v>0.45772594752186591</c:v>
                </c:pt>
                <c:pt idx="97">
                  <c:v>0.44141689373297005</c:v>
                </c:pt>
                <c:pt idx="98">
                  <c:v>0.44337811900191937</c:v>
                </c:pt>
                <c:pt idx="99">
                  <c:v>0.40292275574112735</c:v>
                </c:pt>
                <c:pt idx="100">
                  <c:v>0.3907563025210084</c:v>
                </c:pt>
                <c:pt idx="101">
                  <c:v>0.395985401459854</c:v>
                </c:pt>
                <c:pt idx="102">
                  <c:v>0.12737127371273713</c:v>
                </c:pt>
                <c:pt idx="103">
                  <c:v>0.12758620689655173</c:v>
                </c:pt>
                <c:pt idx="104">
                  <c:v>0.21327967806841047</c:v>
                </c:pt>
                <c:pt idx="105">
                  <c:v>0.22690763052208834</c:v>
                </c:pt>
                <c:pt idx="106">
                  <c:v>0.19666048237476808</c:v>
                </c:pt>
                <c:pt idx="107">
                  <c:v>0.15355805243445692</c:v>
                </c:pt>
                <c:pt idx="108">
                  <c:v>0.64634146341463417</c:v>
                </c:pt>
                <c:pt idx="109">
                  <c:v>0.67741935483870963</c:v>
                </c:pt>
                <c:pt idx="110">
                  <c:v>0.34228187919463088</c:v>
                </c:pt>
                <c:pt idx="111">
                  <c:v>0.42450142450142453</c:v>
                </c:pt>
                <c:pt idx="112">
                  <c:v>0.35714285714285715</c:v>
                </c:pt>
                <c:pt idx="113">
                  <c:v>0.38775510204081631</c:v>
                </c:pt>
                <c:pt idx="114">
                  <c:v>0.5</c:v>
                </c:pt>
                <c:pt idx="115">
                  <c:v>0.58033573141486805</c:v>
                </c:pt>
                <c:pt idx="116">
                  <c:v>0.46715328467153283</c:v>
                </c:pt>
                <c:pt idx="117">
                  <c:v>0.59682539682539681</c:v>
                </c:pt>
                <c:pt idx="118">
                  <c:v>0.5890736342042755</c:v>
                </c:pt>
                <c:pt idx="119">
                  <c:v>0.47826086956521741</c:v>
                </c:pt>
                <c:pt idx="120">
                  <c:v>0.57794676806083645</c:v>
                </c:pt>
                <c:pt idx="121">
                  <c:v>0.6649746192893401</c:v>
                </c:pt>
                <c:pt idx="122">
                  <c:v>0.19327731092436976</c:v>
                </c:pt>
                <c:pt idx="123">
                  <c:v>0.19547325102880658</c:v>
                </c:pt>
                <c:pt idx="124">
                  <c:v>0.13151927437641722</c:v>
                </c:pt>
                <c:pt idx="125">
                  <c:v>0.10652173913043478</c:v>
                </c:pt>
                <c:pt idx="126">
                  <c:v>0.47602739726027399</c:v>
                </c:pt>
                <c:pt idx="127">
                  <c:v>0.41853932584269665</c:v>
                </c:pt>
                <c:pt idx="128">
                  <c:v>0.44708423326133911</c:v>
                </c:pt>
                <c:pt idx="129">
                  <c:v>0.46511627906976744</c:v>
                </c:pt>
                <c:pt idx="130">
                  <c:v>0.37922705314009664</c:v>
                </c:pt>
                <c:pt idx="131">
                  <c:v>0.36069114470842334</c:v>
                </c:pt>
                <c:pt idx="132">
                  <c:v>0.22857142857142856</c:v>
                </c:pt>
                <c:pt idx="133">
                  <c:v>0.25</c:v>
                </c:pt>
                <c:pt idx="134">
                  <c:v>0.38953488372093026</c:v>
                </c:pt>
                <c:pt idx="135">
                  <c:v>0.2857142857142857</c:v>
                </c:pt>
                <c:pt idx="136">
                  <c:v>0.30120481927710846</c:v>
                </c:pt>
                <c:pt idx="137">
                  <c:v>0.34090909090909088</c:v>
                </c:pt>
                <c:pt idx="138">
                  <c:v>0.37398373983739835</c:v>
                </c:pt>
                <c:pt idx="139">
                  <c:v>0.31339031339031337</c:v>
                </c:pt>
                <c:pt idx="140">
                  <c:v>0.34392523364485983</c:v>
                </c:pt>
                <c:pt idx="141">
                  <c:v>0.31097560975609756</c:v>
                </c:pt>
                <c:pt idx="142">
                  <c:v>0.48239436619718312</c:v>
                </c:pt>
                <c:pt idx="143">
                  <c:v>0.59340659340659341</c:v>
                </c:pt>
                <c:pt idx="144">
                  <c:v>0.48704663212435234</c:v>
                </c:pt>
                <c:pt idx="145">
                  <c:v>0.46345811051693403</c:v>
                </c:pt>
                <c:pt idx="146">
                  <c:v>0.46950092421441775</c:v>
                </c:pt>
                <c:pt idx="147">
                  <c:v>0.41392649903288203</c:v>
                </c:pt>
                <c:pt idx="148">
                  <c:v>0.37147887323943662</c:v>
                </c:pt>
                <c:pt idx="149">
                  <c:v>0.54878048780487809</c:v>
                </c:pt>
                <c:pt idx="150">
                  <c:v>0.68400000000000005</c:v>
                </c:pt>
                <c:pt idx="151">
                  <c:v>0.68149882903981263</c:v>
                </c:pt>
                <c:pt idx="152">
                  <c:v>0.6753812636165577</c:v>
                </c:pt>
                <c:pt idx="153">
                  <c:v>0.65191146881287731</c:v>
                </c:pt>
                <c:pt idx="154">
                  <c:v>0.65886287625418061</c:v>
                </c:pt>
                <c:pt idx="155">
                  <c:v>0.73351648351648346</c:v>
                </c:pt>
                <c:pt idx="156">
                  <c:v>0.74365482233502533</c:v>
                </c:pt>
                <c:pt idx="157">
                  <c:v>0.73743016759776536</c:v>
                </c:pt>
                <c:pt idx="158">
                  <c:v>0.70499999999999996</c:v>
                </c:pt>
                <c:pt idx="159">
                  <c:v>0.68441064638783267</c:v>
                </c:pt>
                <c:pt idx="160">
                  <c:v>0.68358208955223876</c:v>
                </c:pt>
                <c:pt idx="161">
                  <c:v>0.60571428571428576</c:v>
                </c:pt>
                <c:pt idx="162">
                  <c:v>0.68510638297872339</c:v>
                </c:pt>
                <c:pt idx="163">
                  <c:v>0.76870748299319724</c:v>
                </c:pt>
                <c:pt idx="164">
                  <c:v>0.7665847665847666</c:v>
                </c:pt>
                <c:pt idx="165">
                  <c:v>0.6886363636363636</c:v>
                </c:pt>
                <c:pt idx="166">
                  <c:v>0.82173913043478264</c:v>
                </c:pt>
                <c:pt idx="167">
                  <c:v>0.66485013623978206</c:v>
                </c:pt>
                <c:pt idx="168">
                  <c:v>0.70262390670553931</c:v>
                </c:pt>
                <c:pt idx="169">
                  <c:v>0.66386554621848737</c:v>
                </c:pt>
                <c:pt idx="170">
                  <c:v>0.76870748299319724</c:v>
                </c:pt>
                <c:pt idx="171">
                  <c:v>0.60060060060060061</c:v>
                </c:pt>
                <c:pt idx="172">
                  <c:v>0.38922155688622756</c:v>
                </c:pt>
                <c:pt idx="173">
                  <c:v>0.59366754617414252</c:v>
                </c:pt>
                <c:pt idx="174">
                  <c:v>0.56530214424951264</c:v>
                </c:pt>
                <c:pt idx="175">
                  <c:v>0.52566735112936347</c:v>
                </c:pt>
                <c:pt idx="176">
                  <c:v>0.50457038391224862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11-471C-90CC-8A9CF6DF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52399"/>
        <c:axId val="341704415"/>
      </c:scatterChart>
      <c:valAx>
        <c:axId val="464752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04415"/>
        <c:crosses val="autoZero"/>
        <c:crossBetween val="midCat"/>
      </c:valAx>
      <c:valAx>
        <c:axId val="341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Chinese% P132 Port Dickson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493219597550306E-2"/>
                  <c:y val="-0.4413943569553806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RaceWorksheet!$L$2:$L$178</c:f>
              <c:numCache>
                <c:formatCode>0.0%</c:formatCode>
                <c:ptCount val="177"/>
                <c:pt idx="0">
                  <c:v>0.53500000000000003</c:v>
                </c:pt>
                <c:pt idx="1">
                  <c:v>0.56999999999999995</c:v>
                </c:pt>
                <c:pt idx="2">
                  <c:v>0.53647058823529414</c:v>
                </c:pt>
                <c:pt idx="3">
                  <c:v>0.51405622489959835</c:v>
                </c:pt>
                <c:pt idx="4">
                  <c:v>0.06</c:v>
                </c:pt>
                <c:pt idx="5">
                  <c:v>0.48222222222222222</c:v>
                </c:pt>
                <c:pt idx="6">
                  <c:v>0.51010886469673411</c:v>
                </c:pt>
                <c:pt idx="7">
                  <c:v>0.39906832298136646</c:v>
                </c:pt>
                <c:pt idx="8">
                  <c:v>0.90822784810126578</c:v>
                </c:pt>
                <c:pt idx="9">
                  <c:v>0.52888888888888885</c:v>
                </c:pt>
                <c:pt idx="10">
                  <c:v>0.39111111111111113</c:v>
                </c:pt>
                <c:pt idx="11">
                  <c:v>0.43980738362760835</c:v>
                </c:pt>
                <c:pt idx="12">
                  <c:v>0.4478330658105939</c:v>
                </c:pt>
                <c:pt idx="13">
                  <c:v>0.36799999999999999</c:v>
                </c:pt>
                <c:pt idx="14">
                  <c:v>0.78888888888888886</c:v>
                </c:pt>
                <c:pt idx="15">
                  <c:v>0.83333333333333337</c:v>
                </c:pt>
                <c:pt idx="16">
                  <c:v>0.78726968174204359</c:v>
                </c:pt>
                <c:pt idx="17">
                  <c:v>0.7755443886097152</c:v>
                </c:pt>
                <c:pt idx="18">
                  <c:v>0.70854271356783916</c:v>
                </c:pt>
                <c:pt idx="19">
                  <c:v>0.59666666666666668</c:v>
                </c:pt>
                <c:pt idx="20">
                  <c:v>0.89555555555555555</c:v>
                </c:pt>
                <c:pt idx="21">
                  <c:v>0.8606896551724138</c:v>
                </c:pt>
                <c:pt idx="22">
                  <c:v>0.44444444444444442</c:v>
                </c:pt>
                <c:pt idx="23">
                  <c:v>0.46444444444444444</c:v>
                </c:pt>
                <c:pt idx="24">
                  <c:v>0.39646017699115044</c:v>
                </c:pt>
                <c:pt idx="25">
                  <c:v>0.31150442477876106</c:v>
                </c:pt>
                <c:pt idx="26">
                  <c:v>0.38596491228070173</c:v>
                </c:pt>
                <c:pt idx="27">
                  <c:v>0.27854671280276816</c:v>
                </c:pt>
                <c:pt idx="28">
                  <c:v>6.6666666666666666E-2</c:v>
                </c:pt>
                <c:pt idx="29">
                  <c:v>0.18357487922705315</c:v>
                </c:pt>
                <c:pt idx="30">
                  <c:v>9.8795180722891562E-2</c:v>
                </c:pt>
                <c:pt idx="31">
                  <c:v>0.31777777777777777</c:v>
                </c:pt>
                <c:pt idx="32">
                  <c:v>0.20444444444444446</c:v>
                </c:pt>
                <c:pt idx="33">
                  <c:v>0.20431654676258992</c:v>
                </c:pt>
                <c:pt idx="34">
                  <c:v>0.16666666666666666</c:v>
                </c:pt>
                <c:pt idx="35">
                  <c:v>0.13218390804597702</c:v>
                </c:pt>
                <c:pt idx="36">
                  <c:v>0.12931034482758622</c:v>
                </c:pt>
                <c:pt idx="37">
                  <c:v>0.12571428571428572</c:v>
                </c:pt>
                <c:pt idx="38">
                  <c:v>0.63777777777777778</c:v>
                </c:pt>
                <c:pt idx="39">
                  <c:v>0.44222222222222224</c:v>
                </c:pt>
                <c:pt idx="40">
                  <c:v>0.40331491712707185</c:v>
                </c:pt>
                <c:pt idx="41">
                  <c:v>0.38812154696132595</c:v>
                </c:pt>
                <c:pt idx="42">
                  <c:v>0.32</c:v>
                </c:pt>
                <c:pt idx="43">
                  <c:v>0.73555555555555552</c:v>
                </c:pt>
                <c:pt idx="44">
                  <c:v>0.73555555555555552</c:v>
                </c:pt>
                <c:pt idx="45">
                  <c:v>0.7155555555555555</c:v>
                </c:pt>
                <c:pt idx="46">
                  <c:v>0.70278637770897834</c:v>
                </c:pt>
                <c:pt idx="47">
                  <c:v>0.71826625386996901</c:v>
                </c:pt>
                <c:pt idx="48">
                  <c:v>0.67956656346749222</c:v>
                </c:pt>
                <c:pt idx="49">
                  <c:v>0.60216718266253866</c:v>
                </c:pt>
                <c:pt idx="50">
                  <c:v>0.52476780185758509</c:v>
                </c:pt>
                <c:pt idx="51">
                  <c:v>0.58268933539412671</c:v>
                </c:pt>
                <c:pt idx="52">
                  <c:v>0.79555555555555557</c:v>
                </c:pt>
                <c:pt idx="53">
                  <c:v>0.79555555555555557</c:v>
                </c:pt>
                <c:pt idx="54">
                  <c:v>0.7</c:v>
                </c:pt>
                <c:pt idx="55">
                  <c:v>0.56476683937823835</c:v>
                </c:pt>
                <c:pt idx="56">
                  <c:v>0.4879310344827586</c:v>
                </c:pt>
                <c:pt idx="57">
                  <c:v>0.47068965517241379</c:v>
                </c:pt>
                <c:pt idx="58">
                  <c:v>0.36206896551724138</c:v>
                </c:pt>
                <c:pt idx="59">
                  <c:v>0.77777777777777779</c:v>
                </c:pt>
                <c:pt idx="60">
                  <c:v>0.81777777777777783</c:v>
                </c:pt>
                <c:pt idx="61">
                  <c:v>0.83307086614173231</c:v>
                </c:pt>
                <c:pt idx="62">
                  <c:v>0.72283464566929134</c:v>
                </c:pt>
                <c:pt idx="63">
                  <c:v>0.721259842519685</c:v>
                </c:pt>
                <c:pt idx="64">
                  <c:v>0.68976377952755907</c:v>
                </c:pt>
                <c:pt idx="65">
                  <c:v>0.70078740157480313</c:v>
                </c:pt>
                <c:pt idx="66">
                  <c:v>0.6739811912225705</c:v>
                </c:pt>
                <c:pt idx="67">
                  <c:v>0.4</c:v>
                </c:pt>
                <c:pt idx="68">
                  <c:v>0.39555555555555555</c:v>
                </c:pt>
                <c:pt idx="69">
                  <c:v>0.4569640062597809</c:v>
                </c:pt>
                <c:pt idx="70">
                  <c:v>0.49452269170579027</c:v>
                </c:pt>
                <c:pt idx="71">
                  <c:v>0.47261345852895148</c:v>
                </c:pt>
                <c:pt idx="72">
                  <c:v>0.45070422535211269</c:v>
                </c:pt>
                <c:pt idx="73">
                  <c:v>0.47417840375586856</c:v>
                </c:pt>
                <c:pt idx="74">
                  <c:v>8.2010582010582006E-2</c:v>
                </c:pt>
                <c:pt idx="75">
                  <c:v>0.16800000000000001</c:v>
                </c:pt>
                <c:pt idx="76">
                  <c:v>0.10982658959537572</c:v>
                </c:pt>
                <c:pt idx="77">
                  <c:v>0.23224043715846995</c:v>
                </c:pt>
                <c:pt idx="78">
                  <c:v>0.31714285714285712</c:v>
                </c:pt>
                <c:pt idx="79">
                  <c:v>0.10747663551401869</c:v>
                </c:pt>
                <c:pt idx="80">
                  <c:v>7.3333333333333334E-2</c:v>
                </c:pt>
                <c:pt idx="81">
                  <c:v>1.7167381974248927E-2</c:v>
                </c:pt>
                <c:pt idx="82">
                  <c:v>3.8626609442060089E-2</c:v>
                </c:pt>
                <c:pt idx="83">
                  <c:v>3.7777777777777778E-2</c:v>
                </c:pt>
                <c:pt idx="84">
                  <c:v>2.6666666666666668E-2</c:v>
                </c:pt>
                <c:pt idx="85">
                  <c:v>2.753623188405797E-2</c:v>
                </c:pt>
                <c:pt idx="86">
                  <c:v>2.318840579710145E-2</c:v>
                </c:pt>
                <c:pt idx="87">
                  <c:v>2.7456647398843931E-2</c:v>
                </c:pt>
                <c:pt idx="88">
                  <c:v>1.4409221902017291E-2</c:v>
                </c:pt>
                <c:pt idx="89">
                  <c:v>0.11333333333333333</c:v>
                </c:pt>
                <c:pt idx="90">
                  <c:v>2.2222222222222223E-2</c:v>
                </c:pt>
                <c:pt idx="91">
                  <c:v>2.3183925811437404E-2</c:v>
                </c:pt>
                <c:pt idx="92">
                  <c:v>3.4003091190108192E-2</c:v>
                </c:pt>
                <c:pt idx="93">
                  <c:v>3.8639876352395672E-2</c:v>
                </c:pt>
                <c:pt idx="94">
                  <c:v>2.3183925811437404E-2</c:v>
                </c:pt>
                <c:pt idx="95">
                  <c:v>0.42888888888888888</c:v>
                </c:pt>
                <c:pt idx="96">
                  <c:v>0.34666666666666668</c:v>
                </c:pt>
                <c:pt idx="97">
                  <c:v>0.28888888888888886</c:v>
                </c:pt>
                <c:pt idx="98">
                  <c:v>0.27786032689450224</c:v>
                </c:pt>
                <c:pt idx="99">
                  <c:v>0.21693907875185736</c:v>
                </c:pt>
                <c:pt idx="100">
                  <c:v>0.21810089020771514</c:v>
                </c:pt>
                <c:pt idx="101">
                  <c:v>0.20592592592592593</c:v>
                </c:pt>
                <c:pt idx="102">
                  <c:v>0.02</c:v>
                </c:pt>
                <c:pt idx="103">
                  <c:v>1.4471780028943559E-2</c:v>
                </c:pt>
                <c:pt idx="104">
                  <c:v>7.2358900144717797E-2</c:v>
                </c:pt>
                <c:pt idx="105">
                  <c:v>3.9073806078147609E-2</c:v>
                </c:pt>
                <c:pt idx="106">
                  <c:v>2.0260492040520984E-2</c:v>
                </c:pt>
                <c:pt idx="107">
                  <c:v>2.8943560057887119E-2</c:v>
                </c:pt>
                <c:pt idx="108">
                  <c:v>0.53111111111111109</c:v>
                </c:pt>
                <c:pt idx="109">
                  <c:v>0.36070853462157809</c:v>
                </c:pt>
                <c:pt idx="110">
                  <c:v>0.26666666666666666</c:v>
                </c:pt>
                <c:pt idx="111">
                  <c:v>0.21111111111111111</c:v>
                </c:pt>
                <c:pt idx="112">
                  <c:v>0.12</c:v>
                </c:pt>
                <c:pt idx="113">
                  <c:v>0.10223642172523961</c:v>
                </c:pt>
                <c:pt idx="114">
                  <c:v>0.27333333333333332</c:v>
                </c:pt>
                <c:pt idx="115">
                  <c:v>0.25531914893617019</c:v>
                </c:pt>
                <c:pt idx="116">
                  <c:v>0.22630560928433269</c:v>
                </c:pt>
                <c:pt idx="117">
                  <c:v>0.5822222222222222</c:v>
                </c:pt>
                <c:pt idx="118">
                  <c:v>0.47102803738317756</c:v>
                </c:pt>
                <c:pt idx="119">
                  <c:v>0.33208955223880599</c:v>
                </c:pt>
                <c:pt idx="120">
                  <c:v>0.29428571428571426</c:v>
                </c:pt>
                <c:pt idx="121">
                  <c:v>0.14428857715430862</c:v>
                </c:pt>
                <c:pt idx="122">
                  <c:v>8.2222222222222224E-2</c:v>
                </c:pt>
                <c:pt idx="123">
                  <c:v>5.4101221640488653E-2</c:v>
                </c:pt>
                <c:pt idx="124">
                  <c:v>2.6178010471204188E-2</c:v>
                </c:pt>
                <c:pt idx="125">
                  <c:v>3.4843205574912892E-3</c:v>
                </c:pt>
                <c:pt idx="126">
                  <c:v>9.5057034220532313E-2</c:v>
                </c:pt>
                <c:pt idx="127">
                  <c:v>0.51555555555555554</c:v>
                </c:pt>
                <c:pt idx="128">
                  <c:v>0.3888888888888889</c:v>
                </c:pt>
                <c:pt idx="129">
                  <c:v>0.33449477351916379</c:v>
                </c:pt>
                <c:pt idx="130">
                  <c:v>0.30662020905923343</c:v>
                </c:pt>
                <c:pt idx="131">
                  <c:v>0.2456445993031359</c:v>
                </c:pt>
                <c:pt idx="132">
                  <c:v>0.20347826086956522</c:v>
                </c:pt>
                <c:pt idx="133">
                  <c:v>3.7777777777777778E-2</c:v>
                </c:pt>
                <c:pt idx="134">
                  <c:v>7.1111111111111111E-2</c:v>
                </c:pt>
                <c:pt idx="135">
                  <c:v>5.2550231839258117E-2</c:v>
                </c:pt>
                <c:pt idx="136">
                  <c:v>3.4003091190108192E-2</c:v>
                </c:pt>
                <c:pt idx="137">
                  <c:v>4.1731066460587329E-2</c:v>
                </c:pt>
                <c:pt idx="138">
                  <c:v>3.0864197530864196E-2</c:v>
                </c:pt>
                <c:pt idx="139">
                  <c:v>0.14000000000000001</c:v>
                </c:pt>
                <c:pt idx="140">
                  <c:v>0.12756598240469208</c:v>
                </c:pt>
                <c:pt idx="141">
                  <c:v>8.9442815249266866E-2</c:v>
                </c:pt>
                <c:pt idx="142">
                  <c:v>0.36888888888888888</c:v>
                </c:pt>
                <c:pt idx="143">
                  <c:v>0.35555555555555557</c:v>
                </c:pt>
                <c:pt idx="144">
                  <c:v>0.22</c:v>
                </c:pt>
                <c:pt idx="145">
                  <c:v>0.24063400576368876</c:v>
                </c:pt>
                <c:pt idx="146">
                  <c:v>0.21037463976945245</c:v>
                </c:pt>
                <c:pt idx="147">
                  <c:v>0.1729106628242075</c:v>
                </c:pt>
                <c:pt idx="148">
                  <c:v>0.12949640287769784</c:v>
                </c:pt>
                <c:pt idx="149">
                  <c:v>0.2688888888888889</c:v>
                </c:pt>
                <c:pt idx="150">
                  <c:v>0.39712918660287083</c:v>
                </c:pt>
                <c:pt idx="151">
                  <c:v>0.47687400318979267</c:v>
                </c:pt>
                <c:pt idx="152">
                  <c:v>0.44816586921850082</c:v>
                </c:pt>
                <c:pt idx="153">
                  <c:v>0.43312101910828027</c:v>
                </c:pt>
                <c:pt idx="154">
                  <c:v>0.48666666666666669</c:v>
                </c:pt>
                <c:pt idx="155">
                  <c:v>0.38666666666666666</c:v>
                </c:pt>
                <c:pt idx="156">
                  <c:v>0.4164989939637827</c:v>
                </c:pt>
                <c:pt idx="157">
                  <c:v>0.44064386317907445</c:v>
                </c:pt>
                <c:pt idx="158">
                  <c:v>0.41566265060240964</c:v>
                </c:pt>
                <c:pt idx="159">
                  <c:v>0.38</c:v>
                </c:pt>
                <c:pt idx="160">
                  <c:v>0.33777777777777779</c:v>
                </c:pt>
                <c:pt idx="161">
                  <c:v>0.27555555555555555</c:v>
                </c:pt>
                <c:pt idx="162">
                  <c:v>0.35</c:v>
                </c:pt>
                <c:pt idx="163">
                  <c:v>0.41333333333333333</c:v>
                </c:pt>
                <c:pt idx="164">
                  <c:v>0.41166666666666668</c:v>
                </c:pt>
                <c:pt idx="165">
                  <c:v>0.39700996677740863</c:v>
                </c:pt>
                <c:pt idx="166">
                  <c:v>0.57333333333333336</c:v>
                </c:pt>
                <c:pt idx="167">
                  <c:v>0.50888888888888884</c:v>
                </c:pt>
                <c:pt idx="168">
                  <c:v>0.44</c:v>
                </c:pt>
                <c:pt idx="169">
                  <c:v>0.41922290388548056</c:v>
                </c:pt>
                <c:pt idx="170">
                  <c:v>0.42126789366053169</c:v>
                </c:pt>
                <c:pt idx="171">
                  <c:v>0.31428571428571428</c:v>
                </c:pt>
                <c:pt idx="172">
                  <c:v>8.8888888888888892E-2</c:v>
                </c:pt>
                <c:pt idx="173">
                  <c:v>0.1</c:v>
                </c:pt>
                <c:pt idx="174">
                  <c:v>0.12591508052708639</c:v>
                </c:pt>
                <c:pt idx="175">
                  <c:v>8.1991215226939973E-2</c:v>
                </c:pt>
                <c:pt idx="176">
                  <c:v>7.0072992700729933E-2</c:v>
                </c:pt>
              </c:numCache>
            </c:numRef>
          </c:xVal>
          <c:yVal>
            <c:numRef>
              <c:f>RaceWorksheet!$C$2:$C$178</c:f>
              <c:numCache>
                <c:formatCode>0.0%</c:formatCode>
                <c:ptCount val="177"/>
                <c:pt idx="0">
                  <c:v>0.24255319148936169</c:v>
                </c:pt>
                <c:pt idx="1">
                  <c:v>0.25</c:v>
                </c:pt>
                <c:pt idx="2">
                  <c:v>0.21929824561403508</c:v>
                </c:pt>
                <c:pt idx="3">
                  <c:v>0.21717171717171718</c:v>
                </c:pt>
                <c:pt idx="4">
                  <c:v>0.23834196891191708</c:v>
                </c:pt>
                <c:pt idx="5">
                  <c:v>0.16560509554140126</c:v>
                </c:pt>
                <c:pt idx="6">
                  <c:v>0.20175438596491227</c:v>
                </c:pt>
                <c:pt idx="7">
                  <c:v>0.14853556485355648</c:v>
                </c:pt>
                <c:pt idx="8">
                  <c:v>0.11874999999999999</c:v>
                </c:pt>
                <c:pt idx="9">
                  <c:v>0.30546623794212219</c:v>
                </c:pt>
                <c:pt idx="10">
                  <c:v>0.33423180592991913</c:v>
                </c:pt>
                <c:pt idx="11">
                  <c:v>0.22022471910112359</c:v>
                </c:pt>
                <c:pt idx="12">
                  <c:v>0.24203821656050956</c:v>
                </c:pt>
                <c:pt idx="13">
                  <c:v>0.24038461538461539</c:v>
                </c:pt>
                <c:pt idx="14">
                  <c:v>0.1875</c:v>
                </c:pt>
                <c:pt idx="15">
                  <c:v>0.13573407202216067</c:v>
                </c:pt>
                <c:pt idx="16">
                  <c:v>0.14583333333333334</c:v>
                </c:pt>
                <c:pt idx="17">
                  <c:v>8.2959641255605385E-2</c:v>
                </c:pt>
                <c:pt idx="18">
                  <c:v>0.10089686098654709</c:v>
                </c:pt>
                <c:pt idx="19">
                  <c:v>0.13052631578947368</c:v>
                </c:pt>
                <c:pt idx="20">
                  <c:v>0.22157434402332363</c:v>
                </c:pt>
                <c:pt idx="21">
                  <c:v>0.13619402985074627</c:v>
                </c:pt>
                <c:pt idx="22">
                  <c:v>0.390625</c:v>
                </c:pt>
                <c:pt idx="23">
                  <c:v>0.38133333333333336</c:v>
                </c:pt>
                <c:pt idx="24">
                  <c:v>0.29220779220779219</c:v>
                </c:pt>
                <c:pt idx="25">
                  <c:v>0.27044025157232704</c:v>
                </c:pt>
                <c:pt idx="26">
                  <c:v>0.19318181818181818</c:v>
                </c:pt>
                <c:pt idx="27">
                  <c:v>0.2391304347826087</c:v>
                </c:pt>
                <c:pt idx="28">
                  <c:v>0.54261363636363635</c:v>
                </c:pt>
                <c:pt idx="29">
                  <c:v>0.38607594936708861</c:v>
                </c:pt>
                <c:pt idx="30">
                  <c:v>0.31686046511627908</c:v>
                </c:pt>
                <c:pt idx="31">
                  <c:v>0.22397476340694006</c:v>
                </c:pt>
                <c:pt idx="32">
                  <c:v>0.22486772486772486</c:v>
                </c:pt>
                <c:pt idx="33">
                  <c:v>0.14685314685314685</c:v>
                </c:pt>
                <c:pt idx="34">
                  <c:v>0.1256931608133087</c:v>
                </c:pt>
                <c:pt idx="35">
                  <c:v>0.16502946954813361</c:v>
                </c:pt>
                <c:pt idx="36">
                  <c:v>0.11978221415607986</c:v>
                </c:pt>
                <c:pt idx="37">
                  <c:v>0.11226252158894647</c:v>
                </c:pt>
                <c:pt idx="38">
                  <c:v>0.16568047337278108</c:v>
                </c:pt>
                <c:pt idx="39">
                  <c:v>0.17819148936170212</c:v>
                </c:pt>
                <c:pt idx="40">
                  <c:v>0.12338858195211787</c:v>
                </c:pt>
                <c:pt idx="41">
                  <c:v>8.9552238805970144E-2</c:v>
                </c:pt>
                <c:pt idx="42">
                  <c:v>0.13644524236983843</c:v>
                </c:pt>
                <c:pt idx="43">
                  <c:v>0.15309446254071662</c:v>
                </c:pt>
                <c:pt idx="44">
                  <c:v>0.13661202185792351</c:v>
                </c:pt>
                <c:pt idx="45">
                  <c:v>0.10962566844919786</c:v>
                </c:pt>
                <c:pt idx="46">
                  <c:v>9.6408317580340269E-2</c:v>
                </c:pt>
                <c:pt idx="47">
                  <c:v>7.099391480730223E-2</c:v>
                </c:pt>
                <c:pt idx="48">
                  <c:v>5.9917355371900828E-2</c:v>
                </c:pt>
                <c:pt idx="49">
                  <c:v>8.11965811965812E-2</c:v>
                </c:pt>
                <c:pt idx="50">
                  <c:v>5.5555555555555552E-2</c:v>
                </c:pt>
                <c:pt idx="51">
                  <c:v>8.0924855491329481E-2</c:v>
                </c:pt>
                <c:pt idx="52">
                  <c:v>0.11551155115511551</c:v>
                </c:pt>
                <c:pt idx="53">
                  <c:v>0.1164021164021164</c:v>
                </c:pt>
                <c:pt idx="54">
                  <c:v>0.11375661375661375</c:v>
                </c:pt>
                <c:pt idx="55">
                  <c:v>0.1517094017094017</c:v>
                </c:pt>
                <c:pt idx="56">
                  <c:v>0.18223234624145787</c:v>
                </c:pt>
                <c:pt idx="57">
                  <c:v>0.13194444444444445</c:v>
                </c:pt>
                <c:pt idx="58">
                  <c:v>0.13895216400911162</c:v>
                </c:pt>
                <c:pt idx="59">
                  <c:v>0.1111111111111111</c:v>
                </c:pt>
                <c:pt idx="60">
                  <c:v>7.5916230366492143E-2</c:v>
                </c:pt>
                <c:pt idx="61">
                  <c:v>5.9288537549407112E-2</c:v>
                </c:pt>
                <c:pt idx="62">
                  <c:v>8.8794926004228336E-2</c:v>
                </c:pt>
                <c:pt idx="63">
                  <c:v>7.3275862068965511E-2</c:v>
                </c:pt>
                <c:pt idx="64">
                  <c:v>6.3596491228070179E-2</c:v>
                </c:pt>
                <c:pt idx="65">
                  <c:v>6.4301552106430154E-2</c:v>
                </c:pt>
                <c:pt idx="66">
                  <c:v>5.9426229508196718E-2</c:v>
                </c:pt>
                <c:pt idx="67">
                  <c:v>0.20820189274447951</c:v>
                </c:pt>
                <c:pt idx="68">
                  <c:v>0.13114754098360656</c:v>
                </c:pt>
                <c:pt idx="69">
                  <c:v>0.125</c:v>
                </c:pt>
                <c:pt idx="70">
                  <c:v>0.12366737739872068</c:v>
                </c:pt>
                <c:pt idx="71">
                  <c:v>9.0909090909090912E-2</c:v>
                </c:pt>
                <c:pt idx="72">
                  <c:v>7.5170842824601361E-2</c:v>
                </c:pt>
                <c:pt idx="73">
                  <c:v>0.11619047619047619</c:v>
                </c:pt>
                <c:pt idx="74">
                  <c:v>0.21590909090909091</c:v>
                </c:pt>
                <c:pt idx="75">
                  <c:v>0.31952662721893493</c:v>
                </c:pt>
                <c:pt idx="76">
                  <c:v>0.24555160142348753</c:v>
                </c:pt>
                <c:pt idx="77">
                  <c:v>0.36090225563909772</c:v>
                </c:pt>
                <c:pt idx="78">
                  <c:v>0.26635514018691586</c:v>
                </c:pt>
                <c:pt idx="79">
                  <c:v>0.20186335403726707</c:v>
                </c:pt>
                <c:pt idx="80">
                  <c:v>0.3155737704918033</c:v>
                </c:pt>
                <c:pt idx="81">
                  <c:v>0.28042328042328041</c:v>
                </c:pt>
                <c:pt idx="82">
                  <c:v>0.18435754189944134</c:v>
                </c:pt>
                <c:pt idx="83">
                  <c:v>0.49557522123893805</c:v>
                </c:pt>
                <c:pt idx="84">
                  <c:v>0.4356955380577428</c:v>
                </c:pt>
                <c:pt idx="85">
                  <c:v>0.30727272727272725</c:v>
                </c:pt>
                <c:pt idx="86">
                  <c:v>0.28373015873015872</c:v>
                </c:pt>
                <c:pt idx="87">
                  <c:v>0.26654064272211719</c:v>
                </c:pt>
                <c:pt idx="88">
                  <c:v>0.21920289855072464</c:v>
                </c:pt>
                <c:pt idx="89">
                  <c:v>0.50320512820512819</c:v>
                </c:pt>
                <c:pt idx="90">
                  <c:v>0.43360433604336046</c:v>
                </c:pt>
                <c:pt idx="91">
                  <c:v>0.31403118040089084</c:v>
                </c:pt>
                <c:pt idx="92">
                  <c:v>0.27616926503340755</c:v>
                </c:pt>
                <c:pt idx="93">
                  <c:v>0.24279835390946503</c:v>
                </c:pt>
                <c:pt idx="94">
                  <c:v>0.22902494331065759</c:v>
                </c:pt>
                <c:pt idx="95">
                  <c:v>0.35793357933579334</c:v>
                </c:pt>
                <c:pt idx="96">
                  <c:v>0.33819241982507287</c:v>
                </c:pt>
                <c:pt idx="97">
                  <c:v>0.33787465940054495</c:v>
                </c:pt>
                <c:pt idx="98">
                  <c:v>0.21305182341650672</c:v>
                </c:pt>
                <c:pt idx="99">
                  <c:v>0.23382045929018788</c:v>
                </c:pt>
                <c:pt idx="100">
                  <c:v>0.18067226890756302</c:v>
                </c:pt>
                <c:pt idx="101">
                  <c:v>0.16605839416058393</c:v>
                </c:pt>
                <c:pt idx="102">
                  <c:v>0.50948509485094851</c:v>
                </c:pt>
                <c:pt idx="103">
                  <c:v>0.3724137931034483</c:v>
                </c:pt>
                <c:pt idx="104">
                  <c:v>0.25352112676056338</c:v>
                </c:pt>
                <c:pt idx="105">
                  <c:v>0.2289156626506024</c:v>
                </c:pt>
                <c:pt idx="106">
                  <c:v>0.21335807050092764</c:v>
                </c:pt>
                <c:pt idx="107">
                  <c:v>0.21722846441947566</c:v>
                </c:pt>
                <c:pt idx="108">
                  <c:v>0.29878048780487804</c:v>
                </c:pt>
                <c:pt idx="109">
                  <c:v>0.20645161290322581</c:v>
                </c:pt>
                <c:pt idx="110">
                  <c:v>0.43288590604026844</c:v>
                </c:pt>
                <c:pt idx="111">
                  <c:v>0.40740740740740738</c:v>
                </c:pt>
                <c:pt idx="112">
                  <c:v>0.41269841269841268</c:v>
                </c:pt>
                <c:pt idx="113">
                  <c:v>0.32244897959183672</c:v>
                </c:pt>
                <c:pt idx="114">
                  <c:v>0.36285714285714288</c:v>
                </c:pt>
                <c:pt idx="115">
                  <c:v>0.23261390887290168</c:v>
                </c:pt>
                <c:pt idx="116">
                  <c:v>0.27493917274939172</c:v>
                </c:pt>
                <c:pt idx="117">
                  <c:v>0.26984126984126983</c:v>
                </c:pt>
                <c:pt idx="118">
                  <c:v>0.25178147268408552</c:v>
                </c:pt>
                <c:pt idx="119">
                  <c:v>0.27053140096618356</c:v>
                </c:pt>
                <c:pt idx="120">
                  <c:v>0.34220532319391633</c:v>
                </c:pt>
                <c:pt idx="121">
                  <c:v>0.26649746192893403</c:v>
                </c:pt>
                <c:pt idx="122">
                  <c:v>0.59663865546218486</c:v>
                </c:pt>
                <c:pt idx="123">
                  <c:v>0.40946502057613171</c:v>
                </c:pt>
                <c:pt idx="124">
                  <c:v>0.33106575963718821</c:v>
                </c:pt>
                <c:pt idx="125">
                  <c:v>0.35</c:v>
                </c:pt>
                <c:pt idx="126">
                  <c:v>0.3321917808219178</c:v>
                </c:pt>
                <c:pt idx="127">
                  <c:v>0.4550561797752809</c:v>
                </c:pt>
                <c:pt idx="128">
                  <c:v>0.35637149028077753</c:v>
                </c:pt>
                <c:pt idx="129">
                  <c:v>0.23255813953488372</c:v>
                </c:pt>
                <c:pt idx="130">
                  <c:v>0.2922705314009662</c:v>
                </c:pt>
                <c:pt idx="131">
                  <c:v>0.29805615550755937</c:v>
                </c:pt>
                <c:pt idx="132">
                  <c:v>0.63809523809523805</c:v>
                </c:pt>
                <c:pt idx="133">
                  <c:v>0.56104651162790697</c:v>
                </c:pt>
                <c:pt idx="134">
                  <c:v>0.36337209302325579</c:v>
                </c:pt>
                <c:pt idx="135">
                  <c:v>0.28078817733990147</c:v>
                </c:pt>
                <c:pt idx="136">
                  <c:v>0.27710843373493976</c:v>
                </c:pt>
                <c:pt idx="137">
                  <c:v>0.22727272727272727</c:v>
                </c:pt>
                <c:pt idx="138">
                  <c:v>0.23577235772357724</c:v>
                </c:pt>
                <c:pt idx="139">
                  <c:v>0.5213675213675214</c:v>
                </c:pt>
                <c:pt idx="140">
                  <c:v>0.31775700934579437</c:v>
                </c:pt>
                <c:pt idx="141">
                  <c:v>0.26016260162601629</c:v>
                </c:pt>
                <c:pt idx="142">
                  <c:v>0.34507042253521125</c:v>
                </c:pt>
                <c:pt idx="143">
                  <c:v>0.25824175824175827</c:v>
                </c:pt>
                <c:pt idx="144">
                  <c:v>0.24611398963730569</c:v>
                </c:pt>
                <c:pt idx="145">
                  <c:v>0.22994652406417113</c:v>
                </c:pt>
                <c:pt idx="146">
                  <c:v>0.21072088724584104</c:v>
                </c:pt>
                <c:pt idx="147">
                  <c:v>0.17794970986460348</c:v>
                </c:pt>
                <c:pt idx="148">
                  <c:v>0.1619718309859155</c:v>
                </c:pt>
                <c:pt idx="149">
                  <c:v>0.25609756097560976</c:v>
                </c:pt>
                <c:pt idx="150">
                  <c:v>0.14599999999999999</c:v>
                </c:pt>
                <c:pt idx="151">
                  <c:v>0.11475409836065574</c:v>
                </c:pt>
                <c:pt idx="152">
                  <c:v>0.10893246187363835</c:v>
                </c:pt>
                <c:pt idx="153">
                  <c:v>0.10261569416498995</c:v>
                </c:pt>
                <c:pt idx="154">
                  <c:v>0.23411371237458195</c:v>
                </c:pt>
                <c:pt idx="155">
                  <c:v>0.19505494505494506</c:v>
                </c:pt>
                <c:pt idx="156">
                  <c:v>0.14974619289340102</c:v>
                </c:pt>
                <c:pt idx="157">
                  <c:v>0.13128491620111732</c:v>
                </c:pt>
                <c:pt idx="158">
                  <c:v>0.13500000000000001</c:v>
                </c:pt>
                <c:pt idx="159">
                  <c:v>0.21673003802281368</c:v>
                </c:pt>
                <c:pt idx="160">
                  <c:v>0.22388059701492538</c:v>
                </c:pt>
                <c:pt idx="161">
                  <c:v>0.28285714285714286</c:v>
                </c:pt>
                <c:pt idx="162">
                  <c:v>0.23191489361702128</c:v>
                </c:pt>
                <c:pt idx="163">
                  <c:v>0.12471655328798185</c:v>
                </c:pt>
                <c:pt idx="164">
                  <c:v>0.10319410319410319</c:v>
                </c:pt>
                <c:pt idx="165">
                  <c:v>0.13409090909090909</c:v>
                </c:pt>
                <c:pt idx="166">
                  <c:v>0.12173913043478261</c:v>
                </c:pt>
                <c:pt idx="167">
                  <c:v>0.13079019073569481</c:v>
                </c:pt>
                <c:pt idx="168">
                  <c:v>0.14285714285714285</c:v>
                </c:pt>
                <c:pt idx="169">
                  <c:v>0.18207282913165265</c:v>
                </c:pt>
                <c:pt idx="170">
                  <c:v>0.12471655328798185</c:v>
                </c:pt>
                <c:pt idx="171">
                  <c:v>0.13513513513513514</c:v>
                </c:pt>
                <c:pt idx="172">
                  <c:v>0.42215568862275449</c:v>
                </c:pt>
                <c:pt idx="173">
                  <c:v>0.27176781002638523</c:v>
                </c:pt>
                <c:pt idx="174">
                  <c:v>0.2124756335282651</c:v>
                </c:pt>
                <c:pt idx="175">
                  <c:v>0.18480492813141683</c:v>
                </c:pt>
                <c:pt idx="176">
                  <c:v>0.17001828153564899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44-4DF4-BFD8-BB8470CFB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52399"/>
        <c:axId val="341704415"/>
      </c:scatterChart>
      <c:valAx>
        <c:axId val="464752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04415"/>
        <c:crosses val="autoZero"/>
        <c:crossBetween val="midCat"/>
      </c:valAx>
      <c:valAx>
        <c:axId val="341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P132 Port Dickson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906824146981626E-3"/>
                  <c:y val="0.2953674540682415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RaceWorksheet!$M$2:$M$178</c:f>
              <c:numCache>
                <c:formatCode>0.0%</c:formatCode>
                <c:ptCount val="177"/>
                <c:pt idx="0">
                  <c:v>0.40749999999999997</c:v>
                </c:pt>
                <c:pt idx="1">
                  <c:v>0.36749999999999999</c:v>
                </c:pt>
                <c:pt idx="2">
                  <c:v>0.41411764705882353</c:v>
                </c:pt>
                <c:pt idx="3">
                  <c:v>0.41164658634538154</c:v>
                </c:pt>
                <c:pt idx="4">
                  <c:v>0.76</c:v>
                </c:pt>
                <c:pt idx="5">
                  <c:v>0.37555555555555553</c:v>
                </c:pt>
                <c:pt idx="6">
                  <c:v>0.34836702954898913</c:v>
                </c:pt>
                <c:pt idx="7">
                  <c:v>0.36180124223602483</c:v>
                </c:pt>
                <c:pt idx="8">
                  <c:v>7.9113924050632917E-2</c:v>
                </c:pt>
                <c:pt idx="9">
                  <c:v>0.21555555555555556</c:v>
                </c:pt>
                <c:pt idx="10">
                  <c:v>0.28000000000000003</c:v>
                </c:pt>
                <c:pt idx="11">
                  <c:v>0.22953451043338685</c:v>
                </c:pt>
                <c:pt idx="12">
                  <c:v>9.1492776886035312E-2</c:v>
                </c:pt>
                <c:pt idx="13">
                  <c:v>7.1999999999999995E-2</c:v>
                </c:pt>
                <c:pt idx="14">
                  <c:v>0.15777777777777777</c:v>
                </c:pt>
                <c:pt idx="15">
                  <c:v>0.1111111111111111</c:v>
                </c:pt>
                <c:pt idx="16">
                  <c:v>0.11055276381909548</c:v>
                </c:pt>
                <c:pt idx="17">
                  <c:v>0.12897822445561138</c:v>
                </c:pt>
                <c:pt idx="18">
                  <c:v>0.19262981574539365</c:v>
                </c:pt>
                <c:pt idx="19">
                  <c:v>0.33333333333333331</c:v>
                </c:pt>
                <c:pt idx="20">
                  <c:v>4.2222222222222223E-2</c:v>
                </c:pt>
                <c:pt idx="21">
                  <c:v>6.7586206896551718E-2</c:v>
                </c:pt>
                <c:pt idx="22">
                  <c:v>6.6666666666666666E-2</c:v>
                </c:pt>
                <c:pt idx="23">
                  <c:v>7.3333333333333334E-2</c:v>
                </c:pt>
                <c:pt idx="24">
                  <c:v>9.7345132743362831E-2</c:v>
                </c:pt>
                <c:pt idx="25">
                  <c:v>0.14867256637168141</c:v>
                </c:pt>
                <c:pt idx="26">
                  <c:v>0.156140350877193</c:v>
                </c:pt>
                <c:pt idx="27">
                  <c:v>0.10553633217993079</c:v>
                </c:pt>
                <c:pt idx="28">
                  <c:v>4.6666666666666669E-2</c:v>
                </c:pt>
                <c:pt idx="29">
                  <c:v>0.10869565217391304</c:v>
                </c:pt>
                <c:pt idx="30">
                  <c:v>2.4096385542168676E-2</c:v>
                </c:pt>
                <c:pt idx="31">
                  <c:v>0.52</c:v>
                </c:pt>
                <c:pt idx="32">
                  <c:v>0.48</c:v>
                </c:pt>
                <c:pt idx="33">
                  <c:v>0.52230215827338133</c:v>
                </c:pt>
                <c:pt idx="34">
                  <c:v>0.53448275862068961</c:v>
                </c:pt>
                <c:pt idx="35">
                  <c:v>0.44396551724137934</c:v>
                </c:pt>
                <c:pt idx="36">
                  <c:v>0.38505747126436779</c:v>
                </c:pt>
                <c:pt idx="37">
                  <c:v>0.36285714285714288</c:v>
                </c:pt>
                <c:pt idx="38">
                  <c:v>0.29333333333333333</c:v>
                </c:pt>
                <c:pt idx="39">
                  <c:v>0.34222222222222221</c:v>
                </c:pt>
                <c:pt idx="40">
                  <c:v>0.42265193370165743</c:v>
                </c:pt>
                <c:pt idx="41">
                  <c:v>0.35359116022099446</c:v>
                </c:pt>
                <c:pt idx="42">
                  <c:v>0.38758620689655171</c:v>
                </c:pt>
                <c:pt idx="43">
                  <c:v>0.12888888888888889</c:v>
                </c:pt>
                <c:pt idx="44">
                  <c:v>0.16666666666666666</c:v>
                </c:pt>
                <c:pt idx="45">
                  <c:v>0.14666666666666667</c:v>
                </c:pt>
                <c:pt idx="46">
                  <c:v>0.15479876160990713</c:v>
                </c:pt>
                <c:pt idx="47">
                  <c:v>0.16873065015479877</c:v>
                </c:pt>
                <c:pt idx="48">
                  <c:v>0.20897832817337461</c:v>
                </c:pt>
                <c:pt idx="49">
                  <c:v>0.23065015479876161</c:v>
                </c:pt>
                <c:pt idx="50">
                  <c:v>0.22755417956656346</c:v>
                </c:pt>
                <c:pt idx="51">
                  <c:v>0.18083462132921174</c:v>
                </c:pt>
                <c:pt idx="52">
                  <c:v>9.7777777777777783E-2</c:v>
                </c:pt>
                <c:pt idx="53">
                  <c:v>7.3333333333333334E-2</c:v>
                </c:pt>
                <c:pt idx="54">
                  <c:v>0.13111111111111112</c:v>
                </c:pt>
                <c:pt idx="55">
                  <c:v>0.18825561312607944</c:v>
                </c:pt>
                <c:pt idx="56">
                  <c:v>0.20689655172413793</c:v>
                </c:pt>
                <c:pt idx="57">
                  <c:v>0.20862068965517241</c:v>
                </c:pt>
                <c:pt idx="58">
                  <c:v>0.28275862068965518</c:v>
                </c:pt>
                <c:pt idx="59">
                  <c:v>0.13777777777777778</c:v>
                </c:pt>
                <c:pt idx="60">
                  <c:v>0.1</c:v>
                </c:pt>
                <c:pt idx="61">
                  <c:v>0.11023622047244094</c:v>
                </c:pt>
                <c:pt idx="62">
                  <c:v>0.16692913385826771</c:v>
                </c:pt>
                <c:pt idx="63">
                  <c:v>0.14803149606299212</c:v>
                </c:pt>
                <c:pt idx="64">
                  <c:v>0.18267716535433071</c:v>
                </c:pt>
                <c:pt idx="65">
                  <c:v>0.1952755905511811</c:v>
                </c:pt>
                <c:pt idx="66">
                  <c:v>0.18495297805642633</c:v>
                </c:pt>
                <c:pt idx="67">
                  <c:v>0.4022222222222222</c:v>
                </c:pt>
                <c:pt idx="68">
                  <c:v>0.3888888888888889</c:v>
                </c:pt>
                <c:pt idx="69">
                  <c:v>0.323943661971831</c:v>
                </c:pt>
                <c:pt idx="70">
                  <c:v>0.29577464788732394</c:v>
                </c:pt>
                <c:pt idx="71">
                  <c:v>0.25978090766823159</c:v>
                </c:pt>
                <c:pt idx="72">
                  <c:v>0.27073552425665104</c:v>
                </c:pt>
                <c:pt idx="73">
                  <c:v>0.27073552425665104</c:v>
                </c:pt>
                <c:pt idx="74">
                  <c:v>0.86243386243386244</c:v>
                </c:pt>
                <c:pt idx="75">
                  <c:v>0.77200000000000002</c:v>
                </c:pt>
                <c:pt idx="76">
                  <c:v>0.76878612716763006</c:v>
                </c:pt>
                <c:pt idx="77">
                  <c:v>0.73224043715846998</c:v>
                </c:pt>
                <c:pt idx="78">
                  <c:v>0.5971428571428572</c:v>
                </c:pt>
                <c:pt idx="79">
                  <c:v>0.63785046728971961</c:v>
                </c:pt>
                <c:pt idx="80">
                  <c:v>0.12888888888888889</c:v>
                </c:pt>
                <c:pt idx="81">
                  <c:v>3.6480686695278972E-2</c:v>
                </c:pt>
                <c:pt idx="82">
                  <c:v>8.5836909871244635E-2</c:v>
                </c:pt>
                <c:pt idx="83">
                  <c:v>0.1</c:v>
                </c:pt>
                <c:pt idx="84">
                  <c:v>0.08</c:v>
                </c:pt>
                <c:pt idx="85">
                  <c:v>9.8550724637681164E-2</c:v>
                </c:pt>
                <c:pt idx="86">
                  <c:v>5.5072463768115941E-2</c:v>
                </c:pt>
                <c:pt idx="87">
                  <c:v>4.3352601156069363E-2</c:v>
                </c:pt>
                <c:pt idx="88">
                  <c:v>3.7463976945244955E-2</c:v>
                </c:pt>
                <c:pt idx="89">
                  <c:v>0.10222222222222223</c:v>
                </c:pt>
                <c:pt idx="90">
                  <c:v>9.1111111111111115E-2</c:v>
                </c:pt>
                <c:pt idx="91">
                  <c:v>4.7913446676970631E-2</c:v>
                </c:pt>
                <c:pt idx="92">
                  <c:v>8.6553323029366303E-2</c:v>
                </c:pt>
                <c:pt idx="93">
                  <c:v>6.4914992272024727E-2</c:v>
                </c:pt>
                <c:pt idx="94">
                  <c:v>6.9551777434312206E-2</c:v>
                </c:pt>
                <c:pt idx="95">
                  <c:v>7.7777777777777779E-2</c:v>
                </c:pt>
                <c:pt idx="96">
                  <c:v>6.8888888888888888E-2</c:v>
                </c:pt>
                <c:pt idx="97">
                  <c:v>8.666666666666667E-2</c:v>
                </c:pt>
                <c:pt idx="98">
                  <c:v>0.10104011887072809</c:v>
                </c:pt>
                <c:pt idx="99">
                  <c:v>8.3209509658246653E-2</c:v>
                </c:pt>
                <c:pt idx="100">
                  <c:v>6.9732937685459948E-2</c:v>
                </c:pt>
                <c:pt idx="101">
                  <c:v>6.8148148148148152E-2</c:v>
                </c:pt>
                <c:pt idx="102">
                  <c:v>2.6666666666666668E-2</c:v>
                </c:pt>
                <c:pt idx="103">
                  <c:v>1.4471780028943559E-2</c:v>
                </c:pt>
                <c:pt idx="104">
                  <c:v>6.6570188133140376E-2</c:v>
                </c:pt>
                <c:pt idx="105">
                  <c:v>3.7626628075253257E-2</c:v>
                </c:pt>
                <c:pt idx="106">
                  <c:v>2.0260492040520984E-2</c:v>
                </c:pt>
                <c:pt idx="107">
                  <c:v>1.8813314037626629E-2</c:v>
                </c:pt>
                <c:pt idx="108">
                  <c:v>0.38666666666666666</c:v>
                </c:pt>
                <c:pt idx="109">
                  <c:v>0.45249597423510468</c:v>
                </c:pt>
                <c:pt idx="110">
                  <c:v>0.23555555555555555</c:v>
                </c:pt>
                <c:pt idx="111">
                  <c:v>0.26666666666666666</c:v>
                </c:pt>
                <c:pt idx="112">
                  <c:v>0.2336</c:v>
                </c:pt>
                <c:pt idx="113">
                  <c:v>0.19488817891373802</c:v>
                </c:pt>
                <c:pt idx="114">
                  <c:v>0.2</c:v>
                </c:pt>
                <c:pt idx="115">
                  <c:v>0.27272727272727271</c:v>
                </c:pt>
                <c:pt idx="116">
                  <c:v>0.21083172147001933</c:v>
                </c:pt>
                <c:pt idx="117">
                  <c:v>3.111111111111111E-2</c:v>
                </c:pt>
                <c:pt idx="118">
                  <c:v>4.6728971962616821E-2</c:v>
                </c:pt>
                <c:pt idx="119">
                  <c:v>0.10261194029850747</c:v>
                </c:pt>
                <c:pt idx="120">
                  <c:v>0.68285714285714283</c:v>
                </c:pt>
                <c:pt idx="121">
                  <c:v>0.74549098196392782</c:v>
                </c:pt>
                <c:pt idx="122">
                  <c:v>2.2222222222222222E-3</c:v>
                </c:pt>
                <c:pt idx="123">
                  <c:v>1.7452006980802792E-2</c:v>
                </c:pt>
                <c:pt idx="124">
                  <c:v>3.3158813263525308E-2</c:v>
                </c:pt>
                <c:pt idx="125">
                  <c:v>1.7421602787456445E-2</c:v>
                </c:pt>
                <c:pt idx="126">
                  <c:v>1.5209125475285171E-2</c:v>
                </c:pt>
                <c:pt idx="127">
                  <c:v>7.7777777777777779E-2</c:v>
                </c:pt>
                <c:pt idx="128">
                  <c:v>9.555555555555556E-2</c:v>
                </c:pt>
                <c:pt idx="129">
                  <c:v>0.10801393728222997</c:v>
                </c:pt>
                <c:pt idx="130">
                  <c:v>0.1132404181184669</c:v>
                </c:pt>
                <c:pt idx="131">
                  <c:v>0.1132404181184669</c:v>
                </c:pt>
                <c:pt idx="132">
                  <c:v>0.14608695652173914</c:v>
                </c:pt>
                <c:pt idx="133">
                  <c:v>0.29333333333333333</c:v>
                </c:pt>
                <c:pt idx="134">
                  <c:v>0.25777777777777777</c:v>
                </c:pt>
                <c:pt idx="135">
                  <c:v>0.17619783616692428</c:v>
                </c:pt>
                <c:pt idx="136">
                  <c:v>0.19319938176197837</c:v>
                </c:pt>
                <c:pt idx="137">
                  <c:v>0.21638330757341576</c:v>
                </c:pt>
                <c:pt idx="138">
                  <c:v>0.27932098765432101</c:v>
                </c:pt>
                <c:pt idx="139">
                  <c:v>0.21777777777777776</c:v>
                </c:pt>
                <c:pt idx="140">
                  <c:v>0.19501466275659823</c:v>
                </c:pt>
                <c:pt idx="141">
                  <c:v>0.14076246334310852</c:v>
                </c:pt>
                <c:pt idx="142">
                  <c:v>0.18222222222222223</c:v>
                </c:pt>
                <c:pt idx="143">
                  <c:v>0.21777777777777776</c:v>
                </c:pt>
                <c:pt idx="144">
                  <c:v>0.19777777777777777</c:v>
                </c:pt>
                <c:pt idx="145">
                  <c:v>0.17579250720461095</c:v>
                </c:pt>
                <c:pt idx="146">
                  <c:v>0.12680115273775217</c:v>
                </c:pt>
                <c:pt idx="147">
                  <c:v>8.645533141210375E-2</c:v>
                </c:pt>
                <c:pt idx="148">
                  <c:v>6.0431654676258995E-2</c:v>
                </c:pt>
                <c:pt idx="149">
                  <c:v>0.33555555555555555</c:v>
                </c:pt>
                <c:pt idx="150">
                  <c:v>0.27113237639553428</c:v>
                </c:pt>
                <c:pt idx="151">
                  <c:v>0.17224880382775121</c:v>
                </c:pt>
                <c:pt idx="152">
                  <c:v>0.16427432216905902</c:v>
                </c:pt>
                <c:pt idx="153">
                  <c:v>0.15445859872611464</c:v>
                </c:pt>
                <c:pt idx="154">
                  <c:v>0.30888888888888888</c:v>
                </c:pt>
                <c:pt idx="155">
                  <c:v>0.39555555555555555</c:v>
                </c:pt>
                <c:pt idx="156">
                  <c:v>0.37424547283702214</c:v>
                </c:pt>
                <c:pt idx="157">
                  <c:v>0.26961770623742454</c:v>
                </c:pt>
                <c:pt idx="158">
                  <c:v>0.27108433734939757</c:v>
                </c:pt>
                <c:pt idx="159">
                  <c:v>0.47555555555555556</c:v>
                </c:pt>
                <c:pt idx="160">
                  <c:v>0.48888888888888887</c:v>
                </c:pt>
                <c:pt idx="161">
                  <c:v>0.43111111111111111</c:v>
                </c:pt>
                <c:pt idx="162">
                  <c:v>0.42833333333333334</c:v>
                </c:pt>
                <c:pt idx="163">
                  <c:v>0.38666666666666666</c:v>
                </c:pt>
                <c:pt idx="164">
                  <c:v>0.30333333333333334</c:v>
                </c:pt>
                <c:pt idx="165">
                  <c:v>0.25747508305647843</c:v>
                </c:pt>
                <c:pt idx="166">
                  <c:v>0.26</c:v>
                </c:pt>
                <c:pt idx="167">
                  <c:v>0.23333333333333334</c:v>
                </c:pt>
                <c:pt idx="168">
                  <c:v>0.24888888888888888</c:v>
                </c:pt>
                <c:pt idx="169">
                  <c:v>0.22494887525562371</c:v>
                </c:pt>
                <c:pt idx="170">
                  <c:v>0.22699386503067484</c:v>
                </c:pt>
                <c:pt idx="171">
                  <c:v>0.20408163265306123</c:v>
                </c:pt>
                <c:pt idx="172">
                  <c:v>0.46666666666666667</c:v>
                </c:pt>
                <c:pt idx="173">
                  <c:v>0.4777777777777778</c:v>
                </c:pt>
                <c:pt idx="174">
                  <c:v>0.44948755490483161</c:v>
                </c:pt>
                <c:pt idx="175">
                  <c:v>0.36896046852122988</c:v>
                </c:pt>
                <c:pt idx="176">
                  <c:v>0.34744525547445254</c:v>
                </c:pt>
              </c:numCache>
            </c:numRef>
          </c:xVal>
          <c:yVal>
            <c:numRef>
              <c:f>RaceWorksheet!$A$2:$A$178</c:f>
              <c:numCache>
                <c:formatCode>0.0%</c:formatCode>
                <c:ptCount val="177"/>
                <c:pt idx="0">
                  <c:v>0.65106382978723409</c:v>
                </c:pt>
                <c:pt idx="1">
                  <c:v>0.69366197183098588</c:v>
                </c:pt>
                <c:pt idx="2">
                  <c:v>0.71052631578947367</c:v>
                </c:pt>
                <c:pt idx="3">
                  <c:v>0.70707070707070707</c:v>
                </c:pt>
                <c:pt idx="4">
                  <c:v>0.62694300518134716</c:v>
                </c:pt>
                <c:pt idx="5">
                  <c:v>0.82165605095541405</c:v>
                </c:pt>
                <c:pt idx="6">
                  <c:v>0.69298245614035092</c:v>
                </c:pt>
                <c:pt idx="7">
                  <c:v>0.78870292887029292</c:v>
                </c:pt>
                <c:pt idx="8">
                  <c:v>0.73541666666666672</c:v>
                </c:pt>
                <c:pt idx="9">
                  <c:v>0.64308681672025725</c:v>
                </c:pt>
                <c:pt idx="10">
                  <c:v>0.58221024258760112</c:v>
                </c:pt>
                <c:pt idx="11">
                  <c:v>0.651685393258427</c:v>
                </c:pt>
                <c:pt idx="12">
                  <c:v>0.62632696390658171</c:v>
                </c:pt>
                <c:pt idx="13">
                  <c:v>0.55000000000000004</c:v>
                </c:pt>
                <c:pt idx="14">
                  <c:v>0.75328947368421051</c:v>
                </c:pt>
                <c:pt idx="15">
                  <c:v>0.83656509695290859</c:v>
                </c:pt>
                <c:pt idx="16">
                  <c:v>0.8</c:v>
                </c:pt>
                <c:pt idx="17">
                  <c:v>0.87892376681614348</c:v>
                </c:pt>
                <c:pt idx="18">
                  <c:v>0.85874439461883412</c:v>
                </c:pt>
                <c:pt idx="19">
                  <c:v>0.84421052631578952</c:v>
                </c:pt>
                <c:pt idx="20">
                  <c:v>0.7288629737609329</c:v>
                </c:pt>
                <c:pt idx="21">
                  <c:v>0.83395522388059706</c:v>
                </c:pt>
                <c:pt idx="22">
                  <c:v>0.51249999999999996</c:v>
                </c:pt>
                <c:pt idx="23">
                  <c:v>0.54933333333333334</c:v>
                </c:pt>
                <c:pt idx="24">
                  <c:v>0.58008658008658009</c:v>
                </c:pt>
                <c:pt idx="25">
                  <c:v>0.55974842767295596</c:v>
                </c:pt>
                <c:pt idx="26">
                  <c:v>0.64318181818181819</c:v>
                </c:pt>
                <c:pt idx="27">
                  <c:v>0.48695652173913045</c:v>
                </c:pt>
                <c:pt idx="28">
                  <c:v>0.28125</c:v>
                </c:pt>
                <c:pt idx="29">
                  <c:v>0.34810126582278483</c:v>
                </c:pt>
                <c:pt idx="30">
                  <c:v>0.25</c:v>
                </c:pt>
                <c:pt idx="31">
                  <c:v>0.63091482649842268</c:v>
                </c:pt>
                <c:pt idx="32">
                  <c:v>0.56613756613756616</c:v>
                </c:pt>
                <c:pt idx="33">
                  <c:v>0.66958041958041958</c:v>
                </c:pt>
                <c:pt idx="34">
                  <c:v>0.70425138632162665</c:v>
                </c:pt>
                <c:pt idx="35">
                  <c:v>0.61689587426326131</c:v>
                </c:pt>
                <c:pt idx="36">
                  <c:v>0.62068965517241381</c:v>
                </c:pt>
                <c:pt idx="37">
                  <c:v>0.56994818652849744</c:v>
                </c:pt>
                <c:pt idx="38">
                  <c:v>0.75147928994082835</c:v>
                </c:pt>
                <c:pt idx="39">
                  <c:v>0.71276595744680848</c:v>
                </c:pt>
                <c:pt idx="40">
                  <c:v>0.77163904235727443</c:v>
                </c:pt>
                <c:pt idx="41">
                  <c:v>0.77052238805970152</c:v>
                </c:pt>
                <c:pt idx="42">
                  <c:v>0.71633752244165172</c:v>
                </c:pt>
                <c:pt idx="43">
                  <c:v>0.76872964169381108</c:v>
                </c:pt>
                <c:pt idx="44">
                  <c:v>0.79234972677595628</c:v>
                </c:pt>
                <c:pt idx="45">
                  <c:v>0.8262032085561497</c:v>
                </c:pt>
                <c:pt idx="46">
                  <c:v>0.81285444234404536</c:v>
                </c:pt>
                <c:pt idx="47">
                  <c:v>0.8661257606490872</c:v>
                </c:pt>
                <c:pt idx="48">
                  <c:v>0.87396694214876036</c:v>
                </c:pt>
                <c:pt idx="49">
                  <c:v>0.80982905982905984</c:v>
                </c:pt>
                <c:pt idx="50">
                  <c:v>0.78418803418803418</c:v>
                </c:pt>
                <c:pt idx="51">
                  <c:v>0.77842003853564545</c:v>
                </c:pt>
                <c:pt idx="52">
                  <c:v>0.80528052805280526</c:v>
                </c:pt>
                <c:pt idx="53">
                  <c:v>0.80158730158730163</c:v>
                </c:pt>
                <c:pt idx="54">
                  <c:v>0.79629629629629628</c:v>
                </c:pt>
                <c:pt idx="55">
                  <c:v>0.75854700854700852</c:v>
                </c:pt>
                <c:pt idx="56">
                  <c:v>0.68564920273348517</c:v>
                </c:pt>
                <c:pt idx="57">
                  <c:v>0.6967592592592593</c:v>
                </c:pt>
                <c:pt idx="58">
                  <c:v>0.67653758542141229</c:v>
                </c:pt>
                <c:pt idx="59">
                  <c:v>0.79084967320261434</c:v>
                </c:pt>
                <c:pt idx="60">
                  <c:v>0.89528795811518325</c:v>
                </c:pt>
                <c:pt idx="61">
                  <c:v>0.89130434782608692</c:v>
                </c:pt>
                <c:pt idx="62">
                  <c:v>0.85835095137420714</c:v>
                </c:pt>
                <c:pt idx="63">
                  <c:v>0.84913793103448276</c:v>
                </c:pt>
                <c:pt idx="64">
                  <c:v>0.84868421052631582</c:v>
                </c:pt>
                <c:pt idx="65">
                  <c:v>0.85809312638580926</c:v>
                </c:pt>
                <c:pt idx="66">
                  <c:v>0.84631147540983609</c:v>
                </c:pt>
                <c:pt idx="67">
                  <c:v>0.70977917981072558</c:v>
                </c:pt>
                <c:pt idx="68">
                  <c:v>0.77049180327868849</c:v>
                </c:pt>
                <c:pt idx="69">
                  <c:v>0.80327868852459017</c:v>
                </c:pt>
                <c:pt idx="70">
                  <c:v>0.78678038379530912</c:v>
                </c:pt>
                <c:pt idx="71">
                  <c:v>0.76744186046511631</c:v>
                </c:pt>
                <c:pt idx="72">
                  <c:v>0.76993166287015946</c:v>
                </c:pt>
                <c:pt idx="73">
                  <c:v>0.78476190476190477</c:v>
                </c:pt>
                <c:pt idx="74">
                  <c:v>0.68181818181818177</c:v>
                </c:pt>
                <c:pt idx="75">
                  <c:v>0.57988165680473369</c:v>
                </c:pt>
                <c:pt idx="76">
                  <c:v>0.66548042704626331</c:v>
                </c:pt>
                <c:pt idx="77">
                  <c:v>0.57518796992481203</c:v>
                </c:pt>
                <c:pt idx="78">
                  <c:v>0.60747663551401865</c:v>
                </c:pt>
                <c:pt idx="79">
                  <c:v>0.60559006211180122</c:v>
                </c:pt>
                <c:pt idx="80">
                  <c:v>0.30327868852459017</c:v>
                </c:pt>
                <c:pt idx="81">
                  <c:v>0.13756613756613756</c:v>
                </c:pt>
                <c:pt idx="82">
                  <c:v>0.27932960893854747</c:v>
                </c:pt>
                <c:pt idx="83">
                  <c:v>0.21828908554572271</c:v>
                </c:pt>
                <c:pt idx="84">
                  <c:v>0.25459317585301838</c:v>
                </c:pt>
                <c:pt idx="85">
                  <c:v>0.25636363636363635</c:v>
                </c:pt>
                <c:pt idx="86">
                  <c:v>0.25595238095238093</c:v>
                </c:pt>
                <c:pt idx="87">
                  <c:v>0.30245746691871456</c:v>
                </c:pt>
                <c:pt idx="88">
                  <c:v>0.26630434782608697</c:v>
                </c:pt>
                <c:pt idx="89">
                  <c:v>0.25</c:v>
                </c:pt>
                <c:pt idx="90">
                  <c:v>0.21680216802168023</c:v>
                </c:pt>
                <c:pt idx="91">
                  <c:v>0.22717149220489977</c:v>
                </c:pt>
                <c:pt idx="92">
                  <c:v>0.27171492204899778</c:v>
                </c:pt>
                <c:pt idx="93">
                  <c:v>0.2839506172839506</c:v>
                </c:pt>
                <c:pt idx="94">
                  <c:v>0.28117913832199548</c:v>
                </c:pt>
                <c:pt idx="95">
                  <c:v>0.47232472324723246</c:v>
                </c:pt>
                <c:pt idx="96">
                  <c:v>0.45772594752186591</c:v>
                </c:pt>
                <c:pt idx="97">
                  <c:v>0.44141689373297005</c:v>
                </c:pt>
                <c:pt idx="98">
                  <c:v>0.44337811900191937</c:v>
                </c:pt>
                <c:pt idx="99">
                  <c:v>0.40292275574112735</c:v>
                </c:pt>
                <c:pt idx="100">
                  <c:v>0.3907563025210084</c:v>
                </c:pt>
                <c:pt idx="101">
                  <c:v>0.395985401459854</c:v>
                </c:pt>
                <c:pt idx="102">
                  <c:v>0.12737127371273713</c:v>
                </c:pt>
                <c:pt idx="103">
                  <c:v>0.12758620689655173</c:v>
                </c:pt>
                <c:pt idx="104">
                  <c:v>0.21327967806841047</c:v>
                </c:pt>
                <c:pt idx="105">
                  <c:v>0.22690763052208834</c:v>
                </c:pt>
                <c:pt idx="106">
                  <c:v>0.19666048237476808</c:v>
                </c:pt>
                <c:pt idx="107">
                  <c:v>0.15355805243445692</c:v>
                </c:pt>
                <c:pt idx="108">
                  <c:v>0.64634146341463417</c:v>
                </c:pt>
                <c:pt idx="109">
                  <c:v>0.67741935483870963</c:v>
                </c:pt>
                <c:pt idx="110">
                  <c:v>0.34228187919463088</c:v>
                </c:pt>
                <c:pt idx="111">
                  <c:v>0.42450142450142453</c:v>
                </c:pt>
                <c:pt idx="112">
                  <c:v>0.35714285714285715</c:v>
                </c:pt>
                <c:pt idx="113">
                  <c:v>0.38775510204081631</c:v>
                </c:pt>
                <c:pt idx="114">
                  <c:v>0.5</c:v>
                </c:pt>
                <c:pt idx="115">
                  <c:v>0.58033573141486805</c:v>
                </c:pt>
                <c:pt idx="116">
                  <c:v>0.46715328467153283</c:v>
                </c:pt>
                <c:pt idx="117">
                  <c:v>0.59682539682539681</c:v>
                </c:pt>
                <c:pt idx="118">
                  <c:v>0.5890736342042755</c:v>
                </c:pt>
                <c:pt idx="119">
                  <c:v>0.47826086956521741</c:v>
                </c:pt>
                <c:pt idx="120">
                  <c:v>0.57794676806083645</c:v>
                </c:pt>
                <c:pt idx="121">
                  <c:v>0.6649746192893401</c:v>
                </c:pt>
                <c:pt idx="122">
                  <c:v>0.19327731092436976</c:v>
                </c:pt>
                <c:pt idx="123">
                  <c:v>0.19547325102880658</c:v>
                </c:pt>
                <c:pt idx="124">
                  <c:v>0.13151927437641722</c:v>
                </c:pt>
                <c:pt idx="125">
                  <c:v>0.10652173913043478</c:v>
                </c:pt>
                <c:pt idx="126">
                  <c:v>0.47602739726027399</c:v>
                </c:pt>
                <c:pt idx="127">
                  <c:v>0.41853932584269665</c:v>
                </c:pt>
                <c:pt idx="128">
                  <c:v>0.44708423326133911</c:v>
                </c:pt>
                <c:pt idx="129">
                  <c:v>0.46511627906976744</c:v>
                </c:pt>
                <c:pt idx="130">
                  <c:v>0.37922705314009664</c:v>
                </c:pt>
                <c:pt idx="131">
                  <c:v>0.36069114470842334</c:v>
                </c:pt>
                <c:pt idx="132">
                  <c:v>0.22857142857142856</c:v>
                </c:pt>
                <c:pt idx="133">
                  <c:v>0.25</c:v>
                </c:pt>
                <c:pt idx="134">
                  <c:v>0.38953488372093026</c:v>
                </c:pt>
                <c:pt idx="135">
                  <c:v>0.2857142857142857</c:v>
                </c:pt>
                <c:pt idx="136">
                  <c:v>0.30120481927710846</c:v>
                </c:pt>
                <c:pt idx="137">
                  <c:v>0.34090909090909088</c:v>
                </c:pt>
                <c:pt idx="138">
                  <c:v>0.37398373983739835</c:v>
                </c:pt>
                <c:pt idx="139">
                  <c:v>0.31339031339031337</c:v>
                </c:pt>
                <c:pt idx="140">
                  <c:v>0.34392523364485983</c:v>
                </c:pt>
                <c:pt idx="141">
                  <c:v>0.31097560975609756</c:v>
                </c:pt>
                <c:pt idx="142">
                  <c:v>0.48239436619718312</c:v>
                </c:pt>
                <c:pt idx="143">
                  <c:v>0.59340659340659341</c:v>
                </c:pt>
                <c:pt idx="144">
                  <c:v>0.48704663212435234</c:v>
                </c:pt>
                <c:pt idx="145">
                  <c:v>0.46345811051693403</c:v>
                </c:pt>
                <c:pt idx="146">
                  <c:v>0.46950092421441775</c:v>
                </c:pt>
                <c:pt idx="147">
                  <c:v>0.41392649903288203</c:v>
                </c:pt>
                <c:pt idx="148">
                  <c:v>0.37147887323943662</c:v>
                </c:pt>
                <c:pt idx="149">
                  <c:v>0.54878048780487809</c:v>
                </c:pt>
                <c:pt idx="150">
                  <c:v>0.68400000000000005</c:v>
                </c:pt>
                <c:pt idx="151">
                  <c:v>0.68149882903981263</c:v>
                </c:pt>
                <c:pt idx="152">
                  <c:v>0.6753812636165577</c:v>
                </c:pt>
                <c:pt idx="153">
                  <c:v>0.65191146881287731</c:v>
                </c:pt>
                <c:pt idx="154">
                  <c:v>0.65886287625418061</c:v>
                </c:pt>
                <c:pt idx="155">
                  <c:v>0.73351648351648346</c:v>
                </c:pt>
                <c:pt idx="156">
                  <c:v>0.74365482233502533</c:v>
                </c:pt>
                <c:pt idx="157">
                  <c:v>0.73743016759776536</c:v>
                </c:pt>
                <c:pt idx="158">
                  <c:v>0.70499999999999996</c:v>
                </c:pt>
                <c:pt idx="159">
                  <c:v>0.68441064638783267</c:v>
                </c:pt>
                <c:pt idx="160">
                  <c:v>0.68358208955223876</c:v>
                </c:pt>
                <c:pt idx="161">
                  <c:v>0.60571428571428576</c:v>
                </c:pt>
                <c:pt idx="162">
                  <c:v>0.68510638297872339</c:v>
                </c:pt>
                <c:pt idx="163">
                  <c:v>0.76870748299319724</c:v>
                </c:pt>
                <c:pt idx="164">
                  <c:v>0.7665847665847666</c:v>
                </c:pt>
                <c:pt idx="165">
                  <c:v>0.6886363636363636</c:v>
                </c:pt>
                <c:pt idx="166">
                  <c:v>0.82173913043478264</c:v>
                </c:pt>
                <c:pt idx="167">
                  <c:v>0.66485013623978206</c:v>
                </c:pt>
                <c:pt idx="168">
                  <c:v>0.70262390670553931</c:v>
                </c:pt>
                <c:pt idx="169">
                  <c:v>0.66386554621848737</c:v>
                </c:pt>
                <c:pt idx="170">
                  <c:v>0.76870748299319724</c:v>
                </c:pt>
                <c:pt idx="171">
                  <c:v>0.60060060060060061</c:v>
                </c:pt>
                <c:pt idx="172">
                  <c:v>0.38922155688622756</c:v>
                </c:pt>
                <c:pt idx="173">
                  <c:v>0.59366754617414252</c:v>
                </c:pt>
                <c:pt idx="174">
                  <c:v>0.56530214424951264</c:v>
                </c:pt>
                <c:pt idx="175">
                  <c:v>0.52566735112936347</c:v>
                </c:pt>
                <c:pt idx="176">
                  <c:v>0.50457038391224862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C2-4802-B5BD-0B60BF1CB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52399"/>
        <c:axId val="341704415"/>
      </c:scatterChart>
      <c:valAx>
        <c:axId val="464752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04415"/>
        <c:crosses val="autoZero"/>
        <c:crossBetween val="midCat"/>
      </c:valAx>
      <c:valAx>
        <c:axId val="341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Indian% P132 Port Dickson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993219597550308E-2"/>
                  <c:y val="-0.41408719743365413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RaceWorksheet!$M$2:$M$178</c:f>
              <c:numCache>
                <c:formatCode>0.0%</c:formatCode>
                <c:ptCount val="177"/>
                <c:pt idx="0">
                  <c:v>0.40749999999999997</c:v>
                </c:pt>
                <c:pt idx="1">
                  <c:v>0.36749999999999999</c:v>
                </c:pt>
                <c:pt idx="2">
                  <c:v>0.41411764705882353</c:v>
                </c:pt>
                <c:pt idx="3">
                  <c:v>0.41164658634538154</c:v>
                </c:pt>
                <c:pt idx="4">
                  <c:v>0.76</c:v>
                </c:pt>
                <c:pt idx="5">
                  <c:v>0.37555555555555553</c:v>
                </c:pt>
                <c:pt idx="6">
                  <c:v>0.34836702954898913</c:v>
                </c:pt>
                <c:pt idx="7">
                  <c:v>0.36180124223602483</c:v>
                </c:pt>
                <c:pt idx="8">
                  <c:v>7.9113924050632917E-2</c:v>
                </c:pt>
                <c:pt idx="9">
                  <c:v>0.21555555555555556</c:v>
                </c:pt>
                <c:pt idx="10">
                  <c:v>0.28000000000000003</c:v>
                </c:pt>
                <c:pt idx="11">
                  <c:v>0.22953451043338685</c:v>
                </c:pt>
                <c:pt idx="12">
                  <c:v>9.1492776886035312E-2</c:v>
                </c:pt>
                <c:pt idx="13">
                  <c:v>7.1999999999999995E-2</c:v>
                </c:pt>
                <c:pt idx="14">
                  <c:v>0.15777777777777777</c:v>
                </c:pt>
                <c:pt idx="15">
                  <c:v>0.1111111111111111</c:v>
                </c:pt>
                <c:pt idx="16">
                  <c:v>0.11055276381909548</c:v>
                </c:pt>
                <c:pt idx="17">
                  <c:v>0.12897822445561138</c:v>
                </c:pt>
                <c:pt idx="18">
                  <c:v>0.19262981574539365</c:v>
                </c:pt>
                <c:pt idx="19">
                  <c:v>0.33333333333333331</c:v>
                </c:pt>
                <c:pt idx="20">
                  <c:v>4.2222222222222223E-2</c:v>
                </c:pt>
                <c:pt idx="21">
                  <c:v>6.7586206896551718E-2</c:v>
                </c:pt>
                <c:pt idx="22">
                  <c:v>6.6666666666666666E-2</c:v>
                </c:pt>
                <c:pt idx="23">
                  <c:v>7.3333333333333334E-2</c:v>
                </c:pt>
                <c:pt idx="24">
                  <c:v>9.7345132743362831E-2</c:v>
                </c:pt>
                <c:pt idx="25">
                  <c:v>0.14867256637168141</c:v>
                </c:pt>
                <c:pt idx="26">
                  <c:v>0.156140350877193</c:v>
                </c:pt>
                <c:pt idx="27">
                  <c:v>0.10553633217993079</c:v>
                </c:pt>
                <c:pt idx="28">
                  <c:v>4.6666666666666669E-2</c:v>
                </c:pt>
                <c:pt idx="29">
                  <c:v>0.10869565217391304</c:v>
                </c:pt>
                <c:pt idx="30">
                  <c:v>2.4096385542168676E-2</c:v>
                </c:pt>
                <c:pt idx="31">
                  <c:v>0.52</c:v>
                </c:pt>
                <c:pt idx="32">
                  <c:v>0.48</c:v>
                </c:pt>
                <c:pt idx="33">
                  <c:v>0.52230215827338133</c:v>
                </c:pt>
                <c:pt idx="34">
                  <c:v>0.53448275862068961</c:v>
                </c:pt>
                <c:pt idx="35">
                  <c:v>0.44396551724137934</c:v>
                </c:pt>
                <c:pt idx="36">
                  <c:v>0.38505747126436779</c:v>
                </c:pt>
                <c:pt idx="37">
                  <c:v>0.36285714285714288</c:v>
                </c:pt>
                <c:pt idx="38">
                  <c:v>0.29333333333333333</c:v>
                </c:pt>
                <c:pt idx="39">
                  <c:v>0.34222222222222221</c:v>
                </c:pt>
                <c:pt idx="40">
                  <c:v>0.42265193370165743</c:v>
                </c:pt>
                <c:pt idx="41">
                  <c:v>0.35359116022099446</c:v>
                </c:pt>
                <c:pt idx="42">
                  <c:v>0.38758620689655171</c:v>
                </c:pt>
                <c:pt idx="43">
                  <c:v>0.12888888888888889</c:v>
                </c:pt>
                <c:pt idx="44">
                  <c:v>0.16666666666666666</c:v>
                </c:pt>
                <c:pt idx="45">
                  <c:v>0.14666666666666667</c:v>
                </c:pt>
                <c:pt idx="46">
                  <c:v>0.15479876160990713</c:v>
                </c:pt>
                <c:pt idx="47">
                  <c:v>0.16873065015479877</c:v>
                </c:pt>
                <c:pt idx="48">
                  <c:v>0.20897832817337461</c:v>
                </c:pt>
                <c:pt idx="49">
                  <c:v>0.23065015479876161</c:v>
                </c:pt>
                <c:pt idx="50">
                  <c:v>0.22755417956656346</c:v>
                </c:pt>
                <c:pt idx="51">
                  <c:v>0.18083462132921174</c:v>
                </c:pt>
                <c:pt idx="52">
                  <c:v>9.7777777777777783E-2</c:v>
                </c:pt>
                <c:pt idx="53">
                  <c:v>7.3333333333333334E-2</c:v>
                </c:pt>
                <c:pt idx="54">
                  <c:v>0.13111111111111112</c:v>
                </c:pt>
                <c:pt idx="55">
                  <c:v>0.18825561312607944</c:v>
                </c:pt>
                <c:pt idx="56">
                  <c:v>0.20689655172413793</c:v>
                </c:pt>
                <c:pt idx="57">
                  <c:v>0.20862068965517241</c:v>
                </c:pt>
                <c:pt idx="58">
                  <c:v>0.28275862068965518</c:v>
                </c:pt>
                <c:pt idx="59">
                  <c:v>0.13777777777777778</c:v>
                </c:pt>
                <c:pt idx="60">
                  <c:v>0.1</c:v>
                </c:pt>
                <c:pt idx="61">
                  <c:v>0.11023622047244094</c:v>
                </c:pt>
                <c:pt idx="62">
                  <c:v>0.16692913385826771</c:v>
                </c:pt>
                <c:pt idx="63">
                  <c:v>0.14803149606299212</c:v>
                </c:pt>
                <c:pt idx="64">
                  <c:v>0.18267716535433071</c:v>
                </c:pt>
                <c:pt idx="65">
                  <c:v>0.1952755905511811</c:v>
                </c:pt>
                <c:pt idx="66">
                  <c:v>0.18495297805642633</c:v>
                </c:pt>
                <c:pt idx="67">
                  <c:v>0.4022222222222222</c:v>
                </c:pt>
                <c:pt idx="68">
                  <c:v>0.3888888888888889</c:v>
                </c:pt>
                <c:pt idx="69">
                  <c:v>0.323943661971831</c:v>
                </c:pt>
                <c:pt idx="70">
                  <c:v>0.29577464788732394</c:v>
                </c:pt>
                <c:pt idx="71">
                  <c:v>0.25978090766823159</c:v>
                </c:pt>
                <c:pt idx="72">
                  <c:v>0.27073552425665104</c:v>
                </c:pt>
                <c:pt idx="73">
                  <c:v>0.27073552425665104</c:v>
                </c:pt>
                <c:pt idx="74">
                  <c:v>0.86243386243386244</c:v>
                </c:pt>
                <c:pt idx="75">
                  <c:v>0.77200000000000002</c:v>
                </c:pt>
                <c:pt idx="76">
                  <c:v>0.76878612716763006</c:v>
                </c:pt>
                <c:pt idx="77">
                  <c:v>0.73224043715846998</c:v>
                </c:pt>
                <c:pt idx="78">
                  <c:v>0.5971428571428572</c:v>
                </c:pt>
                <c:pt idx="79">
                  <c:v>0.63785046728971961</c:v>
                </c:pt>
                <c:pt idx="80">
                  <c:v>0.12888888888888889</c:v>
                </c:pt>
                <c:pt idx="81">
                  <c:v>3.6480686695278972E-2</c:v>
                </c:pt>
                <c:pt idx="82">
                  <c:v>8.5836909871244635E-2</c:v>
                </c:pt>
                <c:pt idx="83">
                  <c:v>0.1</c:v>
                </c:pt>
                <c:pt idx="84">
                  <c:v>0.08</c:v>
                </c:pt>
                <c:pt idx="85">
                  <c:v>9.8550724637681164E-2</c:v>
                </c:pt>
                <c:pt idx="86">
                  <c:v>5.5072463768115941E-2</c:v>
                </c:pt>
                <c:pt idx="87">
                  <c:v>4.3352601156069363E-2</c:v>
                </c:pt>
                <c:pt idx="88">
                  <c:v>3.7463976945244955E-2</c:v>
                </c:pt>
                <c:pt idx="89">
                  <c:v>0.10222222222222223</c:v>
                </c:pt>
                <c:pt idx="90">
                  <c:v>9.1111111111111115E-2</c:v>
                </c:pt>
                <c:pt idx="91">
                  <c:v>4.7913446676970631E-2</c:v>
                </c:pt>
                <c:pt idx="92">
                  <c:v>8.6553323029366303E-2</c:v>
                </c:pt>
                <c:pt idx="93">
                  <c:v>6.4914992272024727E-2</c:v>
                </c:pt>
                <c:pt idx="94">
                  <c:v>6.9551777434312206E-2</c:v>
                </c:pt>
                <c:pt idx="95">
                  <c:v>7.7777777777777779E-2</c:v>
                </c:pt>
                <c:pt idx="96">
                  <c:v>6.8888888888888888E-2</c:v>
                </c:pt>
                <c:pt idx="97">
                  <c:v>8.666666666666667E-2</c:v>
                </c:pt>
                <c:pt idx="98">
                  <c:v>0.10104011887072809</c:v>
                </c:pt>
                <c:pt idx="99">
                  <c:v>8.3209509658246653E-2</c:v>
                </c:pt>
                <c:pt idx="100">
                  <c:v>6.9732937685459948E-2</c:v>
                </c:pt>
                <c:pt idx="101">
                  <c:v>6.8148148148148152E-2</c:v>
                </c:pt>
                <c:pt idx="102">
                  <c:v>2.6666666666666668E-2</c:v>
                </c:pt>
                <c:pt idx="103">
                  <c:v>1.4471780028943559E-2</c:v>
                </c:pt>
                <c:pt idx="104">
                  <c:v>6.6570188133140376E-2</c:v>
                </c:pt>
                <c:pt idx="105">
                  <c:v>3.7626628075253257E-2</c:v>
                </c:pt>
                <c:pt idx="106">
                  <c:v>2.0260492040520984E-2</c:v>
                </c:pt>
                <c:pt idx="107">
                  <c:v>1.8813314037626629E-2</c:v>
                </c:pt>
                <c:pt idx="108">
                  <c:v>0.38666666666666666</c:v>
                </c:pt>
                <c:pt idx="109">
                  <c:v>0.45249597423510468</c:v>
                </c:pt>
                <c:pt idx="110">
                  <c:v>0.23555555555555555</c:v>
                </c:pt>
                <c:pt idx="111">
                  <c:v>0.26666666666666666</c:v>
                </c:pt>
                <c:pt idx="112">
                  <c:v>0.2336</c:v>
                </c:pt>
                <c:pt idx="113">
                  <c:v>0.19488817891373802</c:v>
                </c:pt>
                <c:pt idx="114">
                  <c:v>0.2</c:v>
                </c:pt>
                <c:pt idx="115">
                  <c:v>0.27272727272727271</c:v>
                </c:pt>
                <c:pt idx="116">
                  <c:v>0.21083172147001933</c:v>
                </c:pt>
                <c:pt idx="117">
                  <c:v>3.111111111111111E-2</c:v>
                </c:pt>
                <c:pt idx="118">
                  <c:v>4.6728971962616821E-2</c:v>
                </c:pt>
                <c:pt idx="119">
                  <c:v>0.10261194029850747</c:v>
                </c:pt>
                <c:pt idx="120">
                  <c:v>0.68285714285714283</c:v>
                </c:pt>
                <c:pt idx="121">
                  <c:v>0.74549098196392782</c:v>
                </c:pt>
                <c:pt idx="122">
                  <c:v>2.2222222222222222E-3</c:v>
                </c:pt>
                <c:pt idx="123">
                  <c:v>1.7452006980802792E-2</c:v>
                </c:pt>
                <c:pt idx="124">
                  <c:v>3.3158813263525308E-2</c:v>
                </c:pt>
                <c:pt idx="125">
                  <c:v>1.7421602787456445E-2</c:v>
                </c:pt>
                <c:pt idx="126">
                  <c:v>1.5209125475285171E-2</c:v>
                </c:pt>
                <c:pt idx="127">
                  <c:v>7.7777777777777779E-2</c:v>
                </c:pt>
                <c:pt idx="128">
                  <c:v>9.555555555555556E-2</c:v>
                </c:pt>
                <c:pt idx="129">
                  <c:v>0.10801393728222997</c:v>
                </c:pt>
                <c:pt idx="130">
                  <c:v>0.1132404181184669</c:v>
                </c:pt>
                <c:pt idx="131">
                  <c:v>0.1132404181184669</c:v>
                </c:pt>
                <c:pt idx="132">
                  <c:v>0.14608695652173914</c:v>
                </c:pt>
                <c:pt idx="133">
                  <c:v>0.29333333333333333</c:v>
                </c:pt>
                <c:pt idx="134">
                  <c:v>0.25777777777777777</c:v>
                </c:pt>
                <c:pt idx="135">
                  <c:v>0.17619783616692428</c:v>
                </c:pt>
                <c:pt idx="136">
                  <c:v>0.19319938176197837</c:v>
                </c:pt>
                <c:pt idx="137">
                  <c:v>0.21638330757341576</c:v>
                </c:pt>
                <c:pt idx="138">
                  <c:v>0.27932098765432101</c:v>
                </c:pt>
                <c:pt idx="139">
                  <c:v>0.21777777777777776</c:v>
                </c:pt>
                <c:pt idx="140">
                  <c:v>0.19501466275659823</c:v>
                </c:pt>
                <c:pt idx="141">
                  <c:v>0.14076246334310852</c:v>
                </c:pt>
                <c:pt idx="142">
                  <c:v>0.18222222222222223</c:v>
                </c:pt>
                <c:pt idx="143">
                  <c:v>0.21777777777777776</c:v>
                </c:pt>
                <c:pt idx="144">
                  <c:v>0.19777777777777777</c:v>
                </c:pt>
                <c:pt idx="145">
                  <c:v>0.17579250720461095</c:v>
                </c:pt>
                <c:pt idx="146">
                  <c:v>0.12680115273775217</c:v>
                </c:pt>
                <c:pt idx="147">
                  <c:v>8.645533141210375E-2</c:v>
                </c:pt>
                <c:pt idx="148">
                  <c:v>6.0431654676258995E-2</c:v>
                </c:pt>
                <c:pt idx="149">
                  <c:v>0.33555555555555555</c:v>
                </c:pt>
                <c:pt idx="150">
                  <c:v>0.27113237639553428</c:v>
                </c:pt>
                <c:pt idx="151">
                  <c:v>0.17224880382775121</c:v>
                </c:pt>
                <c:pt idx="152">
                  <c:v>0.16427432216905902</c:v>
                </c:pt>
                <c:pt idx="153">
                  <c:v>0.15445859872611464</c:v>
                </c:pt>
                <c:pt idx="154">
                  <c:v>0.30888888888888888</c:v>
                </c:pt>
                <c:pt idx="155">
                  <c:v>0.39555555555555555</c:v>
                </c:pt>
                <c:pt idx="156">
                  <c:v>0.37424547283702214</c:v>
                </c:pt>
                <c:pt idx="157">
                  <c:v>0.26961770623742454</c:v>
                </c:pt>
                <c:pt idx="158">
                  <c:v>0.27108433734939757</c:v>
                </c:pt>
                <c:pt idx="159">
                  <c:v>0.47555555555555556</c:v>
                </c:pt>
                <c:pt idx="160">
                  <c:v>0.48888888888888887</c:v>
                </c:pt>
                <c:pt idx="161">
                  <c:v>0.43111111111111111</c:v>
                </c:pt>
                <c:pt idx="162">
                  <c:v>0.42833333333333334</c:v>
                </c:pt>
                <c:pt idx="163">
                  <c:v>0.38666666666666666</c:v>
                </c:pt>
                <c:pt idx="164">
                  <c:v>0.30333333333333334</c:v>
                </c:pt>
                <c:pt idx="165">
                  <c:v>0.25747508305647843</c:v>
                </c:pt>
                <c:pt idx="166">
                  <c:v>0.26</c:v>
                </c:pt>
                <c:pt idx="167">
                  <c:v>0.23333333333333334</c:v>
                </c:pt>
                <c:pt idx="168">
                  <c:v>0.24888888888888888</c:v>
                </c:pt>
                <c:pt idx="169">
                  <c:v>0.22494887525562371</c:v>
                </c:pt>
                <c:pt idx="170">
                  <c:v>0.22699386503067484</c:v>
                </c:pt>
                <c:pt idx="171">
                  <c:v>0.20408163265306123</c:v>
                </c:pt>
                <c:pt idx="172">
                  <c:v>0.46666666666666667</c:v>
                </c:pt>
                <c:pt idx="173">
                  <c:v>0.4777777777777778</c:v>
                </c:pt>
                <c:pt idx="174">
                  <c:v>0.44948755490483161</c:v>
                </c:pt>
                <c:pt idx="175">
                  <c:v>0.36896046852122988</c:v>
                </c:pt>
                <c:pt idx="176">
                  <c:v>0.34744525547445254</c:v>
                </c:pt>
              </c:numCache>
            </c:numRef>
          </c:xVal>
          <c:yVal>
            <c:numRef>
              <c:f>RaceWorksheet!$C$2:$C$178</c:f>
              <c:numCache>
                <c:formatCode>0.0%</c:formatCode>
                <c:ptCount val="177"/>
                <c:pt idx="0">
                  <c:v>0.24255319148936169</c:v>
                </c:pt>
                <c:pt idx="1">
                  <c:v>0.25</c:v>
                </c:pt>
                <c:pt idx="2">
                  <c:v>0.21929824561403508</c:v>
                </c:pt>
                <c:pt idx="3">
                  <c:v>0.21717171717171718</c:v>
                </c:pt>
                <c:pt idx="4">
                  <c:v>0.23834196891191708</c:v>
                </c:pt>
                <c:pt idx="5">
                  <c:v>0.16560509554140126</c:v>
                </c:pt>
                <c:pt idx="6">
                  <c:v>0.20175438596491227</c:v>
                </c:pt>
                <c:pt idx="7">
                  <c:v>0.14853556485355648</c:v>
                </c:pt>
                <c:pt idx="8">
                  <c:v>0.11874999999999999</c:v>
                </c:pt>
                <c:pt idx="9">
                  <c:v>0.30546623794212219</c:v>
                </c:pt>
                <c:pt idx="10">
                  <c:v>0.33423180592991913</c:v>
                </c:pt>
                <c:pt idx="11">
                  <c:v>0.22022471910112359</c:v>
                </c:pt>
                <c:pt idx="12">
                  <c:v>0.24203821656050956</c:v>
                </c:pt>
                <c:pt idx="13">
                  <c:v>0.24038461538461539</c:v>
                </c:pt>
                <c:pt idx="14">
                  <c:v>0.1875</c:v>
                </c:pt>
                <c:pt idx="15">
                  <c:v>0.13573407202216067</c:v>
                </c:pt>
                <c:pt idx="16">
                  <c:v>0.14583333333333334</c:v>
                </c:pt>
                <c:pt idx="17">
                  <c:v>8.2959641255605385E-2</c:v>
                </c:pt>
                <c:pt idx="18">
                  <c:v>0.10089686098654709</c:v>
                </c:pt>
                <c:pt idx="19">
                  <c:v>0.13052631578947368</c:v>
                </c:pt>
                <c:pt idx="20">
                  <c:v>0.22157434402332363</c:v>
                </c:pt>
                <c:pt idx="21">
                  <c:v>0.13619402985074627</c:v>
                </c:pt>
                <c:pt idx="22">
                  <c:v>0.390625</c:v>
                </c:pt>
                <c:pt idx="23">
                  <c:v>0.38133333333333336</c:v>
                </c:pt>
                <c:pt idx="24">
                  <c:v>0.29220779220779219</c:v>
                </c:pt>
                <c:pt idx="25">
                  <c:v>0.27044025157232704</c:v>
                </c:pt>
                <c:pt idx="26">
                  <c:v>0.19318181818181818</c:v>
                </c:pt>
                <c:pt idx="27">
                  <c:v>0.2391304347826087</c:v>
                </c:pt>
                <c:pt idx="28">
                  <c:v>0.54261363636363635</c:v>
                </c:pt>
                <c:pt idx="29">
                  <c:v>0.38607594936708861</c:v>
                </c:pt>
                <c:pt idx="30">
                  <c:v>0.31686046511627908</c:v>
                </c:pt>
                <c:pt idx="31">
                  <c:v>0.22397476340694006</c:v>
                </c:pt>
                <c:pt idx="32">
                  <c:v>0.22486772486772486</c:v>
                </c:pt>
                <c:pt idx="33">
                  <c:v>0.14685314685314685</c:v>
                </c:pt>
                <c:pt idx="34">
                  <c:v>0.1256931608133087</c:v>
                </c:pt>
                <c:pt idx="35">
                  <c:v>0.16502946954813361</c:v>
                </c:pt>
                <c:pt idx="36">
                  <c:v>0.11978221415607986</c:v>
                </c:pt>
                <c:pt idx="37">
                  <c:v>0.11226252158894647</c:v>
                </c:pt>
                <c:pt idx="38">
                  <c:v>0.16568047337278108</c:v>
                </c:pt>
                <c:pt idx="39">
                  <c:v>0.17819148936170212</c:v>
                </c:pt>
                <c:pt idx="40">
                  <c:v>0.12338858195211787</c:v>
                </c:pt>
                <c:pt idx="41">
                  <c:v>8.9552238805970144E-2</c:v>
                </c:pt>
                <c:pt idx="42">
                  <c:v>0.13644524236983843</c:v>
                </c:pt>
                <c:pt idx="43">
                  <c:v>0.15309446254071662</c:v>
                </c:pt>
                <c:pt idx="44">
                  <c:v>0.13661202185792351</c:v>
                </c:pt>
                <c:pt idx="45">
                  <c:v>0.10962566844919786</c:v>
                </c:pt>
                <c:pt idx="46">
                  <c:v>9.6408317580340269E-2</c:v>
                </c:pt>
                <c:pt idx="47">
                  <c:v>7.099391480730223E-2</c:v>
                </c:pt>
                <c:pt idx="48">
                  <c:v>5.9917355371900828E-2</c:v>
                </c:pt>
                <c:pt idx="49">
                  <c:v>8.11965811965812E-2</c:v>
                </c:pt>
                <c:pt idx="50">
                  <c:v>5.5555555555555552E-2</c:v>
                </c:pt>
                <c:pt idx="51">
                  <c:v>8.0924855491329481E-2</c:v>
                </c:pt>
                <c:pt idx="52">
                  <c:v>0.11551155115511551</c:v>
                </c:pt>
                <c:pt idx="53">
                  <c:v>0.1164021164021164</c:v>
                </c:pt>
                <c:pt idx="54">
                  <c:v>0.11375661375661375</c:v>
                </c:pt>
                <c:pt idx="55">
                  <c:v>0.1517094017094017</c:v>
                </c:pt>
                <c:pt idx="56">
                  <c:v>0.18223234624145787</c:v>
                </c:pt>
                <c:pt idx="57">
                  <c:v>0.13194444444444445</c:v>
                </c:pt>
                <c:pt idx="58">
                  <c:v>0.13895216400911162</c:v>
                </c:pt>
                <c:pt idx="59">
                  <c:v>0.1111111111111111</c:v>
                </c:pt>
                <c:pt idx="60">
                  <c:v>7.5916230366492143E-2</c:v>
                </c:pt>
                <c:pt idx="61">
                  <c:v>5.9288537549407112E-2</c:v>
                </c:pt>
                <c:pt idx="62">
                  <c:v>8.8794926004228336E-2</c:v>
                </c:pt>
                <c:pt idx="63">
                  <c:v>7.3275862068965511E-2</c:v>
                </c:pt>
                <c:pt idx="64">
                  <c:v>6.3596491228070179E-2</c:v>
                </c:pt>
                <c:pt idx="65">
                  <c:v>6.4301552106430154E-2</c:v>
                </c:pt>
                <c:pt idx="66">
                  <c:v>5.9426229508196718E-2</c:v>
                </c:pt>
                <c:pt idx="67">
                  <c:v>0.20820189274447951</c:v>
                </c:pt>
                <c:pt idx="68">
                  <c:v>0.13114754098360656</c:v>
                </c:pt>
                <c:pt idx="69">
                  <c:v>0.125</c:v>
                </c:pt>
                <c:pt idx="70">
                  <c:v>0.12366737739872068</c:v>
                </c:pt>
                <c:pt idx="71">
                  <c:v>9.0909090909090912E-2</c:v>
                </c:pt>
                <c:pt idx="72">
                  <c:v>7.5170842824601361E-2</c:v>
                </c:pt>
                <c:pt idx="73">
                  <c:v>0.11619047619047619</c:v>
                </c:pt>
                <c:pt idx="74">
                  <c:v>0.21590909090909091</c:v>
                </c:pt>
                <c:pt idx="75">
                  <c:v>0.31952662721893493</c:v>
                </c:pt>
                <c:pt idx="76">
                  <c:v>0.24555160142348753</c:v>
                </c:pt>
                <c:pt idx="77">
                  <c:v>0.36090225563909772</c:v>
                </c:pt>
                <c:pt idx="78">
                  <c:v>0.26635514018691586</c:v>
                </c:pt>
                <c:pt idx="79">
                  <c:v>0.20186335403726707</c:v>
                </c:pt>
                <c:pt idx="80">
                  <c:v>0.3155737704918033</c:v>
                </c:pt>
                <c:pt idx="81">
                  <c:v>0.28042328042328041</c:v>
                </c:pt>
                <c:pt idx="82">
                  <c:v>0.18435754189944134</c:v>
                </c:pt>
                <c:pt idx="83">
                  <c:v>0.49557522123893805</c:v>
                </c:pt>
                <c:pt idx="84">
                  <c:v>0.4356955380577428</c:v>
                </c:pt>
                <c:pt idx="85">
                  <c:v>0.30727272727272725</c:v>
                </c:pt>
                <c:pt idx="86">
                  <c:v>0.28373015873015872</c:v>
                </c:pt>
                <c:pt idx="87">
                  <c:v>0.26654064272211719</c:v>
                </c:pt>
                <c:pt idx="88">
                  <c:v>0.21920289855072464</c:v>
                </c:pt>
                <c:pt idx="89">
                  <c:v>0.50320512820512819</c:v>
                </c:pt>
                <c:pt idx="90">
                  <c:v>0.43360433604336046</c:v>
                </c:pt>
                <c:pt idx="91">
                  <c:v>0.31403118040089084</c:v>
                </c:pt>
                <c:pt idx="92">
                  <c:v>0.27616926503340755</c:v>
                </c:pt>
                <c:pt idx="93">
                  <c:v>0.24279835390946503</c:v>
                </c:pt>
                <c:pt idx="94">
                  <c:v>0.22902494331065759</c:v>
                </c:pt>
                <c:pt idx="95">
                  <c:v>0.35793357933579334</c:v>
                </c:pt>
                <c:pt idx="96">
                  <c:v>0.33819241982507287</c:v>
                </c:pt>
                <c:pt idx="97">
                  <c:v>0.33787465940054495</c:v>
                </c:pt>
                <c:pt idx="98">
                  <c:v>0.21305182341650672</c:v>
                </c:pt>
                <c:pt idx="99">
                  <c:v>0.23382045929018788</c:v>
                </c:pt>
                <c:pt idx="100">
                  <c:v>0.18067226890756302</c:v>
                </c:pt>
                <c:pt idx="101">
                  <c:v>0.16605839416058393</c:v>
                </c:pt>
                <c:pt idx="102">
                  <c:v>0.50948509485094851</c:v>
                </c:pt>
                <c:pt idx="103">
                  <c:v>0.3724137931034483</c:v>
                </c:pt>
                <c:pt idx="104">
                  <c:v>0.25352112676056338</c:v>
                </c:pt>
                <c:pt idx="105">
                  <c:v>0.2289156626506024</c:v>
                </c:pt>
                <c:pt idx="106">
                  <c:v>0.21335807050092764</c:v>
                </c:pt>
                <c:pt idx="107">
                  <c:v>0.21722846441947566</c:v>
                </c:pt>
                <c:pt idx="108">
                  <c:v>0.29878048780487804</c:v>
                </c:pt>
                <c:pt idx="109">
                  <c:v>0.20645161290322581</c:v>
                </c:pt>
                <c:pt idx="110">
                  <c:v>0.43288590604026844</c:v>
                </c:pt>
                <c:pt idx="111">
                  <c:v>0.40740740740740738</c:v>
                </c:pt>
                <c:pt idx="112">
                  <c:v>0.41269841269841268</c:v>
                </c:pt>
                <c:pt idx="113">
                  <c:v>0.32244897959183672</c:v>
                </c:pt>
                <c:pt idx="114">
                  <c:v>0.36285714285714288</c:v>
                </c:pt>
                <c:pt idx="115">
                  <c:v>0.23261390887290168</c:v>
                </c:pt>
                <c:pt idx="116">
                  <c:v>0.27493917274939172</c:v>
                </c:pt>
                <c:pt idx="117">
                  <c:v>0.26984126984126983</c:v>
                </c:pt>
                <c:pt idx="118">
                  <c:v>0.25178147268408552</c:v>
                </c:pt>
                <c:pt idx="119">
                  <c:v>0.27053140096618356</c:v>
                </c:pt>
                <c:pt idx="120">
                  <c:v>0.34220532319391633</c:v>
                </c:pt>
                <c:pt idx="121">
                  <c:v>0.26649746192893403</c:v>
                </c:pt>
                <c:pt idx="122">
                  <c:v>0.59663865546218486</c:v>
                </c:pt>
                <c:pt idx="123">
                  <c:v>0.40946502057613171</c:v>
                </c:pt>
                <c:pt idx="124">
                  <c:v>0.33106575963718821</c:v>
                </c:pt>
                <c:pt idx="125">
                  <c:v>0.35</c:v>
                </c:pt>
                <c:pt idx="126">
                  <c:v>0.3321917808219178</c:v>
                </c:pt>
                <c:pt idx="127">
                  <c:v>0.4550561797752809</c:v>
                </c:pt>
                <c:pt idx="128">
                  <c:v>0.35637149028077753</c:v>
                </c:pt>
                <c:pt idx="129">
                  <c:v>0.23255813953488372</c:v>
                </c:pt>
                <c:pt idx="130">
                  <c:v>0.2922705314009662</c:v>
                </c:pt>
                <c:pt idx="131">
                  <c:v>0.29805615550755937</c:v>
                </c:pt>
                <c:pt idx="132">
                  <c:v>0.63809523809523805</c:v>
                </c:pt>
                <c:pt idx="133">
                  <c:v>0.56104651162790697</c:v>
                </c:pt>
                <c:pt idx="134">
                  <c:v>0.36337209302325579</c:v>
                </c:pt>
                <c:pt idx="135">
                  <c:v>0.28078817733990147</c:v>
                </c:pt>
                <c:pt idx="136">
                  <c:v>0.27710843373493976</c:v>
                </c:pt>
                <c:pt idx="137">
                  <c:v>0.22727272727272727</c:v>
                </c:pt>
                <c:pt idx="138">
                  <c:v>0.23577235772357724</c:v>
                </c:pt>
                <c:pt idx="139">
                  <c:v>0.5213675213675214</c:v>
                </c:pt>
                <c:pt idx="140">
                  <c:v>0.31775700934579437</c:v>
                </c:pt>
                <c:pt idx="141">
                  <c:v>0.26016260162601629</c:v>
                </c:pt>
                <c:pt idx="142">
                  <c:v>0.34507042253521125</c:v>
                </c:pt>
                <c:pt idx="143">
                  <c:v>0.25824175824175827</c:v>
                </c:pt>
                <c:pt idx="144">
                  <c:v>0.24611398963730569</c:v>
                </c:pt>
                <c:pt idx="145">
                  <c:v>0.22994652406417113</c:v>
                </c:pt>
                <c:pt idx="146">
                  <c:v>0.21072088724584104</c:v>
                </c:pt>
                <c:pt idx="147">
                  <c:v>0.17794970986460348</c:v>
                </c:pt>
                <c:pt idx="148">
                  <c:v>0.1619718309859155</c:v>
                </c:pt>
                <c:pt idx="149">
                  <c:v>0.25609756097560976</c:v>
                </c:pt>
                <c:pt idx="150">
                  <c:v>0.14599999999999999</c:v>
                </c:pt>
                <c:pt idx="151">
                  <c:v>0.11475409836065574</c:v>
                </c:pt>
                <c:pt idx="152">
                  <c:v>0.10893246187363835</c:v>
                </c:pt>
                <c:pt idx="153">
                  <c:v>0.10261569416498995</c:v>
                </c:pt>
                <c:pt idx="154">
                  <c:v>0.23411371237458195</c:v>
                </c:pt>
                <c:pt idx="155">
                  <c:v>0.19505494505494506</c:v>
                </c:pt>
                <c:pt idx="156">
                  <c:v>0.14974619289340102</c:v>
                </c:pt>
                <c:pt idx="157">
                  <c:v>0.13128491620111732</c:v>
                </c:pt>
                <c:pt idx="158">
                  <c:v>0.13500000000000001</c:v>
                </c:pt>
                <c:pt idx="159">
                  <c:v>0.21673003802281368</c:v>
                </c:pt>
                <c:pt idx="160">
                  <c:v>0.22388059701492538</c:v>
                </c:pt>
                <c:pt idx="161">
                  <c:v>0.28285714285714286</c:v>
                </c:pt>
                <c:pt idx="162">
                  <c:v>0.23191489361702128</c:v>
                </c:pt>
                <c:pt idx="163">
                  <c:v>0.12471655328798185</c:v>
                </c:pt>
                <c:pt idx="164">
                  <c:v>0.10319410319410319</c:v>
                </c:pt>
                <c:pt idx="165">
                  <c:v>0.13409090909090909</c:v>
                </c:pt>
                <c:pt idx="166">
                  <c:v>0.12173913043478261</c:v>
                </c:pt>
                <c:pt idx="167">
                  <c:v>0.13079019073569481</c:v>
                </c:pt>
                <c:pt idx="168">
                  <c:v>0.14285714285714285</c:v>
                </c:pt>
                <c:pt idx="169">
                  <c:v>0.18207282913165265</c:v>
                </c:pt>
                <c:pt idx="170">
                  <c:v>0.12471655328798185</c:v>
                </c:pt>
                <c:pt idx="171">
                  <c:v>0.13513513513513514</c:v>
                </c:pt>
                <c:pt idx="172">
                  <c:v>0.42215568862275449</c:v>
                </c:pt>
                <c:pt idx="173">
                  <c:v>0.27176781002638523</c:v>
                </c:pt>
                <c:pt idx="174">
                  <c:v>0.2124756335282651</c:v>
                </c:pt>
                <c:pt idx="175">
                  <c:v>0.18480492813141683</c:v>
                </c:pt>
                <c:pt idx="176">
                  <c:v>0.17001828153564899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67-4853-B9AB-0FFF086C7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52399"/>
        <c:axId val="341704415"/>
      </c:scatterChart>
      <c:valAx>
        <c:axId val="464752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04415"/>
        <c:crosses val="autoZero"/>
        <c:crossBetween val="midCat"/>
      </c:valAx>
      <c:valAx>
        <c:axId val="341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N30Lukut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18022747156605E-2"/>
                  <c:y val="0.156241615631379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N30Lukut!$E$2:$E$47</c:f>
              <c:numCache>
                <c:formatCode>0.0%</c:formatCode>
                <c:ptCount val="46"/>
                <c:pt idx="0">
                  <c:v>0.88222222222222224</c:v>
                </c:pt>
                <c:pt idx="1">
                  <c:v>0.70531400966183577</c:v>
                </c:pt>
                <c:pt idx="2">
                  <c:v>0.87710843373493974</c:v>
                </c:pt>
                <c:pt idx="3">
                  <c:v>0.15777777777777777</c:v>
                </c:pt>
                <c:pt idx="4">
                  <c:v>0.30666666666666664</c:v>
                </c:pt>
                <c:pt idx="5">
                  <c:v>0.26474820143884892</c:v>
                </c:pt>
                <c:pt idx="6">
                  <c:v>0.29166666666666669</c:v>
                </c:pt>
                <c:pt idx="7">
                  <c:v>0.41954022988505746</c:v>
                </c:pt>
                <c:pt idx="8">
                  <c:v>0.48419540229885055</c:v>
                </c:pt>
                <c:pt idx="9">
                  <c:v>0.51</c:v>
                </c:pt>
                <c:pt idx="10">
                  <c:v>6.8888888888888888E-2</c:v>
                </c:pt>
                <c:pt idx="11">
                  <c:v>0.20666666666666667</c:v>
                </c:pt>
                <c:pt idx="12">
                  <c:v>0.16988950276243095</c:v>
                </c:pt>
                <c:pt idx="13">
                  <c:v>0.25276243093922651</c:v>
                </c:pt>
                <c:pt idx="14">
                  <c:v>0.29103448275862071</c:v>
                </c:pt>
                <c:pt idx="15">
                  <c:v>0.13111111111111112</c:v>
                </c:pt>
                <c:pt idx="16">
                  <c:v>9.3333333333333338E-2</c:v>
                </c:pt>
                <c:pt idx="17">
                  <c:v>0.13333333333333333</c:v>
                </c:pt>
                <c:pt idx="18">
                  <c:v>0.14086687306501547</c:v>
                </c:pt>
                <c:pt idx="19">
                  <c:v>0.10526315789473684</c:v>
                </c:pt>
                <c:pt idx="20">
                  <c:v>0.10681114551083591</c:v>
                </c:pt>
                <c:pt idx="21">
                  <c:v>0.16718266253869968</c:v>
                </c:pt>
                <c:pt idx="22">
                  <c:v>0.24613003095975233</c:v>
                </c:pt>
                <c:pt idx="23">
                  <c:v>0.23647604327666152</c:v>
                </c:pt>
                <c:pt idx="24">
                  <c:v>0.10666666666666667</c:v>
                </c:pt>
                <c:pt idx="25">
                  <c:v>0.12888888888888889</c:v>
                </c:pt>
                <c:pt idx="26">
                  <c:v>0.16666666666666666</c:v>
                </c:pt>
                <c:pt idx="27">
                  <c:v>0.23488773747841105</c:v>
                </c:pt>
                <c:pt idx="28">
                  <c:v>0.30517241379310345</c:v>
                </c:pt>
                <c:pt idx="29">
                  <c:v>0.31724137931034485</c:v>
                </c:pt>
                <c:pt idx="30">
                  <c:v>0.35517241379310344</c:v>
                </c:pt>
                <c:pt idx="31">
                  <c:v>8.4444444444444447E-2</c:v>
                </c:pt>
                <c:pt idx="32">
                  <c:v>8.2222222222222224E-2</c:v>
                </c:pt>
                <c:pt idx="33">
                  <c:v>5.6692913385826771E-2</c:v>
                </c:pt>
                <c:pt idx="34">
                  <c:v>0.10393700787401575</c:v>
                </c:pt>
                <c:pt idx="35">
                  <c:v>0.12598425196850394</c:v>
                </c:pt>
                <c:pt idx="36">
                  <c:v>0.12440944881889764</c:v>
                </c:pt>
                <c:pt idx="37">
                  <c:v>0.10393700787401575</c:v>
                </c:pt>
                <c:pt idx="38">
                  <c:v>0.14106583072100312</c:v>
                </c:pt>
                <c:pt idx="39">
                  <c:v>0.18222222222222223</c:v>
                </c:pt>
                <c:pt idx="40">
                  <c:v>0.20444444444444446</c:v>
                </c:pt>
                <c:pt idx="41">
                  <c:v>0.21439749608763695</c:v>
                </c:pt>
                <c:pt idx="42">
                  <c:v>0.20187793427230047</c:v>
                </c:pt>
                <c:pt idx="43">
                  <c:v>0.26134585289514867</c:v>
                </c:pt>
                <c:pt idx="44">
                  <c:v>0.27386541471048514</c:v>
                </c:pt>
                <c:pt idx="45">
                  <c:v>0.2519561815336463</c:v>
                </c:pt>
              </c:numCache>
            </c:numRef>
          </c:xVal>
          <c:yVal>
            <c:numRef>
              <c:f>N30Lukut!$A$2:$A$47</c:f>
              <c:numCache>
                <c:formatCode>0.0%</c:formatCode>
                <c:ptCount val="46"/>
                <c:pt idx="0">
                  <c:v>0.78222222222222226</c:v>
                </c:pt>
                <c:pt idx="1">
                  <c:v>0.76328502415458932</c:v>
                </c:pt>
                <c:pt idx="2">
                  <c:v>0.82891566265060246</c:v>
                </c:pt>
                <c:pt idx="3">
                  <c:v>0.70444444444444443</c:v>
                </c:pt>
                <c:pt idx="4">
                  <c:v>0.84</c:v>
                </c:pt>
                <c:pt idx="5">
                  <c:v>0.82302158273381298</c:v>
                </c:pt>
                <c:pt idx="6">
                  <c:v>0.7772988505747126</c:v>
                </c:pt>
                <c:pt idx="7">
                  <c:v>0.73132183908045978</c:v>
                </c:pt>
                <c:pt idx="8">
                  <c:v>0.79166666666666663</c:v>
                </c:pt>
                <c:pt idx="9">
                  <c:v>0.82714285714285718</c:v>
                </c:pt>
                <c:pt idx="10">
                  <c:v>0.75111111111111106</c:v>
                </c:pt>
                <c:pt idx="11">
                  <c:v>0.83555555555555561</c:v>
                </c:pt>
                <c:pt idx="12">
                  <c:v>0.75</c:v>
                </c:pt>
                <c:pt idx="13">
                  <c:v>0.74033149171270718</c:v>
                </c:pt>
                <c:pt idx="14">
                  <c:v>0.76827586206896548</c:v>
                </c:pt>
                <c:pt idx="15">
                  <c:v>0.68222222222222217</c:v>
                </c:pt>
                <c:pt idx="16">
                  <c:v>0.81333333333333335</c:v>
                </c:pt>
                <c:pt idx="17">
                  <c:v>0.83111111111111113</c:v>
                </c:pt>
                <c:pt idx="18">
                  <c:v>0.81888544891640869</c:v>
                </c:pt>
                <c:pt idx="19">
                  <c:v>0.76315789473684215</c:v>
                </c:pt>
                <c:pt idx="20">
                  <c:v>0.74922600619195046</c:v>
                </c:pt>
                <c:pt idx="21">
                  <c:v>0.72445820433436536</c:v>
                </c:pt>
                <c:pt idx="22">
                  <c:v>0.72445820433436536</c:v>
                </c:pt>
                <c:pt idx="23">
                  <c:v>0.80216383307573413</c:v>
                </c:pt>
                <c:pt idx="24">
                  <c:v>0.67333333333333334</c:v>
                </c:pt>
                <c:pt idx="25">
                  <c:v>0.84</c:v>
                </c:pt>
                <c:pt idx="26">
                  <c:v>0.84</c:v>
                </c:pt>
                <c:pt idx="27">
                  <c:v>0.80829015544041449</c:v>
                </c:pt>
                <c:pt idx="28">
                  <c:v>0.75689655172413794</c:v>
                </c:pt>
                <c:pt idx="29">
                  <c:v>0.7448275862068966</c:v>
                </c:pt>
                <c:pt idx="30">
                  <c:v>0.75689655172413794</c:v>
                </c:pt>
                <c:pt idx="31">
                  <c:v>0.68</c:v>
                </c:pt>
                <c:pt idx="32">
                  <c:v>0.84888888888888892</c:v>
                </c:pt>
                <c:pt idx="33">
                  <c:v>0.79685039370078736</c:v>
                </c:pt>
                <c:pt idx="34">
                  <c:v>0.74488188976377956</c:v>
                </c:pt>
                <c:pt idx="35">
                  <c:v>0.73070866141732282</c:v>
                </c:pt>
                <c:pt idx="36">
                  <c:v>0.71811023622047243</c:v>
                </c:pt>
                <c:pt idx="37">
                  <c:v>0.71023622047244095</c:v>
                </c:pt>
                <c:pt idx="38">
                  <c:v>0.76489028213166144</c:v>
                </c:pt>
                <c:pt idx="39">
                  <c:v>0.70444444444444443</c:v>
                </c:pt>
                <c:pt idx="40">
                  <c:v>0.81333333333333335</c:v>
                </c:pt>
                <c:pt idx="41">
                  <c:v>0.76369327073552429</c:v>
                </c:pt>
                <c:pt idx="42">
                  <c:v>0.7339593114241002</c:v>
                </c:pt>
                <c:pt idx="43">
                  <c:v>0.74021909233176841</c:v>
                </c:pt>
                <c:pt idx="44">
                  <c:v>0.68701095461658845</c:v>
                </c:pt>
                <c:pt idx="45">
                  <c:v>0.82159624413145538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1-47D7-A5EB-D250552F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983119"/>
        <c:axId val="1203106223"/>
      </c:scatterChart>
      <c:valAx>
        <c:axId val="110798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06223"/>
        <c:crosses val="autoZero"/>
        <c:crossBetween val="midCat"/>
      </c:valAx>
      <c:valAx>
        <c:axId val="12031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8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N30Lukut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18022747156605E-2"/>
                  <c:y val="0.156241615631379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N30Lukut!$F$2:$F$47</c:f>
              <c:numCache>
                <c:formatCode>0.0%</c:formatCode>
                <c:ptCount val="46"/>
                <c:pt idx="0">
                  <c:v>6.6666666666666666E-2</c:v>
                </c:pt>
                <c:pt idx="1">
                  <c:v>0.18357487922705315</c:v>
                </c:pt>
                <c:pt idx="2">
                  <c:v>9.8795180722891562E-2</c:v>
                </c:pt>
                <c:pt idx="3">
                  <c:v>0.31777777777777777</c:v>
                </c:pt>
                <c:pt idx="4">
                  <c:v>0.20444444444444446</c:v>
                </c:pt>
                <c:pt idx="5">
                  <c:v>0.20431654676258992</c:v>
                </c:pt>
                <c:pt idx="6">
                  <c:v>0.16666666666666666</c:v>
                </c:pt>
                <c:pt idx="7">
                  <c:v>0.13218390804597702</c:v>
                </c:pt>
                <c:pt idx="8">
                  <c:v>0.12931034482758622</c:v>
                </c:pt>
                <c:pt idx="9">
                  <c:v>0.12571428571428572</c:v>
                </c:pt>
                <c:pt idx="10">
                  <c:v>0.63777777777777778</c:v>
                </c:pt>
                <c:pt idx="11">
                  <c:v>0.44222222222222224</c:v>
                </c:pt>
                <c:pt idx="12">
                  <c:v>0.40331491712707185</c:v>
                </c:pt>
                <c:pt idx="13">
                  <c:v>0.38812154696132595</c:v>
                </c:pt>
                <c:pt idx="14">
                  <c:v>0.32</c:v>
                </c:pt>
                <c:pt idx="15">
                  <c:v>0.73555555555555552</c:v>
                </c:pt>
                <c:pt idx="16">
                  <c:v>0.73555555555555552</c:v>
                </c:pt>
                <c:pt idx="17">
                  <c:v>0.7155555555555555</c:v>
                </c:pt>
                <c:pt idx="18">
                  <c:v>0.70278637770897834</c:v>
                </c:pt>
                <c:pt idx="19">
                  <c:v>0.71826625386996901</c:v>
                </c:pt>
                <c:pt idx="20">
                  <c:v>0.67956656346749222</c:v>
                </c:pt>
                <c:pt idx="21">
                  <c:v>0.60216718266253866</c:v>
                </c:pt>
                <c:pt idx="22">
                  <c:v>0.52476780185758509</c:v>
                </c:pt>
                <c:pt idx="23">
                  <c:v>0.58268933539412671</c:v>
                </c:pt>
                <c:pt idx="24">
                  <c:v>0.79555555555555557</c:v>
                </c:pt>
                <c:pt idx="25">
                  <c:v>0.79555555555555557</c:v>
                </c:pt>
                <c:pt idx="26">
                  <c:v>0.7</c:v>
                </c:pt>
                <c:pt idx="27">
                  <c:v>0.56476683937823835</c:v>
                </c:pt>
                <c:pt idx="28">
                  <c:v>0.4879310344827586</c:v>
                </c:pt>
                <c:pt idx="29">
                  <c:v>0.47068965517241379</c:v>
                </c:pt>
                <c:pt idx="30">
                  <c:v>0.36206896551724138</c:v>
                </c:pt>
                <c:pt idx="31">
                  <c:v>0.77777777777777779</c:v>
                </c:pt>
                <c:pt idx="32">
                  <c:v>0.81777777777777783</c:v>
                </c:pt>
                <c:pt idx="33">
                  <c:v>0.83307086614173231</c:v>
                </c:pt>
                <c:pt idx="34">
                  <c:v>0.72283464566929134</c:v>
                </c:pt>
                <c:pt idx="35">
                  <c:v>0.721259842519685</c:v>
                </c:pt>
                <c:pt idx="36">
                  <c:v>0.68976377952755907</c:v>
                </c:pt>
                <c:pt idx="37">
                  <c:v>0.70078740157480313</c:v>
                </c:pt>
                <c:pt idx="38">
                  <c:v>0.6739811912225705</c:v>
                </c:pt>
                <c:pt idx="39">
                  <c:v>0.4</c:v>
                </c:pt>
                <c:pt idx="40">
                  <c:v>0.39555555555555555</c:v>
                </c:pt>
                <c:pt idx="41">
                  <c:v>0.4569640062597809</c:v>
                </c:pt>
                <c:pt idx="42">
                  <c:v>0.49452269170579027</c:v>
                </c:pt>
                <c:pt idx="43">
                  <c:v>0.47261345852895148</c:v>
                </c:pt>
                <c:pt idx="44">
                  <c:v>0.45070422535211269</c:v>
                </c:pt>
                <c:pt idx="45">
                  <c:v>0.47417840375586856</c:v>
                </c:pt>
              </c:numCache>
            </c:numRef>
          </c:xVal>
          <c:yVal>
            <c:numRef>
              <c:f>N30Lukut!$A$2:$A$47</c:f>
              <c:numCache>
                <c:formatCode>0.0%</c:formatCode>
                <c:ptCount val="46"/>
                <c:pt idx="0">
                  <c:v>0.78222222222222226</c:v>
                </c:pt>
                <c:pt idx="1">
                  <c:v>0.76328502415458932</c:v>
                </c:pt>
                <c:pt idx="2">
                  <c:v>0.82891566265060246</c:v>
                </c:pt>
                <c:pt idx="3">
                  <c:v>0.70444444444444443</c:v>
                </c:pt>
                <c:pt idx="4">
                  <c:v>0.84</c:v>
                </c:pt>
                <c:pt idx="5">
                  <c:v>0.82302158273381298</c:v>
                </c:pt>
                <c:pt idx="6">
                  <c:v>0.7772988505747126</c:v>
                </c:pt>
                <c:pt idx="7">
                  <c:v>0.73132183908045978</c:v>
                </c:pt>
                <c:pt idx="8">
                  <c:v>0.79166666666666663</c:v>
                </c:pt>
                <c:pt idx="9">
                  <c:v>0.82714285714285718</c:v>
                </c:pt>
                <c:pt idx="10">
                  <c:v>0.75111111111111106</c:v>
                </c:pt>
                <c:pt idx="11">
                  <c:v>0.83555555555555561</c:v>
                </c:pt>
                <c:pt idx="12">
                  <c:v>0.75</c:v>
                </c:pt>
                <c:pt idx="13">
                  <c:v>0.74033149171270718</c:v>
                </c:pt>
                <c:pt idx="14">
                  <c:v>0.76827586206896548</c:v>
                </c:pt>
                <c:pt idx="15">
                  <c:v>0.68222222222222217</c:v>
                </c:pt>
                <c:pt idx="16">
                  <c:v>0.81333333333333335</c:v>
                </c:pt>
                <c:pt idx="17">
                  <c:v>0.83111111111111113</c:v>
                </c:pt>
                <c:pt idx="18">
                  <c:v>0.81888544891640869</c:v>
                </c:pt>
                <c:pt idx="19">
                  <c:v>0.76315789473684215</c:v>
                </c:pt>
                <c:pt idx="20">
                  <c:v>0.74922600619195046</c:v>
                </c:pt>
                <c:pt idx="21">
                  <c:v>0.72445820433436536</c:v>
                </c:pt>
                <c:pt idx="22">
                  <c:v>0.72445820433436536</c:v>
                </c:pt>
                <c:pt idx="23">
                  <c:v>0.80216383307573413</c:v>
                </c:pt>
                <c:pt idx="24">
                  <c:v>0.67333333333333334</c:v>
                </c:pt>
                <c:pt idx="25">
                  <c:v>0.84</c:v>
                </c:pt>
                <c:pt idx="26">
                  <c:v>0.84</c:v>
                </c:pt>
                <c:pt idx="27">
                  <c:v>0.80829015544041449</c:v>
                </c:pt>
                <c:pt idx="28">
                  <c:v>0.75689655172413794</c:v>
                </c:pt>
                <c:pt idx="29">
                  <c:v>0.7448275862068966</c:v>
                </c:pt>
                <c:pt idx="30">
                  <c:v>0.75689655172413794</c:v>
                </c:pt>
                <c:pt idx="31">
                  <c:v>0.68</c:v>
                </c:pt>
                <c:pt idx="32">
                  <c:v>0.84888888888888892</c:v>
                </c:pt>
                <c:pt idx="33">
                  <c:v>0.79685039370078736</c:v>
                </c:pt>
                <c:pt idx="34">
                  <c:v>0.74488188976377956</c:v>
                </c:pt>
                <c:pt idx="35">
                  <c:v>0.73070866141732282</c:v>
                </c:pt>
                <c:pt idx="36">
                  <c:v>0.71811023622047243</c:v>
                </c:pt>
                <c:pt idx="37">
                  <c:v>0.71023622047244095</c:v>
                </c:pt>
                <c:pt idx="38">
                  <c:v>0.76489028213166144</c:v>
                </c:pt>
                <c:pt idx="39">
                  <c:v>0.70444444444444443</c:v>
                </c:pt>
                <c:pt idx="40">
                  <c:v>0.81333333333333335</c:v>
                </c:pt>
                <c:pt idx="41">
                  <c:v>0.76369327073552429</c:v>
                </c:pt>
                <c:pt idx="42">
                  <c:v>0.7339593114241002</c:v>
                </c:pt>
                <c:pt idx="43">
                  <c:v>0.74021909233176841</c:v>
                </c:pt>
                <c:pt idx="44">
                  <c:v>0.68701095461658845</c:v>
                </c:pt>
                <c:pt idx="45">
                  <c:v>0.82159624413145538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DD-42A1-832E-C5E404DD3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983119"/>
        <c:axId val="1203106223"/>
      </c:scatterChart>
      <c:valAx>
        <c:axId val="110798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06223"/>
        <c:crosses val="autoZero"/>
        <c:crossBetween val="midCat"/>
      </c:valAx>
      <c:valAx>
        <c:axId val="12031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8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N30Lukut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18022747156605E-2"/>
                  <c:y val="0.156241615631379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N30Lukut!$G$2:$G$47</c:f>
              <c:numCache>
                <c:formatCode>0.0%</c:formatCode>
                <c:ptCount val="46"/>
                <c:pt idx="0">
                  <c:v>4.6666666666666669E-2</c:v>
                </c:pt>
                <c:pt idx="1">
                  <c:v>0.10869565217391304</c:v>
                </c:pt>
                <c:pt idx="2">
                  <c:v>2.4096385542168676E-2</c:v>
                </c:pt>
                <c:pt idx="3">
                  <c:v>0.52</c:v>
                </c:pt>
                <c:pt idx="4">
                  <c:v>0.48</c:v>
                </c:pt>
                <c:pt idx="5">
                  <c:v>0.52230215827338133</c:v>
                </c:pt>
                <c:pt idx="6">
                  <c:v>0.53448275862068961</c:v>
                </c:pt>
                <c:pt idx="7">
                  <c:v>0.44396551724137934</c:v>
                </c:pt>
                <c:pt idx="8">
                  <c:v>0.38505747126436779</c:v>
                </c:pt>
                <c:pt idx="9">
                  <c:v>0.36285714285714288</c:v>
                </c:pt>
                <c:pt idx="10">
                  <c:v>0.29333333333333333</c:v>
                </c:pt>
                <c:pt idx="11">
                  <c:v>0.34222222222222221</c:v>
                </c:pt>
                <c:pt idx="12">
                  <c:v>0.42265193370165743</c:v>
                </c:pt>
                <c:pt idx="13">
                  <c:v>0.35359116022099446</c:v>
                </c:pt>
                <c:pt idx="14">
                  <c:v>0.38758620689655171</c:v>
                </c:pt>
                <c:pt idx="15">
                  <c:v>0.12888888888888889</c:v>
                </c:pt>
                <c:pt idx="16">
                  <c:v>0.16666666666666666</c:v>
                </c:pt>
                <c:pt idx="17">
                  <c:v>0.14666666666666667</c:v>
                </c:pt>
                <c:pt idx="18">
                  <c:v>0.15479876160990713</c:v>
                </c:pt>
                <c:pt idx="19">
                  <c:v>0.16873065015479877</c:v>
                </c:pt>
                <c:pt idx="20">
                  <c:v>0.20897832817337461</c:v>
                </c:pt>
                <c:pt idx="21">
                  <c:v>0.23065015479876161</c:v>
                </c:pt>
                <c:pt idx="22">
                  <c:v>0.22755417956656346</c:v>
                </c:pt>
                <c:pt idx="23">
                  <c:v>0.18083462132921174</c:v>
                </c:pt>
                <c:pt idx="24">
                  <c:v>9.7777777777777783E-2</c:v>
                </c:pt>
                <c:pt idx="25">
                  <c:v>7.3333333333333334E-2</c:v>
                </c:pt>
                <c:pt idx="26">
                  <c:v>0.13111111111111112</c:v>
                </c:pt>
                <c:pt idx="27">
                  <c:v>0.18825561312607944</c:v>
                </c:pt>
                <c:pt idx="28">
                  <c:v>0.20689655172413793</c:v>
                </c:pt>
                <c:pt idx="29">
                  <c:v>0.20862068965517241</c:v>
                </c:pt>
                <c:pt idx="30">
                  <c:v>0.28275862068965518</c:v>
                </c:pt>
                <c:pt idx="31">
                  <c:v>0.13777777777777778</c:v>
                </c:pt>
                <c:pt idx="32">
                  <c:v>0.1</c:v>
                </c:pt>
                <c:pt idx="33">
                  <c:v>0.11023622047244094</c:v>
                </c:pt>
                <c:pt idx="34">
                  <c:v>0.16692913385826771</c:v>
                </c:pt>
                <c:pt idx="35">
                  <c:v>0.14803149606299212</c:v>
                </c:pt>
                <c:pt idx="36">
                  <c:v>0.18267716535433071</c:v>
                </c:pt>
                <c:pt idx="37">
                  <c:v>0.1952755905511811</c:v>
                </c:pt>
                <c:pt idx="38">
                  <c:v>0.18495297805642633</c:v>
                </c:pt>
                <c:pt idx="39">
                  <c:v>0.4022222222222222</c:v>
                </c:pt>
                <c:pt idx="40">
                  <c:v>0.3888888888888889</c:v>
                </c:pt>
                <c:pt idx="41">
                  <c:v>0.323943661971831</c:v>
                </c:pt>
                <c:pt idx="42">
                  <c:v>0.29577464788732394</c:v>
                </c:pt>
                <c:pt idx="43">
                  <c:v>0.25978090766823159</c:v>
                </c:pt>
                <c:pt idx="44">
                  <c:v>0.27073552425665104</c:v>
                </c:pt>
                <c:pt idx="45">
                  <c:v>0.27073552425665104</c:v>
                </c:pt>
              </c:numCache>
            </c:numRef>
          </c:xVal>
          <c:yVal>
            <c:numRef>
              <c:f>N30Lukut!$A$2:$A$47</c:f>
              <c:numCache>
                <c:formatCode>0.0%</c:formatCode>
                <c:ptCount val="46"/>
                <c:pt idx="0">
                  <c:v>0.78222222222222226</c:v>
                </c:pt>
                <c:pt idx="1">
                  <c:v>0.76328502415458932</c:v>
                </c:pt>
                <c:pt idx="2">
                  <c:v>0.82891566265060246</c:v>
                </c:pt>
                <c:pt idx="3">
                  <c:v>0.70444444444444443</c:v>
                </c:pt>
                <c:pt idx="4">
                  <c:v>0.84</c:v>
                </c:pt>
                <c:pt idx="5">
                  <c:v>0.82302158273381298</c:v>
                </c:pt>
                <c:pt idx="6">
                  <c:v>0.7772988505747126</c:v>
                </c:pt>
                <c:pt idx="7">
                  <c:v>0.73132183908045978</c:v>
                </c:pt>
                <c:pt idx="8">
                  <c:v>0.79166666666666663</c:v>
                </c:pt>
                <c:pt idx="9">
                  <c:v>0.82714285714285718</c:v>
                </c:pt>
                <c:pt idx="10">
                  <c:v>0.75111111111111106</c:v>
                </c:pt>
                <c:pt idx="11">
                  <c:v>0.83555555555555561</c:v>
                </c:pt>
                <c:pt idx="12">
                  <c:v>0.75</c:v>
                </c:pt>
                <c:pt idx="13">
                  <c:v>0.74033149171270718</c:v>
                </c:pt>
                <c:pt idx="14">
                  <c:v>0.76827586206896548</c:v>
                </c:pt>
                <c:pt idx="15">
                  <c:v>0.68222222222222217</c:v>
                </c:pt>
                <c:pt idx="16">
                  <c:v>0.81333333333333335</c:v>
                </c:pt>
                <c:pt idx="17">
                  <c:v>0.83111111111111113</c:v>
                </c:pt>
                <c:pt idx="18">
                  <c:v>0.81888544891640869</c:v>
                </c:pt>
                <c:pt idx="19">
                  <c:v>0.76315789473684215</c:v>
                </c:pt>
                <c:pt idx="20">
                  <c:v>0.74922600619195046</c:v>
                </c:pt>
                <c:pt idx="21">
                  <c:v>0.72445820433436536</c:v>
                </c:pt>
                <c:pt idx="22">
                  <c:v>0.72445820433436536</c:v>
                </c:pt>
                <c:pt idx="23">
                  <c:v>0.80216383307573413</c:v>
                </c:pt>
                <c:pt idx="24">
                  <c:v>0.67333333333333334</c:v>
                </c:pt>
                <c:pt idx="25">
                  <c:v>0.84</c:v>
                </c:pt>
                <c:pt idx="26">
                  <c:v>0.84</c:v>
                </c:pt>
                <c:pt idx="27">
                  <c:v>0.80829015544041449</c:v>
                </c:pt>
                <c:pt idx="28">
                  <c:v>0.75689655172413794</c:v>
                </c:pt>
                <c:pt idx="29">
                  <c:v>0.7448275862068966</c:v>
                </c:pt>
                <c:pt idx="30">
                  <c:v>0.75689655172413794</c:v>
                </c:pt>
                <c:pt idx="31">
                  <c:v>0.68</c:v>
                </c:pt>
                <c:pt idx="32">
                  <c:v>0.84888888888888892</c:v>
                </c:pt>
                <c:pt idx="33">
                  <c:v>0.79685039370078736</c:v>
                </c:pt>
                <c:pt idx="34">
                  <c:v>0.74488188976377956</c:v>
                </c:pt>
                <c:pt idx="35">
                  <c:v>0.73070866141732282</c:v>
                </c:pt>
                <c:pt idx="36">
                  <c:v>0.71811023622047243</c:v>
                </c:pt>
                <c:pt idx="37">
                  <c:v>0.71023622047244095</c:v>
                </c:pt>
                <c:pt idx="38">
                  <c:v>0.76489028213166144</c:v>
                </c:pt>
                <c:pt idx="39">
                  <c:v>0.70444444444444443</c:v>
                </c:pt>
                <c:pt idx="40">
                  <c:v>0.81333333333333335</c:v>
                </c:pt>
                <c:pt idx="41">
                  <c:v>0.76369327073552429</c:v>
                </c:pt>
                <c:pt idx="42">
                  <c:v>0.7339593114241002</c:v>
                </c:pt>
                <c:pt idx="43">
                  <c:v>0.74021909233176841</c:v>
                </c:pt>
                <c:pt idx="44">
                  <c:v>0.68701095461658845</c:v>
                </c:pt>
                <c:pt idx="45">
                  <c:v>0.82159624413145538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B-4018-9156-B94AD34B9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983119"/>
        <c:axId val="1203106223"/>
      </c:scatterChart>
      <c:valAx>
        <c:axId val="110798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06223"/>
        <c:crosses val="autoZero"/>
        <c:crossBetween val="midCat"/>
      </c:valAx>
      <c:valAx>
        <c:axId val="12031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8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N30Lukut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408136482939638E-2"/>
                  <c:y val="-0.31578849518810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N30Lukut!$E$2:$E$47</c:f>
              <c:numCache>
                <c:formatCode>0.0%</c:formatCode>
                <c:ptCount val="46"/>
                <c:pt idx="0">
                  <c:v>0.88222222222222224</c:v>
                </c:pt>
                <c:pt idx="1">
                  <c:v>0.70531400966183577</c:v>
                </c:pt>
                <c:pt idx="2">
                  <c:v>0.87710843373493974</c:v>
                </c:pt>
                <c:pt idx="3">
                  <c:v>0.15777777777777777</c:v>
                </c:pt>
                <c:pt idx="4">
                  <c:v>0.30666666666666664</c:v>
                </c:pt>
                <c:pt idx="5">
                  <c:v>0.26474820143884892</c:v>
                </c:pt>
                <c:pt idx="6">
                  <c:v>0.29166666666666669</c:v>
                </c:pt>
                <c:pt idx="7">
                  <c:v>0.41954022988505746</c:v>
                </c:pt>
                <c:pt idx="8">
                  <c:v>0.48419540229885055</c:v>
                </c:pt>
                <c:pt idx="9">
                  <c:v>0.51</c:v>
                </c:pt>
                <c:pt idx="10">
                  <c:v>6.8888888888888888E-2</c:v>
                </c:pt>
                <c:pt idx="11">
                  <c:v>0.20666666666666667</c:v>
                </c:pt>
                <c:pt idx="12">
                  <c:v>0.16988950276243095</c:v>
                </c:pt>
                <c:pt idx="13">
                  <c:v>0.25276243093922651</c:v>
                </c:pt>
                <c:pt idx="14">
                  <c:v>0.29103448275862071</c:v>
                </c:pt>
                <c:pt idx="15">
                  <c:v>0.13111111111111112</c:v>
                </c:pt>
                <c:pt idx="16">
                  <c:v>9.3333333333333338E-2</c:v>
                </c:pt>
                <c:pt idx="17">
                  <c:v>0.13333333333333333</c:v>
                </c:pt>
                <c:pt idx="18">
                  <c:v>0.14086687306501547</c:v>
                </c:pt>
                <c:pt idx="19">
                  <c:v>0.10526315789473684</c:v>
                </c:pt>
                <c:pt idx="20">
                  <c:v>0.10681114551083591</c:v>
                </c:pt>
                <c:pt idx="21">
                  <c:v>0.16718266253869968</c:v>
                </c:pt>
                <c:pt idx="22">
                  <c:v>0.24613003095975233</c:v>
                </c:pt>
                <c:pt idx="23">
                  <c:v>0.23647604327666152</c:v>
                </c:pt>
                <c:pt idx="24">
                  <c:v>0.10666666666666667</c:v>
                </c:pt>
                <c:pt idx="25">
                  <c:v>0.12888888888888889</c:v>
                </c:pt>
                <c:pt idx="26">
                  <c:v>0.16666666666666666</c:v>
                </c:pt>
                <c:pt idx="27">
                  <c:v>0.23488773747841105</c:v>
                </c:pt>
                <c:pt idx="28">
                  <c:v>0.30517241379310345</c:v>
                </c:pt>
                <c:pt idx="29">
                  <c:v>0.31724137931034485</c:v>
                </c:pt>
                <c:pt idx="30">
                  <c:v>0.35517241379310344</c:v>
                </c:pt>
                <c:pt idx="31">
                  <c:v>8.4444444444444447E-2</c:v>
                </c:pt>
                <c:pt idx="32">
                  <c:v>8.2222222222222224E-2</c:v>
                </c:pt>
                <c:pt idx="33">
                  <c:v>5.6692913385826771E-2</c:v>
                </c:pt>
                <c:pt idx="34">
                  <c:v>0.10393700787401575</c:v>
                </c:pt>
                <c:pt idx="35">
                  <c:v>0.12598425196850394</c:v>
                </c:pt>
                <c:pt idx="36">
                  <c:v>0.12440944881889764</c:v>
                </c:pt>
                <c:pt idx="37">
                  <c:v>0.10393700787401575</c:v>
                </c:pt>
                <c:pt idx="38">
                  <c:v>0.14106583072100312</c:v>
                </c:pt>
                <c:pt idx="39">
                  <c:v>0.18222222222222223</c:v>
                </c:pt>
                <c:pt idx="40">
                  <c:v>0.20444444444444446</c:v>
                </c:pt>
                <c:pt idx="41">
                  <c:v>0.21439749608763695</c:v>
                </c:pt>
                <c:pt idx="42">
                  <c:v>0.20187793427230047</c:v>
                </c:pt>
                <c:pt idx="43">
                  <c:v>0.26134585289514867</c:v>
                </c:pt>
                <c:pt idx="44">
                  <c:v>0.27386541471048514</c:v>
                </c:pt>
                <c:pt idx="45">
                  <c:v>0.2519561815336463</c:v>
                </c:pt>
              </c:numCache>
            </c:numRef>
          </c:xVal>
          <c:yVal>
            <c:numRef>
              <c:f>N30Lukut!$B$2:$B$47</c:f>
              <c:numCache>
                <c:formatCode>0.0%</c:formatCode>
                <c:ptCount val="46"/>
                <c:pt idx="0">
                  <c:v>0.28125</c:v>
                </c:pt>
                <c:pt idx="1">
                  <c:v>0.34810126582278483</c:v>
                </c:pt>
                <c:pt idx="2">
                  <c:v>0.25</c:v>
                </c:pt>
                <c:pt idx="3">
                  <c:v>0.63091482649842268</c:v>
                </c:pt>
                <c:pt idx="4">
                  <c:v>0.56613756613756616</c:v>
                </c:pt>
                <c:pt idx="5">
                  <c:v>0.66958041958041958</c:v>
                </c:pt>
                <c:pt idx="6">
                  <c:v>0.70425138632162665</c:v>
                </c:pt>
                <c:pt idx="7">
                  <c:v>0.61689587426326131</c:v>
                </c:pt>
                <c:pt idx="8">
                  <c:v>0.62068965517241381</c:v>
                </c:pt>
                <c:pt idx="9">
                  <c:v>0.56994818652849744</c:v>
                </c:pt>
                <c:pt idx="10">
                  <c:v>0.75147928994082835</c:v>
                </c:pt>
                <c:pt idx="11">
                  <c:v>0.71276595744680848</c:v>
                </c:pt>
                <c:pt idx="12">
                  <c:v>0.77163904235727443</c:v>
                </c:pt>
                <c:pt idx="13">
                  <c:v>0.77052238805970152</c:v>
                </c:pt>
                <c:pt idx="14">
                  <c:v>0.71633752244165172</c:v>
                </c:pt>
                <c:pt idx="15">
                  <c:v>0.76872964169381108</c:v>
                </c:pt>
                <c:pt idx="16">
                  <c:v>0.79234972677595628</c:v>
                </c:pt>
                <c:pt idx="17">
                  <c:v>0.8262032085561497</c:v>
                </c:pt>
                <c:pt idx="18">
                  <c:v>0.81285444234404536</c:v>
                </c:pt>
                <c:pt idx="19">
                  <c:v>0.8661257606490872</c:v>
                </c:pt>
                <c:pt idx="20">
                  <c:v>0.87396694214876036</c:v>
                </c:pt>
                <c:pt idx="21">
                  <c:v>0.80982905982905984</c:v>
                </c:pt>
                <c:pt idx="22">
                  <c:v>0.78418803418803418</c:v>
                </c:pt>
                <c:pt idx="23">
                  <c:v>0.77842003853564545</c:v>
                </c:pt>
                <c:pt idx="24">
                  <c:v>0.80528052805280526</c:v>
                </c:pt>
                <c:pt idx="25">
                  <c:v>0.80158730158730163</c:v>
                </c:pt>
                <c:pt idx="26">
                  <c:v>0.79629629629629628</c:v>
                </c:pt>
                <c:pt idx="27">
                  <c:v>0.75854700854700852</c:v>
                </c:pt>
                <c:pt idx="28">
                  <c:v>0.68564920273348517</c:v>
                </c:pt>
                <c:pt idx="29">
                  <c:v>0.6967592592592593</c:v>
                </c:pt>
                <c:pt idx="30">
                  <c:v>0.67653758542141229</c:v>
                </c:pt>
                <c:pt idx="31">
                  <c:v>0.79084967320261434</c:v>
                </c:pt>
                <c:pt idx="32">
                  <c:v>0.89528795811518325</c:v>
                </c:pt>
                <c:pt idx="33">
                  <c:v>0.89130434782608692</c:v>
                </c:pt>
                <c:pt idx="34">
                  <c:v>0.85835095137420714</c:v>
                </c:pt>
                <c:pt idx="35">
                  <c:v>0.84913793103448276</c:v>
                </c:pt>
                <c:pt idx="36">
                  <c:v>0.84868421052631582</c:v>
                </c:pt>
                <c:pt idx="37">
                  <c:v>0.85809312638580926</c:v>
                </c:pt>
                <c:pt idx="38">
                  <c:v>0.84631147540983609</c:v>
                </c:pt>
                <c:pt idx="39">
                  <c:v>0.70977917981072558</c:v>
                </c:pt>
                <c:pt idx="40">
                  <c:v>0.77049180327868849</c:v>
                </c:pt>
                <c:pt idx="41">
                  <c:v>0.80327868852459017</c:v>
                </c:pt>
                <c:pt idx="42">
                  <c:v>0.78678038379530912</c:v>
                </c:pt>
                <c:pt idx="43">
                  <c:v>0.76744186046511631</c:v>
                </c:pt>
                <c:pt idx="44">
                  <c:v>0.76993166287015946</c:v>
                </c:pt>
                <c:pt idx="45">
                  <c:v>0.78476190476190477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A-4F31-BC24-E35199780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983119"/>
        <c:axId val="1203106223"/>
      </c:scatterChart>
      <c:valAx>
        <c:axId val="110798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06223"/>
        <c:crosses val="autoZero"/>
        <c:crossBetween val="midCat"/>
      </c:valAx>
      <c:valAx>
        <c:axId val="12031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8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N30Lukut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761154855643047E-2"/>
                  <c:y val="0.2374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N30Lukut!$F$2:$F$47</c:f>
              <c:numCache>
                <c:formatCode>0.0%</c:formatCode>
                <c:ptCount val="46"/>
                <c:pt idx="0">
                  <c:v>6.6666666666666666E-2</c:v>
                </c:pt>
                <c:pt idx="1">
                  <c:v>0.18357487922705315</c:v>
                </c:pt>
                <c:pt idx="2">
                  <c:v>9.8795180722891562E-2</c:v>
                </c:pt>
                <c:pt idx="3">
                  <c:v>0.31777777777777777</c:v>
                </c:pt>
                <c:pt idx="4">
                  <c:v>0.20444444444444446</c:v>
                </c:pt>
                <c:pt idx="5">
                  <c:v>0.20431654676258992</c:v>
                </c:pt>
                <c:pt idx="6">
                  <c:v>0.16666666666666666</c:v>
                </c:pt>
                <c:pt idx="7">
                  <c:v>0.13218390804597702</c:v>
                </c:pt>
                <c:pt idx="8">
                  <c:v>0.12931034482758622</c:v>
                </c:pt>
                <c:pt idx="9">
                  <c:v>0.12571428571428572</c:v>
                </c:pt>
                <c:pt idx="10">
                  <c:v>0.63777777777777778</c:v>
                </c:pt>
                <c:pt idx="11">
                  <c:v>0.44222222222222224</c:v>
                </c:pt>
                <c:pt idx="12">
                  <c:v>0.40331491712707185</c:v>
                </c:pt>
                <c:pt idx="13">
                  <c:v>0.38812154696132595</c:v>
                </c:pt>
                <c:pt idx="14">
                  <c:v>0.32</c:v>
                </c:pt>
                <c:pt idx="15">
                  <c:v>0.73555555555555552</c:v>
                </c:pt>
                <c:pt idx="16">
                  <c:v>0.73555555555555552</c:v>
                </c:pt>
                <c:pt idx="17">
                  <c:v>0.7155555555555555</c:v>
                </c:pt>
                <c:pt idx="18">
                  <c:v>0.70278637770897834</c:v>
                </c:pt>
                <c:pt idx="19">
                  <c:v>0.71826625386996901</c:v>
                </c:pt>
                <c:pt idx="20">
                  <c:v>0.67956656346749222</c:v>
                </c:pt>
                <c:pt idx="21">
                  <c:v>0.60216718266253866</c:v>
                </c:pt>
                <c:pt idx="22">
                  <c:v>0.52476780185758509</c:v>
                </c:pt>
                <c:pt idx="23">
                  <c:v>0.58268933539412671</c:v>
                </c:pt>
                <c:pt idx="24">
                  <c:v>0.79555555555555557</c:v>
                </c:pt>
                <c:pt idx="25">
                  <c:v>0.79555555555555557</c:v>
                </c:pt>
                <c:pt idx="26">
                  <c:v>0.7</c:v>
                </c:pt>
                <c:pt idx="27">
                  <c:v>0.56476683937823835</c:v>
                </c:pt>
                <c:pt idx="28">
                  <c:v>0.4879310344827586</c:v>
                </c:pt>
                <c:pt idx="29">
                  <c:v>0.47068965517241379</c:v>
                </c:pt>
                <c:pt idx="30">
                  <c:v>0.36206896551724138</c:v>
                </c:pt>
                <c:pt idx="31">
                  <c:v>0.77777777777777779</c:v>
                </c:pt>
                <c:pt idx="32">
                  <c:v>0.81777777777777783</c:v>
                </c:pt>
                <c:pt idx="33">
                  <c:v>0.83307086614173231</c:v>
                </c:pt>
                <c:pt idx="34">
                  <c:v>0.72283464566929134</c:v>
                </c:pt>
                <c:pt idx="35">
                  <c:v>0.721259842519685</c:v>
                </c:pt>
                <c:pt idx="36">
                  <c:v>0.68976377952755907</c:v>
                </c:pt>
                <c:pt idx="37">
                  <c:v>0.70078740157480313</c:v>
                </c:pt>
                <c:pt idx="38">
                  <c:v>0.6739811912225705</c:v>
                </c:pt>
                <c:pt idx="39">
                  <c:v>0.4</c:v>
                </c:pt>
                <c:pt idx="40">
                  <c:v>0.39555555555555555</c:v>
                </c:pt>
                <c:pt idx="41">
                  <c:v>0.4569640062597809</c:v>
                </c:pt>
                <c:pt idx="42">
                  <c:v>0.49452269170579027</c:v>
                </c:pt>
                <c:pt idx="43">
                  <c:v>0.47261345852895148</c:v>
                </c:pt>
                <c:pt idx="44">
                  <c:v>0.45070422535211269</c:v>
                </c:pt>
                <c:pt idx="45">
                  <c:v>0.47417840375586856</c:v>
                </c:pt>
              </c:numCache>
            </c:numRef>
          </c:xVal>
          <c:yVal>
            <c:numRef>
              <c:f>N30Lukut!$B$2:$B$47</c:f>
              <c:numCache>
                <c:formatCode>0.0%</c:formatCode>
                <c:ptCount val="46"/>
                <c:pt idx="0">
                  <c:v>0.28125</c:v>
                </c:pt>
                <c:pt idx="1">
                  <c:v>0.34810126582278483</c:v>
                </c:pt>
                <c:pt idx="2">
                  <c:v>0.25</c:v>
                </c:pt>
                <c:pt idx="3">
                  <c:v>0.63091482649842268</c:v>
                </c:pt>
                <c:pt idx="4">
                  <c:v>0.56613756613756616</c:v>
                </c:pt>
                <c:pt idx="5">
                  <c:v>0.66958041958041958</c:v>
                </c:pt>
                <c:pt idx="6">
                  <c:v>0.70425138632162665</c:v>
                </c:pt>
                <c:pt idx="7">
                  <c:v>0.61689587426326131</c:v>
                </c:pt>
                <c:pt idx="8">
                  <c:v>0.62068965517241381</c:v>
                </c:pt>
                <c:pt idx="9">
                  <c:v>0.56994818652849744</c:v>
                </c:pt>
                <c:pt idx="10">
                  <c:v>0.75147928994082835</c:v>
                </c:pt>
                <c:pt idx="11">
                  <c:v>0.71276595744680848</c:v>
                </c:pt>
                <c:pt idx="12">
                  <c:v>0.77163904235727443</c:v>
                </c:pt>
                <c:pt idx="13">
                  <c:v>0.77052238805970152</c:v>
                </c:pt>
                <c:pt idx="14">
                  <c:v>0.71633752244165172</c:v>
                </c:pt>
                <c:pt idx="15">
                  <c:v>0.76872964169381108</c:v>
                </c:pt>
                <c:pt idx="16">
                  <c:v>0.79234972677595628</c:v>
                </c:pt>
                <c:pt idx="17">
                  <c:v>0.8262032085561497</c:v>
                </c:pt>
                <c:pt idx="18">
                  <c:v>0.81285444234404536</c:v>
                </c:pt>
                <c:pt idx="19">
                  <c:v>0.8661257606490872</c:v>
                </c:pt>
                <c:pt idx="20">
                  <c:v>0.87396694214876036</c:v>
                </c:pt>
                <c:pt idx="21">
                  <c:v>0.80982905982905984</c:v>
                </c:pt>
                <c:pt idx="22">
                  <c:v>0.78418803418803418</c:v>
                </c:pt>
                <c:pt idx="23">
                  <c:v>0.77842003853564545</c:v>
                </c:pt>
                <c:pt idx="24">
                  <c:v>0.80528052805280526</c:v>
                </c:pt>
                <c:pt idx="25">
                  <c:v>0.80158730158730163</c:v>
                </c:pt>
                <c:pt idx="26">
                  <c:v>0.79629629629629628</c:v>
                </c:pt>
                <c:pt idx="27">
                  <c:v>0.75854700854700852</c:v>
                </c:pt>
                <c:pt idx="28">
                  <c:v>0.68564920273348517</c:v>
                </c:pt>
                <c:pt idx="29">
                  <c:v>0.6967592592592593</c:v>
                </c:pt>
                <c:pt idx="30">
                  <c:v>0.67653758542141229</c:v>
                </c:pt>
                <c:pt idx="31">
                  <c:v>0.79084967320261434</c:v>
                </c:pt>
                <c:pt idx="32">
                  <c:v>0.89528795811518325</c:v>
                </c:pt>
                <c:pt idx="33">
                  <c:v>0.89130434782608692</c:v>
                </c:pt>
                <c:pt idx="34">
                  <c:v>0.85835095137420714</c:v>
                </c:pt>
                <c:pt idx="35">
                  <c:v>0.84913793103448276</c:v>
                </c:pt>
                <c:pt idx="36">
                  <c:v>0.84868421052631582</c:v>
                </c:pt>
                <c:pt idx="37">
                  <c:v>0.85809312638580926</c:v>
                </c:pt>
                <c:pt idx="38">
                  <c:v>0.84631147540983609</c:v>
                </c:pt>
                <c:pt idx="39">
                  <c:v>0.70977917981072558</c:v>
                </c:pt>
                <c:pt idx="40">
                  <c:v>0.77049180327868849</c:v>
                </c:pt>
                <c:pt idx="41">
                  <c:v>0.80327868852459017</c:v>
                </c:pt>
                <c:pt idx="42">
                  <c:v>0.78678038379530912</c:v>
                </c:pt>
                <c:pt idx="43">
                  <c:v>0.76744186046511631</c:v>
                </c:pt>
                <c:pt idx="44">
                  <c:v>0.76993166287015946</c:v>
                </c:pt>
                <c:pt idx="45">
                  <c:v>0.78476190476190477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E-40BD-BBFA-8AE8FAF9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983119"/>
        <c:axId val="1203106223"/>
      </c:scatterChart>
      <c:valAx>
        <c:axId val="110798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06223"/>
        <c:crosses val="autoZero"/>
        <c:crossBetween val="midCat"/>
      </c:valAx>
      <c:valAx>
        <c:axId val="12031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8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N30Lukut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761154855643047E-2"/>
                  <c:y val="0.2374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N30Lukut!$G$2:$G$47</c:f>
              <c:numCache>
                <c:formatCode>0.0%</c:formatCode>
                <c:ptCount val="46"/>
                <c:pt idx="0">
                  <c:v>4.6666666666666669E-2</c:v>
                </c:pt>
                <c:pt idx="1">
                  <c:v>0.10869565217391304</c:v>
                </c:pt>
                <c:pt idx="2">
                  <c:v>2.4096385542168676E-2</c:v>
                </c:pt>
                <c:pt idx="3">
                  <c:v>0.52</c:v>
                </c:pt>
                <c:pt idx="4">
                  <c:v>0.48</c:v>
                </c:pt>
                <c:pt idx="5">
                  <c:v>0.52230215827338133</c:v>
                </c:pt>
                <c:pt idx="6">
                  <c:v>0.53448275862068961</c:v>
                </c:pt>
                <c:pt idx="7">
                  <c:v>0.44396551724137934</c:v>
                </c:pt>
                <c:pt idx="8">
                  <c:v>0.38505747126436779</c:v>
                </c:pt>
                <c:pt idx="9">
                  <c:v>0.36285714285714288</c:v>
                </c:pt>
                <c:pt idx="10">
                  <c:v>0.29333333333333333</c:v>
                </c:pt>
                <c:pt idx="11">
                  <c:v>0.34222222222222221</c:v>
                </c:pt>
                <c:pt idx="12">
                  <c:v>0.42265193370165743</c:v>
                </c:pt>
                <c:pt idx="13">
                  <c:v>0.35359116022099446</c:v>
                </c:pt>
                <c:pt idx="14">
                  <c:v>0.38758620689655171</c:v>
                </c:pt>
                <c:pt idx="15">
                  <c:v>0.12888888888888889</c:v>
                </c:pt>
                <c:pt idx="16">
                  <c:v>0.16666666666666666</c:v>
                </c:pt>
                <c:pt idx="17">
                  <c:v>0.14666666666666667</c:v>
                </c:pt>
                <c:pt idx="18">
                  <c:v>0.15479876160990713</c:v>
                </c:pt>
                <c:pt idx="19">
                  <c:v>0.16873065015479877</c:v>
                </c:pt>
                <c:pt idx="20">
                  <c:v>0.20897832817337461</c:v>
                </c:pt>
                <c:pt idx="21">
                  <c:v>0.23065015479876161</c:v>
                </c:pt>
                <c:pt idx="22">
                  <c:v>0.22755417956656346</c:v>
                </c:pt>
                <c:pt idx="23">
                  <c:v>0.18083462132921174</c:v>
                </c:pt>
                <c:pt idx="24">
                  <c:v>9.7777777777777783E-2</c:v>
                </c:pt>
                <c:pt idx="25">
                  <c:v>7.3333333333333334E-2</c:v>
                </c:pt>
                <c:pt idx="26">
                  <c:v>0.13111111111111112</c:v>
                </c:pt>
                <c:pt idx="27">
                  <c:v>0.18825561312607944</c:v>
                </c:pt>
                <c:pt idx="28">
                  <c:v>0.20689655172413793</c:v>
                </c:pt>
                <c:pt idx="29">
                  <c:v>0.20862068965517241</c:v>
                </c:pt>
                <c:pt idx="30">
                  <c:v>0.28275862068965518</c:v>
                </c:pt>
                <c:pt idx="31">
                  <c:v>0.13777777777777778</c:v>
                </c:pt>
                <c:pt idx="32">
                  <c:v>0.1</c:v>
                </c:pt>
                <c:pt idx="33">
                  <c:v>0.11023622047244094</c:v>
                </c:pt>
                <c:pt idx="34">
                  <c:v>0.16692913385826771</c:v>
                </c:pt>
                <c:pt idx="35">
                  <c:v>0.14803149606299212</c:v>
                </c:pt>
                <c:pt idx="36">
                  <c:v>0.18267716535433071</c:v>
                </c:pt>
                <c:pt idx="37">
                  <c:v>0.1952755905511811</c:v>
                </c:pt>
                <c:pt idx="38">
                  <c:v>0.18495297805642633</c:v>
                </c:pt>
                <c:pt idx="39">
                  <c:v>0.4022222222222222</c:v>
                </c:pt>
                <c:pt idx="40">
                  <c:v>0.3888888888888889</c:v>
                </c:pt>
                <c:pt idx="41">
                  <c:v>0.323943661971831</c:v>
                </c:pt>
                <c:pt idx="42">
                  <c:v>0.29577464788732394</c:v>
                </c:pt>
                <c:pt idx="43">
                  <c:v>0.25978090766823159</c:v>
                </c:pt>
                <c:pt idx="44">
                  <c:v>0.27073552425665104</c:v>
                </c:pt>
                <c:pt idx="45">
                  <c:v>0.27073552425665104</c:v>
                </c:pt>
              </c:numCache>
            </c:numRef>
          </c:xVal>
          <c:yVal>
            <c:numRef>
              <c:f>N30Lukut!$B$2:$B$47</c:f>
              <c:numCache>
                <c:formatCode>0.0%</c:formatCode>
                <c:ptCount val="46"/>
                <c:pt idx="0">
                  <c:v>0.28125</c:v>
                </c:pt>
                <c:pt idx="1">
                  <c:v>0.34810126582278483</c:v>
                </c:pt>
                <c:pt idx="2">
                  <c:v>0.25</c:v>
                </c:pt>
                <c:pt idx="3">
                  <c:v>0.63091482649842268</c:v>
                </c:pt>
                <c:pt idx="4">
                  <c:v>0.56613756613756616</c:v>
                </c:pt>
                <c:pt idx="5">
                  <c:v>0.66958041958041958</c:v>
                </c:pt>
                <c:pt idx="6">
                  <c:v>0.70425138632162665</c:v>
                </c:pt>
                <c:pt idx="7">
                  <c:v>0.61689587426326131</c:v>
                </c:pt>
                <c:pt idx="8">
                  <c:v>0.62068965517241381</c:v>
                </c:pt>
                <c:pt idx="9">
                  <c:v>0.56994818652849744</c:v>
                </c:pt>
                <c:pt idx="10">
                  <c:v>0.75147928994082835</c:v>
                </c:pt>
                <c:pt idx="11">
                  <c:v>0.71276595744680848</c:v>
                </c:pt>
                <c:pt idx="12">
                  <c:v>0.77163904235727443</c:v>
                </c:pt>
                <c:pt idx="13">
                  <c:v>0.77052238805970152</c:v>
                </c:pt>
                <c:pt idx="14">
                  <c:v>0.71633752244165172</c:v>
                </c:pt>
                <c:pt idx="15">
                  <c:v>0.76872964169381108</c:v>
                </c:pt>
                <c:pt idx="16">
                  <c:v>0.79234972677595628</c:v>
                </c:pt>
                <c:pt idx="17">
                  <c:v>0.8262032085561497</c:v>
                </c:pt>
                <c:pt idx="18">
                  <c:v>0.81285444234404536</c:v>
                </c:pt>
                <c:pt idx="19">
                  <c:v>0.8661257606490872</c:v>
                </c:pt>
                <c:pt idx="20">
                  <c:v>0.87396694214876036</c:v>
                </c:pt>
                <c:pt idx="21">
                  <c:v>0.80982905982905984</c:v>
                </c:pt>
                <c:pt idx="22">
                  <c:v>0.78418803418803418</c:v>
                </c:pt>
                <c:pt idx="23">
                  <c:v>0.77842003853564545</c:v>
                </c:pt>
                <c:pt idx="24">
                  <c:v>0.80528052805280526</c:v>
                </c:pt>
                <c:pt idx="25">
                  <c:v>0.80158730158730163</c:v>
                </c:pt>
                <c:pt idx="26">
                  <c:v>0.79629629629629628</c:v>
                </c:pt>
                <c:pt idx="27">
                  <c:v>0.75854700854700852</c:v>
                </c:pt>
                <c:pt idx="28">
                  <c:v>0.68564920273348517</c:v>
                </c:pt>
                <c:pt idx="29">
                  <c:v>0.6967592592592593</c:v>
                </c:pt>
                <c:pt idx="30">
                  <c:v>0.67653758542141229</c:v>
                </c:pt>
                <c:pt idx="31">
                  <c:v>0.79084967320261434</c:v>
                </c:pt>
                <c:pt idx="32">
                  <c:v>0.89528795811518325</c:v>
                </c:pt>
                <c:pt idx="33">
                  <c:v>0.89130434782608692</c:v>
                </c:pt>
                <c:pt idx="34">
                  <c:v>0.85835095137420714</c:v>
                </c:pt>
                <c:pt idx="35">
                  <c:v>0.84913793103448276</c:v>
                </c:pt>
                <c:pt idx="36">
                  <c:v>0.84868421052631582</c:v>
                </c:pt>
                <c:pt idx="37">
                  <c:v>0.85809312638580926</c:v>
                </c:pt>
                <c:pt idx="38">
                  <c:v>0.84631147540983609</c:v>
                </c:pt>
                <c:pt idx="39">
                  <c:v>0.70977917981072558</c:v>
                </c:pt>
                <c:pt idx="40">
                  <c:v>0.77049180327868849</c:v>
                </c:pt>
                <c:pt idx="41">
                  <c:v>0.80327868852459017</c:v>
                </c:pt>
                <c:pt idx="42">
                  <c:v>0.78678038379530912</c:v>
                </c:pt>
                <c:pt idx="43">
                  <c:v>0.76744186046511631</c:v>
                </c:pt>
                <c:pt idx="44">
                  <c:v>0.76993166287015946</c:v>
                </c:pt>
                <c:pt idx="45">
                  <c:v>0.78476190476190477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B7-49DD-8CD4-9E64C1C99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983119"/>
        <c:axId val="1203106223"/>
      </c:scatterChart>
      <c:valAx>
        <c:axId val="110798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06223"/>
        <c:crosses val="autoZero"/>
        <c:crossBetween val="midCat"/>
      </c:valAx>
      <c:valAx>
        <c:axId val="12031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8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23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4FB0B0-A892-4537-A2A5-DCD6B6916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22</xdr:row>
      <xdr:rowOff>68580</xdr:rowOff>
    </xdr:from>
    <xdr:to>
      <xdr:col>23</xdr:col>
      <xdr:colOff>403860</xdr:colOff>
      <xdr:row>38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4009AB-3CB7-40C1-8D30-F5F95DA10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23</xdr:col>
      <xdr:colOff>304800</xdr:colOff>
      <xdr:row>58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88349D-313D-45B4-A03F-A80503612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32</xdr:col>
      <xdr:colOff>304800</xdr:colOff>
      <xdr:row>19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2678A4-7238-4895-AEF6-E2A32FD29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42</xdr:row>
      <xdr:rowOff>0</xdr:rowOff>
    </xdr:from>
    <xdr:to>
      <xdr:col>32</xdr:col>
      <xdr:colOff>304800</xdr:colOff>
      <xdr:row>58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7D8734-C83C-4C29-9EAD-369C4F833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</xdr:row>
      <xdr:rowOff>0</xdr:rowOff>
    </xdr:from>
    <xdr:to>
      <xdr:col>41</xdr:col>
      <xdr:colOff>304800</xdr:colOff>
      <xdr:row>19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FC7CAC-56D2-4B12-BC5E-44F7CCD2B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41</xdr:col>
      <xdr:colOff>304800</xdr:colOff>
      <xdr:row>58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B4DB29-D094-487F-83BF-6E422D91A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3</xdr:row>
      <xdr:rowOff>121920</xdr:rowOff>
    </xdr:from>
    <xdr:to>
      <xdr:col>17</xdr:col>
      <xdr:colOff>388620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47C77-5FF2-4D21-B477-CE2CCBDE6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17</xdr:col>
      <xdr:colOff>304800</xdr:colOff>
      <xdr:row>39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887025-0609-45F0-ABDE-6D7383A98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17</xdr:col>
      <xdr:colOff>304800</xdr:colOff>
      <xdr:row>58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0C75CB-C469-466E-8351-98177E829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20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3F1BF3-89D6-446E-B0E9-5BC6CA37F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23</xdr:row>
      <xdr:rowOff>0</xdr:rowOff>
    </xdr:from>
    <xdr:to>
      <xdr:col>26</xdr:col>
      <xdr:colOff>304800</xdr:colOff>
      <xdr:row>39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C2DAB7-D3F4-459D-85AF-70A8C38D1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26</xdr:col>
      <xdr:colOff>304800</xdr:colOff>
      <xdr:row>58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21CEB1-BD63-4F0F-854F-5A09B7D3D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539242</xdr:colOff>
      <xdr:row>18</xdr:row>
      <xdr:rowOff>204977</xdr:rowOff>
    </xdr:from>
    <xdr:ext cx="3808729" cy="48005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202311</xdr:colOff>
      <xdr:row>3</xdr:row>
      <xdr:rowOff>761</xdr:rowOff>
    </xdr:from>
    <xdr:ext cx="381000" cy="38100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201930</xdr:colOff>
      <xdr:row>3</xdr:row>
      <xdr:rowOff>49142</xdr:rowOff>
    </xdr:from>
    <xdr:ext cx="381000" cy="290285"/>
    <xdr:pic>
      <xdr:nvPicPr>
        <xdr:cNvPr id="7" name="image5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4</xdr:col>
      <xdr:colOff>539750</xdr:colOff>
      <xdr:row>20</xdr:row>
      <xdr:rowOff>0</xdr:rowOff>
    </xdr:from>
    <xdr:ext cx="4445635" cy="23939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445635" cy="239395"/>
        </a:xfrm>
        <a:custGeom>
          <a:avLst/>
          <a:gdLst/>
          <a:ahLst/>
          <a:cxnLst/>
          <a:rect l="0" t="0" r="0" b="0"/>
          <a:pathLst>
            <a:path w="4445635" h="239395">
              <a:moveTo>
                <a:pt x="633984" y="0"/>
              </a:moveTo>
              <a:lnTo>
                <a:pt x="0" y="0"/>
              </a:lnTo>
              <a:lnTo>
                <a:pt x="0" y="239268"/>
              </a:lnTo>
              <a:lnTo>
                <a:pt x="633984" y="239268"/>
              </a:lnTo>
              <a:lnTo>
                <a:pt x="633984" y="0"/>
              </a:lnTo>
              <a:close/>
            </a:path>
            <a:path w="4445635" h="239395">
              <a:moveTo>
                <a:pt x="1397508" y="0"/>
              </a:moveTo>
              <a:lnTo>
                <a:pt x="637032" y="0"/>
              </a:lnTo>
              <a:lnTo>
                <a:pt x="637032" y="239268"/>
              </a:lnTo>
              <a:lnTo>
                <a:pt x="1397508" y="239268"/>
              </a:lnTo>
              <a:lnTo>
                <a:pt x="1397508" y="0"/>
              </a:lnTo>
              <a:close/>
            </a:path>
            <a:path w="4445635" h="239395">
              <a:moveTo>
                <a:pt x="2159508" y="0"/>
              </a:moveTo>
              <a:lnTo>
                <a:pt x="1400556" y="0"/>
              </a:lnTo>
              <a:lnTo>
                <a:pt x="1400556" y="239268"/>
              </a:lnTo>
              <a:lnTo>
                <a:pt x="2159508" y="239268"/>
              </a:lnTo>
              <a:lnTo>
                <a:pt x="2159508" y="0"/>
              </a:lnTo>
              <a:close/>
            </a:path>
            <a:path w="4445635" h="239395">
              <a:moveTo>
                <a:pt x="2921495" y="0"/>
              </a:moveTo>
              <a:lnTo>
                <a:pt x="2162556" y="0"/>
              </a:lnTo>
              <a:lnTo>
                <a:pt x="2162556" y="239268"/>
              </a:lnTo>
              <a:lnTo>
                <a:pt x="2921495" y="239268"/>
              </a:lnTo>
              <a:lnTo>
                <a:pt x="2921495" y="0"/>
              </a:lnTo>
              <a:close/>
            </a:path>
            <a:path w="4445635" h="239395">
              <a:moveTo>
                <a:pt x="3683508" y="0"/>
              </a:moveTo>
              <a:lnTo>
                <a:pt x="2924556" y="0"/>
              </a:lnTo>
              <a:lnTo>
                <a:pt x="2924556" y="239268"/>
              </a:lnTo>
              <a:lnTo>
                <a:pt x="3683508" y="239268"/>
              </a:lnTo>
              <a:lnTo>
                <a:pt x="3683508" y="0"/>
              </a:lnTo>
              <a:close/>
            </a:path>
            <a:path w="4445635" h="239395">
              <a:moveTo>
                <a:pt x="4445508" y="0"/>
              </a:moveTo>
              <a:lnTo>
                <a:pt x="3686556" y="0"/>
              </a:lnTo>
              <a:lnTo>
                <a:pt x="3686556" y="239268"/>
              </a:lnTo>
              <a:lnTo>
                <a:pt x="4445508" y="239268"/>
              </a:lnTo>
              <a:lnTo>
                <a:pt x="444550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2095</xdr:colOff>
      <xdr:row>4</xdr:row>
      <xdr:rowOff>1524</xdr:rowOff>
    </xdr:from>
    <xdr:ext cx="645160" cy="23939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45160" cy="239395"/>
        </a:xfrm>
        <a:custGeom>
          <a:avLst/>
          <a:gdLst/>
          <a:ahLst/>
          <a:cxnLst/>
          <a:rect l="0" t="0" r="0" b="0"/>
          <a:pathLst>
            <a:path w="645160" h="239395">
              <a:moveTo>
                <a:pt x="644651" y="0"/>
              </a:moveTo>
              <a:lnTo>
                <a:pt x="0" y="0"/>
              </a:lnTo>
              <a:lnTo>
                <a:pt x="0" y="239268"/>
              </a:lnTo>
              <a:lnTo>
                <a:pt x="644651" y="239268"/>
              </a:lnTo>
              <a:lnTo>
                <a:pt x="644651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226059</xdr:colOff>
      <xdr:row>21</xdr:row>
      <xdr:rowOff>0</xdr:rowOff>
    </xdr:from>
    <xdr:ext cx="7486015" cy="3540760"/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607059" y="6294120"/>
          <a:ext cx="7486015" cy="3540760"/>
          <a:chOff x="0" y="0"/>
          <a:chExt cx="7486015" cy="354076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7486015" cy="2920365"/>
          </a:xfrm>
          <a:custGeom>
            <a:avLst/>
            <a:gdLst/>
            <a:ahLst/>
            <a:cxnLst/>
            <a:rect l="0" t="0" r="0" b="0"/>
            <a:pathLst>
              <a:path w="7486015" h="2920365">
                <a:moveTo>
                  <a:pt x="312420" y="416052"/>
                </a:moveTo>
                <a:lnTo>
                  <a:pt x="0" y="416052"/>
                </a:lnTo>
                <a:lnTo>
                  <a:pt x="0" y="941832"/>
                </a:lnTo>
                <a:lnTo>
                  <a:pt x="312420" y="941832"/>
                </a:lnTo>
                <a:lnTo>
                  <a:pt x="312420" y="416052"/>
                </a:lnTo>
                <a:close/>
              </a:path>
              <a:path w="7486015" h="2920365">
                <a:moveTo>
                  <a:pt x="312420" y="0"/>
                </a:moveTo>
                <a:lnTo>
                  <a:pt x="0" y="0"/>
                </a:lnTo>
                <a:lnTo>
                  <a:pt x="0" y="413004"/>
                </a:lnTo>
                <a:lnTo>
                  <a:pt x="312420" y="413004"/>
                </a:lnTo>
                <a:lnTo>
                  <a:pt x="312420" y="0"/>
                </a:lnTo>
                <a:close/>
              </a:path>
              <a:path w="7486015" h="2920365">
                <a:moveTo>
                  <a:pt x="1264920" y="416052"/>
                </a:moveTo>
                <a:lnTo>
                  <a:pt x="315468" y="416052"/>
                </a:lnTo>
                <a:lnTo>
                  <a:pt x="315468" y="941832"/>
                </a:lnTo>
                <a:lnTo>
                  <a:pt x="1264920" y="941832"/>
                </a:lnTo>
                <a:lnTo>
                  <a:pt x="1264920" y="416052"/>
                </a:lnTo>
                <a:close/>
              </a:path>
              <a:path w="7486015" h="2920365">
                <a:moveTo>
                  <a:pt x="1264920" y="0"/>
                </a:moveTo>
                <a:lnTo>
                  <a:pt x="315468" y="0"/>
                </a:lnTo>
                <a:lnTo>
                  <a:pt x="315468" y="413004"/>
                </a:lnTo>
                <a:lnTo>
                  <a:pt x="1264920" y="413004"/>
                </a:lnTo>
                <a:lnTo>
                  <a:pt x="1264920" y="0"/>
                </a:lnTo>
                <a:close/>
              </a:path>
              <a:path w="7486015" h="2920365">
                <a:moveTo>
                  <a:pt x="2531364" y="944880"/>
                </a:moveTo>
                <a:lnTo>
                  <a:pt x="1267968" y="944880"/>
                </a:lnTo>
                <a:lnTo>
                  <a:pt x="1267968" y="1470660"/>
                </a:lnTo>
                <a:lnTo>
                  <a:pt x="2531364" y="1470660"/>
                </a:lnTo>
                <a:lnTo>
                  <a:pt x="2531364" y="944880"/>
                </a:lnTo>
                <a:close/>
              </a:path>
              <a:path w="7486015" h="2920365">
                <a:moveTo>
                  <a:pt x="2531364" y="416052"/>
                </a:moveTo>
                <a:lnTo>
                  <a:pt x="1267968" y="416052"/>
                </a:lnTo>
                <a:lnTo>
                  <a:pt x="1267968" y="941832"/>
                </a:lnTo>
                <a:lnTo>
                  <a:pt x="2531364" y="941832"/>
                </a:lnTo>
                <a:lnTo>
                  <a:pt x="2531364" y="416052"/>
                </a:lnTo>
                <a:close/>
              </a:path>
              <a:path w="7486015" h="2920365">
                <a:moveTo>
                  <a:pt x="2531364" y="0"/>
                </a:moveTo>
                <a:lnTo>
                  <a:pt x="1267968" y="0"/>
                </a:lnTo>
                <a:lnTo>
                  <a:pt x="1267968" y="413004"/>
                </a:lnTo>
                <a:lnTo>
                  <a:pt x="2531364" y="413004"/>
                </a:lnTo>
                <a:lnTo>
                  <a:pt x="2531364" y="0"/>
                </a:lnTo>
                <a:close/>
              </a:path>
              <a:path w="7486015" h="2920365">
                <a:moveTo>
                  <a:pt x="3037332" y="2715768"/>
                </a:moveTo>
                <a:lnTo>
                  <a:pt x="2534412" y="2715768"/>
                </a:lnTo>
                <a:lnTo>
                  <a:pt x="2534412" y="2919984"/>
                </a:lnTo>
                <a:lnTo>
                  <a:pt x="3037332" y="2919984"/>
                </a:lnTo>
                <a:lnTo>
                  <a:pt x="3037332" y="2715768"/>
                </a:lnTo>
                <a:close/>
              </a:path>
              <a:path w="7486015" h="2920365">
                <a:moveTo>
                  <a:pt x="3037332" y="2508504"/>
                </a:moveTo>
                <a:lnTo>
                  <a:pt x="2534412" y="2508504"/>
                </a:lnTo>
                <a:lnTo>
                  <a:pt x="2534412" y="2712720"/>
                </a:lnTo>
                <a:lnTo>
                  <a:pt x="3037332" y="2712720"/>
                </a:lnTo>
                <a:lnTo>
                  <a:pt x="3037332" y="2508504"/>
                </a:lnTo>
                <a:close/>
              </a:path>
              <a:path w="7486015" h="2920365">
                <a:moveTo>
                  <a:pt x="3037332" y="2301240"/>
                </a:moveTo>
                <a:lnTo>
                  <a:pt x="2534412" y="2301240"/>
                </a:lnTo>
                <a:lnTo>
                  <a:pt x="2534412" y="2505456"/>
                </a:lnTo>
                <a:lnTo>
                  <a:pt x="3037332" y="2505456"/>
                </a:lnTo>
                <a:lnTo>
                  <a:pt x="3037332" y="2301240"/>
                </a:lnTo>
                <a:close/>
              </a:path>
              <a:path w="7486015" h="2920365">
                <a:moveTo>
                  <a:pt x="3037332" y="2095500"/>
                </a:moveTo>
                <a:lnTo>
                  <a:pt x="2534412" y="2095500"/>
                </a:lnTo>
                <a:lnTo>
                  <a:pt x="2534412" y="2298192"/>
                </a:lnTo>
                <a:lnTo>
                  <a:pt x="3037332" y="2298192"/>
                </a:lnTo>
                <a:lnTo>
                  <a:pt x="3037332" y="2095500"/>
                </a:lnTo>
                <a:close/>
              </a:path>
              <a:path w="7486015" h="2920365">
                <a:moveTo>
                  <a:pt x="3037332" y="1888236"/>
                </a:moveTo>
                <a:lnTo>
                  <a:pt x="2534412" y="1888236"/>
                </a:lnTo>
                <a:lnTo>
                  <a:pt x="2534412" y="2092452"/>
                </a:lnTo>
                <a:lnTo>
                  <a:pt x="3037332" y="2092452"/>
                </a:lnTo>
                <a:lnTo>
                  <a:pt x="3037332" y="1888236"/>
                </a:lnTo>
                <a:close/>
              </a:path>
              <a:path w="7486015" h="2920365">
                <a:moveTo>
                  <a:pt x="3037332" y="1680972"/>
                </a:moveTo>
                <a:lnTo>
                  <a:pt x="2534412" y="1680972"/>
                </a:lnTo>
                <a:lnTo>
                  <a:pt x="2534412" y="1885188"/>
                </a:lnTo>
                <a:lnTo>
                  <a:pt x="3037332" y="1885188"/>
                </a:lnTo>
                <a:lnTo>
                  <a:pt x="3037332" y="1680972"/>
                </a:lnTo>
                <a:close/>
              </a:path>
              <a:path w="7486015" h="2920365">
                <a:moveTo>
                  <a:pt x="3037332" y="1473708"/>
                </a:moveTo>
                <a:lnTo>
                  <a:pt x="2534412" y="1473708"/>
                </a:lnTo>
                <a:lnTo>
                  <a:pt x="2534412" y="1677924"/>
                </a:lnTo>
                <a:lnTo>
                  <a:pt x="3037332" y="1677924"/>
                </a:lnTo>
                <a:lnTo>
                  <a:pt x="3037332" y="1473708"/>
                </a:lnTo>
                <a:close/>
              </a:path>
              <a:path w="7486015" h="2920365">
                <a:moveTo>
                  <a:pt x="3037332" y="944880"/>
                </a:moveTo>
                <a:lnTo>
                  <a:pt x="2534412" y="944880"/>
                </a:lnTo>
                <a:lnTo>
                  <a:pt x="2534412" y="1470660"/>
                </a:lnTo>
                <a:lnTo>
                  <a:pt x="3037332" y="1470660"/>
                </a:lnTo>
                <a:lnTo>
                  <a:pt x="3037332" y="944880"/>
                </a:lnTo>
                <a:close/>
              </a:path>
              <a:path w="7486015" h="2920365">
                <a:moveTo>
                  <a:pt x="3037332" y="416052"/>
                </a:moveTo>
                <a:lnTo>
                  <a:pt x="2534412" y="416052"/>
                </a:lnTo>
                <a:lnTo>
                  <a:pt x="2534412" y="941832"/>
                </a:lnTo>
                <a:lnTo>
                  <a:pt x="3037332" y="941832"/>
                </a:lnTo>
                <a:lnTo>
                  <a:pt x="3037332" y="416052"/>
                </a:lnTo>
                <a:close/>
              </a:path>
              <a:path w="7486015" h="2920365">
                <a:moveTo>
                  <a:pt x="3037332" y="0"/>
                </a:moveTo>
                <a:lnTo>
                  <a:pt x="2534412" y="0"/>
                </a:lnTo>
                <a:lnTo>
                  <a:pt x="2534412" y="413004"/>
                </a:lnTo>
                <a:lnTo>
                  <a:pt x="3037332" y="413004"/>
                </a:lnTo>
                <a:lnTo>
                  <a:pt x="3037332" y="0"/>
                </a:lnTo>
                <a:close/>
              </a:path>
              <a:path w="7486015" h="2920365">
                <a:moveTo>
                  <a:pt x="3674364" y="2508504"/>
                </a:moveTo>
                <a:lnTo>
                  <a:pt x="3040380" y="2508504"/>
                </a:lnTo>
                <a:lnTo>
                  <a:pt x="3040380" y="2712720"/>
                </a:lnTo>
                <a:lnTo>
                  <a:pt x="3674364" y="2712720"/>
                </a:lnTo>
                <a:lnTo>
                  <a:pt x="3674364" y="2508504"/>
                </a:lnTo>
                <a:close/>
              </a:path>
              <a:path w="7486015" h="2920365">
                <a:moveTo>
                  <a:pt x="3674364" y="2301240"/>
                </a:moveTo>
                <a:lnTo>
                  <a:pt x="3040380" y="2301240"/>
                </a:lnTo>
                <a:lnTo>
                  <a:pt x="3040380" y="2505456"/>
                </a:lnTo>
                <a:lnTo>
                  <a:pt x="3674364" y="2505456"/>
                </a:lnTo>
                <a:lnTo>
                  <a:pt x="3674364" y="2301240"/>
                </a:lnTo>
                <a:close/>
              </a:path>
              <a:path w="7486015" h="2920365">
                <a:moveTo>
                  <a:pt x="3674364" y="2095500"/>
                </a:moveTo>
                <a:lnTo>
                  <a:pt x="3040380" y="2095500"/>
                </a:lnTo>
                <a:lnTo>
                  <a:pt x="3040380" y="2298192"/>
                </a:lnTo>
                <a:lnTo>
                  <a:pt x="3674364" y="2298192"/>
                </a:lnTo>
                <a:lnTo>
                  <a:pt x="3674364" y="2095500"/>
                </a:lnTo>
                <a:close/>
              </a:path>
              <a:path w="7486015" h="2920365">
                <a:moveTo>
                  <a:pt x="3674364" y="1888236"/>
                </a:moveTo>
                <a:lnTo>
                  <a:pt x="3040380" y="1888236"/>
                </a:lnTo>
                <a:lnTo>
                  <a:pt x="3040380" y="2092452"/>
                </a:lnTo>
                <a:lnTo>
                  <a:pt x="3674364" y="2092452"/>
                </a:lnTo>
                <a:lnTo>
                  <a:pt x="3674364" y="1888236"/>
                </a:lnTo>
                <a:close/>
              </a:path>
              <a:path w="7486015" h="2920365">
                <a:moveTo>
                  <a:pt x="3674364" y="1680972"/>
                </a:moveTo>
                <a:lnTo>
                  <a:pt x="3040380" y="1680972"/>
                </a:lnTo>
                <a:lnTo>
                  <a:pt x="3040380" y="1885188"/>
                </a:lnTo>
                <a:lnTo>
                  <a:pt x="3674364" y="1885188"/>
                </a:lnTo>
                <a:lnTo>
                  <a:pt x="3674364" y="1680972"/>
                </a:lnTo>
                <a:close/>
              </a:path>
              <a:path w="7486015" h="2920365">
                <a:moveTo>
                  <a:pt x="3674364" y="1473708"/>
                </a:moveTo>
                <a:lnTo>
                  <a:pt x="3040380" y="1473708"/>
                </a:lnTo>
                <a:lnTo>
                  <a:pt x="3040380" y="1677924"/>
                </a:lnTo>
                <a:lnTo>
                  <a:pt x="3674364" y="1677924"/>
                </a:lnTo>
                <a:lnTo>
                  <a:pt x="3674364" y="1473708"/>
                </a:lnTo>
                <a:close/>
              </a:path>
              <a:path w="7486015" h="2920365">
                <a:moveTo>
                  <a:pt x="3674364" y="944880"/>
                </a:moveTo>
                <a:lnTo>
                  <a:pt x="3040380" y="944880"/>
                </a:lnTo>
                <a:lnTo>
                  <a:pt x="3040380" y="1470660"/>
                </a:lnTo>
                <a:lnTo>
                  <a:pt x="3674364" y="1470660"/>
                </a:lnTo>
                <a:lnTo>
                  <a:pt x="3674364" y="944880"/>
                </a:lnTo>
                <a:close/>
              </a:path>
              <a:path w="7486015" h="2920365">
                <a:moveTo>
                  <a:pt x="3674364" y="416052"/>
                </a:moveTo>
                <a:lnTo>
                  <a:pt x="3040380" y="416052"/>
                </a:lnTo>
                <a:lnTo>
                  <a:pt x="3040380" y="941832"/>
                </a:lnTo>
                <a:lnTo>
                  <a:pt x="3674364" y="941832"/>
                </a:lnTo>
                <a:lnTo>
                  <a:pt x="3674364" y="416052"/>
                </a:lnTo>
                <a:close/>
              </a:path>
              <a:path w="7486015" h="2920365">
                <a:moveTo>
                  <a:pt x="3674364" y="0"/>
                </a:moveTo>
                <a:lnTo>
                  <a:pt x="3040380" y="0"/>
                </a:lnTo>
                <a:lnTo>
                  <a:pt x="3040380" y="413004"/>
                </a:lnTo>
                <a:lnTo>
                  <a:pt x="3674364" y="413004"/>
                </a:lnTo>
                <a:lnTo>
                  <a:pt x="3674364" y="0"/>
                </a:lnTo>
                <a:close/>
              </a:path>
              <a:path w="7486015" h="2920365">
                <a:moveTo>
                  <a:pt x="4437888" y="2508504"/>
                </a:moveTo>
                <a:lnTo>
                  <a:pt x="3677412" y="2508504"/>
                </a:lnTo>
                <a:lnTo>
                  <a:pt x="3677412" y="2712720"/>
                </a:lnTo>
                <a:lnTo>
                  <a:pt x="4437888" y="2712720"/>
                </a:lnTo>
                <a:lnTo>
                  <a:pt x="4437888" y="2508504"/>
                </a:lnTo>
                <a:close/>
              </a:path>
              <a:path w="7486015" h="2920365">
                <a:moveTo>
                  <a:pt x="4437888" y="2301240"/>
                </a:moveTo>
                <a:lnTo>
                  <a:pt x="3677412" y="2301240"/>
                </a:lnTo>
                <a:lnTo>
                  <a:pt x="3677412" y="2505456"/>
                </a:lnTo>
                <a:lnTo>
                  <a:pt x="4437888" y="2505456"/>
                </a:lnTo>
                <a:lnTo>
                  <a:pt x="4437888" y="2301240"/>
                </a:lnTo>
                <a:close/>
              </a:path>
              <a:path w="7486015" h="2920365">
                <a:moveTo>
                  <a:pt x="4437888" y="2095500"/>
                </a:moveTo>
                <a:lnTo>
                  <a:pt x="3677412" y="2095500"/>
                </a:lnTo>
                <a:lnTo>
                  <a:pt x="3677412" y="2298192"/>
                </a:lnTo>
                <a:lnTo>
                  <a:pt x="4437888" y="2298192"/>
                </a:lnTo>
                <a:lnTo>
                  <a:pt x="4437888" y="2095500"/>
                </a:lnTo>
                <a:close/>
              </a:path>
              <a:path w="7486015" h="2920365">
                <a:moveTo>
                  <a:pt x="4437888" y="1888236"/>
                </a:moveTo>
                <a:lnTo>
                  <a:pt x="3677412" y="1888236"/>
                </a:lnTo>
                <a:lnTo>
                  <a:pt x="3677412" y="2092452"/>
                </a:lnTo>
                <a:lnTo>
                  <a:pt x="4437888" y="2092452"/>
                </a:lnTo>
                <a:lnTo>
                  <a:pt x="4437888" y="1888236"/>
                </a:lnTo>
                <a:close/>
              </a:path>
              <a:path w="7486015" h="2920365">
                <a:moveTo>
                  <a:pt x="4437888" y="1680972"/>
                </a:moveTo>
                <a:lnTo>
                  <a:pt x="3677412" y="1680972"/>
                </a:lnTo>
                <a:lnTo>
                  <a:pt x="3677412" y="1885188"/>
                </a:lnTo>
                <a:lnTo>
                  <a:pt x="4437888" y="1885188"/>
                </a:lnTo>
                <a:lnTo>
                  <a:pt x="4437888" y="1680972"/>
                </a:lnTo>
                <a:close/>
              </a:path>
              <a:path w="7486015" h="2920365">
                <a:moveTo>
                  <a:pt x="4437888" y="1473708"/>
                </a:moveTo>
                <a:lnTo>
                  <a:pt x="3677412" y="1473708"/>
                </a:lnTo>
                <a:lnTo>
                  <a:pt x="3677412" y="1677924"/>
                </a:lnTo>
                <a:lnTo>
                  <a:pt x="4437888" y="1677924"/>
                </a:lnTo>
                <a:lnTo>
                  <a:pt x="4437888" y="1473708"/>
                </a:lnTo>
                <a:close/>
              </a:path>
              <a:path w="7486015" h="2920365">
                <a:moveTo>
                  <a:pt x="4437888" y="944880"/>
                </a:moveTo>
                <a:lnTo>
                  <a:pt x="3677412" y="944880"/>
                </a:lnTo>
                <a:lnTo>
                  <a:pt x="3677412" y="1470660"/>
                </a:lnTo>
                <a:lnTo>
                  <a:pt x="4437888" y="1470660"/>
                </a:lnTo>
                <a:lnTo>
                  <a:pt x="4437888" y="944880"/>
                </a:lnTo>
                <a:close/>
              </a:path>
              <a:path w="7486015" h="2920365">
                <a:moveTo>
                  <a:pt x="4437888" y="416052"/>
                </a:moveTo>
                <a:lnTo>
                  <a:pt x="3677412" y="416052"/>
                </a:lnTo>
                <a:lnTo>
                  <a:pt x="3677412" y="941832"/>
                </a:lnTo>
                <a:lnTo>
                  <a:pt x="4437888" y="941832"/>
                </a:lnTo>
                <a:lnTo>
                  <a:pt x="4437888" y="416052"/>
                </a:lnTo>
                <a:close/>
              </a:path>
              <a:path w="7486015" h="2920365">
                <a:moveTo>
                  <a:pt x="4437888" y="0"/>
                </a:moveTo>
                <a:lnTo>
                  <a:pt x="3677412" y="0"/>
                </a:lnTo>
                <a:lnTo>
                  <a:pt x="3677412" y="413004"/>
                </a:lnTo>
                <a:lnTo>
                  <a:pt x="4437888" y="413004"/>
                </a:lnTo>
                <a:lnTo>
                  <a:pt x="4437888" y="0"/>
                </a:lnTo>
                <a:close/>
              </a:path>
              <a:path w="7486015" h="2920365">
                <a:moveTo>
                  <a:pt x="5199888" y="2508504"/>
                </a:moveTo>
                <a:lnTo>
                  <a:pt x="4440936" y="2508504"/>
                </a:lnTo>
                <a:lnTo>
                  <a:pt x="4440936" y="2712720"/>
                </a:lnTo>
                <a:lnTo>
                  <a:pt x="5199888" y="2712720"/>
                </a:lnTo>
                <a:lnTo>
                  <a:pt x="5199888" y="2508504"/>
                </a:lnTo>
                <a:close/>
              </a:path>
              <a:path w="7486015" h="2920365">
                <a:moveTo>
                  <a:pt x="5199888" y="2301240"/>
                </a:moveTo>
                <a:lnTo>
                  <a:pt x="4440936" y="2301240"/>
                </a:lnTo>
                <a:lnTo>
                  <a:pt x="4440936" y="2505456"/>
                </a:lnTo>
                <a:lnTo>
                  <a:pt x="5199888" y="2505456"/>
                </a:lnTo>
                <a:lnTo>
                  <a:pt x="5199888" y="2301240"/>
                </a:lnTo>
                <a:close/>
              </a:path>
              <a:path w="7486015" h="2920365">
                <a:moveTo>
                  <a:pt x="5199888" y="2095500"/>
                </a:moveTo>
                <a:lnTo>
                  <a:pt x="4440936" y="2095500"/>
                </a:lnTo>
                <a:lnTo>
                  <a:pt x="4440936" y="2298192"/>
                </a:lnTo>
                <a:lnTo>
                  <a:pt x="5199888" y="2298192"/>
                </a:lnTo>
                <a:lnTo>
                  <a:pt x="5199888" y="2095500"/>
                </a:lnTo>
                <a:close/>
              </a:path>
              <a:path w="7486015" h="2920365">
                <a:moveTo>
                  <a:pt x="5199888" y="1888236"/>
                </a:moveTo>
                <a:lnTo>
                  <a:pt x="4440936" y="1888236"/>
                </a:lnTo>
                <a:lnTo>
                  <a:pt x="4440936" y="2092452"/>
                </a:lnTo>
                <a:lnTo>
                  <a:pt x="5199888" y="2092452"/>
                </a:lnTo>
                <a:lnTo>
                  <a:pt x="5199888" y="1888236"/>
                </a:lnTo>
                <a:close/>
              </a:path>
              <a:path w="7486015" h="2920365">
                <a:moveTo>
                  <a:pt x="5199888" y="1680972"/>
                </a:moveTo>
                <a:lnTo>
                  <a:pt x="4440936" y="1680972"/>
                </a:lnTo>
                <a:lnTo>
                  <a:pt x="4440936" y="1885188"/>
                </a:lnTo>
                <a:lnTo>
                  <a:pt x="5199888" y="1885188"/>
                </a:lnTo>
                <a:lnTo>
                  <a:pt x="5199888" y="1680972"/>
                </a:lnTo>
                <a:close/>
              </a:path>
              <a:path w="7486015" h="2920365">
                <a:moveTo>
                  <a:pt x="5199888" y="1473708"/>
                </a:moveTo>
                <a:lnTo>
                  <a:pt x="4440936" y="1473708"/>
                </a:lnTo>
                <a:lnTo>
                  <a:pt x="4440936" y="1677924"/>
                </a:lnTo>
                <a:lnTo>
                  <a:pt x="5199888" y="1677924"/>
                </a:lnTo>
                <a:lnTo>
                  <a:pt x="5199888" y="1473708"/>
                </a:lnTo>
                <a:close/>
              </a:path>
              <a:path w="7486015" h="2920365">
                <a:moveTo>
                  <a:pt x="5199888" y="944880"/>
                </a:moveTo>
                <a:lnTo>
                  <a:pt x="4440936" y="944880"/>
                </a:lnTo>
                <a:lnTo>
                  <a:pt x="4440936" y="1470660"/>
                </a:lnTo>
                <a:lnTo>
                  <a:pt x="5199888" y="1470660"/>
                </a:lnTo>
                <a:lnTo>
                  <a:pt x="5199888" y="944880"/>
                </a:lnTo>
                <a:close/>
              </a:path>
              <a:path w="7486015" h="2920365">
                <a:moveTo>
                  <a:pt x="5199888" y="416052"/>
                </a:moveTo>
                <a:lnTo>
                  <a:pt x="4440936" y="416052"/>
                </a:lnTo>
                <a:lnTo>
                  <a:pt x="4440936" y="941832"/>
                </a:lnTo>
                <a:lnTo>
                  <a:pt x="5199888" y="941832"/>
                </a:lnTo>
                <a:lnTo>
                  <a:pt x="5199888" y="416052"/>
                </a:lnTo>
                <a:close/>
              </a:path>
              <a:path w="7486015" h="2920365">
                <a:moveTo>
                  <a:pt x="5199888" y="0"/>
                </a:moveTo>
                <a:lnTo>
                  <a:pt x="4440936" y="0"/>
                </a:lnTo>
                <a:lnTo>
                  <a:pt x="4440936" y="413004"/>
                </a:lnTo>
                <a:lnTo>
                  <a:pt x="5199888" y="413004"/>
                </a:lnTo>
                <a:lnTo>
                  <a:pt x="5199888" y="0"/>
                </a:lnTo>
                <a:close/>
              </a:path>
              <a:path w="7486015" h="2920365">
                <a:moveTo>
                  <a:pt x="5961875" y="2508504"/>
                </a:moveTo>
                <a:lnTo>
                  <a:pt x="5202936" y="2508504"/>
                </a:lnTo>
                <a:lnTo>
                  <a:pt x="5202936" y="2712720"/>
                </a:lnTo>
                <a:lnTo>
                  <a:pt x="5961875" y="2712720"/>
                </a:lnTo>
                <a:lnTo>
                  <a:pt x="5961875" y="2508504"/>
                </a:lnTo>
                <a:close/>
              </a:path>
              <a:path w="7486015" h="2920365">
                <a:moveTo>
                  <a:pt x="5961875" y="2301240"/>
                </a:moveTo>
                <a:lnTo>
                  <a:pt x="5202936" y="2301240"/>
                </a:lnTo>
                <a:lnTo>
                  <a:pt x="5202936" y="2505456"/>
                </a:lnTo>
                <a:lnTo>
                  <a:pt x="5961875" y="2505456"/>
                </a:lnTo>
                <a:lnTo>
                  <a:pt x="5961875" y="2301240"/>
                </a:lnTo>
                <a:close/>
              </a:path>
              <a:path w="7486015" h="2920365">
                <a:moveTo>
                  <a:pt x="5961875" y="2095500"/>
                </a:moveTo>
                <a:lnTo>
                  <a:pt x="5202936" y="2095500"/>
                </a:lnTo>
                <a:lnTo>
                  <a:pt x="5202936" y="2298192"/>
                </a:lnTo>
                <a:lnTo>
                  <a:pt x="5961875" y="2298192"/>
                </a:lnTo>
                <a:lnTo>
                  <a:pt x="5961875" y="2095500"/>
                </a:lnTo>
                <a:close/>
              </a:path>
              <a:path w="7486015" h="2920365">
                <a:moveTo>
                  <a:pt x="5961875" y="1888236"/>
                </a:moveTo>
                <a:lnTo>
                  <a:pt x="5202936" y="1888236"/>
                </a:lnTo>
                <a:lnTo>
                  <a:pt x="5202936" y="2092452"/>
                </a:lnTo>
                <a:lnTo>
                  <a:pt x="5961875" y="2092452"/>
                </a:lnTo>
                <a:lnTo>
                  <a:pt x="5961875" y="1888236"/>
                </a:lnTo>
                <a:close/>
              </a:path>
              <a:path w="7486015" h="2920365">
                <a:moveTo>
                  <a:pt x="5961875" y="1680972"/>
                </a:moveTo>
                <a:lnTo>
                  <a:pt x="5202936" y="1680972"/>
                </a:lnTo>
                <a:lnTo>
                  <a:pt x="5202936" y="1885188"/>
                </a:lnTo>
                <a:lnTo>
                  <a:pt x="5961875" y="1885188"/>
                </a:lnTo>
                <a:lnTo>
                  <a:pt x="5961875" y="1680972"/>
                </a:lnTo>
                <a:close/>
              </a:path>
              <a:path w="7486015" h="2920365">
                <a:moveTo>
                  <a:pt x="5961875" y="1473708"/>
                </a:moveTo>
                <a:lnTo>
                  <a:pt x="5202936" y="1473708"/>
                </a:lnTo>
                <a:lnTo>
                  <a:pt x="5202936" y="1677924"/>
                </a:lnTo>
                <a:lnTo>
                  <a:pt x="5961875" y="1677924"/>
                </a:lnTo>
                <a:lnTo>
                  <a:pt x="5961875" y="1473708"/>
                </a:lnTo>
                <a:close/>
              </a:path>
              <a:path w="7486015" h="2920365">
                <a:moveTo>
                  <a:pt x="5961875" y="944880"/>
                </a:moveTo>
                <a:lnTo>
                  <a:pt x="5202936" y="944880"/>
                </a:lnTo>
                <a:lnTo>
                  <a:pt x="5202936" y="1470660"/>
                </a:lnTo>
                <a:lnTo>
                  <a:pt x="5961875" y="1470660"/>
                </a:lnTo>
                <a:lnTo>
                  <a:pt x="5961875" y="944880"/>
                </a:lnTo>
                <a:close/>
              </a:path>
              <a:path w="7486015" h="2920365">
                <a:moveTo>
                  <a:pt x="5961875" y="416052"/>
                </a:moveTo>
                <a:lnTo>
                  <a:pt x="5202936" y="416052"/>
                </a:lnTo>
                <a:lnTo>
                  <a:pt x="5202936" y="941832"/>
                </a:lnTo>
                <a:lnTo>
                  <a:pt x="5961875" y="941832"/>
                </a:lnTo>
                <a:lnTo>
                  <a:pt x="5961875" y="416052"/>
                </a:lnTo>
                <a:close/>
              </a:path>
              <a:path w="7486015" h="2920365">
                <a:moveTo>
                  <a:pt x="5961875" y="0"/>
                </a:moveTo>
                <a:lnTo>
                  <a:pt x="5202936" y="0"/>
                </a:lnTo>
                <a:lnTo>
                  <a:pt x="5202936" y="413004"/>
                </a:lnTo>
                <a:lnTo>
                  <a:pt x="5961875" y="413004"/>
                </a:lnTo>
                <a:lnTo>
                  <a:pt x="5961875" y="0"/>
                </a:lnTo>
                <a:close/>
              </a:path>
              <a:path w="7486015" h="2920365">
                <a:moveTo>
                  <a:pt x="6723888" y="2508504"/>
                </a:moveTo>
                <a:lnTo>
                  <a:pt x="5964936" y="2508504"/>
                </a:lnTo>
                <a:lnTo>
                  <a:pt x="5964936" y="2712720"/>
                </a:lnTo>
                <a:lnTo>
                  <a:pt x="6723888" y="2712720"/>
                </a:lnTo>
                <a:lnTo>
                  <a:pt x="6723888" y="2508504"/>
                </a:lnTo>
                <a:close/>
              </a:path>
              <a:path w="7486015" h="2920365">
                <a:moveTo>
                  <a:pt x="6723888" y="2301240"/>
                </a:moveTo>
                <a:lnTo>
                  <a:pt x="5964936" y="2301240"/>
                </a:lnTo>
                <a:lnTo>
                  <a:pt x="5964936" y="2505456"/>
                </a:lnTo>
                <a:lnTo>
                  <a:pt x="6723888" y="2505456"/>
                </a:lnTo>
                <a:lnTo>
                  <a:pt x="6723888" y="2301240"/>
                </a:lnTo>
                <a:close/>
              </a:path>
              <a:path w="7486015" h="2920365">
                <a:moveTo>
                  <a:pt x="6723888" y="2095500"/>
                </a:moveTo>
                <a:lnTo>
                  <a:pt x="5964936" y="2095500"/>
                </a:lnTo>
                <a:lnTo>
                  <a:pt x="5964936" y="2298192"/>
                </a:lnTo>
                <a:lnTo>
                  <a:pt x="6723888" y="2298192"/>
                </a:lnTo>
                <a:lnTo>
                  <a:pt x="6723888" y="2095500"/>
                </a:lnTo>
                <a:close/>
              </a:path>
              <a:path w="7486015" h="2920365">
                <a:moveTo>
                  <a:pt x="6723888" y="1888236"/>
                </a:moveTo>
                <a:lnTo>
                  <a:pt x="5964936" y="1888236"/>
                </a:lnTo>
                <a:lnTo>
                  <a:pt x="5964936" y="2092452"/>
                </a:lnTo>
                <a:lnTo>
                  <a:pt x="6723888" y="2092452"/>
                </a:lnTo>
                <a:lnTo>
                  <a:pt x="6723888" y="1888236"/>
                </a:lnTo>
                <a:close/>
              </a:path>
              <a:path w="7486015" h="2920365">
                <a:moveTo>
                  <a:pt x="6723888" y="1680972"/>
                </a:moveTo>
                <a:lnTo>
                  <a:pt x="5964936" y="1680972"/>
                </a:lnTo>
                <a:lnTo>
                  <a:pt x="5964936" y="1885188"/>
                </a:lnTo>
                <a:lnTo>
                  <a:pt x="6723888" y="1885188"/>
                </a:lnTo>
                <a:lnTo>
                  <a:pt x="6723888" y="1680972"/>
                </a:lnTo>
                <a:close/>
              </a:path>
              <a:path w="7486015" h="2920365">
                <a:moveTo>
                  <a:pt x="6723888" y="1473708"/>
                </a:moveTo>
                <a:lnTo>
                  <a:pt x="5964936" y="1473708"/>
                </a:lnTo>
                <a:lnTo>
                  <a:pt x="5964936" y="1677924"/>
                </a:lnTo>
                <a:lnTo>
                  <a:pt x="6723888" y="1677924"/>
                </a:lnTo>
                <a:lnTo>
                  <a:pt x="6723888" y="1473708"/>
                </a:lnTo>
                <a:close/>
              </a:path>
              <a:path w="7486015" h="2920365">
                <a:moveTo>
                  <a:pt x="6723888" y="944880"/>
                </a:moveTo>
                <a:lnTo>
                  <a:pt x="5964936" y="944880"/>
                </a:lnTo>
                <a:lnTo>
                  <a:pt x="5964936" y="1470660"/>
                </a:lnTo>
                <a:lnTo>
                  <a:pt x="6723888" y="1470660"/>
                </a:lnTo>
                <a:lnTo>
                  <a:pt x="6723888" y="944880"/>
                </a:lnTo>
                <a:close/>
              </a:path>
              <a:path w="7486015" h="2920365">
                <a:moveTo>
                  <a:pt x="6723888" y="416052"/>
                </a:moveTo>
                <a:lnTo>
                  <a:pt x="5964936" y="416052"/>
                </a:lnTo>
                <a:lnTo>
                  <a:pt x="5964936" y="941832"/>
                </a:lnTo>
                <a:lnTo>
                  <a:pt x="6723888" y="941832"/>
                </a:lnTo>
                <a:lnTo>
                  <a:pt x="6723888" y="416052"/>
                </a:lnTo>
                <a:close/>
              </a:path>
              <a:path w="7486015" h="2920365">
                <a:moveTo>
                  <a:pt x="6723888" y="0"/>
                </a:moveTo>
                <a:lnTo>
                  <a:pt x="5964936" y="0"/>
                </a:lnTo>
                <a:lnTo>
                  <a:pt x="5964936" y="413004"/>
                </a:lnTo>
                <a:lnTo>
                  <a:pt x="6723888" y="413004"/>
                </a:lnTo>
                <a:lnTo>
                  <a:pt x="6723888" y="0"/>
                </a:lnTo>
                <a:close/>
              </a:path>
              <a:path w="7486015" h="2920365">
                <a:moveTo>
                  <a:pt x="7485888" y="2508504"/>
                </a:moveTo>
                <a:lnTo>
                  <a:pt x="6726936" y="2508504"/>
                </a:lnTo>
                <a:lnTo>
                  <a:pt x="6726936" y="2712720"/>
                </a:lnTo>
                <a:lnTo>
                  <a:pt x="7485888" y="2712720"/>
                </a:lnTo>
                <a:lnTo>
                  <a:pt x="7485888" y="2508504"/>
                </a:lnTo>
                <a:close/>
              </a:path>
              <a:path w="7486015" h="2920365">
                <a:moveTo>
                  <a:pt x="7485888" y="2301240"/>
                </a:moveTo>
                <a:lnTo>
                  <a:pt x="6726936" y="2301240"/>
                </a:lnTo>
                <a:lnTo>
                  <a:pt x="6726936" y="2505456"/>
                </a:lnTo>
                <a:lnTo>
                  <a:pt x="7485888" y="2505456"/>
                </a:lnTo>
                <a:lnTo>
                  <a:pt x="7485888" y="2301240"/>
                </a:lnTo>
                <a:close/>
              </a:path>
              <a:path w="7486015" h="2920365">
                <a:moveTo>
                  <a:pt x="7485888" y="2095500"/>
                </a:moveTo>
                <a:lnTo>
                  <a:pt x="6726936" y="2095500"/>
                </a:lnTo>
                <a:lnTo>
                  <a:pt x="6726936" y="2298192"/>
                </a:lnTo>
                <a:lnTo>
                  <a:pt x="7485888" y="2298192"/>
                </a:lnTo>
                <a:lnTo>
                  <a:pt x="7485888" y="2095500"/>
                </a:lnTo>
                <a:close/>
              </a:path>
              <a:path w="7486015" h="2920365">
                <a:moveTo>
                  <a:pt x="7485888" y="1888236"/>
                </a:moveTo>
                <a:lnTo>
                  <a:pt x="6726936" y="1888236"/>
                </a:lnTo>
                <a:lnTo>
                  <a:pt x="6726936" y="2092452"/>
                </a:lnTo>
                <a:lnTo>
                  <a:pt x="7485888" y="2092452"/>
                </a:lnTo>
                <a:lnTo>
                  <a:pt x="7485888" y="1888236"/>
                </a:lnTo>
                <a:close/>
              </a:path>
              <a:path w="7486015" h="2920365">
                <a:moveTo>
                  <a:pt x="7485888" y="1680972"/>
                </a:moveTo>
                <a:lnTo>
                  <a:pt x="6726936" y="1680972"/>
                </a:lnTo>
                <a:lnTo>
                  <a:pt x="6726936" y="1885188"/>
                </a:lnTo>
                <a:lnTo>
                  <a:pt x="7485888" y="1885188"/>
                </a:lnTo>
                <a:lnTo>
                  <a:pt x="7485888" y="1680972"/>
                </a:lnTo>
                <a:close/>
              </a:path>
              <a:path w="7486015" h="2920365">
                <a:moveTo>
                  <a:pt x="7485888" y="1473708"/>
                </a:moveTo>
                <a:lnTo>
                  <a:pt x="6726936" y="1473708"/>
                </a:lnTo>
                <a:lnTo>
                  <a:pt x="6726936" y="1677924"/>
                </a:lnTo>
                <a:lnTo>
                  <a:pt x="7485888" y="1677924"/>
                </a:lnTo>
                <a:lnTo>
                  <a:pt x="7485888" y="1473708"/>
                </a:lnTo>
                <a:close/>
              </a:path>
              <a:path w="7486015" h="2920365">
                <a:moveTo>
                  <a:pt x="7485888" y="944880"/>
                </a:moveTo>
                <a:lnTo>
                  <a:pt x="6726936" y="944880"/>
                </a:lnTo>
                <a:lnTo>
                  <a:pt x="6726936" y="1470660"/>
                </a:lnTo>
                <a:lnTo>
                  <a:pt x="7485888" y="1470660"/>
                </a:lnTo>
                <a:lnTo>
                  <a:pt x="7485888" y="944880"/>
                </a:lnTo>
                <a:close/>
              </a:path>
              <a:path w="7486015" h="2920365">
                <a:moveTo>
                  <a:pt x="7485888" y="416052"/>
                </a:moveTo>
                <a:lnTo>
                  <a:pt x="6726936" y="416052"/>
                </a:lnTo>
                <a:lnTo>
                  <a:pt x="6726936" y="941832"/>
                </a:lnTo>
                <a:lnTo>
                  <a:pt x="7485888" y="941832"/>
                </a:lnTo>
                <a:lnTo>
                  <a:pt x="7485888" y="416052"/>
                </a:lnTo>
                <a:close/>
              </a:path>
              <a:path w="7486015" h="2920365">
                <a:moveTo>
                  <a:pt x="7485888" y="0"/>
                </a:moveTo>
                <a:lnTo>
                  <a:pt x="6726936" y="0"/>
                </a:lnTo>
                <a:lnTo>
                  <a:pt x="6726936" y="413004"/>
                </a:lnTo>
                <a:lnTo>
                  <a:pt x="7485888" y="413004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944879"/>
            <a:ext cx="7486015" cy="2595880"/>
          </a:xfrm>
          <a:custGeom>
            <a:avLst/>
            <a:gdLst/>
            <a:ahLst/>
            <a:cxnLst/>
            <a:rect l="0" t="0" r="0" b="0"/>
            <a:pathLst>
              <a:path w="7486015" h="2595880">
                <a:moveTo>
                  <a:pt x="312420" y="0"/>
                </a:moveTo>
                <a:lnTo>
                  <a:pt x="0" y="0"/>
                </a:lnTo>
                <a:lnTo>
                  <a:pt x="0" y="2595372"/>
                </a:lnTo>
                <a:lnTo>
                  <a:pt x="312420" y="2595372"/>
                </a:lnTo>
                <a:lnTo>
                  <a:pt x="312420" y="0"/>
                </a:lnTo>
                <a:close/>
              </a:path>
              <a:path w="7486015" h="2595880">
                <a:moveTo>
                  <a:pt x="1264920" y="0"/>
                </a:moveTo>
                <a:lnTo>
                  <a:pt x="315468" y="0"/>
                </a:lnTo>
                <a:lnTo>
                  <a:pt x="315468" y="2595372"/>
                </a:lnTo>
                <a:lnTo>
                  <a:pt x="1264920" y="2595372"/>
                </a:lnTo>
                <a:lnTo>
                  <a:pt x="1264920" y="0"/>
                </a:lnTo>
                <a:close/>
              </a:path>
              <a:path w="7486015" h="2595880">
                <a:moveTo>
                  <a:pt x="2531364" y="528828"/>
                </a:moveTo>
                <a:lnTo>
                  <a:pt x="1267968" y="528828"/>
                </a:lnTo>
                <a:lnTo>
                  <a:pt x="1267968" y="2595372"/>
                </a:lnTo>
                <a:lnTo>
                  <a:pt x="2531364" y="2595372"/>
                </a:lnTo>
                <a:lnTo>
                  <a:pt x="2531364" y="528828"/>
                </a:lnTo>
                <a:close/>
              </a:path>
              <a:path w="7486015" h="2595880">
                <a:moveTo>
                  <a:pt x="3037332" y="2392680"/>
                </a:moveTo>
                <a:lnTo>
                  <a:pt x="2534412" y="2392680"/>
                </a:lnTo>
                <a:lnTo>
                  <a:pt x="2534412" y="2595372"/>
                </a:lnTo>
                <a:lnTo>
                  <a:pt x="3037332" y="2595372"/>
                </a:lnTo>
                <a:lnTo>
                  <a:pt x="3037332" y="2392680"/>
                </a:lnTo>
                <a:close/>
              </a:path>
              <a:path w="7486015" h="2595880">
                <a:moveTo>
                  <a:pt x="3037332" y="2185416"/>
                </a:moveTo>
                <a:lnTo>
                  <a:pt x="2534412" y="2185416"/>
                </a:lnTo>
                <a:lnTo>
                  <a:pt x="2534412" y="2389632"/>
                </a:lnTo>
                <a:lnTo>
                  <a:pt x="3037332" y="2389632"/>
                </a:lnTo>
                <a:lnTo>
                  <a:pt x="3037332" y="2185416"/>
                </a:lnTo>
                <a:close/>
              </a:path>
              <a:path w="7486015" h="2595880">
                <a:moveTo>
                  <a:pt x="3037332" y="1978152"/>
                </a:moveTo>
                <a:lnTo>
                  <a:pt x="2534412" y="1978152"/>
                </a:lnTo>
                <a:lnTo>
                  <a:pt x="2534412" y="2182368"/>
                </a:lnTo>
                <a:lnTo>
                  <a:pt x="3037332" y="2182368"/>
                </a:lnTo>
                <a:lnTo>
                  <a:pt x="3037332" y="1978152"/>
                </a:lnTo>
                <a:close/>
              </a:path>
              <a:path w="7486015" h="2595880">
                <a:moveTo>
                  <a:pt x="3037332" y="1770888"/>
                </a:moveTo>
                <a:lnTo>
                  <a:pt x="2534412" y="1770888"/>
                </a:lnTo>
                <a:lnTo>
                  <a:pt x="2534412" y="1975104"/>
                </a:lnTo>
                <a:lnTo>
                  <a:pt x="3037332" y="1975104"/>
                </a:lnTo>
                <a:lnTo>
                  <a:pt x="3037332" y="1770888"/>
                </a:lnTo>
                <a:close/>
              </a:path>
              <a:path w="7486015" h="2595880">
                <a:moveTo>
                  <a:pt x="3674364" y="2392680"/>
                </a:moveTo>
                <a:lnTo>
                  <a:pt x="3040380" y="2392680"/>
                </a:lnTo>
                <a:lnTo>
                  <a:pt x="3040380" y="2595372"/>
                </a:lnTo>
                <a:lnTo>
                  <a:pt x="3674364" y="2595372"/>
                </a:lnTo>
                <a:lnTo>
                  <a:pt x="3674364" y="2392680"/>
                </a:lnTo>
                <a:close/>
              </a:path>
              <a:path w="7486015" h="2595880">
                <a:moveTo>
                  <a:pt x="3674364" y="2185416"/>
                </a:moveTo>
                <a:lnTo>
                  <a:pt x="3040380" y="2185416"/>
                </a:lnTo>
                <a:lnTo>
                  <a:pt x="3040380" y="2389632"/>
                </a:lnTo>
                <a:lnTo>
                  <a:pt x="3674364" y="2389632"/>
                </a:lnTo>
                <a:lnTo>
                  <a:pt x="3674364" y="2185416"/>
                </a:lnTo>
                <a:close/>
              </a:path>
              <a:path w="7486015" h="2595880">
                <a:moveTo>
                  <a:pt x="3674364" y="1978152"/>
                </a:moveTo>
                <a:lnTo>
                  <a:pt x="3040380" y="1978152"/>
                </a:lnTo>
                <a:lnTo>
                  <a:pt x="3040380" y="2182368"/>
                </a:lnTo>
                <a:lnTo>
                  <a:pt x="3674364" y="2182368"/>
                </a:lnTo>
                <a:lnTo>
                  <a:pt x="3674364" y="1978152"/>
                </a:lnTo>
                <a:close/>
              </a:path>
              <a:path w="7486015" h="2595880">
                <a:moveTo>
                  <a:pt x="3674364" y="1770888"/>
                </a:moveTo>
                <a:lnTo>
                  <a:pt x="3040380" y="1770888"/>
                </a:lnTo>
                <a:lnTo>
                  <a:pt x="3040380" y="1975104"/>
                </a:lnTo>
                <a:lnTo>
                  <a:pt x="3674364" y="1975104"/>
                </a:lnTo>
                <a:lnTo>
                  <a:pt x="3674364" y="1770888"/>
                </a:lnTo>
                <a:close/>
              </a:path>
              <a:path w="7486015" h="2595880">
                <a:moveTo>
                  <a:pt x="4437888" y="2392680"/>
                </a:moveTo>
                <a:lnTo>
                  <a:pt x="3677412" y="2392680"/>
                </a:lnTo>
                <a:lnTo>
                  <a:pt x="3677412" y="2595372"/>
                </a:lnTo>
                <a:lnTo>
                  <a:pt x="4437888" y="2595372"/>
                </a:lnTo>
                <a:lnTo>
                  <a:pt x="4437888" y="2392680"/>
                </a:lnTo>
                <a:close/>
              </a:path>
              <a:path w="7486015" h="2595880">
                <a:moveTo>
                  <a:pt x="4437888" y="2185416"/>
                </a:moveTo>
                <a:lnTo>
                  <a:pt x="3677412" y="2185416"/>
                </a:lnTo>
                <a:lnTo>
                  <a:pt x="3677412" y="2389632"/>
                </a:lnTo>
                <a:lnTo>
                  <a:pt x="4437888" y="2389632"/>
                </a:lnTo>
                <a:lnTo>
                  <a:pt x="4437888" y="2185416"/>
                </a:lnTo>
                <a:close/>
              </a:path>
              <a:path w="7486015" h="2595880">
                <a:moveTo>
                  <a:pt x="4437888" y="1978152"/>
                </a:moveTo>
                <a:lnTo>
                  <a:pt x="3677412" y="1978152"/>
                </a:lnTo>
                <a:lnTo>
                  <a:pt x="3677412" y="2182368"/>
                </a:lnTo>
                <a:lnTo>
                  <a:pt x="4437888" y="2182368"/>
                </a:lnTo>
                <a:lnTo>
                  <a:pt x="4437888" y="1978152"/>
                </a:lnTo>
                <a:close/>
              </a:path>
              <a:path w="7486015" h="2595880">
                <a:moveTo>
                  <a:pt x="4437888" y="1770888"/>
                </a:moveTo>
                <a:lnTo>
                  <a:pt x="3677412" y="1770888"/>
                </a:lnTo>
                <a:lnTo>
                  <a:pt x="3677412" y="1975104"/>
                </a:lnTo>
                <a:lnTo>
                  <a:pt x="4437888" y="1975104"/>
                </a:lnTo>
                <a:lnTo>
                  <a:pt x="4437888" y="1770888"/>
                </a:lnTo>
                <a:close/>
              </a:path>
              <a:path w="7486015" h="2595880">
                <a:moveTo>
                  <a:pt x="5199888" y="2392680"/>
                </a:moveTo>
                <a:lnTo>
                  <a:pt x="4440936" y="2392680"/>
                </a:lnTo>
                <a:lnTo>
                  <a:pt x="4440936" y="2595372"/>
                </a:lnTo>
                <a:lnTo>
                  <a:pt x="5199888" y="2595372"/>
                </a:lnTo>
                <a:lnTo>
                  <a:pt x="5199888" y="2392680"/>
                </a:lnTo>
                <a:close/>
              </a:path>
              <a:path w="7486015" h="2595880">
                <a:moveTo>
                  <a:pt x="5199888" y="2185416"/>
                </a:moveTo>
                <a:lnTo>
                  <a:pt x="4440936" y="2185416"/>
                </a:lnTo>
                <a:lnTo>
                  <a:pt x="4440936" y="2389632"/>
                </a:lnTo>
                <a:lnTo>
                  <a:pt x="5199888" y="2389632"/>
                </a:lnTo>
                <a:lnTo>
                  <a:pt x="5199888" y="2185416"/>
                </a:lnTo>
                <a:close/>
              </a:path>
              <a:path w="7486015" h="2595880">
                <a:moveTo>
                  <a:pt x="5199888" y="1978152"/>
                </a:moveTo>
                <a:lnTo>
                  <a:pt x="4440936" y="1978152"/>
                </a:lnTo>
                <a:lnTo>
                  <a:pt x="4440936" y="2182368"/>
                </a:lnTo>
                <a:lnTo>
                  <a:pt x="5199888" y="2182368"/>
                </a:lnTo>
                <a:lnTo>
                  <a:pt x="5199888" y="1978152"/>
                </a:lnTo>
                <a:close/>
              </a:path>
              <a:path w="7486015" h="2595880">
                <a:moveTo>
                  <a:pt x="5199888" y="1770888"/>
                </a:moveTo>
                <a:lnTo>
                  <a:pt x="4440936" y="1770888"/>
                </a:lnTo>
                <a:lnTo>
                  <a:pt x="4440936" y="1975104"/>
                </a:lnTo>
                <a:lnTo>
                  <a:pt x="5199888" y="1975104"/>
                </a:lnTo>
                <a:lnTo>
                  <a:pt x="5199888" y="1770888"/>
                </a:lnTo>
                <a:close/>
              </a:path>
              <a:path w="7486015" h="2595880">
                <a:moveTo>
                  <a:pt x="5961875" y="2392680"/>
                </a:moveTo>
                <a:lnTo>
                  <a:pt x="5202936" y="2392680"/>
                </a:lnTo>
                <a:lnTo>
                  <a:pt x="5202936" y="2595372"/>
                </a:lnTo>
                <a:lnTo>
                  <a:pt x="5961875" y="2595372"/>
                </a:lnTo>
                <a:lnTo>
                  <a:pt x="5961875" y="2392680"/>
                </a:lnTo>
                <a:close/>
              </a:path>
              <a:path w="7486015" h="2595880">
                <a:moveTo>
                  <a:pt x="5961875" y="2185416"/>
                </a:moveTo>
                <a:lnTo>
                  <a:pt x="5202936" y="2185416"/>
                </a:lnTo>
                <a:lnTo>
                  <a:pt x="5202936" y="2389632"/>
                </a:lnTo>
                <a:lnTo>
                  <a:pt x="5961875" y="2389632"/>
                </a:lnTo>
                <a:lnTo>
                  <a:pt x="5961875" y="2185416"/>
                </a:lnTo>
                <a:close/>
              </a:path>
              <a:path w="7486015" h="2595880">
                <a:moveTo>
                  <a:pt x="5961875" y="1978152"/>
                </a:moveTo>
                <a:lnTo>
                  <a:pt x="5202936" y="1978152"/>
                </a:lnTo>
                <a:lnTo>
                  <a:pt x="5202936" y="2182368"/>
                </a:lnTo>
                <a:lnTo>
                  <a:pt x="5961875" y="2182368"/>
                </a:lnTo>
                <a:lnTo>
                  <a:pt x="5961875" y="1978152"/>
                </a:lnTo>
                <a:close/>
              </a:path>
              <a:path w="7486015" h="2595880">
                <a:moveTo>
                  <a:pt x="5961875" y="1770888"/>
                </a:moveTo>
                <a:lnTo>
                  <a:pt x="5202936" y="1770888"/>
                </a:lnTo>
                <a:lnTo>
                  <a:pt x="5202936" y="1975104"/>
                </a:lnTo>
                <a:lnTo>
                  <a:pt x="5961875" y="1975104"/>
                </a:lnTo>
                <a:lnTo>
                  <a:pt x="5961875" y="1770888"/>
                </a:lnTo>
                <a:close/>
              </a:path>
              <a:path w="7486015" h="2595880">
                <a:moveTo>
                  <a:pt x="6723888" y="2392680"/>
                </a:moveTo>
                <a:lnTo>
                  <a:pt x="5964936" y="2392680"/>
                </a:lnTo>
                <a:lnTo>
                  <a:pt x="5964936" y="2595372"/>
                </a:lnTo>
                <a:lnTo>
                  <a:pt x="6723888" y="2595372"/>
                </a:lnTo>
                <a:lnTo>
                  <a:pt x="6723888" y="2392680"/>
                </a:lnTo>
                <a:close/>
              </a:path>
              <a:path w="7486015" h="2595880">
                <a:moveTo>
                  <a:pt x="6723888" y="2185416"/>
                </a:moveTo>
                <a:lnTo>
                  <a:pt x="5964936" y="2185416"/>
                </a:lnTo>
                <a:lnTo>
                  <a:pt x="5964936" y="2389632"/>
                </a:lnTo>
                <a:lnTo>
                  <a:pt x="6723888" y="2389632"/>
                </a:lnTo>
                <a:lnTo>
                  <a:pt x="6723888" y="2185416"/>
                </a:lnTo>
                <a:close/>
              </a:path>
              <a:path w="7486015" h="2595880">
                <a:moveTo>
                  <a:pt x="6723888" y="1978152"/>
                </a:moveTo>
                <a:lnTo>
                  <a:pt x="5964936" y="1978152"/>
                </a:lnTo>
                <a:lnTo>
                  <a:pt x="5964936" y="2182368"/>
                </a:lnTo>
                <a:lnTo>
                  <a:pt x="6723888" y="2182368"/>
                </a:lnTo>
                <a:lnTo>
                  <a:pt x="6723888" y="1978152"/>
                </a:lnTo>
                <a:close/>
              </a:path>
              <a:path w="7486015" h="2595880">
                <a:moveTo>
                  <a:pt x="6723888" y="1770888"/>
                </a:moveTo>
                <a:lnTo>
                  <a:pt x="5964936" y="1770888"/>
                </a:lnTo>
                <a:lnTo>
                  <a:pt x="5964936" y="1975104"/>
                </a:lnTo>
                <a:lnTo>
                  <a:pt x="6723888" y="1975104"/>
                </a:lnTo>
                <a:lnTo>
                  <a:pt x="6723888" y="1770888"/>
                </a:lnTo>
                <a:close/>
              </a:path>
              <a:path w="7486015" h="2595880">
                <a:moveTo>
                  <a:pt x="7485888" y="2392680"/>
                </a:moveTo>
                <a:lnTo>
                  <a:pt x="6726936" y="2392680"/>
                </a:lnTo>
                <a:lnTo>
                  <a:pt x="6726936" y="2595372"/>
                </a:lnTo>
                <a:lnTo>
                  <a:pt x="7485888" y="2595372"/>
                </a:lnTo>
                <a:lnTo>
                  <a:pt x="7485888" y="2392680"/>
                </a:lnTo>
                <a:close/>
              </a:path>
              <a:path w="7486015" h="2595880">
                <a:moveTo>
                  <a:pt x="7485888" y="2185416"/>
                </a:moveTo>
                <a:lnTo>
                  <a:pt x="6726936" y="2185416"/>
                </a:lnTo>
                <a:lnTo>
                  <a:pt x="6726936" y="2389632"/>
                </a:lnTo>
                <a:lnTo>
                  <a:pt x="7485888" y="2389632"/>
                </a:lnTo>
                <a:lnTo>
                  <a:pt x="7485888" y="2185416"/>
                </a:lnTo>
                <a:close/>
              </a:path>
              <a:path w="7486015" h="2595880">
                <a:moveTo>
                  <a:pt x="7485888" y="1978152"/>
                </a:moveTo>
                <a:lnTo>
                  <a:pt x="6726936" y="1978152"/>
                </a:lnTo>
                <a:lnTo>
                  <a:pt x="6726936" y="2182368"/>
                </a:lnTo>
                <a:lnTo>
                  <a:pt x="7485888" y="2182368"/>
                </a:lnTo>
                <a:lnTo>
                  <a:pt x="7485888" y="1978152"/>
                </a:lnTo>
                <a:close/>
              </a:path>
              <a:path w="7486015" h="2595880">
                <a:moveTo>
                  <a:pt x="7485888" y="1770888"/>
                </a:moveTo>
                <a:lnTo>
                  <a:pt x="6726936" y="1770888"/>
                </a:lnTo>
                <a:lnTo>
                  <a:pt x="6726936" y="1975104"/>
                </a:lnTo>
                <a:lnTo>
                  <a:pt x="7485888" y="1975104"/>
                </a:lnTo>
                <a:lnTo>
                  <a:pt x="7485888" y="177088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534416</xdr:colOff>
      <xdr:row>22</xdr:row>
      <xdr:rowOff>0</xdr:rowOff>
    </xdr:from>
    <xdr:ext cx="645160" cy="354076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45160" cy="3540760"/>
        </a:xfrm>
        <a:custGeom>
          <a:avLst/>
          <a:gdLst/>
          <a:ahLst/>
          <a:cxnLst/>
          <a:rect l="0" t="0" r="0" b="0"/>
          <a:pathLst>
            <a:path w="645160" h="3540760">
              <a:moveTo>
                <a:pt x="644652" y="3337560"/>
              </a:moveTo>
              <a:lnTo>
                <a:pt x="0" y="3337560"/>
              </a:lnTo>
              <a:lnTo>
                <a:pt x="0" y="3540252"/>
              </a:lnTo>
              <a:lnTo>
                <a:pt x="644652" y="3540252"/>
              </a:lnTo>
              <a:lnTo>
                <a:pt x="644652" y="3337560"/>
              </a:lnTo>
              <a:close/>
            </a:path>
            <a:path w="645160" h="3540760">
              <a:moveTo>
                <a:pt x="644652" y="3130296"/>
              </a:moveTo>
              <a:lnTo>
                <a:pt x="0" y="3130296"/>
              </a:lnTo>
              <a:lnTo>
                <a:pt x="0" y="3334512"/>
              </a:lnTo>
              <a:lnTo>
                <a:pt x="644652" y="3334512"/>
              </a:lnTo>
              <a:lnTo>
                <a:pt x="644652" y="3130296"/>
              </a:lnTo>
              <a:close/>
            </a:path>
            <a:path w="645160" h="3540760">
              <a:moveTo>
                <a:pt x="644652" y="2923032"/>
              </a:moveTo>
              <a:lnTo>
                <a:pt x="0" y="2923032"/>
              </a:lnTo>
              <a:lnTo>
                <a:pt x="0" y="3127248"/>
              </a:lnTo>
              <a:lnTo>
                <a:pt x="644652" y="3127248"/>
              </a:lnTo>
              <a:lnTo>
                <a:pt x="644652" y="2923032"/>
              </a:lnTo>
              <a:close/>
            </a:path>
            <a:path w="645160" h="3540760">
              <a:moveTo>
                <a:pt x="644652" y="2715768"/>
              </a:moveTo>
              <a:lnTo>
                <a:pt x="0" y="2715768"/>
              </a:lnTo>
              <a:lnTo>
                <a:pt x="0" y="2919984"/>
              </a:lnTo>
              <a:lnTo>
                <a:pt x="644652" y="2919984"/>
              </a:lnTo>
              <a:lnTo>
                <a:pt x="644652" y="2715768"/>
              </a:lnTo>
              <a:close/>
            </a:path>
            <a:path w="645160" h="3540760">
              <a:moveTo>
                <a:pt x="644652" y="2508504"/>
              </a:moveTo>
              <a:lnTo>
                <a:pt x="0" y="2508504"/>
              </a:lnTo>
              <a:lnTo>
                <a:pt x="0" y="2712720"/>
              </a:lnTo>
              <a:lnTo>
                <a:pt x="644652" y="2712720"/>
              </a:lnTo>
              <a:lnTo>
                <a:pt x="644652" y="2508504"/>
              </a:lnTo>
              <a:close/>
            </a:path>
            <a:path w="645160" h="3540760">
              <a:moveTo>
                <a:pt x="644652" y="2301240"/>
              </a:moveTo>
              <a:lnTo>
                <a:pt x="0" y="2301240"/>
              </a:lnTo>
              <a:lnTo>
                <a:pt x="0" y="2505456"/>
              </a:lnTo>
              <a:lnTo>
                <a:pt x="644652" y="2505456"/>
              </a:lnTo>
              <a:lnTo>
                <a:pt x="644652" y="2301240"/>
              </a:lnTo>
              <a:close/>
            </a:path>
            <a:path w="645160" h="3540760">
              <a:moveTo>
                <a:pt x="644652" y="2095500"/>
              </a:moveTo>
              <a:lnTo>
                <a:pt x="0" y="2095500"/>
              </a:lnTo>
              <a:lnTo>
                <a:pt x="0" y="2298192"/>
              </a:lnTo>
              <a:lnTo>
                <a:pt x="644652" y="2298192"/>
              </a:lnTo>
              <a:lnTo>
                <a:pt x="644652" y="2095500"/>
              </a:lnTo>
              <a:close/>
            </a:path>
            <a:path w="645160" h="3540760">
              <a:moveTo>
                <a:pt x="644652" y="1888236"/>
              </a:moveTo>
              <a:lnTo>
                <a:pt x="0" y="1888236"/>
              </a:lnTo>
              <a:lnTo>
                <a:pt x="0" y="2092452"/>
              </a:lnTo>
              <a:lnTo>
                <a:pt x="644652" y="2092452"/>
              </a:lnTo>
              <a:lnTo>
                <a:pt x="644652" y="1888236"/>
              </a:lnTo>
              <a:close/>
            </a:path>
            <a:path w="645160" h="3540760">
              <a:moveTo>
                <a:pt x="644652" y="1680972"/>
              </a:moveTo>
              <a:lnTo>
                <a:pt x="0" y="1680972"/>
              </a:lnTo>
              <a:lnTo>
                <a:pt x="0" y="1885188"/>
              </a:lnTo>
              <a:lnTo>
                <a:pt x="644652" y="1885188"/>
              </a:lnTo>
              <a:lnTo>
                <a:pt x="644652" y="1680972"/>
              </a:lnTo>
              <a:close/>
            </a:path>
            <a:path w="645160" h="3540760">
              <a:moveTo>
                <a:pt x="644652" y="1473708"/>
              </a:moveTo>
              <a:lnTo>
                <a:pt x="0" y="1473708"/>
              </a:lnTo>
              <a:lnTo>
                <a:pt x="0" y="1677924"/>
              </a:lnTo>
              <a:lnTo>
                <a:pt x="644652" y="1677924"/>
              </a:lnTo>
              <a:lnTo>
                <a:pt x="644652" y="1473708"/>
              </a:lnTo>
              <a:close/>
            </a:path>
            <a:path w="645160" h="3540760">
              <a:moveTo>
                <a:pt x="644652" y="944880"/>
              </a:moveTo>
              <a:lnTo>
                <a:pt x="0" y="944880"/>
              </a:lnTo>
              <a:lnTo>
                <a:pt x="0" y="1470660"/>
              </a:lnTo>
              <a:lnTo>
                <a:pt x="644652" y="1470660"/>
              </a:lnTo>
              <a:lnTo>
                <a:pt x="644652" y="944880"/>
              </a:lnTo>
              <a:close/>
            </a:path>
            <a:path w="645160" h="3540760">
              <a:moveTo>
                <a:pt x="644652" y="416052"/>
              </a:moveTo>
              <a:lnTo>
                <a:pt x="0" y="416052"/>
              </a:lnTo>
              <a:lnTo>
                <a:pt x="0" y="941832"/>
              </a:lnTo>
              <a:lnTo>
                <a:pt x="644652" y="941832"/>
              </a:lnTo>
              <a:lnTo>
                <a:pt x="644652" y="416052"/>
              </a:lnTo>
              <a:close/>
            </a:path>
            <a:path w="645160" h="3540760">
              <a:moveTo>
                <a:pt x="644652" y="0"/>
              </a:moveTo>
              <a:lnTo>
                <a:pt x="0" y="0"/>
              </a:lnTo>
              <a:lnTo>
                <a:pt x="0" y="413004"/>
              </a:lnTo>
              <a:lnTo>
                <a:pt x="644652" y="413004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18</xdr:row>
      <xdr:rowOff>0</xdr:rowOff>
    </xdr:from>
    <xdr:ext cx="3808729" cy="480059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202311</xdr:colOff>
      <xdr:row>3</xdr:row>
      <xdr:rowOff>761</xdr:rowOff>
    </xdr:from>
    <xdr:ext cx="381000" cy="381000"/>
    <xdr:pic>
      <xdr:nvPicPr>
        <xdr:cNvPr id="15" name="image1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201930</xdr:colOff>
      <xdr:row>3</xdr:row>
      <xdr:rowOff>49142</xdr:rowOff>
    </xdr:from>
    <xdr:ext cx="381000" cy="290285"/>
    <xdr:pic>
      <xdr:nvPicPr>
        <xdr:cNvPr id="16" name="image2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17" name="image3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298692</xdr:colOff>
      <xdr:row>3</xdr:row>
      <xdr:rowOff>49142</xdr:rowOff>
    </xdr:from>
    <xdr:ext cx="193523" cy="290285"/>
    <xdr:pic>
      <xdr:nvPicPr>
        <xdr:cNvPr id="18" name="image4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19" name="image5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226060</xdr:colOff>
      <xdr:row>19</xdr:row>
      <xdr:rowOff>0</xdr:rowOff>
    </xdr:from>
    <xdr:ext cx="7486015" cy="209105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0" y="0"/>
          <a:ext cx="7486015" cy="2091055"/>
        </a:xfrm>
        <a:custGeom>
          <a:avLst/>
          <a:gdLst/>
          <a:ahLst/>
          <a:cxnLst/>
          <a:rect l="0" t="0" r="0" b="0"/>
          <a:pathLst>
            <a:path w="7486015" h="2091055">
              <a:moveTo>
                <a:pt x="312420" y="1563624"/>
              </a:moveTo>
              <a:lnTo>
                <a:pt x="0" y="1563624"/>
              </a:lnTo>
              <a:lnTo>
                <a:pt x="0" y="2090928"/>
              </a:lnTo>
              <a:lnTo>
                <a:pt x="312420" y="2090928"/>
              </a:lnTo>
              <a:lnTo>
                <a:pt x="312420" y="1563624"/>
              </a:lnTo>
              <a:close/>
            </a:path>
            <a:path w="7486015" h="2091055">
              <a:moveTo>
                <a:pt x="312420" y="0"/>
              </a:moveTo>
              <a:lnTo>
                <a:pt x="0" y="0"/>
              </a:lnTo>
              <a:lnTo>
                <a:pt x="0" y="1560576"/>
              </a:lnTo>
              <a:lnTo>
                <a:pt x="312420" y="1560576"/>
              </a:lnTo>
              <a:lnTo>
                <a:pt x="312420" y="0"/>
              </a:lnTo>
              <a:close/>
            </a:path>
            <a:path w="7486015" h="2091055">
              <a:moveTo>
                <a:pt x="1264920" y="1563624"/>
              </a:moveTo>
              <a:lnTo>
                <a:pt x="315468" y="1563624"/>
              </a:lnTo>
              <a:lnTo>
                <a:pt x="315468" y="2090928"/>
              </a:lnTo>
              <a:lnTo>
                <a:pt x="1264920" y="2090928"/>
              </a:lnTo>
              <a:lnTo>
                <a:pt x="1264920" y="1563624"/>
              </a:lnTo>
              <a:close/>
            </a:path>
            <a:path w="7486015" h="2091055">
              <a:moveTo>
                <a:pt x="1264920" y="0"/>
              </a:moveTo>
              <a:lnTo>
                <a:pt x="315468" y="0"/>
              </a:lnTo>
              <a:lnTo>
                <a:pt x="315468" y="1560576"/>
              </a:lnTo>
              <a:lnTo>
                <a:pt x="1264920" y="1560576"/>
              </a:lnTo>
              <a:lnTo>
                <a:pt x="1264920" y="0"/>
              </a:lnTo>
              <a:close/>
            </a:path>
            <a:path w="7486015" h="2091055">
              <a:moveTo>
                <a:pt x="2531364" y="1563624"/>
              </a:moveTo>
              <a:lnTo>
                <a:pt x="1267968" y="1563624"/>
              </a:lnTo>
              <a:lnTo>
                <a:pt x="1267968" y="2090928"/>
              </a:lnTo>
              <a:lnTo>
                <a:pt x="2531364" y="2090928"/>
              </a:lnTo>
              <a:lnTo>
                <a:pt x="2531364" y="1563624"/>
              </a:lnTo>
              <a:close/>
            </a:path>
            <a:path w="7486015" h="2091055">
              <a:moveTo>
                <a:pt x="2531364" y="530352"/>
              </a:moveTo>
              <a:lnTo>
                <a:pt x="1267968" y="530352"/>
              </a:lnTo>
              <a:lnTo>
                <a:pt x="1267968" y="1560576"/>
              </a:lnTo>
              <a:lnTo>
                <a:pt x="2531364" y="1560576"/>
              </a:lnTo>
              <a:lnTo>
                <a:pt x="2531364" y="530352"/>
              </a:lnTo>
              <a:close/>
            </a:path>
            <a:path w="7486015" h="2091055">
              <a:moveTo>
                <a:pt x="2531364" y="0"/>
              </a:moveTo>
              <a:lnTo>
                <a:pt x="1267968" y="0"/>
              </a:lnTo>
              <a:lnTo>
                <a:pt x="1267968" y="527304"/>
              </a:lnTo>
              <a:lnTo>
                <a:pt x="2531364" y="527304"/>
              </a:lnTo>
              <a:lnTo>
                <a:pt x="2531364" y="0"/>
              </a:lnTo>
              <a:close/>
            </a:path>
            <a:path w="7486015" h="2091055">
              <a:moveTo>
                <a:pt x="3037332" y="1563624"/>
              </a:moveTo>
              <a:lnTo>
                <a:pt x="2534412" y="1563624"/>
              </a:lnTo>
              <a:lnTo>
                <a:pt x="2534412" y="2090928"/>
              </a:lnTo>
              <a:lnTo>
                <a:pt x="3037332" y="2090928"/>
              </a:lnTo>
              <a:lnTo>
                <a:pt x="3037332" y="1563624"/>
              </a:lnTo>
              <a:close/>
            </a:path>
            <a:path w="7486015" h="2091055">
              <a:moveTo>
                <a:pt x="3037332" y="1357884"/>
              </a:moveTo>
              <a:lnTo>
                <a:pt x="2534412" y="1357884"/>
              </a:lnTo>
              <a:lnTo>
                <a:pt x="2534412" y="1560576"/>
              </a:lnTo>
              <a:lnTo>
                <a:pt x="3037332" y="1560576"/>
              </a:lnTo>
              <a:lnTo>
                <a:pt x="3037332" y="1357884"/>
              </a:lnTo>
              <a:close/>
            </a:path>
            <a:path w="7486015" h="2091055">
              <a:moveTo>
                <a:pt x="3037332" y="1150620"/>
              </a:moveTo>
              <a:lnTo>
                <a:pt x="2534412" y="1150620"/>
              </a:lnTo>
              <a:lnTo>
                <a:pt x="2534412" y="1354836"/>
              </a:lnTo>
              <a:lnTo>
                <a:pt x="3037332" y="1354836"/>
              </a:lnTo>
              <a:lnTo>
                <a:pt x="3037332" y="1150620"/>
              </a:lnTo>
              <a:close/>
            </a:path>
            <a:path w="7486015" h="2091055">
              <a:moveTo>
                <a:pt x="3037332" y="943356"/>
              </a:moveTo>
              <a:lnTo>
                <a:pt x="2534412" y="943356"/>
              </a:lnTo>
              <a:lnTo>
                <a:pt x="2534412" y="1147572"/>
              </a:lnTo>
              <a:lnTo>
                <a:pt x="3037332" y="1147572"/>
              </a:lnTo>
              <a:lnTo>
                <a:pt x="3037332" y="943356"/>
              </a:lnTo>
              <a:close/>
            </a:path>
            <a:path w="7486015" h="2091055">
              <a:moveTo>
                <a:pt x="3037332" y="736092"/>
              </a:moveTo>
              <a:lnTo>
                <a:pt x="2534412" y="736092"/>
              </a:lnTo>
              <a:lnTo>
                <a:pt x="2534412" y="940308"/>
              </a:lnTo>
              <a:lnTo>
                <a:pt x="3037332" y="940308"/>
              </a:lnTo>
              <a:lnTo>
                <a:pt x="3037332" y="736092"/>
              </a:lnTo>
              <a:close/>
            </a:path>
            <a:path w="7486015" h="2091055">
              <a:moveTo>
                <a:pt x="3037332" y="530352"/>
              </a:moveTo>
              <a:lnTo>
                <a:pt x="2534412" y="530352"/>
              </a:lnTo>
              <a:lnTo>
                <a:pt x="2534412" y="733044"/>
              </a:lnTo>
              <a:lnTo>
                <a:pt x="3037332" y="733044"/>
              </a:lnTo>
              <a:lnTo>
                <a:pt x="3037332" y="530352"/>
              </a:lnTo>
              <a:close/>
            </a:path>
            <a:path w="7486015" h="2091055">
              <a:moveTo>
                <a:pt x="3037332" y="0"/>
              </a:moveTo>
              <a:lnTo>
                <a:pt x="2534412" y="0"/>
              </a:lnTo>
              <a:lnTo>
                <a:pt x="2534412" y="527304"/>
              </a:lnTo>
              <a:lnTo>
                <a:pt x="3037332" y="527304"/>
              </a:lnTo>
              <a:lnTo>
                <a:pt x="3037332" y="0"/>
              </a:lnTo>
              <a:close/>
            </a:path>
            <a:path w="7486015" h="2091055">
              <a:moveTo>
                <a:pt x="3674364" y="1563624"/>
              </a:moveTo>
              <a:lnTo>
                <a:pt x="3040380" y="1563624"/>
              </a:lnTo>
              <a:lnTo>
                <a:pt x="3040380" y="2090928"/>
              </a:lnTo>
              <a:lnTo>
                <a:pt x="3674364" y="2090928"/>
              </a:lnTo>
              <a:lnTo>
                <a:pt x="3674364" y="1563624"/>
              </a:lnTo>
              <a:close/>
            </a:path>
            <a:path w="7486015" h="2091055">
              <a:moveTo>
                <a:pt x="3674364" y="1357884"/>
              </a:moveTo>
              <a:lnTo>
                <a:pt x="3040380" y="1357884"/>
              </a:lnTo>
              <a:lnTo>
                <a:pt x="3040380" y="1560576"/>
              </a:lnTo>
              <a:lnTo>
                <a:pt x="3674364" y="1560576"/>
              </a:lnTo>
              <a:lnTo>
                <a:pt x="3674364" y="1357884"/>
              </a:lnTo>
              <a:close/>
            </a:path>
            <a:path w="7486015" h="2091055">
              <a:moveTo>
                <a:pt x="3674364" y="1150620"/>
              </a:moveTo>
              <a:lnTo>
                <a:pt x="3040380" y="1150620"/>
              </a:lnTo>
              <a:lnTo>
                <a:pt x="3040380" y="1354836"/>
              </a:lnTo>
              <a:lnTo>
                <a:pt x="3674364" y="1354836"/>
              </a:lnTo>
              <a:lnTo>
                <a:pt x="3674364" y="1150620"/>
              </a:lnTo>
              <a:close/>
            </a:path>
            <a:path w="7486015" h="2091055">
              <a:moveTo>
                <a:pt x="3674364" y="943356"/>
              </a:moveTo>
              <a:lnTo>
                <a:pt x="3040380" y="943356"/>
              </a:lnTo>
              <a:lnTo>
                <a:pt x="3040380" y="1147572"/>
              </a:lnTo>
              <a:lnTo>
                <a:pt x="3674364" y="1147572"/>
              </a:lnTo>
              <a:lnTo>
                <a:pt x="3674364" y="943356"/>
              </a:lnTo>
              <a:close/>
            </a:path>
            <a:path w="7486015" h="2091055">
              <a:moveTo>
                <a:pt x="3674364" y="736092"/>
              </a:moveTo>
              <a:lnTo>
                <a:pt x="3040380" y="736092"/>
              </a:lnTo>
              <a:lnTo>
                <a:pt x="3040380" y="940308"/>
              </a:lnTo>
              <a:lnTo>
                <a:pt x="3674364" y="940308"/>
              </a:lnTo>
              <a:lnTo>
                <a:pt x="3674364" y="736092"/>
              </a:lnTo>
              <a:close/>
            </a:path>
            <a:path w="7486015" h="2091055">
              <a:moveTo>
                <a:pt x="3674364" y="530352"/>
              </a:moveTo>
              <a:lnTo>
                <a:pt x="3040380" y="530352"/>
              </a:lnTo>
              <a:lnTo>
                <a:pt x="3040380" y="733044"/>
              </a:lnTo>
              <a:lnTo>
                <a:pt x="3674364" y="733044"/>
              </a:lnTo>
              <a:lnTo>
                <a:pt x="3674364" y="530352"/>
              </a:lnTo>
              <a:close/>
            </a:path>
            <a:path w="7486015" h="2091055">
              <a:moveTo>
                <a:pt x="3674364" y="0"/>
              </a:moveTo>
              <a:lnTo>
                <a:pt x="3040380" y="0"/>
              </a:lnTo>
              <a:lnTo>
                <a:pt x="3040380" y="527304"/>
              </a:lnTo>
              <a:lnTo>
                <a:pt x="3674364" y="527304"/>
              </a:lnTo>
              <a:lnTo>
                <a:pt x="3674364" y="0"/>
              </a:lnTo>
              <a:close/>
            </a:path>
            <a:path w="7486015" h="2091055">
              <a:moveTo>
                <a:pt x="4437888" y="1563624"/>
              </a:moveTo>
              <a:lnTo>
                <a:pt x="3677412" y="1563624"/>
              </a:lnTo>
              <a:lnTo>
                <a:pt x="3677412" y="2090928"/>
              </a:lnTo>
              <a:lnTo>
                <a:pt x="4437888" y="2090928"/>
              </a:lnTo>
              <a:lnTo>
                <a:pt x="4437888" y="1563624"/>
              </a:lnTo>
              <a:close/>
            </a:path>
            <a:path w="7486015" h="2091055">
              <a:moveTo>
                <a:pt x="4437888" y="1357884"/>
              </a:moveTo>
              <a:lnTo>
                <a:pt x="3677412" y="1357884"/>
              </a:lnTo>
              <a:lnTo>
                <a:pt x="3677412" y="1560576"/>
              </a:lnTo>
              <a:lnTo>
                <a:pt x="4437888" y="1560576"/>
              </a:lnTo>
              <a:lnTo>
                <a:pt x="4437888" y="1357884"/>
              </a:lnTo>
              <a:close/>
            </a:path>
            <a:path w="7486015" h="2091055">
              <a:moveTo>
                <a:pt x="4437888" y="1150620"/>
              </a:moveTo>
              <a:lnTo>
                <a:pt x="3677412" y="1150620"/>
              </a:lnTo>
              <a:lnTo>
                <a:pt x="3677412" y="1354836"/>
              </a:lnTo>
              <a:lnTo>
                <a:pt x="4437888" y="1354836"/>
              </a:lnTo>
              <a:lnTo>
                <a:pt x="4437888" y="1150620"/>
              </a:lnTo>
              <a:close/>
            </a:path>
            <a:path w="7486015" h="2091055">
              <a:moveTo>
                <a:pt x="4437888" y="943356"/>
              </a:moveTo>
              <a:lnTo>
                <a:pt x="3677412" y="943356"/>
              </a:lnTo>
              <a:lnTo>
                <a:pt x="3677412" y="1147572"/>
              </a:lnTo>
              <a:lnTo>
                <a:pt x="4437888" y="1147572"/>
              </a:lnTo>
              <a:lnTo>
                <a:pt x="4437888" y="943356"/>
              </a:lnTo>
              <a:close/>
            </a:path>
            <a:path w="7486015" h="2091055">
              <a:moveTo>
                <a:pt x="4437888" y="736092"/>
              </a:moveTo>
              <a:lnTo>
                <a:pt x="3677412" y="736092"/>
              </a:lnTo>
              <a:lnTo>
                <a:pt x="3677412" y="940308"/>
              </a:lnTo>
              <a:lnTo>
                <a:pt x="4437888" y="940308"/>
              </a:lnTo>
              <a:lnTo>
                <a:pt x="4437888" y="736092"/>
              </a:lnTo>
              <a:close/>
            </a:path>
            <a:path w="7486015" h="2091055">
              <a:moveTo>
                <a:pt x="4437888" y="530352"/>
              </a:moveTo>
              <a:lnTo>
                <a:pt x="3677412" y="530352"/>
              </a:lnTo>
              <a:lnTo>
                <a:pt x="3677412" y="733044"/>
              </a:lnTo>
              <a:lnTo>
                <a:pt x="4437888" y="733044"/>
              </a:lnTo>
              <a:lnTo>
                <a:pt x="4437888" y="530352"/>
              </a:lnTo>
              <a:close/>
            </a:path>
            <a:path w="7486015" h="2091055">
              <a:moveTo>
                <a:pt x="4437888" y="0"/>
              </a:moveTo>
              <a:lnTo>
                <a:pt x="3677412" y="0"/>
              </a:lnTo>
              <a:lnTo>
                <a:pt x="3677412" y="527304"/>
              </a:lnTo>
              <a:lnTo>
                <a:pt x="4437888" y="527304"/>
              </a:lnTo>
              <a:lnTo>
                <a:pt x="4437888" y="0"/>
              </a:lnTo>
              <a:close/>
            </a:path>
            <a:path w="7486015" h="2091055">
              <a:moveTo>
                <a:pt x="5199888" y="1563624"/>
              </a:moveTo>
              <a:lnTo>
                <a:pt x="4440936" y="1563624"/>
              </a:lnTo>
              <a:lnTo>
                <a:pt x="4440936" y="2090928"/>
              </a:lnTo>
              <a:lnTo>
                <a:pt x="5199888" y="2090928"/>
              </a:lnTo>
              <a:lnTo>
                <a:pt x="5199888" y="1563624"/>
              </a:lnTo>
              <a:close/>
            </a:path>
            <a:path w="7486015" h="2091055">
              <a:moveTo>
                <a:pt x="5199888" y="1357884"/>
              </a:moveTo>
              <a:lnTo>
                <a:pt x="4440936" y="1357884"/>
              </a:lnTo>
              <a:lnTo>
                <a:pt x="4440936" y="1560576"/>
              </a:lnTo>
              <a:lnTo>
                <a:pt x="5199888" y="1560576"/>
              </a:lnTo>
              <a:lnTo>
                <a:pt x="5199888" y="1357884"/>
              </a:lnTo>
              <a:close/>
            </a:path>
            <a:path w="7486015" h="2091055">
              <a:moveTo>
                <a:pt x="5199888" y="1150620"/>
              </a:moveTo>
              <a:lnTo>
                <a:pt x="4440936" y="1150620"/>
              </a:lnTo>
              <a:lnTo>
                <a:pt x="4440936" y="1354836"/>
              </a:lnTo>
              <a:lnTo>
                <a:pt x="5199888" y="1354836"/>
              </a:lnTo>
              <a:lnTo>
                <a:pt x="5199888" y="1150620"/>
              </a:lnTo>
              <a:close/>
            </a:path>
            <a:path w="7486015" h="2091055">
              <a:moveTo>
                <a:pt x="5199888" y="943356"/>
              </a:moveTo>
              <a:lnTo>
                <a:pt x="4440936" y="943356"/>
              </a:lnTo>
              <a:lnTo>
                <a:pt x="4440936" y="1147572"/>
              </a:lnTo>
              <a:lnTo>
                <a:pt x="5199888" y="1147572"/>
              </a:lnTo>
              <a:lnTo>
                <a:pt x="5199888" y="943356"/>
              </a:lnTo>
              <a:close/>
            </a:path>
            <a:path w="7486015" h="2091055">
              <a:moveTo>
                <a:pt x="5199888" y="736092"/>
              </a:moveTo>
              <a:lnTo>
                <a:pt x="4440936" y="736092"/>
              </a:lnTo>
              <a:lnTo>
                <a:pt x="4440936" y="940308"/>
              </a:lnTo>
              <a:lnTo>
                <a:pt x="5199888" y="940308"/>
              </a:lnTo>
              <a:lnTo>
                <a:pt x="5199888" y="736092"/>
              </a:lnTo>
              <a:close/>
            </a:path>
            <a:path w="7486015" h="2091055">
              <a:moveTo>
                <a:pt x="5199888" y="530352"/>
              </a:moveTo>
              <a:lnTo>
                <a:pt x="4440936" y="530352"/>
              </a:lnTo>
              <a:lnTo>
                <a:pt x="4440936" y="733044"/>
              </a:lnTo>
              <a:lnTo>
                <a:pt x="5199888" y="733044"/>
              </a:lnTo>
              <a:lnTo>
                <a:pt x="5199888" y="530352"/>
              </a:lnTo>
              <a:close/>
            </a:path>
            <a:path w="7486015" h="2091055">
              <a:moveTo>
                <a:pt x="5199888" y="0"/>
              </a:moveTo>
              <a:lnTo>
                <a:pt x="4440936" y="0"/>
              </a:lnTo>
              <a:lnTo>
                <a:pt x="4440936" y="527304"/>
              </a:lnTo>
              <a:lnTo>
                <a:pt x="5199888" y="527304"/>
              </a:lnTo>
              <a:lnTo>
                <a:pt x="5199888" y="0"/>
              </a:lnTo>
              <a:close/>
            </a:path>
            <a:path w="7486015" h="2091055">
              <a:moveTo>
                <a:pt x="5961875" y="1563624"/>
              </a:moveTo>
              <a:lnTo>
                <a:pt x="5202936" y="1563624"/>
              </a:lnTo>
              <a:lnTo>
                <a:pt x="5202936" y="2090928"/>
              </a:lnTo>
              <a:lnTo>
                <a:pt x="5961875" y="2090928"/>
              </a:lnTo>
              <a:lnTo>
                <a:pt x="5961875" y="1563624"/>
              </a:lnTo>
              <a:close/>
            </a:path>
            <a:path w="7486015" h="2091055">
              <a:moveTo>
                <a:pt x="5961875" y="1357884"/>
              </a:moveTo>
              <a:lnTo>
                <a:pt x="5202936" y="1357884"/>
              </a:lnTo>
              <a:lnTo>
                <a:pt x="5202936" y="1560576"/>
              </a:lnTo>
              <a:lnTo>
                <a:pt x="5961875" y="1560576"/>
              </a:lnTo>
              <a:lnTo>
                <a:pt x="5961875" y="1357884"/>
              </a:lnTo>
              <a:close/>
            </a:path>
            <a:path w="7486015" h="2091055">
              <a:moveTo>
                <a:pt x="5961875" y="1150620"/>
              </a:moveTo>
              <a:lnTo>
                <a:pt x="5202936" y="1150620"/>
              </a:lnTo>
              <a:lnTo>
                <a:pt x="5202936" y="1354836"/>
              </a:lnTo>
              <a:lnTo>
                <a:pt x="5961875" y="1354836"/>
              </a:lnTo>
              <a:lnTo>
                <a:pt x="5961875" y="1150620"/>
              </a:lnTo>
              <a:close/>
            </a:path>
            <a:path w="7486015" h="2091055">
              <a:moveTo>
                <a:pt x="5961875" y="943356"/>
              </a:moveTo>
              <a:lnTo>
                <a:pt x="5202936" y="943356"/>
              </a:lnTo>
              <a:lnTo>
                <a:pt x="5202936" y="1147572"/>
              </a:lnTo>
              <a:lnTo>
                <a:pt x="5961875" y="1147572"/>
              </a:lnTo>
              <a:lnTo>
                <a:pt x="5961875" y="943356"/>
              </a:lnTo>
              <a:close/>
            </a:path>
            <a:path w="7486015" h="2091055">
              <a:moveTo>
                <a:pt x="5961875" y="736092"/>
              </a:moveTo>
              <a:lnTo>
                <a:pt x="5202936" y="736092"/>
              </a:lnTo>
              <a:lnTo>
                <a:pt x="5202936" y="940308"/>
              </a:lnTo>
              <a:lnTo>
                <a:pt x="5961875" y="940308"/>
              </a:lnTo>
              <a:lnTo>
                <a:pt x="5961875" y="736092"/>
              </a:lnTo>
              <a:close/>
            </a:path>
            <a:path w="7486015" h="2091055">
              <a:moveTo>
                <a:pt x="5961875" y="530352"/>
              </a:moveTo>
              <a:lnTo>
                <a:pt x="5202936" y="530352"/>
              </a:lnTo>
              <a:lnTo>
                <a:pt x="5202936" y="733044"/>
              </a:lnTo>
              <a:lnTo>
                <a:pt x="5961875" y="733044"/>
              </a:lnTo>
              <a:lnTo>
                <a:pt x="5961875" y="530352"/>
              </a:lnTo>
              <a:close/>
            </a:path>
            <a:path w="7486015" h="2091055">
              <a:moveTo>
                <a:pt x="5961875" y="0"/>
              </a:moveTo>
              <a:lnTo>
                <a:pt x="5202936" y="0"/>
              </a:lnTo>
              <a:lnTo>
                <a:pt x="5202936" y="527304"/>
              </a:lnTo>
              <a:lnTo>
                <a:pt x="5961875" y="527304"/>
              </a:lnTo>
              <a:lnTo>
                <a:pt x="5961875" y="0"/>
              </a:lnTo>
              <a:close/>
            </a:path>
            <a:path w="7486015" h="2091055">
              <a:moveTo>
                <a:pt x="6723888" y="1563624"/>
              </a:moveTo>
              <a:lnTo>
                <a:pt x="5964936" y="1563624"/>
              </a:lnTo>
              <a:lnTo>
                <a:pt x="5964936" y="2090928"/>
              </a:lnTo>
              <a:lnTo>
                <a:pt x="6723888" y="2090928"/>
              </a:lnTo>
              <a:lnTo>
                <a:pt x="6723888" y="1563624"/>
              </a:lnTo>
              <a:close/>
            </a:path>
            <a:path w="7486015" h="2091055">
              <a:moveTo>
                <a:pt x="6723888" y="1357884"/>
              </a:moveTo>
              <a:lnTo>
                <a:pt x="5964936" y="1357884"/>
              </a:lnTo>
              <a:lnTo>
                <a:pt x="5964936" y="1560576"/>
              </a:lnTo>
              <a:lnTo>
                <a:pt x="6723888" y="1560576"/>
              </a:lnTo>
              <a:lnTo>
                <a:pt x="6723888" y="1357884"/>
              </a:lnTo>
              <a:close/>
            </a:path>
            <a:path w="7486015" h="2091055">
              <a:moveTo>
                <a:pt x="6723888" y="1150620"/>
              </a:moveTo>
              <a:lnTo>
                <a:pt x="5964936" y="1150620"/>
              </a:lnTo>
              <a:lnTo>
                <a:pt x="5964936" y="1354836"/>
              </a:lnTo>
              <a:lnTo>
                <a:pt x="6723888" y="1354836"/>
              </a:lnTo>
              <a:lnTo>
                <a:pt x="6723888" y="1150620"/>
              </a:lnTo>
              <a:close/>
            </a:path>
            <a:path w="7486015" h="2091055">
              <a:moveTo>
                <a:pt x="6723888" y="943356"/>
              </a:moveTo>
              <a:lnTo>
                <a:pt x="5964936" y="943356"/>
              </a:lnTo>
              <a:lnTo>
                <a:pt x="5964936" y="1147572"/>
              </a:lnTo>
              <a:lnTo>
                <a:pt x="6723888" y="1147572"/>
              </a:lnTo>
              <a:lnTo>
                <a:pt x="6723888" y="943356"/>
              </a:lnTo>
              <a:close/>
            </a:path>
            <a:path w="7486015" h="2091055">
              <a:moveTo>
                <a:pt x="6723888" y="736092"/>
              </a:moveTo>
              <a:lnTo>
                <a:pt x="5964936" y="736092"/>
              </a:lnTo>
              <a:lnTo>
                <a:pt x="5964936" y="940308"/>
              </a:lnTo>
              <a:lnTo>
                <a:pt x="6723888" y="940308"/>
              </a:lnTo>
              <a:lnTo>
                <a:pt x="6723888" y="736092"/>
              </a:lnTo>
              <a:close/>
            </a:path>
            <a:path w="7486015" h="2091055">
              <a:moveTo>
                <a:pt x="6723888" y="530352"/>
              </a:moveTo>
              <a:lnTo>
                <a:pt x="5964936" y="530352"/>
              </a:lnTo>
              <a:lnTo>
                <a:pt x="5964936" y="733044"/>
              </a:lnTo>
              <a:lnTo>
                <a:pt x="6723888" y="733044"/>
              </a:lnTo>
              <a:lnTo>
                <a:pt x="6723888" y="530352"/>
              </a:lnTo>
              <a:close/>
            </a:path>
            <a:path w="7486015" h="2091055">
              <a:moveTo>
                <a:pt x="6723888" y="0"/>
              </a:moveTo>
              <a:lnTo>
                <a:pt x="5964936" y="0"/>
              </a:lnTo>
              <a:lnTo>
                <a:pt x="5964936" y="527304"/>
              </a:lnTo>
              <a:lnTo>
                <a:pt x="6723888" y="527304"/>
              </a:lnTo>
              <a:lnTo>
                <a:pt x="6723888" y="0"/>
              </a:lnTo>
              <a:close/>
            </a:path>
            <a:path w="7486015" h="2091055">
              <a:moveTo>
                <a:pt x="7485888" y="1563624"/>
              </a:moveTo>
              <a:lnTo>
                <a:pt x="6726936" y="1563624"/>
              </a:lnTo>
              <a:lnTo>
                <a:pt x="6726936" y="2090928"/>
              </a:lnTo>
              <a:lnTo>
                <a:pt x="7485888" y="2090928"/>
              </a:lnTo>
              <a:lnTo>
                <a:pt x="7485888" y="1563624"/>
              </a:lnTo>
              <a:close/>
            </a:path>
            <a:path w="7486015" h="2091055">
              <a:moveTo>
                <a:pt x="7485888" y="1357884"/>
              </a:moveTo>
              <a:lnTo>
                <a:pt x="6726936" y="1357884"/>
              </a:lnTo>
              <a:lnTo>
                <a:pt x="6726936" y="1560576"/>
              </a:lnTo>
              <a:lnTo>
                <a:pt x="7485888" y="1560576"/>
              </a:lnTo>
              <a:lnTo>
                <a:pt x="7485888" y="1357884"/>
              </a:lnTo>
              <a:close/>
            </a:path>
            <a:path w="7486015" h="2091055">
              <a:moveTo>
                <a:pt x="7485888" y="1150620"/>
              </a:moveTo>
              <a:lnTo>
                <a:pt x="6726936" y="1150620"/>
              </a:lnTo>
              <a:lnTo>
                <a:pt x="6726936" y="1354836"/>
              </a:lnTo>
              <a:lnTo>
                <a:pt x="7485888" y="1354836"/>
              </a:lnTo>
              <a:lnTo>
                <a:pt x="7485888" y="1150620"/>
              </a:lnTo>
              <a:close/>
            </a:path>
            <a:path w="7486015" h="2091055">
              <a:moveTo>
                <a:pt x="7485888" y="943356"/>
              </a:moveTo>
              <a:lnTo>
                <a:pt x="6726936" y="943356"/>
              </a:lnTo>
              <a:lnTo>
                <a:pt x="6726936" y="1147572"/>
              </a:lnTo>
              <a:lnTo>
                <a:pt x="7485888" y="1147572"/>
              </a:lnTo>
              <a:lnTo>
                <a:pt x="7485888" y="943356"/>
              </a:lnTo>
              <a:close/>
            </a:path>
            <a:path w="7486015" h="2091055">
              <a:moveTo>
                <a:pt x="7485888" y="736092"/>
              </a:moveTo>
              <a:lnTo>
                <a:pt x="6726936" y="736092"/>
              </a:lnTo>
              <a:lnTo>
                <a:pt x="6726936" y="940308"/>
              </a:lnTo>
              <a:lnTo>
                <a:pt x="7485888" y="940308"/>
              </a:lnTo>
              <a:lnTo>
                <a:pt x="7485888" y="736092"/>
              </a:lnTo>
              <a:close/>
            </a:path>
            <a:path w="7486015" h="2091055">
              <a:moveTo>
                <a:pt x="7485888" y="530352"/>
              </a:moveTo>
              <a:lnTo>
                <a:pt x="6726936" y="530352"/>
              </a:lnTo>
              <a:lnTo>
                <a:pt x="6726936" y="733044"/>
              </a:lnTo>
              <a:lnTo>
                <a:pt x="7485888" y="733044"/>
              </a:lnTo>
              <a:lnTo>
                <a:pt x="7485888" y="530352"/>
              </a:lnTo>
              <a:close/>
            </a:path>
            <a:path w="7486015" h="2091055">
              <a:moveTo>
                <a:pt x="7485888" y="0"/>
              </a:moveTo>
              <a:lnTo>
                <a:pt x="6726936" y="0"/>
              </a:lnTo>
              <a:lnTo>
                <a:pt x="6726936" y="527304"/>
              </a:lnTo>
              <a:lnTo>
                <a:pt x="7485888" y="527304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540766</xdr:colOff>
      <xdr:row>20</xdr:row>
      <xdr:rowOff>0</xdr:rowOff>
    </xdr:from>
    <xdr:ext cx="645160" cy="209105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0"/>
          <a:ext cx="645160" cy="2091055"/>
        </a:xfrm>
        <a:custGeom>
          <a:avLst/>
          <a:gdLst/>
          <a:ahLst/>
          <a:cxnLst/>
          <a:rect l="0" t="0" r="0" b="0"/>
          <a:pathLst>
            <a:path w="645160" h="2091055">
              <a:moveTo>
                <a:pt x="644652" y="1563624"/>
              </a:moveTo>
              <a:lnTo>
                <a:pt x="0" y="1563624"/>
              </a:lnTo>
              <a:lnTo>
                <a:pt x="0" y="2090928"/>
              </a:lnTo>
              <a:lnTo>
                <a:pt x="644652" y="2090928"/>
              </a:lnTo>
              <a:lnTo>
                <a:pt x="644652" y="1563624"/>
              </a:lnTo>
              <a:close/>
            </a:path>
            <a:path w="645160" h="2091055">
              <a:moveTo>
                <a:pt x="644652" y="1357884"/>
              </a:moveTo>
              <a:lnTo>
                <a:pt x="0" y="1357884"/>
              </a:lnTo>
              <a:lnTo>
                <a:pt x="0" y="1560576"/>
              </a:lnTo>
              <a:lnTo>
                <a:pt x="644652" y="1560576"/>
              </a:lnTo>
              <a:lnTo>
                <a:pt x="644652" y="1357884"/>
              </a:lnTo>
              <a:close/>
            </a:path>
            <a:path w="645160" h="2091055">
              <a:moveTo>
                <a:pt x="644652" y="1150620"/>
              </a:moveTo>
              <a:lnTo>
                <a:pt x="0" y="1150620"/>
              </a:lnTo>
              <a:lnTo>
                <a:pt x="0" y="1354836"/>
              </a:lnTo>
              <a:lnTo>
                <a:pt x="644652" y="1354836"/>
              </a:lnTo>
              <a:lnTo>
                <a:pt x="644652" y="1150620"/>
              </a:lnTo>
              <a:close/>
            </a:path>
            <a:path w="645160" h="2091055">
              <a:moveTo>
                <a:pt x="644652" y="943356"/>
              </a:moveTo>
              <a:lnTo>
                <a:pt x="0" y="943356"/>
              </a:lnTo>
              <a:lnTo>
                <a:pt x="0" y="1147572"/>
              </a:lnTo>
              <a:lnTo>
                <a:pt x="644652" y="1147572"/>
              </a:lnTo>
              <a:lnTo>
                <a:pt x="644652" y="943356"/>
              </a:lnTo>
              <a:close/>
            </a:path>
            <a:path w="645160" h="2091055">
              <a:moveTo>
                <a:pt x="644652" y="736092"/>
              </a:moveTo>
              <a:lnTo>
                <a:pt x="0" y="736092"/>
              </a:lnTo>
              <a:lnTo>
                <a:pt x="0" y="940308"/>
              </a:lnTo>
              <a:lnTo>
                <a:pt x="644652" y="940308"/>
              </a:lnTo>
              <a:lnTo>
                <a:pt x="644652" y="736092"/>
              </a:lnTo>
              <a:close/>
            </a:path>
            <a:path w="645160" h="2091055">
              <a:moveTo>
                <a:pt x="644652" y="530352"/>
              </a:moveTo>
              <a:lnTo>
                <a:pt x="0" y="530352"/>
              </a:lnTo>
              <a:lnTo>
                <a:pt x="0" y="733044"/>
              </a:lnTo>
              <a:lnTo>
                <a:pt x="644652" y="733044"/>
              </a:lnTo>
              <a:lnTo>
                <a:pt x="644652" y="530352"/>
              </a:lnTo>
              <a:close/>
            </a:path>
            <a:path w="645160" h="2091055">
              <a:moveTo>
                <a:pt x="644652" y="0"/>
              </a:moveTo>
              <a:lnTo>
                <a:pt x="0" y="0"/>
              </a:lnTo>
              <a:lnTo>
                <a:pt x="0" y="527304"/>
              </a:lnTo>
              <a:lnTo>
                <a:pt x="644652" y="527304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541528</xdr:colOff>
      <xdr:row>21</xdr:row>
      <xdr:rowOff>0</xdr:rowOff>
    </xdr:from>
    <xdr:ext cx="6217920" cy="156083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0" y="0"/>
          <a:ext cx="6217920" cy="1560830"/>
        </a:xfrm>
        <a:custGeom>
          <a:avLst/>
          <a:gdLst/>
          <a:ahLst/>
          <a:cxnLst/>
          <a:rect l="0" t="0" r="0" b="0"/>
          <a:pathLst>
            <a:path w="6217920" h="1560830">
              <a:moveTo>
                <a:pt x="1263396" y="1034796"/>
              </a:moveTo>
              <a:lnTo>
                <a:pt x="0" y="1034796"/>
              </a:lnTo>
              <a:lnTo>
                <a:pt x="0" y="1560576"/>
              </a:lnTo>
              <a:lnTo>
                <a:pt x="1263396" y="1560576"/>
              </a:lnTo>
              <a:lnTo>
                <a:pt x="1263396" y="1034796"/>
              </a:lnTo>
              <a:close/>
            </a:path>
            <a:path w="6217920" h="1560830">
              <a:moveTo>
                <a:pt x="1263396" y="0"/>
              </a:moveTo>
              <a:lnTo>
                <a:pt x="0" y="0"/>
              </a:lnTo>
              <a:lnTo>
                <a:pt x="0" y="1031748"/>
              </a:lnTo>
              <a:lnTo>
                <a:pt x="1263396" y="1031748"/>
              </a:lnTo>
              <a:lnTo>
                <a:pt x="1263396" y="0"/>
              </a:lnTo>
              <a:close/>
            </a:path>
            <a:path w="6217920" h="1560830">
              <a:moveTo>
                <a:pt x="1769364" y="1034796"/>
              </a:moveTo>
              <a:lnTo>
                <a:pt x="1266444" y="1034796"/>
              </a:lnTo>
              <a:lnTo>
                <a:pt x="1266444" y="1560576"/>
              </a:lnTo>
              <a:lnTo>
                <a:pt x="1769364" y="1560576"/>
              </a:lnTo>
              <a:lnTo>
                <a:pt x="1769364" y="1034796"/>
              </a:lnTo>
              <a:close/>
            </a:path>
            <a:path w="6217920" h="1560830">
              <a:moveTo>
                <a:pt x="1769364" y="827532"/>
              </a:moveTo>
              <a:lnTo>
                <a:pt x="1266444" y="827532"/>
              </a:lnTo>
              <a:lnTo>
                <a:pt x="1266444" y="1031748"/>
              </a:lnTo>
              <a:lnTo>
                <a:pt x="1769364" y="1031748"/>
              </a:lnTo>
              <a:lnTo>
                <a:pt x="1769364" y="827532"/>
              </a:lnTo>
              <a:close/>
            </a:path>
            <a:path w="6217920" h="1560830">
              <a:moveTo>
                <a:pt x="1769364" y="620268"/>
              </a:moveTo>
              <a:lnTo>
                <a:pt x="1266444" y="620268"/>
              </a:lnTo>
              <a:lnTo>
                <a:pt x="1266444" y="824484"/>
              </a:lnTo>
              <a:lnTo>
                <a:pt x="1769364" y="824484"/>
              </a:lnTo>
              <a:lnTo>
                <a:pt x="1769364" y="620268"/>
              </a:lnTo>
              <a:close/>
            </a:path>
            <a:path w="6217920" h="1560830">
              <a:moveTo>
                <a:pt x="1769364" y="414528"/>
              </a:moveTo>
              <a:lnTo>
                <a:pt x="1266444" y="414528"/>
              </a:lnTo>
              <a:lnTo>
                <a:pt x="1266444" y="618744"/>
              </a:lnTo>
              <a:lnTo>
                <a:pt x="1769364" y="618744"/>
              </a:lnTo>
              <a:lnTo>
                <a:pt x="1769364" y="414528"/>
              </a:lnTo>
              <a:close/>
            </a:path>
            <a:path w="6217920" h="1560830">
              <a:moveTo>
                <a:pt x="1769364" y="207264"/>
              </a:moveTo>
              <a:lnTo>
                <a:pt x="1266444" y="207264"/>
              </a:lnTo>
              <a:lnTo>
                <a:pt x="1266444" y="411480"/>
              </a:lnTo>
              <a:lnTo>
                <a:pt x="1769364" y="411480"/>
              </a:lnTo>
              <a:lnTo>
                <a:pt x="1769364" y="207264"/>
              </a:lnTo>
              <a:close/>
            </a:path>
            <a:path w="6217920" h="1560830">
              <a:moveTo>
                <a:pt x="1769364" y="0"/>
              </a:moveTo>
              <a:lnTo>
                <a:pt x="1266444" y="0"/>
              </a:lnTo>
              <a:lnTo>
                <a:pt x="1266444" y="204216"/>
              </a:lnTo>
              <a:lnTo>
                <a:pt x="1769364" y="204216"/>
              </a:lnTo>
              <a:lnTo>
                <a:pt x="1769364" y="0"/>
              </a:lnTo>
              <a:close/>
            </a:path>
            <a:path w="6217920" h="1560830">
              <a:moveTo>
                <a:pt x="2406396" y="1034796"/>
              </a:moveTo>
              <a:lnTo>
                <a:pt x="1772412" y="1034796"/>
              </a:lnTo>
              <a:lnTo>
                <a:pt x="1772412" y="1560576"/>
              </a:lnTo>
              <a:lnTo>
                <a:pt x="2406396" y="1560576"/>
              </a:lnTo>
              <a:lnTo>
                <a:pt x="2406396" y="1034796"/>
              </a:lnTo>
              <a:close/>
            </a:path>
            <a:path w="6217920" h="1560830">
              <a:moveTo>
                <a:pt x="2406396" y="827532"/>
              </a:moveTo>
              <a:lnTo>
                <a:pt x="1772412" y="827532"/>
              </a:lnTo>
              <a:lnTo>
                <a:pt x="1772412" y="1031748"/>
              </a:lnTo>
              <a:lnTo>
                <a:pt x="2406396" y="1031748"/>
              </a:lnTo>
              <a:lnTo>
                <a:pt x="2406396" y="827532"/>
              </a:lnTo>
              <a:close/>
            </a:path>
            <a:path w="6217920" h="1560830">
              <a:moveTo>
                <a:pt x="2406396" y="620268"/>
              </a:moveTo>
              <a:lnTo>
                <a:pt x="1772412" y="620268"/>
              </a:lnTo>
              <a:lnTo>
                <a:pt x="1772412" y="824484"/>
              </a:lnTo>
              <a:lnTo>
                <a:pt x="2406396" y="824484"/>
              </a:lnTo>
              <a:lnTo>
                <a:pt x="2406396" y="620268"/>
              </a:lnTo>
              <a:close/>
            </a:path>
            <a:path w="6217920" h="1560830">
              <a:moveTo>
                <a:pt x="2406396" y="414528"/>
              </a:moveTo>
              <a:lnTo>
                <a:pt x="1772412" y="414528"/>
              </a:lnTo>
              <a:lnTo>
                <a:pt x="1772412" y="618744"/>
              </a:lnTo>
              <a:lnTo>
                <a:pt x="2406396" y="618744"/>
              </a:lnTo>
              <a:lnTo>
                <a:pt x="2406396" y="414528"/>
              </a:lnTo>
              <a:close/>
            </a:path>
            <a:path w="6217920" h="1560830">
              <a:moveTo>
                <a:pt x="2406396" y="207264"/>
              </a:moveTo>
              <a:lnTo>
                <a:pt x="1772412" y="207264"/>
              </a:lnTo>
              <a:lnTo>
                <a:pt x="1772412" y="411480"/>
              </a:lnTo>
              <a:lnTo>
                <a:pt x="2406396" y="411480"/>
              </a:lnTo>
              <a:lnTo>
                <a:pt x="2406396" y="207264"/>
              </a:lnTo>
              <a:close/>
            </a:path>
            <a:path w="6217920" h="1560830">
              <a:moveTo>
                <a:pt x="2406396" y="0"/>
              </a:moveTo>
              <a:lnTo>
                <a:pt x="1772412" y="0"/>
              </a:lnTo>
              <a:lnTo>
                <a:pt x="1772412" y="204216"/>
              </a:lnTo>
              <a:lnTo>
                <a:pt x="2406396" y="204216"/>
              </a:lnTo>
              <a:lnTo>
                <a:pt x="2406396" y="0"/>
              </a:lnTo>
              <a:close/>
            </a:path>
            <a:path w="6217920" h="1560830">
              <a:moveTo>
                <a:pt x="3169920" y="1034796"/>
              </a:moveTo>
              <a:lnTo>
                <a:pt x="2409444" y="1034796"/>
              </a:lnTo>
              <a:lnTo>
                <a:pt x="2409444" y="1560576"/>
              </a:lnTo>
              <a:lnTo>
                <a:pt x="3169920" y="1560576"/>
              </a:lnTo>
              <a:lnTo>
                <a:pt x="3169920" y="1034796"/>
              </a:lnTo>
              <a:close/>
            </a:path>
            <a:path w="6217920" h="1560830">
              <a:moveTo>
                <a:pt x="3169920" y="827532"/>
              </a:moveTo>
              <a:lnTo>
                <a:pt x="2409444" y="827532"/>
              </a:lnTo>
              <a:lnTo>
                <a:pt x="2409444" y="1031748"/>
              </a:lnTo>
              <a:lnTo>
                <a:pt x="3169920" y="1031748"/>
              </a:lnTo>
              <a:lnTo>
                <a:pt x="3169920" y="827532"/>
              </a:lnTo>
              <a:close/>
            </a:path>
            <a:path w="6217920" h="1560830">
              <a:moveTo>
                <a:pt x="3169920" y="620268"/>
              </a:moveTo>
              <a:lnTo>
                <a:pt x="2409444" y="620268"/>
              </a:lnTo>
              <a:lnTo>
                <a:pt x="2409444" y="824484"/>
              </a:lnTo>
              <a:lnTo>
                <a:pt x="3169920" y="824484"/>
              </a:lnTo>
              <a:lnTo>
                <a:pt x="3169920" y="620268"/>
              </a:lnTo>
              <a:close/>
            </a:path>
            <a:path w="6217920" h="1560830">
              <a:moveTo>
                <a:pt x="3169920" y="414528"/>
              </a:moveTo>
              <a:lnTo>
                <a:pt x="2409444" y="414528"/>
              </a:lnTo>
              <a:lnTo>
                <a:pt x="2409444" y="618744"/>
              </a:lnTo>
              <a:lnTo>
                <a:pt x="3169920" y="618744"/>
              </a:lnTo>
              <a:lnTo>
                <a:pt x="3169920" y="414528"/>
              </a:lnTo>
              <a:close/>
            </a:path>
            <a:path w="6217920" h="1560830">
              <a:moveTo>
                <a:pt x="3169920" y="207264"/>
              </a:moveTo>
              <a:lnTo>
                <a:pt x="2409444" y="207264"/>
              </a:lnTo>
              <a:lnTo>
                <a:pt x="2409444" y="411480"/>
              </a:lnTo>
              <a:lnTo>
                <a:pt x="3169920" y="411480"/>
              </a:lnTo>
              <a:lnTo>
                <a:pt x="3169920" y="207264"/>
              </a:lnTo>
              <a:close/>
            </a:path>
            <a:path w="6217920" h="1560830">
              <a:moveTo>
                <a:pt x="3169920" y="0"/>
              </a:moveTo>
              <a:lnTo>
                <a:pt x="2409444" y="0"/>
              </a:lnTo>
              <a:lnTo>
                <a:pt x="2409444" y="204216"/>
              </a:lnTo>
              <a:lnTo>
                <a:pt x="3169920" y="204216"/>
              </a:lnTo>
              <a:lnTo>
                <a:pt x="3169920" y="0"/>
              </a:lnTo>
              <a:close/>
            </a:path>
            <a:path w="6217920" h="1560830">
              <a:moveTo>
                <a:pt x="3931920" y="1034796"/>
              </a:moveTo>
              <a:lnTo>
                <a:pt x="3172968" y="1034796"/>
              </a:lnTo>
              <a:lnTo>
                <a:pt x="3172968" y="1560576"/>
              </a:lnTo>
              <a:lnTo>
                <a:pt x="3931920" y="1560576"/>
              </a:lnTo>
              <a:lnTo>
                <a:pt x="3931920" y="1034796"/>
              </a:lnTo>
              <a:close/>
            </a:path>
            <a:path w="6217920" h="1560830">
              <a:moveTo>
                <a:pt x="3931920" y="827532"/>
              </a:moveTo>
              <a:lnTo>
                <a:pt x="3172968" y="827532"/>
              </a:lnTo>
              <a:lnTo>
                <a:pt x="3172968" y="1031748"/>
              </a:lnTo>
              <a:lnTo>
                <a:pt x="3931920" y="1031748"/>
              </a:lnTo>
              <a:lnTo>
                <a:pt x="3931920" y="827532"/>
              </a:lnTo>
              <a:close/>
            </a:path>
            <a:path w="6217920" h="1560830">
              <a:moveTo>
                <a:pt x="3931920" y="620268"/>
              </a:moveTo>
              <a:lnTo>
                <a:pt x="3172968" y="620268"/>
              </a:lnTo>
              <a:lnTo>
                <a:pt x="3172968" y="824484"/>
              </a:lnTo>
              <a:lnTo>
                <a:pt x="3931920" y="824484"/>
              </a:lnTo>
              <a:lnTo>
                <a:pt x="3931920" y="620268"/>
              </a:lnTo>
              <a:close/>
            </a:path>
            <a:path w="6217920" h="1560830">
              <a:moveTo>
                <a:pt x="3931920" y="414528"/>
              </a:moveTo>
              <a:lnTo>
                <a:pt x="3172968" y="414528"/>
              </a:lnTo>
              <a:lnTo>
                <a:pt x="3172968" y="618744"/>
              </a:lnTo>
              <a:lnTo>
                <a:pt x="3931920" y="618744"/>
              </a:lnTo>
              <a:lnTo>
                <a:pt x="3931920" y="414528"/>
              </a:lnTo>
              <a:close/>
            </a:path>
            <a:path w="6217920" h="1560830">
              <a:moveTo>
                <a:pt x="3931920" y="207264"/>
              </a:moveTo>
              <a:lnTo>
                <a:pt x="3172968" y="207264"/>
              </a:lnTo>
              <a:lnTo>
                <a:pt x="3172968" y="411480"/>
              </a:lnTo>
              <a:lnTo>
                <a:pt x="3931920" y="411480"/>
              </a:lnTo>
              <a:lnTo>
                <a:pt x="3931920" y="207264"/>
              </a:lnTo>
              <a:close/>
            </a:path>
            <a:path w="6217920" h="1560830">
              <a:moveTo>
                <a:pt x="3931920" y="0"/>
              </a:moveTo>
              <a:lnTo>
                <a:pt x="3172968" y="0"/>
              </a:lnTo>
              <a:lnTo>
                <a:pt x="3172968" y="204216"/>
              </a:lnTo>
              <a:lnTo>
                <a:pt x="3931920" y="204216"/>
              </a:lnTo>
              <a:lnTo>
                <a:pt x="3931920" y="0"/>
              </a:lnTo>
              <a:close/>
            </a:path>
            <a:path w="6217920" h="1560830">
              <a:moveTo>
                <a:pt x="4693907" y="1034796"/>
              </a:moveTo>
              <a:lnTo>
                <a:pt x="3934968" y="1034796"/>
              </a:lnTo>
              <a:lnTo>
                <a:pt x="3934968" y="1560576"/>
              </a:lnTo>
              <a:lnTo>
                <a:pt x="4693907" y="1560576"/>
              </a:lnTo>
              <a:lnTo>
                <a:pt x="4693907" y="1034796"/>
              </a:lnTo>
              <a:close/>
            </a:path>
            <a:path w="6217920" h="1560830">
              <a:moveTo>
                <a:pt x="4693907" y="827532"/>
              </a:moveTo>
              <a:lnTo>
                <a:pt x="3934968" y="827532"/>
              </a:lnTo>
              <a:lnTo>
                <a:pt x="3934968" y="1031748"/>
              </a:lnTo>
              <a:lnTo>
                <a:pt x="4693907" y="1031748"/>
              </a:lnTo>
              <a:lnTo>
                <a:pt x="4693907" y="827532"/>
              </a:lnTo>
              <a:close/>
            </a:path>
            <a:path w="6217920" h="1560830">
              <a:moveTo>
                <a:pt x="4693907" y="620268"/>
              </a:moveTo>
              <a:lnTo>
                <a:pt x="3934968" y="620268"/>
              </a:lnTo>
              <a:lnTo>
                <a:pt x="3934968" y="824484"/>
              </a:lnTo>
              <a:lnTo>
                <a:pt x="4693907" y="824484"/>
              </a:lnTo>
              <a:lnTo>
                <a:pt x="4693907" y="620268"/>
              </a:lnTo>
              <a:close/>
            </a:path>
            <a:path w="6217920" h="1560830">
              <a:moveTo>
                <a:pt x="4693907" y="414528"/>
              </a:moveTo>
              <a:lnTo>
                <a:pt x="3934968" y="414528"/>
              </a:lnTo>
              <a:lnTo>
                <a:pt x="3934968" y="618744"/>
              </a:lnTo>
              <a:lnTo>
                <a:pt x="4693907" y="618744"/>
              </a:lnTo>
              <a:lnTo>
                <a:pt x="4693907" y="414528"/>
              </a:lnTo>
              <a:close/>
            </a:path>
            <a:path w="6217920" h="1560830">
              <a:moveTo>
                <a:pt x="4693907" y="207264"/>
              </a:moveTo>
              <a:lnTo>
                <a:pt x="3934968" y="207264"/>
              </a:lnTo>
              <a:lnTo>
                <a:pt x="3934968" y="411480"/>
              </a:lnTo>
              <a:lnTo>
                <a:pt x="4693907" y="411480"/>
              </a:lnTo>
              <a:lnTo>
                <a:pt x="4693907" y="207264"/>
              </a:lnTo>
              <a:close/>
            </a:path>
            <a:path w="6217920" h="1560830">
              <a:moveTo>
                <a:pt x="4693907" y="0"/>
              </a:moveTo>
              <a:lnTo>
                <a:pt x="3934968" y="0"/>
              </a:lnTo>
              <a:lnTo>
                <a:pt x="3934968" y="204216"/>
              </a:lnTo>
              <a:lnTo>
                <a:pt x="4693907" y="204216"/>
              </a:lnTo>
              <a:lnTo>
                <a:pt x="4693907" y="0"/>
              </a:lnTo>
              <a:close/>
            </a:path>
            <a:path w="6217920" h="1560830">
              <a:moveTo>
                <a:pt x="5455920" y="1034796"/>
              </a:moveTo>
              <a:lnTo>
                <a:pt x="4696968" y="1034796"/>
              </a:lnTo>
              <a:lnTo>
                <a:pt x="4696968" y="1560576"/>
              </a:lnTo>
              <a:lnTo>
                <a:pt x="5455920" y="1560576"/>
              </a:lnTo>
              <a:lnTo>
                <a:pt x="5455920" y="1034796"/>
              </a:lnTo>
              <a:close/>
            </a:path>
            <a:path w="6217920" h="1560830">
              <a:moveTo>
                <a:pt x="5455920" y="827532"/>
              </a:moveTo>
              <a:lnTo>
                <a:pt x="4696968" y="827532"/>
              </a:lnTo>
              <a:lnTo>
                <a:pt x="4696968" y="1031748"/>
              </a:lnTo>
              <a:lnTo>
                <a:pt x="5455920" y="1031748"/>
              </a:lnTo>
              <a:lnTo>
                <a:pt x="5455920" y="827532"/>
              </a:lnTo>
              <a:close/>
            </a:path>
            <a:path w="6217920" h="1560830">
              <a:moveTo>
                <a:pt x="5455920" y="620268"/>
              </a:moveTo>
              <a:lnTo>
                <a:pt x="4696968" y="620268"/>
              </a:lnTo>
              <a:lnTo>
                <a:pt x="4696968" y="824484"/>
              </a:lnTo>
              <a:lnTo>
                <a:pt x="5455920" y="824484"/>
              </a:lnTo>
              <a:lnTo>
                <a:pt x="5455920" y="620268"/>
              </a:lnTo>
              <a:close/>
            </a:path>
            <a:path w="6217920" h="1560830">
              <a:moveTo>
                <a:pt x="5455920" y="414528"/>
              </a:moveTo>
              <a:lnTo>
                <a:pt x="4696968" y="414528"/>
              </a:lnTo>
              <a:lnTo>
                <a:pt x="4696968" y="618744"/>
              </a:lnTo>
              <a:lnTo>
                <a:pt x="5455920" y="618744"/>
              </a:lnTo>
              <a:lnTo>
                <a:pt x="5455920" y="414528"/>
              </a:lnTo>
              <a:close/>
            </a:path>
            <a:path w="6217920" h="1560830">
              <a:moveTo>
                <a:pt x="5455920" y="207264"/>
              </a:moveTo>
              <a:lnTo>
                <a:pt x="4696968" y="207264"/>
              </a:lnTo>
              <a:lnTo>
                <a:pt x="4696968" y="411480"/>
              </a:lnTo>
              <a:lnTo>
                <a:pt x="5455920" y="411480"/>
              </a:lnTo>
              <a:lnTo>
                <a:pt x="5455920" y="207264"/>
              </a:lnTo>
              <a:close/>
            </a:path>
            <a:path w="6217920" h="1560830">
              <a:moveTo>
                <a:pt x="5455920" y="0"/>
              </a:moveTo>
              <a:lnTo>
                <a:pt x="4696968" y="0"/>
              </a:lnTo>
              <a:lnTo>
                <a:pt x="4696968" y="204216"/>
              </a:lnTo>
              <a:lnTo>
                <a:pt x="5455920" y="204216"/>
              </a:lnTo>
              <a:lnTo>
                <a:pt x="5455920" y="0"/>
              </a:lnTo>
              <a:close/>
            </a:path>
            <a:path w="6217920" h="1560830">
              <a:moveTo>
                <a:pt x="6217920" y="1034796"/>
              </a:moveTo>
              <a:lnTo>
                <a:pt x="5458968" y="1034796"/>
              </a:lnTo>
              <a:lnTo>
                <a:pt x="5458968" y="1560576"/>
              </a:lnTo>
              <a:lnTo>
                <a:pt x="6217920" y="1560576"/>
              </a:lnTo>
              <a:lnTo>
                <a:pt x="6217920" y="1034796"/>
              </a:lnTo>
              <a:close/>
            </a:path>
            <a:path w="6217920" h="1560830">
              <a:moveTo>
                <a:pt x="6217920" y="827532"/>
              </a:moveTo>
              <a:lnTo>
                <a:pt x="5458968" y="827532"/>
              </a:lnTo>
              <a:lnTo>
                <a:pt x="5458968" y="1031748"/>
              </a:lnTo>
              <a:lnTo>
                <a:pt x="6217920" y="1031748"/>
              </a:lnTo>
              <a:lnTo>
                <a:pt x="6217920" y="827532"/>
              </a:lnTo>
              <a:close/>
            </a:path>
            <a:path w="6217920" h="1560830">
              <a:moveTo>
                <a:pt x="6217920" y="620268"/>
              </a:moveTo>
              <a:lnTo>
                <a:pt x="5458968" y="620268"/>
              </a:lnTo>
              <a:lnTo>
                <a:pt x="5458968" y="824484"/>
              </a:lnTo>
              <a:lnTo>
                <a:pt x="6217920" y="824484"/>
              </a:lnTo>
              <a:lnTo>
                <a:pt x="6217920" y="620268"/>
              </a:lnTo>
              <a:close/>
            </a:path>
            <a:path w="6217920" h="1560830">
              <a:moveTo>
                <a:pt x="6217920" y="414528"/>
              </a:moveTo>
              <a:lnTo>
                <a:pt x="5458968" y="414528"/>
              </a:lnTo>
              <a:lnTo>
                <a:pt x="5458968" y="618744"/>
              </a:lnTo>
              <a:lnTo>
                <a:pt x="6217920" y="618744"/>
              </a:lnTo>
              <a:lnTo>
                <a:pt x="6217920" y="414528"/>
              </a:lnTo>
              <a:close/>
            </a:path>
            <a:path w="6217920" h="1560830">
              <a:moveTo>
                <a:pt x="6217920" y="207264"/>
              </a:moveTo>
              <a:lnTo>
                <a:pt x="5458968" y="207264"/>
              </a:lnTo>
              <a:lnTo>
                <a:pt x="5458968" y="411480"/>
              </a:lnTo>
              <a:lnTo>
                <a:pt x="6217920" y="411480"/>
              </a:lnTo>
              <a:lnTo>
                <a:pt x="6217920" y="207264"/>
              </a:lnTo>
              <a:close/>
            </a:path>
            <a:path w="6217920" h="1560830">
              <a:moveTo>
                <a:pt x="6217920" y="0"/>
              </a:moveTo>
              <a:lnTo>
                <a:pt x="5458968" y="0"/>
              </a:lnTo>
              <a:lnTo>
                <a:pt x="5458968" y="204216"/>
              </a:lnTo>
              <a:lnTo>
                <a:pt x="6217920" y="204216"/>
              </a:lnTo>
              <a:lnTo>
                <a:pt x="62179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540766</xdr:colOff>
      <xdr:row>22</xdr:row>
      <xdr:rowOff>0</xdr:rowOff>
    </xdr:from>
    <xdr:ext cx="645160" cy="156083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0" y="0"/>
          <a:ext cx="645160" cy="1560830"/>
        </a:xfrm>
        <a:custGeom>
          <a:avLst/>
          <a:gdLst/>
          <a:ahLst/>
          <a:cxnLst/>
          <a:rect l="0" t="0" r="0" b="0"/>
          <a:pathLst>
            <a:path w="645160" h="1560830">
              <a:moveTo>
                <a:pt x="644652" y="1034796"/>
              </a:moveTo>
              <a:lnTo>
                <a:pt x="0" y="1034796"/>
              </a:lnTo>
              <a:lnTo>
                <a:pt x="0" y="1560576"/>
              </a:lnTo>
              <a:lnTo>
                <a:pt x="644652" y="1560576"/>
              </a:lnTo>
              <a:lnTo>
                <a:pt x="644652" y="1034796"/>
              </a:lnTo>
              <a:close/>
            </a:path>
            <a:path w="645160" h="156083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1560830">
              <a:moveTo>
                <a:pt x="644652" y="620268"/>
              </a:moveTo>
              <a:lnTo>
                <a:pt x="0" y="620268"/>
              </a:lnTo>
              <a:lnTo>
                <a:pt x="0" y="824484"/>
              </a:lnTo>
              <a:lnTo>
                <a:pt x="644652" y="824484"/>
              </a:lnTo>
              <a:lnTo>
                <a:pt x="644652" y="620268"/>
              </a:lnTo>
              <a:close/>
            </a:path>
            <a:path w="645160" h="156083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156083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156083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0</xdr:rowOff>
    </xdr:from>
    <xdr:ext cx="3808729" cy="480059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25" name="image1.jpe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26" name="image2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27" name="image3.jpe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28" name="image4.jpe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29" name="image5.jpe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21</xdr:row>
      <xdr:rowOff>0</xdr:rowOff>
    </xdr:from>
    <xdr:ext cx="7486015" cy="3423285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607059" y="5509260"/>
          <a:ext cx="7486015" cy="3423285"/>
          <a:chOff x="0" y="0"/>
          <a:chExt cx="7486015" cy="3423285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621792"/>
                </a:moveTo>
                <a:lnTo>
                  <a:pt x="0" y="621792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621792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621792"/>
                </a:moveTo>
                <a:lnTo>
                  <a:pt x="315468" y="621792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621792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621792"/>
                </a:moveTo>
                <a:lnTo>
                  <a:pt x="1267968" y="621792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621792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0" y="1655063"/>
            <a:ext cx="7486015" cy="1767839"/>
          </a:xfrm>
          <a:custGeom>
            <a:avLst/>
            <a:gdLst/>
            <a:ahLst/>
            <a:cxnLst/>
            <a:rect l="0" t="0" r="0" b="0"/>
            <a:pathLst>
              <a:path w="7486015" h="1767839">
                <a:moveTo>
                  <a:pt x="312420" y="1242060"/>
                </a:moveTo>
                <a:lnTo>
                  <a:pt x="0" y="1242060"/>
                </a:lnTo>
                <a:lnTo>
                  <a:pt x="0" y="1767840"/>
                </a:lnTo>
                <a:lnTo>
                  <a:pt x="312420" y="1767840"/>
                </a:lnTo>
                <a:lnTo>
                  <a:pt x="312420" y="1242060"/>
                </a:lnTo>
                <a:close/>
              </a:path>
              <a:path w="7486015" h="1767839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1767839">
                <a:moveTo>
                  <a:pt x="1264920" y="1242060"/>
                </a:moveTo>
                <a:lnTo>
                  <a:pt x="315468" y="1242060"/>
                </a:lnTo>
                <a:lnTo>
                  <a:pt x="315468" y="1767840"/>
                </a:lnTo>
                <a:lnTo>
                  <a:pt x="1264920" y="1767840"/>
                </a:lnTo>
                <a:lnTo>
                  <a:pt x="1264920" y="1242060"/>
                </a:lnTo>
                <a:close/>
              </a:path>
              <a:path w="7486015" h="1767839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1767839">
                <a:moveTo>
                  <a:pt x="2531364" y="1242060"/>
                </a:moveTo>
                <a:lnTo>
                  <a:pt x="1267968" y="1242060"/>
                </a:lnTo>
                <a:lnTo>
                  <a:pt x="1267968" y="1767840"/>
                </a:lnTo>
                <a:lnTo>
                  <a:pt x="2531364" y="1767840"/>
                </a:lnTo>
                <a:lnTo>
                  <a:pt x="2531364" y="1242060"/>
                </a:lnTo>
                <a:close/>
              </a:path>
              <a:path w="7486015" h="1767839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1767839">
                <a:moveTo>
                  <a:pt x="3037332" y="1449324"/>
                </a:moveTo>
                <a:lnTo>
                  <a:pt x="2534412" y="1449324"/>
                </a:lnTo>
                <a:lnTo>
                  <a:pt x="2534412" y="1767840"/>
                </a:lnTo>
                <a:lnTo>
                  <a:pt x="3037332" y="1767840"/>
                </a:lnTo>
                <a:lnTo>
                  <a:pt x="3037332" y="1449324"/>
                </a:lnTo>
                <a:close/>
              </a:path>
              <a:path w="7486015" h="1767839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767839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767839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767839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1767839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1767839">
                <a:moveTo>
                  <a:pt x="3674364" y="1449324"/>
                </a:moveTo>
                <a:lnTo>
                  <a:pt x="3040380" y="1449324"/>
                </a:lnTo>
                <a:lnTo>
                  <a:pt x="3040380" y="1767840"/>
                </a:lnTo>
                <a:lnTo>
                  <a:pt x="3674364" y="1767840"/>
                </a:lnTo>
                <a:lnTo>
                  <a:pt x="3674364" y="1449324"/>
                </a:lnTo>
                <a:close/>
              </a:path>
              <a:path w="7486015" h="1767839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767839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767839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767839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1767839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1767839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767839">
                <a:moveTo>
                  <a:pt x="4437888" y="1449324"/>
                </a:moveTo>
                <a:lnTo>
                  <a:pt x="3677412" y="1449324"/>
                </a:lnTo>
                <a:lnTo>
                  <a:pt x="3677412" y="1767840"/>
                </a:lnTo>
                <a:lnTo>
                  <a:pt x="4437888" y="1767840"/>
                </a:lnTo>
                <a:lnTo>
                  <a:pt x="4437888" y="1449324"/>
                </a:lnTo>
                <a:close/>
              </a:path>
              <a:path w="7486015" h="1767839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767839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767839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767839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1767839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1767839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767839">
                <a:moveTo>
                  <a:pt x="5199888" y="1449324"/>
                </a:moveTo>
                <a:lnTo>
                  <a:pt x="4440936" y="1449324"/>
                </a:lnTo>
                <a:lnTo>
                  <a:pt x="4440936" y="1767840"/>
                </a:lnTo>
                <a:lnTo>
                  <a:pt x="5199888" y="1767840"/>
                </a:lnTo>
                <a:lnTo>
                  <a:pt x="5199888" y="1449324"/>
                </a:lnTo>
                <a:close/>
              </a:path>
              <a:path w="7486015" h="1767839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767839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767839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767839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1767839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1767839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767839">
                <a:moveTo>
                  <a:pt x="5961875" y="1449324"/>
                </a:moveTo>
                <a:lnTo>
                  <a:pt x="5202936" y="1449324"/>
                </a:lnTo>
                <a:lnTo>
                  <a:pt x="5202936" y="1767840"/>
                </a:lnTo>
                <a:lnTo>
                  <a:pt x="5961875" y="1767840"/>
                </a:lnTo>
                <a:lnTo>
                  <a:pt x="5961875" y="1449324"/>
                </a:lnTo>
                <a:close/>
              </a:path>
              <a:path w="7486015" h="1767839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767839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767839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767839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1767839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1767839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767839">
                <a:moveTo>
                  <a:pt x="6723888" y="1449324"/>
                </a:moveTo>
                <a:lnTo>
                  <a:pt x="5964936" y="1449324"/>
                </a:lnTo>
                <a:lnTo>
                  <a:pt x="5964936" y="1767840"/>
                </a:lnTo>
                <a:lnTo>
                  <a:pt x="6723888" y="1767840"/>
                </a:lnTo>
                <a:lnTo>
                  <a:pt x="6723888" y="1449324"/>
                </a:lnTo>
                <a:close/>
              </a:path>
              <a:path w="7486015" h="1767839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767839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767839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767839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1767839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1767839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767839">
                <a:moveTo>
                  <a:pt x="7485888" y="1449324"/>
                </a:moveTo>
                <a:lnTo>
                  <a:pt x="6726936" y="1449324"/>
                </a:lnTo>
                <a:lnTo>
                  <a:pt x="6726936" y="1767840"/>
                </a:lnTo>
                <a:lnTo>
                  <a:pt x="7485888" y="1767840"/>
                </a:lnTo>
                <a:lnTo>
                  <a:pt x="7485888" y="1449324"/>
                </a:lnTo>
                <a:close/>
              </a:path>
              <a:path w="7486015" h="1767839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767839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767839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767839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1767839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1767839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22</xdr:row>
      <xdr:rowOff>0</xdr:rowOff>
    </xdr:from>
    <xdr:ext cx="645160" cy="342328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0" y="0"/>
          <a:ext cx="645160" cy="3423285"/>
        </a:xfrm>
        <a:custGeom>
          <a:avLst/>
          <a:gdLst/>
          <a:ahLst/>
          <a:cxnLst/>
          <a:rect l="0" t="0" r="0" b="0"/>
          <a:pathLst>
            <a:path w="645160" h="3423285">
              <a:moveTo>
                <a:pt x="644652" y="3104388"/>
              </a:moveTo>
              <a:lnTo>
                <a:pt x="0" y="3104388"/>
              </a:lnTo>
              <a:lnTo>
                <a:pt x="0" y="3422904"/>
              </a:lnTo>
              <a:lnTo>
                <a:pt x="644652" y="3422904"/>
              </a:lnTo>
              <a:lnTo>
                <a:pt x="644652" y="3104388"/>
              </a:lnTo>
              <a:close/>
            </a:path>
            <a:path w="645160" h="342328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42328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42328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42328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42328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42328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42328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42328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42328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42328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42328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42328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42328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42328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42328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808729" cy="480059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35" name="image1.jpe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36" name="image2.jpe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37" name="image3.jpe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38" name="image4.jpe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39" name="image5.jpe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26</xdr:row>
      <xdr:rowOff>0</xdr:rowOff>
    </xdr:from>
    <xdr:ext cx="7486015" cy="4343400"/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pSpPr/>
      </xdr:nvGrpSpPr>
      <xdr:grpSpPr>
        <a:xfrm>
          <a:off x="607059" y="6469380"/>
          <a:ext cx="7486015" cy="4343400"/>
          <a:chOff x="0" y="0"/>
          <a:chExt cx="7486015" cy="4343400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1242060"/>
                </a:moveTo>
                <a:lnTo>
                  <a:pt x="0" y="124206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1242060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1242060"/>
                </a:moveTo>
                <a:lnTo>
                  <a:pt x="315468" y="124206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124206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242060"/>
                </a:moveTo>
                <a:lnTo>
                  <a:pt x="1267968" y="124206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24206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/>
        </xdr:nvSpPr>
        <xdr:spPr>
          <a:xfrm>
            <a:off x="0" y="1862327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SpPr/>
        </xdr:nvSpPr>
        <xdr:spPr>
          <a:xfrm>
            <a:off x="0" y="3311651"/>
            <a:ext cx="7486015" cy="1031875"/>
          </a:xfrm>
          <a:custGeom>
            <a:avLst/>
            <a:gdLst/>
            <a:ahLst/>
            <a:cxnLst/>
            <a:rect l="0" t="0" r="0" b="0"/>
            <a:pathLst>
              <a:path w="7486015" h="103187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103187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103187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103187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031875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103187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031875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103187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031875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103187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031875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103187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031875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103187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031875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1031875">
                <a:moveTo>
                  <a:pt x="6723888" y="413004"/>
                </a:moveTo>
                <a:lnTo>
                  <a:pt x="5964936" y="413004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3004"/>
                </a:lnTo>
                <a:close/>
              </a:path>
              <a:path w="7486015" h="103187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031875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1031875">
                <a:moveTo>
                  <a:pt x="7485888" y="413004"/>
                </a:moveTo>
                <a:lnTo>
                  <a:pt x="6726936" y="413004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300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27</xdr:row>
      <xdr:rowOff>0</xdr:rowOff>
    </xdr:from>
    <xdr:ext cx="645160" cy="43434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0" y="0"/>
          <a:ext cx="645160" cy="4343400"/>
        </a:xfrm>
        <a:custGeom>
          <a:avLst/>
          <a:gdLst/>
          <a:ahLst/>
          <a:cxnLst/>
          <a:rect l="0" t="0" r="0" b="0"/>
          <a:pathLst>
            <a:path w="645160" h="4343400">
              <a:moveTo>
                <a:pt x="644652" y="4139184"/>
              </a:moveTo>
              <a:lnTo>
                <a:pt x="0" y="4139184"/>
              </a:lnTo>
              <a:lnTo>
                <a:pt x="0" y="4343400"/>
              </a:lnTo>
              <a:lnTo>
                <a:pt x="644652" y="4343400"/>
              </a:lnTo>
              <a:lnTo>
                <a:pt x="644652" y="4139184"/>
              </a:lnTo>
              <a:close/>
            </a:path>
            <a:path w="645160" h="434340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34340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34340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34340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34340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34340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34340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34340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3434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3434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3434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3434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3434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3434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3434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3434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3434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3434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3434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3434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19</xdr:row>
      <xdr:rowOff>206501</xdr:rowOff>
    </xdr:from>
    <xdr:ext cx="3808729" cy="480059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46" name="image1.jpe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47" name="image2.jpe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48" name="image3.jpe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49" name="image4.jpe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50" name="image5.jpe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21</xdr:row>
      <xdr:rowOff>0</xdr:rowOff>
    </xdr:from>
    <xdr:ext cx="7486015" cy="3308985"/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607059" y="5402580"/>
          <a:ext cx="7486015" cy="3308985"/>
          <a:chOff x="0" y="0"/>
          <a:chExt cx="7486015" cy="3308985"/>
        </a:xfrm>
      </xdr:grpSpPr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/>
        </xdr:nvSpPr>
        <xdr:spPr>
          <a:xfrm>
            <a:off x="0" y="1862327"/>
            <a:ext cx="7486015" cy="1446530"/>
          </a:xfrm>
          <a:custGeom>
            <a:avLst/>
            <a:gdLst/>
            <a:ahLst/>
            <a:cxnLst/>
            <a:rect l="0" t="0" r="0" b="0"/>
            <a:pathLst>
              <a:path w="7486015" h="1446530">
                <a:moveTo>
                  <a:pt x="312420" y="0"/>
                </a:moveTo>
                <a:lnTo>
                  <a:pt x="0" y="0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0"/>
                </a:lnTo>
                <a:close/>
              </a:path>
              <a:path w="7486015" h="1446530">
                <a:moveTo>
                  <a:pt x="1264920" y="0"/>
                </a:moveTo>
                <a:lnTo>
                  <a:pt x="315468" y="0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0"/>
                </a:lnTo>
                <a:close/>
              </a:path>
              <a:path w="7486015" h="1446530">
                <a:moveTo>
                  <a:pt x="2531364" y="0"/>
                </a:moveTo>
                <a:lnTo>
                  <a:pt x="1267968" y="0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0"/>
                </a:lnTo>
                <a:close/>
              </a:path>
              <a:path w="7486015" h="144653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44653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44653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446530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1446530">
                <a:moveTo>
                  <a:pt x="3037332" y="414528"/>
                </a:moveTo>
                <a:lnTo>
                  <a:pt x="2534412" y="414528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4528"/>
                </a:lnTo>
                <a:close/>
              </a:path>
              <a:path w="7486015" h="144653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44653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44653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44653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446530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1446530">
                <a:moveTo>
                  <a:pt x="3674364" y="414528"/>
                </a:moveTo>
                <a:lnTo>
                  <a:pt x="3040380" y="414528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4528"/>
                </a:lnTo>
                <a:close/>
              </a:path>
              <a:path w="7486015" h="144653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44653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44653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44653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446530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1446530">
                <a:moveTo>
                  <a:pt x="4437888" y="414528"/>
                </a:moveTo>
                <a:lnTo>
                  <a:pt x="3677412" y="414528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4528"/>
                </a:lnTo>
                <a:close/>
              </a:path>
              <a:path w="7486015" h="144653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44653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44653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44653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446530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1446530">
                <a:moveTo>
                  <a:pt x="5199888" y="414528"/>
                </a:moveTo>
                <a:lnTo>
                  <a:pt x="4440936" y="414528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4528"/>
                </a:lnTo>
                <a:close/>
              </a:path>
              <a:path w="7486015" h="144653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44653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44653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44653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44653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1446530">
                <a:moveTo>
                  <a:pt x="5961875" y="414528"/>
                </a:moveTo>
                <a:lnTo>
                  <a:pt x="5202936" y="414528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4528"/>
                </a:lnTo>
                <a:close/>
              </a:path>
              <a:path w="7486015" h="144653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44653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44653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44653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44653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44653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1446530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144653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44653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44653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44653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44653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44653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1446530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  <a:path w="7486015" h="144653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44653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22</xdr:row>
      <xdr:rowOff>0</xdr:rowOff>
    </xdr:from>
    <xdr:ext cx="645160" cy="330898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0" y="0"/>
          <a:ext cx="645160" cy="3308985"/>
        </a:xfrm>
        <a:custGeom>
          <a:avLst/>
          <a:gdLst/>
          <a:ahLst/>
          <a:cxnLst/>
          <a:rect l="0" t="0" r="0" b="0"/>
          <a:pathLst>
            <a:path w="645160" h="330898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30898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30898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30898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30898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30898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30898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30898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30898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30898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30898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30898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30898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30898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30898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30898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208025</xdr:rowOff>
    </xdr:from>
    <xdr:ext cx="3808729" cy="480059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56" name="image1.jpeg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57" name="image2.jpe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58" name="image3.jpe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59" name="image4.jpe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60" name="image5.jpe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3931920"/>
    <xdr:grpSp>
      <xdr:nvGrpSpPr>
        <xdr:cNvPr id="61" name="Group 61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GrpSpPr/>
      </xdr:nvGrpSpPr>
      <xdr:grpSpPr>
        <a:xfrm>
          <a:off x="607059" y="6027420"/>
          <a:ext cx="7486015" cy="3931920"/>
          <a:chOff x="0" y="0"/>
          <a:chExt cx="7486015" cy="3931920"/>
        </a:xfrm>
      </xdr:grpSpPr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500-00003E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SpPr/>
        </xdr:nvSpPr>
        <xdr:spPr>
          <a:xfrm>
            <a:off x="0" y="1655063"/>
            <a:ext cx="7486015" cy="2277110"/>
          </a:xfrm>
          <a:custGeom>
            <a:avLst/>
            <a:gdLst/>
            <a:ahLst/>
            <a:cxnLst/>
            <a:rect l="0" t="0" r="0" b="0"/>
            <a:pathLst>
              <a:path w="7486015" h="2277110">
                <a:moveTo>
                  <a:pt x="312420" y="1863852"/>
                </a:moveTo>
                <a:lnTo>
                  <a:pt x="0" y="1863852"/>
                </a:lnTo>
                <a:lnTo>
                  <a:pt x="0" y="2276856"/>
                </a:lnTo>
                <a:lnTo>
                  <a:pt x="312420" y="2276856"/>
                </a:lnTo>
                <a:lnTo>
                  <a:pt x="312420" y="1863852"/>
                </a:lnTo>
                <a:close/>
              </a:path>
              <a:path w="7486015" h="2277110">
                <a:moveTo>
                  <a:pt x="312420" y="1449324"/>
                </a:moveTo>
                <a:lnTo>
                  <a:pt x="0" y="1449324"/>
                </a:lnTo>
                <a:lnTo>
                  <a:pt x="0" y="1860804"/>
                </a:lnTo>
                <a:lnTo>
                  <a:pt x="312420" y="1860804"/>
                </a:lnTo>
                <a:lnTo>
                  <a:pt x="312420" y="1449324"/>
                </a:lnTo>
                <a:close/>
              </a:path>
              <a:path w="7486015" h="2277110">
                <a:moveTo>
                  <a:pt x="312420" y="0"/>
                </a:moveTo>
                <a:lnTo>
                  <a:pt x="0" y="0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0"/>
                </a:lnTo>
                <a:close/>
              </a:path>
              <a:path w="7486015" h="2277110">
                <a:moveTo>
                  <a:pt x="1264920" y="1863852"/>
                </a:moveTo>
                <a:lnTo>
                  <a:pt x="315468" y="1863852"/>
                </a:lnTo>
                <a:lnTo>
                  <a:pt x="315468" y="2276856"/>
                </a:lnTo>
                <a:lnTo>
                  <a:pt x="1264920" y="2276856"/>
                </a:lnTo>
                <a:lnTo>
                  <a:pt x="1264920" y="1863852"/>
                </a:lnTo>
                <a:close/>
              </a:path>
              <a:path w="7486015" h="2277110">
                <a:moveTo>
                  <a:pt x="1264920" y="1449324"/>
                </a:moveTo>
                <a:lnTo>
                  <a:pt x="315468" y="1449324"/>
                </a:lnTo>
                <a:lnTo>
                  <a:pt x="315468" y="1860804"/>
                </a:lnTo>
                <a:lnTo>
                  <a:pt x="1264920" y="1860804"/>
                </a:lnTo>
                <a:lnTo>
                  <a:pt x="1264920" y="1449324"/>
                </a:lnTo>
                <a:close/>
              </a:path>
              <a:path w="7486015" h="2277110">
                <a:moveTo>
                  <a:pt x="1264920" y="0"/>
                </a:moveTo>
                <a:lnTo>
                  <a:pt x="315468" y="0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0"/>
                </a:lnTo>
                <a:close/>
              </a:path>
              <a:path w="7486015" h="2277110">
                <a:moveTo>
                  <a:pt x="2531364" y="1863852"/>
                </a:moveTo>
                <a:lnTo>
                  <a:pt x="1267968" y="1863852"/>
                </a:lnTo>
                <a:lnTo>
                  <a:pt x="1267968" y="2276856"/>
                </a:lnTo>
                <a:lnTo>
                  <a:pt x="2531364" y="2276856"/>
                </a:lnTo>
                <a:lnTo>
                  <a:pt x="2531364" y="1863852"/>
                </a:lnTo>
                <a:close/>
              </a:path>
              <a:path w="7486015" h="2277110">
                <a:moveTo>
                  <a:pt x="2531364" y="1449324"/>
                </a:moveTo>
                <a:lnTo>
                  <a:pt x="1267968" y="1449324"/>
                </a:lnTo>
                <a:lnTo>
                  <a:pt x="1267968" y="1860804"/>
                </a:lnTo>
                <a:lnTo>
                  <a:pt x="2531364" y="1860804"/>
                </a:lnTo>
                <a:lnTo>
                  <a:pt x="2531364" y="1449324"/>
                </a:lnTo>
                <a:close/>
              </a:path>
              <a:path w="7486015" h="2277110">
                <a:moveTo>
                  <a:pt x="2531364" y="0"/>
                </a:moveTo>
                <a:lnTo>
                  <a:pt x="1267968" y="0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0"/>
                </a:lnTo>
                <a:close/>
              </a:path>
              <a:path w="7486015" h="2277110">
                <a:moveTo>
                  <a:pt x="3037332" y="2071116"/>
                </a:moveTo>
                <a:lnTo>
                  <a:pt x="2534412" y="2071116"/>
                </a:lnTo>
                <a:lnTo>
                  <a:pt x="2534412" y="2276856"/>
                </a:lnTo>
                <a:lnTo>
                  <a:pt x="3037332" y="2276856"/>
                </a:lnTo>
                <a:lnTo>
                  <a:pt x="3037332" y="2071116"/>
                </a:lnTo>
                <a:close/>
              </a:path>
              <a:path w="7486015" h="2277110">
                <a:moveTo>
                  <a:pt x="3037332" y="1863852"/>
                </a:moveTo>
                <a:lnTo>
                  <a:pt x="2534412" y="1863852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3852"/>
                </a:lnTo>
                <a:close/>
              </a:path>
              <a:path w="7486015" h="2277110">
                <a:moveTo>
                  <a:pt x="3037332" y="1449324"/>
                </a:moveTo>
                <a:lnTo>
                  <a:pt x="2534412" y="1449324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449324"/>
                </a:lnTo>
                <a:close/>
              </a:path>
              <a:path w="7486015" h="227711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27711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27711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277110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27711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277110">
                <a:moveTo>
                  <a:pt x="3674364" y="2071116"/>
                </a:moveTo>
                <a:lnTo>
                  <a:pt x="3040380" y="2071116"/>
                </a:lnTo>
                <a:lnTo>
                  <a:pt x="3040380" y="2276856"/>
                </a:lnTo>
                <a:lnTo>
                  <a:pt x="3674364" y="2276856"/>
                </a:lnTo>
                <a:lnTo>
                  <a:pt x="3674364" y="2071116"/>
                </a:lnTo>
                <a:close/>
              </a:path>
              <a:path w="7486015" h="2277110">
                <a:moveTo>
                  <a:pt x="3674364" y="1863852"/>
                </a:moveTo>
                <a:lnTo>
                  <a:pt x="3040380" y="1863852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3852"/>
                </a:lnTo>
                <a:close/>
              </a:path>
              <a:path w="7486015" h="2277110">
                <a:moveTo>
                  <a:pt x="3674364" y="1449324"/>
                </a:moveTo>
                <a:lnTo>
                  <a:pt x="3040380" y="1449324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449324"/>
                </a:lnTo>
                <a:close/>
              </a:path>
              <a:path w="7486015" h="227711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27711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27711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277110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27711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277110">
                <a:moveTo>
                  <a:pt x="4437888" y="2071116"/>
                </a:moveTo>
                <a:lnTo>
                  <a:pt x="3677412" y="2071116"/>
                </a:lnTo>
                <a:lnTo>
                  <a:pt x="3677412" y="2276856"/>
                </a:lnTo>
                <a:lnTo>
                  <a:pt x="4437888" y="2276856"/>
                </a:lnTo>
                <a:lnTo>
                  <a:pt x="4437888" y="2071116"/>
                </a:lnTo>
                <a:close/>
              </a:path>
              <a:path w="7486015" h="2277110">
                <a:moveTo>
                  <a:pt x="4437888" y="1863852"/>
                </a:moveTo>
                <a:lnTo>
                  <a:pt x="3677412" y="1863852"/>
                </a:lnTo>
                <a:lnTo>
                  <a:pt x="3677412" y="2068068"/>
                </a:lnTo>
                <a:lnTo>
                  <a:pt x="4437888" y="2068068"/>
                </a:lnTo>
                <a:lnTo>
                  <a:pt x="4437888" y="1863852"/>
                </a:lnTo>
                <a:close/>
              </a:path>
              <a:path w="7486015" h="2277110">
                <a:moveTo>
                  <a:pt x="4437888" y="1449324"/>
                </a:moveTo>
                <a:lnTo>
                  <a:pt x="3677412" y="1449324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449324"/>
                </a:lnTo>
                <a:close/>
              </a:path>
              <a:path w="7486015" h="227711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27711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27711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277110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27711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277110">
                <a:moveTo>
                  <a:pt x="5199888" y="2071116"/>
                </a:moveTo>
                <a:lnTo>
                  <a:pt x="4440936" y="2071116"/>
                </a:lnTo>
                <a:lnTo>
                  <a:pt x="4440936" y="2276856"/>
                </a:lnTo>
                <a:lnTo>
                  <a:pt x="5199888" y="2276856"/>
                </a:lnTo>
                <a:lnTo>
                  <a:pt x="5199888" y="2071116"/>
                </a:lnTo>
                <a:close/>
              </a:path>
              <a:path w="7486015" h="2277110">
                <a:moveTo>
                  <a:pt x="5199888" y="1863852"/>
                </a:moveTo>
                <a:lnTo>
                  <a:pt x="4440936" y="1863852"/>
                </a:lnTo>
                <a:lnTo>
                  <a:pt x="4440936" y="2068068"/>
                </a:lnTo>
                <a:lnTo>
                  <a:pt x="5199888" y="2068068"/>
                </a:lnTo>
                <a:lnTo>
                  <a:pt x="5199888" y="1863852"/>
                </a:lnTo>
                <a:close/>
              </a:path>
              <a:path w="7486015" h="2277110">
                <a:moveTo>
                  <a:pt x="5199888" y="1449324"/>
                </a:moveTo>
                <a:lnTo>
                  <a:pt x="4440936" y="1449324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449324"/>
                </a:lnTo>
                <a:close/>
              </a:path>
              <a:path w="7486015" h="227711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27711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27711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277110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27711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277110">
                <a:moveTo>
                  <a:pt x="5961875" y="2071116"/>
                </a:moveTo>
                <a:lnTo>
                  <a:pt x="5202936" y="2071116"/>
                </a:lnTo>
                <a:lnTo>
                  <a:pt x="5202936" y="2276856"/>
                </a:lnTo>
                <a:lnTo>
                  <a:pt x="5961875" y="2276856"/>
                </a:lnTo>
                <a:lnTo>
                  <a:pt x="5961875" y="2071116"/>
                </a:lnTo>
                <a:close/>
              </a:path>
              <a:path w="7486015" h="2277110">
                <a:moveTo>
                  <a:pt x="5961875" y="1863852"/>
                </a:moveTo>
                <a:lnTo>
                  <a:pt x="5202936" y="1863852"/>
                </a:lnTo>
                <a:lnTo>
                  <a:pt x="5202936" y="2068068"/>
                </a:lnTo>
                <a:lnTo>
                  <a:pt x="5961875" y="2068068"/>
                </a:lnTo>
                <a:lnTo>
                  <a:pt x="5961875" y="1863852"/>
                </a:lnTo>
                <a:close/>
              </a:path>
              <a:path w="7486015" h="2277110">
                <a:moveTo>
                  <a:pt x="5961875" y="1449324"/>
                </a:moveTo>
                <a:lnTo>
                  <a:pt x="5202936" y="1449324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449324"/>
                </a:lnTo>
                <a:close/>
              </a:path>
              <a:path w="7486015" h="227711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27711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27711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277110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27711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27711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277110">
                <a:moveTo>
                  <a:pt x="6723888" y="2071116"/>
                </a:moveTo>
                <a:lnTo>
                  <a:pt x="5964936" y="2071116"/>
                </a:lnTo>
                <a:lnTo>
                  <a:pt x="5964936" y="2276856"/>
                </a:lnTo>
                <a:lnTo>
                  <a:pt x="6723888" y="2276856"/>
                </a:lnTo>
                <a:lnTo>
                  <a:pt x="6723888" y="2071116"/>
                </a:lnTo>
                <a:close/>
              </a:path>
              <a:path w="7486015" h="2277110">
                <a:moveTo>
                  <a:pt x="6723888" y="1863852"/>
                </a:moveTo>
                <a:lnTo>
                  <a:pt x="5964936" y="1863852"/>
                </a:lnTo>
                <a:lnTo>
                  <a:pt x="5964936" y="2068068"/>
                </a:lnTo>
                <a:lnTo>
                  <a:pt x="6723888" y="2068068"/>
                </a:lnTo>
                <a:lnTo>
                  <a:pt x="6723888" y="1863852"/>
                </a:lnTo>
                <a:close/>
              </a:path>
              <a:path w="7486015" h="2277110">
                <a:moveTo>
                  <a:pt x="6723888" y="1449324"/>
                </a:moveTo>
                <a:lnTo>
                  <a:pt x="5964936" y="1449324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449324"/>
                </a:lnTo>
                <a:close/>
              </a:path>
              <a:path w="7486015" h="227711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27711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27711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277110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27711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27711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277110">
                <a:moveTo>
                  <a:pt x="7485888" y="2071116"/>
                </a:moveTo>
                <a:lnTo>
                  <a:pt x="6726936" y="2071116"/>
                </a:lnTo>
                <a:lnTo>
                  <a:pt x="6726936" y="2276856"/>
                </a:lnTo>
                <a:lnTo>
                  <a:pt x="7485888" y="2276856"/>
                </a:lnTo>
                <a:lnTo>
                  <a:pt x="7485888" y="2071116"/>
                </a:lnTo>
                <a:close/>
              </a:path>
              <a:path w="7486015" h="2277110">
                <a:moveTo>
                  <a:pt x="7485888" y="1863852"/>
                </a:moveTo>
                <a:lnTo>
                  <a:pt x="6726936" y="1863852"/>
                </a:lnTo>
                <a:lnTo>
                  <a:pt x="6726936" y="2068068"/>
                </a:lnTo>
                <a:lnTo>
                  <a:pt x="7485888" y="2068068"/>
                </a:lnTo>
                <a:lnTo>
                  <a:pt x="7485888" y="1863852"/>
                </a:lnTo>
                <a:close/>
              </a:path>
              <a:path w="7486015" h="2277110">
                <a:moveTo>
                  <a:pt x="7485888" y="1449324"/>
                </a:moveTo>
                <a:lnTo>
                  <a:pt x="6726936" y="1449324"/>
                </a:lnTo>
                <a:lnTo>
                  <a:pt x="6726936" y="1860804"/>
                </a:lnTo>
                <a:lnTo>
                  <a:pt x="7485888" y="1860804"/>
                </a:lnTo>
                <a:lnTo>
                  <a:pt x="7485888" y="1449324"/>
                </a:lnTo>
                <a:close/>
              </a:path>
              <a:path w="7486015" h="227711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27711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27711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277110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27711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27711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393192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0" y="0"/>
          <a:ext cx="645160" cy="3931920"/>
        </a:xfrm>
        <a:custGeom>
          <a:avLst/>
          <a:gdLst/>
          <a:ahLst/>
          <a:cxnLst/>
          <a:rect l="0" t="0" r="0" b="0"/>
          <a:pathLst>
            <a:path w="645160" h="3931920">
              <a:moveTo>
                <a:pt x="644652" y="3726180"/>
              </a:moveTo>
              <a:lnTo>
                <a:pt x="0" y="3726180"/>
              </a:lnTo>
              <a:lnTo>
                <a:pt x="0" y="3931920"/>
              </a:lnTo>
              <a:lnTo>
                <a:pt x="644652" y="3931920"/>
              </a:lnTo>
              <a:lnTo>
                <a:pt x="644652" y="3726180"/>
              </a:lnTo>
              <a:close/>
            </a:path>
            <a:path w="645160" h="3931920">
              <a:moveTo>
                <a:pt x="644652" y="3518916"/>
              </a:moveTo>
              <a:lnTo>
                <a:pt x="0" y="3518916"/>
              </a:lnTo>
              <a:lnTo>
                <a:pt x="0" y="3723132"/>
              </a:lnTo>
              <a:lnTo>
                <a:pt x="644652" y="3723132"/>
              </a:lnTo>
              <a:lnTo>
                <a:pt x="644652" y="3518916"/>
              </a:lnTo>
              <a:close/>
            </a:path>
            <a:path w="645160" h="3931920">
              <a:moveTo>
                <a:pt x="644652" y="3104388"/>
              </a:moveTo>
              <a:lnTo>
                <a:pt x="0" y="3104388"/>
              </a:lnTo>
              <a:lnTo>
                <a:pt x="0" y="3515868"/>
              </a:lnTo>
              <a:lnTo>
                <a:pt x="644652" y="3515868"/>
              </a:lnTo>
              <a:lnTo>
                <a:pt x="644652" y="3104388"/>
              </a:lnTo>
              <a:close/>
            </a:path>
            <a:path w="645160" h="393192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93192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93192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93192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93192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93192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93192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93192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93192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93192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93192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93192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93192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93192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93192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206501</xdr:rowOff>
    </xdr:from>
    <xdr:ext cx="3808729" cy="480059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66" name="image1.jpeg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67" name="image2.jpeg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68" name="image3.jpeg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69" name="image4.jpe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70" name="image5.jpe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3931920"/>
    <xdr:grpSp>
      <xdr:nvGrpSpPr>
        <xdr:cNvPr id="71" name="Group 71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GrpSpPr/>
      </xdr:nvGrpSpPr>
      <xdr:grpSpPr>
        <a:xfrm>
          <a:off x="607059" y="6027420"/>
          <a:ext cx="7486015" cy="3931920"/>
          <a:chOff x="0" y="0"/>
          <a:chExt cx="7486015" cy="3931920"/>
        </a:xfrm>
      </xdr:grpSpPr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600-000048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830580"/>
                </a:moveTo>
                <a:lnTo>
                  <a:pt x="0" y="830580"/>
                </a:lnTo>
                <a:lnTo>
                  <a:pt x="0" y="1447800"/>
                </a:lnTo>
                <a:lnTo>
                  <a:pt x="312420" y="1447800"/>
                </a:lnTo>
                <a:lnTo>
                  <a:pt x="312420" y="830580"/>
                </a:lnTo>
                <a:close/>
              </a:path>
              <a:path w="7486015" h="2068195">
                <a:moveTo>
                  <a:pt x="312420" y="414528"/>
                </a:moveTo>
                <a:lnTo>
                  <a:pt x="0" y="414528"/>
                </a:lnTo>
                <a:lnTo>
                  <a:pt x="0" y="827532"/>
                </a:lnTo>
                <a:lnTo>
                  <a:pt x="312420" y="827532"/>
                </a:lnTo>
                <a:lnTo>
                  <a:pt x="312420" y="414528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411480"/>
                </a:lnTo>
                <a:lnTo>
                  <a:pt x="312420" y="411480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830580"/>
                </a:moveTo>
                <a:lnTo>
                  <a:pt x="315468" y="830580"/>
                </a:lnTo>
                <a:lnTo>
                  <a:pt x="315468" y="1447800"/>
                </a:lnTo>
                <a:lnTo>
                  <a:pt x="1264920" y="1447800"/>
                </a:lnTo>
                <a:lnTo>
                  <a:pt x="1264920" y="830580"/>
                </a:lnTo>
                <a:close/>
              </a:path>
              <a:path w="7486015" h="2068195">
                <a:moveTo>
                  <a:pt x="1264920" y="414528"/>
                </a:moveTo>
                <a:lnTo>
                  <a:pt x="315468" y="414528"/>
                </a:lnTo>
                <a:lnTo>
                  <a:pt x="315468" y="827532"/>
                </a:lnTo>
                <a:lnTo>
                  <a:pt x="1264920" y="827532"/>
                </a:lnTo>
                <a:lnTo>
                  <a:pt x="1264920" y="414528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411480"/>
                </a:lnTo>
                <a:lnTo>
                  <a:pt x="1264920" y="411480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830580"/>
                </a:moveTo>
                <a:lnTo>
                  <a:pt x="1267968" y="830580"/>
                </a:lnTo>
                <a:lnTo>
                  <a:pt x="1267968" y="1447800"/>
                </a:lnTo>
                <a:lnTo>
                  <a:pt x="2531364" y="1447800"/>
                </a:lnTo>
                <a:lnTo>
                  <a:pt x="2531364" y="830580"/>
                </a:lnTo>
                <a:close/>
              </a:path>
              <a:path w="7486015" h="2068195">
                <a:moveTo>
                  <a:pt x="2531364" y="414528"/>
                </a:moveTo>
                <a:lnTo>
                  <a:pt x="1267968" y="414528"/>
                </a:lnTo>
                <a:lnTo>
                  <a:pt x="1267968" y="827532"/>
                </a:lnTo>
                <a:lnTo>
                  <a:pt x="2531364" y="827532"/>
                </a:lnTo>
                <a:lnTo>
                  <a:pt x="2531364" y="414528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411480"/>
                </a:lnTo>
                <a:lnTo>
                  <a:pt x="2531364" y="411480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865376"/>
                </a:moveTo>
                <a:lnTo>
                  <a:pt x="2534412" y="1865376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5376"/>
                </a:lnTo>
                <a:close/>
              </a:path>
              <a:path w="7486015" h="2068195">
                <a:moveTo>
                  <a:pt x="3037332" y="1658112"/>
                </a:moveTo>
                <a:lnTo>
                  <a:pt x="2534412" y="1658112"/>
                </a:lnTo>
                <a:lnTo>
                  <a:pt x="2534412" y="1862328"/>
                </a:lnTo>
                <a:lnTo>
                  <a:pt x="3037332" y="1862328"/>
                </a:lnTo>
                <a:lnTo>
                  <a:pt x="3037332" y="1658112"/>
                </a:lnTo>
                <a:close/>
              </a:path>
              <a:path w="7486015" h="2068195">
                <a:moveTo>
                  <a:pt x="3037332" y="1450848"/>
                </a:moveTo>
                <a:lnTo>
                  <a:pt x="2534412" y="1450848"/>
                </a:lnTo>
                <a:lnTo>
                  <a:pt x="2534412" y="1655064"/>
                </a:lnTo>
                <a:lnTo>
                  <a:pt x="3037332" y="1655064"/>
                </a:lnTo>
                <a:lnTo>
                  <a:pt x="3037332" y="1450848"/>
                </a:lnTo>
                <a:close/>
              </a:path>
              <a:path w="7486015" h="2068195">
                <a:moveTo>
                  <a:pt x="3037332" y="1243584"/>
                </a:moveTo>
                <a:lnTo>
                  <a:pt x="2534412" y="1243584"/>
                </a:lnTo>
                <a:lnTo>
                  <a:pt x="2534412" y="1447800"/>
                </a:lnTo>
                <a:lnTo>
                  <a:pt x="3037332" y="1447800"/>
                </a:lnTo>
                <a:lnTo>
                  <a:pt x="3037332" y="1243584"/>
                </a:lnTo>
                <a:close/>
              </a:path>
              <a:path w="7486015" h="2068195">
                <a:moveTo>
                  <a:pt x="3037332" y="1037844"/>
                </a:moveTo>
                <a:lnTo>
                  <a:pt x="2534412" y="1037844"/>
                </a:lnTo>
                <a:lnTo>
                  <a:pt x="2534412" y="1240536"/>
                </a:lnTo>
                <a:lnTo>
                  <a:pt x="3037332" y="1240536"/>
                </a:lnTo>
                <a:lnTo>
                  <a:pt x="3037332" y="1037844"/>
                </a:lnTo>
                <a:close/>
              </a:path>
              <a:path w="7486015" h="2068195">
                <a:moveTo>
                  <a:pt x="3037332" y="830580"/>
                </a:moveTo>
                <a:lnTo>
                  <a:pt x="2534412" y="830580"/>
                </a:lnTo>
                <a:lnTo>
                  <a:pt x="2534412" y="1034796"/>
                </a:lnTo>
                <a:lnTo>
                  <a:pt x="3037332" y="1034796"/>
                </a:lnTo>
                <a:lnTo>
                  <a:pt x="3037332" y="830580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7532"/>
                </a:lnTo>
                <a:lnTo>
                  <a:pt x="3037332" y="827532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865376"/>
                </a:moveTo>
                <a:lnTo>
                  <a:pt x="3040380" y="1865376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5376"/>
                </a:lnTo>
                <a:close/>
              </a:path>
              <a:path w="7486015" h="2068195">
                <a:moveTo>
                  <a:pt x="3674364" y="1658112"/>
                </a:moveTo>
                <a:lnTo>
                  <a:pt x="3040380" y="1658112"/>
                </a:lnTo>
                <a:lnTo>
                  <a:pt x="3040380" y="1862328"/>
                </a:lnTo>
                <a:lnTo>
                  <a:pt x="3674364" y="1862328"/>
                </a:lnTo>
                <a:lnTo>
                  <a:pt x="3674364" y="1658112"/>
                </a:lnTo>
                <a:close/>
              </a:path>
              <a:path w="7486015" h="2068195">
                <a:moveTo>
                  <a:pt x="3674364" y="1450848"/>
                </a:moveTo>
                <a:lnTo>
                  <a:pt x="3040380" y="1450848"/>
                </a:lnTo>
                <a:lnTo>
                  <a:pt x="3040380" y="1655064"/>
                </a:lnTo>
                <a:lnTo>
                  <a:pt x="3674364" y="1655064"/>
                </a:lnTo>
                <a:lnTo>
                  <a:pt x="3674364" y="1450848"/>
                </a:lnTo>
                <a:close/>
              </a:path>
              <a:path w="7486015" h="2068195">
                <a:moveTo>
                  <a:pt x="3674364" y="1243584"/>
                </a:moveTo>
                <a:lnTo>
                  <a:pt x="3040380" y="1243584"/>
                </a:lnTo>
                <a:lnTo>
                  <a:pt x="3040380" y="1447800"/>
                </a:lnTo>
                <a:lnTo>
                  <a:pt x="3674364" y="1447800"/>
                </a:lnTo>
                <a:lnTo>
                  <a:pt x="3674364" y="1243584"/>
                </a:lnTo>
                <a:close/>
              </a:path>
              <a:path w="7486015" h="2068195">
                <a:moveTo>
                  <a:pt x="3674364" y="1037844"/>
                </a:moveTo>
                <a:lnTo>
                  <a:pt x="3040380" y="1037844"/>
                </a:lnTo>
                <a:lnTo>
                  <a:pt x="3040380" y="1240536"/>
                </a:lnTo>
                <a:lnTo>
                  <a:pt x="3674364" y="1240536"/>
                </a:lnTo>
                <a:lnTo>
                  <a:pt x="3674364" y="1037844"/>
                </a:lnTo>
                <a:close/>
              </a:path>
              <a:path w="7486015" h="2068195">
                <a:moveTo>
                  <a:pt x="3674364" y="830580"/>
                </a:moveTo>
                <a:lnTo>
                  <a:pt x="3040380" y="830580"/>
                </a:lnTo>
                <a:lnTo>
                  <a:pt x="3040380" y="1034796"/>
                </a:lnTo>
                <a:lnTo>
                  <a:pt x="3674364" y="1034796"/>
                </a:lnTo>
                <a:lnTo>
                  <a:pt x="3674364" y="830580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7532"/>
                </a:lnTo>
                <a:lnTo>
                  <a:pt x="3674364" y="827532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865376"/>
                </a:moveTo>
                <a:lnTo>
                  <a:pt x="3677412" y="1865376"/>
                </a:lnTo>
                <a:lnTo>
                  <a:pt x="3677412" y="2068068"/>
                </a:lnTo>
                <a:lnTo>
                  <a:pt x="4437888" y="2068068"/>
                </a:lnTo>
                <a:lnTo>
                  <a:pt x="4437888" y="1865376"/>
                </a:lnTo>
                <a:close/>
              </a:path>
              <a:path w="7486015" h="2068195">
                <a:moveTo>
                  <a:pt x="4437888" y="1658112"/>
                </a:moveTo>
                <a:lnTo>
                  <a:pt x="3677412" y="1658112"/>
                </a:lnTo>
                <a:lnTo>
                  <a:pt x="3677412" y="1862328"/>
                </a:lnTo>
                <a:lnTo>
                  <a:pt x="4437888" y="1862328"/>
                </a:lnTo>
                <a:lnTo>
                  <a:pt x="4437888" y="1658112"/>
                </a:lnTo>
                <a:close/>
              </a:path>
              <a:path w="7486015" h="2068195">
                <a:moveTo>
                  <a:pt x="4437888" y="1450848"/>
                </a:moveTo>
                <a:lnTo>
                  <a:pt x="3677412" y="1450848"/>
                </a:lnTo>
                <a:lnTo>
                  <a:pt x="3677412" y="1655064"/>
                </a:lnTo>
                <a:lnTo>
                  <a:pt x="4437888" y="1655064"/>
                </a:lnTo>
                <a:lnTo>
                  <a:pt x="4437888" y="1450848"/>
                </a:lnTo>
                <a:close/>
              </a:path>
              <a:path w="7486015" h="2068195">
                <a:moveTo>
                  <a:pt x="4437888" y="1243584"/>
                </a:moveTo>
                <a:lnTo>
                  <a:pt x="3677412" y="1243584"/>
                </a:lnTo>
                <a:lnTo>
                  <a:pt x="3677412" y="1447800"/>
                </a:lnTo>
                <a:lnTo>
                  <a:pt x="4437888" y="1447800"/>
                </a:lnTo>
                <a:lnTo>
                  <a:pt x="4437888" y="1243584"/>
                </a:lnTo>
                <a:close/>
              </a:path>
              <a:path w="7486015" h="2068195">
                <a:moveTo>
                  <a:pt x="4437888" y="1037844"/>
                </a:moveTo>
                <a:lnTo>
                  <a:pt x="3677412" y="1037844"/>
                </a:lnTo>
                <a:lnTo>
                  <a:pt x="3677412" y="1240536"/>
                </a:lnTo>
                <a:lnTo>
                  <a:pt x="4437888" y="1240536"/>
                </a:lnTo>
                <a:lnTo>
                  <a:pt x="4437888" y="1037844"/>
                </a:lnTo>
                <a:close/>
              </a:path>
              <a:path w="7486015" h="2068195">
                <a:moveTo>
                  <a:pt x="4437888" y="830580"/>
                </a:moveTo>
                <a:lnTo>
                  <a:pt x="3677412" y="830580"/>
                </a:lnTo>
                <a:lnTo>
                  <a:pt x="3677412" y="1034796"/>
                </a:lnTo>
                <a:lnTo>
                  <a:pt x="4437888" y="1034796"/>
                </a:lnTo>
                <a:lnTo>
                  <a:pt x="4437888" y="830580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7532"/>
                </a:lnTo>
                <a:lnTo>
                  <a:pt x="4437888" y="827532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865376"/>
                </a:moveTo>
                <a:lnTo>
                  <a:pt x="4440936" y="1865376"/>
                </a:lnTo>
                <a:lnTo>
                  <a:pt x="4440936" y="2068068"/>
                </a:lnTo>
                <a:lnTo>
                  <a:pt x="5199888" y="2068068"/>
                </a:lnTo>
                <a:lnTo>
                  <a:pt x="5199888" y="1865376"/>
                </a:lnTo>
                <a:close/>
              </a:path>
              <a:path w="7486015" h="2068195">
                <a:moveTo>
                  <a:pt x="5199888" y="1658112"/>
                </a:moveTo>
                <a:lnTo>
                  <a:pt x="4440936" y="1658112"/>
                </a:lnTo>
                <a:lnTo>
                  <a:pt x="4440936" y="1862328"/>
                </a:lnTo>
                <a:lnTo>
                  <a:pt x="5199888" y="1862328"/>
                </a:lnTo>
                <a:lnTo>
                  <a:pt x="5199888" y="1658112"/>
                </a:lnTo>
                <a:close/>
              </a:path>
              <a:path w="7486015" h="2068195">
                <a:moveTo>
                  <a:pt x="5199888" y="1450848"/>
                </a:moveTo>
                <a:lnTo>
                  <a:pt x="4440936" y="1450848"/>
                </a:lnTo>
                <a:lnTo>
                  <a:pt x="4440936" y="1655064"/>
                </a:lnTo>
                <a:lnTo>
                  <a:pt x="5199888" y="1655064"/>
                </a:lnTo>
                <a:lnTo>
                  <a:pt x="5199888" y="1450848"/>
                </a:lnTo>
                <a:close/>
              </a:path>
              <a:path w="7486015" h="2068195">
                <a:moveTo>
                  <a:pt x="5199888" y="1243584"/>
                </a:moveTo>
                <a:lnTo>
                  <a:pt x="4440936" y="1243584"/>
                </a:lnTo>
                <a:lnTo>
                  <a:pt x="4440936" y="1447800"/>
                </a:lnTo>
                <a:lnTo>
                  <a:pt x="5199888" y="1447800"/>
                </a:lnTo>
                <a:lnTo>
                  <a:pt x="5199888" y="1243584"/>
                </a:lnTo>
                <a:close/>
              </a:path>
              <a:path w="7486015" h="2068195">
                <a:moveTo>
                  <a:pt x="5199888" y="1037844"/>
                </a:moveTo>
                <a:lnTo>
                  <a:pt x="4440936" y="1037844"/>
                </a:lnTo>
                <a:lnTo>
                  <a:pt x="4440936" y="1240536"/>
                </a:lnTo>
                <a:lnTo>
                  <a:pt x="5199888" y="1240536"/>
                </a:lnTo>
                <a:lnTo>
                  <a:pt x="5199888" y="1037844"/>
                </a:lnTo>
                <a:close/>
              </a:path>
              <a:path w="7486015" h="2068195">
                <a:moveTo>
                  <a:pt x="5199888" y="830580"/>
                </a:moveTo>
                <a:lnTo>
                  <a:pt x="4440936" y="830580"/>
                </a:lnTo>
                <a:lnTo>
                  <a:pt x="4440936" y="1034796"/>
                </a:lnTo>
                <a:lnTo>
                  <a:pt x="5199888" y="1034796"/>
                </a:lnTo>
                <a:lnTo>
                  <a:pt x="5199888" y="830580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7532"/>
                </a:lnTo>
                <a:lnTo>
                  <a:pt x="5199888" y="827532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865376"/>
                </a:moveTo>
                <a:lnTo>
                  <a:pt x="5202936" y="1865376"/>
                </a:lnTo>
                <a:lnTo>
                  <a:pt x="5202936" y="2068068"/>
                </a:lnTo>
                <a:lnTo>
                  <a:pt x="5961875" y="2068068"/>
                </a:lnTo>
                <a:lnTo>
                  <a:pt x="5961875" y="1865376"/>
                </a:lnTo>
                <a:close/>
              </a:path>
              <a:path w="7486015" h="2068195">
                <a:moveTo>
                  <a:pt x="5961875" y="1658112"/>
                </a:moveTo>
                <a:lnTo>
                  <a:pt x="5202936" y="1658112"/>
                </a:lnTo>
                <a:lnTo>
                  <a:pt x="5202936" y="1862328"/>
                </a:lnTo>
                <a:lnTo>
                  <a:pt x="5961875" y="1862328"/>
                </a:lnTo>
                <a:lnTo>
                  <a:pt x="5961875" y="1658112"/>
                </a:lnTo>
                <a:close/>
              </a:path>
              <a:path w="7486015" h="2068195">
                <a:moveTo>
                  <a:pt x="5961875" y="1450848"/>
                </a:moveTo>
                <a:lnTo>
                  <a:pt x="5202936" y="1450848"/>
                </a:lnTo>
                <a:lnTo>
                  <a:pt x="5202936" y="1655064"/>
                </a:lnTo>
                <a:lnTo>
                  <a:pt x="5961875" y="1655064"/>
                </a:lnTo>
                <a:lnTo>
                  <a:pt x="5961875" y="1450848"/>
                </a:lnTo>
                <a:close/>
              </a:path>
              <a:path w="7486015" h="2068195">
                <a:moveTo>
                  <a:pt x="5961875" y="1243584"/>
                </a:moveTo>
                <a:lnTo>
                  <a:pt x="5202936" y="1243584"/>
                </a:lnTo>
                <a:lnTo>
                  <a:pt x="5202936" y="1447800"/>
                </a:lnTo>
                <a:lnTo>
                  <a:pt x="5961875" y="1447800"/>
                </a:lnTo>
                <a:lnTo>
                  <a:pt x="5961875" y="1243584"/>
                </a:lnTo>
                <a:close/>
              </a:path>
              <a:path w="7486015" h="2068195">
                <a:moveTo>
                  <a:pt x="5961875" y="1037844"/>
                </a:moveTo>
                <a:lnTo>
                  <a:pt x="5202936" y="1037844"/>
                </a:lnTo>
                <a:lnTo>
                  <a:pt x="5202936" y="1240536"/>
                </a:lnTo>
                <a:lnTo>
                  <a:pt x="5961875" y="1240536"/>
                </a:lnTo>
                <a:lnTo>
                  <a:pt x="5961875" y="1037844"/>
                </a:lnTo>
                <a:close/>
              </a:path>
              <a:path w="7486015" h="2068195">
                <a:moveTo>
                  <a:pt x="5961875" y="830580"/>
                </a:moveTo>
                <a:lnTo>
                  <a:pt x="5202936" y="830580"/>
                </a:lnTo>
                <a:lnTo>
                  <a:pt x="5202936" y="1034796"/>
                </a:lnTo>
                <a:lnTo>
                  <a:pt x="5961875" y="1034796"/>
                </a:lnTo>
                <a:lnTo>
                  <a:pt x="5961875" y="830580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7532"/>
                </a:lnTo>
                <a:lnTo>
                  <a:pt x="5961875" y="827532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865376"/>
                </a:moveTo>
                <a:lnTo>
                  <a:pt x="5964936" y="1865376"/>
                </a:lnTo>
                <a:lnTo>
                  <a:pt x="5964936" y="2068068"/>
                </a:lnTo>
                <a:lnTo>
                  <a:pt x="6723888" y="2068068"/>
                </a:lnTo>
                <a:lnTo>
                  <a:pt x="6723888" y="1865376"/>
                </a:lnTo>
                <a:close/>
              </a:path>
              <a:path w="7486015" h="2068195">
                <a:moveTo>
                  <a:pt x="6723888" y="1658112"/>
                </a:moveTo>
                <a:lnTo>
                  <a:pt x="5964936" y="1658112"/>
                </a:lnTo>
                <a:lnTo>
                  <a:pt x="5964936" y="1862328"/>
                </a:lnTo>
                <a:lnTo>
                  <a:pt x="6723888" y="1862328"/>
                </a:lnTo>
                <a:lnTo>
                  <a:pt x="6723888" y="1658112"/>
                </a:lnTo>
                <a:close/>
              </a:path>
              <a:path w="7486015" h="2068195">
                <a:moveTo>
                  <a:pt x="6723888" y="1450848"/>
                </a:moveTo>
                <a:lnTo>
                  <a:pt x="5964936" y="1450848"/>
                </a:lnTo>
                <a:lnTo>
                  <a:pt x="5964936" y="1655064"/>
                </a:lnTo>
                <a:lnTo>
                  <a:pt x="6723888" y="1655064"/>
                </a:lnTo>
                <a:lnTo>
                  <a:pt x="6723888" y="1450848"/>
                </a:lnTo>
                <a:close/>
              </a:path>
              <a:path w="7486015" h="2068195">
                <a:moveTo>
                  <a:pt x="6723888" y="1243584"/>
                </a:moveTo>
                <a:lnTo>
                  <a:pt x="5964936" y="1243584"/>
                </a:lnTo>
                <a:lnTo>
                  <a:pt x="5964936" y="1447800"/>
                </a:lnTo>
                <a:lnTo>
                  <a:pt x="6723888" y="1447800"/>
                </a:lnTo>
                <a:lnTo>
                  <a:pt x="6723888" y="1243584"/>
                </a:lnTo>
                <a:close/>
              </a:path>
              <a:path w="7486015" h="2068195">
                <a:moveTo>
                  <a:pt x="6723888" y="1037844"/>
                </a:moveTo>
                <a:lnTo>
                  <a:pt x="5964936" y="1037844"/>
                </a:lnTo>
                <a:lnTo>
                  <a:pt x="5964936" y="1240536"/>
                </a:lnTo>
                <a:lnTo>
                  <a:pt x="6723888" y="1240536"/>
                </a:lnTo>
                <a:lnTo>
                  <a:pt x="6723888" y="1037844"/>
                </a:lnTo>
                <a:close/>
              </a:path>
              <a:path w="7486015" h="2068195">
                <a:moveTo>
                  <a:pt x="6723888" y="830580"/>
                </a:moveTo>
                <a:lnTo>
                  <a:pt x="5964936" y="830580"/>
                </a:lnTo>
                <a:lnTo>
                  <a:pt x="5964936" y="1034796"/>
                </a:lnTo>
                <a:lnTo>
                  <a:pt x="6723888" y="1034796"/>
                </a:lnTo>
                <a:lnTo>
                  <a:pt x="6723888" y="830580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7532"/>
                </a:lnTo>
                <a:lnTo>
                  <a:pt x="6723888" y="827532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658112"/>
                </a:moveTo>
                <a:lnTo>
                  <a:pt x="6726936" y="1658112"/>
                </a:lnTo>
                <a:lnTo>
                  <a:pt x="6726936" y="1862328"/>
                </a:lnTo>
                <a:lnTo>
                  <a:pt x="7485888" y="1862328"/>
                </a:lnTo>
                <a:lnTo>
                  <a:pt x="7485888" y="1658112"/>
                </a:lnTo>
                <a:close/>
              </a:path>
              <a:path w="7486015" h="2068195">
                <a:moveTo>
                  <a:pt x="7485888" y="1450848"/>
                </a:moveTo>
                <a:lnTo>
                  <a:pt x="6726936" y="1450848"/>
                </a:lnTo>
                <a:lnTo>
                  <a:pt x="6726936" y="1655064"/>
                </a:lnTo>
                <a:lnTo>
                  <a:pt x="7485888" y="1655064"/>
                </a:lnTo>
                <a:lnTo>
                  <a:pt x="7485888" y="1450848"/>
                </a:lnTo>
                <a:close/>
              </a:path>
              <a:path w="7486015" h="2068195">
                <a:moveTo>
                  <a:pt x="7485888" y="1243584"/>
                </a:moveTo>
                <a:lnTo>
                  <a:pt x="6726936" y="1243584"/>
                </a:lnTo>
                <a:lnTo>
                  <a:pt x="6726936" y="1447800"/>
                </a:lnTo>
                <a:lnTo>
                  <a:pt x="7485888" y="1447800"/>
                </a:lnTo>
                <a:lnTo>
                  <a:pt x="7485888" y="1243584"/>
                </a:lnTo>
                <a:close/>
              </a:path>
              <a:path w="7486015" h="2068195">
                <a:moveTo>
                  <a:pt x="7485888" y="1037844"/>
                </a:moveTo>
                <a:lnTo>
                  <a:pt x="6726936" y="1037844"/>
                </a:lnTo>
                <a:lnTo>
                  <a:pt x="6726936" y="1240536"/>
                </a:lnTo>
                <a:lnTo>
                  <a:pt x="7485888" y="1240536"/>
                </a:lnTo>
                <a:lnTo>
                  <a:pt x="7485888" y="1037844"/>
                </a:lnTo>
                <a:close/>
              </a:path>
              <a:path w="7486015" h="2068195">
                <a:moveTo>
                  <a:pt x="7485888" y="830580"/>
                </a:moveTo>
                <a:lnTo>
                  <a:pt x="6726936" y="830580"/>
                </a:lnTo>
                <a:lnTo>
                  <a:pt x="6726936" y="1034796"/>
                </a:lnTo>
                <a:lnTo>
                  <a:pt x="7485888" y="1034796"/>
                </a:lnTo>
                <a:lnTo>
                  <a:pt x="7485888" y="830580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7532"/>
                </a:lnTo>
                <a:lnTo>
                  <a:pt x="7485888" y="827532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600-000049000000}"/>
              </a:ext>
            </a:extLst>
          </xdr:cNvPr>
          <xdr:cNvSpPr/>
        </xdr:nvSpPr>
        <xdr:spPr>
          <a:xfrm>
            <a:off x="0" y="1450847"/>
            <a:ext cx="7486015" cy="2481580"/>
          </a:xfrm>
          <a:custGeom>
            <a:avLst/>
            <a:gdLst/>
            <a:ahLst/>
            <a:cxnLst/>
            <a:rect l="0" t="0" r="0" b="0"/>
            <a:pathLst>
              <a:path w="7486015" h="2481580">
                <a:moveTo>
                  <a:pt x="312420" y="1242060"/>
                </a:moveTo>
                <a:lnTo>
                  <a:pt x="0" y="1242060"/>
                </a:lnTo>
                <a:lnTo>
                  <a:pt x="0" y="2481072"/>
                </a:lnTo>
                <a:lnTo>
                  <a:pt x="312420" y="2481072"/>
                </a:lnTo>
                <a:lnTo>
                  <a:pt x="312420" y="1242060"/>
                </a:lnTo>
                <a:close/>
              </a:path>
              <a:path w="7486015" h="2481580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481580">
                <a:moveTo>
                  <a:pt x="1264920" y="1242060"/>
                </a:moveTo>
                <a:lnTo>
                  <a:pt x="315468" y="1242060"/>
                </a:lnTo>
                <a:lnTo>
                  <a:pt x="315468" y="2481072"/>
                </a:lnTo>
                <a:lnTo>
                  <a:pt x="1264920" y="2481072"/>
                </a:lnTo>
                <a:lnTo>
                  <a:pt x="1264920" y="1242060"/>
                </a:lnTo>
                <a:close/>
              </a:path>
              <a:path w="7486015" h="2481580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481580">
                <a:moveTo>
                  <a:pt x="2531364" y="1242060"/>
                </a:moveTo>
                <a:lnTo>
                  <a:pt x="1267968" y="1242060"/>
                </a:lnTo>
                <a:lnTo>
                  <a:pt x="1267968" y="2481072"/>
                </a:lnTo>
                <a:lnTo>
                  <a:pt x="2531364" y="2481072"/>
                </a:lnTo>
                <a:lnTo>
                  <a:pt x="2531364" y="1242060"/>
                </a:lnTo>
                <a:close/>
              </a:path>
              <a:path w="7486015" h="2481580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481580">
                <a:moveTo>
                  <a:pt x="3037332" y="2276856"/>
                </a:moveTo>
                <a:lnTo>
                  <a:pt x="2534412" y="2276856"/>
                </a:lnTo>
                <a:lnTo>
                  <a:pt x="2534412" y="2481072"/>
                </a:lnTo>
                <a:lnTo>
                  <a:pt x="3037332" y="2481072"/>
                </a:lnTo>
                <a:lnTo>
                  <a:pt x="3037332" y="2276856"/>
                </a:lnTo>
                <a:close/>
              </a:path>
              <a:path w="7486015" h="2481580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48158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48158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481580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48158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48158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48158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481580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2481580">
                <a:moveTo>
                  <a:pt x="3674364" y="2276856"/>
                </a:moveTo>
                <a:lnTo>
                  <a:pt x="3040380" y="2276856"/>
                </a:lnTo>
                <a:lnTo>
                  <a:pt x="3040380" y="2481072"/>
                </a:lnTo>
                <a:lnTo>
                  <a:pt x="3674364" y="2481072"/>
                </a:lnTo>
                <a:lnTo>
                  <a:pt x="3674364" y="2276856"/>
                </a:lnTo>
                <a:close/>
              </a:path>
              <a:path w="7486015" h="2481580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48158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48158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481580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48158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48158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48158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481580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2481580">
                <a:moveTo>
                  <a:pt x="4437888" y="2276856"/>
                </a:moveTo>
                <a:lnTo>
                  <a:pt x="3677412" y="2276856"/>
                </a:lnTo>
                <a:lnTo>
                  <a:pt x="3677412" y="2481072"/>
                </a:lnTo>
                <a:lnTo>
                  <a:pt x="4437888" y="2481072"/>
                </a:lnTo>
                <a:lnTo>
                  <a:pt x="4437888" y="2276856"/>
                </a:lnTo>
                <a:close/>
              </a:path>
              <a:path w="7486015" h="248158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48158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48158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481580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48158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48158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48158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481580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2481580">
                <a:moveTo>
                  <a:pt x="5199888" y="2276856"/>
                </a:moveTo>
                <a:lnTo>
                  <a:pt x="4440936" y="2276856"/>
                </a:lnTo>
                <a:lnTo>
                  <a:pt x="4440936" y="2481072"/>
                </a:lnTo>
                <a:lnTo>
                  <a:pt x="5199888" y="2481072"/>
                </a:lnTo>
                <a:lnTo>
                  <a:pt x="5199888" y="2276856"/>
                </a:lnTo>
                <a:close/>
              </a:path>
              <a:path w="7486015" h="248158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248158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48158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481580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48158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48158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48158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481580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2481580">
                <a:moveTo>
                  <a:pt x="5961875" y="2276856"/>
                </a:moveTo>
                <a:lnTo>
                  <a:pt x="5202936" y="2276856"/>
                </a:lnTo>
                <a:lnTo>
                  <a:pt x="5202936" y="2481072"/>
                </a:lnTo>
                <a:lnTo>
                  <a:pt x="5961875" y="2481072"/>
                </a:lnTo>
                <a:lnTo>
                  <a:pt x="5961875" y="2276856"/>
                </a:lnTo>
                <a:close/>
              </a:path>
              <a:path w="7486015" h="248158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248158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48158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481580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48158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48158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48158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48158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481580">
                <a:moveTo>
                  <a:pt x="6723888" y="2276856"/>
                </a:moveTo>
                <a:lnTo>
                  <a:pt x="5964936" y="2276856"/>
                </a:lnTo>
                <a:lnTo>
                  <a:pt x="5964936" y="2481072"/>
                </a:lnTo>
                <a:lnTo>
                  <a:pt x="6723888" y="2481072"/>
                </a:lnTo>
                <a:lnTo>
                  <a:pt x="6723888" y="2276856"/>
                </a:lnTo>
                <a:close/>
              </a:path>
              <a:path w="7486015" h="248158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248158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48158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481580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48158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48158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48158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48158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481580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2481580">
                <a:moveTo>
                  <a:pt x="7485888" y="2276856"/>
                </a:moveTo>
                <a:lnTo>
                  <a:pt x="6726936" y="2276856"/>
                </a:lnTo>
                <a:lnTo>
                  <a:pt x="6726936" y="2481072"/>
                </a:lnTo>
                <a:lnTo>
                  <a:pt x="7485888" y="2481072"/>
                </a:lnTo>
                <a:lnTo>
                  <a:pt x="7485888" y="2276856"/>
                </a:lnTo>
                <a:close/>
              </a:path>
              <a:path w="7486015" h="248158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248158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48158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481580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48158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48158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48158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48158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2481580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600-00004A000000}"/>
              </a:ext>
            </a:extLst>
          </xdr:cNvPr>
          <xdr:cNvSpPr/>
        </xdr:nvSpPr>
        <xdr:spPr>
          <a:xfrm>
            <a:off x="6726935" y="3727703"/>
            <a:ext cx="759460" cy="204470"/>
          </a:xfrm>
          <a:custGeom>
            <a:avLst/>
            <a:gdLst/>
            <a:ahLst/>
            <a:cxnLst/>
            <a:rect l="0" t="0" r="0" b="0"/>
            <a:pathLst>
              <a:path w="759460" h="204470">
                <a:moveTo>
                  <a:pt x="758952" y="0"/>
                </a:moveTo>
                <a:lnTo>
                  <a:pt x="0" y="0"/>
                </a:lnTo>
                <a:lnTo>
                  <a:pt x="0" y="204215"/>
                </a:lnTo>
                <a:lnTo>
                  <a:pt x="758952" y="204215"/>
                </a:lnTo>
                <a:lnTo>
                  <a:pt x="758952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393192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0" y="0"/>
          <a:ext cx="645160" cy="3931920"/>
        </a:xfrm>
        <a:custGeom>
          <a:avLst/>
          <a:gdLst/>
          <a:ahLst/>
          <a:cxnLst/>
          <a:rect l="0" t="0" r="0" b="0"/>
          <a:pathLst>
            <a:path w="645160" h="3931920">
              <a:moveTo>
                <a:pt x="644652" y="3727704"/>
              </a:moveTo>
              <a:lnTo>
                <a:pt x="0" y="3727704"/>
              </a:lnTo>
              <a:lnTo>
                <a:pt x="0" y="3931920"/>
              </a:lnTo>
              <a:lnTo>
                <a:pt x="644652" y="3931920"/>
              </a:lnTo>
              <a:lnTo>
                <a:pt x="644652" y="3727704"/>
              </a:lnTo>
              <a:close/>
            </a:path>
            <a:path w="645160" h="3931920">
              <a:moveTo>
                <a:pt x="644652" y="3520440"/>
              </a:moveTo>
              <a:lnTo>
                <a:pt x="0" y="3520440"/>
              </a:lnTo>
              <a:lnTo>
                <a:pt x="0" y="3724656"/>
              </a:lnTo>
              <a:lnTo>
                <a:pt x="644652" y="3724656"/>
              </a:lnTo>
              <a:lnTo>
                <a:pt x="644652" y="3520440"/>
              </a:lnTo>
              <a:close/>
            </a:path>
            <a:path w="645160" h="3931920">
              <a:moveTo>
                <a:pt x="644652" y="3313176"/>
              </a:moveTo>
              <a:lnTo>
                <a:pt x="0" y="3313176"/>
              </a:lnTo>
              <a:lnTo>
                <a:pt x="0" y="3517392"/>
              </a:lnTo>
              <a:lnTo>
                <a:pt x="644652" y="3517392"/>
              </a:lnTo>
              <a:lnTo>
                <a:pt x="644652" y="3313176"/>
              </a:lnTo>
              <a:close/>
            </a:path>
            <a:path w="645160" h="3931920">
              <a:moveTo>
                <a:pt x="644652" y="3105912"/>
              </a:moveTo>
              <a:lnTo>
                <a:pt x="0" y="3105912"/>
              </a:lnTo>
              <a:lnTo>
                <a:pt x="0" y="3310128"/>
              </a:lnTo>
              <a:lnTo>
                <a:pt x="644652" y="3310128"/>
              </a:lnTo>
              <a:lnTo>
                <a:pt x="644652" y="3105912"/>
              </a:lnTo>
              <a:close/>
            </a:path>
            <a:path w="645160" h="3931920">
              <a:moveTo>
                <a:pt x="644652" y="2900172"/>
              </a:moveTo>
              <a:lnTo>
                <a:pt x="0" y="2900172"/>
              </a:lnTo>
              <a:lnTo>
                <a:pt x="0" y="3102864"/>
              </a:lnTo>
              <a:lnTo>
                <a:pt x="644652" y="3102864"/>
              </a:lnTo>
              <a:lnTo>
                <a:pt x="644652" y="2900172"/>
              </a:lnTo>
              <a:close/>
            </a:path>
            <a:path w="645160" h="3931920">
              <a:moveTo>
                <a:pt x="644652" y="2692908"/>
              </a:moveTo>
              <a:lnTo>
                <a:pt x="0" y="2692908"/>
              </a:lnTo>
              <a:lnTo>
                <a:pt x="0" y="2897124"/>
              </a:lnTo>
              <a:lnTo>
                <a:pt x="644652" y="2897124"/>
              </a:lnTo>
              <a:lnTo>
                <a:pt x="644652" y="2692908"/>
              </a:lnTo>
              <a:close/>
            </a:path>
            <a:path w="645160" h="3931920">
              <a:moveTo>
                <a:pt x="644652" y="2485644"/>
              </a:moveTo>
              <a:lnTo>
                <a:pt x="0" y="2485644"/>
              </a:lnTo>
              <a:lnTo>
                <a:pt x="0" y="2689860"/>
              </a:lnTo>
              <a:lnTo>
                <a:pt x="644652" y="2689860"/>
              </a:lnTo>
              <a:lnTo>
                <a:pt x="644652" y="2485644"/>
              </a:lnTo>
              <a:close/>
            </a:path>
            <a:path w="645160" h="3931920">
              <a:moveTo>
                <a:pt x="644652" y="2278380"/>
              </a:moveTo>
              <a:lnTo>
                <a:pt x="0" y="2278380"/>
              </a:lnTo>
              <a:lnTo>
                <a:pt x="0" y="2482596"/>
              </a:lnTo>
              <a:lnTo>
                <a:pt x="644652" y="2482596"/>
              </a:lnTo>
              <a:lnTo>
                <a:pt x="644652" y="2278380"/>
              </a:lnTo>
              <a:close/>
            </a:path>
            <a:path w="645160" h="3931920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3931920">
              <a:moveTo>
                <a:pt x="644652" y="1865376"/>
              </a:moveTo>
              <a:lnTo>
                <a:pt x="0" y="1865376"/>
              </a:lnTo>
              <a:lnTo>
                <a:pt x="0" y="2068068"/>
              </a:lnTo>
              <a:lnTo>
                <a:pt x="644652" y="2068068"/>
              </a:lnTo>
              <a:lnTo>
                <a:pt x="644652" y="1865376"/>
              </a:lnTo>
              <a:close/>
            </a:path>
            <a:path w="645160" h="3931920">
              <a:moveTo>
                <a:pt x="644652" y="1658112"/>
              </a:moveTo>
              <a:lnTo>
                <a:pt x="0" y="1658112"/>
              </a:lnTo>
              <a:lnTo>
                <a:pt x="0" y="1862328"/>
              </a:lnTo>
              <a:lnTo>
                <a:pt x="644652" y="1862328"/>
              </a:lnTo>
              <a:lnTo>
                <a:pt x="644652" y="1658112"/>
              </a:lnTo>
              <a:close/>
            </a:path>
            <a:path w="645160" h="3931920">
              <a:moveTo>
                <a:pt x="644652" y="1450848"/>
              </a:moveTo>
              <a:lnTo>
                <a:pt x="0" y="1450848"/>
              </a:lnTo>
              <a:lnTo>
                <a:pt x="0" y="1655064"/>
              </a:lnTo>
              <a:lnTo>
                <a:pt x="644652" y="1655064"/>
              </a:lnTo>
              <a:lnTo>
                <a:pt x="644652" y="1450848"/>
              </a:lnTo>
              <a:close/>
            </a:path>
            <a:path w="645160" h="3931920">
              <a:moveTo>
                <a:pt x="644652" y="1243584"/>
              </a:moveTo>
              <a:lnTo>
                <a:pt x="0" y="1243584"/>
              </a:lnTo>
              <a:lnTo>
                <a:pt x="0" y="1447800"/>
              </a:lnTo>
              <a:lnTo>
                <a:pt x="644652" y="1447800"/>
              </a:lnTo>
              <a:lnTo>
                <a:pt x="644652" y="1243584"/>
              </a:lnTo>
              <a:close/>
            </a:path>
            <a:path w="645160" h="3931920">
              <a:moveTo>
                <a:pt x="644652" y="1037844"/>
              </a:moveTo>
              <a:lnTo>
                <a:pt x="0" y="1037844"/>
              </a:lnTo>
              <a:lnTo>
                <a:pt x="0" y="1240536"/>
              </a:lnTo>
              <a:lnTo>
                <a:pt x="644652" y="1240536"/>
              </a:lnTo>
              <a:lnTo>
                <a:pt x="644652" y="1037844"/>
              </a:lnTo>
              <a:close/>
            </a:path>
            <a:path w="645160" h="3931920">
              <a:moveTo>
                <a:pt x="644652" y="830580"/>
              </a:moveTo>
              <a:lnTo>
                <a:pt x="0" y="830580"/>
              </a:lnTo>
              <a:lnTo>
                <a:pt x="0" y="1034796"/>
              </a:lnTo>
              <a:lnTo>
                <a:pt x="644652" y="1034796"/>
              </a:lnTo>
              <a:lnTo>
                <a:pt x="644652" y="830580"/>
              </a:lnTo>
              <a:close/>
            </a:path>
            <a:path w="645160" h="3931920">
              <a:moveTo>
                <a:pt x="644652" y="621792"/>
              </a:moveTo>
              <a:lnTo>
                <a:pt x="0" y="621792"/>
              </a:lnTo>
              <a:lnTo>
                <a:pt x="0" y="827532"/>
              </a:lnTo>
              <a:lnTo>
                <a:pt x="644652" y="827532"/>
              </a:lnTo>
              <a:lnTo>
                <a:pt x="644652" y="621792"/>
              </a:lnTo>
              <a:close/>
            </a:path>
            <a:path w="645160" h="393192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931920">
              <a:moveTo>
                <a:pt x="644652" y="0"/>
              </a:moveTo>
              <a:lnTo>
                <a:pt x="0" y="0"/>
              </a:lnTo>
              <a:lnTo>
                <a:pt x="0" y="411480"/>
              </a:lnTo>
              <a:lnTo>
                <a:pt x="644652" y="411480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22</xdr:row>
      <xdr:rowOff>206501</xdr:rowOff>
    </xdr:from>
    <xdr:ext cx="3808729" cy="480059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77" name="image1.jpeg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78" name="image2.jpeg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79" name="image3.jpeg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80" name="image4.jpeg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81" name="image5.jpeg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24</xdr:row>
      <xdr:rowOff>0</xdr:rowOff>
    </xdr:from>
    <xdr:ext cx="7486015" cy="3929379"/>
    <xdr:grpSp>
      <xdr:nvGrpSpPr>
        <xdr:cNvPr id="82" name="Group 82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GrpSpPr/>
      </xdr:nvGrpSpPr>
      <xdr:grpSpPr>
        <a:xfrm>
          <a:off x="607059" y="6042660"/>
          <a:ext cx="7486015" cy="3929379"/>
          <a:chOff x="0" y="0"/>
          <a:chExt cx="7486015" cy="3929379"/>
        </a:xfrm>
      </xdr:grpSpPr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700-000053000000}"/>
              </a:ext>
            </a:extLst>
          </xdr:cNvPr>
          <xdr:cNvSpPr/>
        </xdr:nvSpPr>
        <xdr:spPr>
          <a:xfrm>
            <a:off x="1267968" y="0"/>
            <a:ext cx="6217920" cy="2066925"/>
          </a:xfrm>
          <a:custGeom>
            <a:avLst/>
            <a:gdLst/>
            <a:ahLst/>
            <a:cxnLst/>
            <a:rect l="0" t="0" r="0" b="0"/>
            <a:pathLst>
              <a:path w="6217920" h="2066925">
                <a:moveTo>
                  <a:pt x="1263396" y="0"/>
                </a:moveTo>
                <a:lnTo>
                  <a:pt x="0" y="0"/>
                </a:lnTo>
                <a:lnTo>
                  <a:pt x="0" y="1446276"/>
                </a:lnTo>
                <a:lnTo>
                  <a:pt x="1263396" y="1446276"/>
                </a:lnTo>
                <a:lnTo>
                  <a:pt x="1263396" y="0"/>
                </a:lnTo>
                <a:close/>
              </a:path>
              <a:path w="6217920" h="2066925">
                <a:moveTo>
                  <a:pt x="1769364" y="1862328"/>
                </a:moveTo>
                <a:lnTo>
                  <a:pt x="1266444" y="1862328"/>
                </a:lnTo>
                <a:lnTo>
                  <a:pt x="1266444" y="2066544"/>
                </a:lnTo>
                <a:lnTo>
                  <a:pt x="1769364" y="2066544"/>
                </a:lnTo>
                <a:lnTo>
                  <a:pt x="1769364" y="1862328"/>
                </a:lnTo>
                <a:close/>
              </a:path>
              <a:path w="6217920" h="2066925">
                <a:moveTo>
                  <a:pt x="1769364" y="1655064"/>
                </a:moveTo>
                <a:lnTo>
                  <a:pt x="1266444" y="1655064"/>
                </a:lnTo>
                <a:lnTo>
                  <a:pt x="1266444" y="1859280"/>
                </a:lnTo>
                <a:lnTo>
                  <a:pt x="1769364" y="1859280"/>
                </a:lnTo>
                <a:lnTo>
                  <a:pt x="1769364" y="1655064"/>
                </a:lnTo>
                <a:close/>
              </a:path>
              <a:path w="6217920" h="2066925">
                <a:moveTo>
                  <a:pt x="1769364" y="1449324"/>
                </a:moveTo>
                <a:lnTo>
                  <a:pt x="1266444" y="1449324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9324"/>
                </a:lnTo>
                <a:close/>
              </a:path>
              <a:path w="6217920" h="2066925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2066925">
                <a:moveTo>
                  <a:pt x="1769364" y="1034796"/>
                </a:moveTo>
                <a:lnTo>
                  <a:pt x="1266444" y="1034796"/>
                </a:lnTo>
                <a:lnTo>
                  <a:pt x="1266444" y="1239012"/>
                </a:lnTo>
                <a:lnTo>
                  <a:pt x="1769364" y="1239012"/>
                </a:lnTo>
                <a:lnTo>
                  <a:pt x="1769364" y="1034796"/>
                </a:lnTo>
                <a:close/>
              </a:path>
              <a:path w="6217920" h="2066925">
                <a:moveTo>
                  <a:pt x="1769364" y="827532"/>
                </a:moveTo>
                <a:lnTo>
                  <a:pt x="1266444" y="827532"/>
                </a:lnTo>
                <a:lnTo>
                  <a:pt x="1266444" y="1031748"/>
                </a:lnTo>
                <a:lnTo>
                  <a:pt x="1769364" y="1031748"/>
                </a:lnTo>
                <a:lnTo>
                  <a:pt x="1769364" y="827532"/>
                </a:lnTo>
                <a:close/>
              </a:path>
              <a:path w="6217920" h="2066925">
                <a:moveTo>
                  <a:pt x="1769364" y="621792"/>
                </a:moveTo>
                <a:lnTo>
                  <a:pt x="1266444" y="621792"/>
                </a:lnTo>
                <a:lnTo>
                  <a:pt x="1266444" y="824484"/>
                </a:lnTo>
                <a:lnTo>
                  <a:pt x="1769364" y="824484"/>
                </a:lnTo>
                <a:lnTo>
                  <a:pt x="1769364" y="621792"/>
                </a:lnTo>
                <a:close/>
              </a:path>
              <a:path w="6217920" h="2066925">
                <a:moveTo>
                  <a:pt x="1769364" y="414528"/>
                </a:moveTo>
                <a:lnTo>
                  <a:pt x="1266444" y="414528"/>
                </a:lnTo>
                <a:lnTo>
                  <a:pt x="1266444" y="618744"/>
                </a:lnTo>
                <a:lnTo>
                  <a:pt x="1769364" y="618744"/>
                </a:lnTo>
                <a:lnTo>
                  <a:pt x="1769364" y="414528"/>
                </a:lnTo>
                <a:close/>
              </a:path>
              <a:path w="6217920" h="2066925">
                <a:moveTo>
                  <a:pt x="1769364" y="207264"/>
                </a:moveTo>
                <a:lnTo>
                  <a:pt x="1266444" y="207264"/>
                </a:lnTo>
                <a:lnTo>
                  <a:pt x="1266444" y="411480"/>
                </a:lnTo>
                <a:lnTo>
                  <a:pt x="1769364" y="411480"/>
                </a:lnTo>
                <a:lnTo>
                  <a:pt x="1769364" y="207264"/>
                </a:lnTo>
                <a:close/>
              </a:path>
              <a:path w="6217920" h="2066925">
                <a:moveTo>
                  <a:pt x="1769364" y="0"/>
                </a:moveTo>
                <a:lnTo>
                  <a:pt x="1266444" y="0"/>
                </a:lnTo>
                <a:lnTo>
                  <a:pt x="1266444" y="204216"/>
                </a:lnTo>
                <a:lnTo>
                  <a:pt x="1769364" y="204216"/>
                </a:lnTo>
                <a:lnTo>
                  <a:pt x="1769364" y="0"/>
                </a:lnTo>
                <a:close/>
              </a:path>
              <a:path w="6217920" h="2066925">
                <a:moveTo>
                  <a:pt x="2406396" y="1862328"/>
                </a:moveTo>
                <a:lnTo>
                  <a:pt x="1772412" y="1862328"/>
                </a:lnTo>
                <a:lnTo>
                  <a:pt x="1772412" y="2066544"/>
                </a:lnTo>
                <a:lnTo>
                  <a:pt x="2406396" y="2066544"/>
                </a:lnTo>
                <a:lnTo>
                  <a:pt x="2406396" y="1862328"/>
                </a:lnTo>
                <a:close/>
              </a:path>
              <a:path w="6217920" h="2066925">
                <a:moveTo>
                  <a:pt x="2406396" y="1655064"/>
                </a:moveTo>
                <a:lnTo>
                  <a:pt x="1772412" y="1655064"/>
                </a:lnTo>
                <a:lnTo>
                  <a:pt x="1772412" y="1859280"/>
                </a:lnTo>
                <a:lnTo>
                  <a:pt x="2406396" y="1859280"/>
                </a:lnTo>
                <a:lnTo>
                  <a:pt x="2406396" y="1655064"/>
                </a:lnTo>
                <a:close/>
              </a:path>
              <a:path w="6217920" h="2066925">
                <a:moveTo>
                  <a:pt x="2406396" y="1449324"/>
                </a:moveTo>
                <a:lnTo>
                  <a:pt x="1772412" y="1449324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9324"/>
                </a:lnTo>
                <a:close/>
              </a:path>
              <a:path w="6217920" h="2066925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2066925">
                <a:moveTo>
                  <a:pt x="2406396" y="1034796"/>
                </a:moveTo>
                <a:lnTo>
                  <a:pt x="1772412" y="1034796"/>
                </a:lnTo>
                <a:lnTo>
                  <a:pt x="1772412" y="1239012"/>
                </a:lnTo>
                <a:lnTo>
                  <a:pt x="2406396" y="1239012"/>
                </a:lnTo>
                <a:lnTo>
                  <a:pt x="2406396" y="1034796"/>
                </a:lnTo>
                <a:close/>
              </a:path>
              <a:path w="6217920" h="2066925">
                <a:moveTo>
                  <a:pt x="2406396" y="827532"/>
                </a:moveTo>
                <a:lnTo>
                  <a:pt x="1772412" y="827532"/>
                </a:lnTo>
                <a:lnTo>
                  <a:pt x="1772412" y="1031748"/>
                </a:lnTo>
                <a:lnTo>
                  <a:pt x="2406396" y="1031748"/>
                </a:lnTo>
                <a:lnTo>
                  <a:pt x="2406396" y="827532"/>
                </a:lnTo>
                <a:close/>
              </a:path>
              <a:path w="6217920" h="2066925">
                <a:moveTo>
                  <a:pt x="2406396" y="621792"/>
                </a:moveTo>
                <a:lnTo>
                  <a:pt x="1772412" y="621792"/>
                </a:lnTo>
                <a:lnTo>
                  <a:pt x="1772412" y="824484"/>
                </a:lnTo>
                <a:lnTo>
                  <a:pt x="2406396" y="824484"/>
                </a:lnTo>
                <a:lnTo>
                  <a:pt x="2406396" y="621792"/>
                </a:lnTo>
                <a:close/>
              </a:path>
              <a:path w="6217920" h="2066925">
                <a:moveTo>
                  <a:pt x="2406396" y="414528"/>
                </a:moveTo>
                <a:lnTo>
                  <a:pt x="1772412" y="414528"/>
                </a:lnTo>
                <a:lnTo>
                  <a:pt x="1772412" y="618744"/>
                </a:lnTo>
                <a:lnTo>
                  <a:pt x="2406396" y="618744"/>
                </a:lnTo>
                <a:lnTo>
                  <a:pt x="2406396" y="414528"/>
                </a:lnTo>
                <a:close/>
              </a:path>
              <a:path w="6217920" h="2066925">
                <a:moveTo>
                  <a:pt x="2406396" y="207264"/>
                </a:moveTo>
                <a:lnTo>
                  <a:pt x="1772412" y="207264"/>
                </a:lnTo>
                <a:lnTo>
                  <a:pt x="1772412" y="411480"/>
                </a:lnTo>
                <a:lnTo>
                  <a:pt x="2406396" y="411480"/>
                </a:lnTo>
                <a:lnTo>
                  <a:pt x="2406396" y="207264"/>
                </a:lnTo>
                <a:close/>
              </a:path>
              <a:path w="6217920" h="2066925">
                <a:moveTo>
                  <a:pt x="2406396" y="0"/>
                </a:moveTo>
                <a:lnTo>
                  <a:pt x="1772412" y="0"/>
                </a:lnTo>
                <a:lnTo>
                  <a:pt x="1772412" y="204216"/>
                </a:lnTo>
                <a:lnTo>
                  <a:pt x="2406396" y="204216"/>
                </a:lnTo>
                <a:lnTo>
                  <a:pt x="2406396" y="0"/>
                </a:lnTo>
                <a:close/>
              </a:path>
              <a:path w="6217920" h="2066925">
                <a:moveTo>
                  <a:pt x="3169920" y="1862328"/>
                </a:moveTo>
                <a:lnTo>
                  <a:pt x="2409444" y="1862328"/>
                </a:lnTo>
                <a:lnTo>
                  <a:pt x="2409444" y="2066544"/>
                </a:lnTo>
                <a:lnTo>
                  <a:pt x="3169920" y="2066544"/>
                </a:lnTo>
                <a:lnTo>
                  <a:pt x="3169920" y="1862328"/>
                </a:lnTo>
                <a:close/>
              </a:path>
              <a:path w="6217920" h="2066925">
                <a:moveTo>
                  <a:pt x="3169920" y="1655064"/>
                </a:moveTo>
                <a:lnTo>
                  <a:pt x="2409444" y="1655064"/>
                </a:lnTo>
                <a:lnTo>
                  <a:pt x="2409444" y="1859280"/>
                </a:lnTo>
                <a:lnTo>
                  <a:pt x="3169920" y="1859280"/>
                </a:lnTo>
                <a:lnTo>
                  <a:pt x="3169920" y="1655064"/>
                </a:lnTo>
                <a:close/>
              </a:path>
              <a:path w="6217920" h="2066925">
                <a:moveTo>
                  <a:pt x="3169920" y="1449324"/>
                </a:moveTo>
                <a:lnTo>
                  <a:pt x="2409444" y="1449324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9324"/>
                </a:lnTo>
                <a:close/>
              </a:path>
              <a:path w="6217920" h="2066925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2066925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2066925">
                <a:moveTo>
                  <a:pt x="3169920" y="827532"/>
                </a:moveTo>
                <a:lnTo>
                  <a:pt x="2409444" y="827532"/>
                </a:lnTo>
                <a:lnTo>
                  <a:pt x="2409444" y="1031748"/>
                </a:lnTo>
                <a:lnTo>
                  <a:pt x="3169920" y="1031748"/>
                </a:lnTo>
                <a:lnTo>
                  <a:pt x="3169920" y="827532"/>
                </a:lnTo>
                <a:close/>
              </a:path>
              <a:path w="6217920" h="2066925">
                <a:moveTo>
                  <a:pt x="3169920" y="621792"/>
                </a:moveTo>
                <a:lnTo>
                  <a:pt x="2409444" y="621792"/>
                </a:lnTo>
                <a:lnTo>
                  <a:pt x="2409444" y="824484"/>
                </a:lnTo>
                <a:lnTo>
                  <a:pt x="3169920" y="824484"/>
                </a:lnTo>
                <a:lnTo>
                  <a:pt x="3169920" y="621792"/>
                </a:lnTo>
                <a:close/>
              </a:path>
              <a:path w="6217920" h="2066925">
                <a:moveTo>
                  <a:pt x="3169920" y="414528"/>
                </a:moveTo>
                <a:lnTo>
                  <a:pt x="2409444" y="414528"/>
                </a:lnTo>
                <a:lnTo>
                  <a:pt x="2409444" y="618744"/>
                </a:lnTo>
                <a:lnTo>
                  <a:pt x="3169920" y="618744"/>
                </a:lnTo>
                <a:lnTo>
                  <a:pt x="3169920" y="414528"/>
                </a:lnTo>
                <a:close/>
              </a:path>
              <a:path w="6217920" h="2066925">
                <a:moveTo>
                  <a:pt x="3169920" y="207264"/>
                </a:moveTo>
                <a:lnTo>
                  <a:pt x="2409444" y="207264"/>
                </a:lnTo>
                <a:lnTo>
                  <a:pt x="2409444" y="411480"/>
                </a:lnTo>
                <a:lnTo>
                  <a:pt x="3169920" y="411480"/>
                </a:lnTo>
                <a:lnTo>
                  <a:pt x="3169920" y="207264"/>
                </a:lnTo>
                <a:close/>
              </a:path>
              <a:path w="6217920" h="2066925">
                <a:moveTo>
                  <a:pt x="3169920" y="0"/>
                </a:moveTo>
                <a:lnTo>
                  <a:pt x="2409444" y="0"/>
                </a:lnTo>
                <a:lnTo>
                  <a:pt x="2409444" y="204216"/>
                </a:lnTo>
                <a:lnTo>
                  <a:pt x="3169920" y="204216"/>
                </a:lnTo>
                <a:lnTo>
                  <a:pt x="3169920" y="0"/>
                </a:lnTo>
                <a:close/>
              </a:path>
              <a:path w="6217920" h="2066925">
                <a:moveTo>
                  <a:pt x="3931920" y="1862328"/>
                </a:moveTo>
                <a:lnTo>
                  <a:pt x="3172968" y="1862328"/>
                </a:lnTo>
                <a:lnTo>
                  <a:pt x="3172968" y="2066544"/>
                </a:lnTo>
                <a:lnTo>
                  <a:pt x="3931920" y="2066544"/>
                </a:lnTo>
                <a:lnTo>
                  <a:pt x="3931920" y="1862328"/>
                </a:lnTo>
                <a:close/>
              </a:path>
              <a:path w="6217920" h="2066925">
                <a:moveTo>
                  <a:pt x="3931920" y="1655064"/>
                </a:moveTo>
                <a:lnTo>
                  <a:pt x="3172968" y="1655064"/>
                </a:lnTo>
                <a:lnTo>
                  <a:pt x="3172968" y="1859280"/>
                </a:lnTo>
                <a:lnTo>
                  <a:pt x="3931920" y="1859280"/>
                </a:lnTo>
                <a:lnTo>
                  <a:pt x="3931920" y="1655064"/>
                </a:lnTo>
                <a:close/>
              </a:path>
              <a:path w="6217920" h="2066925">
                <a:moveTo>
                  <a:pt x="3931920" y="1449324"/>
                </a:moveTo>
                <a:lnTo>
                  <a:pt x="3172968" y="1449324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9324"/>
                </a:lnTo>
                <a:close/>
              </a:path>
              <a:path w="6217920" h="2066925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2066925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2066925">
                <a:moveTo>
                  <a:pt x="3931920" y="827532"/>
                </a:moveTo>
                <a:lnTo>
                  <a:pt x="3172968" y="827532"/>
                </a:lnTo>
                <a:lnTo>
                  <a:pt x="3172968" y="1031748"/>
                </a:lnTo>
                <a:lnTo>
                  <a:pt x="3931920" y="1031748"/>
                </a:lnTo>
                <a:lnTo>
                  <a:pt x="3931920" y="827532"/>
                </a:lnTo>
                <a:close/>
              </a:path>
              <a:path w="6217920" h="2066925">
                <a:moveTo>
                  <a:pt x="3931920" y="621792"/>
                </a:moveTo>
                <a:lnTo>
                  <a:pt x="3172968" y="621792"/>
                </a:lnTo>
                <a:lnTo>
                  <a:pt x="3172968" y="824484"/>
                </a:lnTo>
                <a:lnTo>
                  <a:pt x="3931920" y="824484"/>
                </a:lnTo>
                <a:lnTo>
                  <a:pt x="3931920" y="621792"/>
                </a:lnTo>
                <a:close/>
              </a:path>
              <a:path w="6217920" h="2066925">
                <a:moveTo>
                  <a:pt x="3931920" y="414528"/>
                </a:moveTo>
                <a:lnTo>
                  <a:pt x="3172968" y="414528"/>
                </a:lnTo>
                <a:lnTo>
                  <a:pt x="3172968" y="618744"/>
                </a:lnTo>
                <a:lnTo>
                  <a:pt x="3931920" y="618744"/>
                </a:lnTo>
                <a:lnTo>
                  <a:pt x="3931920" y="414528"/>
                </a:lnTo>
                <a:close/>
              </a:path>
              <a:path w="6217920" h="2066925">
                <a:moveTo>
                  <a:pt x="3931920" y="207264"/>
                </a:moveTo>
                <a:lnTo>
                  <a:pt x="3172968" y="207264"/>
                </a:lnTo>
                <a:lnTo>
                  <a:pt x="3172968" y="411480"/>
                </a:lnTo>
                <a:lnTo>
                  <a:pt x="3931920" y="411480"/>
                </a:lnTo>
                <a:lnTo>
                  <a:pt x="3931920" y="207264"/>
                </a:lnTo>
                <a:close/>
              </a:path>
              <a:path w="6217920" h="2066925">
                <a:moveTo>
                  <a:pt x="3931920" y="0"/>
                </a:moveTo>
                <a:lnTo>
                  <a:pt x="3172968" y="0"/>
                </a:lnTo>
                <a:lnTo>
                  <a:pt x="3172968" y="204216"/>
                </a:lnTo>
                <a:lnTo>
                  <a:pt x="3931920" y="204216"/>
                </a:lnTo>
                <a:lnTo>
                  <a:pt x="3931920" y="0"/>
                </a:lnTo>
                <a:close/>
              </a:path>
              <a:path w="6217920" h="2066925">
                <a:moveTo>
                  <a:pt x="4693907" y="1862328"/>
                </a:moveTo>
                <a:lnTo>
                  <a:pt x="3934968" y="1862328"/>
                </a:lnTo>
                <a:lnTo>
                  <a:pt x="3934968" y="2066544"/>
                </a:lnTo>
                <a:lnTo>
                  <a:pt x="4693907" y="2066544"/>
                </a:lnTo>
                <a:lnTo>
                  <a:pt x="4693907" y="1862328"/>
                </a:lnTo>
                <a:close/>
              </a:path>
              <a:path w="6217920" h="2066925">
                <a:moveTo>
                  <a:pt x="4693907" y="1655064"/>
                </a:moveTo>
                <a:lnTo>
                  <a:pt x="3934968" y="1655064"/>
                </a:lnTo>
                <a:lnTo>
                  <a:pt x="3934968" y="1859280"/>
                </a:lnTo>
                <a:lnTo>
                  <a:pt x="4693907" y="1859280"/>
                </a:lnTo>
                <a:lnTo>
                  <a:pt x="4693907" y="1655064"/>
                </a:lnTo>
                <a:close/>
              </a:path>
              <a:path w="6217920" h="2066925">
                <a:moveTo>
                  <a:pt x="4693907" y="1449324"/>
                </a:moveTo>
                <a:lnTo>
                  <a:pt x="3934968" y="1449324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9324"/>
                </a:lnTo>
                <a:close/>
              </a:path>
              <a:path w="6217920" h="2066925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2066925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2066925">
                <a:moveTo>
                  <a:pt x="4693907" y="827532"/>
                </a:moveTo>
                <a:lnTo>
                  <a:pt x="3934968" y="827532"/>
                </a:lnTo>
                <a:lnTo>
                  <a:pt x="3934968" y="1031748"/>
                </a:lnTo>
                <a:lnTo>
                  <a:pt x="4693907" y="1031748"/>
                </a:lnTo>
                <a:lnTo>
                  <a:pt x="4693907" y="827532"/>
                </a:lnTo>
                <a:close/>
              </a:path>
              <a:path w="6217920" h="2066925">
                <a:moveTo>
                  <a:pt x="4693907" y="621792"/>
                </a:moveTo>
                <a:lnTo>
                  <a:pt x="3934968" y="621792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1792"/>
                </a:lnTo>
                <a:close/>
              </a:path>
              <a:path w="6217920" h="2066925">
                <a:moveTo>
                  <a:pt x="4693907" y="414528"/>
                </a:moveTo>
                <a:lnTo>
                  <a:pt x="3934968" y="414528"/>
                </a:lnTo>
                <a:lnTo>
                  <a:pt x="3934968" y="618744"/>
                </a:lnTo>
                <a:lnTo>
                  <a:pt x="4693907" y="618744"/>
                </a:lnTo>
                <a:lnTo>
                  <a:pt x="4693907" y="414528"/>
                </a:lnTo>
                <a:close/>
              </a:path>
              <a:path w="6217920" h="2066925">
                <a:moveTo>
                  <a:pt x="4693907" y="207264"/>
                </a:moveTo>
                <a:lnTo>
                  <a:pt x="3934968" y="207264"/>
                </a:lnTo>
                <a:lnTo>
                  <a:pt x="3934968" y="411480"/>
                </a:lnTo>
                <a:lnTo>
                  <a:pt x="4693907" y="411480"/>
                </a:lnTo>
                <a:lnTo>
                  <a:pt x="4693907" y="207264"/>
                </a:lnTo>
                <a:close/>
              </a:path>
              <a:path w="6217920" h="2066925">
                <a:moveTo>
                  <a:pt x="4693907" y="0"/>
                </a:moveTo>
                <a:lnTo>
                  <a:pt x="3934968" y="0"/>
                </a:lnTo>
                <a:lnTo>
                  <a:pt x="3934968" y="204216"/>
                </a:lnTo>
                <a:lnTo>
                  <a:pt x="4693907" y="204216"/>
                </a:lnTo>
                <a:lnTo>
                  <a:pt x="4693907" y="0"/>
                </a:lnTo>
                <a:close/>
              </a:path>
              <a:path w="6217920" h="2066925">
                <a:moveTo>
                  <a:pt x="5455920" y="1862328"/>
                </a:moveTo>
                <a:lnTo>
                  <a:pt x="4696968" y="1862328"/>
                </a:lnTo>
                <a:lnTo>
                  <a:pt x="4696968" y="2066544"/>
                </a:lnTo>
                <a:lnTo>
                  <a:pt x="5455920" y="2066544"/>
                </a:lnTo>
                <a:lnTo>
                  <a:pt x="5455920" y="1862328"/>
                </a:lnTo>
                <a:close/>
              </a:path>
              <a:path w="6217920" h="2066925">
                <a:moveTo>
                  <a:pt x="5455920" y="1655064"/>
                </a:moveTo>
                <a:lnTo>
                  <a:pt x="4696968" y="1655064"/>
                </a:lnTo>
                <a:lnTo>
                  <a:pt x="4696968" y="1859280"/>
                </a:lnTo>
                <a:lnTo>
                  <a:pt x="5455920" y="1859280"/>
                </a:lnTo>
                <a:lnTo>
                  <a:pt x="5455920" y="1655064"/>
                </a:lnTo>
                <a:close/>
              </a:path>
              <a:path w="6217920" h="2066925">
                <a:moveTo>
                  <a:pt x="5455920" y="1449324"/>
                </a:moveTo>
                <a:lnTo>
                  <a:pt x="4696968" y="1449324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9324"/>
                </a:lnTo>
                <a:close/>
              </a:path>
              <a:path w="6217920" h="2066925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2066925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2066925">
                <a:moveTo>
                  <a:pt x="5455920" y="827532"/>
                </a:moveTo>
                <a:lnTo>
                  <a:pt x="4696968" y="827532"/>
                </a:lnTo>
                <a:lnTo>
                  <a:pt x="4696968" y="1031748"/>
                </a:lnTo>
                <a:lnTo>
                  <a:pt x="5455920" y="1031748"/>
                </a:lnTo>
                <a:lnTo>
                  <a:pt x="5455920" y="827532"/>
                </a:lnTo>
                <a:close/>
              </a:path>
              <a:path w="6217920" h="2066925">
                <a:moveTo>
                  <a:pt x="5455920" y="621792"/>
                </a:moveTo>
                <a:lnTo>
                  <a:pt x="4696968" y="621792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1792"/>
                </a:lnTo>
                <a:close/>
              </a:path>
              <a:path w="6217920" h="2066925">
                <a:moveTo>
                  <a:pt x="5455920" y="414528"/>
                </a:moveTo>
                <a:lnTo>
                  <a:pt x="4696968" y="414528"/>
                </a:lnTo>
                <a:lnTo>
                  <a:pt x="4696968" y="618744"/>
                </a:lnTo>
                <a:lnTo>
                  <a:pt x="5455920" y="618744"/>
                </a:lnTo>
                <a:lnTo>
                  <a:pt x="5455920" y="414528"/>
                </a:lnTo>
                <a:close/>
              </a:path>
              <a:path w="6217920" h="2066925">
                <a:moveTo>
                  <a:pt x="5455920" y="207264"/>
                </a:moveTo>
                <a:lnTo>
                  <a:pt x="4696968" y="207264"/>
                </a:lnTo>
                <a:lnTo>
                  <a:pt x="4696968" y="411480"/>
                </a:lnTo>
                <a:lnTo>
                  <a:pt x="5455920" y="411480"/>
                </a:lnTo>
                <a:lnTo>
                  <a:pt x="5455920" y="207264"/>
                </a:lnTo>
                <a:close/>
              </a:path>
              <a:path w="6217920" h="2066925">
                <a:moveTo>
                  <a:pt x="5455920" y="0"/>
                </a:moveTo>
                <a:lnTo>
                  <a:pt x="4696968" y="0"/>
                </a:lnTo>
                <a:lnTo>
                  <a:pt x="4696968" y="204216"/>
                </a:lnTo>
                <a:lnTo>
                  <a:pt x="5455920" y="204216"/>
                </a:lnTo>
                <a:lnTo>
                  <a:pt x="5455920" y="0"/>
                </a:lnTo>
                <a:close/>
              </a:path>
              <a:path w="6217920" h="2066925">
                <a:moveTo>
                  <a:pt x="6217920" y="1862328"/>
                </a:moveTo>
                <a:lnTo>
                  <a:pt x="5458968" y="1862328"/>
                </a:lnTo>
                <a:lnTo>
                  <a:pt x="5458968" y="2066544"/>
                </a:lnTo>
                <a:lnTo>
                  <a:pt x="6217920" y="2066544"/>
                </a:lnTo>
                <a:lnTo>
                  <a:pt x="6217920" y="1862328"/>
                </a:lnTo>
                <a:close/>
              </a:path>
              <a:path w="6217920" h="2066925">
                <a:moveTo>
                  <a:pt x="6217920" y="1655064"/>
                </a:moveTo>
                <a:lnTo>
                  <a:pt x="5458968" y="1655064"/>
                </a:lnTo>
                <a:lnTo>
                  <a:pt x="5458968" y="1859280"/>
                </a:lnTo>
                <a:lnTo>
                  <a:pt x="6217920" y="1859280"/>
                </a:lnTo>
                <a:lnTo>
                  <a:pt x="6217920" y="1655064"/>
                </a:lnTo>
                <a:close/>
              </a:path>
              <a:path w="6217920" h="2066925">
                <a:moveTo>
                  <a:pt x="6217920" y="1449324"/>
                </a:moveTo>
                <a:lnTo>
                  <a:pt x="5458968" y="1449324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9324"/>
                </a:lnTo>
                <a:close/>
              </a:path>
              <a:path w="6217920" h="2066925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2066925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  <a:path w="6217920" h="2066925">
                <a:moveTo>
                  <a:pt x="6217920" y="827532"/>
                </a:moveTo>
                <a:lnTo>
                  <a:pt x="5458968" y="827532"/>
                </a:lnTo>
                <a:lnTo>
                  <a:pt x="5458968" y="1031748"/>
                </a:lnTo>
                <a:lnTo>
                  <a:pt x="6217920" y="1031748"/>
                </a:lnTo>
                <a:lnTo>
                  <a:pt x="6217920" y="827532"/>
                </a:lnTo>
                <a:close/>
              </a:path>
              <a:path w="6217920" h="2066925">
                <a:moveTo>
                  <a:pt x="6217920" y="621792"/>
                </a:moveTo>
                <a:lnTo>
                  <a:pt x="5458968" y="621792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1792"/>
                </a:lnTo>
                <a:close/>
              </a:path>
              <a:path w="6217920" h="2066925">
                <a:moveTo>
                  <a:pt x="6217920" y="414528"/>
                </a:moveTo>
                <a:lnTo>
                  <a:pt x="5458968" y="414528"/>
                </a:lnTo>
                <a:lnTo>
                  <a:pt x="5458968" y="618744"/>
                </a:lnTo>
                <a:lnTo>
                  <a:pt x="6217920" y="618744"/>
                </a:lnTo>
                <a:lnTo>
                  <a:pt x="6217920" y="414528"/>
                </a:lnTo>
                <a:close/>
              </a:path>
              <a:path w="6217920" h="2066925">
                <a:moveTo>
                  <a:pt x="6217920" y="207264"/>
                </a:moveTo>
                <a:lnTo>
                  <a:pt x="5458968" y="207264"/>
                </a:lnTo>
                <a:lnTo>
                  <a:pt x="5458968" y="411480"/>
                </a:lnTo>
                <a:lnTo>
                  <a:pt x="6217920" y="411480"/>
                </a:lnTo>
                <a:lnTo>
                  <a:pt x="6217920" y="207264"/>
                </a:lnTo>
                <a:close/>
              </a:path>
              <a:path w="6217920" h="2066925">
                <a:moveTo>
                  <a:pt x="6217920" y="0"/>
                </a:moveTo>
                <a:lnTo>
                  <a:pt x="5458968" y="0"/>
                </a:lnTo>
                <a:lnTo>
                  <a:pt x="5458968" y="204216"/>
                </a:lnTo>
                <a:lnTo>
                  <a:pt x="6217920" y="204216"/>
                </a:lnTo>
                <a:lnTo>
                  <a:pt x="621792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700-000054000000}"/>
              </a:ext>
            </a:extLst>
          </xdr:cNvPr>
          <xdr:cNvSpPr/>
        </xdr:nvSpPr>
        <xdr:spPr>
          <a:xfrm>
            <a:off x="0" y="0"/>
            <a:ext cx="7486015" cy="3929379"/>
          </a:xfrm>
          <a:custGeom>
            <a:avLst/>
            <a:gdLst/>
            <a:ahLst/>
            <a:cxnLst/>
            <a:rect l="0" t="0" r="0" b="0"/>
            <a:pathLst>
              <a:path w="7486015" h="3929379">
                <a:moveTo>
                  <a:pt x="312420" y="3104388"/>
                </a:moveTo>
                <a:lnTo>
                  <a:pt x="0" y="3104388"/>
                </a:lnTo>
                <a:lnTo>
                  <a:pt x="0" y="3928872"/>
                </a:lnTo>
                <a:lnTo>
                  <a:pt x="312420" y="3928872"/>
                </a:lnTo>
                <a:lnTo>
                  <a:pt x="312420" y="3104388"/>
                </a:lnTo>
                <a:close/>
              </a:path>
              <a:path w="7486015" h="3929379">
                <a:moveTo>
                  <a:pt x="312420" y="2689860"/>
                </a:moveTo>
                <a:lnTo>
                  <a:pt x="0" y="2689860"/>
                </a:lnTo>
                <a:lnTo>
                  <a:pt x="0" y="3101340"/>
                </a:lnTo>
                <a:lnTo>
                  <a:pt x="312420" y="3101340"/>
                </a:lnTo>
                <a:lnTo>
                  <a:pt x="312420" y="2689860"/>
                </a:lnTo>
                <a:close/>
              </a:path>
              <a:path w="7486015" h="3929379">
                <a:moveTo>
                  <a:pt x="312420" y="0"/>
                </a:moveTo>
                <a:lnTo>
                  <a:pt x="0" y="0"/>
                </a:lnTo>
                <a:lnTo>
                  <a:pt x="0" y="2686812"/>
                </a:lnTo>
                <a:lnTo>
                  <a:pt x="312420" y="2686812"/>
                </a:lnTo>
                <a:lnTo>
                  <a:pt x="312420" y="0"/>
                </a:lnTo>
                <a:close/>
              </a:path>
              <a:path w="7486015" h="3929379">
                <a:moveTo>
                  <a:pt x="1264920" y="3104388"/>
                </a:moveTo>
                <a:lnTo>
                  <a:pt x="315468" y="3104388"/>
                </a:lnTo>
                <a:lnTo>
                  <a:pt x="315468" y="3928872"/>
                </a:lnTo>
                <a:lnTo>
                  <a:pt x="1264920" y="3928872"/>
                </a:lnTo>
                <a:lnTo>
                  <a:pt x="1264920" y="3104388"/>
                </a:lnTo>
                <a:close/>
              </a:path>
              <a:path w="7486015" h="3929379">
                <a:moveTo>
                  <a:pt x="1264920" y="2689860"/>
                </a:moveTo>
                <a:lnTo>
                  <a:pt x="315468" y="2689860"/>
                </a:lnTo>
                <a:lnTo>
                  <a:pt x="315468" y="3101340"/>
                </a:lnTo>
                <a:lnTo>
                  <a:pt x="1264920" y="3101340"/>
                </a:lnTo>
                <a:lnTo>
                  <a:pt x="1264920" y="2689860"/>
                </a:lnTo>
                <a:close/>
              </a:path>
              <a:path w="7486015" h="3929379">
                <a:moveTo>
                  <a:pt x="1264920" y="0"/>
                </a:moveTo>
                <a:lnTo>
                  <a:pt x="315468" y="0"/>
                </a:lnTo>
                <a:lnTo>
                  <a:pt x="315468" y="2686812"/>
                </a:lnTo>
                <a:lnTo>
                  <a:pt x="1264920" y="2686812"/>
                </a:lnTo>
                <a:lnTo>
                  <a:pt x="1264920" y="0"/>
                </a:lnTo>
                <a:close/>
              </a:path>
              <a:path w="7486015" h="3929379">
                <a:moveTo>
                  <a:pt x="2531364" y="3104388"/>
                </a:moveTo>
                <a:lnTo>
                  <a:pt x="1267968" y="3104388"/>
                </a:lnTo>
                <a:lnTo>
                  <a:pt x="1267968" y="3928872"/>
                </a:lnTo>
                <a:lnTo>
                  <a:pt x="2531364" y="3928872"/>
                </a:lnTo>
                <a:lnTo>
                  <a:pt x="2531364" y="3104388"/>
                </a:lnTo>
                <a:close/>
              </a:path>
              <a:path w="7486015" h="3929379">
                <a:moveTo>
                  <a:pt x="2531364" y="2689860"/>
                </a:moveTo>
                <a:lnTo>
                  <a:pt x="1267968" y="2689860"/>
                </a:lnTo>
                <a:lnTo>
                  <a:pt x="1267968" y="3101340"/>
                </a:lnTo>
                <a:lnTo>
                  <a:pt x="2531364" y="3101340"/>
                </a:lnTo>
                <a:lnTo>
                  <a:pt x="2531364" y="2689860"/>
                </a:lnTo>
                <a:close/>
              </a:path>
              <a:path w="7486015" h="3929379">
                <a:moveTo>
                  <a:pt x="2531364" y="1449324"/>
                </a:moveTo>
                <a:lnTo>
                  <a:pt x="1267968" y="1449324"/>
                </a:lnTo>
                <a:lnTo>
                  <a:pt x="1267968" y="2686812"/>
                </a:lnTo>
                <a:lnTo>
                  <a:pt x="2531364" y="2686812"/>
                </a:lnTo>
                <a:lnTo>
                  <a:pt x="2531364" y="1449324"/>
                </a:lnTo>
                <a:close/>
              </a:path>
              <a:path w="7486015" h="3929379">
                <a:moveTo>
                  <a:pt x="3037332" y="3724656"/>
                </a:moveTo>
                <a:lnTo>
                  <a:pt x="2534412" y="3724656"/>
                </a:lnTo>
                <a:lnTo>
                  <a:pt x="2534412" y="3928872"/>
                </a:lnTo>
                <a:lnTo>
                  <a:pt x="3037332" y="3928872"/>
                </a:lnTo>
                <a:lnTo>
                  <a:pt x="3037332" y="3724656"/>
                </a:lnTo>
                <a:close/>
              </a:path>
              <a:path w="7486015" h="3929379">
                <a:moveTo>
                  <a:pt x="3037332" y="3517392"/>
                </a:moveTo>
                <a:lnTo>
                  <a:pt x="2534412" y="3517392"/>
                </a:lnTo>
                <a:lnTo>
                  <a:pt x="2534412" y="3721608"/>
                </a:lnTo>
                <a:lnTo>
                  <a:pt x="3037332" y="3721608"/>
                </a:lnTo>
                <a:lnTo>
                  <a:pt x="3037332" y="3517392"/>
                </a:lnTo>
                <a:close/>
              </a:path>
              <a:path w="7486015" h="3929379">
                <a:moveTo>
                  <a:pt x="3037332" y="3311652"/>
                </a:moveTo>
                <a:lnTo>
                  <a:pt x="2534412" y="3311652"/>
                </a:lnTo>
                <a:lnTo>
                  <a:pt x="2534412" y="3514344"/>
                </a:lnTo>
                <a:lnTo>
                  <a:pt x="3037332" y="3514344"/>
                </a:lnTo>
                <a:lnTo>
                  <a:pt x="3037332" y="3311652"/>
                </a:lnTo>
                <a:close/>
              </a:path>
              <a:path w="7486015" h="3929379">
                <a:moveTo>
                  <a:pt x="3037332" y="3104388"/>
                </a:moveTo>
                <a:lnTo>
                  <a:pt x="2534412" y="3104388"/>
                </a:lnTo>
                <a:lnTo>
                  <a:pt x="2534412" y="3308604"/>
                </a:lnTo>
                <a:lnTo>
                  <a:pt x="3037332" y="3308604"/>
                </a:lnTo>
                <a:lnTo>
                  <a:pt x="3037332" y="3104388"/>
                </a:lnTo>
                <a:close/>
              </a:path>
              <a:path w="7486015" h="3929379">
                <a:moveTo>
                  <a:pt x="3037332" y="2897124"/>
                </a:moveTo>
                <a:lnTo>
                  <a:pt x="2534412" y="2897124"/>
                </a:lnTo>
                <a:lnTo>
                  <a:pt x="2534412" y="3101340"/>
                </a:lnTo>
                <a:lnTo>
                  <a:pt x="3037332" y="3101340"/>
                </a:lnTo>
                <a:lnTo>
                  <a:pt x="3037332" y="2897124"/>
                </a:lnTo>
                <a:close/>
              </a:path>
              <a:path w="7486015" h="3929379">
                <a:moveTo>
                  <a:pt x="3037332" y="2689860"/>
                </a:moveTo>
                <a:lnTo>
                  <a:pt x="2534412" y="2689860"/>
                </a:lnTo>
                <a:lnTo>
                  <a:pt x="2534412" y="2894076"/>
                </a:lnTo>
                <a:lnTo>
                  <a:pt x="3037332" y="2894076"/>
                </a:lnTo>
                <a:lnTo>
                  <a:pt x="3037332" y="2689860"/>
                </a:lnTo>
                <a:close/>
              </a:path>
              <a:path w="7486015" h="3929379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3929379">
                <a:moveTo>
                  <a:pt x="3037332" y="2276856"/>
                </a:moveTo>
                <a:lnTo>
                  <a:pt x="2534412" y="2276856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6856"/>
                </a:lnTo>
                <a:close/>
              </a:path>
              <a:path w="7486015" h="3929379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3929379">
                <a:moveTo>
                  <a:pt x="3674364" y="3724656"/>
                </a:moveTo>
                <a:lnTo>
                  <a:pt x="3040380" y="3724656"/>
                </a:lnTo>
                <a:lnTo>
                  <a:pt x="3040380" y="3928872"/>
                </a:lnTo>
                <a:lnTo>
                  <a:pt x="3674364" y="3928872"/>
                </a:lnTo>
                <a:lnTo>
                  <a:pt x="3674364" y="3724656"/>
                </a:lnTo>
                <a:close/>
              </a:path>
              <a:path w="7486015" h="3929379">
                <a:moveTo>
                  <a:pt x="3674364" y="3517392"/>
                </a:moveTo>
                <a:lnTo>
                  <a:pt x="3040380" y="3517392"/>
                </a:lnTo>
                <a:lnTo>
                  <a:pt x="3040380" y="3721608"/>
                </a:lnTo>
                <a:lnTo>
                  <a:pt x="3674364" y="3721608"/>
                </a:lnTo>
                <a:lnTo>
                  <a:pt x="3674364" y="3517392"/>
                </a:lnTo>
                <a:close/>
              </a:path>
              <a:path w="7486015" h="3929379">
                <a:moveTo>
                  <a:pt x="3674364" y="3311652"/>
                </a:moveTo>
                <a:lnTo>
                  <a:pt x="3040380" y="3311652"/>
                </a:lnTo>
                <a:lnTo>
                  <a:pt x="3040380" y="3514344"/>
                </a:lnTo>
                <a:lnTo>
                  <a:pt x="3674364" y="3514344"/>
                </a:lnTo>
                <a:lnTo>
                  <a:pt x="3674364" y="3311652"/>
                </a:lnTo>
                <a:close/>
              </a:path>
              <a:path w="7486015" h="3929379">
                <a:moveTo>
                  <a:pt x="3674364" y="3104388"/>
                </a:moveTo>
                <a:lnTo>
                  <a:pt x="3040380" y="3104388"/>
                </a:lnTo>
                <a:lnTo>
                  <a:pt x="3040380" y="3308604"/>
                </a:lnTo>
                <a:lnTo>
                  <a:pt x="3674364" y="3308604"/>
                </a:lnTo>
                <a:lnTo>
                  <a:pt x="3674364" y="3104388"/>
                </a:lnTo>
                <a:close/>
              </a:path>
              <a:path w="7486015" h="3929379">
                <a:moveTo>
                  <a:pt x="3674364" y="2897124"/>
                </a:moveTo>
                <a:lnTo>
                  <a:pt x="3040380" y="2897124"/>
                </a:lnTo>
                <a:lnTo>
                  <a:pt x="3040380" y="3101340"/>
                </a:lnTo>
                <a:lnTo>
                  <a:pt x="3674364" y="3101340"/>
                </a:lnTo>
                <a:lnTo>
                  <a:pt x="3674364" y="2897124"/>
                </a:lnTo>
                <a:close/>
              </a:path>
              <a:path w="7486015" h="3929379">
                <a:moveTo>
                  <a:pt x="3674364" y="2689860"/>
                </a:moveTo>
                <a:lnTo>
                  <a:pt x="3040380" y="2689860"/>
                </a:lnTo>
                <a:lnTo>
                  <a:pt x="3040380" y="2894076"/>
                </a:lnTo>
                <a:lnTo>
                  <a:pt x="3674364" y="2894076"/>
                </a:lnTo>
                <a:lnTo>
                  <a:pt x="3674364" y="2689860"/>
                </a:lnTo>
                <a:close/>
              </a:path>
              <a:path w="7486015" h="3929379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3929379">
                <a:moveTo>
                  <a:pt x="3674364" y="2276856"/>
                </a:moveTo>
                <a:lnTo>
                  <a:pt x="3040380" y="2276856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6856"/>
                </a:lnTo>
                <a:close/>
              </a:path>
              <a:path w="7486015" h="3929379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3929379">
                <a:moveTo>
                  <a:pt x="4437888" y="3724656"/>
                </a:moveTo>
                <a:lnTo>
                  <a:pt x="3677412" y="3724656"/>
                </a:lnTo>
                <a:lnTo>
                  <a:pt x="3677412" y="3928872"/>
                </a:lnTo>
                <a:lnTo>
                  <a:pt x="4437888" y="3928872"/>
                </a:lnTo>
                <a:lnTo>
                  <a:pt x="4437888" y="3724656"/>
                </a:lnTo>
                <a:close/>
              </a:path>
              <a:path w="7486015" h="3929379">
                <a:moveTo>
                  <a:pt x="4437888" y="3517392"/>
                </a:moveTo>
                <a:lnTo>
                  <a:pt x="3677412" y="3517392"/>
                </a:lnTo>
                <a:lnTo>
                  <a:pt x="3677412" y="3721608"/>
                </a:lnTo>
                <a:lnTo>
                  <a:pt x="4437888" y="3721608"/>
                </a:lnTo>
                <a:lnTo>
                  <a:pt x="4437888" y="3517392"/>
                </a:lnTo>
                <a:close/>
              </a:path>
              <a:path w="7486015" h="3929379">
                <a:moveTo>
                  <a:pt x="4437888" y="3311652"/>
                </a:moveTo>
                <a:lnTo>
                  <a:pt x="3677412" y="3311652"/>
                </a:lnTo>
                <a:lnTo>
                  <a:pt x="3677412" y="3514344"/>
                </a:lnTo>
                <a:lnTo>
                  <a:pt x="4437888" y="3514344"/>
                </a:lnTo>
                <a:lnTo>
                  <a:pt x="4437888" y="3311652"/>
                </a:lnTo>
                <a:close/>
              </a:path>
              <a:path w="7486015" h="3929379">
                <a:moveTo>
                  <a:pt x="4437888" y="3104388"/>
                </a:moveTo>
                <a:lnTo>
                  <a:pt x="3677412" y="3104388"/>
                </a:lnTo>
                <a:lnTo>
                  <a:pt x="3677412" y="3308604"/>
                </a:lnTo>
                <a:lnTo>
                  <a:pt x="4437888" y="3308604"/>
                </a:lnTo>
                <a:lnTo>
                  <a:pt x="4437888" y="3104388"/>
                </a:lnTo>
                <a:close/>
              </a:path>
              <a:path w="7486015" h="3929379">
                <a:moveTo>
                  <a:pt x="4437888" y="2897124"/>
                </a:moveTo>
                <a:lnTo>
                  <a:pt x="3677412" y="2897124"/>
                </a:lnTo>
                <a:lnTo>
                  <a:pt x="3677412" y="3101340"/>
                </a:lnTo>
                <a:lnTo>
                  <a:pt x="4437888" y="3101340"/>
                </a:lnTo>
                <a:lnTo>
                  <a:pt x="4437888" y="2897124"/>
                </a:lnTo>
                <a:close/>
              </a:path>
              <a:path w="7486015" h="3929379">
                <a:moveTo>
                  <a:pt x="4437888" y="2689860"/>
                </a:moveTo>
                <a:lnTo>
                  <a:pt x="3677412" y="2689860"/>
                </a:lnTo>
                <a:lnTo>
                  <a:pt x="3677412" y="2894076"/>
                </a:lnTo>
                <a:lnTo>
                  <a:pt x="4437888" y="2894076"/>
                </a:lnTo>
                <a:lnTo>
                  <a:pt x="4437888" y="2689860"/>
                </a:lnTo>
                <a:close/>
              </a:path>
              <a:path w="7486015" h="3929379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3929379">
                <a:moveTo>
                  <a:pt x="4437888" y="2276856"/>
                </a:moveTo>
                <a:lnTo>
                  <a:pt x="3677412" y="2276856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6856"/>
                </a:lnTo>
                <a:close/>
              </a:path>
              <a:path w="7486015" h="3929379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3929379">
                <a:moveTo>
                  <a:pt x="5199888" y="3724656"/>
                </a:moveTo>
                <a:lnTo>
                  <a:pt x="4440936" y="3724656"/>
                </a:lnTo>
                <a:lnTo>
                  <a:pt x="4440936" y="3928872"/>
                </a:lnTo>
                <a:lnTo>
                  <a:pt x="5199888" y="3928872"/>
                </a:lnTo>
                <a:lnTo>
                  <a:pt x="5199888" y="3724656"/>
                </a:lnTo>
                <a:close/>
              </a:path>
              <a:path w="7486015" h="3929379">
                <a:moveTo>
                  <a:pt x="5199888" y="3517392"/>
                </a:moveTo>
                <a:lnTo>
                  <a:pt x="4440936" y="3517392"/>
                </a:lnTo>
                <a:lnTo>
                  <a:pt x="4440936" y="3721608"/>
                </a:lnTo>
                <a:lnTo>
                  <a:pt x="5199888" y="3721608"/>
                </a:lnTo>
                <a:lnTo>
                  <a:pt x="5199888" y="3517392"/>
                </a:lnTo>
                <a:close/>
              </a:path>
              <a:path w="7486015" h="3929379">
                <a:moveTo>
                  <a:pt x="5199888" y="3311652"/>
                </a:moveTo>
                <a:lnTo>
                  <a:pt x="4440936" y="3311652"/>
                </a:lnTo>
                <a:lnTo>
                  <a:pt x="4440936" y="3514344"/>
                </a:lnTo>
                <a:lnTo>
                  <a:pt x="5199888" y="3514344"/>
                </a:lnTo>
                <a:lnTo>
                  <a:pt x="5199888" y="3311652"/>
                </a:lnTo>
                <a:close/>
              </a:path>
              <a:path w="7486015" h="3929379">
                <a:moveTo>
                  <a:pt x="5199888" y="3104388"/>
                </a:moveTo>
                <a:lnTo>
                  <a:pt x="4440936" y="3104388"/>
                </a:lnTo>
                <a:lnTo>
                  <a:pt x="4440936" y="3308604"/>
                </a:lnTo>
                <a:lnTo>
                  <a:pt x="5199888" y="3308604"/>
                </a:lnTo>
                <a:lnTo>
                  <a:pt x="5199888" y="3104388"/>
                </a:lnTo>
                <a:close/>
              </a:path>
              <a:path w="7486015" h="3929379">
                <a:moveTo>
                  <a:pt x="5199888" y="2897124"/>
                </a:moveTo>
                <a:lnTo>
                  <a:pt x="4440936" y="2897124"/>
                </a:lnTo>
                <a:lnTo>
                  <a:pt x="4440936" y="3101340"/>
                </a:lnTo>
                <a:lnTo>
                  <a:pt x="5199888" y="3101340"/>
                </a:lnTo>
                <a:lnTo>
                  <a:pt x="5199888" y="2897124"/>
                </a:lnTo>
                <a:close/>
              </a:path>
              <a:path w="7486015" h="3929379">
                <a:moveTo>
                  <a:pt x="5199888" y="2689860"/>
                </a:moveTo>
                <a:lnTo>
                  <a:pt x="4440936" y="2689860"/>
                </a:lnTo>
                <a:lnTo>
                  <a:pt x="4440936" y="2894076"/>
                </a:lnTo>
                <a:lnTo>
                  <a:pt x="5199888" y="2894076"/>
                </a:lnTo>
                <a:lnTo>
                  <a:pt x="5199888" y="2689860"/>
                </a:lnTo>
                <a:close/>
              </a:path>
              <a:path w="7486015" h="3929379">
                <a:moveTo>
                  <a:pt x="5199888" y="2482596"/>
                </a:moveTo>
                <a:lnTo>
                  <a:pt x="4440936" y="2482596"/>
                </a:lnTo>
                <a:lnTo>
                  <a:pt x="4440936" y="2686812"/>
                </a:lnTo>
                <a:lnTo>
                  <a:pt x="5199888" y="2686812"/>
                </a:lnTo>
                <a:lnTo>
                  <a:pt x="5199888" y="2482596"/>
                </a:lnTo>
                <a:close/>
              </a:path>
              <a:path w="7486015" h="3929379">
                <a:moveTo>
                  <a:pt x="5199888" y="2276856"/>
                </a:moveTo>
                <a:lnTo>
                  <a:pt x="4440936" y="2276856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6856"/>
                </a:lnTo>
                <a:close/>
              </a:path>
              <a:path w="7486015" h="3929379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3929379">
                <a:moveTo>
                  <a:pt x="5961875" y="3724656"/>
                </a:moveTo>
                <a:lnTo>
                  <a:pt x="5202936" y="3724656"/>
                </a:lnTo>
                <a:lnTo>
                  <a:pt x="5202936" y="3928872"/>
                </a:lnTo>
                <a:lnTo>
                  <a:pt x="5961875" y="3928872"/>
                </a:lnTo>
                <a:lnTo>
                  <a:pt x="5961875" y="3724656"/>
                </a:lnTo>
                <a:close/>
              </a:path>
              <a:path w="7486015" h="3929379">
                <a:moveTo>
                  <a:pt x="5961875" y="3517392"/>
                </a:moveTo>
                <a:lnTo>
                  <a:pt x="5202936" y="3517392"/>
                </a:lnTo>
                <a:lnTo>
                  <a:pt x="5202936" y="3721608"/>
                </a:lnTo>
                <a:lnTo>
                  <a:pt x="5961875" y="3721608"/>
                </a:lnTo>
                <a:lnTo>
                  <a:pt x="5961875" y="3517392"/>
                </a:lnTo>
                <a:close/>
              </a:path>
              <a:path w="7486015" h="3929379">
                <a:moveTo>
                  <a:pt x="5961875" y="3311652"/>
                </a:moveTo>
                <a:lnTo>
                  <a:pt x="5202936" y="3311652"/>
                </a:lnTo>
                <a:lnTo>
                  <a:pt x="5202936" y="3514344"/>
                </a:lnTo>
                <a:lnTo>
                  <a:pt x="5961875" y="3514344"/>
                </a:lnTo>
                <a:lnTo>
                  <a:pt x="5961875" y="3311652"/>
                </a:lnTo>
                <a:close/>
              </a:path>
              <a:path w="7486015" h="3929379">
                <a:moveTo>
                  <a:pt x="5961875" y="3104388"/>
                </a:moveTo>
                <a:lnTo>
                  <a:pt x="5202936" y="3104388"/>
                </a:lnTo>
                <a:lnTo>
                  <a:pt x="5202936" y="3308604"/>
                </a:lnTo>
                <a:lnTo>
                  <a:pt x="5961875" y="3308604"/>
                </a:lnTo>
                <a:lnTo>
                  <a:pt x="5961875" y="3104388"/>
                </a:lnTo>
                <a:close/>
              </a:path>
              <a:path w="7486015" h="3929379">
                <a:moveTo>
                  <a:pt x="5961875" y="2897124"/>
                </a:moveTo>
                <a:lnTo>
                  <a:pt x="5202936" y="2897124"/>
                </a:lnTo>
                <a:lnTo>
                  <a:pt x="5202936" y="3101340"/>
                </a:lnTo>
                <a:lnTo>
                  <a:pt x="5961875" y="3101340"/>
                </a:lnTo>
                <a:lnTo>
                  <a:pt x="5961875" y="2897124"/>
                </a:lnTo>
                <a:close/>
              </a:path>
              <a:path w="7486015" h="3929379">
                <a:moveTo>
                  <a:pt x="5961875" y="2689860"/>
                </a:moveTo>
                <a:lnTo>
                  <a:pt x="5202936" y="2689860"/>
                </a:lnTo>
                <a:lnTo>
                  <a:pt x="5202936" y="2894076"/>
                </a:lnTo>
                <a:lnTo>
                  <a:pt x="5961875" y="2894076"/>
                </a:lnTo>
                <a:lnTo>
                  <a:pt x="5961875" y="2689860"/>
                </a:lnTo>
                <a:close/>
              </a:path>
              <a:path w="7486015" h="3929379">
                <a:moveTo>
                  <a:pt x="5961875" y="2482596"/>
                </a:moveTo>
                <a:lnTo>
                  <a:pt x="5202936" y="2482596"/>
                </a:lnTo>
                <a:lnTo>
                  <a:pt x="5202936" y="2686812"/>
                </a:lnTo>
                <a:lnTo>
                  <a:pt x="5961875" y="2686812"/>
                </a:lnTo>
                <a:lnTo>
                  <a:pt x="5961875" y="2482596"/>
                </a:lnTo>
                <a:close/>
              </a:path>
              <a:path w="7486015" h="3929379">
                <a:moveTo>
                  <a:pt x="5961875" y="2276856"/>
                </a:moveTo>
                <a:lnTo>
                  <a:pt x="5202936" y="2276856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6856"/>
                </a:lnTo>
                <a:close/>
              </a:path>
              <a:path w="7486015" h="3929379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3929379">
                <a:moveTo>
                  <a:pt x="6723888" y="3517392"/>
                </a:moveTo>
                <a:lnTo>
                  <a:pt x="5964936" y="3517392"/>
                </a:lnTo>
                <a:lnTo>
                  <a:pt x="5964936" y="3721608"/>
                </a:lnTo>
                <a:lnTo>
                  <a:pt x="6723888" y="3721608"/>
                </a:lnTo>
                <a:lnTo>
                  <a:pt x="6723888" y="3517392"/>
                </a:lnTo>
                <a:close/>
              </a:path>
              <a:path w="7486015" h="3929379">
                <a:moveTo>
                  <a:pt x="6723888" y="3311652"/>
                </a:moveTo>
                <a:lnTo>
                  <a:pt x="5964936" y="3311652"/>
                </a:lnTo>
                <a:lnTo>
                  <a:pt x="5964936" y="3514344"/>
                </a:lnTo>
                <a:lnTo>
                  <a:pt x="6723888" y="3514344"/>
                </a:lnTo>
                <a:lnTo>
                  <a:pt x="6723888" y="3311652"/>
                </a:lnTo>
                <a:close/>
              </a:path>
              <a:path w="7486015" h="3929379">
                <a:moveTo>
                  <a:pt x="6723888" y="3104388"/>
                </a:moveTo>
                <a:lnTo>
                  <a:pt x="5964936" y="3104388"/>
                </a:lnTo>
                <a:lnTo>
                  <a:pt x="5964936" y="3308604"/>
                </a:lnTo>
                <a:lnTo>
                  <a:pt x="6723888" y="3308604"/>
                </a:lnTo>
                <a:lnTo>
                  <a:pt x="6723888" y="3104388"/>
                </a:lnTo>
                <a:close/>
              </a:path>
              <a:path w="7486015" h="3929379">
                <a:moveTo>
                  <a:pt x="6723888" y="2897124"/>
                </a:moveTo>
                <a:lnTo>
                  <a:pt x="5964936" y="2897124"/>
                </a:lnTo>
                <a:lnTo>
                  <a:pt x="5964936" y="3101340"/>
                </a:lnTo>
                <a:lnTo>
                  <a:pt x="6723888" y="3101340"/>
                </a:lnTo>
                <a:lnTo>
                  <a:pt x="6723888" y="2897124"/>
                </a:lnTo>
                <a:close/>
              </a:path>
              <a:path w="7486015" h="3929379">
                <a:moveTo>
                  <a:pt x="6723888" y="2689860"/>
                </a:moveTo>
                <a:lnTo>
                  <a:pt x="5964936" y="2689860"/>
                </a:lnTo>
                <a:lnTo>
                  <a:pt x="5964936" y="2894076"/>
                </a:lnTo>
                <a:lnTo>
                  <a:pt x="6723888" y="2894076"/>
                </a:lnTo>
                <a:lnTo>
                  <a:pt x="6723888" y="2689860"/>
                </a:lnTo>
                <a:close/>
              </a:path>
              <a:path w="7486015" h="3929379">
                <a:moveTo>
                  <a:pt x="6723888" y="2482596"/>
                </a:moveTo>
                <a:lnTo>
                  <a:pt x="5964936" y="2482596"/>
                </a:lnTo>
                <a:lnTo>
                  <a:pt x="5964936" y="2686812"/>
                </a:lnTo>
                <a:lnTo>
                  <a:pt x="6723888" y="2686812"/>
                </a:lnTo>
                <a:lnTo>
                  <a:pt x="6723888" y="2482596"/>
                </a:lnTo>
                <a:close/>
              </a:path>
              <a:path w="7486015" h="3929379">
                <a:moveTo>
                  <a:pt x="6723888" y="2276856"/>
                </a:moveTo>
                <a:lnTo>
                  <a:pt x="5964936" y="2276856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6856"/>
                </a:lnTo>
                <a:close/>
              </a:path>
              <a:path w="7486015" h="3929379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3929379">
                <a:moveTo>
                  <a:pt x="7485888" y="3517392"/>
                </a:moveTo>
                <a:lnTo>
                  <a:pt x="6726936" y="3517392"/>
                </a:lnTo>
                <a:lnTo>
                  <a:pt x="6726936" y="3721608"/>
                </a:lnTo>
                <a:lnTo>
                  <a:pt x="7485888" y="3721608"/>
                </a:lnTo>
                <a:lnTo>
                  <a:pt x="7485888" y="3517392"/>
                </a:lnTo>
                <a:close/>
              </a:path>
              <a:path w="7486015" h="3929379">
                <a:moveTo>
                  <a:pt x="7485888" y="3311652"/>
                </a:moveTo>
                <a:lnTo>
                  <a:pt x="6726936" y="3311652"/>
                </a:lnTo>
                <a:lnTo>
                  <a:pt x="6726936" y="3514344"/>
                </a:lnTo>
                <a:lnTo>
                  <a:pt x="7485888" y="3514344"/>
                </a:lnTo>
                <a:lnTo>
                  <a:pt x="7485888" y="3311652"/>
                </a:lnTo>
                <a:close/>
              </a:path>
              <a:path w="7486015" h="3929379">
                <a:moveTo>
                  <a:pt x="7485888" y="3104388"/>
                </a:moveTo>
                <a:lnTo>
                  <a:pt x="6726936" y="3104388"/>
                </a:lnTo>
                <a:lnTo>
                  <a:pt x="6726936" y="3308604"/>
                </a:lnTo>
                <a:lnTo>
                  <a:pt x="7485888" y="3308604"/>
                </a:lnTo>
                <a:lnTo>
                  <a:pt x="7485888" y="3104388"/>
                </a:lnTo>
                <a:close/>
              </a:path>
              <a:path w="7486015" h="3929379">
                <a:moveTo>
                  <a:pt x="7485888" y="2897124"/>
                </a:moveTo>
                <a:lnTo>
                  <a:pt x="6726936" y="2897124"/>
                </a:lnTo>
                <a:lnTo>
                  <a:pt x="6726936" y="3101340"/>
                </a:lnTo>
                <a:lnTo>
                  <a:pt x="7485888" y="3101340"/>
                </a:lnTo>
                <a:lnTo>
                  <a:pt x="7485888" y="2897124"/>
                </a:lnTo>
                <a:close/>
              </a:path>
              <a:path w="7486015" h="3929379">
                <a:moveTo>
                  <a:pt x="7485888" y="2689860"/>
                </a:moveTo>
                <a:lnTo>
                  <a:pt x="6726936" y="2689860"/>
                </a:lnTo>
                <a:lnTo>
                  <a:pt x="6726936" y="2894076"/>
                </a:lnTo>
                <a:lnTo>
                  <a:pt x="7485888" y="2894076"/>
                </a:lnTo>
                <a:lnTo>
                  <a:pt x="7485888" y="2689860"/>
                </a:lnTo>
                <a:close/>
              </a:path>
              <a:path w="7486015" h="3929379">
                <a:moveTo>
                  <a:pt x="7485888" y="2482596"/>
                </a:moveTo>
                <a:lnTo>
                  <a:pt x="6726936" y="2482596"/>
                </a:lnTo>
                <a:lnTo>
                  <a:pt x="6726936" y="2686812"/>
                </a:lnTo>
                <a:lnTo>
                  <a:pt x="7485888" y="2686812"/>
                </a:lnTo>
                <a:lnTo>
                  <a:pt x="7485888" y="2482596"/>
                </a:lnTo>
                <a:close/>
              </a:path>
              <a:path w="7486015" h="3929379">
                <a:moveTo>
                  <a:pt x="7485888" y="2276856"/>
                </a:moveTo>
                <a:lnTo>
                  <a:pt x="6726936" y="2276856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6856"/>
                </a:lnTo>
                <a:close/>
              </a:path>
              <a:path w="7486015" h="3929379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3929379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700-000055000000}"/>
              </a:ext>
            </a:extLst>
          </xdr:cNvPr>
          <xdr:cNvSpPr/>
        </xdr:nvSpPr>
        <xdr:spPr>
          <a:xfrm>
            <a:off x="5202936" y="3724655"/>
            <a:ext cx="2283460" cy="204470"/>
          </a:xfrm>
          <a:custGeom>
            <a:avLst/>
            <a:gdLst/>
            <a:ahLst/>
            <a:cxnLst/>
            <a:rect l="0" t="0" r="0" b="0"/>
            <a:pathLst>
              <a:path w="2283460" h="204470">
                <a:moveTo>
                  <a:pt x="758939" y="0"/>
                </a:moveTo>
                <a:lnTo>
                  <a:pt x="0" y="0"/>
                </a:lnTo>
                <a:lnTo>
                  <a:pt x="0" y="204216"/>
                </a:lnTo>
                <a:lnTo>
                  <a:pt x="758939" y="204216"/>
                </a:lnTo>
                <a:lnTo>
                  <a:pt x="758939" y="0"/>
                </a:lnTo>
                <a:close/>
              </a:path>
              <a:path w="2283460" h="204470">
                <a:moveTo>
                  <a:pt x="1520952" y="0"/>
                </a:moveTo>
                <a:lnTo>
                  <a:pt x="762000" y="0"/>
                </a:lnTo>
                <a:lnTo>
                  <a:pt x="762000" y="204216"/>
                </a:lnTo>
                <a:lnTo>
                  <a:pt x="1520952" y="204216"/>
                </a:lnTo>
                <a:lnTo>
                  <a:pt x="1520952" y="0"/>
                </a:lnTo>
                <a:close/>
              </a:path>
              <a:path w="2283460" h="204470">
                <a:moveTo>
                  <a:pt x="2282952" y="0"/>
                </a:moveTo>
                <a:lnTo>
                  <a:pt x="1524000" y="0"/>
                </a:lnTo>
                <a:lnTo>
                  <a:pt x="1524000" y="204216"/>
                </a:lnTo>
                <a:lnTo>
                  <a:pt x="2282952" y="204216"/>
                </a:lnTo>
                <a:lnTo>
                  <a:pt x="2282952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25</xdr:row>
      <xdr:rowOff>0</xdr:rowOff>
    </xdr:from>
    <xdr:ext cx="645160" cy="3929379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/>
      </xdr:nvSpPr>
      <xdr:spPr>
        <a:xfrm>
          <a:off x="0" y="0"/>
          <a:ext cx="645160" cy="3929379"/>
        </a:xfrm>
        <a:custGeom>
          <a:avLst/>
          <a:gdLst/>
          <a:ahLst/>
          <a:cxnLst/>
          <a:rect l="0" t="0" r="0" b="0"/>
          <a:pathLst>
            <a:path w="645160" h="3929379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3929379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3929379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929379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929379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929379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929379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929379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929379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929379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929379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929379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929379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929379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929379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929379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929379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929379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929379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23</xdr:row>
      <xdr:rowOff>0</xdr:rowOff>
    </xdr:from>
    <xdr:ext cx="3808729" cy="480059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88" name="image1.jpeg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89" name="image2.jpeg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90" name="image3.jpeg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91" name="image4.jpeg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92" name="image5.jpeg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24</xdr:row>
      <xdr:rowOff>0</xdr:rowOff>
    </xdr:from>
    <xdr:ext cx="7486015" cy="4139565"/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GrpSpPr/>
      </xdr:nvGrpSpPr>
      <xdr:grpSpPr>
        <a:xfrm>
          <a:off x="607059" y="6240780"/>
          <a:ext cx="7486015" cy="4139565"/>
          <a:chOff x="0" y="0"/>
          <a:chExt cx="7486015" cy="4139565"/>
        </a:xfrm>
      </xdr:grpSpPr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800-00005E000000}"/>
              </a:ext>
            </a:extLst>
          </xdr:cNvPr>
          <xdr:cNvSpPr/>
        </xdr:nvSpPr>
        <xdr:spPr>
          <a:xfrm>
            <a:off x="0" y="0"/>
            <a:ext cx="7486015" cy="1861185"/>
          </a:xfrm>
          <a:custGeom>
            <a:avLst/>
            <a:gdLst/>
            <a:ahLst/>
            <a:cxnLst/>
            <a:rect l="0" t="0" r="0" b="0"/>
            <a:pathLst>
              <a:path w="7486015" h="1861185">
                <a:moveTo>
                  <a:pt x="312420" y="1242060"/>
                </a:moveTo>
                <a:lnTo>
                  <a:pt x="0" y="1242060"/>
                </a:lnTo>
                <a:lnTo>
                  <a:pt x="0" y="1653540"/>
                </a:lnTo>
                <a:lnTo>
                  <a:pt x="312420" y="1653540"/>
                </a:lnTo>
                <a:lnTo>
                  <a:pt x="312420" y="1242060"/>
                </a:lnTo>
                <a:close/>
              </a:path>
              <a:path w="7486015" h="1861185">
                <a:moveTo>
                  <a:pt x="312420" y="621792"/>
                </a:moveTo>
                <a:lnTo>
                  <a:pt x="0" y="621792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621792"/>
                </a:lnTo>
                <a:close/>
              </a:path>
              <a:path w="7486015" h="1861185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1861185">
                <a:moveTo>
                  <a:pt x="1264920" y="1242060"/>
                </a:moveTo>
                <a:lnTo>
                  <a:pt x="315468" y="1242060"/>
                </a:lnTo>
                <a:lnTo>
                  <a:pt x="315468" y="1653540"/>
                </a:lnTo>
                <a:lnTo>
                  <a:pt x="1264920" y="1653540"/>
                </a:lnTo>
                <a:lnTo>
                  <a:pt x="1264920" y="1242060"/>
                </a:lnTo>
                <a:close/>
              </a:path>
              <a:path w="7486015" h="1861185">
                <a:moveTo>
                  <a:pt x="1264920" y="621792"/>
                </a:moveTo>
                <a:lnTo>
                  <a:pt x="315468" y="621792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621792"/>
                </a:lnTo>
                <a:close/>
              </a:path>
              <a:path w="7486015" h="1861185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1861185">
                <a:moveTo>
                  <a:pt x="2531364" y="1242060"/>
                </a:moveTo>
                <a:lnTo>
                  <a:pt x="1267968" y="1242060"/>
                </a:lnTo>
                <a:lnTo>
                  <a:pt x="1267968" y="1653540"/>
                </a:lnTo>
                <a:lnTo>
                  <a:pt x="2531364" y="1653540"/>
                </a:lnTo>
                <a:lnTo>
                  <a:pt x="2531364" y="1242060"/>
                </a:lnTo>
                <a:close/>
              </a:path>
              <a:path w="7486015" h="1861185">
                <a:moveTo>
                  <a:pt x="2531364" y="621792"/>
                </a:moveTo>
                <a:lnTo>
                  <a:pt x="1267968" y="621792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621792"/>
                </a:lnTo>
                <a:close/>
              </a:path>
              <a:path w="7486015" h="1861185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186118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186118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186118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86118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86118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86118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186118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186118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86118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186118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186118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186118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86118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86118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86118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186118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186118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86118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86118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186118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186118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86118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86118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86118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186118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186118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86118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86118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186118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186118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86118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86118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86118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186118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186118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86118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86118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186118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186118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86118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86118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86118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186118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186118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86118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86118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186118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186118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86118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86118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86118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186118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186118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86118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86118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186118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86118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86118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86118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186118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186118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86118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800-00005F000000}"/>
              </a:ext>
            </a:extLst>
          </xdr:cNvPr>
          <xdr:cNvSpPr/>
        </xdr:nvSpPr>
        <xdr:spPr>
          <a:xfrm>
            <a:off x="0" y="1656587"/>
            <a:ext cx="7486015" cy="2482850"/>
          </a:xfrm>
          <a:custGeom>
            <a:avLst/>
            <a:gdLst/>
            <a:ahLst/>
            <a:cxnLst/>
            <a:rect l="0" t="0" r="0" b="0"/>
            <a:pathLst>
              <a:path w="7486015" h="2482850">
                <a:moveTo>
                  <a:pt x="312420" y="827532"/>
                </a:moveTo>
                <a:lnTo>
                  <a:pt x="0" y="827532"/>
                </a:lnTo>
                <a:lnTo>
                  <a:pt x="0" y="2482596"/>
                </a:lnTo>
                <a:lnTo>
                  <a:pt x="312420" y="2482596"/>
                </a:lnTo>
                <a:lnTo>
                  <a:pt x="312420" y="827532"/>
                </a:lnTo>
                <a:close/>
              </a:path>
              <a:path w="7486015" h="2482850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482850">
                <a:moveTo>
                  <a:pt x="1264920" y="827532"/>
                </a:moveTo>
                <a:lnTo>
                  <a:pt x="315468" y="827532"/>
                </a:lnTo>
                <a:lnTo>
                  <a:pt x="315468" y="2482596"/>
                </a:lnTo>
                <a:lnTo>
                  <a:pt x="1264920" y="2482596"/>
                </a:lnTo>
                <a:lnTo>
                  <a:pt x="1264920" y="827532"/>
                </a:lnTo>
                <a:close/>
              </a:path>
              <a:path w="7486015" h="2482850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482850">
                <a:moveTo>
                  <a:pt x="2531364" y="827532"/>
                </a:moveTo>
                <a:lnTo>
                  <a:pt x="1267968" y="827532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827532"/>
                </a:lnTo>
                <a:close/>
              </a:path>
              <a:path w="7486015" h="2482850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48285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48285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482850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48285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48285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48285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482850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48285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48285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48285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48285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482850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48285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48285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48285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482850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48285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48285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48285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48285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482850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48285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48285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48285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482850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48285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48285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48285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48285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482850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48285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48285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48285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482850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48285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48285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48285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48285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482850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48285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48285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48285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482850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48285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48285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48285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48285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482850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48285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48285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48285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482850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48285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48285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48285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48285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48285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482850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48285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48285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48285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482850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48285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48285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48285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800-000060000000}"/>
              </a:ext>
            </a:extLst>
          </xdr:cNvPr>
          <xdr:cNvSpPr/>
        </xdr:nvSpPr>
        <xdr:spPr>
          <a:xfrm>
            <a:off x="315468" y="2484119"/>
            <a:ext cx="7170420" cy="1655445"/>
          </a:xfrm>
          <a:custGeom>
            <a:avLst/>
            <a:gdLst/>
            <a:ahLst/>
            <a:cxnLst/>
            <a:rect l="0" t="0" r="0" b="0"/>
            <a:pathLst>
              <a:path w="7170420" h="1655445">
                <a:moveTo>
                  <a:pt x="949452" y="0"/>
                </a:moveTo>
                <a:lnTo>
                  <a:pt x="0" y="0"/>
                </a:lnTo>
                <a:lnTo>
                  <a:pt x="0" y="1655064"/>
                </a:lnTo>
                <a:lnTo>
                  <a:pt x="949452" y="1655064"/>
                </a:lnTo>
                <a:lnTo>
                  <a:pt x="949452" y="0"/>
                </a:lnTo>
                <a:close/>
              </a:path>
              <a:path w="7170420" h="1655445">
                <a:moveTo>
                  <a:pt x="2215896" y="1242060"/>
                </a:moveTo>
                <a:lnTo>
                  <a:pt x="952500" y="1242060"/>
                </a:lnTo>
                <a:lnTo>
                  <a:pt x="952500" y="1655064"/>
                </a:lnTo>
                <a:lnTo>
                  <a:pt x="2215896" y="1655064"/>
                </a:lnTo>
                <a:lnTo>
                  <a:pt x="2215896" y="1242060"/>
                </a:lnTo>
                <a:close/>
              </a:path>
              <a:path w="7170420" h="1655445">
                <a:moveTo>
                  <a:pt x="2721864" y="1242060"/>
                </a:moveTo>
                <a:lnTo>
                  <a:pt x="2218944" y="1242060"/>
                </a:lnTo>
                <a:lnTo>
                  <a:pt x="2218944" y="1655064"/>
                </a:lnTo>
                <a:lnTo>
                  <a:pt x="2721864" y="1655064"/>
                </a:lnTo>
                <a:lnTo>
                  <a:pt x="2721864" y="1242060"/>
                </a:lnTo>
                <a:close/>
              </a:path>
              <a:path w="7170420" h="1655445">
                <a:moveTo>
                  <a:pt x="3358896" y="1242060"/>
                </a:moveTo>
                <a:lnTo>
                  <a:pt x="2724912" y="1242060"/>
                </a:lnTo>
                <a:lnTo>
                  <a:pt x="2724912" y="1655064"/>
                </a:lnTo>
                <a:lnTo>
                  <a:pt x="3358896" y="1655064"/>
                </a:lnTo>
                <a:lnTo>
                  <a:pt x="3358896" y="1242060"/>
                </a:lnTo>
                <a:close/>
              </a:path>
              <a:path w="7170420" h="1655445">
                <a:moveTo>
                  <a:pt x="4122420" y="1242060"/>
                </a:moveTo>
                <a:lnTo>
                  <a:pt x="3361944" y="1242060"/>
                </a:lnTo>
                <a:lnTo>
                  <a:pt x="3361944" y="1655064"/>
                </a:lnTo>
                <a:lnTo>
                  <a:pt x="4122420" y="1655064"/>
                </a:lnTo>
                <a:lnTo>
                  <a:pt x="4122420" y="1242060"/>
                </a:lnTo>
                <a:close/>
              </a:path>
              <a:path w="7170420" h="1655445">
                <a:moveTo>
                  <a:pt x="4884420" y="1242060"/>
                </a:moveTo>
                <a:lnTo>
                  <a:pt x="4125468" y="1242060"/>
                </a:lnTo>
                <a:lnTo>
                  <a:pt x="4125468" y="1655064"/>
                </a:lnTo>
                <a:lnTo>
                  <a:pt x="4884420" y="1655064"/>
                </a:lnTo>
                <a:lnTo>
                  <a:pt x="4884420" y="1242060"/>
                </a:lnTo>
                <a:close/>
              </a:path>
              <a:path w="7170420" h="1655445">
                <a:moveTo>
                  <a:pt x="5646407" y="1242060"/>
                </a:moveTo>
                <a:lnTo>
                  <a:pt x="4887468" y="1242060"/>
                </a:lnTo>
                <a:lnTo>
                  <a:pt x="4887468" y="1655064"/>
                </a:lnTo>
                <a:lnTo>
                  <a:pt x="5646407" y="1655064"/>
                </a:lnTo>
                <a:lnTo>
                  <a:pt x="5646407" y="1242060"/>
                </a:lnTo>
                <a:close/>
              </a:path>
              <a:path w="7170420" h="1655445">
                <a:moveTo>
                  <a:pt x="6408420" y="1242060"/>
                </a:moveTo>
                <a:lnTo>
                  <a:pt x="5649468" y="1242060"/>
                </a:lnTo>
                <a:lnTo>
                  <a:pt x="5649468" y="1655064"/>
                </a:lnTo>
                <a:lnTo>
                  <a:pt x="6408420" y="1655064"/>
                </a:lnTo>
                <a:lnTo>
                  <a:pt x="6408420" y="1242060"/>
                </a:lnTo>
                <a:close/>
              </a:path>
              <a:path w="7170420" h="1655445">
                <a:moveTo>
                  <a:pt x="7170420" y="1242060"/>
                </a:moveTo>
                <a:lnTo>
                  <a:pt x="6411468" y="1242060"/>
                </a:lnTo>
                <a:lnTo>
                  <a:pt x="6411468" y="1655064"/>
                </a:lnTo>
                <a:lnTo>
                  <a:pt x="7170420" y="1655064"/>
                </a:lnTo>
                <a:lnTo>
                  <a:pt x="7170420" y="124206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25</xdr:row>
      <xdr:rowOff>0</xdr:rowOff>
    </xdr:from>
    <xdr:ext cx="645160" cy="413956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0" y="0"/>
          <a:ext cx="645160" cy="4139565"/>
        </a:xfrm>
        <a:custGeom>
          <a:avLst/>
          <a:gdLst/>
          <a:ahLst/>
          <a:cxnLst/>
          <a:rect l="0" t="0" r="0" b="0"/>
          <a:pathLst>
            <a:path w="645160" h="4139565">
              <a:moveTo>
                <a:pt x="644652" y="3726180"/>
              </a:moveTo>
              <a:lnTo>
                <a:pt x="0" y="3726180"/>
              </a:lnTo>
              <a:lnTo>
                <a:pt x="0" y="4139184"/>
              </a:lnTo>
              <a:lnTo>
                <a:pt x="644652" y="4139184"/>
              </a:lnTo>
              <a:lnTo>
                <a:pt x="644652" y="3726180"/>
              </a:lnTo>
              <a:close/>
            </a:path>
            <a:path w="645160" h="4139565">
              <a:moveTo>
                <a:pt x="644652" y="3518916"/>
              </a:moveTo>
              <a:lnTo>
                <a:pt x="0" y="3518916"/>
              </a:lnTo>
              <a:lnTo>
                <a:pt x="0" y="3723132"/>
              </a:lnTo>
              <a:lnTo>
                <a:pt x="644652" y="3723132"/>
              </a:lnTo>
              <a:lnTo>
                <a:pt x="644652" y="3518916"/>
              </a:lnTo>
              <a:close/>
            </a:path>
            <a:path w="645160" h="4139565">
              <a:moveTo>
                <a:pt x="644652" y="3311652"/>
              </a:moveTo>
              <a:lnTo>
                <a:pt x="0" y="3311652"/>
              </a:lnTo>
              <a:lnTo>
                <a:pt x="0" y="3515868"/>
              </a:lnTo>
              <a:lnTo>
                <a:pt x="644652" y="3515868"/>
              </a:lnTo>
              <a:lnTo>
                <a:pt x="644652" y="3311652"/>
              </a:lnTo>
              <a:close/>
            </a:path>
            <a:path w="645160" h="4139565">
              <a:moveTo>
                <a:pt x="644652" y="3105912"/>
              </a:moveTo>
              <a:lnTo>
                <a:pt x="0" y="3105912"/>
              </a:lnTo>
              <a:lnTo>
                <a:pt x="0" y="3308604"/>
              </a:lnTo>
              <a:lnTo>
                <a:pt x="644652" y="3308604"/>
              </a:lnTo>
              <a:lnTo>
                <a:pt x="644652" y="3105912"/>
              </a:lnTo>
              <a:close/>
            </a:path>
            <a:path w="645160" h="4139565">
              <a:moveTo>
                <a:pt x="644652" y="2898648"/>
              </a:moveTo>
              <a:lnTo>
                <a:pt x="0" y="2898648"/>
              </a:lnTo>
              <a:lnTo>
                <a:pt x="0" y="3102864"/>
              </a:lnTo>
              <a:lnTo>
                <a:pt x="644652" y="3102864"/>
              </a:lnTo>
              <a:lnTo>
                <a:pt x="644652" y="2898648"/>
              </a:lnTo>
              <a:close/>
            </a:path>
            <a:path w="645160" h="4139565">
              <a:moveTo>
                <a:pt x="644652" y="2691384"/>
              </a:moveTo>
              <a:lnTo>
                <a:pt x="0" y="2691384"/>
              </a:lnTo>
              <a:lnTo>
                <a:pt x="0" y="2895600"/>
              </a:lnTo>
              <a:lnTo>
                <a:pt x="644652" y="2895600"/>
              </a:lnTo>
              <a:lnTo>
                <a:pt x="644652" y="2691384"/>
              </a:lnTo>
              <a:close/>
            </a:path>
            <a:path w="645160" h="4139565">
              <a:moveTo>
                <a:pt x="644652" y="2484120"/>
              </a:moveTo>
              <a:lnTo>
                <a:pt x="0" y="2484120"/>
              </a:lnTo>
              <a:lnTo>
                <a:pt x="0" y="2688336"/>
              </a:lnTo>
              <a:lnTo>
                <a:pt x="644652" y="2688336"/>
              </a:lnTo>
              <a:lnTo>
                <a:pt x="644652" y="2484120"/>
              </a:lnTo>
              <a:close/>
            </a:path>
            <a:path w="645160" h="4139565">
              <a:moveTo>
                <a:pt x="644652" y="2278380"/>
              </a:moveTo>
              <a:lnTo>
                <a:pt x="0" y="2278380"/>
              </a:lnTo>
              <a:lnTo>
                <a:pt x="0" y="2481072"/>
              </a:lnTo>
              <a:lnTo>
                <a:pt x="644652" y="2481072"/>
              </a:lnTo>
              <a:lnTo>
                <a:pt x="644652" y="2278380"/>
              </a:lnTo>
              <a:close/>
            </a:path>
            <a:path w="645160" h="4139565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4139565">
              <a:moveTo>
                <a:pt x="644652" y="1863852"/>
              </a:moveTo>
              <a:lnTo>
                <a:pt x="0" y="1863852"/>
              </a:lnTo>
              <a:lnTo>
                <a:pt x="0" y="2068068"/>
              </a:lnTo>
              <a:lnTo>
                <a:pt x="644652" y="2068068"/>
              </a:lnTo>
              <a:lnTo>
                <a:pt x="644652" y="1863852"/>
              </a:lnTo>
              <a:close/>
            </a:path>
            <a:path w="645160" h="4139565">
              <a:moveTo>
                <a:pt x="644652" y="1656588"/>
              </a:moveTo>
              <a:lnTo>
                <a:pt x="0" y="1656588"/>
              </a:lnTo>
              <a:lnTo>
                <a:pt x="0" y="1860804"/>
              </a:lnTo>
              <a:lnTo>
                <a:pt x="644652" y="1860804"/>
              </a:lnTo>
              <a:lnTo>
                <a:pt x="644652" y="1656588"/>
              </a:lnTo>
              <a:close/>
            </a:path>
            <a:path w="645160" h="4139565">
              <a:moveTo>
                <a:pt x="644652" y="1449324"/>
              </a:moveTo>
              <a:lnTo>
                <a:pt x="0" y="1449324"/>
              </a:lnTo>
              <a:lnTo>
                <a:pt x="0" y="1653540"/>
              </a:lnTo>
              <a:lnTo>
                <a:pt x="644652" y="1653540"/>
              </a:lnTo>
              <a:lnTo>
                <a:pt x="644652" y="1449324"/>
              </a:lnTo>
              <a:close/>
            </a:path>
            <a:path w="645160" h="413956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3956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13956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13956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13956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3956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3956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808729" cy="480059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99" name="image1.jpeg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00" name="image2.jpeg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101" name="image3.jpeg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02" name="image4.jpeg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103" name="image5.jpeg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26</xdr:row>
      <xdr:rowOff>0</xdr:rowOff>
    </xdr:from>
    <xdr:ext cx="7486015" cy="4343400"/>
    <xdr:grpSp>
      <xdr:nvGrpSpPr>
        <xdr:cNvPr id="104" name="Group 104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GrpSpPr/>
      </xdr:nvGrpSpPr>
      <xdr:grpSpPr>
        <a:xfrm>
          <a:off x="607059" y="6469380"/>
          <a:ext cx="7486015" cy="4343400"/>
          <a:chOff x="0" y="0"/>
          <a:chExt cx="7486015" cy="4343400"/>
        </a:xfrm>
      </xdr:grpSpPr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900-000069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242060"/>
                </a:moveTo>
                <a:lnTo>
                  <a:pt x="1267968" y="124206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24206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900-00006A000000}"/>
              </a:ext>
            </a:extLst>
          </xdr:cNvPr>
          <xdr:cNvSpPr/>
        </xdr:nvSpPr>
        <xdr:spPr>
          <a:xfrm>
            <a:off x="1267968" y="1862327"/>
            <a:ext cx="6217920" cy="2273935"/>
          </a:xfrm>
          <a:custGeom>
            <a:avLst/>
            <a:gdLst/>
            <a:ahLst/>
            <a:cxnLst/>
            <a:rect l="0" t="0" r="0" b="0"/>
            <a:pathLst>
              <a:path w="6217920" h="2273935">
                <a:moveTo>
                  <a:pt x="1263396" y="0"/>
                </a:moveTo>
                <a:lnTo>
                  <a:pt x="0" y="0"/>
                </a:lnTo>
                <a:lnTo>
                  <a:pt x="0" y="1446276"/>
                </a:lnTo>
                <a:lnTo>
                  <a:pt x="1263396" y="1446276"/>
                </a:lnTo>
                <a:lnTo>
                  <a:pt x="1263396" y="0"/>
                </a:lnTo>
                <a:close/>
              </a:path>
              <a:path w="6217920" h="2273935">
                <a:moveTo>
                  <a:pt x="1769364" y="2069592"/>
                </a:moveTo>
                <a:lnTo>
                  <a:pt x="1266444" y="2069592"/>
                </a:lnTo>
                <a:lnTo>
                  <a:pt x="1266444" y="2273808"/>
                </a:lnTo>
                <a:lnTo>
                  <a:pt x="1769364" y="2273808"/>
                </a:lnTo>
                <a:lnTo>
                  <a:pt x="1769364" y="2069592"/>
                </a:lnTo>
                <a:close/>
              </a:path>
              <a:path w="6217920" h="2273935">
                <a:moveTo>
                  <a:pt x="1769364" y="1862328"/>
                </a:moveTo>
                <a:lnTo>
                  <a:pt x="1266444" y="1862328"/>
                </a:lnTo>
                <a:lnTo>
                  <a:pt x="1266444" y="2066544"/>
                </a:lnTo>
                <a:lnTo>
                  <a:pt x="1769364" y="2066544"/>
                </a:lnTo>
                <a:lnTo>
                  <a:pt x="1769364" y="1862328"/>
                </a:lnTo>
                <a:close/>
              </a:path>
              <a:path w="6217920" h="2273935">
                <a:moveTo>
                  <a:pt x="1769364" y="1655064"/>
                </a:moveTo>
                <a:lnTo>
                  <a:pt x="1266444" y="1655064"/>
                </a:lnTo>
                <a:lnTo>
                  <a:pt x="1266444" y="1859280"/>
                </a:lnTo>
                <a:lnTo>
                  <a:pt x="1769364" y="1859280"/>
                </a:lnTo>
                <a:lnTo>
                  <a:pt x="1769364" y="1655064"/>
                </a:lnTo>
                <a:close/>
              </a:path>
              <a:path w="6217920" h="2273935">
                <a:moveTo>
                  <a:pt x="1769364" y="1449324"/>
                </a:moveTo>
                <a:lnTo>
                  <a:pt x="1266444" y="1449324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9324"/>
                </a:lnTo>
                <a:close/>
              </a:path>
              <a:path w="6217920" h="2273935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2273935">
                <a:moveTo>
                  <a:pt x="1769364" y="1034796"/>
                </a:moveTo>
                <a:lnTo>
                  <a:pt x="1266444" y="1034796"/>
                </a:lnTo>
                <a:lnTo>
                  <a:pt x="1266444" y="1239012"/>
                </a:lnTo>
                <a:lnTo>
                  <a:pt x="1769364" y="1239012"/>
                </a:lnTo>
                <a:lnTo>
                  <a:pt x="1769364" y="1034796"/>
                </a:lnTo>
                <a:close/>
              </a:path>
              <a:path w="6217920" h="2273935">
                <a:moveTo>
                  <a:pt x="1769364" y="827532"/>
                </a:moveTo>
                <a:lnTo>
                  <a:pt x="1266444" y="827532"/>
                </a:lnTo>
                <a:lnTo>
                  <a:pt x="1266444" y="1031748"/>
                </a:lnTo>
                <a:lnTo>
                  <a:pt x="1769364" y="1031748"/>
                </a:lnTo>
                <a:lnTo>
                  <a:pt x="1769364" y="827532"/>
                </a:lnTo>
                <a:close/>
              </a:path>
              <a:path w="6217920" h="2273935">
                <a:moveTo>
                  <a:pt x="1769364" y="620268"/>
                </a:moveTo>
                <a:lnTo>
                  <a:pt x="1266444" y="620268"/>
                </a:lnTo>
                <a:lnTo>
                  <a:pt x="1266444" y="824484"/>
                </a:lnTo>
                <a:lnTo>
                  <a:pt x="1769364" y="824484"/>
                </a:lnTo>
                <a:lnTo>
                  <a:pt x="1769364" y="620268"/>
                </a:lnTo>
                <a:close/>
              </a:path>
              <a:path w="6217920" h="2273935">
                <a:moveTo>
                  <a:pt x="1769364" y="414528"/>
                </a:moveTo>
                <a:lnTo>
                  <a:pt x="1266444" y="414528"/>
                </a:lnTo>
                <a:lnTo>
                  <a:pt x="1266444" y="617220"/>
                </a:lnTo>
                <a:lnTo>
                  <a:pt x="1769364" y="617220"/>
                </a:lnTo>
                <a:lnTo>
                  <a:pt x="1769364" y="414528"/>
                </a:lnTo>
                <a:close/>
              </a:path>
              <a:path w="6217920" h="2273935">
                <a:moveTo>
                  <a:pt x="1769364" y="207264"/>
                </a:moveTo>
                <a:lnTo>
                  <a:pt x="1266444" y="207264"/>
                </a:lnTo>
                <a:lnTo>
                  <a:pt x="1266444" y="411480"/>
                </a:lnTo>
                <a:lnTo>
                  <a:pt x="1769364" y="411480"/>
                </a:lnTo>
                <a:lnTo>
                  <a:pt x="1769364" y="207264"/>
                </a:lnTo>
                <a:close/>
              </a:path>
              <a:path w="6217920" h="2273935">
                <a:moveTo>
                  <a:pt x="2406396" y="2069592"/>
                </a:moveTo>
                <a:lnTo>
                  <a:pt x="1772412" y="2069592"/>
                </a:lnTo>
                <a:lnTo>
                  <a:pt x="1772412" y="2273808"/>
                </a:lnTo>
                <a:lnTo>
                  <a:pt x="2406396" y="2273808"/>
                </a:lnTo>
                <a:lnTo>
                  <a:pt x="2406396" y="2069592"/>
                </a:lnTo>
                <a:close/>
              </a:path>
              <a:path w="6217920" h="2273935">
                <a:moveTo>
                  <a:pt x="2406396" y="1862328"/>
                </a:moveTo>
                <a:lnTo>
                  <a:pt x="1772412" y="1862328"/>
                </a:lnTo>
                <a:lnTo>
                  <a:pt x="1772412" y="2066544"/>
                </a:lnTo>
                <a:lnTo>
                  <a:pt x="2406396" y="2066544"/>
                </a:lnTo>
                <a:lnTo>
                  <a:pt x="2406396" y="1862328"/>
                </a:lnTo>
                <a:close/>
              </a:path>
              <a:path w="6217920" h="2273935">
                <a:moveTo>
                  <a:pt x="2406396" y="1655064"/>
                </a:moveTo>
                <a:lnTo>
                  <a:pt x="1772412" y="1655064"/>
                </a:lnTo>
                <a:lnTo>
                  <a:pt x="1772412" y="1859280"/>
                </a:lnTo>
                <a:lnTo>
                  <a:pt x="2406396" y="1859280"/>
                </a:lnTo>
                <a:lnTo>
                  <a:pt x="2406396" y="1655064"/>
                </a:lnTo>
                <a:close/>
              </a:path>
              <a:path w="6217920" h="2273935">
                <a:moveTo>
                  <a:pt x="2406396" y="1449324"/>
                </a:moveTo>
                <a:lnTo>
                  <a:pt x="1772412" y="1449324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9324"/>
                </a:lnTo>
                <a:close/>
              </a:path>
              <a:path w="6217920" h="2273935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2273935">
                <a:moveTo>
                  <a:pt x="2406396" y="1034796"/>
                </a:moveTo>
                <a:lnTo>
                  <a:pt x="1772412" y="1034796"/>
                </a:lnTo>
                <a:lnTo>
                  <a:pt x="1772412" y="1239012"/>
                </a:lnTo>
                <a:lnTo>
                  <a:pt x="2406396" y="1239012"/>
                </a:lnTo>
                <a:lnTo>
                  <a:pt x="2406396" y="1034796"/>
                </a:lnTo>
                <a:close/>
              </a:path>
              <a:path w="6217920" h="2273935">
                <a:moveTo>
                  <a:pt x="2406396" y="827532"/>
                </a:moveTo>
                <a:lnTo>
                  <a:pt x="1772412" y="827532"/>
                </a:lnTo>
                <a:lnTo>
                  <a:pt x="1772412" y="1031748"/>
                </a:lnTo>
                <a:lnTo>
                  <a:pt x="2406396" y="1031748"/>
                </a:lnTo>
                <a:lnTo>
                  <a:pt x="2406396" y="827532"/>
                </a:lnTo>
                <a:close/>
              </a:path>
              <a:path w="6217920" h="2273935">
                <a:moveTo>
                  <a:pt x="2406396" y="620268"/>
                </a:moveTo>
                <a:lnTo>
                  <a:pt x="1772412" y="620268"/>
                </a:lnTo>
                <a:lnTo>
                  <a:pt x="1772412" y="824484"/>
                </a:lnTo>
                <a:lnTo>
                  <a:pt x="2406396" y="824484"/>
                </a:lnTo>
                <a:lnTo>
                  <a:pt x="2406396" y="620268"/>
                </a:lnTo>
                <a:close/>
              </a:path>
              <a:path w="6217920" h="2273935">
                <a:moveTo>
                  <a:pt x="2406396" y="414528"/>
                </a:moveTo>
                <a:lnTo>
                  <a:pt x="1772412" y="414528"/>
                </a:lnTo>
                <a:lnTo>
                  <a:pt x="1772412" y="617220"/>
                </a:lnTo>
                <a:lnTo>
                  <a:pt x="2406396" y="617220"/>
                </a:lnTo>
                <a:lnTo>
                  <a:pt x="2406396" y="414528"/>
                </a:lnTo>
                <a:close/>
              </a:path>
              <a:path w="6217920" h="2273935">
                <a:moveTo>
                  <a:pt x="2406396" y="207264"/>
                </a:moveTo>
                <a:lnTo>
                  <a:pt x="1772412" y="207264"/>
                </a:lnTo>
                <a:lnTo>
                  <a:pt x="1772412" y="411480"/>
                </a:lnTo>
                <a:lnTo>
                  <a:pt x="2406396" y="411480"/>
                </a:lnTo>
                <a:lnTo>
                  <a:pt x="2406396" y="207264"/>
                </a:lnTo>
                <a:close/>
              </a:path>
              <a:path w="6217920" h="2273935">
                <a:moveTo>
                  <a:pt x="3169920" y="2069592"/>
                </a:moveTo>
                <a:lnTo>
                  <a:pt x="2409444" y="2069592"/>
                </a:lnTo>
                <a:lnTo>
                  <a:pt x="2409444" y="2273808"/>
                </a:lnTo>
                <a:lnTo>
                  <a:pt x="3169920" y="2273808"/>
                </a:lnTo>
                <a:lnTo>
                  <a:pt x="3169920" y="2069592"/>
                </a:lnTo>
                <a:close/>
              </a:path>
              <a:path w="6217920" h="2273935">
                <a:moveTo>
                  <a:pt x="3169920" y="1862328"/>
                </a:moveTo>
                <a:lnTo>
                  <a:pt x="2409444" y="1862328"/>
                </a:lnTo>
                <a:lnTo>
                  <a:pt x="2409444" y="2066544"/>
                </a:lnTo>
                <a:lnTo>
                  <a:pt x="3169920" y="2066544"/>
                </a:lnTo>
                <a:lnTo>
                  <a:pt x="3169920" y="1862328"/>
                </a:lnTo>
                <a:close/>
              </a:path>
              <a:path w="6217920" h="2273935">
                <a:moveTo>
                  <a:pt x="3169920" y="1655064"/>
                </a:moveTo>
                <a:lnTo>
                  <a:pt x="2409444" y="1655064"/>
                </a:lnTo>
                <a:lnTo>
                  <a:pt x="2409444" y="1859280"/>
                </a:lnTo>
                <a:lnTo>
                  <a:pt x="3169920" y="1859280"/>
                </a:lnTo>
                <a:lnTo>
                  <a:pt x="3169920" y="1655064"/>
                </a:lnTo>
                <a:close/>
              </a:path>
              <a:path w="6217920" h="2273935">
                <a:moveTo>
                  <a:pt x="3169920" y="1449324"/>
                </a:moveTo>
                <a:lnTo>
                  <a:pt x="2409444" y="1449324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9324"/>
                </a:lnTo>
                <a:close/>
              </a:path>
              <a:path w="6217920" h="2273935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2273935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2273935">
                <a:moveTo>
                  <a:pt x="3169920" y="827532"/>
                </a:moveTo>
                <a:lnTo>
                  <a:pt x="2409444" y="827532"/>
                </a:lnTo>
                <a:lnTo>
                  <a:pt x="2409444" y="1031748"/>
                </a:lnTo>
                <a:lnTo>
                  <a:pt x="3169920" y="1031748"/>
                </a:lnTo>
                <a:lnTo>
                  <a:pt x="3169920" y="827532"/>
                </a:lnTo>
                <a:close/>
              </a:path>
              <a:path w="6217920" h="2273935">
                <a:moveTo>
                  <a:pt x="3169920" y="620268"/>
                </a:moveTo>
                <a:lnTo>
                  <a:pt x="2409444" y="620268"/>
                </a:lnTo>
                <a:lnTo>
                  <a:pt x="2409444" y="824484"/>
                </a:lnTo>
                <a:lnTo>
                  <a:pt x="3169920" y="824484"/>
                </a:lnTo>
                <a:lnTo>
                  <a:pt x="3169920" y="620268"/>
                </a:lnTo>
                <a:close/>
              </a:path>
              <a:path w="6217920" h="2273935">
                <a:moveTo>
                  <a:pt x="3169920" y="414528"/>
                </a:moveTo>
                <a:lnTo>
                  <a:pt x="2409444" y="414528"/>
                </a:lnTo>
                <a:lnTo>
                  <a:pt x="2409444" y="617220"/>
                </a:lnTo>
                <a:lnTo>
                  <a:pt x="3169920" y="617220"/>
                </a:lnTo>
                <a:lnTo>
                  <a:pt x="3169920" y="414528"/>
                </a:lnTo>
                <a:close/>
              </a:path>
              <a:path w="6217920" h="2273935">
                <a:moveTo>
                  <a:pt x="3169920" y="207264"/>
                </a:moveTo>
                <a:lnTo>
                  <a:pt x="2409444" y="207264"/>
                </a:lnTo>
                <a:lnTo>
                  <a:pt x="2409444" y="411480"/>
                </a:lnTo>
                <a:lnTo>
                  <a:pt x="3169920" y="411480"/>
                </a:lnTo>
                <a:lnTo>
                  <a:pt x="3169920" y="207264"/>
                </a:lnTo>
                <a:close/>
              </a:path>
              <a:path w="6217920" h="2273935">
                <a:moveTo>
                  <a:pt x="3931920" y="1862328"/>
                </a:moveTo>
                <a:lnTo>
                  <a:pt x="3172968" y="1862328"/>
                </a:lnTo>
                <a:lnTo>
                  <a:pt x="3172968" y="2066544"/>
                </a:lnTo>
                <a:lnTo>
                  <a:pt x="3931920" y="2066544"/>
                </a:lnTo>
                <a:lnTo>
                  <a:pt x="3931920" y="1862328"/>
                </a:lnTo>
                <a:close/>
              </a:path>
              <a:path w="6217920" h="2273935">
                <a:moveTo>
                  <a:pt x="3931920" y="1655064"/>
                </a:moveTo>
                <a:lnTo>
                  <a:pt x="3172968" y="1655064"/>
                </a:lnTo>
                <a:lnTo>
                  <a:pt x="3172968" y="1859280"/>
                </a:lnTo>
                <a:lnTo>
                  <a:pt x="3931920" y="1859280"/>
                </a:lnTo>
                <a:lnTo>
                  <a:pt x="3931920" y="1655064"/>
                </a:lnTo>
                <a:close/>
              </a:path>
              <a:path w="6217920" h="2273935">
                <a:moveTo>
                  <a:pt x="3931920" y="1449324"/>
                </a:moveTo>
                <a:lnTo>
                  <a:pt x="3172968" y="1449324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9324"/>
                </a:lnTo>
                <a:close/>
              </a:path>
              <a:path w="6217920" h="2273935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2273935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2273935">
                <a:moveTo>
                  <a:pt x="3931920" y="827532"/>
                </a:moveTo>
                <a:lnTo>
                  <a:pt x="3172968" y="827532"/>
                </a:lnTo>
                <a:lnTo>
                  <a:pt x="3172968" y="1031748"/>
                </a:lnTo>
                <a:lnTo>
                  <a:pt x="3931920" y="1031748"/>
                </a:lnTo>
                <a:lnTo>
                  <a:pt x="3931920" y="827532"/>
                </a:lnTo>
                <a:close/>
              </a:path>
              <a:path w="6217920" h="2273935">
                <a:moveTo>
                  <a:pt x="3931920" y="620268"/>
                </a:moveTo>
                <a:lnTo>
                  <a:pt x="3172968" y="620268"/>
                </a:lnTo>
                <a:lnTo>
                  <a:pt x="3172968" y="824484"/>
                </a:lnTo>
                <a:lnTo>
                  <a:pt x="3931920" y="824484"/>
                </a:lnTo>
                <a:lnTo>
                  <a:pt x="3931920" y="620268"/>
                </a:lnTo>
                <a:close/>
              </a:path>
              <a:path w="6217920" h="2273935">
                <a:moveTo>
                  <a:pt x="3931920" y="414528"/>
                </a:moveTo>
                <a:lnTo>
                  <a:pt x="3172968" y="414528"/>
                </a:lnTo>
                <a:lnTo>
                  <a:pt x="3172968" y="617220"/>
                </a:lnTo>
                <a:lnTo>
                  <a:pt x="3931920" y="617220"/>
                </a:lnTo>
                <a:lnTo>
                  <a:pt x="3931920" y="414528"/>
                </a:lnTo>
                <a:close/>
              </a:path>
              <a:path w="6217920" h="2273935">
                <a:moveTo>
                  <a:pt x="3931920" y="207264"/>
                </a:moveTo>
                <a:lnTo>
                  <a:pt x="3172968" y="207264"/>
                </a:lnTo>
                <a:lnTo>
                  <a:pt x="3172968" y="411480"/>
                </a:lnTo>
                <a:lnTo>
                  <a:pt x="3931920" y="411480"/>
                </a:lnTo>
                <a:lnTo>
                  <a:pt x="3931920" y="207264"/>
                </a:lnTo>
                <a:close/>
              </a:path>
              <a:path w="6217920" h="2273935">
                <a:moveTo>
                  <a:pt x="3931920" y="0"/>
                </a:moveTo>
                <a:lnTo>
                  <a:pt x="3172968" y="0"/>
                </a:lnTo>
                <a:lnTo>
                  <a:pt x="3172968" y="204216"/>
                </a:lnTo>
                <a:lnTo>
                  <a:pt x="3931920" y="204216"/>
                </a:lnTo>
                <a:lnTo>
                  <a:pt x="3931920" y="0"/>
                </a:lnTo>
                <a:close/>
              </a:path>
              <a:path w="6217920" h="2273935">
                <a:moveTo>
                  <a:pt x="4693907" y="1862328"/>
                </a:moveTo>
                <a:lnTo>
                  <a:pt x="3934968" y="1862328"/>
                </a:lnTo>
                <a:lnTo>
                  <a:pt x="3934968" y="2066544"/>
                </a:lnTo>
                <a:lnTo>
                  <a:pt x="4693907" y="2066544"/>
                </a:lnTo>
                <a:lnTo>
                  <a:pt x="4693907" y="1862328"/>
                </a:lnTo>
                <a:close/>
              </a:path>
              <a:path w="6217920" h="2273935">
                <a:moveTo>
                  <a:pt x="4693907" y="1655064"/>
                </a:moveTo>
                <a:lnTo>
                  <a:pt x="3934968" y="1655064"/>
                </a:lnTo>
                <a:lnTo>
                  <a:pt x="3934968" y="1859280"/>
                </a:lnTo>
                <a:lnTo>
                  <a:pt x="4693907" y="1859280"/>
                </a:lnTo>
                <a:lnTo>
                  <a:pt x="4693907" y="1655064"/>
                </a:lnTo>
                <a:close/>
              </a:path>
              <a:path w="6217920" h="2273935">
                <a:moveTo>
                  <a:pt x="4693907" y="1449324"/>
                </a:moveTo>
                <a:lnTo>
                  <a:pt x="3934968" y="1449324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9324"/>
                </a:lnTo>
                <a:close/>
              </a:path>
              <a:path w="6217920" h="2273935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2273935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2273935">
                <a:moveTo>
                  <a:pt x="4693907" y="827532"/>
                </a:moveTo>
                <a:lnTo>
                  <a:pt x="3934968" y="827532"/>
                </a:lnTo>
                <a:lnTo>
                  <a:pt x="3934968" y="1031748"/>
                </a:lnTo>
                <a:lnTo>
                  <a:pt x="4693907" y="1031748"/>
                </a:lnTo>
                <a:lnTo>
                  <a:pt x="4693907" y="827532"/>
                </a:lnTo>
                <a:close/>
              </a:path>
              <a:path w="6217920" h="2273935">
                <a:moveTo>
                  <a:pt x="4693907" y="620268"/>
                </a:moveTo>
                <a:lnTo>
                  <a:pt x="3934968" y="620268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0268"/>
                </a:lnTo>
                <a:close/>
              </a:path>
              <a:path w="6217920" h="2273935">
                <a:moveTo>
                  <a:pt x="4693907" y="414528"/>
                </a:moveTo>
                <a:lnTo>
                  <a:pt x="3934968" y="414528"/>
                </a:lnTo>
                <a:lnTo>
                  <a:pt x="3934968" y="617220"/>
                </a:lnTo>
                <a:lnTo>
                  <a:pt x="4693907" y="617220"/>
                </a:lnTo>
                <a:lnTo>
                  <a:pt x="4693907" y="414528"/>
                </a:lnTo>
                <a:close/>
              </a:path>
              <a:path w="6217920" h="2273935">
                <a:moveTo>
                  <a:pt x="4693907" y="207264"/>
                </a:moveTo>
                <a:lnTo>
                  <a:pt x="3934968" y="207264"/>
                </a:lnTo>
                <a:lnTo>
                  <a:pt x="3934968" y="411480"/>
                </a:lnTo>
                <a:lnTo>
                  <a:pt x="4693907" y="411480"/>
                </a:lnTo>
                <a:lnTo>
                  <a:pt x="4693907" y="207264"/>
                </a:lnTo>
                <a:close/>
              </a:path>
              <a:path w="6217920" h="2273935">
                <a:moveTo>
                  <a:pt x="4693907" y="0"/>
                </a:moveTo>
                <a:lnTo>
                  <a:pt x="3934968" y="0"/>
                </a:lnTo>
                <a:lnTo>
                  <a:pt x="3934968" y="204216"/>
                </a:lnTo>
                <a:lnTo>
                  <a:pt x="4693907" y="204216"/>
                </a:lnTo>
                <a:lnTo>
                  <a:pt x="4693907" y="0"/>
                </a:lnTo>
                <a:close/>
              </a:path>
              <a:path w="6217920" h="2273935">
                <a:moveTo>
                  <a:pt x="5455920" y="1862328"/>
                </a:moveTo>
                <a:lnTo>
                  <a:pt x="4696968" y="1862328"/>
                </a:lnTo>
                <a:lnTo>
                  <a:pt x="4696968" y="2066544"/>
                </a:lnTo>
                <a:lnTo>
                  <a:pt x="5455920" y="2066544"/>
                </a:lnTo>
                <a:lnTo>
                  <a:pt x="5455920" y="1862328"/>
                </a:lnTo>
                <a:close/>
              </a:path>
              <a:path w="6217920" h="2273935">
                <a:moveTo>
                  <a:pt x="5455920" y="1655064"/>
                </a:moveTo>
                <a:lnTo>
                  <a:pt x="4696968" y="1655064"/>
                </a:lnTo>
                <a:lnTo>
                  <a:pt x="4696968" y="1859280"/>
                </a:lnTo>
                <a:lnTo>
                  <a:pt x="5455920" y="1859280"/>
                </a:lnTo>
                <a:lnTo>
                  <a:pt x="5455920" y="1655064"/>
                </a:lnTo>
                <a:close/>
              </a:path>
              <a:path w="6217920" h="2273935">
                <a:moveTo>
                  <a:pt x="5455920" y="1449324"/>
                </a:moveTo>
                <a:lnTo>
                  <a:pt x="4696968" y="1449324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9324"/>
                </a:lnTo>
                <a:close/>
              </a:path>
              <a:path w="6217920" h="2273935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2273935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2273935">
                <a:moveTo>
                  <a:pt x="5455920" y="827532"/>
                </a:moveTo>
                <a:lnTo>
                  <a:pt x="4696968" y="827532"/>
                </a:lnTo>
                <a:lnTo>
                  <a:pt x="4696968" y="1031748"/>
                </a:lnTo>
                <a:lnTo>
                  <a:pt x="5455920" y="1031748"/>
                </a:lnTo>
                <a:lnTo>
                  <a:pt x="5455920" y="827532"/>
                </a:lnTo>
                <a:close/>
              </a:path>
              <a:path w="6217920" h="2273935">
                <a:moveTo>
                  <a:pt x="5455920" y="620268"/>
                </a:moveTo>
                <a:lnTo>
                  <a:pt x="4696968" y="620268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0268"/>
                </a:lnTo>
                <a:close/>
              </a:path>
              <a:path w="6217920" h="2273935">
                <a:moveTo>
                  <a:pt x="5455920" y="414528"/>
                </a:moveTo>
                <a:lnTo>
                  <a:pt x="4696968" y="414528"/>
                </a:lnTo>
                <a:lnTo>
                  <a:pt x="4696968" y="617220"/>
                </a:lnTo>
                <a:lnTo>
                  <a:pt x="5455920" y="617220"/>
                </a:lnTo>
                <a:lnTo>
                  <a:pt x="5455920" y="414528"/>
                </a:lnTo>
                <a:close/>
              </a:path>
              <a:path w="6217920" h="2273935">
                <a:moveTo>
                  <a:pt x="5455920" y="207264"/>
                </a:moveTo>
                <a:lnTo>
                  <a:pt x="4696968" y="207264"/>
                </a:lnTo>
                <a:lnTo>
                  <a:pt x="4696968" y="411480"/>
                </a:lnTo>
                <a:lnTo>
                  <a:pt x="5455920" y="411480"/>
                </a:lnTo>
                <a:lnTo>
                  <a:pt x="5455920" y="207264"/>
                </a:lnTo>
                <a:close/>
              </a:path>
              <a:path w="6217920" h="2273935">
                <a:moveTo>
                  <a:pt x="5455920" y="0"/>
                </a:moveTo>
                <a:lnTo>
                  <a:pt x="4696968" y="0"/>
                </a:lnTo>
                <a:lnTo>
                  <a:pt x="4696968" y="204216"/>
                </a:lnTo>
                <a:lnTo>
                  <a:pt x="5455920" y="204216"/>
                </a:lnTo>
                <a:lnTo>
                  <a:pt x="5455920" y="0"/>
                </a:lnTo>
                <a:close/>
              </a:path>
              <a:path w="6217920" h="2273935">
                <a:moveTo>
                  <a:pt x="6217920" y="1862328"/>
                </a:moveTo>
                <a:lnTo>
                  <a:pt x="5458968" y="1862328"/>
                </a:lnTo>
                <a:lnTo>
                  <a:pt x="5458968" y="2066544"/>
                </a:lnTo>
                <a:lnTo>
                  <a:pt x="6217920" y="2066544"/>
                </a:lnTo>
                <a:lnTo>
                  <a:pt x="6217920" y="1862328"/>
                </a:lnTo>
                <a:close/>
              </a:path>
              <a:path w="6217920" h="2273935">
                <a:moveTo>
                  <a:pt x="6217920" y="1655064"/>
                </a:moveTo>
                <a:lnTo>
                  <a:pt x="5458968" y="1655064"/>
                </a:lnTo>
                <a:lnTo>
                  <a:pt x="5458968" y="1859280"/>
                </a:lnTo>
                <a:lnTo>
                  <a:pt x="6217920" y="1859280"/>
                </a:lnTo>
                <a:lnTo>
                  <a:pt x="6217920" y="1655064"/>
                </a:lnTo>
                <a:close/>
              </a:path>
              <a:path w="6217920" h="2273935">
                <a:moveTo>
                  <a:pt x="6217920" y="1449324"/>
                </a:moveTo>
                <a:lnTo>
                  <a:pt x="5458968" y="1449324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9324"/>
                </a:lnTo>
                <a:close/>
              </a:path>
              <a:path w="6217920" h="2273935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2273935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  <a:path w="6217920" h="2273935">
                <a:moveTo>
                  <a:pt x="6217920" y="827532"/>
                </a:moveTo>
                <a:lnTo>
                  <a:pt x="5458968" y="827532"/>
                </a:lnTo>
                <a:lnTo>
                  <a:pt x="5458968" y="1031748"/>
                </a:lnTo>
                <a:lnTo>
                  <a:pt x="6217920" y="1031748"/>
                </a:lnTo>
                <a:lnTo>
                  <a:pt x="6217920" y="827532"/>
                </a:lnTo>
                <a:close/>
              </a:path>
              <a:path w="6217920" h="2273935">
                <a:moveTo>
                  <a:pt x="6217920" y="620268"/>
                </a:moveTo>
                <a:lnTo>
                  <a:pt x="5458968" y="620268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0268"/>
                </a:lnTo>
                <a:close/>
              </a:path>
              <a:path w="6217920" h="2273935">
                <a:moveTo>
                  <a:pt x="6217920" y="414528"/>
                </a:moveTo>
                <a:lnTo>
                  <a:pt x="5458968" y="414528"/>
                </a:lnTo>
                <a:lnTo>
                  <a:pt x="5458968" y="617220"/>
                </a:lnTo>
                <a:lnTo>
                  <a:pt x="6217920" y="617220"/>
                </a:lnTo>
                <a:lnTo>
                  <a:pt x="6217920" y="414528"/>
                </a:lnTo>
                <a:close/>
              </a:path>
              <a:path w="6217920" h="2273935">
                <a:moveTo>
                  <a:pt x="6217920" y="207264"/>
                </a:moveTo>
                <a:lnTo>
                  <a:pt x="5458968" y="207264"/>
                </a:lnTo>
                <a:lnTo>
                  <a:pt x="5458968" y="411480"/>
                </a:lnTo>
                <a:lnTo>
                  <a:pt x="6217920" y="411480"/>
                </a:lnTo>
                <a:lnTo>
                  <a:pt x="6217920" y="207264"/>
                </a:lnTo>
                <a:close/>
              </a:path>
              <a:path w="6217920" h="2273935">
                <a:moveTo>
                  <a:pt x="6217920" y="0"/>
                </a:moveTo>
                <a:lnTo>
                  <a:pt x="5458968" y="0"/>
                </a:lnTo>
                <a:lnTo>
                  <a:pt x="5458968" y="204216"/>
                </a:lnTo>
                <a:lnTo>
                  <a:pt x="6217920" y="204216"/>
                </a:lnTo>
                <a:lnTo>
                  <a:pt x="621792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900-00006B000000}"/>
              </a:ext>
            </a:extLst>
          </xdr:cNvPr>
          <xdr:cNvSpPr/>
        </xdr:nvSpPr>
        <xdr:spPr>
          <a:xfrm>
            <a:off x="0" y="1862327"/>
            <a:ext cx="7486015" cy="2481580"/>
          </a:xfrm>
          <a:custGeom>
            <a:avLst/>
            <a:gdLst/>
            <a:ahLst/>
            <a:cxnLst/>
            <a:rect l="0" t="0" r="0" b="0"/>
            <a:pathLst>
              <a:path w="7486015" h="2481580">
                <a:moveTo>
                  <a:pt x="312420" y="0"/>
                </a:moveTo>
                <a:lnTo>
                  <a:pt x="0" y="0"/>
                </a:lnTo>
                <a:lnTo>
                  <a:pt x="0" y="2481072"/>
                </a:lnTo>
                <a:lnTo>
                  <a:pt x="312420" y="2481072"/>
                </a:lnTo>
                <a:lnTo>
                  <a:pt x="312420" y="0"/>
                </a:lnTo>
                <a:close/>
              </a:path>
              <a:path w="7486015" h="2481580">
                <a:moveTo>
                  <a:pt x="1264920" y="0"/>
                </a:moveTo>
                <a:lnTo>
                  <a:pt x="315468" y="0"/>
                </a:lnTo>
                <a:lnTo>
                  <a:pt x="315468" y="2481072"/>
                </a:lnTo>
                <a:lnTo>
                  <a:pt x="1264920" y="2481072"/>
                </a:lnTo>
                <a:lnTo>
                  <a:pt x="1264920" y="0"/>
                </a:lnTo>
                <a:close/>
              </a:path>
              <a:path w="7486015" h="2481580">
                <a:moveTo>
                  <a:pt x="2531364" y="1449324"/>
                </a:moveTo>
                <a:lnTo>
                  <a:pt x="1267968" y="1449324"/>
                </a:lnTo>
                <a:lnTo>
                  <a:pt x="1267968" y="2481072"/>
                </a:lnTo>
                <a:lnTo>
                  <a:pt x="2531364" y="2481072"/>
                </a:lnTo>
                <a:lnTo>
                  <a:pt x="2531364" y="1449324"/>
                </a:lnTo>
                <a:close/>
              </a:path>
              <a:path w="7486015" h="2481580">
                <a:moveTo>
                  <a:pt x="3037332" y="2276856"/>
                </a:moveTo>
                <a:lnTo>
                  <a:pt x="2534412" y="2276856"/>
                </a:lnTo>
                <a:lnTo>
                  <a:pt x="2534412" y="2481072"/>
                </a:lnTo>
                <a:lnTo>
                  <a:pt x="3037332" y="2481072"/>
                </a:lnTo>
                <a:lnTo>
                  <a:pt x="3037332" y="2276856"/>
                </a:lnTo>
                <a:close/>
              </a:path>
              <a:path w="7486015" h="2481580">
                <a:moveTo>
                  <a:pt x="3674364" y="2276856"/>
                </a:moveTo>
                <a:lnTo>
                  <a:pt x="3040380" y="2276856"/>
                </a:lnTo>
                <a:lnTo>
                  <a:pt x="3040380" y="2481072"/>
                </a:lnTo>
                <a:lnTo>
                  <a:pt x="3674364" y="2481072"/>
                </a:lnTo>
                <a:lnTo>
                  <a:pt x="3674364" y="2276856"/>
                </a:lnTo>
                <a:close/>
              </a:path>
              <a:path w="7486015" h="2481580">
                <a:moveTo>
                  <a:pt x="4437888" y="2276856"/>
                </a:moveTo>
                <a:lnTo>
                  <a:pt x="3677412" y="2276856"/>
                </a:lnTo>
                <a:lnTo>
                  <a:pt x="3677412" y="2481072"/>
                </a:lnTo>
                <a:lnTo>
                  <a:pt x="4437888" y="2481072"/>
                </a:lnTo>
                <a:lnTo>
                  <a:pt x="4437888" y="2276856"/>
                </a:lnTo>
                <a:close/>
              </a:path>
              <a:path w="7486015" h="248158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481580">
                <a:moveTo>
                  <a:pt x="5199888" y="2276856"/>
                </a:moveTo>
                <a:lnTo>
                  <a:pt x="4440936" y="2276856"/>
                </a:lnTo>
                <a:lnTo>
                  <a:pt x="4440936" y="2481072"/>
                </a:lnTo>
                <a:lnTo>
                  <a:pt x="5199888" y="2481072"/>
                </a:lnTo>
                <a:lnTo>
                  <a:pt x="5199888" y="2276856"/>
                </a:lnTo>
                <a:close/>
              </a:path>
              <a:path w="7486015" h="248158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2481580">
                <a:moveTo>
                  <a:pt x="5961875" y="2276856"/>
                </a:moveTo>
                <a:lnTo>
                  <a:pt x="5202936" y="2276856"/>
                </a:lnTo>
                <a:lnTo>
                  <a:pt x="5202936" y="2481072"/>
                </a:lnTo>
                <a:lnTo>
                  <a:pt x="5961875" y="2481072"/>
                </a:lnTo>
                <a:lnTo>
                  <a:pt x="5961875" y="2276856"/>
                </a:lnTo>
                <a:close/>
              </a:path>
              <a:path w="7486015" h="248158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2481580">
                <a:moveTo>
                  <a:pt x="6723888" y="2276856"/>
                </a:moveTo>
                <a:lnTo>
                  <a:pt x="5964936" y="2276856"/>
                </a:lnTo>
                <a:lnTo>
                  <a:pt x="5964936" y="2481072"/>
                </a:lnTo>
                <a:lnTo>
                  <a:pt x="6723888" y="2481072"/>
                </a:lnTo>
                <a:lnTo>
                  <a:pt x="6723888" y="2276856"/>
                </a:lnTo>
                <a:close/>
              </a:path>
              <a:path w="7486015" h="248158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2481580">
                <a:moveTo>
                  <a:pt x="7485888" y="2276856"/>
                </a:moveTo>
                <a:lnTo>
                  <a:pt x="6726936" y="2276856"/>
                </a:lnTo>
                <a:lnTo>
                  <a:pt x="6726936" y="2481072"/>
                </a:lnTo>
                <a:lnTo>
                  <a:pt x="7485888" y="2481072"/>
                </a:lnTo>
                <a:lnTo>
                  <a:pt x="7485888" y="2276856"/>
                </a:lnTo>
                <a:close/>
              </a:path>
              <a:path w="7486015" h="248158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27</xdr:row>
      <xdr:rowOff>0</xdr:rowOff>
    </xdr:from>
    <xdr:ext cx="645160" cy="434340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645160" cy="4343400"/>
        </a:xfrm>
        <a:custGeom>
          <a:avLst/>
          <a:gdLst/>
          <a:ahLst/>
          <a:cxnLst/>
          <a:rect l="0" t="0" r="0" b="0"/>
          <a:pathLst>
            <a:path w="645160" h="4343400">
              <a:moveTo>
                <a:pt x="644652" y="4139184"/>
              </a:moveTo>
              <a:lnTo>
                <a:pt x="0" y="4139184"/>
              </a:lnTo>
              <a:lnTo>
                <a:pt x="0" y="4343400"/>
              </a:lnTo>
              <a:lnTo>
                <a:pt x="644652" y="4343400"/>
              </a:lnTo>
              <a:lnTo>
                <a:pt x="644652" y="4139184"/>
              </a:lnTo>
              <a:close/>
            </a:path>
            <a:path w="645160" h="434340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34340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34340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34340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34340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34340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34340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34340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3434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3434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3434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3434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3434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3434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3434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3434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3434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3434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3434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3434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206501</xdr:rowOff>
    </xdr:from>
    <xdr:ext cx="3808729" cy="480059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10" name="image1.jpeg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11" name="image2.jpeg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112" name="image3.jpeg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13" name="image4.jpeg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114" name="image5.jpeg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3721735"/>
    <xdr:grpSp>
      <xdr:nvGrpSpPr>
        <xdr:cNvPr id="115" name="Group 115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GrpSpPr/>
      </xdr:nvGrpSpPr>
      <xdr:grpSpPr>
        <a:xfrm>
          <a:off x="607059" y="5829300"/>
          <a:ext cx="7486015" cy="3721735"/>
          <a:chOff x="0" y="0"/>
          <a:chExt cx="7486015" cy="3721735"/>
        </a:xfrm>
      </xdr:grpSpPr>
      <xdr:sp macro="" textlink="">
        <xdr:nvSpPr>
          <xdr:cNvPr id="116" name="Shape 116">
            <a:extLst>
              <a:ext uri="{FF2B5EF4-FFF2-40B4-BE49-F238E27FC236}">
                <a16:creationId xmlns:a16="http://schemas.microsoft.com/office/drawing/2014/main" id="{00000000-0008-0000-0A00-000074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A00-000075000000}"/>
              </a:ext>
            </a:extLst>
          </xdr:cNvPr>
          <xdr:cNvSpPr/>
        </xdr:nvSpPr>
        <xdr:spPr>
          <a:xfrm>
            <a:off x="0" y="1034795"/>
            <a:ext cx="7486015" cy="2687320"/>
          </a:xfrm>
          <a:custGeom>
            <a:avLst/>
            <a:gdLst/>
            <a:ahLst/>
            <a:cxnLst/>
            <a:rect l="0" t="0" r="0" b="0"/>
            <a:pathLst>
              <a:path w="7486015" h="2687320">
                <a:moveTo>
                  <a:pt x="312420" y="0"/>
                </a:moveTo>
                <a:lnTo>
                  <a:pt x="0" y="0"/>
                </a:lnTo>
                <a:lnTo>
                  <a:pt x="0" y="1444752"/>
                </a:lnTo>
                <a:lnTo>
                  <a:pt x="312420" y="1444752"/>
                </a:lnTo>
                <a:lnTo>
                  <a:pt x="312420" y="0"/>
                </a:lnTo>
                <a:close/>
              </a:path>
              <a:path w="7486015" h="2687320">
                <a:moveTo>
                  <a:pt x="1264920" y="0"/>
                </a:moveTo>
                <a:lnTo>
                  <a:pt x="315468" y="0"/>
                </a:lnTo>
                <a:lnTo>
                  <a:pt x="315468" y="1444752"/>
                </a:lnTo>
                <a:lnTo>
                  <a:pt x="1264920" y="1444752"/>
                </a:lnTo>
                <a:lnTo>
                  <a:pt x="1264920" y="0"/>
                </a:lnTo>
                <a:close/>
              </a:path>
              <a:path w="7486015" h="2687320">
                <a:moveTo>
                  <a:pt x="2531364" y="1447800"/>
                </a:moveTo>
                <a:lnTo>
                  <a:pt x="1267968" y="1447800"/>
                </a:lnTo>
                <a:lnTo>
                  <a:pt x="1267968" y="2686812"/>
                </a:lnTo>
                <a:lnTo>
                  <a:pt x="2531364" y="2686812"/>
                </a:lnTo>
                <a:lnTo>
                  <a:pt x="2531364" y="1447800"/>
                </a:lnTo>
                <a:close/>
              </a:path>
              <a:path w="7486015" h="2687320">
                <a:moveTo>
                  <a:pt x="2531364" y="0"/>
                </a:moveTo>
                <a:lnTo>
                  <a:pt x="1267968" y="0"/>
                </a:lnTo>
                <a:lnTo>
                  <a:pt x="1267968" y="1444752"/>
                </a:lnTo>
                <a:lnTo>
                  <a:pt x="2531364" y="1444752"/>
                </a:lnTo>
                <a:lnTo>
                  <a:pt x="2531364" y="0"/>
                </a:lnTo>
                <a:close/>
              </a:path>
              <a:path w="7486015" h="2687320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2687320">
                <a:moveTo>
                  <a:pt x="3037332" y="2276856"/>
                </a:moveTo>
                <a:lnTo>
                  <a:pt x="2534412" y="2276856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6856"/>
                </a:lnTo>
                <a:close/>
              </a:path>
              <a:path w="7486015" h="2687320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68732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68732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68732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687320">
                <a:moveTo>
                  <a:pt x="3037332" y="1242060"/>
                </a:moveTo>
                <a:lnTo>
                  <a:pt x="2534412" y="1242060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2060"/>
                </a:lnTo>
                <a:close/>
              </a:path>
              <a:path w="7486015" h="268732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687320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2687320">
                <a:moveTo>
                  <a:pt x="3674364" y="2276856"/>
                </a:moveTo>
                <a:lnTo>
                  <a:pt x="3040380" y="2276856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6856"/>
                </a:lnTo>
                <a:close/>
              </a:path>
              <a:path w="7486015" h="2687320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68732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68732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68732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687320">
                <a:moveTo>
                  <a:pt x="3674364" y="1242060"/>
                </a:moveTo>
                <a:lnTo>
                  <a:pt x="3040380" y="1242060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2060"/>
                </a:lnTo>
                <a:close/>
              </a:path>
              <a:path w="7486015" h="268732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687320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2687320">
                <a:moveTo>
                  <a:pt x="4437888" y="2276856"/>
                </a:moveTo>
                <a:lnTo>
                  <a:pt x="3677412" y="2276856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6856"/>
                </a:lnTo>
                <a:close/>
              </a:path>
              <a:path w="7486015" h="268732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68732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68732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68732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687320">
                <a:moveTo>
                  <a:pt x="4437888" y="1242060"/>
                </a:moveTo>
                <a:lnTo>
                  <a:pt x="3677412" y="1242060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2060"/>
                </a:lnTo>
                <a:close/>
              </a:path>
              <a:path w="7486015" h="268732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687320">
                <a:moveTo>
                  <a:pt x="5199888" y="2482596"/>
                </a:moveTo>
                <a:lnTo>
                  <a:pt x="4440936" y="2482596"/>
                </a:lnTo>
                <a:lnTo>
                  <a:pt x="4440936" y="2686812"/>
                </a:lnTo>
                <a:lnTo>
                  <a:pt x="5199888" y="2686812"/>
                </a:lnTo>
                <a:lnTo>
                  <a:pt x="5199888" y="2482596"/>
                </a:lnTo>
                <a:close/>
              </a:path>
              <a:path w="7486015" h="2687320">
                <a:moveTo>
                  <a:pt x="5199888" y="2276856"/>
                </a:moveTo>
                <a:lnTo>
                  <a:pt x="4440936" y="2276856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6856"/>
                </a:lnTo>
                <a:close/>
              </a:path>
              <a:path w="7486015" h="268732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268732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68732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68732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687320">
                <a:moveTo>
                  <a:pt x="5199888" y="1242060"/>
                </a:moveTo>
                <a:lnTo>
                  <a:pt x="4440936" y="1242060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2060"/>
                </a:lnTo>
                <a:close/>
              </a:path>
              <a:path w="7486015" h="268732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687320">
                <a:moveTo>
                  <a:pt x="5961875" y="2482596"/>
                </a:moveTo>
                <a:lnTo>
                  <a:pt x="5202936" y="2482596"/>
                </a:lnTo>
                <a:lnTo>
                  <a:pt x="5202936" y="2686812"/>
                </a:lnTo>
                <a:lnTo>
                  <a:pt x="5961875" y="2686812"/>
                </a:lnTo>
                <a:lnTo>
                  <a:pt x="5961875" y="2482596"/>
                </a:lnTo>
                <a:close/>
              </a:path>
              <a:path w="7486015" h="2687320">
                <a:moveTo>
                  <a:pt x="5961875" y="2276856"/>
                </a:moveTo>
                <a:lnTo>
                  <a:pt x="5202936" y="2276856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6856"/>
                </a:lnTo>
                <a:close/>
              </a:path>
              <a:path w="7486015" h="268732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268732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68732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68732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687320">
                <a:moveTo>
                  <a:pt x="5961875" y="1242060"/>
                </a:moveTo>
                <a:lnTo>
                  <a:pt x="5202936" y="1242060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2060"/>
                </a:lnTo>
                <a:close/>
              </a:path>
              <a:path w="7486015" h="268732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68732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687320">
                <a:moveTo>
                  <a:pt x="6723888" y="2482596"/>
                </a:moveTo>
                <a:lnTo>
                  <a:pt x="5964936" y="2482596"/>
                </a:lnTo>
                <a:lnTo>
                  <a:pt x="5964936" y="2686812"/>
                </a:lnTo>
                <a:lnTo>
                  <a:pt x="6723888" y="2686812"/>
                </a:lnTo>
                <a:lnTo>
                  <a:pt x="6723888" y="2482596"/>
                </a:lnTo>
                <a:close/>
              </a:path>
              <a:path w="7486015" h="2687320">
                <a:moveTo>
                  <a:pt x="6723888" y="2276856"/>
                </a:moveTo>
                <a:lnTo>
                  <a:pt x="5964936" y="2276856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6856"/>
                </a:lnTo>
                <a:close/>
              </a:path>
              <a:path w="7486015" h="268732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268732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68732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68732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687320">
                <a:moveTo>
                  <a:pt x="6723888" y="1242060"/>
                </a:moveTo>
                <a:lnTo>
                  <a:pt x="5964936" y="1242060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2060"/>
                </a:lnTo>
                <a:close/>
              </a:path>
              <a:path w="7486015" h="268732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68732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687320">
                <a:moveTo>
                  <a:pt x="7485888" y="2482596"/>
                </a:moveTo>
                <a:lnTo>
                  <a:pt x="6726936" y="2482596"/>
                </a:lnTo>
                <a:lnTo>
                  <a:pt x="6726936" y="2686812"/>
                </a:lnTo>
                <a:lnTo>
                  <a:pt x="7485888" y="2686812"/>
                </a:lnTo>
                <a:lnTo>
                  <a:pt x="7485888" y="2482596"/>
                </a:lnTo>
                <a:close/>
              </a:path>
              <a:path w="7486015" h="2687320">
                <a:moveTo>
                  <a:pt x="7485888" y="2276856"/>
                </a:moveTo>
                <a:lnTo>
                  <a:pt x="6726936" y="2276856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6856"/>
                </a:lnTo>
                <a:close/>
              </a:path>
              <a:path w="7486015" h="268732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268732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68732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68732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687320">
                <a:moveTo>
                  <a:pt x="7485888" y="1242060"/>
                </a:moveTo>
                <a:lnTo>
                  <a:pt x="6726936" y="1242060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2060"/>
                </a:lnTo>
                <a:close/>
              </a:path>
              <a:path w="7486015" h="268732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68732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372173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SpPr/>
      </xdr:nvSpPr>
      <xdr:spPr>
        <a:xfrm>
          <a:off x="0" y="0"/>
          <a:ext cx="645160" cy="3721735"/>
        </a:xfrm>
        <a:custGeom>
          <a:avLst/>
          <a:gdLst/>
          <a:ahLst/>
          <a:cxnLst/>
          <a:rect l="0" t="0" r="0" b="0"/>
          <a:pathLst>
            <a:path w="645160" h="3721735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3721735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72173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72173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72173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72173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72173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72173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72173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72173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72173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72173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72173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72173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72173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72173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72173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72173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10</xdr:row>
      <xdr:rowOff>0</xdr:rowOff>
    </xdr:from>
    <xdr:ext cx="3808729" cy="480059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761</xdr:rowOff>
    </xdr:from>
    <xdr:ext cx="381000" cy="381000"/>
    <xdr:pic>
      <xdr:nvPicPr>
        <xdr:cNvPr id="120" name="image1.jpeg">
          <a:extLst>
            <a:ext uri="{FF2B5EF4-FFF2-40B4-BE49-F238E27FC236}">
              <a16:creationId xmlns:a16="http://schemas.microsoft.com/office/drawing/2014/main" id="{00000000-0008-0000-0B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49142</xdr:rowOff>
    </xdr:from>
    <xdr:ext cx="381000" cy="290285"/>
    <xdr:pic>
      <xdr:nvPicPr>
        <xdr:cNvPr id="121" name="image2.jpeg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38666" cy="381000"/>
    <xdr:pic>
      <xdr:nvPicPr>
        <xdr:cNvPr id="122" name="image3.jpeg">
          <a:extLst>
            <a:ext uri="{FF2B5EF4-FFF2-40B4-BE49-F238E27FC236}">
              <a16:creationId xmlns:a16="http://schemas.microsoft.com/office/drawing/2014/main" id="{00000000-0008-0000-0B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23" name="image4.jpeg">
          <a:extLst>
            <a:ext uri="{FF2B5EF4-FFF2-40B4-BE49-F238E27FC236}">
              <a16:creationId xmlns:a16="http://schemas.microsoft.com/office/drawing/2014/main" id="{00000000-0008-0000-0B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124" name="image5.jpeg">
          <a:extLst>
            <a:ext uri="{FF2B5EF4-FFF2-40B4-BE49-F238E27FC236}">
              <a16:creationId xmlns:a16="http://schemas.microsoft.com/office/drawing/2014/main" id="{00000000-0008-0000-0B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226060</xdr:colOff>
      <xdr:row>11</xdr:row>
      <xdr:rowOff>0</xdr:rowOff>
    </xdr:from>
    <xdr:ext cx="7486015" cy="103187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B00-00007D000000}"/>
            </a:ext>
          </a:extLst>
        </xdr:cNvPr>
        <xdr:cNvSpPr/>
      </xdr:nvSpPr>
      <xdr:spPr>
        <a:xfrm>
          <a:off x="0" y="0"/>
          <a:ext cx="7486015" cy="1031875"/>
        </a:xfrm>
        <a:custGeom>
          <a:avLst/>
          <a:gdLst/>
          <a:ahLst/>
          <a:cxnLst/>
          <a:rect l="0" t="0" r="0" b="0"/>
          <a:pathLst>
            <a:path w="7486015" h="1031875">
              <a:moveTo>
                <a:pt x="312420" y="0"/>
              </a:moveTo>
              <a:lnTo>
                <a:pt x="0" y="0"/>
              </a:lnTo>
              <a:lnTo>
                <a:pt x="0" y="1031748"/>
              </a:lnTo>
              <a:lnTo>
                <a:pt x="312420" y="1031748"/>
              </a:lnTo>
              <a:lnTo>
                <a:pt x="312420" y="0"/>
              </a:lnTo>
              <a:close/>
            </a:path>
            <a:path w="7486015" h="1031875">
              <a:moveTo>
                <a:pt x="1264920" y="0"/>
              </a:moveTo>
              <a:lnTo>
                <a:pt x="315468" y="0"/>
              </a:lnTo>
              <a:lnTo>
                <a:pt x="315468" y="1031748"/>
              </a:lnTo>
              <a:lnTo>
                <a:pt x="1264920" y="1031748"/>
              </a:lnTo>
              <a:lnTo>
                <a:pt x="1264920" y="0"/>
              </a:lnTo>
              <a:close/>
            </a:path>
            <a:path w="7486015" h="1031875">
              <a:moveTo>
                <a:pt x="2531364" y="0"/>
              </a:moveTo>
              <a:lnTo>
                <a:pt x="1267968" y="0"/>
              </a:lnTo>
              <a:lnTo>
                <a:pt x="1267968" y="1031748"/>
              </a:lnTo>
              <a:lnTo>
                <a:pt x="2531364" y="1031748"/>
              </a:lnTo>
              <a:lnTo>
                <a:pt x="2531364" y="0"/>
              </a:lnTo>
              <a:close/>
            </a:path>
            <a:path w="7486015" h="1031875">
              <a:moveTo>
                <a:pt x="3037332" y="827532"/>
              </a:moveTo>
              <a:lnTo>
                <a:pt x="2534412" y="827532"/>
              </a:lnTo>
              <a:lnTo>
                <a:pt x="2534412" y="1031748"/>
              </a:lnTo>
              <a:lnTo>
                <a:pt x="3037332" y="1031748"/>
              </a:lnTo>
              <a:lnTo>
                <a:pt x="3037332" y="827532"/>
              </a:lnTo>
              <a:close/>
            </a:path>
            <a:path w="7486015" h="1031875">
              <a:moveTo>
                <a:pt x="3037332" y="621792"/>
              </a:moveTo>
              <a:lnTo>
                <a:pt x="2534412" y="621792"/>
              </a:lnTo>
              <a:lnTo>
                <a:pt x="2534412" y="824484"/>
              </a:lnTo>
              <a:lnTo>
                <a:pt x="3037332" y="824484"/>
              </a:lnTo>
              <a:lnTo>
                <a:pt x="3037332" y="621792"/>
              </a:lnTo>
              <a:close/>
            </a:path>
            <a:path w="7486015" h="1031875">
              <a:moveTo>
                <a:pt x="3037332" y="414528"/>
              </a:moveTo>
              <a:lnTo>
                <a:pt x="2534412" y="414528"/>
              </a:lnTo>
              <a:lnTo>
                <a:pt x="2534412" y="618744"/>
              </a:lnTo>
              <a:lnTo>
                <a:pt x="3037332" y="618744"/>
              </a:lnTo>
              <a:lnTo>
                <a:pt x="3037332" y="414528"/>
              </a:lnTo>
              <a:close/>
            </a:path>
            <a:path w="7486015" h="1031875">
              <a:moveTo>
                <a:pt x="3037332" y="207264"/>
              </a:moveTo>
              <a:lnTo>
                <a:pt x="2534412" y="207264"/>
              </a:lnTo>
              <a:lnTo>
                <a:pt x="2534412" y="411480"/>
              </a:lnTo>
              <a:lnTo>
                <a:pt x="3037332" y="411480"/>
              </a:lnTo>
              <a:lnTo>
                <a:pt x="3037332" y="207264"/>
              </a:lnTo>
              <a:close/>
            </a:path>
            <a:path w="7486015" h="1031875">
              <a:moveTo>
                <a:pt x="3037332" y="0"/>
              </a:moveTo>
              <a:lnTo>
                <a:pt x="2534412" y="0"/>
              </a:lnTo>
              <a:lnTo>
                <a:pt x="2534412" y="204216"/>
              </a:lnTo>
              <a:lnTo>
                <a:pt x="3037332" y="204216"/>
              </a:lnTo>
              <a:lnTo>
                <a:pt x="3037332" y="0"/>
              </a:lnTo>
              <a:close/>
            </a:path>
            <a:path w="7486015" h="1031875">
              <a:moveTo>
                <a:pt x="3674364" y="827532"/>
              </a:moveTo>
              <a:lnTo>
                <a:pt x="3040380" y="827532"/>
              </a:lnTo>
              <a:lnTo>
                <a:pt x="3040380" y="1031748"/>
              </a:lnTo>
              <a:lnTo>
                <a:pt x="3674364" y="1031748"/>
              </a:lnTo>
              <a:lnTo>
                <a:pt x="3674364" y="827532"/>
              </a:lnTo>
              <a:close/>
            </a:path>
            <a:path w="7486015" h="1031875">
              <a:moveTo>
                <a:pt x="3674364" y="621792"/>
              </a:moveTo>
              <a:lnTo>
                <a:pt x="3040380" y="621792"/>
              </a:lnTo>
              <a:lnTo>
                <a:pt x="3040380" y="824484"/>
              </a:lnTo>
              <a:lnTo>
                <a:pt x="3674364" y="824484"/>
              </a:lnTo>
              <a:lnTo>
                <a:pt x="3674364" y="621792"/>
              </a:lnTo>
              <a:close/>
            </a:path>
            <a:path w="7486015" h="1031875">
              <a:moveTo>
                <a:pt x="3674364" y="414528"/>
              </a:moveTo>
              <a:lnTo>
                <a:pt x="3040380" y="414528"/>
              </a:lnTo>
              <a:lnTo>
                <a:pt x="3040380" y="618744"/>
              </a:lnTo>
              <a:lnTo>
                <a:pt x="3674364" y="618744"/>
              </a:lnTo>
              <a:lnTo>
                <a:pt x="3674364" y="414528"/>
              </a:lnTo>
              <a:close/>
            </a:path>
            <a:path w="7486015" h="1031875">
              <a:moveTo>
                <a:pt x="3674364" y="207264"/>
              </a:moveTo>
              <a:lnTo>
                <a:pt x="3040380" y="207264"/>
              </a:lnTo>
              <a:lnTo>
                <a:pt x="3040380" y="411480"/>
              </a:lnTo>
              <a:lnTo>
                <a:pt x="3674364" y="411480"/>
              </a:lnTo>
              <a:lnTo>
                <a:pt x="3674364" y="207264"/>
              </a:lnTo>
              <a:close/>
            </a:path>
            <a:path w="7486015" h="1031875">
              <a:moveTo>
                <a:pt x="3674364" y="0"/>
              </a:moveTo>
              <a:lnTo>
                <a:pt x="3040380" y="0"/>
              </a:lnTo>
              <a:lnTo>
                <a:pt x="3040380" y="204216"/>
              </a:lnTo>
              <a:lnTo>
                <a:pt x="3674364" y="204216"/>
              </a:lnTo>
              <a:lnTo>
                <a:pt x="3674364" y="0"/>
              </a:lnTo>
              <a:close/>
            </a:path>
            <a:path w="7486015" h="1031875">
              <a:moveTo>
                <a:pt x="4437888" y="827532"/>
              </a:moveTo>
              <a:lnTo>
                <a:pt x="3677412" y="827532"/>
              </a:lnTo>
              <a:lnTo>
                <a:pt x="3677412" y="1031748"/>
              </a:lnTo>
              <a:lnTo>
                <a:pt x="4437888" y="1031748"/>
              </a:lnTo>
              <a:lnTo>
                <a:pt x="4437888" y="827532"/>
              </a:lnTo>
              <a:close/>
            </a:path>
            <a:path w="7486015" h="1031875">
              <a:moveTo>
                <a:pt x="4437888" y="621792"/>
              </a:moveTo>
              <a:lnTo>
                <a:pt x="3677412" y="621792"/>
              </a:lnTo>
              <a:lnTo>
                <a:pt x="3677412" y="824484"/>
              </a:lnTo>
              <a:lnTo>
                <a:pt x="4437888" y="824484"/>
              </a:lnTo>
              <a:lnTo>
                <a:pt x="4437888" y="621792"/>
              </a:lnTo>
              <a:close/>
            </a:path>
            <a:path w="7486015" h="1031875">
              <a:moveTo>
                <a:pt x="4437888" y="414528"/>
              </a:moveTo>
              <a:lnTo>
                <a:pt x="3677412" y="414528"/>
              </a:lnTo>
              <a:lnTo>
                <a:pt x="3677412" y="618744"/>
              </a:lnTo>
              <a:lnTo>
                <a:pt x="4437888" y="618744"/>
              </a:lnTo>
              <a:lnTo>
                <a:pt x="4437888" y="414528"/>
              </a:lnTo>
              <a:close/>
            </a:path>
            <a:path w="7486015" h="1031875">
              <a:moveTo>
                <a:pt x="4437888" y="207264"/>
              </a:moveTo>
              <a:lnTo>
                <a:pt x="3677412" y="207264"/>
              </a:lnTo>
              <a:lnTo>
                <a:pt x="3677412" y="411480"/>
              </a:lnTo>
              <a:lnTo>
                <a:pt x="4437888" y="411480"/>
              </a:lnTo>
              <a:lnTo>
                <a:pt x="4437888" y="207264"/>
              </a:lnTo>
              <a:close/>
            </a:path>
            <a:path w="7486015" h="1031875">
              <a:moveTo>
                <a:pt x="4437888" y="0"/>
              </a:moveTo>
              <a:lnTo>
                <a:pt x="3677412" y="0"/>
              </a:lnTo>
              <a:lnTo>
                <a:pt x="3677412" y="204216"/>
              </a:lnTo>
              <a:lnTo>
                <a:pt x="4437888" y="204216"/>
              </a:lnTo>
              <a:lnTo>
                <a:pt x="4437888" y="0"/>
              </a:lnTo>
              <a:close/>
            </a:path>
            <a:path w="7486015" h="1031875">
              <a:moveTo>
                <a:pt x="5199888" y="827532"/>
              </a:moveTo>
              <a:lnTo>
                <a:pt x="4440936" y="827532"/>
              </a:lnTo>
              <a:lnTo>
                <a:pt x="4440936" y="1031748"/>
              </a:lnTo>
              <a:lnTo>
                <a:pt x="5199888" y="1031748"/>
              </a:lnTo>
              <a:lnTo>
                <a:pt x="5199888" y="827532"/>
              </a:lnTo>
              <a:close/>
            </a:path>
            <a:path w="7486015" h="1031875">
              <a:moveTo>
                <a:pt x="5199888" y="621792"/>
              </a:moveTo>
              <a:lnTo>
                <a:pt x="4440936" y="621792"/>
              </a:lnTo>
              <a:lnTo>
                <a:pt x="4440936" y="824484"/>
              </a:lnTo>
              <a:lnTo>
                <a:pt x="5199888" y="824484"/>
              </a:lnTo>
              <a:lnTo>
                <a:pt x="5199888" y="621792"/>
              </a:lnTo>
              <a:close/>
            </a:path>
            <a:path w="7486015" h="1031875">
              <a:moveTo>
                <a:pt x="5199888" y="414528"/>
              </a:moveTo>
              <a:lnTo>
                <a:pt x="4440936" y="414528"/>
              </a:lnTo>
              <a:lnTo>
                <a:pt x="4440936" y="618744"/>
              </a:lnTo>
              <a:lnTo>
                <a:pt x="5199888" y="618744"/>
              </a:lnTo>
              <a:lnTo>
                <a:pt x="5199888" y="414528"/>
              </a:lnTo>
              <a:close/>
            </a:path>
            <a:path w="7486015" h="1031875">
              <a:moveTo>
                <a:pt x="5199888" y="207264"/>
              </a:moveTo>
              <a:lnTo>
                <a:pt x="4440936" y="207264"/>
              </a:lnTo>
              <a:lnTo>
                <a:pt x="4440936" y="411480"/>
              </a:lnTo>
              <a:lnTo>
                <a:pt x="5199888" y="411480"/>
              </a:lnTo>
              <a:lnTo>
                <a:pt x="5199888" y="207264"/>
              </a:lnTo>
              <a:close/>
            </a:path>
            <a:path w="7486015" h="1031875">
              <a:moveTo>
                <a:pt x="5199888" y="0"/>
              </a:moveTo>
              <a:lnTo>
                <a:pt x="4440936" y="0"/>
              </a:lnTo>
              <a:lnTo>
                <a:pt x="4440936" y="204216"/>
              </a:lnTo>
              <a:lnTo>
                <a:pt x="5199888" y="204216"/>
              </a:lnTo>
              <a:lnTo>
                <a:pt x="5199888" y="0"/>
              </a:lnTo>
              <a:close/>
            </a:path>
            <a:path w="7486015" h="1031875">
              <a:moveTo>
                <a:pt x="5961875" y="827532"/>
              </a:moveTo>
              <a:lnTo>
                <a:pt x="5202936" y="827532"/>
              </a:lnTo>
              <a:lnTo>
                <a:pt x="5202936" y="1031748"/>
              </a:lnTo>
              <a:lnTo>
                <a:pt x="5961875" y="1031748"/>
              </a:lnTo>
              <a:lnTo>
                <a:pt x="5961875" y="827532"/>
              </a:lnTo>
              <a:close/>
            </a:path>
            <a:path w="7486015" h="1031875">
              <a:moveTo>
                <a:pt x="5961875" y="621792"/>
              </a:moveTo>
              <a:lnTo>
                <a:pt x="5202936" y="621792"/>
              </a:lnTo>
              <a:lnTo>
                <a:pt x="5202936" y="824484"/>
              </a:lnTo>
              <a:lnTo>
                <a:pt x="5961875" y="824484"/>
              </a:lnTo>
              <a:lnTo>
                <a:pt x="5961875" y="621792"/>
              </a:lnTo>
              <a:close/>
            </a:path>
            <a:path w="7486015" h="1031875">
              <a:moveTo>
                <a:pt x="5961875" y="414528"/>
              </a:moveTo>
              <a:lnTo>
                <a:pt x="5202936" y="414528"/>
              </a:lnTo>
              <a:lnTo>
                <a:pt x="5202936" y="618744"/>
              </a:lnTo>
              <a:lnTo>
                <a:pt x="5961875" y="618744"/>
              </a:lnTo>
              <a:lnTo>
                <a:pt x="5961875" y="414528"/>
              </a:lnTo>
              <a:close/>
            </a:path>
            <a:path w="7486015" h="1031875">
              <a:moveTo>
                <a:pt x="5961875" y="207264"/>
              </a:moveTo>
              <a:lnTo>
                <a:pt x="5202936" y="207264"/>
              </a:lnTo>
              <a:lnTo>
                <a:pt x="5202936" y="411480"/>
              </a:lnTo>
              <a:lnTo>
                <a:pt x="5961875" y="411480"/>
              </a:lnTo>
              <a:lnTo>
                <a:pt x="5961875" y="207264"/>
              </a:lnTo>
              <a:close/>
            </a:path>
            <a:path w="7486015" h="1031875">
              <a:moveTo>
                <a:pt x="5961875" y="0"/>
              </a:moveTo>
              <a:lnTo>
                <a:pt x="5202936" y="0"/>
              </a:lnTo>
              <a:lnTo>
                <a:pt x="5202936" y="204216"/>
              </a:lnTo>
              <a:lnTo>
                <a:pt x="5961875" y="204216"/>
              </a:lnTo>
              <a:lnTo>
                <a:pt x="5961875" y="0"/>
              </a:lnTo>
              <a:close/>
            </a:path>
            <a:path w="7486015" h="1031875">
              <a:moveTo>
                <a:pt x="6723888" y="827532"/>
              </a:moveTo>
              <a:lnTo>
                <a:pt x="5964936" y="827532"/>
              </a:lnTo>
              <a:lnTo>
                <a:pt x="5964936" y="1031748"/>
              </a:lnTo>
              <a:lnTo>
                <a:pt x="6723888" y="1031748"/>
              </a:lnTo>
              <a:lnTo>
                <a:pt x="6723888" y="827532"/>
              </a:lnTo>
              <a:close/>
            </a:path>
            <a:path w="7486015" h="1031875">
              <a:moveTo>
                <a:pt x="6723888" y="621792"/>
              </a:moveTo>
              <a:lnTo>
                <a:pt x="5964936" y="621792"/>
              </a:lnTo>
              <a:lnTo>
                <a:pt x="5964936" y="824484"/>
              </a:lnTo>
              <a:lnTo>
                <a:pt x="6723888" y="824484"/>
              </a:lnTo>
              <a:lnTo>
                <a:pt x="6723888" y="621792"/>
              </a:lnTo>
              <a:close/>
            </a:path>
            <a:path w="7486015" h="1031875">
              <a:moveTo>
                <a:pt x="6723888" y="414528"/>
              </a:moveTo>
              <a:lnTo>
                <a:pt x="5964936" y="414528"/>
              </a:lnTo>
              <a:lnTo>
                <a:pt x="5964936" y="618744"/>
              </a:lnTo>
              <a:lnTo>
                <a:pt x="6723888" y="618744"/>
              </a:lnTo>
              <a:lnTo>
                <a:pt x="6723888" y="414528"/>
              </a:lnTo>
              <a:close/>
            </a:path>
            <a:path w="7486015" h="1031875">
              <a:moveTo>
                <a:pt x="6723888" y="207264"/>
              </a:moveTo>
              <a:lnTo>
                <a:pt x="5964936" y="207264"/>
              </a:lnTo>
              <a:lnTo>
                <a:pt x="5964936" y="411480"/>
              </a:lnTo>
              <a:lnTo>
                <a:pt x="6723888" y="411480"/>
              </a:lnTo>
              <a:lnTo>
                <a:pt x="6723888" y="207264"/>
              </a:lnTo>
              <a:close/>
            </a:path>
            <a:path w="7486015" h="1031875">
              <a:moveTo>
                <a:pt x="6723888" y="0"/>
              </a:moveTo>
              <a:lnTo>
                <a:pt x="5964936" y="0"/>
              </a:lnTo>
              <a:lnTo>
                <a:pt x="5964936" y="204216"/>
              </a:lnTo>
              <a:lnTo>
                <a:pt x="6723888" y="204216"/>
              </a:lnTo>
              <a:lnTo>
                <a:pt x="6723888" y="0"/>
              </a:lnTo>
              <a:close/>
            </a:path>
            <a:path w="7486015" h="1031875">
              <a:moveTo>
                <a:pt x="7485888" y="827532"/>
              </a:moveTo>
              <a:lnTo>
                <a:pt x="6726936" y="827532"/>
              </a:lnTo>
              <a:lnTo>
                <a:pt x="6726936" y="1031748"/>
              </a:lnTo>
              <a:lnTo>
                <a:pt x="7485888" y="1031748"/>
              </a:lnTo>
              <a:lnTo>
                <a:pt x="7485888" y="827532"/>
              </a:lnTo>
              <a:close/>
            </a:path>
            <a:path w="7486015" h="1031875">
              <a:moveTo>
                <a:pt x="7485888" y="621792"/>
              </a:moveTo>
              <a:lnTo>
                <a:pt x="6726936" y="621792"/>
              </a:lnTo>
              <a:lnTo>
                <a:pt x="6726936" y="824484"/>
              </a:lnTo>
              <a:lnTo>
                <a:pt x="7485888" y="824484"/>
              </a:lnTo>
              <a:lnTo>
                <a:pt x="7485888" y="621792"/>
              </a:lnTo>
              <a:close/>
            </a:path>
            <a:path w="7486015" h="1031875">
              <a:moveTo>
                <a:pt x="7485888" y="414528"/>
              </a:moveTo>
              <a:lnTo>
                <a:pt x="6726936" y="414528"/>
              </a:lnTo>
              <a:lnTo>
                <a:pt x="6726936" y="618744"/>
              </a:lnTo>
              <a:lnTo>
                <a:pt x="7485888" y="618744"/>
              </a:lnTo>
              <a:lnTo>
                <a:pt x="7485888" y="414528"/>
              </a:lnTo>
              <a:close/>
            </a:path>
            <a:path w="7486015" h="1031875">
              <a:moveTo>
                <a:pt x="7485888" y="207264"/>
              </a:moveTo>
              <a:lnTo>
                <a:pt x="6726936" y="207264"/>
              </a:lnTo>
              <a:lnTo>
                <a:pt x="6726936" y="411480"/>
              </a:lnTo>
              <a:lnTo>
                <a:pt x="7485888" y="411480"/>
              </a:lnTo>
              <a:lnTo>
                <a:pt x="7485888" y="207264"/>
              </a:lnTo>
              <a:close/>
            </a:path>
            <a:path w="7486015" h="1031875">
              <a:moveTo>
                <a:pt x="7485888" y="0"/>
              </a:moveTo>
              <a:lnTo>
                <a:pt x="6726936" y="0"/>
              </a:lnTo>
              <a:lnTo>
                <a:pt x="6726936" y="204216"/>
              </a:lnTo>
              <a:lnTo>
                <a:pt x="7485888" y="204216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546481</xdr:colOff>
      <xdr:row>12</xdr:row>
      <xdr:rowOff>0</xdr:rowOff>
    </xdr:from>
    <xdr:ext cx="645160" cy="103187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B00-00007E000000}"/>
            </a:ext>
          </a:extLst>
        </xdr:cNvPr>
        <xdr:cNvSpPr/>
      </xdr:nvSpPr>
      <xdr:spPr>
        <a:xfrm>
          <a:off x="0" y="0"/>
          <a:ext cx="645160" cy="1031875"/>
        </a:xfrm>
        <a:custGeom>
          <a:avLst/>
          <a:gdLst/>
          <a:ahLst/>
          <a:cxnLst/>
          <a:rect l="0" t="0" r="0" b="0"/>
          <a:pathLst>
            <a:path w="645160" h="103187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103187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103187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103187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103187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397B-D7CC-41F3-8590-FC89FF7DE294}">
  <dimension ref="A1:AQ178"/>
  <sheetViews>
    <sheetView topLeftCell="W37" workbookViewId="0">
      <selection activeCell="AQ47" sqref="AQ47"/>
    </sheetView>
  </sheetViews>
  <sheetFormatPr defaultRowHeight="13.2" x14ac:dyDescent="0.25"/>
  <cols>
    <col min="1" max="3" width="6" bestFit="1" customWidth="1"/>
    <col min="4" max="4" width="10.77734375" bestFit="1" customWidth="1"/>
    <col min="5" max="5" width="5.77734375" bestFit="1" customWidth="1"/>
    <col min="6" max="10" width="4" bestFit="1" customWidth="1"/>
    <col min="11" max="11" width="7" bestFit="1" customWidth="1"/>
    <col min="12" max="14" width="6" bestFit="1" customWidth="1"/>
    <col min="15" max="15" width="7.33203125" bestFit="1" customWidth="1"/>
  </cols>
  <sheetData>
    <row r="1" spans="1:43" x14ac:dyDescent="0.25">
      <c r="A1" s="26" t="s">
        <v>212</v>
      </c>
      <c r="B1" s="26" t="s">
        <v>213</v>
      </c>
      <c r="C1" s="26" t="s">
        <v>214</v>
      </c>
      <c r="D1" s="26" t="s">
        <v>215</v>
      </c>
      <c r="E1" s="26" t="s">
        <v>216</v>
      </c>
      <c r="F1" s="28" t="s">
        <v>298</v>
      </c>
      <c r="G1" s="28" t="s">
        <v>299</v>
      </c>
      <c r="H1" s="28" t="s">
        <v>300</v>
      </c>
      <c r="I1" s="28" t="s">
        <v>301</v>
      </c>
      <c r="J1" s="28" t="s">
        <v>302</v>
      </c>
      <c r="K1" s="28" t="s">
        <v>303</v>
      </c>
      <c r="L1" s="28" t="s">
        <v>304</v>
      </c>
      <c r="M1" s="28" t="s">
        <v>305</v>
      </c>
      <c r="N1" s="28" t="s">
        <v>306</v>
      </c>
      <c r="O1" s="28" t="s">
        <v>307</v>
      </c>
    </row>
    <row r="2" spans="1:43" x14ac:dyDescent="0.25">
      <c r="A2" s="27">
        <v>0.65106382978723409</v>
      </c>
      <c r="B2" s="27">
        <v>2.9787234042553193E-2</v>
      </c>
      <c r="C2" s="27">
        <v>0.24255319148936169</v>
      </c>
      <c r="D2" s="27">
        <v>2.553191489361702E-2</v>
      </c>
      <c r="E2" s="27">
        <v>2.1276595744680851E-2</v>
      </c>
      <c r="F2" s="28">
        <v>22</v>
      </c>
      <c r="G2" s="28">
        <v>214</v>
      </c>
      <c r="H2" s="28">
        <v>163</v>
      </c>
      <c r="I2" s="28">
        <v>1</v>
      </c>
      <c r="J2" s="28">
        <v>400</v>
      </c>
      <c r="K2" s="29">
        <v>5.5E-2</v>
      </c>
      <c r="L2" s="29">
        <v>0.53500000000000003</v>
      </c>
      <c r="M2" s="29">
        <v>0.40749999999999997</v>
      </c>
      <c r="N2" s="29">
        <v>2.5000000000000001E-3</v>
      </c>
      <c r="O2" s="30">
        <v>75.92</v>
      </c>
      <c r="Q2" s="33" t="s">
        <v>117</v>
      </c>
    </row>
    <row r="3" spans="1:43" x14ac:dyDescent="0.25">
      <c r="A3" s="27">
        <v>0.69366197183098588</v>
      </c>
      <c r="B3" s="27">
        <v>1.0563380281690141E-2</v>
      </c>
      <c r="C3" s="27">
        <v>0.25</v>
      </c>
      <c r="D3" s="27">
        <v>3.5211267605633804E-3</v>
      </c>
      <c r="E3" s="27">
        <v>1.0563380281690141E-2</v>
      </c>
      <c r="F3" s="28">
        <v>25</v>
      </c>
      <c r="G3" s="28">
        <v>228</v>
      </c>
      <c r="H3" s="28">
        <v>147</v>
      </c>
      <c r="I3" s="28">
        <v>0</v>
      </c>
      <c r="J3" s="28">
        <v>400</v>
      </c>
      <c r="K3" s="29">
        <v>6.25E-2</v>
      </c>
      <c r="L3" s="29">
        <v>0.56999999999999995</v>
      </c>
      <c r="M3" s="29">
        <v>0.36749999999999999</v>
      </c>
      <c r="N3" s="29">
        <v>0</v>
      </c>
      <c r="O3" s="30">
        <v>68.127499999999998</v>
      </c>
    </row>
    <row r="4" spans="1:43" x14ac:dyDescent="0.25">
      <c r="A4" s="27">
        <v>0.71052631578947367</v>
      </c>
      <c r="B4" s="27">
        <v>2.3391812865497075E-2</v>
      </c>
      <c r="C4" s="27">
        <v>0.21929824561403508</v>
      </c>
      <c r="D4" s="27">
        <v>5.8479532163742687E-3</v>
      </c>
      <c r="E4" s="27">
        <v>0</v>
      </c>
      <c r="F4" s="28">
        <v>21</v>
      </c>
      <c r="G4" s="28">
        <v>228</v>
      </c>
      <c r="H4" s="28">
        <v>176</v>
      </c>
      <c r="I4" s="28">
        <v>0</v>
      </c>
      <c r="J4" s="28">
        <v>425</v>
      </c>
      <c r="K4" s="29">
        <v>4.9411764705882349E-2</v>
      </c>
      <c r="L4" s="29">
        <v>0.53647058823529414</v>
      </c>
      <c r="M4" s="29">
        <v>0.41411764705882353</v>
      </c>
      <c r="N4" s="29">
        <v>0</v>
      </c>
      <c r="O4" s="30">
        <v>60.174117647058821</v>
      </c>
    </row>
    <row r="5" spans="1:43" x14ac:dyDescent="0.25">
      <c r="A5" s="27">
        <v>0.70707070707070707</v>
      </c>
      <c r="B5" s="27">
        <v>5.0505050505050504E-2</v>
      </c>
      <c r="C5" s="27">
        <v>0.21717171717171718</v>
      </c>
      <c r="D5" s="27">
        <v>5.0505050505050509E-3</v>
      </c>
      <c r="E5" s="27">
        <v>0</v>
      </c>
      <c r="F5" s="28">
        <v>37</v>
      </c>
      <c r="G5" s="28">
        <v>256</v>
      </c>
      <c r="H5" s="28">
        <v>205</v>
      </c>
      <c r="I5" s="28">
        <v>0</v>
      </c>
      <c r="J5" s="28">
        <v>498</v>
      </c>
      <c r="K5" s="29">
        <v>7.4297188755020074E-2</v>
      </c>
      <c r="L5" s="29">
        <v>0.51405622489959835</v>
      </c>
      <c r="M5" s="29">
        <v>0.41164658634538154</v>
      </c>
      <c r="N5" s="29">
        <v>0</v>
      </c>
      <c r="O5" s="30">
        <v>52.154618473895582</v>
      </c>
    </row>
    <row r="6" spans="1:43" x14ac:dyDescent="0.25">
      <c r="A6" s="27">
        <v>0.62694300518134716</v>
      </c>
      <c r="B6" s="27">
        <v>0.11139896373056994</v>
      </c>
      <c r="C6" s="27">
        <v>0.23834196891191708</v>
      </c>
      <c r="D6" s="27">
        <v>5.1813471502590676E-3</v>
      </c>
      <c r="E6" s="27">
        <v>0</v>
      </c>
      <c r="F6" s="28">
        <v>90</v>
      </c>
      <c r="G6" s="28">
        <v>30</v>
      </c>
      <c r="H6" s="28">
        <v>380</v>
      </c>
      <c r="I6" s="28">
        <v>0</v>
      </c>
      <c r="J6" s="28">
        <v>500</v>
      </c>
      <c r="K6" s="29">
        <v>0.18</v>
      </c>
      <c r="L6" s="29">
        <v>0.06</v>
      </c>
      <c r="M6" s="29">
        <v>0.76</v>
      </c>
      <c r="N6" s="29">
        <v>0</v>
      </c>
      <c r="O6" s="30">
        <v>33.11</v>
      </c>
      <c r="Y6" s="33" t="s">
        <v>309</v>
      </c>
      <c r="AH6" s="33" t="s">
        <v>311</v>
      </c>
      <c r="AQ6" s="33" t="s">
        <v>313</v>
      </c>
    </row>
    <row r="7" spans="1:43" x14ac:dyDescent="0.25">
      <c r="A7" s="27">
        <v>0.82165605095541405</v>
      </c>
      <c r="B7" s="27">
        <v>8.4925690021231421E-3</v>
      </c>
      <c r="C7" s="27">
        <v>0.16560509554140126</v>
      </c>
      <c r="D7" s="27">
        <v>0</v>
      </c>
      <c r="E7" s="27">
        <v>0</v>
      </c>
      <c r="F7" s="28">
        <v>62</v>
      </c>
      <c r="G7" s="28">
        <v>217</v>
      </c>
      <c r="H7" s="28">
        <v>169</v>
      </c>
      <c r="I7" s="28">
        <v>2</v>
      </c>
      <c r="J7" s="28">
        <v>450</v>
      </c>
      <c r="K7" s="29">
        <v>0.13777777777777778</v>
      </c>
      <c r="L7" s="29">
        <v>0.48222222222222222</v>
      </c>
      <c r="M7" s="29">
        <v>0.37555555555555553</v>
      </c>
      <c r="N7" s="29">
        <v>4.4444444444444444E-3</v>
      </c>
      <c r="O7" s="30">
        <v>54.044444444444444</v>
      </c>
    </row>
    <row r="8" spans="1:43" x14ac:dyDescent="0.25">
      <c r="A8" s="27">
        <v>0.69298245614035092</v>
      </c>
      <c r="B8" s="27">
        <v>7.8947368421052627E-2</v>
      </c>
      <c r="C8" s="27">
        <v>0.20175438596491227</v>
      </c>
      <c r="D8" s="27">
        <v>5.8479532163742687E-3</v>
      </c>
      <c r="E8" s="27">
        <v>2.9239766081871343E-3</v>
      </c>
      <c r="F8" s="28">
        <v>89</v>
      </c>
      <c r="G8" s="28">
        <v>328</v>
      </c>
      <c r="H8" s="28">
        <v>224</v>
      </c>
      <c r="I8" s="28">
        <v>2</v>
      </c>
      <c r="J8" s="28">
        <v>643</v>
      </c>
      <c r="K8" s="29">
        <v>0.13841368584758942</v>
      </c>
      <c r="L8" s="29">
        <v>0.51010886469673411</v>
      </c>
      <c r="M8" s="29">
        <v>0.34836702954898913</v>
      </c>
      <c r="N8" s="29">
        <v>3.1104199066874028E-3</v>
      </c>
      <c r="O8" s="30">
        <v>38.13374805598756</v>
      </c>
      <c r="Y8" s="35">
        <f>-0.6888+0.8522</f>
        <v>0.16339999999999999</v>
      </c>
      <c r="AH8" s="36">
        <f>0.7309+0.3148</f>
        <v>1.0457000000000001</v>
      </c>
      <c r="AQ8" s="35">
        <f>0.4581+0.4598</f>
        <v>0.91789999999999994</v>
      </c>
    </row>
    <row r="9" spans="1:43" x14ac:dyDescent="0.25">
      <c r="A9" s="27">
        <v>0.78870292887029292</v>
      </c>
      <c r="B9" s="27">
        <v>5.6485355648535567E-2</v>
      </c>
      <c r="C9" s="27">
        <v>0.14853556485355648</v>
      </c>
      <c r="D9" s="27">
        <v>2.0920502092050207E-3</v>
      </c>
      <c r="E9" s="27">
        <v>0</v>
      </c>
      <c r="F9" s="28">
        <v>153</v>
      </c>
      <c r="G9" s="28">
        <v>257</v>
      </c>
      <c r="H9" s="28">
        <v>233</v>
      </c>
      <c r="I9" s="28">
        <v>1</v>
      </c>
      <c r="J9" s="28">
        <v>644</v>
      </c>
      <c r="K9" s="29">
        <v>0.2375776397515528</v>
      </c>
      <c r="L9" s="29">
        <v>0.39906832298136646</v>
      </c>
      <c r="M9" s="29">
        <v>0.36180124223602483</v>
      </c>
      <c r="N9" s="29">
        <v>1.5527950310559005E-3</v>
      </c>
      <c r="O9" s="30">
        <v>24.757763975155278</v>
      </c>
    </row>
    <row r="10" spans="1:43" x14ac:dyDescent="0.25">
      <c r="A10" s="27">
        <v>0.73541666666666672</v>
      </c>
      <c r="B10" s="27">
        <v>0.13333333333333333</v>
      </c>
      <c r="C10" s="27">
        <v>0.11874999999999999</v>
      </c>
      <c r="D10" s="27">
        <v>4.1666666666666666E-3</v>
      </c>
      <c r="E10" s="27">
        <v>2.0833333333333333E-3</v>
      </c>
      <c r="F10" s="28">
        <v>6</v>
      </c>
      <c r="G10" s="28">
        <v>574</v>
      </c>
      <c r="H10" s="28">
        <v>50</v>
      </c>
      <c r="I10" s="28">
        <v>2</v>
      </c>
      <c r="J10" s="28">
        <v>632</v>
      </c>
      <c r="K10" s="29">
        <v>9.4936708860759497E-3</v>
      </c>
      <c r="L10" s="29">
        <v>0.90822784810126578</v>
      </c>
      <c r="M10" s="29">
        <v>7.9113924050632917E-2</v>
      </c>
      <c r="N10" s="29">
        <v>3.1645569620253164E-3</v>
      </c>
      <c r="O10" s="30">
        <v>36.509493670886073</v>
      </c>
    </row>
    <row r="11" spans="1:43" x14ac:dyDescent="0.25">
      <c r="A11" s="27">
        <v>0.64308681672025725</v>
      </c>
      <c r="B11" s="27">
        <v>2.5723472668810289E-2</v>
      </c>
      <c r="C11" s="27">
        <v>0.30546623794212219</v>
      </c>
      <c r="D11" s="27">
        <v>1.2861736334405145E-2</v>
      </c>
      <c r="E11" s="27">
        <v>0</v>
      </c>
      <c r="F11" s="28">
        <v>115</v>
      </c>
      <c r="G11" s="28">
        <v>238</v>
      </c>
      <c r="H11" s="28">
        <v>97</v>
      </c>
      <c r="I11" s="28">
        <v>0</v>
      </c>
      <c r="J11" s="28">
        <v>450</v>
      </c>
      <c r="K11" s="29">
        <v>0.25555555555555554</v>
      </c>
      <c r="L11" s="29">
        <v>0.52888888888888885</v>
      </c>
      <c r="M11" s="29">
        <v>0.21555555555555556</v>
      </c>
      <c r="N11" s="29">
        <v>0</v>
      </c>
      <c r="O11" s="30">
        <v>70.406666666666666</v>
      </c>
    </row>
    <row r="12" spans="1:43" x14ac:dyDescent="0.25">
      <c r="A12" s="27">
        <v>0.58221024258760112</v>
      </c>
      <c r="B12" s="27">
        <v>4.8517520215633422E-2</v>
      </c>
      <c r="C12" s="27">
        <v>0.33423180592991913</v>
      </c>
      <c r="D12" s="27">
        <v>5.3908355795148251E-3</v>
      </c>
      <c r="E12" s="27">
        <v>2.6954177897574125E-3</v>
      </c>
      <c r="F12" s="28">
        <v>147</v>
      </c>
      <c r="G12" s="28">
        <v>176</v>
      </c>
      <c r="H12" s="28">
        <v>126</v>
      </c>
      <c r="I12" s="28">
        <v>1</v>
      </c>
      <c r="J12" s="28">
        <v>450</v>
      </c>
      <c r="K12" s="29">
        <v>0.32666666666666666</v>
      </c>
      <c r="L12" s="29">
        <v>0.39111111111111113</v>
      </c>
      <c r="M12" s="29">
        <v>0.28000000000000003</v>
      </c>
      <c r="N12" s="29">
        <v>2.2222222222222222E-3</v>
      </c>
      <c r="O12" s="30">
        <v>57.093333333333334</v>
      </c>
    </row>
    <row r="13" spans="1:43" x14ac:dyDescent="0.25">
      <c r="A13" s="27">
        <v>0.651685393258427</v>
      </c>
      <c r="B13" s="27">
        <v>0.10786516853932585</v>
      </c>
      <c r="C13" s="27">
        <v>0.22022471910112359</v>
      </c>
      <c r="D13" s="27">
        <v>0</v>
      </c>
      <c r="E13" s="27">
        <v>2.2471910112359553E-3</v>
      </c>
      <c r="F13" s="28">
        <v>206</v>
      </c>
      <c r="G13" s="28">
        <v>274</v>
      </c>
      <c r="H13" s="28">
        <v>143</v>
      </c>
      <c r="I13" s="28">
        <v>0</v>
      </c>
      <c r="J13" s="28">
        <v>623</v>
      </c>
      <c r="K13" s="29">
        <v>0.3306581059390048</v>
      </c>
      <c r="L13" s="29">
        <v>0.43980738362760835</v>
      </c>
      <c r="M13" s="29">
        <v>0.22953451043338685</v>
      </c>
      <c r="N13" s="29">
        <v>0</v>
      </c>
      <c r="O13" s="30">
        <v>41.243980738362758</v>
      </c>
    </row>
    <row r="14" spans="1:43" x14ac:dyDescent="0.25">
      <c r="A14" s="27">
        <v>0.62632696390658171</v>
      </c>
      <c r="B14" s="27">
        <v>0.11464968152866242</v>
      </c>
      <c r="C14" s="27">
        <v>0.24203821656050956</v>
      </c>
      <c r="D14" s="27">
        <v>6.369426751592357E-3</v>
      </c>
      <c r="E14" s="27">
        <v>2.1231422505307855E-3</v>
      </c>
      <c r="F14" s="28">
        <v>287</v>
      </c>
      <c r="G14" s="28">
        <v>279</v>
      </c>
      <c r="H14" s="28">
        <v>57</v>
      </c>
      <c r="I14" s="28">
        <v>0</v>
      </c>
      <c r="J14" s="28">
        <v>623</v>
      </c>
      <c r="K14" s="29">
        <v>0.4606741573033708</v>
      </c>
      <c r="L14" s="29">
        <v>0.4478330658105939</v>
      </c>
      <c r="M14" s="29">
        <v>9.1492776886035312E-2</v>
      </c>
      <c r="N14" s="29">
        <v>0</v>
      </c>
      <c r="O14" s="30">
        <v>28.956661316211878</v>
      </c>
    </row>
    <row r="15" spans="1:43" x14ac:dyDescent="0.25">
      <c r="A15" s="27">
        <v>0.55000000000000004</v>
      </c>
      <c r="B15" s="27">
        <v>0.2</v>
      </c>
      <c r="C15" s="27">
        <v>0.24038461538461539</v>
      </c>
      <c r="D15" s="27">
        <v>3.8461538461538464E-3</v>
      </c>
      <c r="E15" s="27">
        <v>0</v>
      </c>
      <c r="F15" s="28">
        <v>350</v>
      </c>
      <c r="G15" s="28">
        <v>230</v>
      </c>
      <c r="H15" s="28">
        <v>45</v>
      </c>
      <c r="I15" s="28">
        <v>0</v>
      </c>
      <c r="J15" s="28">
        <v>625</v>
      </c>
      <c r="K15" s="29">
        <v>0.56000000000000005</v>
      </c>
      <c r="L15" s="29">
        <v>0.36799999999999999</v>
      </c>
      <c r="M15" s="29">
        <v>7.1999999999999995E-2</v>
      </c>
      <c r="N15" s="29">
        <v>0</v>
      </c>
      <c r="O15" s="30">
        <v>21.7424</v>
      </c>
    </row>
    <row r="16" spans="1:43" x14ac:dyDescent="0.25">
      <c r="A16" s="27">
        <v>0.75328947368421051</v>
      </c>
      <c r="B16" s="27">
        <v>3.2894736842105261E-2</v>
      </c>
      <c r="C16" s="27">
        <v>0.1875</v>
      </c>
      <c r="D16" s="27">
        <v>0</v>
      </c>
      <c r="E16" s="27">
        <v>3.2894736842105261E-3</v>
      </c>
      <c r="F16" s="28">
        <v>24</v>
      </c>
      <c r="G16" s="28">
        <v>355</v>
      </c>
      <c r="H16" s="28">
        <v>71</v>
      </c>
      <c r="I16" s="28">
        <v>0</v>
      </c>
      <c r="J16" s="28">
        <v>450</v>
      </c>
      <c r="K16" s="29">
        <v>5.3333333333333337E-2</v>
      </c>
      <c r="L16" s="29">
        <v>0.78888888888888886</v>
      </c>
      <c r="M16" s="29">
        <v>0.15777777777777777</v>
      </c>
      <c r="N16" s="29">
        <v>0</v>
      </c>
      <c r="O16" s="30">
        <v>68.602222222222224</v>
      </c>
    </row>
    <row r="17" spans="1:25" x14ac:dyDescent="0.25">
      <c r="A17" s="27">
        <v>0.83656509695290859</v>
      </c>
      <c r="B17" s="27">
        <v>1.662049861495845E-2</v>
      </c>
      <c r="C17" s="27">
        <v>0.13573407202216067</v>
      </c>
      <c r="D17" s="27">
        <v>0</v>
      </c>
      <c r="E17" s="27">
        <v>2.7700831024930748E-3</v>
      </c>
      <c r="F17" s="28">
        <v>25</v>
      </c>
      <c r="G17" s="28">
        <v>375</v>
      </c>
      <c r="H17" s="28">
        <v>50</v>
      </c>
      <c r="I17" s="28">
        <v>0</v>
      </c>
      <c r="J17" s="28">
        <v>450</v>
      </c>
      <c r="K17" s="29">
        <v>5.5555555555555552E-2</v>
      </c>
      <c r="L17" s="29">
        <v>0.83333333333333337</v>
      </c>
      <c r="M17" s="29">
        <v>0.1111111111111111</v>
      </c>
      <c r="N17" s="29">
        <v>0</v>
      </c>
      <c r="O17" s="30">
        <v>62.193333333333335</v>
      </c>
    </row>
    <row r="18" spans="1:25" x14ac:dyDescent="0.25">
      <c r="A18" s="27">
        <v>0.8</v>
      </c>
      <c r="B18" s="27">
        <v>3.7499999999999999E-2</v>
      </c>
      <c r="C18" s="27">
        <v>0.14583333333333334</v>
      </c>
      <c r="D18" s="27">
        <v>6.2500000000000003E-3</v>
      </c>
      <c r="E18" s="27">
        <v>2.0833333333333333E-3</v>
      </c>
      <c r="F18" s="28">
        <v>59</v>
      </c>
      <c r="G18" s="28">
        <v>470</v>
      </c>
      <c r="H18" s="28">
        <v>66</v>
      </c>
      <c r="I18" s="28">
        <v>2</v>
      </c>
      <c r="J18" s="28">
        <v>597</v>
      </c>
      <c r="K18" s="29">
        <v>9.8827470686767172E-2</v>
      </c>
      <c r="L18" s="29">
        <v>0.78726968174204359</v>
      </c>
      <c r="M18" s="29">
        <v>0.11055276381909548</v>
      </c>
      <c r="N18" s="29">
        <v>3.3500837520938024E-3</v>
      </c>
      <c r="O18" s="30">
        <v>53.361809045226131</v>
      </c>
    </row>
    <row r="19" spans="1:25" x14ac:dyDescent="0.25">
      <c r="A19" s="27">
        <v>0.87892376681614348</v>
      </c>
      <c r="B19" s="27">
        <v>2.914798206278027E-2</v>
      </c>
      <c r="C19" s="27">
        <v>8.2959641255605385E-2</v>
      </c>
      <c r="D19" s="27">
        <v>4.4843049327354259E-3</v>
      </c>
      <c r="E19" s="27">
        <v>0</v>
      </c>
      <c r="F19" s="28">
        <v>57</v>
      </c>
      <c r="G19" s="28">
        <v>463</v>
      </c>
      <c r="H19" s="28">
        <v>77</v>
      </c>
      <c r="I19" s="28">
        <v>0</v>
      </c>
      <c r="J19" s="28">
        <v>597</v>
      </c>
      <c r="K19" s="29">
        <v>9.5477386934673364E-2</v>
      </c>
      <c r="L19" s="29">
        <v>0.7755443886097152</v>
      </c>
      <c r="M19" s="29">
        <v>0.12897822445561138</v>
      </c>
      <c r="N19" s="29">
        <v>0</v>
      </c>
      <c r="O19" s="30">
        <v>44.711892797319933</v>
      </c>
    </row>
    <row r="20" spans="1:25" x14ac:dyDescent="0.25">
      <c r="A20" s="27">
        <v>0.85874439461883412</v>
      </c>
      <c r="B20" s="27">
        <v>3.811659192825112E-2</v>
      </c>
      <c r="C20" s="27">
        <v>0.10089686098654709</v>
      </c>
      <c r="D20" s="27">
        <v>2.242152466367713E-3</v>
      </c>
      <c r="E20" s="27">
        <v>0</v>
      </c>
      <c r="F20" s="28">
        <v>58</v>
      </c>
      <c r="G20" s="28">
        <v>423</v>
      </c>
      <c r="H20" s="28">
        <v>115</v>
      </c>
      <c r="I20" s="28">
        <v>1</v>
      </c>
      <c r="J20" s="28">
        <v>597</v>
      </c>
      <c r="K20" s="29">
        <v>9.7152428810720268E-2</v>
      </c>
      <c r="L20" s="29">
        <v>0.70854271356783916</v>
      </c>
      <c r="M20" s="29">
        <v>0.19262981574539365</v>
      </c>
      <c r="N20" s="29">
        <v>1.6750418760469012E-3</v>
      </c>
      <c r="O20" s="30">
        <v>36.162479061976548</v>
      </c>
    </row>
    <row r="21" spans="1:25" x14ac:dyDescent="0.25">
      <c r="A21" s="27">
        <v>0.84421052631578952</v>
      </c>
      <c r="B21" s="27">
        <v>2.1052631578947368E-2</v>
      </c>
      <c r="C21" s="27">
        <v>0.13052631578947368</v>
      </c>
      <c r="D21" s="27">
        <v>0</v>
      </c>
      <c r="E21" s="27">
        <v>0</v>
      </c>
      <c r="F21" s="28">
        <v>41</v>
      </c>
      <c r="G21" s="28">
        <v>358</v>
      </c>
      <c r="H21" s="28">
        <v>200</v>
      </c>
      <c r="I21" s="28">
        <v>1</v>
      </c>
      <c r="J21" s="28">
        <v>600</v>
      </c>
      <c r="K21" s="29">
        <v>6.8333333333333329E-2</v>
      </c>
      <c r="L21" s="29">
        <v>0.59666666666666668</v>
      </c>
      <c r="M21" s="29">
        <v>0.33333333333333331</v>
      </c>
      <c r="N21" s="29">
        <v>1.6666666666666668E-3</v>
      </c>
      <c r="O21" s="30">
        <v>25.333333333333332</v>
      </c>
      <c r="Q21" s="33" t="s">
        <v>113</v>
      </c>
    </row>
    <row r="22" spans="1:25" x14ac:dyDescent="0.25">
      <c r="A22" s="27">
        <v>0.7288629737609329</v>
      </c>
      <c r="B22" s="27">
        <v>2.3323615160349854E-2</v>
      </c>
      <c r="C22" s="27">
        <v>0.22157434402332363</v>
      </c>
      <c r="D22" s="27">
        <v>0</v>
      </c>
      <c r="E22" s="27">
        <v>0</v>
      </c>
      <c r="F22" s="28">
        <v>28</v>
      </c>
      <c r="G22" s="28">
        <v>403</v>
      </c>
      <c r="H22" s="28">
        <v>19</v>
      </c>
      <c r="I22" s="28">
        <v>0</v>
      </c>
      <c r="J22" s="28">
        <v>450</v>
      </c>
      <c r="K22" s="29">
        <v>6.222222222222222E-2</v>
      </c>
      <c r="L22" s="29">
        <v>0.89555555555555555</v>
      </c>
      <c r="M22" s="29">
        <v>4.2222222222222223E-2</v>
      </c>
      <c r="N22" s="29">
        <v>0</v>
      </c>
      <c r="O22" s="30">
        <v>65.842222222222219</v>
      </c>
    </row>
    <row r="23" spans="1:25" x14ac:dyDescent="0.25">
      <c r="A23" s="27">
        <v>0.83395522388059706</v>
      </c>
      <c r="B23" s="27">
        <v>2.0522388059701493E-2</v>
      </c>
      <c r="C23" s="27">
        <v>0.13619402985074627</v>
      </c>
      <c r="D23" s="27">
        <v>9.3283582089552231E-3</v>
      </c>
      <c r="E23" s="27">
        <v>0</v>
      </c>
      <c r="F23" s="28">
        <v>51</v>
      </c>
      <c r="G23" s="28">
        <v>624</v>
      </c>
      <c r="H23" s="28">
        <v>49</v>
      </c>
      <c r="I23" s="28">
        <v>1</v>
      </c>
      <c r="J23" s="28">
        <v>725</v>
      </c>
      <c r="K23" s="29">
        <v>7.0344827586206901E-2</v>
      </c>
      <c r="L23" s="29">
        <v>0.8606896551724138</v>
      </c>
      <c r="M23" s="29">
        <v>6.7586206896551718E-2</v>
      </c>
      <c r="N23" s="29">
        <v>1.3793103448275861E-3</v>
      </c>
      <c r="O23" s="30">
        <v>36.475862068965519</v>
      </c>
    </row>
    <row r="24" spans="1:25" x14ac:dyDescent="0.25">
      <c r="A24" s="27">
        <v>0.51249999999999996</v>
      </c>
      <c r="B24" s="27">
        <v>5.9374999999999997E-2</v>
      </c>
      <c r="C24" s="27">
        <v>0.390625</v>
      </c>
      <c r="D24" s="27">
        <v>9.3749999999999997E-3</v>
      </c>
      <c r="E24" s="27">
        <v>1.2500000000000001E-2</v>
      </c>
      <c r="F24" s="28">
        <v>218</v>
      </c>
      <c r="G24" s="28">
        <v>200</v>
      </c>
      <c r="H24" s="28">
        <v>30</v>
      </c>
      <c r="I24" s="28">
        <v>2</v>
      </c>
      <c r="J24" s="28">
        <v>450</v>
      </c>
      <c r="K24" s="29">
        <v>0.48444444444444446</v>
      </c>
      <c r="L24" s="29">
        <v>0.44444444444444442</v>
      </c>
      <c r="M24" s="29">
        <v>6.6666666666666666E-2</v>
      </c>
      <c r="N24" s="29">
        <v>4.4444444444444444E-3</v>
      </c>
      <c r="O24" s="30">
        <v>70.577777777777783</v>
      </c>
    </row>
    <row r="25" spans="1:25" x14ac:dyDescent="0.25">
      <c r="A25" s="27">
        <v>0.54933333333333334</v>
      </c>
      <c r="B25" s="27">
        <v>4.2666666666666665E-2</v>
      </c>
      <c r="C25" s="27">
        <v>0.38133333333333336</v>
      </c>
      <c r="D25" s="27">
        <v>1.6E-2</v>
      </c>
      <c r="E25" s="27">
        <v>0</v>
      </c>
      <c r="F25" s="28">
        <v>207</v>
      </c>
      <c r="G25" s="28">
        <v>209</v>
      </c>
      <c r="H25" s="28">
        <v>33</v>
      </c>
      <c r="I25" s="28">
        <v>1</v>
      </c>
      <c r="J25" s="28">
        <v>450</v>
      </c>
      <c r="K25" s="29">
        <v>0.46</v>
      </c>
      <c r="L25" s="29">
        <v>0.46444444444444444</v>
      </c>
      <c r="M25" s="29">
        <v>7.3333333333333334E-2</v>
      </c>
      <c r="N25" s="29">
        <v>2.2222222222222222E-3</v>
      </c>
      <c r="O25" s="30">
        <v>62.206666666666663</v>
      </c>
      <c r="Y25" s="33" t="s">
        <v>310</v>
      </c>
    </row>
    <row r="26" spans="1:25" x14ac:dyDescent="0.25">
      <c r="A26" s="27">
        <v>0.58008658008658009</v>
      </c>
      <c r="B26" s="27">
        <v>0.11038961038961038</v>
      </c>
      <c r="C26" s="27">
        <v>0.29220779220779219</v>
      </c>
      <c r="D26" s="27">
        <v>8.658008658008658E-3</v>
      </c>
      <c r="E26" s="27">
        <v>2.1645021645021645E-3</v>
      </c>
      <c r="F26" s="28">
        <v>282</v>
      </c>
      <c r="G26" s="28">
        <v>224</v>
      </c>
      <c r="H26" s="28">
        <v>55</v>
      </c>
      <c r="I26" s="28">
        <v>4</v>
      </c>
      <c r="J26" s="28">
        <v>565</v>
      </c>
      <c r="K26" s="29">
        <v>0.49911504424778763</v>
      </c>
      <c r="L26" s="29">
        <v>0.39646017699115044</v>
      </c>
      <c r="M26" s="29">
        <v>9.7345132743362831E-2</v>
      </c>
      <c r="N26" s="29">
        <v>7.0796460176991149E-3</v>
      </c>
      <c r="O26" s="30">
        <v>52.674336283185838</v>
      </c>
    </row>
    <row r="27" spans="1:25" x14ac:dyDescent="0.25">
      <c r="A27" s="27">
        <v>0.55974842767295596</v>
      </c>
      <c r="B27" s="27">
        <v>0.15932914046121593</v>
      </c>
      <c r="C27" s="27">
        <v>0.27044025157232704</v>
      </c>
      <c r="D27" s="27">
        <v>4.1928721174004195E-3</v>
      </c>
      <c r="E27" s="27">
        <v>0</v>
      </c>
      <c r="F27" s="28">
        <v>303</v>
      </c>
      <c r="G27" s="28">
        <v>176</v>
      </c>
      <c r="H27" s="28">
        <v>84</v>
      </c>
      <c r="I27" s="28">
        <v>2</v>
      </c>
      <c r="J27" s="28">
        <v>565</v>
      </c>
      <c r="K27" s="29">
        <v>0.536283185840708</v>
      </c>
      <c r="L27" s="29">
        <v>0.31150442477876106</v>
      </c>
      <c r="M27" s="29">
        <v>0.14867256637168141</v>
      </c>
      <c r="N27" s="29">
        <v>3.5398230088495575E-3</v>
      </c>
      <c r="O27" s="30">
        <v>44.139823008849561</v>
      </c>
      <c r="Y27" s="35">
        <f>0.4587-0.0102</f>
        <v>0.44850000000000001</v>
      </c>
    </row>
    <row r="28" spans="1:25" x14ac:dyDescent="0.25">
      <c r="A28" s="27">
        <v>0.64318181818181819</v>
      </c>
      <c r="B28" s="27">
        <v>0.15681818181818183</v>
      </c>
      <c r="C28" s="27">
        <v>0.19318181818181818</v>
      </c>
      <c r="D28" s="27">
        <v>6.8181818181818179E-3</v>
      </c>
      <c r="E28" s="27">
        <v>0</v>
      </c>
      <c r="F28" s="28">
        <v>258</v>
      </c>
      <c r="G28" s="28">
        <v>220</v>
      </c>
      <c r="H28" s="28">
        <v>89</v>
      </c>
      <c r="I28" s="28">
        <v>3</v>
      </c>
      <c r="J28" s="28">
        <v>570</v>
      </c>
      <c r="K28" s="29">
        <v>0.45263157894736844</v>
      </c>
      <c r="L28" s="29">
        <v>0.38596491228070173</v>
      </c>
      <c r="M28" s="29">
        <v>0.156140350877193</v>
      </c>
      <c r="N28" s="29">
        <v>5.263157894736842E-3</v>
      </c>
      <c r="O28" s="30">
        <v>35.705263157894734</v>
      </c>
    </row>
    <row r="29" spans="1:25" x14ac:dyDescent="0.25">
      <c r="A29" s="27">
        <v>0.48695652173913045</v>
      </c>
      <c r="B29" s="27">
        <v>0.25869565217391305</v>
      </c>
      <c r="C29" s="27">
        <v>0.2391304347826087</v>
      </c>
      <c r="D29" s="27">
        <v>1.3043478260869565E-2</v>
      </c>
      <c r="E29" s="27">
        <v>0</v>
      </c>
      <c r="F29" s="28">
        <v>353</v>
      </c>
      <c r="G29" s="28">
        <v>161</v>
      </c>
      <c r="H29" s="28">
        <v>61</v>
      </c>
      <c r="I29" s="28">
        <v>3</v>
      </c>
      <c r="J29" s="28">
        <v>578</v>
      </c>
      <c r="K29" s="29">
        <v>0.61072664359861595</v>
      </c>
      <c r="L29" s="29">
        <v>0.27854671280276816</v>
      </c>
      <c r="M29" s="29">
        <v>0.10553633217993079</v>
      </c>
      <c r="N29" s="29">
        <v>5.1903114186851208E-3</v>
      </c>
      <c r="O29" s="30">
        <v>24.975778546712803</v>
      </c>
    </row>
    <row r="30" spans="1:25" x14ac:dyDescent="0.25">
      <c r="A30" s="27">
        <v>0.28125</v>
      </c>
      <c r="B30" s="27">
        <v>0.14772727272727273</v>
      </c>
      <c r="C30" s="27">
        <v>0.54261363636363635</v>
      </c>
      <c r="D30" s="27">
        <v>8.5227272727272721E-3</v>
      </c>
      <c r="E30" s="27">
        <v>2.840909090909091E-3</v>
      </c>
      <c r="F30" s="28">
        <v>397</v>
      </c>
      <c r="G30" s="28">
        <v>30</v>
      </c>
      <c r="H30" s="28">
        <v>21</v>
      </c>
      <c r="I30" s="28">
        <v>2</v>
      </c>
      <c r="J30" s="28">
        <v>450</v>
      </c>
      <c r="K30" s="29">
        <v>0.88222222222222224</v>
      </c>
      <c r="L30" s="29">
        <v>6.6666666666666666E-2</v>
      </c>
      <c r="M30" s="29">
        <v>4.6666666666666669E-2</v>
      </c>
      <c r="N30" s="29">
        <v>4.4444444444444444E-3</v>
      </c>
      <c r="O30" s="30">
        <v>59.4</v>
      </c>
    </row>
    <row r="31" spans="1:25" x14ac:dyDescent="0.25">
      <c r="A31" s="27">
        <v>0.34810126582278483</v>
      </c>
      <c r="B31" s="27">
        <v>0.23734177215189872</v>
      </c>
      <c r="C31" s="27">
        <v>0.38607594936708861</v>
      </c>
      <c r="D31" s="27">
        <v>2.2151898734177215E-2</v>
      </c>
      <c r="E31" s="27">
        <v>0</v>
      </c>
      <c r="F31" s="28">
        <v>292</v>
      </c>
      <c r="G31" s="28">
        <v>76</v>
      </c>
      <c r="H31" s="28">
        <v>45</v>
      </c>
      <c r="I31" s="28">
        <v>1</v>
      </c>
      <c r="J31" s="28">
        <v>414</v>
      </c>
      <c r="K31" s="29">
        <v>0.70531400966183577</v>
      </c>
      <c r="L31" s="29">
        <v>0.18357487922705315</v>
      </c>
      <c r="M31" s="29">
        <v>0.10869565217391304</v>
      </c>
      <c r="N31" s="29">
        <v>2.4154589371980675E-3</v>
      </c>
      <c r="O31" s="30">
        <v>41.115942028985508</v>
      </c>
    </row>
    <row r="32" spans="1:25" x14ac:dyDescent="0.25">
      <c r="A32" s="27">
        <v>0.25</v>
      </c>
      <c r="B32" s="27">
        <v>0.42732558139534882</v>
      </c>
      <c r="C32" s="27">
        <v>0.31686046511627908</v>
      </c>
      <c r="D32" s="27">
        <v>0</v>
      </c>
      <c r="E32" s="27">
        <v>2.9069767441860465E-3</v>
      </c>
      <c r="F32" s="28">
        <v>364</v>
      </c>
      <c r="G32" s="28">
        <v>41</v>
      </c>
      <c r="H32" s="28">
        <v>10</v>
      </c>
      <c r="I32" s="28">
        <v>0</v>
      </c>
      <c r="J32" s="28">
        <v>415</v>
      </c>
      <c r="K32" s="29">
        <v>0.87710843373493974</v>
      </c>
      <c r="L32" s="29">
        <v>9.8795180722891562E-2</v>
      </c>
      <c r="M32" s="29">
        <v>2.4096385542168676E-2</v>
      </c>
      <c r="N32" s="29">
        <v>0</v>
      </c>
      <c r="O32" s="30">
        <v>25.862650602409637</v>
      </c>
    </row>
    <row r="33" spans="1:43" x14ac:dyDescent="0.25">
      <c r="A33" s="27">
        <v>0.63091482649842268</v>
      </c>
      <c r="B33" s="27">
        <v>8.2018927444794956E-2</v>
      </c>
      <c r="C33" s="27">
        <v>0.22397476340694006</v>
      </c>
      <c r="D33" s="27">
        <v>9.4637223974763408E-3</v>
      </c>
      <c r="E33" s="27">
        <v>1.5772870662460567E-2</v>
      </c>
      <c r="F33" s="28">
        <v>71</v>
      </c>
      <c r="G33" s="28">
        <v>143</v>
      </c>
      <c r="H33" s="28">
        <v>234</v>
      </c>
      <c r="I33" s="28">
        <v>2</v>
      </c>
      <c r="J33" s="28">
        <v>450</v>
      </c>
      <c r="K33" s="29">
        <v>0.15777777777777777</v>
      </c>
      <c r="L33" s="29">
        <v>0.31777777777777777</v>
      </c>
      <c r="M33" s="29">
        <v>0.52</v>
      </c>
      <c r="N33" s="29">
        <v>4.4444444444444444E-3</v>
      </c>
      <c r="O33" s="30">
        <v>66.94</v>
      </c>
    </row>
    <row r="34" spans="1:43" x14ac:dyDescent="0.25">
      <c r="A34" s="27">
        <v>0.56613756613756616</v>
      </c>
      <c r="B34" s="27">
        <v>0.16666666666666666</v>
      </c>
      <c r="C34" s="27">
        <v>0.22486772486772486</v>
      </c>
      <c r="D34" s="27">
        <v>7.9365079365079361E-3</v>
      </c>
      <c r="E34" s="27">
        <v>7.9365079365079361E-3</v>
      </c>
      <c r="F34" s="28">
        <v>138</v>
      </c>
      <c r="G34" s="28">
        <v>92</v>
      </c>
      <c r="H34" s="28">
        <v>216</v>
      </c>
      <c r="I34" s="28">
        <v>4</v>
      </c>
      <c r="J34" s="28">
        <v>450</v>
      </c>
      <c r="K34" s="29">
        <v>0.30666666666666664</v>
      </c>
      <c r="L34" s="29">
        <v>0.20444444444444446</v>
      </c>
      <c r="M34" s="29">
        <v>0.48</v>
      </c>
      <c r="N34" s="29">
        <v>8.8888888888888889E-3</v>
      </c>
      <c r="O34" s="30">
        <v>58.72</v>
      </c>
    </row>
    <row r="35" spans="1:43" x14ac:dyDescent="0.25">
      <c r="A35" s="27">
        <v>0.66958041958041958</v>
      </c>
      <c r="B35" s="27">
        <v>0.16083916083916083</v>
      </c>
      <c r="C35" s="27">
        <v>0.14685314685314685</v>
      </c>
      <c r="D35" s="27">
        <v>5.244755244755245E-3</v>
      </c>
      <c r="E35" s="27">
        <v>5.244755244755245E-3</v>
      </c>
      <c r="F35" s="28">
        <v>184</v>
      </c>
      <c r="G35" s="28">
        <v>142</v>
      </c>
      <c r="H35" s="28">
        <v>363</v>
      </c>
      <c r="I35" s="28">
        <v>6</v>
      </c>
      <c r="J35" s="28">
        <v>695</v>
      </c>
      <c r="K35" s="29">
        <v>0.26474820143884892</v>
      </c>
      <c r="L35" s="29">
        <v>0.20431654676258992</v>
      </c>
      <c r="M35" s="29">
        <v>0.52230215827338133</v>
      </c>
      <c r="N35" s="29">
        <v>8.6330935251798559E-3</v>
      </c>
      <c r="O35" s="30">
        <v>47.860431654676262</v>
      </c>
    </row>
    <row r="36" spans="1:43" x14ac:dyDescent="0.25">
      <c r="A36" s="27">
        <v>0.70425138632162665</v>
      </c>
      <c r="B36" s="27">
        <v>0.15341959334565619</v>
      </c>
      <c r="C36" s="27">
        <v>0.1256931608133087</v>
      </c>
      <c r="D36" s="27">
        <v>1.1090573012939002E-2</v>
      </c>
      <c r="E36" s="27">
        <v>0</v>
      </c>
      <c r="F36" s="28">
        <v>203</v>
      </c>
      <c r="G36" s="28">
        <v>116</v>
      </c>
      <c r="H36" s="28">
        <v>372</v>
      </c>
      <c r="I36" s="28">
        <v>5</v>
      </c>
      <c r="J36" s="28">
        <v>696</v>
      </c>
      <c r="K36" s="29">
        <v>0.29166666666666669</v>
      </c>
      <c r="L36" s="29">
        <v>0.16666666666666666</v>
      </c>
      <c r="M36" s="29">
        <v>0.53448275862068961</v>
      </c>
      <c r="N36" s="29">
        <v>7.1839080459770114E-3</v>
      </c>
      <c r="O36" s="30">
        <v>37.484195402298852</v>
      </c>
    </row>
    <row r="37" spans="1:43" x14ac:dyDescent="0.25">
      <c r="A37" s="27">
        <v>0.61689587426326131</v>
      </c>
      <c r="B37" s="27">
        <v>0.19842829076620824</v>
      </c>
      <c r="C37" s="27">
        <v>0.16502946954813361</v>
      </c>
      <c r="D37" s="27">
        <v>1.37524557956778E-2</v>
      </c>
      <c r="E37" s="27">
        <v>3.929273084479371E-3</v>
      </c>
      <c r="F37" s="28">
        <v>292</v>
      </c>
      <c r="G37" s="28">
        <v>92</v>
      </c>
      <c r="H37" s="28">
        <v>309</v>
      </c>
      <c r="I37" s="28">
        <v>3</v>
      </c>
      <c r="J37" s="28">
        <v>696</v>
      </c>
      <c r="K37" s="29">
        <v>0.41954022988505746</v>
      </c>
      <c r="L37" s="29">
        <v>0.13218390804597702</v>
      </c>
      <c r="M37" s="29">
        <v>0.44396551724137934</v>
      </c>
      <c r="N37" s="29">
        <v>4.3103448275862068E-3</v>
      </c>
      <c r="O37" s="30">
        <v>29.456896551724139</v>
      </c>
    </row>
    <row r="38" spans="1:43" x14ac:dyDescent="0.25">
      <c r="A38" s="27">
        <v>0.62068965517241381</v>
      </c>
      <c r="B38" s="27">
        <v>0.24682395644283123</v>
      </c>
      <c r="C38" s="27">
        <v>0.11978221415607986</v>
      </c>
      <c r="D38" s="27">
        <v>5.4446460980036296E-3</v>
      </c>
      <c r="E38" s="27">
        <v>5.4446460980036296E-3</v>
      </c>
      <c r="F38" s="28">
        <v>337</v>
      </c>
      <c r="G38" s="28">
        <v>90</v>
      </c>
      <c r="H38" s="28">
        <v>268</v>
      </c>
      <c r="I38" s="28">
        <v>1</v>
      </c>
      <c r="J38" s="28">
        <v>696</v>
      </c>
      <c r="K38" s="29">
        <v>0.48419540229885055</v>
      </c>
      <c r="L38" s="29">
        <v>0.12931034482758622</v>
      </c>
      <c r="M38" s="29">
        <v>0.38505747126436779</v>
      </c>
      <c r="N38" s="29">
        <v>1.4367816091954023E-3</v>
      </c>
      <c r="O38" s="30">
        <v>24.275862068965516</v>
      </c>
    </row>
    <row r="39" spans="1:43" x14ac:dyDescent="0.25">
      <c r="A39" s="27">
        <v>0.56994818652849744</v>
      </c>
      <c r="B39" s="27">
        <v>0.30569948186528495</v>
      </c>
      <c r="C39" s="27">
        <v>0.11226252158894647</v>
      </c>
      <c r="D39" s="27">
        <v>5.1813471502590676E-3</v>
      </c>
      <c r="E39" s="27">
        <v>1.7271157167530224E-3</v>
      </c>
      <c r="F39" s="28">
        <v>357</v>
      </c>
      <c r="G39" s="28">
        <v>88</v>
      </c>
      <c r="H39" s="28">
        <v>254</v>
      </c>
      <c r="I39" s="28">
        <v>1</v>
      </c>
      <c r="J39" s="28">
        <v>700</v>
      </c>
      <c r="K39" s="29">
        <v>0.51</v>
      </c>
      <c r="L39" s="29">
        <v>0.12571428571428572</v>
      </c>
      <c r="M39" s="29">
        <v>0.36285714285714288</v>
      </c>
      <c r="N39" s="29">
        <v>1.4285714285714286E-3</v>
      </c>
      <c r="O39" s="30">
        <v>19.985714285714284</v>
      </c>
    </row>
    <row r="40" spans="1:43" x14ac:dyDescent="0.25">
      <c r="A40" s="27">
        <v>0.75147928994082835</v>
      </c>
      <c r="B40" s="27">
        <v>2.6627218934911243E-2</v>
      </c>
      <c r="C40" s="27">
        <v>0.16568047337278108</v>
      </c>
      <c r="D40" s="27">
        <v>2.9585798816568047E-3</v>
      </c>
      <c r="E40" s="27">
        <v>5.9171597633136093E-3</v>
      </c>
      <c r="F40" s="28">
        <v>31</v>
      </c>
      <c r="G40" s="28">
        <v>287</v>
      </c>
      <c r="H40" s="28">
        <v>132</v>
      </c>
      <c r="I40" s="28">
        <v>0</v>
      </c>
      <c r="J40" s="28">
        <v>450</v>
      </c>
      <c r="K40" s="29">
        <v>6.8888888888888888E-2</v>
      </c>
      <c r="L40" s="29">
        <v>0.63777777777777778</v>
      </c>
      <c r="M40" s="29">
        <v>0.29333333333333333</v>
      </c>
      <c r="N40" s="29">
        <v>0</v>
      </c>
      <c r="O40" s="30">
        <v>67.784444444444446</v>
      </c>
    </row>
    <row r="41" spans="1:43" x14ac:dyDescent="0.25">
      <c r="A41" s="27">
        <v>0.71276595744680848</v>
      </c>
      <c r="B41" s="27">
        <v>7.1808510638297879E-2</v>
      </c>
      <c r="C41" s="27">
        <v>0.17819148936170212</v>
      </c>
      <c r="D41" s="27">
        <v>1.5957446808510637E-2</v>
      </c>
      <c r="E41" s="27">
        <v>2.6595744680851063E-3</v>
      </c>
      <c r="F41" s="28">
        <v>93</v>
      </c>
      <c r="G41" s="28">
        <v>199</v>
      </c>
      <c r="H41" s="28">
        <v>154</v>
      </c>
      <c r="I41" s="28">
        <v>4</v>
      </c>
      <c r="J41" s="28">
        <v>450</v>
      </c>
      <c r="K41" s="29">
        <v>0.20666666666666667</v>
      </c>
      <c r="L41" s="29">
        <v>0.44222222222222224</v>
      </c>
      <c r="M41" s="29">
        <v>0.34222222222222221</v>
      </c>
      <c r="N41" s="29">
        <v>8.8888888888888889E-3</v>
      </c>
      <c r="O41" s="30">
        <v>56.528888888888886</v>
      </c>
      <c r="Q41" s="33" t="s">
        <v>114</v>
      </c>
    </row>
    <row r="42" spans="1:43" x14ac:dyDescent="0.25">
      <c r="A42" s="27">
        <v>0.77163904235727443</v>
      </c>
      <c r="B42" s="27">
        <v>9.3922651933701654E-2</v>
      </c>
      <c r="C42" s="27">
        <v>0.12338858195211787</v>
      </c>
      <c r="D42" s="27">
        <v>3.6832412523020259E-3</v>
      </c>
      <c r="E42" s="27">
        <v>0</v>
      </c>
      <c r="F42" s="28">
        <v>123</v>
      </c>
      <c r="G42" s="28">
        <v>292</v>
      </c>
      <c r="H42" s="28">
        <v>306</v>
      </c>
      <c r="I42" s="28">
        <v>3</v>
      </c>
      <c r="J42" s="28">
        <v>724</v>
      </c>
      <c r="K42" s="29">
        <v>0.16988950276243095</v>
      </c>
      <c r="L42" s="29">
        <v>0.40331491712707185</v>
      </c>
      <c r="M42" s="29">
        <v>0.42265193370165743</v>
      </c>
      <c r="N42" s="29">
        <v>4.1436464088397788E-3</v>
      </c>
      <c r="O42" s="30">
        <v>42.321823204419893</v>
      </c>
    </row>
    <row r="43" spans="1:43" x14ac:dyDescent="0.25">
      <c r="A43" s="27">
        <v>0.77052238805970152</v>
      </c>
      <c r="B43" s="27">
        <v>0.13246268656716417</v>
      </c>
      <c r="C43" s="27">
        <v>8.9552238805970144E-2</v>
      </c>
      <c r="D43" s="27">
        <v>3.7313432835820895E-3</v>
      </c>
      <c r="E43" s="27">
        <v>1.8656716417910447E-3</v>
      </c>
      <c r="F43" s="28">
        <v>183</v>
      </c>
      <c r="G43" s="28">
        <v>281</v>
      </c>
      <c r="H43" s="28">
        <v>256</v>
      </c>
      <c r="I43" s="28">
        <v>4</v>
      </c>
      <c r="J43" s="28">
        <v>724</v>
      </c>
      <c r="K43" s="29">
        <v>0.25276243093922651</v>
      </c>
      <c r="L43" s="29">
        <v>0.38812154696132595</v>
      </c>
      <c r="M43" s="29">
        <v>0.35359116022099446</v>
      </c>
      <c r="N43" s="29">
        <v>5.5248618784530384E-3</v>
      </c>
      <c r="O43" s="30">
        <v>30.715469613259668</v>
      </c>
    </row>
    <row r="44" spans="1:43" x14ac:dyDescent="0.25">
      <c r="A44" s="27">
        <v>0.71633752244165172</v>
      </c>
      <c r="B44" s="27">
        <v>0.14362657091561939</v>
      </c>
      <c r="C44" s="27">
        <v>0.13644524236983843</v>
      </c>
      <c r="D44" s="27">
        <v>3.5906642728904849E-3</v>
      </c>
      <c r="E44" s="27">
        <v>0</v>
      </c>
      <c r="F44" s="28">
        <v>211</v>
      </c>
      <c r="G44" s="28">
        <v>232</v>
      </c>
      <c r="H44" s="28">
        <v>281</v>
      </c>
      <c r="I44" s="28">
        <v>1</v>
      </c>
      <c r="J44" s="28">
        <v>725</v>
      </c>
      <c r="K44" s="29">
        <v>0.29103448275862071</v>
      </c>
      <c r="L44" s="29">
        <v>0.32</v>
      </c>
      <c r="M44" s="29">
        <v>0.38758620689655171</v>
      </c>
      <c r="N44" s="29">
        <v>1.3793103448275861E-3</v>
      </c>
      <c r="O44" s="30">
        <v>22.304827586206898</v>
      </c>
    </row>
    <row r="45" spans="1:43" x14ac:dyDescent="0.25">
      <c r="A45" s="27">
        <v>0.76872964169381108</v>
      </c>
      <c r="B45" s="27">
        <v>3.2573289902280131E-2</v>
      </c>
      <c r="C45" s="27">
        <v>0.15309446254071662</v>
      </c>
      <c r="D45" s="27">
        <v>9.7719869706840382E-3</v>
      </c>
      <c r="E45" s="27">
        <v>1.3029315960912053E-2</v>
      </c>
      <c r="F45" s="28">
        <v>59</v>
      </c>
      <c r="G45" s="28">
        <v>331</v>
      </c>
      <c r="H45" s="28">
        <v>58</v>
      </c>
      <c r="I45" s="28">
        <v>2</v>
      </c>
      <c r="J45" s="28">
        <v>450</v>
      </c>
      <c r="K45" s="29">
        <v>0.13111111111111112</v>
      </c>
      <c r="L45" s="29">
        <v>0.73555555555555552</v>
      </c>
      <c r="M45" s="29">
        <v>0.12888888888888889</v>
      </c>
      <c r="N45" s="29">
        <v>4.4444444444444444E-3</v>
      </c>
      <c r="O45" s="30">
        <v>70.484444444444449</v>
      </c>
      <c r="Y45" s="35">
        <f>0.2319+0.1334</f>
        <v>0.36529999999999996</v>
      </c>
      <c r="AH45" s="33" t="s">
        <v>312</v>
      </c>
      <c r="AQ45" s="33" t="s">
        <v>314</v>
      </c>
    </row>
    <row r="46" spans="1:43" x14ac:dyDescent="0.25">
      <c r="A46" s="27">
        <v>0.79234972677595628</v>
      </c>
      <c r="B46" s="27">
        <v>3.825136612021858E-2</v>
      </c>
      <c r="C46" s="27">
        <v>0.13661202185792351</v>
      </c>
      <c r="D46" s="27">
        <v>8.1967213114754103E-3</v>
      </c>
      <c r="E46" s="27">
        <v>2.7322404371584699E-3</v>
      </c>
      <c r="F46" s="28">
        <v>42</v>
      </c>
      <c r="G46" s="28">
        <v>331</v>
      </c>
      <c r="H46" s="28">
        <v>75</v>
      </c>
      <c r="I46" s="28">
        <v>2</v>
      </c>
      <c r="J46" s="28">
        <v>450</v>
      </c>
      <c r="K46" s="29">
        <v>9.3333333333333338E-2</v>
      </c>
      <c r="L46" s="29">
        <v>0.73555555555555552</v>
      </c>
      <c r="M46" s="29">
        <v>0.16666666666666666</v>
      </c>
      <c r="N46" s="29">
        <v>4.4444444444444444E-3</v>
      </c>
      <c r="O46" s="30">
        <v>65.444444444444443</v>
      </c>
    </row>
    <row r="47" spans="1:43" x14ac:dyDescent="0.25">
      <c r="A47" s="27">
        <v>0.8262032085561497</v>
      </c>
      <c r="B47" s="27">
        <v>4.2780748663101602E-2</v>
      </c>
      <c r="C47" s="27">
        <v>0.10962566844919786</v>
      </c>
      <c r="D47" s="27">
        <v>5.3475935828877002E-3</v>
      </c>
      <c r="E47" s="27">
        <v>0</v>
      </c>
      <c r="F47" s="28">
        <v>60</v>
      </c>
      <c r="G47" s="28">
        <v>322</v>
      </c>
      <c r="H47" s="28">
        <v>66</v>
      </c>
      <c r="I47" s="28">
        <v>2</v>
      </c>
      <c r="J47" s="28">
        <v>450</v>
      </c>
      <c r="K47" s="29">
        <v>0.13333333333333333</v>
      </c>
      <c r="L47" s="29">
        <v>0.7155555555555555</v>
      </c>
      <c r="M47" s="29">
        <v>0.14666666666666667</v>
      </c>
      <c r="N47" s="29">
        <v>4.4444444444444444E-3</v>
      </c>
      <c r="O47" s="30">
        <v>58.855555555555554</v>
      </c>
      <c r="AH47" s="35">
        <f>-0.2796+0.3258</f>
        <v>4.6199999999999963E-2</v>
      </c>
      <c r="AQ47" s="35">
        <f>-0.0944+0.2516</f>
        <v>0.15720000000000001</v>
      </c>
    </row>
    <row r="48" spans="1:43" x14ac:dyDescent="0.25">
      <c r="A48" s="27">
        <v>0.81285444234404536</v>
      </c>
      <c r="B48" s="27">
        <v>7.1833648393194713E-2</v>
      </c>
      <c r="C48" s="27">
        <v>9.6408317580340269E-2</v>
      </c>
      <c r="D48" s="27">
        <v>7.5614366729678641E-3</v>
      </c>
      <c r="E48" s="27">
        <v>0</v>
      </c>
      <c r="F48" s="28">
        <v>91</v>
      </c>
      <c r="G48" s="28">
        <v>454</v>
      </c>
      <c r="H48" s="28">
        <v>100</v>
      </c>
      <c r="I48" s="28">
        <v>1</v>
      </c>
      <c r="J48" s="28">
        <v>646</v>
      </c>
      <c r="K48" s="29">
        <v>0.14086687306501547</v>
      </c>
      <c r="L48" s="29">
        <v>0.70278637770897834</v>
      </c>
      <c r="M48" s="29">
        <v>0.15479876160990713</v>
      </c>
      <c r="N48" s="29">
        <v>1.5479876160990713E-3</v>
      </c>
      <c r="O48" s="30">
        <v>52.5015479876161</v>
      </c>
    </row>
    <row r="49" spans="1:15" x14ac:dyDescent="0.25">
      <c r="A49" s="27">
        <v>0.8661257606490872</v>
      </c>
      <c r="B49" s="27">
        <v>5.0709939148073022E-2</v>
      </c>
      <c r="C49" s="27">
        <v>7.099391480730223E-2</v>
      </c>
      <c r="D49" s="27">
        <v>2.0283975659229209E-3</v>
      </c>
      <c r="E49" s="27">
        <v>0</v>
      </c>
      <c r="F49" s="28">
        <v>68</v>
      </c>
      <c r="G49" s="28">
        <v>464</v>
      </c>
      <c r="H49" s="28">
        <v>109</v>
      </c>
      <c r="I49" s="28">
        <v>5</v>
      </c>
      <c r="J49" s="28">
        <v>646</v>
      </c>
      <c r="K49" s="29">
        <v>0.10526315789473684</v>
      </c>
      <c r="L49" s="29">
        <v>0.71826625386996901</v>
      </c>
      <c r="M49" s="29">
        <v>0.16873065015479877</v>
      </c>
      <c r="N49" s="29">
        <v>7.7399380804953561E-3</v>
      </c>
      <c r="O49" s="30">
        <v>45.339009287925698</v>
      </c>
    </row>
    <row r="50" spans="1:15" x14ac:dyDescent="0.25">
      <c r="A50" s="27">
        <v>0.87396694214876036</v>
      </c>
      <c r="B50" s="27">
        <v>6.1983471074380167E-2</v>
      </c>
      <c r="C50" s="27">
        <v>5.9917355371900828E-2</v>
      </c>
      <c r="D50" s="27">
        <v>0</v>
      </c>
      <c r="E50" s="27">
        <v>0</v>
      </c>
      <c r="F50" s="28">
        <v>69</v>
      </c>
      <c r="G50" s="28">
        <v>439</v>
      </c>
      <c r="H50" s="28">
        <v>135</v>
      </c>
      <c r="I50" s="28">
        <v>3</v>
      </c>
      <c r="J50" s="28">
        <v>646</v>
      </c>
      <c r="K50" s="29">
        <v>0.10681114551083591</v>
      </c>
      <c r="L50" s="29">
        <v>0.67956656346749222</v>
      </c>
      <c r="M50" s="29">
        <v>0.20897832817337461</v>
      </c>
      <c r="N50" s="29">
        <v>4.6439628482972135E-3</v>
      </c>
      <c r="O50" s="30">
        <v>38.778637770897831</v>
      </c>
    </row>
    <row r="51" spans="1:15" x14ac:dyDescent="0.25">
      <c r="A51" s="27">
        <v>0.80982905982905984</v>
      </c>
      <c r="B51" s="27">
        <v>9.8290598290598288E-2</v>
      </c>
      <c r="C51" s="27">
        <v>8.11965811965812E-2</v>
      </c>
      <c r="D51" s="27">
        <v>2.136752136752137E-3</v>
      </c>
      <c r="E51" s="27">
        <v>0</v>
      </c>
      <c r="F51" s="28">
        <v>108</v>
      </c>
      <c r="G51" s="28">
        <v>389</v>
      </c>
      <c r="H51" s="28">
        <v>149</v>
      </c>
      <c r="I51" s="28">
        <v>0</v>
      </c>
      <c r="J51" s="28">
        <v>646</v>
      </c>
      <c r="K51" s="29">
        <v>0.16718266253869968</v>
      </c>
      <c r="L51" s="29">
        <v>0.60216718266253866</v>
      </c>
      <c r="M51" s="29">
        <v>0.23065015479876161</v>
      </c>
      <c r="N51" s="29">
        <v>0</v>
      </c>
      <c r="O51" s="30">
        <v>32.348297213622288</v>
      </c>
    </row>
    <row r="52" spans="1:15" x14ac:dyDescent="0.25">
      <c r="A52" s="27">
        <v>0.78418803418803418</v>
      </c>
      <c r="B52" s="27">
        <v>0.14316239316239315</v>
      </c>
      <c r="C52" s="27">
        <v>5.5555555555555552E-2</v>
      </c>
      <c r="D52" s="27">
        <v>6.41025641025641E-3</v>
      </c>
      <c r="E52" s="27">
        <v>8.5470085470085479E-3</v>
      </c>
      <c r="F52" s="28">
        <v>159</v>
      </c>
      <c r="G52" s="28">
        <v>339</v>
      </c>
      <c r="H52" s="28">
        <v>147</v>
      </c>
      <c r="I52" s="28">
        <v>1</v>
      </c>
      <c r="J52" s="28">
        <v>646</v>
      </c>
      <c r="K52" s="29">
        <v>0.24613003095975233</v>
      </c>
      <c r="L52" s="29">
        <v>0.52476780185758509</v>
      </c>
      <c r="M52" s="29">
        <v>0.22755417956656346</v>
      </c>
      <c r="N52" s="29">
        <v>1.5479876160990713E-3</v>
      </c>
      <c r="O52" s="30">
        <v>26.470588235294116</v>
      </c>
    </row>
    <row r="53" spans="1:15" x14ac:dyDescent="0.25">
      <c r="A53" s="27">
        <v>0.77842003853564545</v>
      </c>
      <c r="B53" s="27">
        <v>0.11946050096339114</v>
      </c>
      <c r="C53" s="27">
        <v>8.0924855491329481E-2</v>
      </c>
      <c r="D53" s="27">
        <v>9.6339113680154135E-3</v>
      </c>
      <c r="E53" s="27">
        <v>3.8535645472061657E-3</v>
      </c>
      <c r="F53" s="28">
        <v>153</v>
      </c>
      <c r="G53" s="28">
        <v>377</v>
      </c>
      <c r="H53" s="28">
        <v>117</v>
      </c>
      <c r="I53" s="28">
        <v>0</v>
      </c>
      <c r="J53" s="28">
        <v>647</v>
      </c>
      <c r="K53" s="29">
        <v>0.23647604327666152</v>
      </c>
      <c r="L53" s="29">
        <v>0.58268933539412671</v>
      </c>
      <c r="M53" s="29">
        <v>0.18083462132921174</v>
      </c>
      <c r="N53" s="29">
        <v>0</v>
      </c>
      <c r="O53" s="30">
        <v>20.876352395672335</v>
      </c>
    </row>
    <row r="54" spans="1:15" x14ac:dyDescent="0.25">
      <c r="A54" s="27">
        <v>0.80528052805280526</v>
      </c>
      <c r="B54" s="27">
        <v>4.2904290429042903E-2</v>
      </c>
      <c r="C54" s="27">
        <v>0.11551155115511551</v>
      </c>
      <c r="D54" s="27">
        <v>3.3003300330033004E-3</v>
      </c>
      <c r="E54" s="27">
        <v>6.6006600660066007E-3</v>
      </c>
      <c r="F54" s="28">
        <v>48</v>
      </c>
      <c r="G54" s="28">
        <v>358</v>
      </c>
      <c r="H54" s="28">
        <v>44</v>
      </c>
      <c r="I54" s="28">
        <v>0</v>
      </c>
      <c r="J54" s="28">
        <v>450</v>
      </c>
      <c r="K54" s="29">
        <v>0.10666666666666667</v>
      </c>
      <c r="L54" s="29">
        <v>0.79555555555555557</v>
      </c>
      <c r="M54" s="29">
        <v>9.7777777777777783E-2</v>
      </c>
      <c r="N54" s="29">
        <v>0</v>
      </c>
      <c r="O54" s="30">
        <v>70.86666666666666</v>
      </c>
    </row>
    <row r="55" spans="1:15" x14ac:dyDescent="0.25">
      <c r="A55" s="27">
        <v>0.80158730158730163</v>
      </c>
      <c r="B55" s="27">
        <v>6.0846560846560843E-2</v>
      </c>
      <c r="C55" s="27">
        <v>0.1164021164021164</v>
      </c>
      <c r="D55" s="27">
        <v>5.2910052910052907E-3</v>
      </c>
      <c r="E55" s="27">
        <v>2.6455026455026454E-3</v>
      </c>
      <c r="F55" s="28">
        <v>58</v>
      </c>
      <c r="G55" s="28">
        <v>358</v>
      </c>
      <c r="H55" s="28">
        <v>33</v>
      </c>
      <c r="I55" s="28">
        <v>1</v>
      </c>
      <c r="J55" s="28">
        <v>450</v>
      </c>
      <c r="K55" s="29">
        <v>0.12888888888888889</v>
      </c>
      <c r="L55" s="29">
        <v>0.79555555555555557</v>
      </c>
      <c r="M55" s="29">
        <v>7.3333333333333334E-2</v>
      </c>
      <c r="N55" s="29">
        <v>2.2222222222222222E-3</v>
      </c>
      <c r="O55" s="30">
        <v>64.468888888888884</v>
      </c>
    </row>
    <row r="56" spans="1:15" x14ac:dyDescent="0.25">
      <c r="A56" s="27">
        <v>0.79629629629629628</v>
      </c>
      <c r="B56" s="27">
        <v>7.407407407407407E-2</v>
      </c>
      <c r="C56" s="27">
        <v>0.11375661375661375</v>
      </c>
      <c r="D56" s="27">
        <v>7.9365079365079361E-3</v>
      </c>
      <c r="E56" s="27">
        <v>2.6455026455026454E-3</v>
      </c>
      <c r="F56" s="28">
        <v>75</v>
      </c>
      <c r="G56" s="28">
        <v>315</v>
      </c>
      <c r="H56" s="28">
        <v>59</v>
      </c>
      <c r="I56" s="28">
        <v>1</v>
      </c>
      <c r="J56" s="28">
        <v>450</v>
      </c>
      <c r="K56" s="29">
        <v>0.16666666666666666</v>
      </c>
      <c r="L56" s="29">
        <v>0.7</v>
      </c>
      <c r="M56" s="29">
        <v>0.13111111111111112</v>
      </c>
      <c r="N56" s="29">
        <v>2.2222222222222222E-3</v>
      </c>
      <c r="O56" s="30">
        <v>56.606666666666669</v>
      </c>
    </row>
    <row r="57" spans="1:15" x14ac:dyDescent="0.25">
      <c r="A57" s="27">
        <v>0.75854700854700852</v>
      </c>
      <c r="B57" s="27">
        <v>7.2649572649572655E-2</v>
      </c>
      <c r="C57" s="27">
        <v>0.1517094017094017</v>
      </c>
      <c r="D57" s="27">
        <v>6.41025641025641E-3</v>
      </c>
      <c r="E57" s="27">
        <v>0</v>
      </c>
      <c r="F57" s="28">
        <v>136</v>
      </c>
      <c r="G57" s="28">
        <v>327</v>
      </c>
      <c r="H57" s="28">
        <v>109</v>
      </c>
      <c r="I57" s="28">
        <v>7</v>
      </c>
      <c r="J57" s="28">
        <v>579</v>
      </c>
      <c r="K57" s="29">
        <v>0.23488773747841105</v>
      </c>
      <c r="L57" s="29">
        <v>0.56476683937823835</v>
      </c>
      <c r="M57" s="29">
        <v>0.18825561312607944</v>
      </c>
      <c r="N57" s="29">
        <v>1.2089810017271158E-2</v>
      </c>
      <c r="O57" s="30">
        <v>47.189982728842836</v>
      </c>
    </row>
    <row r="58" spans="1:15" x14ac:dyDescent="0.25">
      <c r="A58" s="27">
        <v>0.68564920273348517</v>
      </c>
      <c r="B58" s="27">
        <v>0.12528473804100229</v>
      </c>
      <c r="C58" s="27">
        <v>0.18223234624145787</v>
      </c>
      <c r="D58" s="27">
        <v>0</v>
      </c>
      <c r="E58" s="27">
        <v>0</v>
      </c>
      <c r="F58" s="28">
        <v>177</v>
      </c>
      <c r="G58" s="28">
        <v>283</v>
      </c>
      <c r="H58" s="28">
        <v>120</v>
      </c>
      <c r="I58" s="28">
        <v>0</v>
      </c>
      <c r="J58" s="28">
        <v>580</v>
      </c>
      <c r="K58" s="29">
        <v>0.30517241379310345</v>
      </c>
      <c r="L58" s="29">
        <v>0.4879310344827586</v>
      </c>
      <c r="M58" s="29">
        <v>0.20689655172413793</v>
      </c>
      <c r="N58" s="29">
        <v>0</v>
      </c>
      <c r="O58" s="30">
        <v>38.425862068965515</v>
      </c>
    </row>
    <row r="59" spans="1:15" x14ac:dyDescent="0.25">
      <c r="A59" s="27">
        <v>0.6967592592592593</v>
      </c>
      <c r="B59" s="27">
        <v>0.15509259259259259</v>
      </c>
      <c r="C59" s="27">
        <v>0.13194444444444445</v>
      </c>
      <c r="D59" s="27">
        <v>9.2592592592592587E-3</v>
      </c>
      <c r="E59" s="27">
        <v>2.3148148148148147E-3</v>
      </c>
      <c r="F59" s="28">
        <v>184</v>
      </c>
      <c r="G59" s="28">
        <v>273</v>
      </c>
      <c r="H59" s="28">
        <v>121</v>
      </c>
      <c r="I59" s="28">
        <v>2</v>
      </c>
      <c r="J59" s="28">
        <v>580</v>
      </c>
      <c r="K59" s="29">
        <v>0.31724137931034485</v>
      </c>
      <c r="L59" s="29">
        <v>0.47068965517241379</v>
      </c>
      <c r="M59" s="29">
        <v>0.20862068965517241</v>
      </c>
      <c r="N59" s="29">
        <v>3.4482758620689655E-3</v>
      </c>
      <c r="O59" s="30">
        <v>30.565517241379311</v>
      </c>
    </row>
    <row r="60" spans="1:15" x14ac:dyDescent="0.25">
      <c r="A60" s="27">
        <v>0.67653758542141229</v>
      </c>
      <c r="B60" s="27">
        <v>0.17084282460136674</v>
      </c>
      <c r="C60" s="27">
        <v>0.13895216400911162</v>
      </c>
      <c r="D60" s="27">
        <v>4.5558086560364463E-3</v>
      </c>
      <c r="E60" s="27">
        <v>2.2779043280182231E-3</v>
      </c>
      <c r="F60" s="28">
        <v>206</v>
      </c>
      <c r="G60" s="28">
        <v>210</v>
      </c>
      <c r="H60" s="28">
        <v>164</v>
      </c>
      <c r="I60" s="28">
        <v>0</v>
      </c>
      <c r="J60" s="28">
        <v>580</v>
      </c>
      <c r="K60" s="29">
        <v>0.35517241379310344</v>
      </c>
      <c r="L60" s="29">
        <v>0.36206896551724138</v>
      </c>
      <c r="M60" s="29">
        <v>0.28275862068965518</v>
      </c>
      <c r="N60" s="29">
        <v>0</v>
      </c>
      <c r="O60" s="30">
        <v>22.581034482758621</v>
      </c>
    </row>
    <row r="61" spans="1:15" x14ac:dyDescent="0.25">
      <c r="A61" s="27">
        <v>0.79084967320261434</v>
      </c>
      <c r="B61" s="27">
        <v>6.2091503267973858E-2</v>
      </c>
      <c r="C61" s="27">
        <v>0.1111111111111111</v>
      </c>
      <c r="D61" s="27">
        <v>6.5359477124183009E-3</v>
      </c>
      <c r="E61" s="27">
        <v>1.9607843137254902E-2</v>
      </c>
      <c r="F61" s="28">
        <v>38</v>
      </c>
      <c r="G61" s="28">
        <v>350</v>
      </c>
      <c r="H61" s="28">
        <v>62</v>
      </c>
      <c r="I61" s="28">
        <v>0</v>
      </c>
      <c r="J61" s="28">
        <v>450</v>
      </c>
      <c r="K61" s="29">
        <v>8.4444444444444447E-2</v>
      </c>
      <c r="L61" s="29">
        <v>0.77777777777777779</v>
      </c>
      <c r="M61" s="29">
        <v>0.13777777777777778</v>
      </c>
      <c r="N61" s="29">
        <v>0</v>
      </c>
      <c r="O61" s="30">
        <v>64.642222222222216</v>
      </c>
    </row>
    <row r="62" spans="1:15" x14ac:dyDescent="0.25">
      <c r="A62" s="27">
        <v>0.89528795811518325</v>
      </c>
      <c r="B62" s="27">
        <v>1.832460732984293E-2</v>
      </c>
      <c r="C62" s="27">
        <v>7.5916230366492143E-2</v>
      </c>
      <c r="D62" s="27">
        <v>2.617801047120419E-3</v>
      </c>
      <c r="E62" s="27">
        <v>2.617801047120419E-3</v>
      </c>
      <c r="F62" s="28">
        <v>37</v>
      </c>
      <c r="G62" s="28">
        <v>368</v>
      </c>
      <c r="H62" s="28">
        <v>45</v>
      </c>
      <c r="I62" s="28">
        <v>0</v>
      </c>
      <c r="J62" s="28">
        <v>450</v>
      </c>
      <c r="K62" s="29">
        <v>8.2222222222222224E-2</v>
      </c>
      <c r="L62" s="29">
        <v>0.81777777777777783</v>
      </c>
      <c r="M62" s="29">
        <v>0.1</v>
      </c>
      <c r="N62" s="29">
        <v>0</v>
      </c>
      <c r="O62" s="30">
        <v>60.375555555555557</v>
      </c>
    </row>
    <row r="63" spans="1:15" x14ac:dyDescent="0.25">
      <c r="A63" s="27">
        <v>0.89130434782608692</v>
      </c>
      <c r="B63" s="27">
        <v>2.3715415019762844E-2</v>
      </c>
      <c r="C63" s="27">
        <v>5.9288537549407112E-2</v>
      </c>
      <c r="D63" s="27">
        <v>3.952569169960474E-3</v>
      </c>
      <c r="E63" s="27">
        <v>1.976284584980237E-3</v>
      </c>
      <c r="F63" s="28">
        <v>36</v>
      </c>
      <c r="G63" s="28">
        <v>529</v>
      </c>
      <c r="H63" s="28">
        <v>70</v>
      </c>
      <c r="I63" s="28">
        <v>0</v>
      </c>
      <c r="J63" s="28">
        <v>635</v>
      </c>
      <c r="K63" s="29">
        <v>5.6692913385826771E-2</v>
      </c>
      <c r="L63" s="29">
        <v>0.83307086614173231</v>
      </c>
      <c r="M63" s="29">
        <v>0.11023622047244094</v>
      </c>
      <c r="N63" s="29">
        <v>0</v>
      </c>
      <c r="O63" s="30">
        <v>52.190551181102364</v>
      </c>
    </row>
    <row r="64" spans="1:15" x14ac:dyDescent="0.25">
      <c r="A64" s="27">
        <v>0.85835095137420714</v>
      </c>
      <c r="B64" s="27">
        <v>5.0739957716701901E-2</v>
      </c>
      <c r="C64" s="27">
        <v>8.8794926004228336E-2</v>
      </c>
      <c r="D64" s="27">
        <v>0</v>
      </c>
      <c r="E64" s="27">
        <v>0</v>
      </c>
      <c r="F64" s="28">
        <v>66</v>
      </c>
      <c r="G64" s="28">
        <v>459</v>
      </c>
      <c r="H64" s="28">
        <v>106</v>
      </c>
      <c r="I64" s="28">
        <v>4</v>
      </c>
      <c r="J64" s="28">
        <v>635</v>
      </c>
      <c r="K64" s="29">
        <v>0.10393700787401575</v>
      </c>
      <c r="L64" s="29">
        <v>0.72283464566929134</v>
      </c>
      <c r="M64" s="29">
        <v>0.16692913385826771</v>
      </c>
      <c r="N64" s="29">
        <v>6.2992125984251968E-3</v>
      </c>
      <c r="O64" s="30">
        <v>44.294488188976381</v>
      </c>
    </row>
    <row r="65" spans="1:15" x14ac:dyDescent="0.25">
      <c r="A65" s="27">
        <v>0.84913793103448276</v>
      </c>
      <c r="B65" s="27">
        <v>7.1120689655172417E-2</v>
      </c>
      <c r="C65" s="27">
        <v>7.3275862068965511E-2</v>
      </c>
      <c r="D65" s="27">
        <v>2.1551724137931034E-3</v>
      </c>
      <c r="E65" s="27">
        <v>2.1551724137931034E-3</v>
      </c>
      <c r="F65" s="28">
        <v>80</v>
      </c>
      <c r="G65" s="28">
        <v>458</v>
      </c>
      <c r="H65" s="28">
        <v>94</v>
      </c>
      <c r="I65" s="28">
        <v>3</v>
      </c>
      <c r="J65" s="28">
        <v>635</v>
      </c>
      <c r="K65" s="29">
        <v>0.12598425196850394</v>
      </c>
      <c r="L65" s="29">
        <v>0.721259842519685</v>
      </c>
      <c r="M65" s="29">
        <v>0.14803149606299212</v>
      </c>
      <c r="N65" s="29">
        <v>4.7244094488188976E-3</v>
      </c>
      <c r="O65" s="30">
        <v>37.634645669291338</v>
      </c>
    </row>
    <row r="66" spans="1:15" x14ac:dyDescent="0.25">
      <c r="A66" s="27">
        <v>0.84868421052631582</v>
      </c>
      <c r="B66" s="27">
        <v>8.1140350877192985E-2</v>
      </c>
      <c r="C66" s="27">
        <v>6.3596491228070179E-2</v>
      </c>
      <c r="D66" s="27">
        <v>2.1929824561403508E-3</v>
      </c>
      <c r="E66" s="27">
        <v>4.3859649122807015E-3</v>
      </c>
      <c r="F66" s="28">
        <v>79</v>
      </c>
      <c r="G66" s="28">
        <v>438</v>
      </c>
      <c r="H66" s="28">
        <v>116</v>
      </c>
      <c r="I66" s="28">
        <v>2</v>
      </c>
      <c r="J66" s="28">
        <v>635</v>
      </c>
      <c r="K66" s="29">
        <v>0.12440944881889764</v>
      </c>
      <c r="L66" s="29">
        <v>0.68976377952755907</v>
      </c>
      <c r="M66" s="29">
        <v>0.18267716535433071</v>
      </c>
      <c r="N66" s="29">
        <v>3.1496062992125984E-3</v>
      </c>
      <c r="O66" s="30">
        <v>31.64724409448819</v>
      </c>
    </row>
    <row r="67" spans="1:15" x14ac:dyDescent="0.25">
      <c r="A67" s="27">
        <v>0.85809312638580926</v>
      </c>
      <c r="B67" s="27">
        <v>6.8736141906873618E-2</v>
      </c>
      <c r="C67" s="27">
        <v>6.4301552106430154E-2</v>
      </c>
      <c r="D67" s="27">
        <v>4.434589800443459E-3</v>
      </c>
      <c r="E67" s="27">
        <v>2.2172949002217295E-3</v>
      </c>
      <c r="F67" s="28">
        <v>66</v>
      </c>
      <c r="G67" s="28">
        <v>445</v>
      </c>
      <c r="H67" s="28">
        <v>124</v>
      </c>
      <c r="I67" s="28">
        <v>0</v>
      </c>
      <c r="J67" s="28">
        <v>635</v>
      </c>
      <c r="K67" s="29">
        <v>0.10393700787401575</v>
      </c>
      <c r="L67" s="29">
        <v>0.70078740157480313</v>
      </c>
      <c r="M67" s="29">
        <v>0.1952755905511811</v>
      </c>
      <c r="N67" s="29">
        <v>0</v>
      </c>
      <c r="O67" s="30">
        <v>26.447244094488187</v>
      </c>
    </row>
    <row r="68" spans="1:15" x14ac:dyDescent="0.25">
      <c r="A68" s="27">
        <v>0.84631147540983609</v>
      </c>
      <c r="B68" s="27">
        <v>8.6065573770491802E-2</v>
      </c>
      <c r="C68" s="27">
        <v>5.9426229508196718E-2</v>
      </c>
      <c r="D68" s="27">
        <v>0</v>
      </c>
      <c r="E68" s="27">
        <v>0</v>
      </c>
      <c r="F68" s="28">
        <v>90</v>
      </c>
      <c r="G68" s="28">
        <v>430</v>
      </c>
      <c r="H68" s="28">
        <v>118</v>
      </c>
      <c r="I68" s="28">
        <v>0</v>
      </c>
      <c r="J68" s="28">
        <v>638</v>
      </c>
      <c r="K68" s="29">
        <v>0.14106583072100312</v>
      </c>
      <c r="L68" s="29">
        <v>0.6739811912225705</v>
      </c>
      <c r="M68" s="29">
        <v>0.18495297805642633</v>
      </c>
      <c r="N68" s="29">
        <v>0</v>
      </c>
      <c r="O68" s="30">
        <v>20.788401253918494</v>
      </c>
    </row>
    <row r="69" spans="1:15" x14ac:dyDescent="0.25">
      <c r="A69" s="27">
        <v>0.70977917981072558</v>
      </c>
      <c r="B69" s="27">
        <v>6.6246056782334389E-2</v>
      </c>
      <c r="C69" s="27">
        <v>0.20820189274447951</v>
      </c>
      <c r="D69" s="27">
        <v>0</v>
      </c>
      <c r="E69" s="27">
        <v>3.1545741324921135E-3</v>
      </c>
      <c r="F69" s="28">
        <v>82</v>
      </c>
      <c r="G69" s="28">
        <v>180</v>
      </c>
      <c r="H69" s="28">
        <v>181</v>
      </c>
      <c r="I69" s="28">
        <v>7</v>
      </c>
      <c r="J69" s="28">
        <v>450</v>
      </c>
      <c r="K69" s="29">
        <v>0.18222222222222223</v>
      </c>
      <c r="L69" s="29">
        <v>0.4</v>
      </c>
      <c r="M69" s="29">
        <v>0.4022222222222222</v>
      </c>
      <c r="N69" s="29">
        <v>1.5555555555555555E-2</v>
      </c>
      <c r="O69" s="30">
        <v>65.371111111111105</v>
      </c>
    </row>
    <row r="70" spans="1:15" x14ac:dyDescent="0.25">
      <c r="A70" s="27">
        <v>0.77049180327868849</v>
      </c>
      <c r="B70" s="27">
        <v>7.9234972677595633E-2</v>
      </c>
      <c r="C70" s="27">
        <v>0.13114754098360656</v>
      </c>
      <c r="D70" s="27">
        <v>1.3661202185792349E-2</v>
      </c>
      <c r="E70" s="27">
        <v>0</v>
      </c>
      <c r="F70" s="28">
        <v>92</v>
      </c>
      <c r="G70" s="28">
        <v>178</v>
      </c>
      <c r="H70" s="28">
        <v>175</v>
      </c>
      <c r="I70" s="28">
        <v>5</v>
      </c>
      <c r="J70" s="28">
        <v>450</v>
      </c>
      <c r="K70" s="29">
        <v>0.20444444444444446</v>
      </c>
      <c r="L70" s="29">
        <v>0.39555555555555555</v>
      </c>
      <c r="M70" s="29">
        <v>0.3888888888888889</v>
      </c>
      <c r="N70" s="29">
        <v>1.1111111111111112E-2</v>
      </c>
      <c r="O70" s="30">
        <v>57.428888888888892</v>
      </c>
    </row>
    <row r="71" spans="1:15" x14ac:dyDescent="0.25">
      <c r="A71" s="27">
        <v>0.80327868852459017</v>
      </c>
      <c r="B71" s="27">
        <v>5.737704918032787E-2</v>
      </c>
      <c r="C71" s="27">
        <v>0.125</v>
      </c>
      <c r="D71" s="27">
        <v>2.0491803278688526E-3</v>
      </c>
      <c r="E71" s="27">
        <v>4.0983606557377051E-3</v>
      </c>
      <c r="F71" s="28">
        <v>137</v>
      </c>
      <c r="G71" s="28">
        <v>292</v>
      </c>
      <c r="H71" s="28">
        <v>207</v>
      </c>
      <c r="I71" s="28">
        <v>3</v>
      </c>
      <c r="J71" s="28">
        <v>639</v>
      </c>
      <c r="K71" s="29">
        <v>0.21439749608763695</v>
      </c>
      <c r="L71" s="29">
        <v>0.4569640062597809</v>
      </c>
      <c r="M71" s="29">
        <v>0.323943661971831</v>
      </c>
      <c r="N71" s="29">
        <v>4.6948356807511738E-3</v>
      </c>
      <c r="O71" s="30">
        <v>47.575899843505475</v>
      </c>
    </row>
    <row r="72" spans="1:15" x14ac:dyDescent="0.25">
      <c r="A72" s="27">
        <v>0.78678038379530912</v>
      </c>
      <c r="B72" s="27">
        <v>6.8230277185501065E-2</v>
      </c>
      <c r="C72" s="27">
        <v>0.12366737739872068</v>
      </c>
      <c r="D72" s="27">
        <v>1.279317697228145E-2</v>
      </c>
      <c r="E72" s="27">
        <v>4.2643923240938165E-3</v>
      </c>
      <c r="F72" s="28">
        <v>129</v>
      </c>
      <c r="G72" s="28">
        <v>316</v>
      </c>
      <c r="H72" s="28">
        <v>189</v>
      </c>
      <c r="I72" s="28">
        <v>5</v>
      </c>
      <c r="J72" s="28">
        <v>639</v>
      </c>
      <c r="K72" s="29">
        <v>0.20187793427230047</v>
      </c>
      <c r="L72" s="29">
        <v>0.49452269170579027</v>
      </c>
      <c r="M72" s="29">
        <v>0.29577464788732394</v>
      </c>
      <c r="N72" s="29">
        <v>7.8247261345852897E-3</v>
      </c>
      <c r="O72" s="30">
        <v>39.820031298904539</v>
      </c>
    </row>
    <row r="73" spans="1:15" x14ac:dyDescent="0.25">
      <c r="A73" s="27">
        <v>0.76744186046511631</v>
      </c>
      <c r="B73" s="27">
        <v>0.12473572938689217</v>
      </c>
      <c r="C73" s="27">
        <v>9.0909090909090912E-2</v>
      </c>
      <c r="D73" s="27">
        <v>4.2283298097251587E-3</v>
      </c>
      <c r="E73" s="27">
        <v>6.3424947145877377E-3</v>
      </c>
      <c r="F73" s="28">
        <v>167</v>
      </c>
      <c r="G73" s="28">
        <v>302</v>
      </c>
      <c r="H73" s="28">
        <v>166</v>
      </c>
      <c r="I73" s="28">
        <v>4</v>
      </c>
      <c r="J73" s="28">
        <v>639</v>
      </c>
      <c r="K73" s="29">
        <v>0.26134585289514867</v>
      </c>
      <c r="L73" s="29">
        <v>0.47261345852895148</v>
      </c>
      <c r="M73" s="29">
        <v>0.25978090766823159</v>
      </c>
      <c r="N73" s="29">
        <v>6.2597809076682318E-3</v>
      </c>
      <c r="O73" s="30">
        <v>33.30203442879499</v>
      </c>
    </row>
    <row r="74" spans="1:15" x14ac:dyDescent="0.25">
      <c r="A74" s="27">
        <v>0.76993166287015946</v>
      </c>
      <c r="B74" s="27">
        <v>0.12072892938496584</v>
      </c>
      <c r="C74" s="27">
        <v>7.5170842824601361E-2</v>
      </c>
      <c r="D74" s="27">
        <v>4.5558086560364463E-3</v>
      </c>
      <c r="E74" s="27">
        <v>9.1116173120728925E-3</v>
      </c>
      <c r="F74" s="28">
        <v>175</v>
      </c>
      <c r="G74" s="28">
        <v>288</v>
      </c>
      <c r="H74" s="28">
        <v>173</v>
      </c>
      <c r="I74" s="28">
        <v>3</v>
      </c>
      <c r="J74" s="28">
        <v>639</v>
      </c>
      <c r="K74" s="29">
        <v>0.27386541471048514</v>
      </c>
      <c r="L74" s="29">
        <v>0.45070422535211269</v>
      </c>
      <c r="M74" s="29">
        <v>0.27073552425665104</v>
      </c>
      <c r="N74" s="29">
        <v>4.6948356807511738E-3</v>
      </c>
      <c r="O74" s="30">
        <v>27.402190923317683</v>
      </c>
    </row>
    <row r="75" spans="1:15" x14ac:dyDescent="0.25">
      <c r="A75" s="27">
        <v>0.78476190476190477</v>
      </c>
      <c r="B75" s="27">
        <v>9.1428571428571428E-2</v>
      </c>
      <c r="C75" s="27">
        <v>0.11619047619047619</v>
      </c>
      <c r="D75" s="27">
        <v>1.9047619047619048E-3</v>
      </c>
      <c r="E75" s="27">
        <v>3.8095238095238095E-3</v>
      </c>
      <c r="F75" s="28">
        <v>161</v>
      </c>
      <c r="G75" s="28">
        <v>303</v>
      </c>
      <c r="H75" s="28">
        <v>173</v>
      </c>
      <c r="I75" s="28">
        <v>2</v>
      </c>
      <c r="J75" s="28">
        <v>639</v>
      </c>
      <c r="K75" s="29">
        <v>0.2519561815336463</v>
      </c>
      <c r="L75" s="29">
        <v>0.47417840375586856</v>
      </c>
      <c r="M75" s="29">
        <v>0.27073552425665104</v>
      </c>
      <c r="N75" s="29">
        <v>3.1298904538341159E-3</v>
      </c>
      <c r="O75" s="30">
        <v>21.4037558685446</v>
      </c>
    </row>
    <row r="76" spans="1:15" x14ac:dyDescent="0.25">
      <c r="A76" s="27">
        <v>0.68181818181818177</v>
      </c>
      <c r="B76" s="27">
        <v>4.924242424242424E-2</v>
      </c>
      <c r="C76" s="27">
        <v>0.21590909090909091</v>
      </c>
      <c r="D76" s="27">
        <v>1.1363636363636364E-2</v>
      </c>
      <c r="E76" s="27">
        <v>2.2727272727272728E-2</v>
      </c>
      <c r="F76" s="28">
        <v>19</v>
      </c>
      <c r="G76" s="28">
        <v>31</v>
      </c>
      <c r="H76" s="28">
        <v>326</v>
      </c>
      <c r="I76" s="28">
        <v>2</v>
      </c>
      <c r="J76" s="28">
        <v>378</v>
      </c>
      <c r="K76" s="29">
        <v>5.0264550264550262E-2</v>
      </c>
      <c r="L76" s="29">
        <v>8.2010582010582006E-2</v>
      </c>
      <c r="M76" s="29">
        <v>0.86243386243386244</v>
      </c>
      <c r="N76" s="29">
        <v>5.2910052910052907E-3</v>
      </c>
      <c r="O76" s="30">
        <v>53.164021164021165</v>
      </c>
    </row>
    <row r="77" spans="1:15" x14ac:dyDescent="0.25">
      <c r="A77" s="27">
        <v>0.57988165680473369</v>
      </c>
      <c r="B77" s="27">
        <v>2.9585798816568046E-2</v>
      </c>
      <c r="C77" s="27">
        <v>0.31952662721893493</v>
      </c>
      <c r="D77" s="27">
        <v>1.1834319526627219E-2</v>
      </c>
      <c r="E77" s="27">
        <v>2.9585798816568046E-2</v>
      </c>
      <c r="F77" s="28">
        <v>15</v>
      </c>
      <c r="G77" s="28">
        <v>42</v>
      </c>
      <c r="H77" s="28">
        <v>193</v>
      </c>
      <c r="I77" s="28">
        <v>0</v>
      </c>
      <c r="J77" s="28">
        <v>250</v>
      </c>
      <c r="K77" s="29">
        <v>0.06</v>
      </c>
      <c r="L77" s="29">
        <v>0.16800000000000001</v>
      </c>
      <c r="M77" s="29">
        <v>0.77200000000000002</v>
      </c>
      <c r="N77" s="29">
        <v>0</v>
      </c>
      <c r="O77" s="30">
        <v>68.048000000000002</v>
      </c>
    </row>
    <row r="78" spans="1:15" x14ac:dyDescent="0.25">
      <c r="A78" s="27">
        <v>0.66548042704626331</v>
      </c>
      <c r="B78" s="27">
        <v>7.1174377224199295E-2</v>
      </c>
      <c r="C78" s="27">
        <v>0.24555160142348753</v>
      </c>
      <c r="D78" s="27">
        <v>3.5587188612099642E-3</v>
      </c>
      <c r="E78" s="27">
        <v>3.5587188612099642E-3</v>
      </c>
      <c r="F78" s="28">
        <v>42</v>
      </c>
      <c r="G78" s="28">
        <v>38</v>
      </c>
      <c r="H78" s="28">
        <v>266</v>
      </c>
      <c r="I78" s="28">
        <v>0</v>
      </c>
      <c r="J78" s="28">
        <v>346</v>
      </c>
      <c r="K78" s="29">
        <v>0.12138728323699421</v>
      </c>
      <c r="L78" s="29">
        <v>0.10982658959537572</v>
      </c>
      <c r="M78" s="29">
        <v>0.76878612716763006</v>
      </c>
      <c r="N78" s="29">
        <v>0</v>
      </c>
      <c r="O78" s="30">
        <v>41.306358381502889</v>
      </c>
    </row>
    <row r="79" spans="1:15" x14ac:dyDescent="0.25">
      <c r="A79" s="27">
        <v>0.57518796992481203</v>
      </c>
      <c r="B79" s="27">
        <v>2.2556390977443608E-2</v>
      </c>
      <c r="C79" s="27">
        <v>0.36090225563909772</v>
      </c>
      <c r="D79" s="27">
        <v>7.5187969924812026E-3</v>
      </c>
      <c r="E79" s="27">
        <v>1.5037593984962405E-2</v>
      </c>
      <c r="F79" s="28">
        <v>13</v>
      </c>
      <c r="G79" s="28">
        <v>85</v>
      </c>
      <c r="H79" s="28">
        <v>268</v>
      </c>
      <c r="I79" s="28">
        <v>0</v>
      </c>
      <c r="J79" s="28">
        <v>366</v>
      </c>
      <c r="K79" s="29">
        <v>3.5519125683060107E-2</v>
      </c>
      <c r="L79" s="29">
        <v>0.23224043715846995</v>
      </c>
      <c r="M79" s="29">
        <v>0.73224043715846998</v>
      </c>
      <c r="N79" s="29">
        <v>0</v>
      </c>
      <c r="O79" s="30">
        <v>52.002732240437162</v>
      </c>
    </row>
    <row r="80" spans="1:15" x14ac:dyDescent="0.25">
      <c r="A80" s="27">
        <v>0.60747663551401865</v>
      </c>
      <c r="B80" s="27">
        <v>6.0747663551401869E-2</v>
      </c>
      <c r="C80" s="27">
        <v>0.26635514018691586</v>
      </c>
      <c r="D80" s="27">
        <v>2.336448598130841E-2</v>
      </c>
      <c r="E80" s="27">
        <v>9.3457943925233638E-3</v>
      </c>
      <c r="F80" s="28">
        <v>30</v>
      </c>
      <c r="G80" s="28">
        <v>111</v>
      </c>
      <c r="H80" s="28">
        <v>209</v>
      </c>
      <c r="I80" s="28">
        <v>0</v>
      </c>
      <c r="J80" s="28">
        <v>350</v>
      </c>
      <c r="K80" s="29">
        <v>8.5714285714285715E-2</v>
      </c>
      <c r="L80" s="29">
        <v>0.31714285714285712</v>
      </c>
      <c r="M80" s="29">
        <v>0.5971428571428572</v>
      </c>
      <c r="N80" s="29">
        <v>0</v>
      </c>
      <c r="O80" s="30">
        <v>69.854285714285709</v>
      </c>
    </row>
    <row r="81" spans="1:15" x14ac:dyDescent="0.25">
      <c r="A81" s="27">
        <v>0.60559006211180122</v>
      </c>
      <c r="B81" s="27">
        <v>0.16149068322981366</v>
      </c>
      <c r="C81" s="27">
        <v>0.20186335403726707</v>
      </c>
      <c r="D81" s="27">
        <v>9.316770186335404E-3</v>
      </c>
      <c r="E81" s="27">
        <v>6.2111801242236021E-3</v>
      </c>
      <c r="F81" s="28">
        <v>109</v>
      </c>
      <c r="G81" s="28">
        <v>46</v>
      </c>
      <c r="H81" s="28">
        <v>273</v>
      </c>
      <c r="I81" s="28">
        <v>0</v>
      </c>
      <c r="J81" s="28">
        <v>428</v>
      </c>
      <c r="K81" s="29">
        <v>0.25467289719626168</v>
      </c>
      <c r="L81" s="29">
        <v>0.10747663551401869</v>
      </c>
      <c r="M81" s="29">
        <v>0.63785046728971961</v>
      </c>
      <c r="N81" s="29">
        <v>0</v>
      </c>
      <c r="O81" s="30">
        <v>41.511682242990652</v>
      </c>
    </row>
    <row r="82" spans="1:15" x14ac:dyDescent="0.25">
      <c r="A82" s="27">
        <v>0.30327868852459017</v>
      </c>
      <c r="B82" s="27">
        <v>0.34836065573770492</v>
      </c>
      <c r="C82" s="27">
        <v>0.3155737704918033</v>
      </c>
      <c r="D82" s="27">
        <v>0</v>
      </c>
      <c r="E82" s="27">
        <v>2.8688524590163935E-2</v>
      </c>
      <c r="F82" s="28">
        <v>332</v>
      </c>
      <c r="G82" s="28">
        <v>33</v>
      </c>
      <c r="H82" s="28">
        <v>58</v>
      </c>
      <c r="I82" s="28">
        <v>27</v>
      </c>
      <c r="J82" s="28">
        <v>450</v>
      </c>
      <c r="K82" s="29">
        <v>0.73777777777777775</v>
      </c>
      <c r="L82" s="29">
        <v>7.3333333333333334E-2</v>
      </c>
      <c r="M82" s="29">
        <v>0.12888888888888889</v>
      </c>
      <c r="N82" s="29">
        <v>0.06</v>
      </c>
      <c r="O82" s="30">
        <v>55.808888888888887</v>
      </c>
    </row>
    <row r="83" spans="1:15" x14ac:dyDescent="0.25">
      <c r="A83" s="27">
        <v>0.13756613756613756</v>
      </c>
      <c r="B83" s="27">
        <v>0.56084656084656082</v>
      </c>
      <c r="C83" s="27">
        <v>0.28042328042328041</v>
      </c>
      <c r="D83" s="27">
        <v>0</v>
      </c>
      <c r="E83" s="27">
        <v>1.0582010582010581E-2</v>
      </c>
      <c r="F83" s="28">
        <v>382</v>
      </c>
      <c r="G83" s="28">
        <v>8</v>
      </c>
      <c r="H83" s="28">
        <v>17</v>
      </c>
      <c r="I83" s="28">
        <v>59</v>
      </c>
      <c r="J83" s="28">
        <v>466</v>
      </c>
      <c r="K83" s="29">
        <v>0.81974248927038629</v>
      </c>
      <c r="L83" s="29">
        <v>1.7167381974248927E-2</v>
      </c>
      <c r="M83" s="29">
        <v>3.6480686695278972E-2</v>
      </c>
      <c r="N83" s="29">
        <v>0.12660944206008584</v>
      </c>
      <c r="O83" s="30">
        <v>42.422746781115883</v>
      </c>
    </row>
    <row r="84" spans="1:15" x14ac:dyDescent="0.25">
      <c r="A84" s="27">
        <v>0.27932960893854747</v>
      </c>
      <c r="B84" s="27">
        <v>0.51955307262569828</v>
      </c>
      <c r="C84" s="27">
        <v>0.18435754189944134</v>
      </c>
      <c r="D84" s="27">
        <v>5.5865921787709499E-3</v>
      </c>
      <c r="E84" s="27">
        <v>0</v>
      </c>
      <c r="F84" s="28">
        <v>371</v>
      </c>
      <c r="G84" s="28">
        <v>18</v>
      </c>
      <c r="H84" s="28">
        <v>40</v>
      </c>
      <c r="I84" s="28">
        <v>37</v>
      </c>
      <c r="J84" s="28">
        <v>466</v>
      </c>
      <c r="K84" s="29">
        <v>0.79613733905579398</v>
      </c>
      <c r="L84" s="29">
        <v>3.8626609442060089E-2</v>
      </c>
      <c r="M84" s="29">
        <v>8.5836909871244635E-2</v>
      </c>
      <c r="N84" s="29">
        <v>7.9399141630901282E-2</v>
      </c>
      <c r="O84" s="30">
        <v>31.032188841201716</v>
      </c>
    </row>
    <row r="85" spans="1:15" x14ac:dyDescent="0.25">
      <c r="A85" s="27">
        <v>0.21828908554572271</v>
      </c>
      <c r="B85" s="27">
        <v>0.25368731563421831</v>
      </c>
      <c r="C85" s="27">
        <v>0.49557522123893805</v>
      </c>
      <c r="D85" s="27">
        <v>2.0648967551622419E-2</v>
      </c>
      <c r="E85" s="27">
        <v>0</v>
      </c>
      <c r="F85" s="28">
        <v>384</v>
      </c>
      <c r="G85" s="28">
        <v>17</v>
      </c>
      <c r="H85" s="28">
        <v>45</v>
      </c>
      <c r="I85" s="28">
        <v>4</v>
      </c>
      <c r="J85" s="28">
        <v>450</v>
      </c>
      <c r="K85" s="29">
        <v>0.85333333333333339</v>
      </c>
      <c r="L85" s="29">
        <v>3.7777777777777778E-2</v>
      </c>
      <c r="M85" s="29">
        <v>0.1</v>
      </c>
      <c r="N85" s="29">
        <v>8.8888888888888889E-3</v>
      </c>
      <c r="O85" s="30">
        <v>64.66</v>
      </c>
    </row>
    <row r="86" spans="1:15" x14ac:dyDescent="0.25">
      <c r="A86" s="27">
        <v>0.25459317585301838</v>
      </c>
      <c r="B86" s="27">
        <v>0.29133858267716534</v>
      </c>
      <c r="C86" s="27">
        <v>0.4356955380577428</v>
      </c>
      <c r="D86" s="27">
        <v>1.0498687664041995E-2</v>
      </c>
      <c r="E86" s="27">
        <v>5.2493438320209973E-3</v>
      </c>
      <c r="F86" s="28">
        <v>400</v>
      </c>
      <c r="G86" s="28">
        <v>12</v>
      </c>
      <c r="H86" s="28">
        <v>36</v>
      </c>
      <c r="I86" s="28">
        <v>2</v>
      </c>
      <c r="J86" s="28">
        <v>450</v>
      </c>
      <c r="K86" s="29">
        <v>0.88888888888888884</v>
      </c>
      <c r="L86" s="29">
        <v>2.6666666666666668E-2</v>
      </c>
      <c r="M86" s="29">
        <v>0.08</v>
      </c>
      <c r="N86" s="29">
        <v>4.4444444444444444E-3</v>
      </c>
      <c r="O86" s="30">
        <v>59.993333333333332</v>
      </c>
    </row>
    <row r="87" spans="1:15" x14ac:dyDescent="0.25">
      <c r="A87" s="27">
        <v>0.25636363636363635</v>
      </c>
      <c r="B87" s="27">
        <v>0.3927272727272727</v>
      </c>
      <c r="C87" s="27">
        <v>0.30727272727272725</v>
      </c>
      <c r="D87" s="27">
        <v>1.8181818181818181E-2</v>
      </c>
      <c r="E87" s="27">
        <v>1.2727272727272728E-2</v>
      </c>
      <c r="F87" s="28">
        <v>590</v>
      </c>
      <c r="G87" s="28">
        <v>19</v>
      </c>
      <c r="H87" s="28">
        <v>68</v>
      </c>
      <c r="I87" s="28">
        <v>13</v>
      </c>
      <c r="J87" s="28">
        <v>690</v>
      </c>
      <c r="K87" s="29">
        <v>0.85507246376811596</v>
      </c>
      <c r="L87" s="29">
        <v>2.753623188405797E-2</v>
      </c>
      <c r="M87" s="29">
        <v>9.8550724637681164E-2</v>
      </c>
      <c r="N87" s="29">
        <v>1.8840579710144929E-2</v>
      </c>
      <c r="O87" s="30">
        <v>46.602898550724639</v>
      </c>
    </row>
    <row r="88" spans="1:15" x14ac:dyDescent="0.25">
      <c r="A88" s="27">
        <v>0.25595238095238093</v>
      </c>
      <c r="B88" s="27">
        <v>0.43253968253968256</v>
      </c>
      <c r="C88" s="27">
        <v>0.28373015873015872</v>
      </c>
      <c r="D88" s="27">
        <v>1.7857142857142856E-2</v>
      </c>
      <c r="E88" s="27">
        <v>9.9206349206349201E-3</v>
      </c>
      <c r="F88" s="28">
        <v>633</v>
      </c>
      <c r="G88" s="28">
        <v>16</v>
      </c>
      <c r="H88" s="28">
        <v>38</v>
      </c>
      <c r="I88" s="28">
        <v>3</v>
      </c>
      <c r="J88" s="28">
        <v>690</v>
      </c>
      <c r="K88" s="29">
        <v>0.91739130434782612</v>
      </c>
      <c r="L88" s="29">
        <v>2.318840579710145E-2</v>
      </c>
      <c r="M88" s="29">
        <v>5.5072463768115941E-2</v>
      </c>
      <c r="N88" s="29">
        <v>4.3478260869565218E-3</v>
      </c>
      <c r="O88" s="30">
        <v>36.042028985507244</v>
      </c>
    </row>
    <row r="89" spans="1:15" x14ac:dyDescent="0.25">
      <c r="A89" s="27">
        <v>0.30245746691871456</v>
      </c>
      <c r="B89" s="27">
        <v>0.4045368620037807</v>
      </c>
      <c r="C89" s="27">
        <v>0.26654064272211719</v>
      </c>
      <c r="D89" s="27">
        <v>2.0793950850661626E-2</v>
      </c>
      <c r="E89" s="27">
        <v>5.6710775047258983E-3</v>
      </c>
      <c r="F89" s="28">
        <v>641</v>
      </c>
      <c r="G89" s="28">
        <v>19</v>
      </c>
      <c r="H89" s="28">
        <v>30</v>
      </c>
      <c r="I89" s="28">
        <v>2</v>
      </c>
      <c r="J89" s="28">
        <v>692</v>
      </c>
      <c r="K89" s="29">
        <v>0.92630057803468213</v>
      </c>
      <c r="L89" s="29">
        <v>2.7456647398843931E-2</v>
      </c>
      <c r="M89" s="29">
        <v>4.3352601156069363E-2</v>
      </c>
      <c r="N89" s="29">
        <v>2.8901734104046241E-3</v>
      </c>
      <c r="O89" s="30">
        <v>28.702312138728324</v>
      </c>
    </row>
    <row r="90" spans="1:15" x14ac:dyDescent="0.25">
      <c r="A90" s="27">
        <v>0.26630434782608697</v>
      </c>
      <c r="B90" s="27">
        <v>0.48007246376811596</v>
      </c>
      <c r="C90" s="27">
        <v>0.21920289855072464</v>
      </c>
      <c r="D90" s="27">
        <v>2.1739130434782608E-2</v>
      </c>
      <c r="E90" s="27">
        <v>9.057971014492754E-3</v>
      </c>
      <c r="F90" s="28">
        <v>658</v>
      </c>
      <c r="G90" s="28">
        <v>10</v>
      </c>
      <c r="H90" s="28">
        <v>26</v>
      </c>
      <c r="I90" s="28">
        <v>0</v>
      </c>
      <c r="J90" s="28">
        <v>694</v>
      </c>
      <c r="K90" s="29">
        <v>0.94812680115273773</v>
      </c>
      <c r="L90" s="29">
        <v>1.4409221902017291E-2</v>
      </c>
      <c r="M90" s="29">
        <v>3.7463976945244955E-2</v>
      </c>
      <c r="N90" s="29">
        <v>0</v>
      </c>
      <c r="O90" s="30">
        <v>21.585014409221902</v>
      </c>
    </row>
    <row r="91" spans="1:15" x14ac:dyDescent="0.25">
      <c r="A91" s="27">
        <v>0.25</v>
      </c>
      <c r="B91" s="27">
        <v>0.20192307692307693</v>
      </c>
      <c r="C91" s="27">
        <v>0.50320512820512819</v>
      </c>
      <c r="D91" s="27">
        <v>2.2435897435897436E-2</v>
      </c>
      <c r="E91" s="27">
        <v>1.282051282051282E-2</v>
      </c>
      <c r="F91" s="28">
        <v>351</v>
      </c>
      <c r="G91" s="28">
        <v>51</v>
      </c>
      <c r="H91" s="28">
        <v>46</v>
      </c>
      <c r="I91" s="28">
        <v>2</v>
      </c>
      <c r="J91" s="28">
        <v>450</v>
      </c>
      <c r="K91" s="29">
        <v>0.78</v>
      </c>
      <c r="L91" s="29">
        <v>0.11333333333333333</v>
      </c>
      <c r="M91" s="29">
        <v>0.10222222222222223</v>
      </c>
      <c r="N91" s="29">
        <v>4.4444444444444444E-3</v>
      </c>
      <c r="O91" s="30">
        <v>67.608888888888885</v>
      </c>
    </row>
    <row r="92" spans="1:15" x14ac:dyDescent="0.25">
      <c r="A92" s="27">
        <v>0.21680216802168023</v>
      </c>
      <c r="B92" s="27">
        <v>0.3143631436314363</v>
      </c>
      <c r="C92" s="27">
        <v>0.43360433604336046</v>
      </c>
      <c r="D92" s="27">
        <v>1.0840108401084011E-2</v>
      </c>
      <c r="E92" s="27">
        <v>5.4200542005420054E-3</v>
      </c>
      <c r="F92" s="28">
        <v>398</v>
      </c>
      <c r="G92" s="28">
        <v>10</v>
      </c>
      <c r="H92" s="28">
        <v>41</v>
      </c>
      <c r="I92" s="28">
        <v>1</v>
      </c>
      <c r="J92" s="28">
        <v>450</v>
      </c>
      <c r="K92" s="29">
        <v>0.88444444444444448</v>
      </c>
      <c r="L92" s="29">
        <v>2.2222222222222223E-2</v>
      </c>
      <c r="M92" s="29">
        <v>9.1111111111111115E-2</v>
      </c>
      <c r="N92" s="29">
        <v>2.2222222222222222E-3</v>
      </c>
      <c r="O92" s="30">
        <v>58.375555555555557</v>
      </c>
    </row>
    <row r="93" spans="1:15" x14ac:dyDescent="0.25">
      <c r="A93" s="27">
        <v>0.22717149220489977</v>
      </c>
      <c r="B93" s="27">
        <v>0.45211581291759467</v>
      </c>
      <c r="C93" s="27">
        <v>0.31403118040089084</v>
      </c>
      <c r="D93" s="27">
        <v>6.6815144766146995E-3</v>
      </c>
      <c r="E93" s="27">
        <v>0</v>
      </c>
      <c r="F93" s="28">
        <v>581</v>
      </c>
      <c r="G93" s="28">
        <v>15</v>
      </c>
      <c r="H93" s="28">
        <v>31</v>
      </c>
      <c r="I93" s="28">
        <v>20</v>
      </c>
      <c r="J93" s="28">
        <v>647</v>
      </c>
      <c r="K93" s="29">
        <v>0.89799072642967548</v>
      </c>
      <c r="L93" s="29">
        <v>2.3183925811437404E-2</v>
      </c>
      <c r="M93" s="29">
        <v>4.7913446676970631E-2</v>
      </c>
      <c r="N93" s="29">
        <v>3.0911901081916538E-2</v>
      </c>
      <c r="O93" s="30">
        <v>47.62132921174652</v>
      </c>
    </row>
    <row r="94" spans="1:15" x14ac:dyDescent="0.25">
      <c r="A94" s="27">
        <v>0.27171492204899778</v>
      </c>
      <c r="B94" s="27">
        <v>0.41870824053452116</v>
      </c>
      <c r="C94" s="27">
        <v>0.27616926503340755</v>
      </c>
      <c r="D94" s="27">
        <v>2.0044543429844099E-2</v>
      </c>
      <c r="E94" s="27">
        <v>2.2271714922048997E-3</v>
      </c>
      <c r="F94" s="28">
        <v>552</v>
      </c>
      <c r="G94" s="28">
        <v>22</v>
      </c>
      <c r="H94" s="28">
        <v>56</v>
      </c>
      <c r="I94" s="28">
        <v>17</v>
      </c>
      <c r="J94" s="28">
        <v>647</v>
      </c>
      <c r="K94" s="29">
        <v>0.85316846986089645</v>
      </c>
      <c r="L94" s="29">
        <v>3.4003091190108192E-2</v>
      </c>
      <c r="M94" s="29">
        <v>8.6553323029366303E-2</v>
      </c>
      <c r="N94" s="29">
        <v>2.6275115919629059E-2</v>
      </c>
      <c r="O94" s="30">
        <v>36.729520865533232</v>
      </c>
    </row>
    <row r="95" spans="1:15" x14ac:dyDescent="0.25">
      <c r="A95" s="27">
        <v>0.2839506172839506</v>
      </c>
      <c r="B95" s="27">
        <v>0.46090534979423869</v>
      </c>
      <c r="C95" s="27">
        <v>0.24279835390946503</v>
      </c>
      <c r="D95" s="27">
        <v>8.23045267489712E-3</v>
      </c>
      <c r="E95" s="27">
        <v>2.05761316872428E-3</v>
      </c>
      <c r="F95" s="28">
        <v>576</v>
      </c>
      <c r="G95" s="28">
        <v>25</v>
      </c>
      <c r="H95" s="28">
        <v>42</v>
      </c>
      <c r="I95" s="28">
        <v>4</v>
      </c>
      <c r="J95" s="28">
        <v>647</v>
      </c>
      <c r="K95" s="29">
        <v>0.89026275115919629</v>
      </c>
      <c r="L95" s="29">
        <v>3.8639876352395672E-2</v>
      </c>
      <c r="M95" s="29">
        <v>6.4914992272024727E-2</v>
      </c>
      <c r="N95" s="29">
        <v>6.1823802163833074E-3</v>
      </c>
      <c r="O95" s="30">
        <v>27.92272024729521</v>
      </c>
    </row>
    <row r="96" spans="1:15" x14ac:dyDescent="0.25">
      <c r="A96" s="27">
        <v>0.28117913832199548</v>
      </c>
      <c r="B96" s="27">
        <v>0.47165532879818595</v>
      </c>
      <c r="C96" s="27">
        <v>0.22902494331065759</v>
      </c>
      <c r="D96" s="27">
        <v>4.5351473922902496E-3</v>
      </c>
      <c r="E96" s="27">
        <v>9.0702947845804991E-3</v>
      </c>
      <c r="F96" s="28">
        <v>573</v>
      </c>
      <c r="G96" s="28">
        <v>15</v>
      </c>
      <c r="H96" s="28">
        <v>45</v>
      </c>
      <c r="I96" s="28">
        <v>14</v>
      </c>
      <c r="J96" s="28">
        <v>647</v>
      </c>
      <c r="K96" s="29">
        <v>0.88562596599690879</v>
      </c>
      <c r="L96" s="29">
        <v>2.3183925811437404E-2</v>
      </c>
      <c r="M96" s="29">
        <v>6.9551777434312206E-2</v>
      </c>
      <c r="N96" s="29">
        <v>2.1638330757341576E-2</v>
      </c>
      <c r="O96" s="30">
        <v>20.868624420401854</v>
      </c>
    </row>
    <row r="97" spans="1:15" x14ac:dyDescent="0.25">
      <c r="A97" s="27">
        <v>0.47232472324723246</v>
      </c>
      <c r="B97" s="27">
        <v>0.12546125461254612</v>
      </c>
      <c r="C97" s="27">
        <v>0.35793357933579334</v>
      </c>
      <c r="D97" s="27">
        <v>2.2140221402214021E-2</v>
      </c>
      <c r="E97" s="27">
        <v>3.6900369003690036E-3</v>
      </c>
      <c r="F97" s="28">
        <v>220</v>
      </c>
      <c r="G97" s="28">
        <v>193</v>
      </c>
      <c r="H97" s="28">
        <v>35</v>
      </c>
      <c r="I97" s="28">
        <v>2</v>
      </c>
      <c r="J97" s="28">
        <v>450</v>
      </c>
      <c r="K97" s="29">
        <v>0.48888888888888887</v>
      </c>
      <c r="L97" s="29">
        <v>0.42888888888888888</v>
      </c>
      <c r="M97" s="29">
        <v>7.7777777777777779E-2</v>
      </c>
      <c r="N97" s="29">
        <v>4.4444444444444444E-3</v>
      </c>
      <c r="O97" s="30">
        <v>70.926666666666662</v>
      </c>
    </row>
    <row r="98" spans="1:15" x14ac:dyDescent="0.25">
      <c r="A98" s="27">
        <v>0.45772594752186591</v>
      </c>
      <c r="B98" s="27">
        <v>0.17784256559766765</v>
      </c>
      <c r="C98" s="27">
        <v>0.33819241982507287</v>
      </c>
      <c r="D98" s="27">
        <v>1.7492711370262391E-2</v>
      </c>
      <c r="E98" s="27">
        <v>0</v>
      </c>
      <c r="F98" s="28">
        <v>261</v>
      </c>
      <c r="G98" s="28">
        <v>156</v>
      </c>
      <c r="H98" s="28">
        <v>31</v>
      </c>
      <c r="I98" s="28">
        <v>2</v>
      </c>
      <c r="J98" s="28">
        <v>450</v>
      </c>
      <c r="K98" s="29">
        <v>0.57999999999999996</v>
      </c>
      <c r="L98" s="29">
        <v>0.34666666666666668</v>
      </c>
      <c r="M98" s="29">
        <v>6.8888888888888888E-2</v>
      </c>
      <c r="N98" s="29">
        <v>4.4444444444444444E-3</v>
      </c>
      <c r="O98" s="30">
        <v>65.3</v>
      </c>
    </row>
    <row r="99" spans="1:15" x14ac:dyDescent="0.25">
      <c r="A99" s="27">
        <v>0.44141689373297005</v>
      </c>
      <c r="B99" s="27">
        <v>0.20435967302452315</v>
      </c>
      <c r="C99" s="27">
        <v>0.33787465940054495</v>
      </c>
      <c r="D99" s="27">
        <v>1.3623978201634877E-2</v>
      </c>
      <c r="E99" s="27">
        <v>0</v>
      </c>
      <c r="F99" s="28">
        <v>279</v>
      </c>
      <c r="G99" s="28">
        <v>130</v>
      </c>
      <c r="H99" s="28">
        <v>39</v>
      </c>
      <c r="I99" s="28">
        <v>2</v>
      </c>
      <c r="J99" s="28">
        <v>450</v>
      </c>
      <c r="K99" s="29">
        <v>0.62</v>
      </c>
      <c r="L99" s="29">
        <v>0.28888888888888886</v>
      </c>
      <c r="M99" s="29">
        <v>8.666666666666667E-2</v>
      </c>
      <c r="N99" s="29">
        <v>4.4444444444444444E-3</v>
      </c>
      <c r="O99" s="30">
        <v>57.226666666666667</v>
      </c>
    </row>
    <row r="100" spans="1:15" x14ac:dyDescent="0.25">
      <c r="A100" s="27">
        <v>0.44337811900191937</v>
      </c>
      <c r="B100" s="27">
        <v>0.32053742802303264</v>
      </c>
      <c r="C100" s="27">
        <v>0.21305182341650672</v>
      </c>
      <c r="D100" s="27">
        <v>1.7274472168905951E-2</v>
      </c>
      <c r="E100" s="27">
        <v>3.838771593090211E-3</v>
      </c>
      <c r="F100" s="28">
        <v>414</v>
      </c>
      <c r="G100" s="28">
        <v>187</v>
      </c>
      <c r="H100" s="28">
        <v>68</v>
      </c>
      <c r="I100" s="28">
        <v>4</v>
      </c>
      <c r="J100" s="28">
        <v>673</v>
      </c>
      <c r="K100" s="29">
        <v>0.61515601783060925</v>
      </c>
      <c r="L100" s="29">
        <v>0.27786032689450224</v>
      </c>
      <c r="M100" s="29">
        <v>0.10104011887072809</v>
      </c>
      <c r="N100" s="29">
        <v>5.9435364041604752E-3</v>
      </c>
      <c r="O100" s="30">
        <v>46.245170876671622</v>
      </c>
    </row>
    <row r="101" spans="1:15" x14ac:dyDescent="0.25">
      <c r="A101" s="27">
        <v>0.40292275574112735</v>
      </c>
      <c r="B101" s="27">
        <v>0.34237995824634654</v>
      </c>
      <c r="C101" s="27">
        <v>0.23382045929018788</v>
      </c>
      <c r="D101" s="27">
        <v>1.6701461377870562E-2</v>
      </c>
      <c r="E101" s="27">
        <v>2.0876826722338203E-3</v>
      </c>
      <c r="F101" s="28">
        <v>468</v>
      </c>
      <c r="G101" s="28">
        <v>146</v>
      </c>
      <c r="H101" s="28">
        <v>56</v>
      </c>
      <c r="I101" s="28">
        <v>3</v>
      </c>
      <c r="J101" s="28">
        <v>673</v>
      </c>
      <c r="K101" s="29">
        <v>0.6953937592867756</v>
      </c>
      <c r="L101" s="29">
        <v>0.21693907875185736</v>
      </c>
      <c r="M101" s="29">
        <v>8.3209509658246653E-2</v>
      </c>
      <c r="N101" s="29">
        <v>4.4576523031203564E-3</v>
      </c>
      <c r="O101" s="30">
        <v>36.35215453194651</v>
      </c>
    </row>
    <row r="102" spans="1:15" x14ac:dyDescent="0.25">
      <c r="A102" s="27">
        <v>0.3907563025210084</v>
      </c>
      <c r="B102" s="27">
        <v>0.41176470588235292</v>
      </c>
      <c r="C102" s="27">
        <v>0.18067226890756302</v>
      </c>
      <c r="D102" s="27">
        <v>8.4033613445378148E-3</v>
      </c>
      <c r="E102" s="27">
        <v>4.2016806722689074E-3</v>
      </c>
      <c r="F102" s="28">
        <v>478</v>
      </c>
      <c r="G102" s="28">
        <v>147</v>
      </c>
      <c r="H102" s="28">
        <v>47</v>
      </c>
      <c r="I102" s="28">
        <v>2</v>
      </c>
      <c r="J102" s="28">
        <v>674</v>
      </c>
      <c r="K102" s="29">
        <v>0.70919881305637977</v>
      </c>
      <c r="L102" s="29">
        <v>0.21810089020771514</v>
      </c>
      <c r="M102" s="29">
        <v>6.9732937685459948E-2</v>
      </c>
      <c r="N102" s="29">
        <v>2.967359050445104E-3</v>
      </c>
      <c r="O102" s="30">
        <v>28.790801186943622</v>
      </c>
    </row>
    <row r="103" spans="1:15" x14ac:dyDescent="0.25">
      <c r="A103" s="27">
        <v>0.395985401459854</v>
      </c>
      <c r="B103" s="27">
        <v>0.42518248175182483</v>
      </c>
      <c r="C103" s="27">
        <v>0.16605839416058393</v>
      </c>
      <c r="D103" s="27">
        <v>9.1240875912408752E-3</v>
      </c>
      <c r="E103" s="27">
        <v>0</v>
      </c>
      <c r="F103" s="28">
        <v>490</v>
      </c>
      <c r="G103" s="28">
        <v>139</v>
      </c>
      <c r="H103" s="28">
        <v>46</v>
      </c>
      <c r="I103" s="28">
        <v>0</v>
      </c>
      <c r="J103" s="28">
        <v>675</v>
      </c>
      <c r="K103" s="29">
        <v>0.72592592592592597</v>
      </c>
      <c r="L103" s="29">
        <v>0.20592592592592593</v>
      </c>
      <c r="M103" s="29">
        <v>6.8148148148148152E-2</v>
      </c>
      <c r="N103" s="29">
        <v>0</v>
      </c>
      <c r="O103" s="30">
        <v>21.604444444444443</v>
      </c>
    </row>
    <row r="104" spans="1:15" x14ac:dyDescent="0.25">
      <c r="A104" s="27">
        <v>0.12737127371273713</v>
      </c>
      <c r="B104" s="27">
        <v>0.32520325203252032</v>
      </c>
      <c r="C104" s="27">
        <v>0.50948509485094851</v>
      </c>
      <c r="D104" s="27">
        <v>1.3550135501355014E-2</v>
      </c>
      <c r="E104" s="27">
        <v>8.130081300813009E-3</v>
      </c>
      <c r="F104" s="28">
        <v>425</v>
      </c>
      <c r="G104" s="28">
        <v>9</v>
      </c>
      <c r="H104" s="28">
        <v>12</v>
      </c>
      <c r="I104" s="28">
        <v>4</v>
      </c>
      <c r="J104" s="28">
        <v>450</v>
      </c>
      <c r="K104" s="29">
        <v>0.94444444444444442</v>
      </c>
      <c r="L104" s="29">
        <v>0.02</v>
      </c>
      <c r="M104" s="29">
        <v>2.6666666666666668E-2</v>
      </c>
      <c r="N104" s="29">
        <v>8.8888888888888889E-3</v>
      </c>
      <c r="O104" s="30">
        <v>54.99111111111111</v>
      </c>
    </row>
    <row r="105" spans="1:15" x14ac:dyDescent="0.25">
      <c r="A105" s="27">
        <v>0.12758620689655173</v>
      </c>
      <c r="B105" s="27">
        <v>0.47758620689655173</v>
      </c>
      <c r="C105" s="27">
        <v>0.3724137931034483</v>
      </c>
      <c r="D105" s="27">
        <v>1.7241379310344827E-2</v>
      </c>
      <c r="E105" s="27">
        <v>3.4482758620689655E-3</v>
      </c>
      <c r="F105" s="28">
        <v>660</v>
      </c>
      <c r="G105" s="28">
        <v>10</v>
      </c>
      <c r="H105" s="28">
        <v>10</v>
      </c>
      <c r="I105" s="28">
        <v>11</v>
      </c>
      <c r="J105" s="28">
        <v>691</v>
      </c>
      <c r="K105" s="29">
        <v>0.95513748191027492</v>
      </c>
      <c r="L105" s="29">
        <v>1.4471780028943559E-2</v>
      </c>
      <c r="M105" s="29">
        <v>1.4471780028943559E-2</v>
      </c>
      <c r="N105" s="29">
        <v>1.5918958031837915E-2</v>
      </c>
      <c r="O105" s="30">
        <v>50.060781476121562</v>
      </c>
    </row>
    <row r="106" spans="1:15" x14ac:dyDescent="0.25">
      <c r="A106" s="27">
        <v>0.21327967806841047</v>
      </c>
      <c r="B106" s="27">
        <v>0.49899396378269617</v>
      </c>
      <c r="C106" s="27">
        <v>0.25352112676056338</v>
      </c>
      <c r="D106" s="27">
        <v>2.2132796780684104E-2</v>
      </c>
      <c r="E106" s="27">
        <v>1.0060362173038229E-2</v>
      </c>
      <c r="F106" s="28">
        <v>588</v>
      </c>
      <c r="G106" s="28">
        <v>50</v>
      </c>
      <c r="H106" s="28">
        <v>46</v>
      </c>
      <c r="I106" s="28">
        <v>7</v>
      </c>
      <c r="J106" s="28">
        <v>691</v>
      </c>
      <c r="K106" s="29">
        <v>0.85094066570188132</v>
      </c>
      <c r="L106" s="29">
        <v>7.2358900144717797E-2</v>
      </c>
      <c r="M106" s="29">
        <v>6.6570188133140376E-2</v>
      </c>
      <c r="N106" s="29">
        <v>1.0130246020260492E-2</v>
      </c>
      <c r="O106" s="30">
        <v>35.422575976845152</v>
      </c>
    </row>
    <row r="107" spans="1:15" x14ac:dyDescent="0.25">
      <c r="A107" s="27">
        <v>0.22690763052208834</v>
      </c>
      <c r="B107" s="27">
        <v>0.50803212851405621</v>
      </c>
      <c r="C107" s="27">
        <v>0.2289156626506024</v>
      </c>
      <c r="D107" s="27">
        <v>2.0080321285140562E-2</v>
      </c>
      <c r="E107" s="27">
        <v>8.0321285140562242E-3</v>
      </c>
      <c r="F107" s="28">
        <v>638</v>
      </c>
      <c r="G107" s="28">
        <v>27</v>
      </c>
      <c r="H107" s="28">
        <v>26</v>
      </c>
      <c r="I107" s="28">
        <v>0</v>
      </c>
      <c r="J107" s="28">
        <v>691</v>
      </c>
      <c r="K107" s="29">
        <v>0.92329956584659911</v>
      </c>
      <c r="L107" s="29">
        <v>3.9073806078147609E-2</v>
      </c>
      <c r="M107" s="29">
        <v>3.7626628075253257E-2</v>
      </c>
      <c r="N107" s="29">
        <v>0</v>
      </c>
      <c r="O107" s="30">
        <v>26.80752532561505</v>
      </c>
    </row>
    <row r="108" spans="1:15" x14ac:dyDescent="0.25">
      <c r="A108" s="27">
        <v>0.19666048237476808</v>
      </c>
      <c r="B108" s="27">
        <v>0.56957328385899819</v>
      </c>
      <c r="C108" s="27">
        <v>0.21335807050092764</v>
      </c>
      <c r="D108" s="27">
        <v>1.1131725417439703E-2</v>
      </c>
      <c r="E108" s="27">
        <v>5.5658627087198514E-3</v>
      </c>
      <c r="F108" s="28">
        <v>663</v>
      </c>
      <c r="G108" s="28">
        <v>14</v>
      </c>
      <c r="H108" s="28">
        <v>14</v>
      </c>
      <c r="I108" s="28">
        <v>0</v>
      </c>
      <c r="J108" s="28">
        <v>691</v>
      </c>
      <c r="K108" s="29">
        <v>0.95947901591895801</v>
      </c>
      <c r="L108" s="29">
        <v>2.0260492040520984E-2</v>
      </c>
      <c r="M108" s="29">
        <v>2.0260492040520984E-2</v>
      </c>
      <c r="N108" s="29">
        <v>0</v>
      </c>
      <c r="O108" s="30">
        <v>22.804630969609264</v>
      </c>
    </row>
    <row r="109" spans="1:15" x14ac:dyDescent="0.25">
      <c r="A109" s="27">
        <v>0.15355805243445692</v>
      </c>
      <c r="B109" s="27">
        <v>0.5898876404494382</v>
      </c>
      <c r="C109" s="27">
        <v>0.21722846441947566</v>
      </c>
      <c r="D109" s="27">
        <v>5.6179775280898875E-3</v>
      </c>
      <c r="E109" s="27">
        <v>1.8726591760299626E-3</v>
      </c>
      <c r="F109" s="28">
        <v>657</v>
      </c>
      <c r="G109" s="28">
        <v>20</v>
      </c>
      <c r="H109" s="28">
        <v>13</v>
      </c>
      <c r="I109" s="28">
        <v>1</v>
      </c>
      <c r="J109" s="28">
        <v>691</v>
      </c>
      <c r="K109" s="29">
        <v>0.95079594790159194</v>
      </c>
      <c r="L109" s="29">
        <v>2.8943560057887119E-2</v>
      </c>
      <c r="M109" s="29">
        <v>1.8813314037626629E-2</v>
      </c>
      <c r="N109" s="29">
        <v>1.4471780028943559E-3</v>
      </c>
      <c r="O109" s="30">
        <v>19.450072358900144</v>
      </c>
    </row>
    <row r="110" spans="1:15" x14ac:dyDescent="0.25">
      <c r="A110" s="27">
        <v>0.64634146341463417</v>
      </c>
      <c r="B110" s="27">
        <v>2.7439024390243903E-2</v>
      </c>
      <c r="C110" s="27">
        <v>0.29878048780487804</v>
      </c>
      <c r="D110" s="27">
        <v>6.0975609756097563E-3</v>
      </c>
      <c r="E110" s="27">
        <v>3.0487804878048782E-3</v>
      </c>
      <c r="F110" s="28">
        <v>36</v>
      </c>
      <c r="G110" s="28">
        <v>239</v>
      </c>
      <c r="H110" s="28">
        <v>174</v>
      </c>
      <c r="I110" s="28">
        <v>1</v>
      </c>
      <c r="J110" s="28">
        <v>450</v>
      </c>
      <c r="K110" s="29">
        <v>0.08</v>
      </c>
      <c r="L110" s="29">
        <v>0.53111111111111109</v>
      </c>
      <c r="M110" s="29">
        <v>0.38666666666666666</v>
      </c>
      <c r="N110" s="29">
        <v>2.2222222222222222E-3</v>
      </c>
      <c r="O110" s="30">
        <v>62.326666666666668</v>
      </c>
    </row>
    <row r="111" spans="1:15" x14ac:dyDescent="0.25">
      <c r="A111" s="27">
        <v>0.67741935483870963</v>
      </c>
      <c r="B111" s="27">
        <v>0.10967741935483871</v>
      </c>
      <c r="C111" s="27">
        <v>0.20645161290322581</v>
      </c>
      <c r="D111" s="27">
        <v>0</v>
      </c>
      <c r="E111" s="27">
        <v>0</v>
      </c>
      <c r="F111" s="28">
        <v>114</v>
      </c>
      <c r="G111" s="28">
        <v>224</v>
      </c>
      <c r="H111" s="28">
        <v>281</v>
      </c>
      <c r="I111" s="28">
        <v>2</v>
      </c>
      <c r="J111" s="28">
        <v>621</v>
      </c>
      <c r="K111" s="29">
        <v>0.18357487922705315</v>
      </c>
      <c r="L111" s="29">
        <v>0.36070853462157809</v>
      </c>
      <c r="M111" s="29">
        <v>0.45249597423510468</v>
      </c>
      <c r="N111" s="29">
        <v>3.2206119162640902E-3</v>
      </c>
      <c r="O111" s="30">
        <v>34.222222222222221</v>
      </c>
    </row>
    <row r="112" spans="1:15" x14ac:dyDescent="0.25">
      <c r="A112" s="27">
        <v>0.34228187919463088</v>
      </c>
      <c r="B112" s="27">
        <v>8.3892617449664433E-2</v>
      </c>
      <c r="C112" s="27">
        <v>0.43288590604026844</v>
      </c>
      <c r="D112" s="27">
        <v>1.6778523489932886E-2</v>
      </c>
      <c r="E112" s="27">
        <v>1.0067114093959731E-2</v>
      </c>
      <c r="F112" s="28">
        <v>222</v>
      </c>
      <c r="G112" s="28">
        <v>120</v>
      </c>
      <c r="H112" s="28">
        <v>106</v>
      </c>
      <c r="I112" s="28">
        <v>2</v>
      </c>
      <c r="J112" s="28">
        <v>450</v>
      </c>
      <c r="K112" s="29">
        <v>0.49333333333333335</v>
      </c>
      <c r="L112" s="29">
        <v>0.26666666666666666</v>
      </c>
      <c r="M112" s="29">
        <v>0.23555555555555555</v>
      </c>
      <c r="N112" s="29">
        <v>4.4444444444444444E-3</v>
      </c>
      <c r="O112" s="30">
        <v>72.646666666666661</v>
      </c>
    </row>
    <row r="113" spans="1:15" x14ac:dyDescent="0.25">
      <c r="A113" s="27">
        <v>0.42450142450142453</v>
      </c>
      <c r="B113" s="27">
        <v>0.13390313390313391</v>
      </c>
      <c r="C113" s="27">
        <v>0.40740740740740738</v>
      </c>
      <c r="D113" s="27">
        <v>8.5470085470085479E-3</v>
      </c>
      <c r="E113" s="27">
        <v>5.6980056980056983E-3</v>
      </c>
      <c r="F113" s="28">
        <v>232</v>
      </c>
      <c r="G113" s="28">
        <v>95</v>
      </c>
      <c r="H113" s="28">
        <v>120</v>
      </c>
      <c r="I113" s="28">
        <v>3</v>
      </c>
      <c r="J113" s="28">
        <v>450</v>
      </c>
      <c r="K113" s="29">
        <v>0.51555555555555554</v>
      </c>
      <c r="L113" s="29">
        <v>0.21111111111111111</v>
      </c>
      <c r="M113" s="29">
        <v>0.26666666666666666</v>
      </c>
      <c r="N113" s="29">
        <v>6.6666666666666671E-3</v>
      </c>
      <c r="O113" s="30">
        <v>61.531111111111109</v>
      </c>
    </row>
    <row r="114" spans="1:15" x14ac:dyDescent="0.25">
      <c r="A114" s="27">
        <v>0.35714285714285715</v>
      </c>
      <c r="B114" s="27">
        <v>0.20039682539682541</v>
      </c>
      <c r="C114" s="27">
        <v>0.41269841269841268</v>
      </c>
      <c r="D114" s="27">
        <v>1.3888888888888888E-2</v>
      </c>
      <c r="E114" s="27">
        <v>1.984126984126984E-3</v>
      </c>
      <c r="F114" s="28">
        <v>399</v>
      </c>
      <c r="G114" s="28">
        <v>75</v>
      </c>
      <c r="H114" s="28">
        <v>146</v>
      </c>
      <c r="I114" s="28">
        <v>5</v>
      </c>
      <c r="J114" s="28">
        <v>625</v>
      </c>
      <c r="K114" s="29">
        <v>0.63839999999999997</v>
      </c>
      <c r="L114" s="29">
        <v>0.12</v>
      </c>
      <c r="M114" s="29">
        <v>0.2336</v>
      </c>
      <c r="N114" s="29">
        <v>8.0000000000000002E-3</v>
      </c>
      <c r="O114" s="30">
        <v>47.505600000000001</v>
      </c>
    </row>
    <row r="115" spans="1:15" x14ac:dyDescent="0.25">
      <c r="A115" s="27">
        <v>0.38775510204081631</v>
      </c>
      <c r="B115" s="27">
        <v>0.26734693877551019</v>
      </c>
      <c r="C115" s="27">
        <v>0.32244897959183672</v>
      </c>
      <c r="D115" s="27">
        <v>1.6326530612244899E-2</v>
      </c>
      <c r="E115" s="27">
        <v>4.0816326530612249E-3</v>
      </c>
      <c r="F115" s="28">
        <v>436</v>
      </c>
      <c r="G115" s="28">
        <v>64</v>
      </c>
      <c r="H115" s="28">
        <v>122</v>
      </c>
      <c r="I115" s="28">
        <v>4</v>
      </c>
      <c r="J115" s="28">
        <v>626</v>
      </c>
      <c r="K115" s="29">
        <v>0.69648562300319494</v>
      </c>
      <c r="L115" s="29">
        <v>0.10223642172523961</v>
      </c>
      <c r="M115" s="29">
        <v>0.19488817891373802</v>
      </c>
      <c r="N115" s="29">
        <v>6.3897763578274758E-3</v>
      </c>
      <c r="O115" s="30">
        <v>28.937699680511184</v>
      </c>
    </row>
    <row r="116" spans="1:15" x14ac:dyDescent="0.25">
      <c r="A116" s="27">
        <v>0.5</v>
      </c>
      <c r="B116" s="27">
        <v>0.12571428571428572</v>
      </c>
      <c r="C116" s="27">
        <v>0.36285714285714288</v>
      </c>
      <c r="D116" s="27">
        <v>2.8571428571428571E-3</v>
      </c>
      <c r="E116" s="27">
        <v>2.8571428571428571E-3</v>
      </c>
      <c r="F116" s="28">
        <v>235</v>
      </c>
      <c r="G116" s="28">
        <v>123</v>
      </c>
      <c r="H116" s="28">
        <v>90</v>
      </c>
      <c r="I116" s="28">
        <v>2</v>
      </c>
      <c r="J116" s="28">
        <v>450</v>
      </c>
      <c r="K116" s="29">
        <v>0.52222222222222225</v>
      </c>
      <c r="L116" s="29">
        <v>0.27333333333333332</v>
      </c>
      <c r="M116" s="29">
        <v>0.2</v>
      </c>
      <c r="N116" s="29">
        <v>4.4444444444444444E-3</v>
      </c>
      <c r="O116" s="30">
        <v>62.588888888888889</v>
      </c>
    </row>
    <row r="117" spans="1:15" x14ac:dyDescent="0.25">
      <c r="A117" s="27">
        <v>0.58033573141486805</v>
      </c>
      <c r="B117" s="27">
        <v>0.17266187050359713</v>
      </c>
      <c r="C117" s="27">
        <v>0.23261390887290168</v>
      </c>
      <c r="D117" s="27">
        <v>4.7961630695443642E-3</v>
      </c>
      <c r="E117" s="27">
        <v>2.3980815347721821E-3</v>
      </c>
      <c r="F117" s="28">
        <v>242</v>
      </c>
      <c r="G117" s="28">
        <v>132</v>
      </c>
      <c r="H117" s="28">
        <v>141</v>
      </c>
      <c r="I117" s="28">
        <v>2</v>
      </c>
      <c r="J117" s="28">
        <v>517</v>
      </c>
      <c r="K117" s="29">
        <v>0.46808510638297873</v>
      </c>
      <c r="L117" s="29">
        <v>0.25531914893617019</v>
      </c>
      <c r="M117" s="29">
        <v>0.27272727272727271</v>
      </c>
      <c r="N117" s="29">
        <v>3.8684719535783366E-3</v>
      </c>
      <c r="O117" s="30">
        <v>43.427466150870409</v>
      </c>
    </row>
    <row r="118" spans="1:15" x14ac:dyDescent="0.25">
      <c r="A118" s="27">
        <v>0.46715328467153283</v>
      </c>
      <c r="B118" s="27">
        <v>0.25060827250608275</v>
      </c>
      <c r="C118" s="27">
        <v>0.27493917274939172</v>
      </c>
      <c r="D118" s="27">
        <v>0</v>
      </c>
      <c r="E118" s="27">
        <v>4.8661800486618006E-3</v>
      </c>
      <c r="F118" s="28">
        <v>291</v>
      </c>
      <c r="G118" s="28">
        <v>117</v>
      </c>
      <c r="H118" s="28">
        <v>109</v>
      </c>
      <c r="I118" s="28">
        <v>0</v>
      </c>
      <c r="J118" s="28">
        <v>517</v>
      </c>
      <c r="K118" s="29">
        <v>0.56286266924564798</v>
      </c>
      <c r="L118" s="29">
        <v>0.22630560928433269</v>
      </c>
      <c r="M118" s="29">
        <v>0.21083172147001933</v>
      </c>
      <c r="N118" s="29">
        <v>0</v>
      </c>
      <c r="O118" s="30">
        <v>27.268858800773696</v>
      </c>
    </row>
    <row r="119" spans="1:15" x14ac:dyDescent="0.25">
      <c r="A119" s="27">
        <v>0.59682539682539681</v>
      </c>
      <c r="B119" s="27">
        <v>9.841269841269841E-2</v>
      </c>
      <c r="C119" s="27">
        <v>0.26984126984126983</v>
      </c>
      <c r="D119" s="27">
        <v>2.5396825396825397E-2</v>
      </c>
      <c r="E119" s="27">
        <v>0</v>
      </c>
      <c r="F119" s="28">
        <v>174</v>
      </c>
      <c r="G119" s="28">
        <v>262</v>
      </c>
      <c r="H119" s="28">
        <v>14</v>
      </c>
      <c r="I119" s="28">
        <v>0</v>
      </c>
      <c r="J119" s="28">
        <v>450</v>
      </c>
      <c r="K119" s="29">
        <v>0.38666666666666666</v>
      </c>
      <c r="L119" s="29">
        <v>0.5822222222222222</v>
      </c>
      <c r="M119" s="29">
        <v>3.111111111111111E-2</v>
      </c>
      <c r="N119" s="29">
        <v>0</v>
      </c>
      <c r="O119" s="30">
        <v>68.966666666666669</v>
      </c>
    </row>
    <row r="120" spans="1:15" x14ac:dyDescent="0.25">
      <c r="A120" s="27">
        <v>0.5890736342042755</v>
      </c>
      <c r="B120" s="27">
        <v>0.15201900237529692</v>
      </c>
      <c r="C120" s="27">
        <v>0.25178147268408552</v>
      </c>
      <c r="D120" s="27">
        <v>0</v>
      </c>
      <c r="E120" s="27">
        <v>0</v>
      </c>
      <c r="F120" s="28">
        <v>255</v>
      </c>
      <c r="G120" s="28">
        <v>252</v>
      </c>
      <c r="H120" s="28">
        <v>25</v>
      </c>
      <c r="I120" s="28">
        <v>3</v>
      </c>
      <c r="J120" s="28">
        <v>535</v>
      </c>
      <c r="K120" s="29">
        <v>0.47663551401869159</v>
      </c>
      <c r="L120" s="29">
        <v>0.47102803738317756</v>
      </c>
      <c r="M120" s="29">
        <v>4.6728971962616821E-2</v>
      </c>
      <c r="N120" s="29">
        <v>5.6074766355140183E-3</v>
      </c>
      <c r="O120" s="30">
        <v>49.162616822429904</v>
      </c>
    </row>
    <row r="121" spans="1:15" x14ac:dyDescent="0.25">
      <c r="A121" s="27">
        <v>0.47826086956521741</v>
      </c>
      <c r="B121" s="27">
        <v>0.24396135265700483</v>
      </c>
      <c r="C121" s="27">
        <v>0.27053140096618356</v>
      </c>
      <c r="D121" s="27">
        <v>2.4154589371980675E-3</v>
      </c>
      <c r="E121" s="27">
        <v>0</v>
      </c>
      <c r="F121" s="28">
        <v>303</v>
      </c>
      <c r="G121" s="28">
        <v>178</v>
      </c>
      <c r="H121" s="28">
        <v>55</v>
      </c>
      <c r="I121" s="28">
        <v>0</v>
      </c>
      <c r="J121" s="28">
        <v>536</v>
      </c>
      <c r="K121" s="29">
        <v>0.56529850746268662</v>
      </c>
      <c r="L121" s="29">
        <v>0.33208955223880599</v>
      </c>
      <c r="M121" s="29">
        <v>0.10261194029850747</v>
      </c>
      <c r="N121" s="29">
        <v>0</v>
      </c>
      <c r="O121" s="30">
        <v>29.23320895522388</v>
      </c>
    </row>
    <row r="122" spans="1:15" x14ac:dyDescent="0.25">
      <c r="A122" s="27">
        <v>0.57794676806083645</v>
      </c>
      <c r="B122" s="27">
        <v>3.0418250950570342E-2</v>
      </c>
      <c r="C122" s="27">
        <v>0.34220532319391633</v>
      </c>
      <c r="D122" s="27">
        <v>1.1406844106463879E-2</v>
      </c>
      <c r="E122" s="27">
        <v>1.5209125475285171E-2</v>
      </c>
      <c r="F122" s="28">
        <v>8</v>
      </c>
      <c r="G122" s="28">
        <v>103</v>
      </c>
      <c r="H122" s="28">
        <v>239</v>
      </c>
      <c r="I122" s="28">
        <v>0</v>
      </c>
      <c r="J122" s="28">
        <v>350</v>
      </c>
      <c r="K122" s="29">
        <v>2.2857142857142857E-2</v>
      </c>
      <c r="L122" s="29">
        <v>0.29428571428571426</v>
      </c>
      <c r="M122" s="29">
        <v>0.68285714285714283</v>
      </c>
      <c r="N122" s="29">
        <v>0</v>
      </c>
      <c r="O122" s="30">
        <v>64.934285714285721</v>
      </c>
    </row>
    <row r="123" spans="1:15" x14ac:dyDescent="0.25">
      <c r="A123" s="27">
        <v>0.6649746192893401</v>
      </c>
      <c r="B123" s="27">
        <v>4.5685279187817257E-2</v>
      </c>
      <c r="C123" s="27">
        <v>0.26649746192893403</v>
      </c>
      <c r="D123" s="27">
        <v>5.076142131979695E-3</v>
      </c>
      <c r="E123" s="27">
        <v>0</v>
      </c>
      <c r="F123" s="28">
        <v>53</v>
      </c>
      <c r="G123" s="28">
        <v>72</v>
      </c>
      <c r="H123" s="28">
        <v>372</v>
      </c>
      <c r="I123" s="28">
        <v>2</v>
      </c>
      <c r="J123" s="28">
        <v>499</v>
      </c>
      <c r="K123" s="29">
        <v>0.10621242484969939</v>
      </c>
      <c r="L123" s="29">
        <v>0.14428857715430862</v>
      </c>
      <c r="M123" s="29">
        <v>0.74549098196392782</v>
      </c>
      <c r="N123" s="29">
        <v>4.0080160320641279E-3</v>
      </c>
      <c r="O123" s="30">
        <v>35.076152304609217</v>
      </c>
    </row>
    <row r="124" spans="1:15" x14ac:dyDescent="0.25">
      <c r="A124" s="27">
        <v>0.19327731092436976</v>
      </c>
      <c r="B124" s="27">
        <v>0.19327731092436976</v>
      </c>
      <c r="C124" s="27">
        <v>0.59663865546218486</v>
      </c>
      <c r="D124" s="27">
        <v>5.6022408963585435E-3</v>
      </c>
      <c r="E124" s="27">
        <v>0</v>
      </c>
      <c r="F124" s="28">
        <v>409</v>
      </c>
      <c r="G124" s="28">
        <v>37</v>
      </c>
      <c r="H124" s="28">
        <v>1</v>
      </c>
      <c r="I124" s="28">
        <v>3</v>
      </c>
      <c r="J124" s="28">
        <v>450</v>
      </c>
      <c r="K124" s="29">
        <v>0.90888888888888886</v>
      </c>
      <c r="L124" s="29">
        <v>8.2222222222222224E-2</v>
      </c>
      <c r="M124" s="29">
        <v>2.2222222222222222E-3</v>
      </c>
      <c r="N124" s="29">
        <v>6.6666666666666671E-3</v>
      </c>
      <c r="O124" s="30">
        <v>65.084444444444443</v>
      </c>
    </row>
    <row r="125" spans="1:15" x14ac:dyDescent="0.25">
      <c r="A125" s="27">
        <v>0.19547325102880658</v>
      </c>
      <c r="B125" s="27">
        <v>0.36213991769547327</v>
      </c>
      <c r="C125" s="27">
        <v>0.40946502057613171</v>
      </c>
      <c r="D125" s="27">
        <v>1.8518518518518517E-2</v>
      </c>
      <c r="E125" s="27">
        <v>2.05761316872428E-3</v>
      </c>
      <c r="F125" s="28">
        <v>529</v>
      </c>
      <c r="G125" s="28">
        <v>31</v>
      </c>
      <c r="H125" s="28">
        <v>10</v>
      </c>
      <c r="I125" s="28">
        <v>3</v>
      </c>
      <c r="J125" s="28">
        <v>573</v>
      </c>
      <c r="K125" s="29">
        <v>0.92321116928446767</v>
      </c>
      <c r="L125" s="29">
        <v>5.4101221640488653E-2</v>
      </c>
      <c r="M125" s="29">
        <v>1.7452006980802792E-2</v>
      </c>
      <c r="N125" s="29">
        <v>5.235602094240838E-3</v>
      </c>
      <c r="O125" s="30">
        <v>50.183246073298427</v>
      </c>
    </row>
    <row r="126" spans="1:15" x14ac:dyDescent="0.25">
      <c r="A126" s="27">
        <v>0.13151927437641722</v>
      </c>
      <c r="B126" s="27">
        <v>0.52380952380952384</v>
      </c>
      <c r="C126" s="27">
        <v>0.33106575963718821</v>
      </c>
      <c r="D126" s="27">
        <v>9.0702947845804991E-3</v>
      </c>
      <c r="E126" s="27">
        <v>0</v>
      </c>
      <c r="F126" s="28">
        <v>536</v>
      </c>
      <c r="G126" s="28">
        <v>15</v>
      </c>
      <c r="H126" s="28">
        <v>19</v>
      </c>
      <c r="I126" s="28">
        <v>3</v>
      </c>
      <c r="J126" s="28">
        <v>573</v>
      </c>
      <c r="K126" s="29">
        <v>0.93542757417102962</v>
      </c>
      <c r="L126" s="29">
        <v>2.6178010471204188E-2</v>
      </c>
      <c r="M126" s="29">
        <v>3.3158813263525308E-2</v>
      </c>
      <c r="N126" s="29">
        <v>5.235602094240838E-3</v>
      </c>
      <c r="O126" s="30">
        <v>36.095986038394415</v>
      </c>
    </row>
    <row r="127" spans="1:15" x14ac:dyDescent="0.25">
      <c r="A127" s="27">
        <v>0.10652173913043478</v>
      </c>
      <c r="B127" s="27">
        <v>0.5304347826086957</v>
      </c>
      <c r="C127" s="27">
        <v>0.35</v>
      </c>
      <c r="D127" s="27">
        <v>1.0869565217391304E-2</v>
      </c>
      <c r="E127" s="27">
        <v>0</v>
      </c>
      <c r="F127" s="28">
        <v>562</v>
      </c>
      <c r="G127" s="28">
        <v>2</v>
      </c>
      <c r="H127" s="28">
        <v>10</v>
      </c>
      <c r="I127" s="28">
        <v>0</v>
      </c>
      <c r="J127" s="28">
        <v>574</v>
      </c>
      <c r="K127" s="29">
        <v>0.97909407665505221</v>
      </c>
      <c r="L127" s="29">
        <v>3.4843205574912892E-3</v>
      </c>
      <c r="M127" s="29">
        <v>1.7421602787456445E-2</v>
      </c>
      <c r="N127" s="29">
        <v>0</v>
      </c>
      <c r="O127" s="30">
        <v>24.193379790940767</v>
      </c>
    </row>
    <row r="128" spans="1:15" x14ac:dyDescent="0.25">
      <c r="A128" s="27">
        <v>0.47602739726027399</v>
      </c>
      <c r="B128" s="27">
        <v>0.14383561643835616</v>
      </c>
      <c r="C128" s="27">
        <v>0.3321917808219178</v>
      </c>
      <c r="D128" s="27">
        <v>2.0547945205479451E-2</v>
      </c>
      <c r="E128" s="27">
        <v>3.4246575342465752E-3</v>
      </c>
      <c r="F128" s="28">
        <v>88</v>
      </c>
      <c r="G128" s="28">
        <v>25</v>
      </c>
      <c r="H128" s="28">
        <v>4</v>
      </c>
      <c r="I128" s="28">
        <v>146</v>
      </c>
      <c r="J128" s="28">
        <v>263</v>
      </c>
      <c r="K128" s="29">
        <v>0.33460076045627374</v>
      </c>
      <c r="L128" s="29">
        <v>9.5057034220532313E-2</v>
      </c>
      <c r="M128" s="29">
        <v>1.5209125475285171E-2</v>
      </c>
      <c r="N128" s="29">
        <v>0.55513307984790872</v>
      </c>
      <c r="O128" s="30">
        <v>41.988593155893533</v>
      </c>
    </row>
    <row r="129" spans="1:15" x14ac:dyDescent="0.25">
      <c r="A129" s="27">
        <v>0.41853932584269665</v>
      </c>
      <c r="B129" s="27">
        <v>9.8314606741573038E-2</v>
      </c>
      <c r="C129" s="27">
        <v>0.4550561797752809</v>
      </c>
      <c r="D129" s="27">
        <v>2.8089887640449437E-3</v>
      </c>
      <c r="E129" s="27">
        <v>2.8089887640449437E-3</v>
      </c>
      <c r="F129" s="28">
        <v>183</v>
      </c>
      <c r="G129" s="28">
        <v>232</v>
      </c>
      <c r="H129" s="28">
        <v>35</v>
      </c>
      <c r="I129" s="28">
        <v>0</v>
      </c>
      <c r="J129" s="28">
        <v>450</v>
      </c>
      <c r="K129" s="29">
        <v>0.40666666666666668</v>
      </c>
      <c r="L129" s="29">
        <v>0.51555555555555554</v>
      </c>
      <c r="M129" s="29">
        <v>7.7777777777777779E-2</v>
      </c>
      <c r="N129" s="29">
        <v>0</v>
      </c>
      <c r="O129" s="30">
        <v>70.293333333333337</v>
      </c>
    </row>
    <row r="130" spans="1:15" x14ac:dyDescent="0.25">
      <c r="A130" s="27">
        <v>0.44708423326133911</v>
      </c>
      <c r="B130" s="27">
        <v>0.18790496760259179</v>
      </c>
      <c r="C130" s="27">
        <v>0.35637149028077753</v>
      </c>
      <c r="D130" s="27">
        <v>2.1598272138228943E-3</v>
      </c>
      <c r="E130" s="27">
        <v>0</v>
      </c>
      <c r="F130" s="28">
        <v>232</v>
      </c>
      <c r="G130" s="28">
        <v>175</v>
      </c>
      <c r="H130" s="28">
        <v>43</v>
      </c>
      <c r="I130" s="28">
        <v>0</v>
      </c>
      <c r="J130" s="28">
        <v>450</v>
      </c>
      <c r="K130" s="29">
        <v>0.51555555555555554</v>
      </c>
      <c r="L130" s="29">
        <v>0.3888888888888889</v>
      </c>
      <c r="M130" s="29">
        <v>9.555555555555556E-2</v>
      </c>
      <c r="N130" s="29">
        <v>0</v>
      </c>
      <c r="O130" s="30">
        <v>62.653333333333336</v>
      </c>
    </row>
    <row r="131" spans="1:15" x14ac:dyDescent="0.25">
      <c r="A131" s="27">
        <v>0.46511627906976744</v>
      </c>
      <c r="B131" s="27">
        <v>0.27906976744186046</v>
      </c>
      <c r="C131" s="27">
        <v>0.23255813953488372</v>
      </c>
      <c r="D131" s="27">
        <v>1.8604651162790697E-2</v>
      </c>
      <c r="E131" s="27">
        <v>0</v>
      </c>
      <c r="F131" s="28">
        <v>316</v>
      </c>
      <c r="G131" s="28">
        <v>192</v>
      </c>
      <c r="H131" s="28">
        <v>62</v>
      </c>
      <c r="I131" s="28">
        <v>4</v>
      </c>
      <c r="J131" s="28">
        <v>574</v>
      </c>
      <c r="K131" s="29">
        <v>0.55052264808362372</v>
      </c>
      <c r="L131" s="29">
        <v>0.33449477351916379</v>
      </c>
      <c r="M131" s="29">
        <v>0.10801393728222997</v>
      </c>
      <c r="N131" s="29">
        <v>6.9686411149825784E-3</v>
      </c>
      <c r="O131" s="30">
        <v>49.909407665505228</v>
      </c>
    </row>
    <row r="132" spans="1:15" x14ac:dyDescent="0.25">
      <c r="A132" s="27">
        <v>0.37922705314009664</v>
      </c>
      <c r="B132" s="27">
        <v>0.31159420289855072</v>
      </c>
      <c r="C132" s="27">
        <v>0.2922705314009662</v>
      </c>
      <c r="D132" s="27">
        <v>9.6618357487922701E-3</v>
      </c>
      <c r="E132" s="27">
        <v>0</v>
      </c>
      <c r="F132" s="28">
        <v>330</v>
      </c>
      <c r="G132" s="28">
        <v>176</v>
      </c>
      <c r="H132" s="28">
        <v>65</v>
      </c>
      <c r="I132" s="28">
        <v>3</v>
      </c>
      <c r="J132" s="28">
        <v>574</v>
      </c>
      <c r="K132" s="29">
        <v>0.57491289198606277</v>
      </c>
      <c r="L132" s="29">
        <v>0.30662020905923343</v>
      </c>
      <c r="M132" s="29">
        <v>0.1132404181184669</v>
      </c>
      <c r="N132" s="29">
        <v>5.2264808362369342E-3</v>
      </c>
      <c r="O132" s="30">
        <v>39.374564459930312</v>
      </c>
    </row>
    <row r="133" spans="1:15" x14ac:dyDescent="0.25">
      <c r="A133" s="27">
        <v>0.36069114470842334</v>
      </c>
      <c r="B133" s="27">
        <v>0.32181425485961124</v>
      </c>
      <c r="C133" s="27">
        <v>0.29805615550755937</v>
      </c>
      <c r="D133" s="27">
        <v>4.3196544276457886E-3</v>
      </c>
      <c r="E133" s="27">
        <v>0</v>
      </c>
      <c r="F133" s="28">
        <v>366</v>
      </c>
      <c r="G133" s="28">
        <v>141</v>
      </c>
      <c r="H133" s="28">
        <v>65</v>
      </c>
      <c r="I133" s="28">
        <v>2</v>
      </c>
      <c r="J133" s="28">
        <v>574</v>
      </c>
      <c r="K133" s="29">
        <v>0.6376306620209059</v>
      </c>
      <c r="L133" s="29">
        <v>0.2456445993031359</v>
      </c>
      <c r="M133" s="29">
        <v>0.1132404181184669</v>
      </c>
      <c r="N133" s="29">
        <v>3.4843205574912892E-3</v>
      </c>
      <c r="O133" s="30">
        <v>30.71254355400697</v>
      </c>
    </row>
    <row r="134" spans="1:15" x14ac:dyDescent="0.25">
      <c r="A134" s="27">
        <v>0.22857142857142856</v>
      </c>
      <c r="B134" s="27">
        <v>9.5238095238095233E-2</v>
      </c>
      <c r="C134" s="27">
        <v>0.63809523809523805</v>
      </c>
      <c r="D134" s="27">
        <v>4.7619047619047623E-3</v>
      </c>
      <c r="E134" s="27">
        <v>0</v>
      </c>
      <c r="F134" s="28">
        <v>374</v>
      </c>
      <c r="G134" s="28">
        <v>117</v>
      </c>
      <c r="H134" s="28">
        <v>84</v>
      </c>
      <c r="I134" s="28">
        <v>0</v>
      </c>
      <c r="J134" s="28">
        <v>575</v>
      </c>
      <c r="K134" s="29">
        <v>0.65043478260869569</v>
      </c>
      <c r="L134" s="29">
        <v>0.20347826086956522</v>
      </c>
      <c r="M134" s="29">
        <v>0.14608695652173914</v>
      </c>
      <c r="N134" s="29">
        <v>0</v>
      </c>
      <c r="O134" s="30">
        <v>22.306086956521739</v>
      </c>
    </row>
    <row r="135" spans="1:15" x14ac:dyDescent="0.25">
      <c r="A135" s="27">
        <v>0.25</v>
      </c>
      <c r="B135" s="27">
        <v>0.16569767441860464</v>
      </c>
      <c r="C135" s="27">
        <v>0.56104651162790697</v>
      </c>
      <c r="D135" s="27">
        <v>5.8139534883720929E-3</v>
      </c>
      <c r="E135" s="27">
        <v>2.9069767441860465E-3</v>
      </c>
      <c r="F135" s="28">
        <v>299</v>
      </c>
      <c r="G135" s="28">
        <v>17</v>
      </c>
      <c r="H135" s="28">
        <v>132</v>
      </c>
      <c r="I135" s="28">
        <v>2</v>
      </c>
      <c r="J135" s="28">
        <v>450</v>
      </c>
      <c r="K135" s="29">
        <v>0.66444444444444439</v>
      </c>
      <c r="L135" s="29">
        <v>3.7777777777777778E-2</v>
      </c>
      <c r="M135" s="29">
        <v>0.29333333333333333</v>
      </c>
      <c r="N135" s="29">
        <v>4.4444444444444444E-3</v>
      </c>
      <c r="O135" s="30">
        <v>64.597777777777779</v>
      </c>
    </row>
    <row r="136" spans="1:15" x14ac:dyDescent="0.25">
      <c r="A136" s="27">
        <v>0.38953488372093026</v>
      </c>
      <c r="B136" s="27">
        <v>0.21220930232558138</v>
      </c>
      <c r="C136" s="27">
        <v>0.36337209302325579</v>
      </c>
      <c r="D136" s="27">
        <v>1.4534883720930232E-2</v>
      </c>
      <c r="E136" s="27">
        <v>2.9069767441860465E-3</v>
      </c>
      <c r="F136" s="28">
        <v>298</v>
      </c>
      <c r="G136" s="28">
        <v>32</v>
      </c>
      <c r="H136" s="28">
        <v>116</v>
      </c>
      <c r="I136" s="28">
        <v>4</v>
      </c>
      <c r="J136" s="28">
        <v>450</v>
      </c>
      <c r="K136" s="29">
        <v>0.66222222222222227</v>
      </c>
      <c r="L136" s="29">
        <v>7.1111111111111111E-2</v>
      </c>
      <c r="M136" s="29">
        <v>0.25777777777777777</v>
      </c>
      <c r="N136" s="29">
        <v>8.8888888888888889E-3</v>
      </c>
      <c r="O136" s="30">
        <v>56.13111111111111</v>
      </c>
    </row>
    <row r="137" spans="1:15" x14ac:dyDescent="0.25">
      <c r="A137" s="27">
        <v>0.2857142857142857</v>
      </c>
      <c r="B137" s="27">
        <v>0.3891625615763547</v>
      </c>
      <c r="C137" s="27">
        <v>0.28078817733990147</v>
      </c>
      <c r="D137" s="27">
        <v>1.9704433497536946E-2</v>
      </c>
      <c r="E137" s="27">
        <v>1.7241379310344827E-2</v>
      </c>
      <c r="F137" s="28">
        <v>464</v>
      </c>
      <c r="G137" s="28">
        <v>34</v>
      </c>
      <c r="H137" s="28">
        <v>114</v>
      </c>
      <c r="I137" s="28">
        <v>35</v>
      </c>
      <c r="J137" s="28">
        <v>647</v>
      </c>
      <c r="K137" s="29">
        <v>0.71715610510046368</v>
      </c>
      <c r="L137" s="29">
        <v>5.2550231839258117E-2</v>
      </c>
      <c r="M137" s="29">
        <v>0.17619783616692428</v>
      </c>
      <c r="N137" s="29">
        <v>5.4095826893353939E-2</v>
      </c>
      <c r="O137" s="30">
        <v>45.707882534775891</v>
      </c>
    </row>
    <row r="138" spans="1:15" x14ac:dyDescent="0.25">
      <c r="A138" s="27">
        <v>0.30120481927710846</v>
      </c>
      <c r="B138" s="27">
        <v>0.40481927710843374</v>
      </c>
      <c r="C138" s="27">
        <v>0.27710843373493976</v>
      </c>
      <c r="D138" s="27">
        <v>1.2048192771084338E-2</v>
      </c>
      <c r="E138" s="27">
        <v>0</v>
      </c>
      <c r="F138" s="28">
        <v>480</v>
      </c>
      <c r="G138" s="28">
        <v>22</v>
      </c>
      <c r="H138" s="28">
        <v>125</v>
      </c>
      <c r="I138" s="28">
        <v>20</v>
      </c>
      <c r="J138" s="28">
        <v>647</v>
      </c>
      <c r="K138" s="29">
        <v>0.74188562596599694</v>
      </c>
      <c r="L138" s="29">
        <v>3.4003091190108192E-2</v>
      </c>
      <c r="M138" s="29">
        <v>0.19319938176197837</v>
      </c>
      <c r="N138" s="29">
        <v>3.0911901081916538E-2</v>
      </c>
      <c r="O138" s="30">
        <v>38.766615146831533</v>
      </c>
    </row>
    <row r="139" spans="1:15" x14ac:dyDescent="0.25">
      <c r="A139" s="27">
        <v>0.34090909090909088</v>
      </c>
      <c r="B139" s="27">
        <v>0.41363636363636364</v>
      </c>
      <c r="C139" s="27">
        <v>0.22727272727272727</v>
      </c>
      <c r="D139" s="27">
        <v>1.5909090909090907E-2</v>
      </c>
      <c r="E139" s="27">
        <v>2.2727272727272726E-3</v>
      </c>
      <c r="F139" s="28">
        <v>467</v>
      </c>
      <c r="G139" s="28">
        <v>27</v>
      </c>
      <c r="H139" s="28">
        <v>140</v>
      </c>
      <c r="I139" s="28">
        <v>13</v>
      </c>
      <c r="J139" s="28">
        <v>647</v>
      </c>
      <c r="K139" s="29">
        <v>0.72179289026275117</v>
      </c>
      <c r="L139" s="29">
        <v>4.1731066460587329E-2</v>
      </c>
      <c r="M139" s="29">
        <v>0.21638330757341576</v>
      </c>
      <c r="N139" s="29">
        <v>2.009273570324575E-2</v>
      </c>
      <c r="O139" s="30">
        <v>32.885625965996908</v>
      </c>
    </row>
    <row r="140" spans="1:15" x14ac:dyDescent="0.25">
      <c r="A140" s="27">
        <v>0.37398373983739835</v>
      </c>
      <c r="B140" s="27">
        <v>0.38414634146341464</v>
      </c>
      <c r="C140" s="27">
        <v>0.23577235772357724</v>
      </c>
      <c r="D140" s="27">
        <v>2.0325203252032522E-3</v>
      </c>
      <c r="E140" s="27">
        <v>2.0325203252032522E-3</v>
      </c>
      <c r="F140" s="28">
        <v>445</v>
      </c>
      <c r="G140" s="28">
        <v>20</v>
      </c>
      <c r="H140" s="28">
        <v>181</v>
      </c>
      <c r="I140" s="28">
        <v>2</v>
      </c>
      <c r="J140" s="28">
        <v>648</v>
      </c>
      <c r="K140" s="29">
        <v>0.68672839506172845</v>
      </c>
      <c r="L140" s="29">
        <v>3.0864197530864196E-2</v>
      </c>
      <c r="M140" s="29">
        <v>0.27932098765432101</v>
      </c>
      <c r="N140" s="29">
        <v>3.0864197530864196E-3</v>
      </c>
      <c r="O140" s="30">
        <v>23.831790123456791</v>
      </c>
    </row>
    <row r="141" spans="1:15" x14ac:dyDescent="0.25">
      <c r="A141" s="27">
        <v>0.31339031339031337</v>
      </c>
      <c r="B141" s="27">
        <v>0.1396011396011396</v>
      </c>
      <c r="C141" s="27">
        <v>0.5213675213675214</v>
      </c>
      <c r="D141" s="27">
        <v>5.6980056980056983E-3</v>
      </c>
      <c r="E141" s="27">
        <v>1.1396011396011397E-2</v>
      </c>
      <c r="F141" s="28">
        <v>276</v>
      </c>
      <c r="G141" s="28">
        <v>63</v>
      </c>
      <c r="H141" s="28">
        <v>98</v>
      </c>
      <c r="I141" s="28">
        <v>13</v>
      </c>
      <c r="J141" s="28">
        <v>450</v>
      </c>
      <c r="K141" s="29">
        <v>0.61333333333333329</v>
      </c>
      <c r="L141" s="29">
        <v>0.14000000000000001</v>
      </c>
      <c r="M141" s="29">
        <v>0.21777777777777776</v>
      </c>
      <c r="N141" s="29">
        <v>2.8888888888888888E-2</v>
      </c>
      <c r="O141" s="30">
        <v>66.704444444444448</v>
      </c>
    </row>
    <row r="142" spans="1:15" x14ac:dyDescent="0.25">
      <c r="A142" s="27">
        <v>0.34392523364485983</v>
      </c>
      <c r="B142" s="27">
        <v>0.3102803738317757</v>
      </c>
      <c r="C142" s="27">
        <v>0.31775700934579437</v>
      </c>
      <c r="D142" s="27">
        <v>1.4953271028037384E-2</v>
      </c>
      <c r="E142" s="27">
        <v>3.7383177570093459E-3</v>
      </c>
      <c r="F142" s="28">
        <v>451</v>
      </c>
      <c r="G142" s="28">
        <v>87</v>
      </c>
      <c r="H142" s="28">
        <v>133</v>
      </c>
      <c r="I142" s="28">
        <v>11</v>
      </c>
      <c r="J142" s="28">
        <v>682</v>
      </c>
      <c r="K142" s="29">
        <v>0.66129032258064513</v>
      </c>
      <c r="L142" s="29">
        <v>0.12756598240469208</v>
      </c>
      <c r="M142" s="29">
        <v>0.19501466275659823</v>
      </c>
      <c r="N142" s="29">
        <v>1.6129032258064516E-2</v>
      </c>
      <c r="O142" s="30">
        <v>47.502932551319645</v>
      </c>
    </row>
    <row r="143" spans="1:15" x14ac:dyDescent="0.25">
      <c r="A143" s="27">
        <v>0.31097560975609756</v>
      </c>
      <c r="B143" s="27">
        <v>0.42073170731707316</v>
      </c>
      <c r="C143" s="27">
        <v>0.26016260162601629</v>
      </c>
      <c r="D143" s="27">
        <v>6.0975609756097563E-3</v>
      </c>
      <c r="E143" s="27">
        <v>2.0325203252032522E-3</v>
      </c>
      <c r="F143" s="28">
        <v>522</v>
      </c>
      <c r="G143" s="28">
        <v>61</v>
      </c>
      <c r="H143" s="28">
        <v>96</v>
      </c>
      <c r="I143" s="28">
        <v>3</v>
      </c>
      <c r="J143" s="28">
        <v>682</v>
      </c>
      <c r="K143" s="29">
        <v>0.76539589442815248</v>
      </c>
      <c r="L143" s="29">
        <v>8.9442815249266866E-2</v>
      </c>
      <c r="M143" s="29">
        <v>0.14076246334310852</v>
      </c>
      <c r="N143" s="29">
        <v>4.3988269794721412E-3</v>
      </c>
      <c r="O143" s="30">
        <v>27.848973607038122</v>
      </c>
    </row>
    <row r="144" spans="1:15" x14ac:dyDescent="0.25">
      <c r="A144" s="27">
        <v>0.48239436619718312</v>
      </c>
      <c r="B144" s="27">
        <v>0.13380281690140844</v>
      </c>
      <c r="C144" s="27">
        <v>0.34507042253521125</v>
      </c>
      <c r="D144" s="27">
        <v>1.7605633802816902E-2</v>
      </c>
      <c r="E144" s="27">
        <v>3.5211267605633804E-3</v>
      </c>
      <c r="F144" s="28">
        <v>200</v>
      </c>
      <c r="G144" s="28">
        <v>166</v>
      </c>
      <c r="H144" s="28">
        <v>82</v>
      </c>
      <c r="I144" s="28">
        <v>2</v>
      </c>
      <c r="J144" s="28">
        <v>450</v>
      </c>
      <c r="K144" s="29">
        <v>0.44444444444444442</v>
      </c>
      <c r="L144" s="29">
        <v>0.36888888888888888</v>
      </c>
      <c r="M144" s="29">
        <v>0.18222222222222223</v>
      </c>
      <c r="N144" s="29">
        <v>4.4444444444444444E-3</v>
      </c>
      <c r="O144" s="30">
        <v>69.844444444444449</v>
      </c>
    </row>
    <row r="145" spans="1:15" x14ac:dyDescent="0.25">
      <c r="A145" s="27">
        <v>0.59340659340659341</v>
      </c>
      <c r="B145" s="27">
        <v>0.12912087912087913</v>
      </c>
      <c r="C145" s="27">
        <v>0.25824175824175827</v>
      </c>
      <c r="D145" s="27">
        <v>1.3736263736263736E-2</v>
      </c>
      <c r="E145" s="27">
        <v>0</v>
      </c>
      <c r="F145" s="28">
        <v>192</v>
      </c>
      <c r="G145" s="28">
        <v>160</v>
      </c>
      <c r="H145" s="28">
        <v>98</v>
      </c>
      <c r="I145" s="28">
        <v>0</v>
      </c>
      <c r="J145" s="28">
        <v>450</v>
      </c>
      <c r="K145" s="29">
        <v>0.42666666666666669</v>
      </c>
      <c r="L145" s="29">
        <v>0.35555555555555557</v>
      </c>
      <c r="M145" s="29">
        <v>0.21777777777777776</v>
      </c>
      <c r="N145" s="29">
        <v>0</v>
      </c>
      <c r="O145" s="30">
        <v>64.697777777777773</v>
      </c>
    </row>
    <row r="146" spans="1:15" x14ac:dyDescent="0.25">
      <c r="A146" s="27">
        <v>0.48704663212435234</v>
      </c>
      <c r="B146" s="27">
        <v>0.24611398963730569</v>
      </c>
      <c r="C146" s="27">
        <v>0.24611398963730569</v>
      </c>
      <c r="D146" s="27">
        <v>1.2953367875647668E-2</v>
      </c>
      <c r="E146" s="27">
        <v>0</v>
      </c>
      <c r="F146" s="28">
        <v>257</v>
      </c>
      <c r="G146" s="28">
        <v>99</v>
      </c>
      <c r="H146" s="28">
        <v>89</v>
      </c>
      <c r="I146" s="28">
        <v>5</v>
      </c>
      <c r="J146" s="28">
        <v>450</v>
      </c>
      <c r="K146" s="29">
        <v>0.57111111111111112</v>
      </c>
      <c r="L146" s="29">
        <v>0.22</v>
      </c>
      <c r="M146" s="29">
        <v>0.19777777777777777</v>
      </c>
      <c r="N146" s="29">
        <v>1.1111111111111112E-2</v>
      </c>
      <c r="O146" s="30">
        <v>56.324444444444445</v>
      </c>
    </row>
    <row r="147" spans="1:15" x14ac:dyDescent="0.25">
      <c r="A147" s="27">
        <v>0.46345811051693403</v>
      </c>
      <c r="B147" s="27">
        <v>0.28163992869875221</v>
      </c>
      <c r="C147" s="27">
        <v>0.22994652406417113</v>
      </c>
      <c r="D147" s="27">
        <v>1.7825311942959002E-2</v>
      </c>
      <c r="E147" s="27">
        <v>1.7825311942959001E-3</v>
      </c>
      <c r="F147" s="28">
        <v>401</v>
      </c>
      <c r="G147" s="28">
        <v>167</v>
      </c>
      <c r="H147" s="28">
        <v>122</v>
      </c>
      <c r="I147" s="28">
        <v>4</v>
      </c>
      <c r="J147" s="28">
        <v>694</v>
      </c>
      <c r="K147" s="29">
        <v>0.5778097982708934</v>
      </c>
      <c r="L147" s="29">
        <v>0.24063400576368876</v>
      </c>
      <c r="M147" s="29">
        <v>0.17579250720461095</v>
      </c>
      <c r="N147" s="29">
        <v>5.763688760806916E-3</v>
      </c>
      <c r="O147" s="30">
        <v>47.453890489913547</v>
      </c>
    </row>
    <row r="148" spans="1:15" x14ac:dyDescent="0.25">
      <c r="A148" s="27">
        <v>0.46950092421441775</v>
      </c>
      <c r="B148" s="27">
        <v>0.29390018484288355</v>
      </c>
      <c r="C148" s="27">
        <v>0.21072088724584104</v>
      </c>
      <c r="D148" s="27">
        <v>1.6635859519408502E-2</v>
      </c>
      <c r="E148" s="27">
        <v>5.5452865064695009E-3</v>
      </c>
      <c r="F148" s="28">
        <v>457</v>
      </c>
      <c r="G148" s="28">
        <v>146</v>
      </c>
      <c r="H148" s="28">
        <v>88</v>
      </c>
      <c r="I148" s="28">
        <v>3</v>
      </c>
      <c r="J148" s="28">
        <v>694</v>
      </c>
      <c r="K148" s="29">
        <v>0.65850144092219021</v>
      </c>
      <c r="L148" s="29">
        <v>0.21037463976945245</v>
      </c>
      <c r="M148" s="29">
        <v>0.12680115273775217</v>
      </c>
      <c r="N148" s="29">
        <v>4.3227665706051877E-3</v>
      </c>
      <c r="O148" s="30">
        <v>39.190201729106626</v>
      </c>
    </row>
    <row r="149" spans="1:15" x14ac:dyDescent="0.25">
      <c r="A149" s="27">
        <v>0.41392649903288203</v>
      </c>
      <c r="B149" s="27">
        <v>0.38684719535783363</v>
      </c>
      <c r="C149" s="27">
        <v>0.17794970986460348</v>
      </c>
      <c r="D149" s="27">
        <v>1.5473887814313346E-2</v>
      </c>
      <c r="E149" s="27">
        <v>3.8684719535783366E-3</v>
      </c>
      <c r="F149" s="28">
        <v>512</v>
      </c>
      <c r="G149" s="28">
        <v>120</v>
      </c>
      <c r="H149" s="28">
        <v>60</v>
      </c>
      <c r="I149" s="28">
        <v>2</v>
      </c>
      <c r="J149" s="28">
        <v>694</v>
      </c>
      <c r="K149" s="29">
        <v>0.73775216138328525</v>
      </c>
      <c r="L149" s="29">
        <v>0.1729106628242075</v>
      </c>
      <c r="M149" s="29">
        <v>8.645533141210375E-2</v>
      </c>
      <c r="N149" s="29">
        <v>2.881844380403458E-3</v>
      </c>
      <c r="O149" s="30">
        <v>30.82564841498559</v>
      </c>
    </row>
    <row r="150" spans="1:15" x14ac:dyDescent="0.25">
      <c r="A150" s="27">
        <v>0.37147887323943662</v>
      </c>
      <c r="B150" s="27">
        <v>0.45422535211267606</v>
      </c>
      <c r="C150" s="27">
        <v>0.1619718309859155</v>
      </c>
      <c r="D150" s="27">
        <v>5.2816901408450703E-3</v>
      </c>
      <c r="E150" s="27">
        <v>1.7605633802816902E-3</v>
      </c>
      <c r="F150" s="28">
        <v>563</v>
      </c>
      <c r="G150" s="28">
        <v>90</v>
      </c>
      <c r="H150" s="28">
        <v>42</v>
      </c>
      <c r="I150" s="28">
        <v>0</v>
      </c>
      <c r="J150" s="28">
        <v>695</v>
      </c>
      <c r="K150" s="29">
        <v>0.81007194244604319</v>
      </c>
      <c r="L150" s="29">
        <v>0.12949640287769784</v>
      </c>
      <c r="M150" s="29">
        <v>6.0431654676258995E-2</v>
      </c>
      <c r="N150" s="29">
        <v>0</v>
      </c>
      <c r="O150" s="30">
        <v>22.211510791366905</v>
      </c>
    </row>
    <row r="151" spans="1:15" x14ac:dyDescent="0.25">
      <c r="A151" s="27">
        <v>0.54878048780487809</v>
      </c>
      <c r="B151" s="27">
        <v>0.16463414634146342</v>
      </c>
      <c r="C151" s="27">
        <v>0.25609756097560976</v>
      </c>
      <c r="D151" s="27">
        <v>1.8292682926829267E-2</v>
      </c>
      <c r="E151" s="27">
        <v>3.0487804878048782E-3</v>
      </c>
      <c r="F151" s="28">
        <v>176</v>
      </c>
      <c r="G151" s="28">
        <v>121</v>
      </c>
      <c r="H151" s="28">
        <v>151</v>
      </c>
      <c r="I151" s="28">
        <v>2</v>
      </c>
      <c r="J151" s="28">
        <v>450</v>
      </c>
      <c r="K151" s="29">
        <v>0.39111111111111113</v>
      </c>
      <c r="L151" s="29">
        <v>0.2688888888888889</v>
      </c>
      <c r="M151" s="29">
        <v>0.33555555555555555</v>
      </c>
      <c r="N151" s="29">
        <v>4.4444444444444444E-3</v>
      </c>
      <c r="O151" s="30">
        <v>64.319999999999993</v>
      </c>
    </row>
    <row r="152" spans="1:15" x14ac:dyDescent="0.25">
      <c r="A152" s="27">
        <v>0.68400000000000005</v>
      </c>
      <c r="B152" s="27">
        <v>0.152</v>
      </c>
      <c r="C152" s="27">
        <v>0.14599999999999999</v>
      </c>
      <c r="D152" s="27">
        <v>1.2E-2</v>
      </c>
      <c r="E152" s="27">
        <v>4.0000000000000001E-3</v>
      </c>
      <c r="F152" s="28">
        <v>203</v>
      </c>
      <c r="G152" s="28">
        <v>249</v>
      </c>
      <c r="H152" s="28">
        <v>170</v>
      </c>
      <c r="I152" s="28">
        <v>5</v>
      </c>
      <c r="J152" s="28">
        <v>627</v>
      </c>
      <c r="K152" s="29">
        <v>0.3237639553429027</v>
      </c>
      <c r="L152" s="29">
        <v>0.39712918660287083</v>
      </c>
      <c r="M152" s="29">
        <v>0.27113237639553428</v>
      </c>
      <c r="N152" s="29">
        <v>7.9744816586921844E-3</v>
      </c>
      <c r="O152" s="30">
        <v>48.658692185007972</v>
      </c>
    </row>
    <row r="153" spans="1:15" x14ac:dyDescent="0.25">
      <c r="A153" s="27">
        <v>0.68149882903981263</v>
      </c>
      <c r="B153" s="27">
        <v>0.18266978922716628</v>
      </c>
      <c r="C153" s="27">
        <v>0.11475409836065574</v>
      </c>
      <c r="D153" s="27">
        <v>1.1709601873536301E-2</v>
      </c>
      <c r="E153" s="27">
        <v>4.6838407494145199E-3</v>
      </c>
      <c r="F153" s="28">
        <v>219</v>
      </c>
      <c r="G153" s="28">
        <v>299</v>
      </c>
      <c r="H153" s="28">
        <v>108</v>
      </c>
      <c r="I153" s="28">
        <v>1</v>
      </c>
      <c r="J153" s="28">
        <v>627</v>
      </c>
      <c r="K153" s="29">
        <v>0.34928229665071769</v>
      </c>
      <c r="L153" s="29">
        <v>0.47687400318979267</v>
      </c>
      <c r="M153" s="29">
        <v>0.17224880382775121</v>
      </c>
      <c r="N153" s="29">
        <v>1.594896331738437E-3</v>
      </c>
      <c r="O153" s="30">
        <v>34.696969696969695</v>
      </c>
    </row>
    <row r="154" spans="1:15" x14ac:dyDescent="0.25">
      <c r="A154" s="27">
        <v>0.6753812636165577</v>
      </c>
      <c r="B154" s="27">
        <v>0.20479302832244009</v>
      </c>
      <c r="C154" s="27">
        <v>0.10893246187363835</v>
      </c>
      <c r="D154" s="27">
        <v>8.7145969498910684E-3</v>
      </c>
      <c r="E154" s="27">
        <v>2.1786492374727671E-3</v>
      </c>
      <c r="F154" s="28">
        <v>241</v>
      </c>
      <c r="G154" s="28">
        <v>281</v>
      </c>
      <c r="H154" s="28">
        <v>103</v>
      </c>
      <c r="I154" s="28">
        <v>2</v>
      </c>
      <c r="J154" s="28">
        <v>627</v>
      </c>
      <c r="K154" s="29">
        <v>0.38437001594896331</v>
      </c>
      <c r="L154" s="29">
        <v>0.44816586921850082</v>
      </c>
      <c r="M154" s="29">
        <v>0.16427432216905902</v>
      </c>
      <c r="N154" s="29">
        <v>3.189792663476874E-3</v>
      </c>
      <c r="O154" s="30">
        <v>27.130781499202552</v>
      </c>
    </row>
    <row r="155" spans="1:15" x14ac:dyDescent="0.25">
      <c r="A155" s="27">
        <v>0.65191146881287731</v>
      </c>
      <c r="B155" s="27">
        <v>0.23742454728370221</v>
      </c>
      <c r="C155" s="27">
        <v>0.10261569416498995</v>
      </c>
      <c r="D155" s="27">
        <v>4.0241448692152921E-3</v>
      </c>
      <c r="E155" s="27">
        <v>0</v>
      </c>
      <c r="F155" s="28">
        <v>258</v>
      </c>
      <c r="G155" s="28">
        <v>272</v>
      </c>
      <c r="H155" s="28">
        <v>97</v>
      </c>
      <c r="I155" s="28">
        <v>1</v>
      </c>
      <c r="J155" s="28">
        <v>628</v>
      </c>
      <c r="K155" s="29">
        <v>0.41082802547770703</v>
      </c>
      <c r="L155" s="29">
        <v>0.43312101910828027</v>
      </c>
      <c r="M155" s="29">
        <v>0.15445859872611464</v>
      </c>
      <c r="N155" s="29">
        <v>1.5923566878980893E-3</v>
      </c>
      <c r="O155" s="30">
        <v>20.936305732484076</v>
      </c>
    </row>
    <row r="156" spans="1:15" x14ac:dyDescent="0.25">
      <c r="A156" s="27">
        <v>0.65886287625418061</v>
      </c>
      <c r="B156" s="27">
        <v>4.0133779264214048E-2</v>
      </c>
      <c r="C156" s="27">
        <v>0.23411371237458195</v>
      </c>
      <c r="D156" s="27">
        <v>6.688963210702341E-3</v>
      </c>
      <c r="E156" s="27">
        <v>3.3444816053511705E-3</v>
      </c>
      <c r="F156" s="28">
        <v>89</v>
      </c>
      <c r="G156" s="28">
        <v>219</v>
      </c>
      <c r="H156" s="28">
        <v>139</v>
      </c>
      <c r="I156" s="28">
        <v>3</v>
      </c>
      <c r="J156" s="28">
        <v>450</v>
      </c>
      <c r="K156" s="29">
        <v>0.19777777777777777</v>
      </c>
      <c r="L156" s="29">
        <v>0.48666666666666669</v>
      </c>
      <c r="M156" s="29">
        <v>0.30888888888888888</v>
      </c>
      <c r="N156" s="29">
        <v>6.6666666666666671E-3</v>
      </c>
      <c r="O156" s="30">
        <v>70.444444444444443</v>
      </c>
    </row>
    <row r="157" spans="1:15" x14ac:dyDescent="0.25">
      <c r="A157" s="27">
        <v>0.73351648351648346</v>
      </c>
      <c r="B157" s="27">
        <v>5.21978021978022E-2</v>
      </c>
      <c r="C157" s="27">
        <v>0.19505494505494506</v>
      </c>
      <c r="D157" s="27">
        <v>8.241758241758242E-3</v>
      </c>
      <c r="E157" s="27">
        <v>2.7472527472527475E-3</v>
      </c>
      <c r="F157" s="28">
        <v>87</v>
      </c>
      <c r="G157" s="28">
        <v>174</v>
      </c>
      <c r="H157" s="28">
        <v>178</v>
      </c>
      <c r="I157" s="28">
        <v>11</v>
      </c>
      <c r="J157" s="28">
        <v>450</v>
      </c>
      <c r="K157" s="29">
        <v>0.19333333333333333</v>
      </c>
      <c r="L157" s="29">
        <v>0.38666666666666666</v>
      </c>
      <c r="M157" s="29">
        <v>0.39555555555555555</v>
      </c>
      <c r="N157" s="29">
        <v>2.4444444444444446E-2</v>
      </c>
      <c r="O157" s="30">
        <v>59.715555555555554</v>
      </c>
    </row>
    <row r="158" spans="1:15" x14ac:dyDescent="0.25">
      <c r="A158" s="27">
        <v>0.74365482233502533</v>
      </c>
      <c r="B158" s="27">
        <v>9.6446700507614211E-2</v>
      </c>
      <c r="C158" s="27">
        <v>0.14974619289340102</v>
      </c>
      <c r="D158" s="27">
        <v>5.076142131979695E-3</v>
      </c>
      <c r="E158" s="27">
        <v>0</v>
      </c>
      <c r="F158" s="28">
        <v>100</v>
      </c>
      <c r="G158" s="28">
        <v>207</v>
      </c>
      <c r="H158" s="28">
        <v>186</v>
      </c>
      <c r="I158" s="28">
        <v>4</v>
      </c>
      <c r="J158" s="28">
        <v>497</v>
      </c>
      <c r="K158" s="29">
        <v>0.2012072434607646</v>
      </c>
      <c r="L158" s="29">
        <v>0.4164989939637827</v>
      </c>
      <c r="M158" s="29">
        <v>0.37424547283702214</v>
      </c>
      <c r="N158" s="29">
        <v>8.0482897384305842E-3</v>
      </c>
      <c r="O158" s="30">
        <v>47.052313883299796</v>
      </c>
    </row>
    <row r="159" spans="1:15" x14ac:dyDescent="0.25">
      <c r="A159" s="27">
        <v>0.73743016759776536</v>
      </c>
      <c r="B159" s="27">
        <v>0.12290502793296089</v>
      </c>
      <c r="C159" s="27">
        <v>0.13128491620111732</v>
      </c>
      <c r="D159" s="27">
        <v>5.5865921787709499E-3</v>
      </c>
      <c r="E159" s="27">
        <v>0</v>
      </c>
      <c r="F159" s="28">
        <v>136</v>
      </c>
      <c r="G159" s="28">
        <v>219</v>
      </c>
      <c r="H159" s="28">
        <v>134</v>
      </c>
      <c r="I159" s="28">
        <v>8</v>
      </c>
      <c r="J159" s="28">
        <v>497</v>
      </c>
      <c r="K159" s="29">
        <v>0.27364185110663986</v>
      </c>
      <c r="L159" s="29">
        <v>0.44064386317907445</v>
      </c>
      <c r="M159" s="29">
        <v>0.26961770623742454</v>
      </c>
      <c r="N159" s="29">
        <v>1.6096579476861168E-2</v>
      </c>
      <c r="O159" s="30">
        <v>35.366197183098592</v>
      </c>
    </row>
    <row r="160" spans="1:15" x14ac:dyDescent="0.25">
      <c r="A160" s="27">
        <v>0.70499999999999996</v>
      </c>
      <c r="B160" s="27">
        <v>0.15</v>
      </c>
      <c r="C160" s="27">
        <v>0.13500000000000001</v>
      </c>
      <c r="D160" s="27">
        <v>5.0000000000000001E-3</v>
      </c>
      <c r="E160" s="27">
        <v>2.5000000000000001E-3</v>
      </c>
      <c r="F160" s="28">
        <v>154</v>
      </c>
      <c r="G160" s="28">
        <v>207</v>
      </c>
      <c r="H160" s="28">
        <v>135</v>
      </c>
      <c r="I160" s="28">
        <v>2</v>
      </c>
      <c r="J160" s="28">
        <v>498</v>
      </c>
      <c r="K160" s="29">
        <v>0.30923694779116467</v>
      </c>
      <c r="L160" s="29">
        <v>0.41566265060240964</v>
      </c>
      <c r="M160" s="29">
        <v>0.27108433734939757</v>
      </c>
      <c r="N160" s="29">
        <v>4.0160642570281121E-3</v>
      </c>
      <c r="O160" s="30">
        <v>24.477911646586346</v>
      </c>
    </row>
    <row r="161" spans="1:15" x14ac:dyDescent="0.25">
      <c r="A161" s="27">
        <v>0.68441064638783267</v>
      </c>
      <c r="B161" s="27">
        <v>4.1825095057034217E-2</v>
      </c>
      <c r="C161" s="27">
        <v>0.21673003802281368</v>
      </c>
      <c r="D161" s="27">
        <v>3.8022813688212928E-3</v>
      </c>
      <c r="E161" s="27">
        <v>0</v>
      </c>
      <c r="F161" s="28">
        <v>61</v>
      </c>
      <c r="G161" s="28">
        <v>171</v>
      </c>
      <c r="H161" s="28">
        <v>214</v>
      </c>
      <c r="I161" s="28">
        <v>4</v>
      </c>
      <c r="J161" s="28">
        <v>450</v>
      </c>
      <c r="K161" s="29">
        <v>0.13555555555555557</v>
      </c>
      <c r="L161" s="29">
        <v>0.38</v>
      </c>
      <c r="M161" s="29">
        <v>0.47555555555555556</v>
      </c>
      <c r="N161" s="29">
        <v>8.8888888888888889E-3</v>
      </c>
      <c r="O161" s="30">
        <v>72.084444444444443</v>
      </c>
    </row>
    <row r="162" spans="1:15" x14ac:dyDescent="0.25">
      <c r="A162" s="27">
        <v>0.68358208955223876</v>
      </c>
      <c r="B162" s="27">
        <v>5.0746268656716415E-2</v>
      </c>
      <c r="C162" s="27">
        <v>0.22388059701492538</v>
      </c>
      <c r="D162" s="27">
        <v>1.1940298507462687E-2</v>
      </c>
      <c r="E162" s="27">
        <v>0</v>
      </c>
      <c r="F162" s="28">
        <v>71</v>
      </c>
      <c r="G162" s="28">
        <v>152</v>
      </c>
      <c r="H162" s="28">
        <v>220</v>
      </c>
      <c r="I162" s="28">
        <v>7</v>
      </c>
      <c r="J162" s="28">
        <v>450</v>
      </c>
      <c r="K162" s="29">
        <v>0.15777777777777777</v>
      </c>
      <c r="L162" s="29">
        <v>0.33777777777777779</v>
      </c>
      <c r="M162" s="29">
        <v>0.48888888888888887</v>
      </c>
      <c r="N162" s="29">
        <v>1.5555555555555555E-2</v>
      </c>
      <c r="O162" s="30">
        <v>68.675555555555562</v>
      </c>
    </row>
    <row r="163" spans="1:15" x14ac:dyDescent="0.25">
      <c r="A163" s="27">
        <v>0.60571428571428576</v>
      </c>
      <c r="B163" s="27">
        <v>7.4285714285714288E-2</v>
      </c>
      <c r="C163" s="27">
        <v>0.28285714285714286</v>
      </c>
      <c r="D163" s="27">
        <v>1.4285714285714285E-2</v>
      </c>
      <c r="E163" s="27">
        <v>5.7142857142857143E-3</v>
      </c>
      <c r="F163" s="28">
        <v>128</v>
      </c>
      <c r="G163" s="28">
        <v>124</v>
      </c>
      <c r="H163" s="28">
        <v>194</v>
      </c>
      <c r="I163" s="28">
        <v>4</v>
      </c>
      <c r="J163" s="28">
        <v>450</v>
      </c>
      <c r="K163" s="29">
        <v>0.28444444444444444</v>
      </c>
      <c r="L163" s="29">
        <v>0.27555555555555555</v>
      </c>
      <c r="M163" s="29">
        <v>0.43111111111111111</v>
      </c>
      <c r="N163" s="29">
        <v>8.8888888888888889E-3</v>
      </c>
      <c r="O163" s="30">
        <v>62.053333333333335</v>
      </c>
    </row>
    <row r="164" spans="1:15" x14ac:dyDescent="0.25">
      <c r="A164" s="27">
        <v>0.68510638297872339</v>
      </c>
      <c r="B164" s="27">
        <v>5.9574468085106386E-2</v>
      </c>
      <c r="C164" s="27">
        <v>0.23191489361702128</v>
      </c>
      <c r="D164" s="27">
        <v>1.0638297872340425E-2</v>
      </c>
      <c r="E164" s="27">
        <v>6.382978723404255E-3</v>
      </c>
      <c r="F164" s="28">
        <v>124</v>
      </c>
      <c r="G164" s="28">
        <v>210</v>
      </c>
      <c r="H164" s="28">
        <v>257</v>
      </c>
      <c r="I164" s="28">
        <v>9</v>
      </c>
      <c r="J164" s="28">
        <v>600</v>
      </c>
      <c r="K164" s="29">
        <v>0.20666666666666667</v>
      </c>
      <c r="L164" s="29">
        <v>0.35</v>
      </c>
      <c r="M164" s="29">
        <v>0.42833333333333334</v>
      </c>
      <c r="N164" s="29">
        <v>1.4999999999999999E-2</v>
      </c>
      <c r="O164" s="30">
        <v>53.953333333333333</v>
      </c>
    </row>
    <row r="165" spans="1:15" x14ac:dyDescent="0.25">
      <c r="A165" s="27">
        <v>0.76870748299319724</v>
      </c>
      <c r="B165" s="27">
        <v>8.8435374149659865E-2</v>
      </c>
      <c r="C165" s="27">
        <v>0.12471655328798185</v>
      </c>
      <c r="D165" s="27">
        <v>4.5351473922902496E-3</v>
      </c>
      <c r="E165" s="27">
        <v>9.0702947845804991E-3</v>
      </c>
      <c r="F165" s="28">
        <v>106</v>
      </c>
      <c r="G165" s="28">
        <v>248</v>
      </c>
      <c r="H165" s="28">
        <v>232</v>
      </c>
      <c r="I165" s="28">
        <v>14</v>
      </c>
      <c r="J165" s="28">
        <v>600</v>
      </c>
      <c r="K165" s="29">
        <v>0.17666666666666667</v>
      </c>
      <c r="L165" s="29">
        <v>0.41333333333333333</v>
      </c>
      <c r="M165" s="29">
        <v>0.38666666666666666</v>
      </c>
      <c r="N165" s="29">
        <v>2.3333333333333334E-2</v>
      </c>
      <c r="O165" s="30">
        <v>42.883333333333333</v>
      </c>
    </row>
    <row r="166" spans="1:15" x14ac:dyDescent="0.25">
      <c r="A166" s="27">
        <v>0.7665847665847666</v>
      </c>
      <c r="B166" s="27">
        <v>0.12530712530712532</v>
      </c>
      <c r="C166" s="27">
        <v>0.10319410319410319</v>
      </c>
      <c r="D166" s="27">
        <v>2.4570024570024569E-3</v>
      </c>
      <c r="E166" s="27">
        <v>2.4570024570024569E-3</v>
      </c>
      <c r="F166" s="28">
        <v>161</v>
      </c>
      <c r="G166" s="28">
        <v>247</v>
      </c>
      <c r="H166" s="28">
        <v>182</v>
      </c>
      <c r="I166" s="28">
        <v>10</v>
      </c>
      <c r="J166" s="28">
        <v>600</v>
      </c>
      <c r="K166" s="29">
        <v>0.26833333333333331</v>
      </c>
      <c r="L166" s="29">
        <v>0.41166666666666668</v>
      </c>
      <c r="M166" s="29">
        <v>0.30333333333333334</v>
      </c>
      <c r="N166" s="29">
        <v>1.6666666666666666E-2</v>
      </c>
      <c r="O166" s="30">
        <v>33.383333333333333</v>
      </c>
    </row>
    <row r="167" spans="1:15" x14ac:dyDescent="0.25">
      <c r="A167" s="27">
        <v>0.6886363636363636</v>
      </c>
      <c r="B167" s="27">
        <v>0.17045454545454544</v>
      </c>
      <c r="C167" s="27">
        <v>0.13409090909090909</v>
      </c>
      <c r="D167" s="27">
        <v>4.5454545454545452E-3</v>
      </c>
      <c r="E167" s="27">
        <v>2.2727272727272726E-3</v>
      </c>
      <c r="F167" s="28">
        <v>200</v>
      </c>
      <c r="G167" s="28">
        <v>239</v>
      </c>
      <c r="H167" s="28">
        <v>155</v>
      </c>
      <c r="I167" s="28">
        <v>8</v>
      </c>
      <c r="J167" s="28">
        <v>602</v>
      </c>
      <c r="K167" s="29">
        <v>0.33222591362126247</v>
      </c>
      <c r="L167" s="29">
        <v>0.39700996677740863</v>
      </c>
      <c r="M167" s="29">
        <v>0.25747508305647843</v>
      </c>
      <c r="N167" s="29">
        <v>1.3289036544850499E-2</v>
      </c>
      <c r="O167" s="30">
        <v>23.880398671096344</v>
      </c>
    </row>
    <row r="168" spans="1:15" x14ac:dyDescent="0.25">
      <c r="A168" s="27">
        <v>0.82173913043478264</v>
      </c>
      <c r="B168" s="27">
        <v>3.4782608695652174E-2</v>
      </c>
      <c r="C168" s="27">
        <v>0.12173913043478261</v>
      </c>
      <c r="D168" s="27">
        <v>8.6956521739130436E-3</v>
      </c>
      <c r="E168" s="27">
        <v>4.3478260869565218E-3</v>
      </c>
      <c r="F168" s="28">
        <v>63</v>
      </c>
      <c r="G168" s="28">
        <v>258</v>
      </c>
      <c r="H168" s="28">
        <v>117</v>
      </c>
      <c r="I168" s="28">
        <v>12</v>
      </c>
      <c r="J168" s="28">
        <v>450</v>
      </c>
      <c r="K168" s="29">
        <v>0.14000000000000001</v>
      </c>
      <c r="L168" s="29">
        <v>0.57333333333333336</v>
      </c>
      <c r="M168" s="29">
        <v>0.26</v>
      </c>
      <c r="N168" s="29">
        <v>2.6666666666666668E-2</v>
      </c>
      <c r="O168" s="30">
        <v>77.346666666666664</v>
      </c>
    </row>
    <row r="169" spans="1:15" x14ac:dyDescent="0.25">
      <c r="A169" s="27">
        <v>0.66485013623978206</v>
      </c>
      <c r="B169" s="27">
        <v>0.1907356948228883</v>
      </c>
      <c r="C169" s="27">
        <v>0.13079019073569481</v>
      </c>
      <c r="D169" s="27">
        <v>5.4495912806539508E-3</v>
      </c>
      <c r="E169" s="27">
        <v>2.7247956403269754E-3</v>
      </c>
      <c r="F169" s="28">
        <v>107</v>
      </c>
      <c r="G169" s="28">
        <v>229</v>
      </c>
      <c r="H169" s="28">
        <v>105</v>
      </c>
      <c r="I169" s="28">
        <v>9</v>
      </c>
      <c r="J169" s="28">
        <v>450</v>
      </c>
      <c r="K169" s="29">
        <v>0.23777777777777778</v>
      </c>
      <c r="L169" s="29">
        <v>0.50888888888888884</v>
      </c>
      <c r="M169" s="29">
        <v>0.23333333333333334</v>
      </c>
      <c r="N169" s="29">
        <v>0.02</v>
      </c>
      <c r="O169" s="30">
        <v>68.24444444444444</v>
      </c>
    </row>
    <row r="170" spans="1:15" x14ac:dyDescent="0.25">
      <c r="A170" s="27">
        <v>0.70262390670553931</v>
      </c>
      <c r="B170" s="27">
        <v>0.13702623906705538</v>
      </c>
      <c r="C170" s="27">
        <v>0.14285714285714285</v>
      </c>
      <c r="D170" s="27">
        <v>1.1661807580174927E-2</v>
      </c>
      <c r="E170" s="27">
        <v>2.9154518950437317E-3</v>
      </c>
      <c r="F170" s="28">
        <v>138</v>
      </c>
      <c r="G170" s="28">
        <v>198</v>
      </c>
      <c r="H170" s="28">
        <v>112</v>
      </c>
      <c r="I170" s="28">
        <v>2</v>
      </c>
      <c r="J170" s="28">
        <v>450</v>
      </c>
      <c r="K170" s="29">
        <v>0.30666666666666664</v>
      </c>
      <c r="L170" s="29">
        <v>0.44</v>
      </c>
      <c r="M170" s="29">
        <v>0.24888888888888888</v>
      </c>
      <c r="N170" s="29">
        <v>4.4444444444444444E-3</v>
      </c>
      <c r="O170" s="30">
        <v>60.077777777777776</v>
      </c>
    </row>
    <row r="171" spans="1:15" x14ac:dyDescent="0.25">
      <c r="A171" s="27">
        <v>0.66386554621848737</v>
      </c>
      <c r="B171" s="27">
        <v>0.12605042016806722</v>
      </c>
      <c r="C171" s="27">
        <v>0.18207282913165265</v>
      </c>
      <c r="D171" s="27">
        <v>8.4033613445378148E-3</v>
      </c>
      <c r="E171" s="27">
        <v>2.8011204481792717E-3</v>
      </c>
      <c r="F171" s="28">
        <v>171</v>
      </c>
      <c r="G171" s="28">
        <v>205</v>
      </c>
      <c r="H171" s="28">
        <v>110</v>
      </c>
      <c r="I171" s="28">
        <v>3</v>
      </c>
      <c r="J171" s="28">
        <v>489</v>
      </c>
      <c r="K171" s="29">
        <v>0.34969325153374231</v>
      </c>
      <c r="L171" s="29">
        <v>0.41922290388548056</v>
      </c>
      <c r="M171" s="29">
        <v>0.22494887525562371</v>
      </c>
      <c r="N171" s="29">
        <v>6.1349693251533744E-3</v>
      </c>
      <c r="O171" s="30">
        <v>51.310838445807768</v>
      </c>
    </row>
    <row r="172" spans="1:15" x14ac:dyDescent="0.25">
      <c r="A172" s="27">
        <v>0.76870748299319724</v>
      </c>
      <c r="B172" s="27">
        <v>8.8435374149659865E-2</v>
      </c>
      <c r="C172" s="27">
        <v>0.12471655328798185</v>
      </c>
      <c r="D172" s="27">
        <v>4.5351473922902496E-3</v>
      </c>
      <c r="E172" s="27">
        <v>9.0702947845804991E-3</v>
      </c>
      <c r="F172" s="28">
        <v>171</v>
      </c>
      <c r="G172" s="28">
        <v>206</v>
      </c>
      <c r="H172" s="28">
        <v>111</v>
      </c>
      <c r="I172" s="28">
        <v>1</v>
      </c>
      <c r="J172" s="28">
        <v>489</v>
      </c>
      <c r="K172" s="29">
        <v>0.34969325153374231</v>
      </c>
      <c r="L172" s="29">
        <v>0.42126789366053169</v>
      </c>
      <c r="M172" s="29">
        <v>0.22699386503067484</v>
      </c>
      <c r="N172" s="29">
        <v>2.0449897750511249E-3</v>
      </c>
      <c r="O172" s="30">
        <v>41.942740286298566</v>
      </c>
    </row>
    <row r="173" spans="1:15" x14ac:dyDescent="0.25">
      <c r="A173" s="27">
        <v>0.60060060060060061</v>
      </c>
      <c r="B173" s="27">
        <v>0.25225225225225223</v>
      </c>
      <c r="C173" s="27">
        <v>0.13513513513513514</v>
      </c>
      <c r="D173" s="27">
        <v>6.006006006006006E-3</v>
      </c>
      <c r="E173" s="27">
        <v>0</v>
      </c>
      <c r="F173" s="28">
        <v>231</v>
      </c>
      <c r="G173" s="28">
        <v>154</v>
      </c>
      <c r="H173" s="28">
        <v>100</v>
      </c>
      <c r="I173" s="28">
        <v>5</v>
      </c>
      <c r="J173" s="28">
        <v>490</v>
      </c>
      <c r="K173" s="29">
        <v>0.47142857142857142</v>
      </c>
      <c r="L173" s="29">
        <v>0.31428571428571428</v>
      </c>
      <c r="M173" s="29">
        <v>0.20408163265306123</v>
      </c>
      <c r="N173" s="29">
        <v>1.020408163265306E-2</v>
      </c>
      <c r="O173" s="30">
        <v>28.126530612244899</v>
      </c>
    </row>
    <row r="174" spans="1:15" x14ac:dyDescent="0.25">
      <c r="A174" s="27">
        <v>0.38922155688622756</v>
      </c>
      <c r="B174" s="27">
        <v>0.1407185628742515</v>
      </c>
      <c r="C174" s="27">
        <v>0.42215568862275449</v>
      </c>
      <c r="D174" s="27">
        <v>1.4970059880239521E-2</v>
      </c>
      <c r="E174" s="27">
        <v>2.9940119760479044E-3</v>
      </c>
      <c r="F174" s="28">
        <v>189</v>
      </c>
      <c r="G174" s="28">
        <v>40</v>
      </c>
      <c r="H174" s="28">
        <v>210</v>
      </c>
      <c r="I174" s="28">
        <v>11</v>
      </c>
      <c r="J174" s="28">
        <v>450</v>
      </c>
      <c r="K174" s="29">
        <v>0.42</v>
      </c>
      <c r="L174" s="29">
        <v>8.8888888888888892E-2</v>
      </c>
      <c r="M174" s="29">
        <v>0.46666666666666667</v>
      </c>
      <c r="N174" s="29">
        <v>2.4444444444444446E-2</v>
      </c>
      <c r="O174" s="30">
        <v>63.866666666666667</v>
      </c>
    </row>
    <row r="175" spans="1:15" x14ac:dyDescent="0.25">
      <c r="A175" s="27">
        <v>0.59366754617414252</v>
      </c>
      <c r="B175" s="27">
        <v>0.11609498680738786</v>
      </c>
      <c r="C175" s="27">
        <v>0.27176781002638523</v>
      </c>
      <c r="D175" s="27">
        <v>1.3192612137203167E-2</v>
      </c>
      <c r="E175" s="27">
        <v>0</v>
      </c>
      <c r="F175" s="28">
        <v>172</v>
      </c>
      <c r="G175" s="28">
        <v>45</v>
      </c>
      <c r="H175" s="28">
        <v>215</v>
      </c>
      <c r="I175" s="28">
        <v>18</v>
      </c>
      <c r="J175" s="28">
        <v>450</v>
      </c>
      <c r="K175" s="29">
        <v>0.38222222222222224</v>
      </c>
      <c r="L175" s="29">
        <v>0.1</v>
      </c>
      <c r="M175" s="29">
        <v>0.4777777777777778</v>
      </c>
      <c r="N175" s="29">
        <v>0.04</v>
      </c>
      <c r="O175" s="30">
        <v>54.568888888888885</v>
      </c>
    </row>
    <row r="176" spans="1:15" x14ac:dyDescent="0.25">
      <c r="A176" s="27">
        <v>0.56530214424951264</v>
      </c>
      <c r="B176" s="27">
        <v>0.18323586744639375</v>
      </c>
      <c r="C176" s="27">
        <v>0.2124756335282651</v>
      </c>
      <c r="D176" s="27">
        <v>1.7543859649122806E-2</v>
      </c>
      <c r="E176" s="27">
        <v>7.7972709551656916E-3</v>
      </c>
      <c r="F176" s="28">
        <v>274</v>
      </c>
      <c r="G176" s="28">
        <v>86</v>
      </c>
      <c r="H176" s="28">
        <v>307</v>
      </c>
      <c r="I176" s="28">
        <v>16</v>
      </c>
      <c r="J176" s="28">
        <v>683</v>
      </c>
      <c r="K176" s="29">
        <v>0.40117130307467058</v>
      </c>
      <c r="L176" s="29">
        <v>0.12591508052708639</v>
      </c>
      <c r="M176" s="29">
        <v>0.44948755490483161</v>
      </c>
      <c r="N176" s="29">
        <v>2.3426061493411421E-2</v>
      </c>
      <c r="O176" s="30">
        <v>41.30893118594436</v>
      </c>
    </row>
    <row r="177" spans="1:15" x14ac:dyDescent="0.25">
      <c r="A177" s="27">
        <v>0.52566735112936347</v>
      </c>
      <c r="B177" s="27">
        <v>0.26488706365503079</v>
      </c>
      <c r="C177" s="27">
        <v>0.18480492813141683</v>
      </c>
      <c r="D177" s="27">
        <v>1.0266940451745379E-2</v>
      </c>
      <c r="E177" s="27">
        <v>6.1601642710472282E-3</v>
      </c>
      <c r="F177" s="28">
        <v>373</v>
      </c>
      <c r="G177" s="28">
        <v>56</v>
      </c>
      <c r="H177" s="28">
        <v>252</v>
      </c>
      <c r="I177" s="28">
        <v>2</v>
      </c>
      <c r="J177" s="28">
        <v>683</v>
      </c>
      <c r="K177" s="29">
        <v>0.54612005856515378</v>
      </c>
      <c r="L177" s="29">
        <v>8.1991215226939973E-2</v>
      </c>
      <c r="M177" s="29">
        <v>0.36896046852122988</v>
      </c>
      <c r="N177" s="29">
        <v>2.9282576866764276E-3</v>
      </c>
      <c r="O177" s="30">
        <v>31.187408491947291</v>
      </c>
    </row>
    <row r="178" spans="1:15" x14ac:dyDescent="0.25">
      <c r="A178" s="27">
        <v>0.50457038391224862</v>
      </c>
      <c r="B178" s="27">
        <v>0.29616087751371117</v>
      </c>
      <c r="C178" s="27">
        <v>0.17001828153564899</v>
      </c>
      <c r="D178" s="27">
        <v>1.6453382084095063E-2</v>
      </c>
      <c r="E178" s="27">
        <v>7.3126142595978062E-3</v>
      </c>
      <c r="F178" s="28">
        <v>394</v>
      </c>
      <c r="G178" s="28">
        <v>48</v>
      </c>
      <c r="H178" s="28">
        <v>238</v>
      </c>
      <c r="I178" s="28">
        <v>5</v>
      </c>
      <c r="J178" s="28">
        <v>685</v>
      </c>
      <c r="K178" s="29">
        <v>0.57518248175182485</v>
      </c>
      <c r="L178" s="29">
        <v>7.0072992700729933E-2</v>
      </c>
      <c r="M178" s="29">
        <v>0.34744525547445254</v>
      </c>
      <c r="N178" s="29">
        <v>7.2992700729927005E-3</v>
      </c>
      <c r="O178" s="30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7526-7DBA-4562-AA5C-209139EA5119}">
  <dimension ref="A1:AD208"/>
  <sheetViews>
    <sheetView workbookViewId="0">
      <pane xSplit="4" ySplit="1" topLeftCell="N78" activePane="bottomRight" state="frozen"/>
      <selection pane="topRight" activeCell="E1" sqref="E1"/>
      <selection pane="bottomLeft" activeCell="A2" sqref="A2"/>
      <selection pane="bottomRight" activeCell="O51" sqref="O51:Q96"/>
    </sheetView>
  </sheetViews>
  <sheetFormatPr defaultRowHeight="13.2" x14ac:dyDescent="0.25"/>
  <cols>
    <col min="1" max="1" width="8.44140625" bestFit="1" customWidth="1"/>
    <col min="2" max="2" width="38.6640625" bestFit="1" customWidth="1"/>
    <col min="3" max="3" width="77.88671875" bestFit="1" customWidth="1"/>
    <col min="4" max="4" width="6.5546875" bestFit="1" customWidth="1"/>
    <col min="5" max="5" width="24.44140625" bestFit="1" customWidth="1"/>
    <col min="6" max="7" width="6" bestFit="1" customWidth="1"/>
    <col min="8" max="8" width="4.21875" bestFit="1" customWidth="1"/>
    <col min="9" max="9" width="9.21875" bestFit="1" customWidth="1"/>
    <col min="10" max="10" width="6" bestFit="1" customWidth="1"/>
    <col min="11" max="11" width="22" bestFit="1" customWidth="1"/>
    <col min="12" max="12" width="29.21875" bestFit="1" customWidth="1"/>
    <col min="13" max="13" width="10.44140625" bestFit="1" customWidth="1"/>
    <col min="14" max="14" width="19.109375" bestFit="1" customWidth="1"/>
    <col min="15" max="17" width="6" bestFit="1" customWidth="1"/>
    <col min="18" max="18" width="10.77734375" bestFit="1" customWidth="1"/>
    <col min="19" max="19" width="5.77734375" bestFit="1" customWidth="1"/>
    <col min="20" max="22" width="6" bestFit="1" customWidth="1"/>
    <col min="23" max="23" width="5" bestFit="1" customWidth="1"/>
    <col min="24" max="25" width="7" bestFit="1" customWidth="1"/>
    <col min="26" max="28" width="6" bestFit="1" customWidth="1"/>
    <col min="29" max="29" width="7.33203125" bestFit="1" customWidth="1"/>
  </cols>
  <sheetData>
    <row r="1" spans="1:30" x14ac:dyDescent="0.25">
      <c r="A1" s="26" t="s">
        <v>118</v>
      </c>
      <c r="B1" s="26" t="s">
        <v>131</v>
      </c>
      <c r="C1" s="26" t="s">
        <v>119</v>
      </c>
      <c r="D1" s="26" t="s">
        <v>132</v>
      </c>
      <c r="E1" s="26" t="s">
        <v>133</v>
      </c>
      <c r="F1" s="26" t="s">
        <v>113</v>
      </c>
      <c r="G1" s="26" t="s">
        <v>114</v>
      </c>
      <c r="H1" s="26" t="s">
        <v>115</v>
      </c>
      <c r="I1" s="26" t="s">
        <v>116</v>
      </c>
      <c r="J1" s="26" t="s">
        <v>117</v>
      </c>
      <c r="K1" s="26" t="s">
        <v>121</v>
      </c>
      <c r="L1" s="26" t="s">
        <v>120</v>
      </c>
      <c r="M1" s="26" t="s">
        <v>211</v>
      </c>
      <c r="N1" s="26" t="s">
        <v>130</v>
      </c>
      <c r="O1" s="26" t="s">
        <v>212</v>
      </c>
      <c r="P1" s="26" t="s">
        <v>213</v>
      </c>
      <c r="Q1" s="26" t="s">
        <v>214</v>
      </c>
      <c r="R1" s="26" t="s">
        <v>215</v>
      </c>
      <c r="S1" s="26" t="s">
        <v>216</v>
      </c>
      <c r="T1" s="28" t="s">
        <v>298</v>
      </c>
      <c r="U1" s="28" t="s">
        <v>299</v>
      </c>
      <c r="V1" s="28" t="s">
        <v>300</v>
      </c>
      <c r="W1" s="28" t="s">
        <v>301</v>
      </c>
      <c r="X1" s="28" t="s">
        <v>302</v>
      </c>
      <c r="Y1" s="28" t="s">
        <v>303</v>
      </c>
      <c r="Z1" s="28" t="s">
        <v>304</v>
      </c>
      <c r="AA1" s="28" t="s">
        <v>305</v>
      </c>
      <c r="AB1" s="28" t="s">
        <v>306</v>
      </c>
      <c r="AC1" s="28" t="s">
        <v>307</v>
      </c>
      <c r="AD1" s="27" t="s">
        <v>315</v>
      </c>
    </row>
    <row r="2" spans="1:30" s="42" customFormat="1" x14ac:dyDescent="0.25">
      <c r="A2" s="37">
        <v>1</v>
      </c>
      <c r="B2" s="37" t="s">
        <v>122</v>
      </c>
      <c r="C2" s="37"/>
      <c r="D2" s="37"/>
      <c r="E2" s="37">
        <v>3246</v>
      </c>
      <c r="F2" s="37">
        <v>1212</v>
      </c>
      <c r="G2" s="37">
        <v>939</v>
      </c>
      <c r="H2" s="37">
        <v>62</v>
      </c>
      <c r="I2" s="37">
        <v>30</v>
      </c>
      <c r="J2" s="37">
        <v>539</v>
      </c>
      <c r="K2" s="37">
        <v>2782</v>
      </c>
      <c r="L2" s="37">
        <v>309</v>
      </c>
      <c r="M2" s="37">
        <f>L2+K2</f>
        <v>3091</v>
      </c>
      <c r="N2" s="37">
        <v>155</v>
      </c>
      <c r="O2" s="38">
        <f>J2/M2</f>
        <v>0.17437722419928825</v>
      </c>
      <c r="P2" s="38">
        <f>F2/M2</f>
        <v>0.39210611452604333</v>
      </c>
      <c r="Q2" s="38">
        <f>G2/M2</f>
        <v>0.3037851827887415</v>
      </c>
      <c r="R2" s="38">
        <f>I2/M2</f>
        <v>9.7055968942089937E-3</v>
      </c>
      <c r="S2" s="38">
        <f>H2/M2</f>
        <v>2.0058233581365253E-2</v>
      </c>
      <c r="T2" s="39">
        <v>8</v>
      </c>
      <c r="U2" s="39">
        <v>3</v>
      </c>
      <c r="V2" s="39">
        <v>1</v>
      </c>
      <c r="W2" s="39">
        <v>1</v>
      </c>
      <c r="X2" s="39">
        <v>13</v>
      </c>
      <c r="Y2" s="40">
        <v>0.61538461538461542</v>
      </c>
      <c r="Z2" s="40">
        <v>0.23076923076923078</v>
      </c>
      <c r="AA2" s="40">
        <v>7.6923076923076927E-2</v>
      </c>
      <c r="AB2" s="40">
        <v>7.6923076923076927E-2</v>
      </c>
      <c r="AC2" s="41">
        <v>41.666666666666671</v>
      </c>
      <c r="AD2" s="38">
        <f>M2/X2</f>
        <v>237.76923076923077</v>
      </c>
    </row>
    <row r="3" spans="1:30" s="42" customFormat="1" x14ac:dyDescent="0.25">
      <c r="A3" s="37">
        <v>2</v>
      </c>
      <c r="B3" s="37" t="s">
        <v>123</v>
      </c>
      <c r="C3" s="37" t="s">
        <v>124</v>
      </c>
      <c r="D3" s="37">
        <v>1</v>
      </c>
      <c r="E3" s="37">
        <v>26</v>
      </c>
      <c r="F3" s="37">
        <v>7</v>
      </c>
      <c r="G3" s="37">
        <v>16</v>
      </c>
      <c r="H3" s="37">
        <v>0</v>
      </c>
      <c r="I3" s="37">
        <v>1</v>
      </c>
      <c r="J3" s="37">
        <v>2</v>
      </c>
      <c r="K3" s="37">
        <v>26</v>
      </c>
      <c r="L3" s="37">
        <v>0</v>
      </c>
      <c r="M3" s="37">
        <f t="shared" ref="M3:M66" si="0">L3+K3</f>
        <v>26</v>
      </c>
      <c r="N3" s="37">
        <v>0</v>
      </c>
      <c r="O3" s="38">
        <f t="shared" ref="O3:O66" si="1">J3/M3</f>
        <v>7.6923076923076927E-2</v>
      </c>
      <c r="P3" s="38">
        <f t="shared" ref="P3:P66" si="2">F3/M3</f>
        <v>0.26923076923076922</v>
      </c>
      <c r="Q3" s="38">
        <f t="shared" ref="Q3:Q66" si="3">G3/M3</f>
        <v>0.61538461538461542</v>
      </c>
      <c r="R3" s="38">
        <f t="shared" ref="R3:R66" si="4">I3/M3</f>
        <v>3.8461538461538464E-2</v>
      </c>
      <c r="S3" s="38">
        <f t="shared" ref="S3:S66" si="5">H3/M3</f>
        <v>0</v>
      </c>
      <c r="T3" s="39">
        <v>26</v>
      </c>
      <c r="U3" s="39">
        <v>0</v>
      </c>
      <c r="V3" s="39">
        <v>1</v>
      </c>
      <c r="W3" s="39">
        <v>2</v>
      </c>
      <c r="X3" s="39">
        <v>29</v>
      </c>
      <c r="Y3" s="40">
        <v>0.89655172413793105</v>
      </c>
      <c r="Z3" s="40">
        <v>0</v>
      </c>
      <c r="AA3" s="40">
        <v>3.4482758620689655E-2</v>
      </c>
      <c r="AB3" s="40">
        <v>6.8965517241379309E-2</v>
      </c>
      <c r="AC3" s="41">
        <v>35.781144781144782</v>
      </c>
      <c r="AD3" s="38">
        <f t="shared" ref="AD3:AD66" si="6">M3/X3</f>
        <v>0.89655172413793105</v>
      </c>
    </row>
    <row r="4" spans="1:30" s="42" customFormat="1" x14ac:dyDescent="0.25">
      <c r="A4" s="37">
        <v>3</v>
      </c>
      <c r="B4" s="37" t="s">
        <v>125</v>
      </c>
      <c r="C4" s="37" t="s">
        <v>126</v>
      </c>
      <c r="D4" s="37">
        <v>1</v>
      </c>
      <c r="E4" s="37">
        <v>20</v>
      </c>
      <c r="F4" s="37">
        <v>9</v>
      </c>
      <c r="G4" s="37">
        <v>11</v>
      </c>
      <c r="H4" s="37">
        <v>0</v>
      </c>
      <c r="I4" s="37">
        <v>0</v>
      </c>
      <c r="J4" s="37">
        <v>0</v>
      </c>
      <c r="K4" s="37">
        <v>20</v>
      </c>
      <c r="L4" s="37">
        <v>0</v>
      </c>
      <c r="M4" s="37">
        <f t="shared" si="0"/>
        <v>20</v>
      </c>
      <c r="N4" s="37">
        <v>0</v>
      </c>
      <c r="O4" s="38">
        <f t="shared" si="1"/>
        <v>0</v>
      </c>
      <c r="P4" s="38">
        <f t="shared" si="2"/>
        <v>0.45</v>
      </c>
      <c r="Q4" s="38">
        <f t="shared" si="3"/>
        <v>0.55000000000000004</v>
      </c>
      <c r="R4" s="38">
        <f t="shared" si="4"/>
        <v>0</v>
      </c>
      <c r="S4" s="38">
        <f t="shared" si="5"/>
        <v>0</v>
      </c>
      <c r="T4" s="39">
        <v>25</v>
      </c>
      <c r="U4" s="39">
        <v>0</v>
      </c>
      <c r="V4" s="39">
        <v>0</v>
      </c>
      <c r="W4" s="39">
        <v>0</v>
      </c>
      <c r="X4" s="39">
        <v>25</v>
      </c>
      <c r="Y4" s="40">
        <v>1</v>
      </c>
      <c r="Z4" s="40">
        <v>0</v>
      </c>
      <c r="AA4" s="40">
        <v>0</v>
      </c>
      <c r="AB4" s="40">
        <v>0</v>
      </c>
      <c r="AC4" s="41">
        <v>34.68</v>
      </c>
      <c r="AD4" s="38">
        <f t="shared" si="6"/>
        <v>0.8</v>
      </c>
    </row>
    <row r="5" spans="1:30" s="42" customFormat="1" x14ac:dyDescent="0.25">
      <c r="A5" s="37">
        <v>4</v>
      </c>
      <c r="B5" s="37" t="s">
        <v>127</v>
      </c>
      <c r="C5" s="37" t="s">
        <v>128</v>
      </c>
      <c r="D5" s="37">
        <v>1</v>
      </c>
      <c r="E5" s="37">
        <v>28</v>
      </c>
      <c r="F5" s="37">
        <v>12</v>
      </c>
      <c r="G5" s="37">
        <v>13</v>
      </c>
      <c r="H5" s="37">
        <v>1</v>
      </c>
      <c r="I5" s="37">
        <v>0</v>
      </c>
      <c r="J5" s="37">
        <v>2</v>
      </c>
      <c r="K5" s="37">
        <v>28</v>
      </c>
      <c r="L5" s="37">
        <v>0</v>
      </c>
      <c r="M5" s="37">
        <f t="shared" si="0"/>
        <v>28</v>
      </c>
      <c r="N5" s="37">
        <v>0</v>
      </c>
      <c r="O5" s="38">
        <f t="shared" si="1"/>
        <v>7.1428571428571425E-2</v>
      </c>
      <c r="P5" s="38">
        <f t="shared" si="2"/>
        <v>0.42857142857142855</v>
      </c>
      <c r="Q5" s="38">
        <f t="shared" si="3"/>
        <v>0.4642857142857143</v>
      </c>
      <c r="R5" s="38">
        <f t="shared" si="4"/>
        <v>0</v>
      </c>
      <c r="S5" s="38">
        <f t="shared" si="5"/>
        <v>3.5714285714285712E-2</v>
      </c>
      <c r="T5" s="39">
        <v>47</v>
      </c>
      <c r="U5" s="39">
        <v>1</v>
      </c>
      <c r="V5" s="39">
        <v>2</v>
      </c>
      <c r="W5" s="39">
        <v>3</v>
      </c>
      <c r="X5" s="39">
        <v>53</v>
      </c>
      <c r="Y5" s="40">
        <v>0.8867924528301887</v>
      </c>
      <c r="Z5" s="40">
        <v>1.8867924528301886E-2</v>
      </c>
      <c r="AA5" s="40">
        <v>3.7735849056603772E-2</v>
      </c>
      <c r="AB5" s="40">
        <v>5.6603773584905662E-2</v>
      </c>
      <c r="AC5" s="41">
        <v>34.95907738095238</v>
      </c>
      <c r="AD5" s="38">
        <f t="shared" si="6"/>
        <v>0.52830188679245282</v>
      </c>
    </row>
    <row r="6" spans="1:30" s="42" customFormat="1" x14ac:dyDescent="0.25">
      <c r="A6" s="37"/>
      <c r="B6" s="37"/>
      <c r="C6" s="37" t="s">
        <v>129</v>
      </c>
      <c r="D6" s="37">
        <v>1</v>
      </c>
      <c r="E6" s="37">
        <v>233</v>
      </c>
      <c r="F6" s="37">
        <v>131</v>
      </c>
      <c r="G6" s="37">
        <v>60</v>
      </c>
      <c r="H6" s="37">
        <v>6</v>
      </c>
      <c r="I6" s="37">
        <v>4</v>
      </c>
      <c r="J6" s="37">
        <v>31</v>
      </c>
      <c r="K6" s="37">
        <v>232</v>
      </c>
      <c r="L6" s="37">
        <v>1</v>
      </c>
      <c r="M6" s="37">
        <f t="shared" si="0"/>
        <v>233</v>
      </c>
      <c r="N6" s="37">
        <v>0</v>
      </c>
      <c r="O6" s="38">
        <f t="shared" si="1"/>
        <v>0.13304721030042918</v>
      </c>
      <c r="P6" s="38">
        <f t="shared" si="2"/>
        <v>0.5622317596566524</v>
      </c>
      <c r="Q6" s="38">
        <f t="shared" si="3"/>
        <v>0.25751072961373389</v>
      </c>
      <c r="R6" s="38">
        <f t="shared" si="4"/>
        <v>1.7167381974248927E-2</v>
      </c>
      <c r="S6" s="38">
        <f t="shared" si="5"/>
        <v>2.575107296137339E-2</v>
      </c>
      <c r="T6" s="39">
        <v>321</v>
      </c>
      <c r="U6" s="39">
        <v>13</v>
      </c>
      <c r="V6" s="39">
        <v>43</v>
      </c>
      <c r="W6" s="39">
        <v>75</v>
      </c>
      <c r="X6" s="39">
        <v>452</v>
      </c>
      <c r="Y6" s="40">
        <v>0.71017699115044253</v>
      </c>
      <c r="Z6" s="40">
        <v>2.8761061946902654E-2</v>
      </c>
      <c r="AA6" s="40">
        <v>9.5132743362831854E-2</v>
      </c>
      <c r="AB6" s="40">
        <v>0.16592920353982302</v>
      </c>
      <c r="AC6" s="41">
        <v>30.675784875784878</v>
      </c>
      <c r="AD6" s="38">
        <f t="shared" si="6"/>
        <v>0.51548672566371678</v>
      </c>
    </row>
    <row r="7" spans="1:30" s="42" customFormat="1" x14ac:dyDescent="0.25">
      <c r="A7" s="37"/>
      <c r="B7" s="37"/>
      <c r="C7" s="37"/>
      <c r="D7" s="37">
        <v>2</v>
      </c>
      <c r="E7" s="37">
        <v>266</v>
      </c>
      <c r="F7" s="37">
        <v>117</v>
      </c>
      <c r="G7" s="37">
        <v>90</v>
      </c>
      <c r="H7" s="37">
        <v>13</v>
      </c>
      <c r="I7" s="37">
        <v>5</v>
      </c>
      <c r="J7" s="37">
        <v>38</v>
      </c>
      <c r="K7" s="37">
        <v>263</v>
      </c>
      <c r="L7" s="37">
        <v>3</v>
      </c>
      <c r="M7" s="37">
        <f t="shared" si="0"/>
        <v>266</v>
      </c>
      <c r="N7" s="37">
        <v>0</v>
      </c>
      <c r="O7" s="38">
        <f t="shared" si="1"/>
        <v>0.14285714285714285</v>
      </c>
      <c r="P7" s="38">
        <f t="shared" si="2"/>
        <v>0.43984962406015038</v>
      </c>
      <c r="Q7" s="38">
        <f t="shared" si="3"/>
        <v>0.33834586466165412</v>
      </c>
      <c r="R7" s="38">
        <f t="shared" si="4"/>
        <v>1.8796992481203006E-2</v>
      </c>
      <c r="S7" s="38">
        <f t="shared" si="5"/>
        <v>4.8872180451127817E-2</v>
      </c>
      <c r="T7" s="39">
        <v>260</v>
      </c>
      <c r="U7" s="39">
        <v>20</v>
      </c>
      <c r="V7" s="39">
        <v>54</v>
      </c>
      <c r="W7" s="39">
        <v>118</v>
      </c>
      <c r="X7" s="39">
        <v>452</v>
      </c>
      <c r="Y7" s="40">
        <v>0.5752212389380531</v>
      </c>
      <c r="Z7" s="40">
        <v>4.4247787610619468E-2</v>
      </c>
      <c r="AA7" s="40">
        <v>0.11946902654867257</v>
      </c>
      <c r="AB7" s="40">
        <v>0.26106194690265488</v>
      </c>
      <c r="AC7" s="41">
        <v>32.842026636957513</v>
      </c>
      <c r="AD7" s="38">
        <f t="shared" si="6"/>
        <v>0.58849557522123896</v>
      </c>
    </row>
    <row r="8" spans="1:30" s="42" customFormat="1" x14ac:dyDescent="0.25">
      <c r="A8" s="37"/>
      <c r="B8" s="37"/>
      <c r="C8" s="37"/>
      <c r="D8" s="37">
        <v>3</v>
      </c>
      <c r="E8" s="37">
        <v>254</v>
      </c>
      <c r="F8" s="37">
        <v>165</v>
      </c>
      <c r="G8" s="37">
        <v>49</v>
      </c>
      <c r="H8" s="37">
        <v>6</v>
      </c>
      <c r="I8" s="37">
        <v>3</v>
      </c>
      <c r="J8" s="37">
        <v>25</v>
      </c>
      <c r="K8" s="37">
        <v>248</v>
      </c>
      <c r="L8" s="37">
        <v>6</v>
      </c>
      <c r="M8" s="37">
        <f t="shared" si="0"/>
        <v>254</v>
      </c>
      <c r="N8" s="37">
        <v>0</v>
      </c>
      <c r="O8" s="38">
        <f t="shared" si="1"/>
        <v>9.8425196850393706E-2</v>
      </c>
      <c r="P8" s="38">
        <f t="shared" si="2"/>
        <v>0.64960629921259838</v>
      </c>
      <c r="Q8" s="38">
        <f t="shared" si="3"/>
        <v>0.19291338582677164</v>
      </c>
      <c r="R8" s="38">
        <f t="shared" si="4"/>
        <v>1.1811023622047244E-2</v>
      </c>
      <c r="S8" s="38">
        <f t="shared" si="5"/>
        <v>2.3622047244094488E-2</v>
      </c>
      <c r="T8" s="39">
        <v>432</v>
      </c>
      <c r="U8" s="39">
        <v>2</v>
      </c>
      <c r="V8" s="39">
        <v>3</v>
      </c>
      <c r="W8" s="39">
        <v>15</v>
      </c>
      <c r="X8" s="39">
        <v>452</v>
      </c>
      <c r="Y8" s="40">
        <v>0.95575221238938057</v>
      </c>
      <c r="Z8" s="40">
        <v>4.4247787610619468E-3</v>
      </c>
      <c r="AA8" s="40">
        <v>6.6371681415929203E-3</v>
      </c>
      <c r="AB8" s="40">
        <v>3.3185840707964605E-2</v>
      </c>
      <c r="AC8" s="41">
        <v>28.72419737951115</v>
      </c>
      <c r="AD8" s="38">
        <f t="shared" si="6"/>
        <v>0.56194690265486724</v>
      </c>
    </row>
    <row r="9" spans="1:30" s="42" customFormat="1" x14ac:dyDescent="0.25">
      <c r="A9" s="37"/>
      <c r="B9" s="37"/>
      <c r="C9" s="37"/>
      <c r="D9" s="37">
        <v>4</v>
      </c>
      <c r="E9" s="37">
        <v>364</v>
      </c>
      <c r="F9" s="37">
        <v>256</v>
      </c>
      <c r="G9" s="37">
        <v>63</v>
      </c>
      <c r="H9" s="37">
        <v>11</v>
      </c>
      <c r="I9" s="37">
        <v>4</v>
      </c>
      <c r="J9" s="37">
        <v>26</v>
      </c>
      <c r="K9" s="37">
        <v>360</v>
      </c>
      <c r="L9" s="37">
        <v>4</v>
      </c>
      <c r="M9" s="37">
        <f t="shared" si="0"/>
        <v>364</v>
      </c>
      <c r="N9" s="37">
        <v>0</v>
      </c>
      <c r="O9" s="38">
        <f t="shared" si="1"/>
        <v>7.1428571428571425E-2</v>
      </c>
      <c r="P9" s="38">
        <f t="shared" si="2"/>
        <v>0.70329670329670335</v>
      </c>
      <c r="Q9" s="38">
        <f t="shared" si="3"/>
        <v>0.17307692307692307</v>
      </c>
      <c r="R9" s="38">
        <f t="shared" si="4"/>
        <v>1.098901098901099E-2</v>
      </c>
      <c r="S9" s="38">
        <f t="shared" si="5"/>
        <v>3.021978021978022E-2</v>
      </c>
      <c r="T9" s="39">
        <v>445</v>
      </c>
      <c r="U9" s="39">
        <v>0</v>
      </c>
      <c r="V9" s="39">
        <v>1</v>
      </c>
      <c r="W9" s="39">
        <v>6</v>
      </c>
      <c r="X9" s="39">
        <v>452</v>
      </c>
      <c r="Y9" s="40">
        <v>0.98451327433628322</v>
      </c>
      <c r="Z9" s="40">
        <v>0</v>
      </c>
      <c r="AA9" s="40">
        <v>2.2123893805309734E-3</v>
      </c>
      <c r="AB9" s="40">
        <v>1.3274336283185841E-2</v>
      </c>
      <c r="AC9" s="41">
        <v>34.602092352092356</v>
      </c>
      <c r="AD9" s="38">
        <f t="shared" si="6"/>
        <v>0.80530973451327437</v>
      </c>
    </row>
    <row r="10" spans="1:30" s="42" customFormat="1" x14ac:dyDescent="0.25">
      <c r="A10" s="37"/>
      <c r="B10" s="37"/>
      <c r="C10" s="37"/>
      <c r="D10" s="37">
        <v>5</v>
      </c>
      <c r="E10" s="37">
        <v>222</v>
      </c>
      <c r="F10" s="37">
        <v>142</v>
      </c>
      <c r="G10" s="37">
        <v>50</v>
      </c>
      <c r="H10" s="37">
        <v>9</v>
      </c>
      <c r="I10" s="37">
        <v>3</v>
      </c>
      <c r="J10" s="37">
        <v>15</v>
      </c>
      <c r="K10" s="37">
        <v>219</v>
      </c>
      <c r="L10" s="37">
        <v>3</v>
      </c>
      <c r="M10" s="37">
        <f t="shared" si="0"/>
        <v>222</v>
      </c>
      <c r="N10" s="37">
        <v>0</v>
      </c>
      <c r="O10" s="38">
        <f t="shared" si="1"/>
        <v>6.7567567567567571E-2</v>
      </c>
      <c r="P10" s="38">
        <f t="shared" si="2"/>
        <v>0.63963963963963966</v>
      </c>
      <c r="Q10" s="38">
        <f t="shared" si="3"/>
        <v>0.22522522522522523</v>
      </c>
      <c r="R10" s="38">
        <f t="shared" si="4"/>
        <v>1.3513513513513514E-2</v>
      </c>
      <c r="S10" s="38">
        <f t="shared" si="5"/>
        <v>4.0540540540540543E-2</v>
      </c>
      <c r="T10" s="39">
        <v>447</v>
      </c>
      <c r="U10" s="39">
        <v>0</v>
      </c>
      <c r="V10" s="39">
        <v>1</v>
      </c>
      <c r="W10" s="39">
        <v>4</v>
      </c>
      <c r="X10" s="39">
        <v>452</v>
      </c>
      <c r="Y10" s="40">
        <v>0.98893805309734517</v>
      </c>
      <c r="Z10" s="40">
        <v>0</v>
      </c>
      <c r="AA10" s="40">
        <v>2.2123893805309734E-3</v>
      </c>
      <c r="AB10" s="40">
        <v>8.8495575221238937E-3</v>
      </c>
      <c r="AC10" s="41">
        <v>29.785551828054814</v>
      </c>
      <c r="AD10" s="38">
        <f t="shared" si="6"/>
        <v>0.49115044247787609</v>
      </c>
    </row>
    <row r="11" spans="1:30" s="42" customFormat="1" x14ac:dyDescent="0.25">
      <c r="A11" s="37"/>
      <c r="B11" s="37"/>
      <c r="C11" s="37"/>
      <c r="D11" s="37">
        <v>6</v>
      </c>
      <c r="E11" s="37">
        <v>192</v>
      </c>
      <c r="F11" s="37">
        <v>126</v>
      </c>
      <c r="G11" s="37">
        <v>48</v>
      </c>
      <c r="H11" s="37">
        <v>2</v>
      </c>
      <c r="I11" s="37">
        <v>1</v>
      </c>
      <c r="J11" s="37">
        <v>11</v>
      </c>
      <c r="K11" s="37">
        <v>188</v>
      </c>
      <c r="L11" s="37">
        <v>4</v>
      </c>
      <c r="M11" s="37">
        <f t="shared" si="0"/>
        <v>192</v>
      </c>
      <c r="N11" s="37">
        <v>0</v>
      </c>
      <c r="O11" s="38">
        <f t="shared" si="1"/>
        <v>5.7291666666666664E-2</v>
      </c>
      <c r="P11" s="38">
        <f t="shared" si="2"/>
        <v>0.65625</v>
      </c>
      <c r="Q11" s="38">
        <f t="shared" si="3"/>
        <v>0.25</v>
      </c>
      <c r="R11" s="38">
        <f t="shared" si="4"/>
        <v>5.208333333333333E-3</v>
      </c>
      <c r="S11" s="38">
        <f t="shared" si="5"/>
        <v>1.0416666666666666E-2</v>
      </c>
      <c r="T11" s="39">
        <v>447</v>
      </c>
      <c r="U11" s="39">
        <v>0</v>
      </c>
      <c r="V11" s="39">
        <v>0</v>
      </c>
      <c r="W11" s="39">
        <v>5</v>
      </c>
      <c r="X11" s="39">
        <v>452</v>
      </c>
      <c r="Y11" s="40">
        <v>0.98893805309734517</v>
      </c>
      <c r="Z11" s="40">
        <v>0</v>
      </c>
      <c r="AA11" s="40">
        <v>0</v>
      </c>
      <c r="AB11" s="40">
        <v>1.1061946902654867E-2</v>
      </c>
      <c r="AC11" s="41">
        <v>26.58820873961719</v>
      </c>
      <c r="AD11" s="38">
        <f t="shared" si="6"/>
        <v>0.4247787610619469</v>
      </c>
    </row>
    <row r="12" spans="1:30" s="42" customFormat="1" x14ac:dyDescent="0.25">
      <c r="A12" s="37"/>
      <c r="B12" s="37"/>
      <c r="C12" s="37"/>
      <c r="D12" s="37">
        <v>7</v>
      </c>
      <c r="E12" s="37">
        <v>223</v>
      </c>
      <c r="F12" s="37">
        <v>135</v>
      </c>
      <c r="G12" s="37">
        <v>59</v>
      </c>
      <c r="H12" s="37">
        <v>4</v>
      </c>
      <c r="I12" s="37">
        <v>1</v>
      </c>
      <c r="J12" s="37">
        <v>19</v>
      </c>
      <c r="K12" s="37">
        <v>218</v>
      </c>
      <c r="L12" s="37">
        <v>5</v>
      </c>
      <c r="M12" s="37">
        <f t="shared" si="0"/>
        <v>223</v>
      </c>
      <c r="N12" s="37">
        <v>0</v>
      </c>
      <c r="O12" s="38">
        <f t="shared" si="1"/>
        <v>8.520179372197309E-2</v>
      </c>
      <c r="P12" s="38">
        <f t="shared" si="2"/>
        <v>0.60538116591928248</v>
      </c>
      <c r="Q12" s="38">
        <f t="shared" si="3"/>
        <v>0.26457399103139012</v>
      </c>
      <c r="R12" s="38">
        <f t="shared" si="4"/>
        <v>4.4843049327354259E-3</v>
      </c>
      <c r="S12" s="38">
        <f t="shared" si="5"/>
        <v>1.7937219730941704E-2</v>
      </c>
      <c r="T12" s="39">
        <v>433</v>
      </c>
      <c r="U12" s="39">
        <v>4</v>
      </c>
      <c r="V12" s="39">
        <v>5</v>
      </c>
      <c r="W12" s="39">
        <v>10</v>
      </c>
      <c r="X12" s="39">
        <v>452</v>
      </c>
      <c r="Y12" s="40">
        <v>0.95796460176991149</v>
      </c>
      <c r="Z12" s="40">
        <v>8.8495575221238937E-3</v>
      </c>
      <c r="AA12" s="40">
        <v>1.1061946902654867E-2</v>
      </c>
      <c r="AB12" s="40">
        <v>2.2123893805309734E-2</v>
      </c>
      <c r="AC12" s="41">
        <v>30.019329620903832</v>
      </c>
      <c r="AD12" s="38">
        <f t="shared" si="6"/>
        <v>0.49336283185840707</v>
      </c>
    </row>
    <row r="13" spans="1:30" s="42" customFormat="1" x14ac:dyDescent="0.25">
      <c r="A13" s="37"/>
      <c r="B13" s="37"/>
      <c r="C13" s="37"/>
      <c r="D13" s="37">
        <v>8</v>
      </c>
      <c r="E13" s="37">
        <v>252</v>
      </c>
      <c r="F13" s="37">
        <v>147</v>
      </c>
      <c r="G13" s="37">
        <v>63</v>
      </c>
      <c r="H13" s="37">
        <v>5</v>
      </c>
      <c r="I13" s="37">
        <v>3</v>
      </c>
      <c r="J13" s="37">
        <v>31</v>
      </c>
      <c r="K13" s="37">
        <v>249</v>
      </c>
      <c r="L13" s="37">
        <v>3</v>
      </c>
      <c r="M13" s="37">
        <f t="shared" si="0"/>
        <v>252</v>
      </c>
      <c r="N13" s="37">
        <v>0</v>
      </c>
      <c r="O13" s="38">
        <f t="shared" si="1"/>
        <v>0.12301587301587301</v>
      </c>
      <c r="P13" s="38">
        <f t="shared" si="2"/>
        <v>0.58333333333333337</v>
      </c>
      <c r="Q13" s="38">
        <f t="shared" si="3"/>
        <v>0.25</v>
      </c>
      <c r="R13" s="38">
        <f t="shared" si="4"/>
        <v>1.1904761904761904E-2</v>
      </c>
      <c r="S13" s="38">
        <f t="shared" si="5"/>
        <v>1.984126984126984E-2</v>
      </c>
      <c r="T13" s="39">
        <v>316</v>
      </c>
      <c r="U13" s="39">
        <v>14</v>
      </c>
      <c r="V13" s="39">
        <v>44</v>
      </c>
      <c r="W13" s="39">
        <v>78</v>
      </c>
      <c r="X13" s="39">
        <v>452</v>
      </c>
      <c r="Y13" s="40">
        <v>0.69911504424778759</v>
      </c>
      <c r="Z13" s="40">
        <v>3.0973451327433628E-2</v>
      </c>
      <c r="AA13" s="40">
        <v>9.7345132743362831E-2</v>
      </c>
      <c r="AB13" s="40">
        <v>0.17256637168141592</v>
      </c>
      <c r="AC13" s="41">
        <v>32.010060415024952</v>
      </c>
      <c r="AD13" s="38">
        <f t="shared" si="6"/>
        <v>0.55752212389380529</v>
      </c>
    </row>
    <row r="14" spans="1:30" s="42" customFormat="1" x14ac:dyDescent="0.25">
      <c r="A14" s="37"/>
      <c r="B14" s="37"/>
      <c r="C14" s="37"/>
      <c r="D14" s="37">
        <v>9</v>
      </c>
      <c r="E14" s="37">
        <v>416</v>
      </c>
      <c r="F14" s="37">
        <v>244</v>
      </c>
      <c r="G14" s="37">
        <v>115</v>
      </c>
      <c r="H14" s="37">
        <v>7</v>
      </c>
      <c r="I14" s="37">
        <v>7</v>
      </c>
      <c r="J14" s="37">
        <v>39</v>
      </c>
      <c r="K14" s="37">
        <v>412</v>
      </c>
      <c r="L14" s="37">
        <v>4</v>
      </c>
      <c r="M14" s="37">
        <f t="shared" si="0"/>
        <v>416</v>
      </c>
      <c r="N14" s="37">
        <v>0</v>
      </c>
      <c r="O14" s="38">
        <f t="shared" si="1"/>
        <v>9.375E-2</v>
      </c>
      <c r="P14" s="38">
        <f t="shared" si="2"/>
        <v>0.58653846153846156</v>
      </c>
      <c r="Q14" s="38">
        <f t="shared" si="3"/>
        <v>0.27644230769230771</v>
      </c>
      <c r="R14" s="38">
        <f t="shared" si="4"/>
        <v>1.6826923076923076E-2</v>
      </c>
      <c r="S14" s="38">
        <f t="shared" si="5"/>
        <v>1.6826923076923076E-2</v>
      </c>
      <c r="T14" s="39">
        <v>404</v>
      </c>
      <c r="U14" s="39">
        <v>1</v>
      </c>
      <c r="V14" s="39">
        <v>10</v>
      </c>
      <c r="W14" s="39">
        <v>40</v>
      </c>
      <c r="X14" s="39">
        <v>455</v>
      </c>
      <c r="Y14" s="40">
        <v>0.88791208791208787</v>
      </c>
      <c r="Z14" s="40">
        <v>2.1978021978021978E-3</v>
      </c>
      <c r="AA14" s="40">
        <v>2.197802197802198E-2</v>
      </c>
      <c r="AB14" s="40">
        <v>8.7912087912087919E-2</v>
      </c>
      <c r="AC14" s="41">
        <v>35.359168761785043</v>
      </c>
      <c r="AD14" s="38">
        <f t="shared" si="6"/>
        <v>0.91428571428571426</v>
      </c>
    </row>
    <row r="15" spans="1:30" s="42" customFormat="1" x14ac:dyDescent="0.25">
      <c r="A15" s="37"/>
      <c r="B15" s="37"/>
      <c r="C15" s="37"/>
      <c r="D15" s="37">
        <v>10</v>
      </c>
      <c r="E15" s="37">
        <v>419</v>
      </c>
      <c r="F15" s="37">
        <v>264</v>
      </c>
      <c r="G15" s="37">
        <v>109</v>
      </c>
      <c r="H15" s="37">
        <v>3</v>
      </c>
      <c r="I15" s="37">
        <v>6</v>
      </c>
      <c r="J15" s="37">
        <v>32</v>
      </c>
      <c r="K15" s="37">
        <v>414</v>
      </c>
      <c r="L15" s="37">
        <v>5</v>
      </c>
      <c r="M15" s="37">
        <f t="shared" si="0"/>
        <v>419</v>
      </c>
      <c r="N15" s="37">
        <v>0</v>
      </c>
      <c r="O15" s="38">
        <f t="shared" si="1"/>
        <v>7.6372315035799526E-2</v>
      </c>
      <c r="P15" s="38">
        <f t="shared" si="2"/>
        <v>0.63007159904534604</v>
      </c>
      <c r="Q15" s="38">
        <f t="shared" si="3"/>
        <v>0.26014319809069214</v>
      </c>
      <c r="R15" s="38">
        <f t="shared" si="4"/>
        <v>1.4319809069212411E-2</v>
      </c>
      <c r="S15" s="38">
        <f t="shared" si="5"/>
        <v>7.1599045346062056E-3</v>
      </c>
      <c r="T15" s="39">
        <v>422</v>
      </c>
      <c r="U15" s="39">
        <v>0</v>
      </c>
      <c r="V15" s="39">
        <v>6</v>
      </c>
      <c r="W15" s="39">
        <v>27</v>
      </c>
      <c r="X15" s="39">
        <v>455</v>
      </c>
      <c r="Y15" s="40">
        <v>0.92747252747252751</v>
      </c>
      <c r="Z15" s="40">
        <v>0</v>
      </c>
      <c r="AA15" s="40">
        <v>1.3186813186813187E-2</v>
      </c>
      <c r="AB15" s="40">
        <v>5.9340659340659338E-2</v>
      </c>
      <c r="AC15" s="41">
        <v>33.467032967032964</v>
      </c>
      <c r="AD15" s="38">
        <f t="shared" si="6"/>
        <v>0.92087912087912083</v>
      </c>
    </row>
    <row r="16" spans="1:30" s="42" customFormat="1" x14ac:dyDescent="0.25">
      <c r="A16" s="37">
        <v>5</v>
      </c>
      <c r="B16" s="37" t="s">
        <v>134</v>
      </c>
      <c r="C16" s="37" t="s">
        <v>135</v>
      </c>
      <c r="D16" s="37">
        <v>1</v>
      </c>
      <c r="E16" s="37">
        <v>40</v>
      </c>
      <c r="F16" s="37">
        <v>14</v>
      </c>
      <c r="G16" s="37">
        <v>22</v>
      </c>
      <c r="H16" s="37">
        <v>0</v>
      </c>
      <c r="I16" s="37">
        <v>0</v>
      </c>
      <c r="J16" s="37">
        <v>4</v>
      </c>
      <c r="K16" s="37">
        <v>40</v>
      </c>
      <c r="L16" s="37">
        <v>0</v>
      </c>
      <c r="M16" s="37">
        <f t="shared" si="0"/>
        <v>40</v>
      </c>
      <c r="N16" s="37">
        <v>0</v>
      </c>
      <c r="O16" s="38">
        <f t="shared" si="1"/>
        <v>0.1</v>
      </c>
      <c r="P16" s="38">
        <f t="shared" si="2"/>
        <v>0.35</v>
      </c>
      <c r="Q16" s="38">
        <f t="shared" si="3"/>
        <v>0.55000000000000004</v>
      </c>
      <c r="R16" s="38">
        <f t="shared" si="4"/>
        <v>0</v>
      </c>
      <c r="S16" s="38">
        <f t="shared" si="5"/>
        <v>0</v>
      </c>
      <c r="T16" s="39">
        <v>41</v>
      </c>
      <c r="U16" s="39">
        <v>1</v>
      </c>
      <c r="V16" s="39">
        <v>1</v>
      </c>
      <c r="W16" s="39">
        <v>0</v>
      </c>
      <c r="X16" s="39">
        <v>43</v>
      </c>
      <c r="Y16" s="40">
        <v>0.95348837209302328</v>
      </c>
      <c r="Z16" s="40">
        <v>2.3255813953488372E-2</v>
      </c>
      <c r="AA16" s="40">
        <v>2.3255813953488372E-2</v>
      </c>
      <c r="AB16" s="40">
        <v>0</v>
      </c>
      <c r="AC16" s="41">
        <v>38.470833333333331</v>
      </c>
      <c r="AD16" s="38">
        <f t="shared" si="6"/>
        <v>0.93023255813953487</v>
      </c>
    </row>
    <row r="17" spans="1:30" s="42" customFormat="1" x14ac:dyDescent="0.25">
      <c r="A17" s="37"/>
      <c r="B17" s="37"/>
      <c r="C17" s="37" t="s">
        <v>136</v>
      </c>
      <c r="D17" s="37">
        <v>1</v>
      </c>
      <c r="E17" s="37">
        <v>336</v>
      </c>
      <c r="F17" s="37">
        <v>193</v>
      </c>
      <c r="G17" s="37">
        <v>89</v>
      </c>
      <c r="H17" s="37">
        <v>13</v>
      </c>
      <c r="I17" s="37">
        <v>2</v>
      </c>
      <c r="J17" s="37">
        <v>32</v>
      </c>
      <c r="K17" s="37">
        <v>329</v>
      </c>
      <c r="L17" s="37">
        <v>7</v>
      </c>
      <c r="M17" s="37">
        <f t="shared" si="0"/>
        <v>336</v>
      </c>
      <c r="N17" s="37">
        <v>0</v>
      </c>
      <c r="O17" s="38">
        <f t="shared" si="1"/>
        <v>9.5238095238095233E-2</v>
      </c>
      <c r="P17" s="38">
        <f t="shared" si="2"/>
        <v>0.57440476190476186</v>
      </c>
      <c r="Q17" s="38">
        <f t="shared" si="3"/>
        <v>0.26488095238095238</v>
      </c>
      <c r="R17" s="38">
        <f t="shared" si="4"/>
        <v>5.9523809523809521E-3</v>
      </c>
      <c r="S17" s="38">
        <f t="shared" si="5"/>
        <v>3.8690476190476192E-2</v>
      </c>
      <c r="T17" s="39">
        <v>375</v>
      </c>
      <c r="U17" s="39">
        <v>5</v>
      </c>
      <c r="V17" s="39">
        <v>26</v>
      </c>
      <c r="W17" s="39">
        <v>59</v>
      </c>
      <c r="X17" s="39">
        <v>465</v>
      </c>
      <c r="Y17" s="40">
        <v>0.80645161290322576</v>
      </c>
      <c r="Z17" s="40">
        <v>1.0752688172043012E-2</v>
      </c>
      <c r="AA17" s="40">
        <v>5.5913978494623658E-2</v>
      </c>
      <c r="AB17" s="40">
        <v>0.12688172043010754</v>
      </c>
      <c r="AC17" s="41">
        <v>33.032258064516128</v>
      </c>
      <c r="AD17" s="38">
        <f t="shared" si="6"/>
        <v>0.72258064516129028</v>
      </c>
    </row>
    <row r="18" spans="1:30" s="42" customFormat="1" x14ac:dyDescent="0.25">
      <c r="A18" s="37"/>
      <c r="B18" s="37"/>
      <c r="C18" s="37"/>
      <c r="D18" s="37">
        <v>2</v>
      </c>
      <c r="E18" s="37">
        <v>360</v>
      </c>
      <c r="F18" s="37">
        <v>235</v>
      </c>
      <c r="G18" s="37">
        <v>79</v>
      </c>
      <c r="H18" s="37">
        <v>10</v>
      </c>
      <c r="I18" s="37">
        <v>10</v>
      </c>
      <c r="J18" s="37">
        <v>22</v>
      </c>
      <c r="K18" s="37">
        <v>356</v>
      </c>
      <c r="L18" s="37">
        <v>4</v>
      </c>
      <c r="M18" s="37">
        <f t="shared" si="0"/>
        <v>360</v>
      </c>
      <c r="N18" s="37">
        <v>0</v>
      </c>
      <c r="O18" s="38">
        <f t="shared" si="1"/>
        <v>6.1111111111111109E-2</v>
      </c>
      <c r="P18" s="38">
        <f t="shared" si="2"/>
        <v>0.65277777777777779</v>
      </c>
      <c r="Q18" s="38">
        <f t="shared" si="3"/>
        <v>0.21944444444444444</v>
      </c>
      <c r="R18" s="38">
        <f t="shared" si="4"/>
        <v>2.7777777777777776E-2</v>
      </c>
      <c r="S18" s="38">
        <f t="shared" si="5"/>
        <v>2.7777777777777776E-2</v>
      </c>
      <c r="T18" s="39">
        <v>459</v>
      </c>
      <c r="U18" s="39">
        <v>0</v>
      </c>
      <c r="V18" s="39">
        <v>1</v>
      </c>
      <c r="W18" s="39">
        <v>5</v>
      </c>
      <c r="X18" s="39">
        <v>465</v>
      </c>
      <c r="Y18" s="40">
        <v>0.98709677419354835</v>
      </c>
      <c r="Z18" s="40">
        <v>0</v>
      </c>
      <c r="AA18" s="40">
        <v>2.1505376344086021E-3</v>
      </c>
      <c r="AB18" s="40">
        <v>1.0752688172043012E-2</v>
      </c>
      <c r="AC18" s="41">
        <v>34.21290322580645</v>
      </c>
      <c r="AD18" s="38">
        <f t="shared" si="6"/>
        <v>0.77419354838709675</v>
      </c>
    </row>
    <row r="19" spans="1:30" s="42" customFormat="1" x14ac:dyDescent="0.25">
      <c r="A19" s="37"/>
      <c r="B19" s="37"/>
      <c r="C19" s="37"/>
      <c r="D19" s="37">
        <v>3</v>
      </c>
      <c r="E19" s="37">
        <v>308</v>
      </c>
      <c r="F19" s="37">
        <v>194</v>
      </c>
      <c r="G19" s="37">
        <v>62</v>
      </c>
      <c r="H19" s="37">
        <v>14</v>
      </c>
      <c r="I19" s="37">
        <v>11</v>
      </c>
      <c r="J19" s="37">
        <v>23</v>
      </c>
      <c r="K19" s="37">
        <v>304</v>
      </c>
      <c r="L19" s="37">
        <v>4</v>
      </c>
      <c r="M19" s="37">
        <f t="shared" si="0"/>
        <v>308</v>
      </c>
      <c r="N19" s="37">
        <v>0</v>
      </c>
      <c r="O19" s="38">
        <f t="shared" si="1"/>
        <v>7.4675324675324672E-2</v>
      </c>
      <c r="P19" s="38">
        <f t="shared" si="2"/>
        <v>0.62987012987012991</v>
      </c>
      <c r="Q19" s="38">
        <f t="shared" si="3"/>
        <v>0.20129870129870131</v>
      </c>
      <c r="R19" s="38">
        <f t="shared" si="4"/>
        <v>3.5714285714285712E-2</v>
      </c>
      <c r="S19" s="38">
        <f t="shared" si="5"/>
        <v>4.5454545454545456E-2</v>
      </c>
      <c r="T19" s="39">
        <v>427</v>
      </c>
      <c r="U19" s="39">
        <v>3</v>
      </c>
      <c r="V19" s="39">
        <v>12</v>
      </c>
      <c r="W19" s="39">
        <v>23</v>
      </c>
      <c r="X19" s="39">
        <v>465</v>
      </c>
      <c r="Y19" s="40">
        <v>0.91827956989247317</v>
      </c>
      <c r="Z19" s="40">
        <v>6.4516129032258064E-3</v>
      </c>
      <c r="AA19" s="40">
        <v>2.5806451612903226E-2</v>
      </c>
      <c r="AB19" s="40">
        <v>4.9462365591397849E-2</v>
      </c>
      <c r="AC19" s="41">
        <v>31.765591397849462</v>
      </c>
      <c r="AD19" s="38">
        <f t="shared" si="6"/>
        <v>0.66236559139784945</v>
      </c>
    </row>
    <row r="20" spans="1:30" s="42" customFormat="1" x14ac:dyDescent="0.25">
      <c r="A20" s="37"/>
      <c r="B20" s="37"/>
      <c r="C20" s="37"/>
      <c r="D20" s="37">
        <v>4</v>
      </c>
      <c r="E20" s="37">
        <v>384</v>
      </c>
      <c r="F20" s="37">
        <v>217</v>
      </c>
      <c r="G20" s="37">
        <v>97</v>
      </c>
      <c r="H20" s="37">
        <v>11</v>
      </c>
      <c r="I20" s="37">
        <v>5</v>
      </c>
      <c r="J20" s="37">
        <v>48</v>
      </c>
      <c r="K20" s="37">
        <v>378</v>
      </c>
      <c r="L20" s="37">
        <v>6</v>
      </c>
      <c r="M20" s="37">
        <f t="shared" si="0"/>
        <v>384</v>
      </c>
      <c r="N20" s="37">
        <v>0</v>
      </c>
      <c r="O20" s="38">
        <f t="shared" si="1"/>
        <v>0.125</v>
      </c>
      <c r="P20" s="38">
        <f t="shared" si="2"/>
        <v>0.56510416666666663</v>
      </c>
      <c r="Q20" s="38">
        <f t="shared" si="3"/>
        <v>0.25260416666666669</v>
      </c>
      <c r="R20" s="38">
        <f t="shared" si="4"/>
        <v>1.3020833333333334E-2</v>
      </c>
      <c r="S20" s="38">
        <f t="shared" si="5"/>
        <v>2.8645833333333332E-2</v>
      </c>
      <c r="T20" s="39">
        <v>396</v>
      </c>
      <c r="U20" s="39">
        <v>5</v>
      </c>
      <c r="V20" s="39">
        <v>17</v>
      </c>
      <c r="W20" s="39">
        <v>47</v>
      </c>
      <c r="X20" s="39">
        <v>465</v>
      </c>
      <c r="Y20" s="40">
        <v>0.85161290322580641</v>
      </c>
      <c r="Z20" s="40">
        <v>1.0752688172043012E-2</v>
      </c>
      <c r="AA20" s="40">
        <v>3.6559139784946237E-2</v>
      </c>
      <c r="AB20" s="40">
        <v>0.1010752688172043</v>
      </c>
      <c r="AC20" s="41">
        <v>35.253763440860212</v>
      </c>
      <c r="AD20" s="38">
        <f t="shared" si="6"/>
        <v>0.82580645161290323</v>
      </c>
    </row>
    <row r="21" spans="1:30" s="42" customFormat="1" x14ac:dyDescent="0.25">
      <c r="A21" s="37"/>
      <c r="B21" s="37"/>
      <c r="C21" s="37"/>
      <c r="D21" s="37">
        <v>5</v>
      </c>
      <c r="E21" s="37">
        <v>396</v>
      </c>
      <c r="F21" s="37">
        <v>260</v>
      </c>
      <c r="G21" s="37">
        <v>87</v>
      </c>
      <c r="H21" s="37">
        <v>4</v>
      </c>
      <c r="I21" s="37">
        <v>13</v>
      </c>
      <c r="J21" s="37">
        <v>28</v>
      </c>
      <c r="K21" s="37">
        <v>392</v>
      </c>
      <c r="L21" s="37">
        <v>4</v>
      </c>
      <c r="M21" s="37">
        <f t="shared" si="0"/>
        <v>396</v>
      </c>
      <c r="N21" s="37">
        <v>0</v>
      </c>
      <c r="O21" s="38">
        <f t="shared" si="1"/>
        <v>7.0707070707070704E-2</v>
      </c>
      <c r="P21" s="38">
        <f t="shared" si="2"/>
        <v>0.65656565656565657</v>
      </c>
      <c r="Q21" s="38">
        <f t="shared" si="3"/>
        <v>0.2196969696969697</v>
      </c>
      <c r="R21" s="38">
        <f t="shared" si="4"/>
        <v>3.2828282828282832E-2</v>
      </c>
      <c r="S21" s="38">
        <f t="shared" si="5"/>
        <v>1.0101010101010102E-2</v>
      </c>
      <c r="T21" s="39">
        <v>441</v>
      </c>
      <c r="U21" s="39">
        <v>3</v>
      </c>
      <c r="V21" s="39">
        <v>5</v>
      </c>
      <c r="W21" s="39">
        <v>24</v>
      </c>
      <c r="X21" s="39">
        <v>473</v>
      </c>
      <c r="Y21" s="40">
        <v>0.93234672304439747</v>
      </c>
      <c r="Z21" s="40">
        <v>6.3424947145877377E-3</v>
      </c>
      <c r="AA21" s="40">
        <v>1.0570824524312896E-2</v>
      </c>
      <c r="AB21" s="40">
        <v>5.0739957716701901E-2</v>
      </c>
      <c r="AC21" s="41">
        <v>34.103594080338269</v>
      </c>
      <c r="AD21" s="38">
        <f t="shared" si="6"/>
        <v>0.83720930232558144</v>
      </c>
    </row>
    <row r="22" spans="1:30" s="42" customFormat="1" x14ac:dyDescent="0.25">
      <c r="A22" s="37">
        <v>6</v>
      </c>
      <c r="B22" s="37" t="s">
        <v>137</v>
      </c>
      <c r="C22" s="37" t="s">
        <v>138</v>
      </c>
      <c r="D22" s="37">
        <v>1</v>
      </c>
      <c r="E22" s="37">
        <v>330</v>
      </c>
      <c r="F22" s="37">
        <v>134</v>
      </c>
      <c r="G22" s="37">
        <v>175</v>
      </c>
      <c r="H22" s="37">
        <v>0</v>
      </c>
      <c r="I22" s="37">
        <v>1</v>
      </c>
      <c r="J22" s="37">
        <v>18</v>
      </c>
      <c r="K22" s="37">
        <v>328</v>
      </c>
      <c r="L22" s="37">
        <v>2</v>
      </c>
      <c r="M22" s="37">
        <f t="shared" si="0"/>
        <v>330</v>
      </c>
      <c r="N22" s="37">
        <v>0</v>
      </c>
      <c r="O22" s="38">
        <f t="shared" si="1"/>
        <v>5.4545454545454543E-2</v>
      </c>
      <c r="P22" s="38">
        <f t="shared" si="2"/>
        <v>0.40606060606060607</v>
      </c>
      <c r="Q22" s="38">
        <f t="shared" si="3"/>
        <v>0.53030303030303028</v>
      </c>
      <c r="R22" s="38">
        <f t="shared" si="4"/>
        <v>3.0303030303030303E-3</v>
      </c>
      <c r="S22" s="38">
        <f t="shared" si="5"/>
        <v>0</v>
      </c>
      <c r="T22" s="39">
        <v>341</v>
      </c>
      <c r="U22" s="39">
        <v>2</v>
      </c>
      <c r="V22" s="39">
        <v>17</v>
      </c>
      <c r="W22" s="39">
        <v>10</v>
      </c>
      <c r="X22" s="39">
        <v>370</v>
      </c>
      <c r="Y22" s="40">
        <v>0.92162162162162165</v>
      </c>
      <c r="Z22" s="40">
        <v>5.4054054054054057E-3</v>
      </c>
      <c r="AA22" s="40">
        <v>4.5945945945945948E-2</v>
      </c>
      <c r="AB22" s="40">
        <v>2.7027027027027029E-2</v>
      </c>
      <c r="AC22" s="41">
        <v>36.662162162162161</v>
      </c>
      <c r="AD22" s="38">
        <f t="shared" si="6"/>
        <v>0.89189189189189189</v>
      </c>
    </row>
    <row r="23" spans="1:30" x14ac:dyDescent="0.25">
      <c r="A23" s="26">
        <v>7</v>
      </c>
      <c r="B23" s="26" t="s">
        <v>139</v>
      </c>
      <c r="C23" s="26" t="s">
        <v>140</v>
      </c>
      <c r="D23" s="26">
        <v>1</v>
      </c>
      <c r="E23" s="26">
        <v>235</v>
      </c>
      <c r="F23" s="26">
        <v>7</v>
      </c>
      <c r="G23" s="26">
        <v>57</v>
      </c>
      <c r="H23" s="26">
        <v>5</v>
      </c>
      <c r="I23" s="26">
        <v>6</v>
      </c>
      <c r="J23" s="26">
        <v>153</v>
      </c>
      <c r="K23" s="26">
        <v>228</v>
      </c>
      <c r="L23" s="26">
        <v>7</v>
      </c>
      <c r="M23" s="26">
        <f t="shared" si="0"/>
        <v>235</v>
      </c>
      <c r="N23" s="26">
        <v>0</v>
      </c>
      <c r="O23" s="27">
        <f t="shared" si="1"/>
        <v>0.65106382978723409</v>
      </c>
      <c r="P23" s="27">
        <f t="shared" si="2"/>
        <v>2.9787234042553193E-2</v>
      </c>
      <c r="Q23" s="27">
        <f t="shared" si="3"/>
        <v>0.24255319148936169</v>
      </c>
      <c r="R23" s="27">
        <f t="shared" si="4"/>
        <v>2.553191489361702E-2</v>
      </c>
      <c r="S23" s="27">
        <f t="shared" si="5"/>
        <v>2.1276595744680851E-2</v>
      </c>
      <c r="T23" s="28">
        <v>22</v>
      </c>
      <c r="U23" s="28">
        <v>214</v>
      </c>
      <c r="V23" s="28">
        <v>163</v>
      </c>
      <c r="W23" s="28">
        <v>1</v>
      </c>
      <c r="X23" s="28">
        <v>400</v>
      </c>
      <c r="Y23" s="29">
        <v>5.5E-2</v>
      </c>
      <c r="Z23" s="29">
        <v>0.53500000000000003</v>
      </c>
      <c r="AA23" s="29">
        <v>0.40749999999999997</v>
      </c>
      <c r="AB23" s="29">
        <v>2.5000000000000001E-3</v>
      </c>
      <c r="AC23" s="30">
        <v>75.92</v>
      </c>
      <c r="AD23" s="27">
        <f t="shared" si="6"/>
        <v>0.58750000000000002</v>
      </c>
    </row>
    <row r="24" spans="1:30" x14ac:dyDescent="0.25">
      <c r="A24" s="26"/>
      <c r="B24" s="26"/>
      <c r="C24" s="26"/>
      <c r="D24" s="26">
        <v>2</v>
      </c>
      <c r="E24" s="26">
        <v>284</v>
      </c>
      <c r="F24" s="26">
        <v>3</v>
      </c>
      <c r="G24" s="26">
        <v>71</v>
      </c>
      <c r="H24" s="26">
        <v>3</v>
      </c>
      <c r="I24" s="26">
        <v>1</v>
      </c>
      <c r="J24" s="26">
        <v>197</v>
      </c>
      <c r="K24" s="26">
        <v>275</v>
      </c>
      <c r="L24" s="26">
        <v>9</v>
      </c>
      <c r="M24" s="26">
        <f t="shared" si="0"/>
        <v>284</v>
      </c>
      <c r="N24" s="26">
        <v>0</v>
      </c>
      <c r="O24" s="27">
        <f t="shared" si="1"/>
        <v>0.69366197183098588</v>
      </c>
      <c r="P24" s="27">
        <f t="shared" si="2"/>
        <v>1.0563380281690141E-2</v>
      </c>
      <c r="Q24" s="27">
        <f t="shared" si="3"/>
        <v>0.25</v>
      </c>
      <c r="R24" s="27">
        <f t="shared" si="4"/>
        <v>3.5211267605633804E-3</v>
      </c>
      <c r="S24" s="27">
        <f t="shared" si="5"/>
        <v>1.0563380281690141E-2</v>
      </c>
      <c r="T24" s="28">
        <v>25</v>
      </c>
      <c r="U24" s="28">
        <v>228</v>
      </c>
      <c r="V24" s="28">
        <v>147</v>
      </c>
      <c r="W24" s="28">
        <v>0</v>
      </c>
      <c r="X24" s="28">
        <v>400</v>
      </c>
      <c r="Y24" s="29">
        <v>6.25E-2</v>
      </c>
      <c r="Z24" s="29">
        <v>0.56999999999999995</v>
      </c>
      <c r="AA24" s="29">
        <v>0.36749999999999999</v>
      </c>
      <c r="AB24" s="29">
        <v>0</v>
      </c>
      <c r="AC24" s="30">
        <v>68.127499999999998</v>
      </c>
      <c r="AD24" s="27">
        <f t="shared" si="6"/>
        <v>0.71</v>
      </c>
    </row>
    <row r="25" spans="1:30" x14ac:dyDescent="0.25">
      <c r="A25" s="26"/>
      <c r="B25" s="26"/>
      <c r="C25" s="26"/>
      <c r="D25" s="26">
        <v>3</v>
      </c>
      <c r="E25" s="26">
        <v>342</v>
      </c>
      <c r="F25" s="26">
        <v>8</v>
      </c>
      <c r="G25" s="26">
        <v>75</v>
      </c>
      <c r="H25" s="26">
        <v>0</v>
      </c>
      <c r="I25" s="26">
        <v>2</v>
      </c>
      <c r="J25" s="26">
        <v>243</v>
      </c>
      <c r="K25" s="26">
        <v>328</v>
      </c>
      <c r="L25" s="26">
        <v>14</v>
      </c>
      <c r="M25" s="26">
        <f t="shared" si="0"/>
        <v>342</v>
      </c>
      <c r="N25" s="26">
        <v>0</v>
      </c>
      <c r="O25" s="27">
        <f t="shared" si="1"/>
        <v>0.71052631578947367</v>
      </c>
      <c r="P25" s="27">
        <f t="shared" si="2"/>
        <v>2.3391812865497075E-2</v>
      </c>
      <c r="Q25" s="27">
        <f t="shared" si="3"/>
        <v>0.21929824561403508</v>
      </c>
      <c r="R25" s="27">
        <f t="shared" si="4"/>
        <v>5.8479532163742687E-3</v>
      </c>
      <c r="S25" s="27">
        <f t="shared" si="5"/>
        <v>0</v>
      </c>
      <c r="T25" s="28">
        <v>21</v>
      </c>
      <c r="U25" s="28">
        <v>228</v>
      </c>
      <c r="V25" s="28">
        <v>176</v>
      </c>
      <c r="W25" s="28">
        <v>0</v>
      </c>
      <c r="X25" s="28">
        <v>425</v>
      </c>
      <c r="Y25" s="29">
        <v>4.9411764705882349E-2</v>
      </c>
      <c r="Z25" s="29">
        <v>0.53647058823529414</v>
      </c>
      <c r="AA25" s="29">
        <v>0.41411764705882353</v>
      </c>
      <c r="AB25" s="29">
        <v>0</v>
      </c>
      <c r="AC25" s="30">
        <v>60.174117647058821</v>
      </c>
      <c r="AD25" s="27">
        <f t="shared" si="6"/>
        <v>0.80470588235294116</v>
      </c>
    </row>
    <row r="26" spans="1:30" x14ac:dyDescent="0.25">
      <c r="A26" s="26"/>
      <c r="B26" s="26"/>
      <c r="C26" s="26"/>
      <c r="D26" s="26">
        <v>4</v>
      </c>
      <c r="E26" s="26">
        <v>396</v>
      </c>
      <c r="F26" s="26">
        <v>20</v>
      </c>
      <c r="G26" s="26">
        <v>86</v>
      </c>
      <c r="H26" s="26">
        <v>0</v>
      </c>
      <c r="I26" s="26">
        <v>2</v>
      </c>
      <c r="J26" s="26">
        <v>280</v>
      </c>
      <c r="K26" s="26">
        <v>388</v>
      </c>
      <c r="L26" s="26">
        <v>8</v>
      </c>
      <c r="M26" s="26">
        <f t="shared" si="0"/>
        <v>396</v>
      </c>
      <c r="N26" s="26">
        <v>0</v>
      </c>
      <c r="O26" s="27">
        <f t="shared" si="1"/>
        <v>0.70707070707070707</v>
      </c>
      <c r="P26" s="27">
        <f t="shared" si="2"/>
        <v>5.0505050505050504E-2</v>
      </c>
      <c r="Q26" s="27">
        <f t="shared" si="3"/>
        <v>0.21717171717171718</v>
      </c>
      <c r="R26" s="27">
        <f t="shared" si="4"/>
        <v>5.0505050505050509E-3</v>
      </c>
      <c r="S26" s="27">
        <f t="shared" si="5"/>
        <v>0</v>
      </c>
      <c r="T26" s="28">
        <v>37</v>
      </c>
      <c r="U26" s="28">
        <v>256</v>
      </c>
      <c r="V26" s="28">
        <v>205</v>
      </c>
      <c r="W26" s="28">
        <v>0</v>
      </c>
      <c r="X26" s="28">
        <v>498</v>
      </c>
      <c r="Y26" s="29">
        <v>7.4297188755020074E-2</v>
      </c>
      <c r="Z26" s="29">
        <v>0.51405622489959835</v>
      </c>
      <c r="AA26" s="29">
        <v>0.41164658634538154</v>
      </c>
      <c r="AB26" s="29">
        <v>0</v>
      </c>
      <c r="AC26" s="30">
        <v>52.154618473895582</v>
      </c>
      <c r="AD26" s="27">
        <f t="shared" si="6"/>
        <v>0.79518072289156627</v>
      </c>
    </row>
    <row r="27" spans="1:30" x14ac:dyDescent="0.25">
      <c r="A27" s="26"/>
      <c r="B27" s="26"/>
      <c r="C27" s="26"/>
      <c r="D27" s="26">
        <v>5</v>
      </c>
      <c r="E27" s="26">
        <v>386</v>
      </c>
      <c r="F27" s="26">
        <v>43</v>
      </c>
      <c r="G27" s="26">
        <v>92</v>
      </c>
      <c r="H27" s="26">
        <v>0</v>
      </c>
      <c r="I27" s="26">
        <v>2</v>
      </c>
      <c r="J27" s="26">
        <v>242</v>
      </c>
      <c r="K27" s="26">
        <v>379</v>
      </c>
      <c r="L27" s="26">
        <v>7</v>
      </c>
      <c r="M27" s="26">
        <f t="shared" si="0"/>
        <v>386</v>
      </c>
      <c r="N27" s="26">
        <v>0</v>
      </c>
      <c r="O27" s="27">
        <f t="shared" si="1"/>
        <v>0.62694300518134716</v>
      </c>
      <c r="P27" s="27">
        <f t="shared" si="2"/>
        <v>0.11139896373056994</v>
      </c>
      <c r="Q27" s="27">
        <f t="shared" si="3"/>
        <v>0.23834196891191708</v>
      </c>
      <c r="R27" s="27">
        <f t="shared" si="4"/>
        <v>5.1813471502590676E-3</v>
      </c>
      <c r="S27" s="27">
        <f t="shared" si="5"/>
        <v>0</v>
      </c>
      <c r="T27" s="28">
        <v>90</v>
      </c>
      <c r="U27" s="28">
        <v>30</v>
      </c>
      <c r="V27" s="28">
        <v>380</v>
      </c>
      <c r="W27" s="28">
        <v>0</v>
      </c>
      <c r="X27" s="28">
        <v>500</v>
      </c>
      <c r="Y27" s="29">
        <v>0.18</v>
      </c>
      <c r="Z27" s="29">
        <v>0.06</v>
      </c>
      <c r="AA27" s="29">
        <v>0.76</v>
      </c>
      <c r="AB27" s="29">
        <v>0</v>
      </c>
      <c r="AC27" s="30">
        <v>33.11</v>
      </c>
      <c r="AD27" s="27">
        <f t="shared" si="6"/>
        <v>0.77200000000000002</v>
      </c>
    </row>
    <row r="28" spans="1:30" x14ac:dyDescent="0.25">
      <c r="A28" s="26"/>
      <c r="B28" s="26"/>
      <c r="C28" s="26" t="s">
        <v>141</v>
      </c>
      <c r="D28" s="26">
        <v>1</v>
      </c>
      <c r="E28" s="26">
        <v>471</v>
      </c>
      <c r="F28" s="26">
        <v>4</v>
      </c>
      <c r="G28" s="26">
        <v>78</v>
      </c>
      <c r="H28" s="26">
        <v>0</v>
      </c>
      <c r="I28" s="26">
        <v>0</v>
      </c>
      <c r="J28" s="26">
        <v>387</v>
      </c>
      <c r="K28" s="26">
        <v>469</v>
      </c>
      <c r="L28" s="26">
        <v>2</v>
      </c>
      <c r="M28" s="26">
        <f t="shared" si="0"/>
        <v>471</v>
      </c>
      <c r="N28" s="26">
        <v>0</v>
      </c>
      <c r="O28" s="27">
        <f t="shared" si="1"/>
        <v>0.82165605095541405</v>
      </c>
      <c r="P28" s="27">
        <f t="shared" si="2"/>
        <v>8.4925690021231421E-3</v>
      </c>
      <c r="Q28" s="27">
        <f t="shared" si="3"/>
        <v>0.16560509554140126</v>
      </c>
      <c r="R28" s="27">
        <f t="shared" si="4"/>
        <v>0</v>
      </c>
      <c r="S28" s="27">
        <f t="shared" si="5"/>
        <v>0</v>
      </c>
      <c r="T28" s="28">
        <v>6</v>
      </c>
      <c r="U28" s="28">
        <v>574</v>
      </c>
      <c r="V28" s="28">
        <v>50</v>
      </c>
      <c r="W28" s="28">
        <v>2</v>
      </c>
      <c r="X28" s="28">
        <v>632</v>
      </c>
      <c r="Y28" s="29">
        <v>9.4936708860759497E-3</v>
      </c>
      <c r="Z28" s="29">
        <v>0.90822784810126578</v>
      </c>
      <c r="AA28" s="29">
        <v>7.9113924050632917E-2</v>
      </c>
      <c r="AB28" s="29">
        <v>3.1645569620253164E-3</v>
      </c>
      <c r="AC28" s="30">
        <v>36.509493670886073</v>
      </c>
      <c r="AD28" s="27">
        <f t="shared" si="6"/>
        <v>0.745253164556962</v>
      </c>
    </row>
    <row r="29" spans="1:30" x14ac:dyDescent="0.25">
      <c r="A29" s="26">
        <v>7</v>
      </c>
      <c r="B29" s="26" t="s">
        <v>139</v>
      </c>
      <c r="C29" s="26" t="s">
        <v>142</v>
      </c>
      <c r="D29" s="26">
        <v>1</v>
      </c>
      <c r="E29" s="26">
        <v>342</v>
      </c>
      <c r="F29" s="26">
        <v>27</v>
      </c>
      <c r="G29" s="26">
        <v>69</v>
      </c>
      <c r="H29" s="26">
        <v>1</v>
      </c>
      <c r="I29" s="26">
        <v>2</v>
      </c>
      <c r="J29" s="26">
        <v>237</v>
      </c>
      <c r="K29" s="26">
        <v>336</v>
      </c>
      <c r="L29" s="26">
        <v>6</v>
      </c>
      <c r="M29" s="26">
        <f t="shared" si="0"/>
        <v>342</v>
      </c>
      <c r="N29" s="26">
        <v>0</v>
      </c>
      <c r="O29" s="27">
        <f t="shared" si="1"/>
        <v>0.69298245614035092</v>
      </c>
      <c r="P29" s="27">
        <f t="shared" si="2"/>
        <v>7.8947368421052627E-2</v>
      </c>
      <c r="Q29" s="27">
        <f t="shared" si="3"/>
        <v>0.20175438596491227</v>
      </c>
      <c r="R29" s="27">
        <f t="shared" si="4"/>
        <v>5.8479532163742687E-3</v>
      </c>
      <c r="S29" s="27">
        <f t="shared" si="5"/>
        <v>2.9239766081871343E-3</v>
      </c>
      <c r="T29" s="28">
        <v>62</v>
      </c>
      <c r="U29" s="28">
        <v>217</v>
      </c>
      <c r="V29" s="28">
        <v>169</v>
      </c>
      <c r="W29" s="28">
        <v>2</v>
      </c>
      <c r="X29" s="28">
        <v>450</v>
      </c>
      <c r="Y29" s="29">
        <v>0.13777777777777778</v>
      </c>
      <c r="Z29" s="29">
        <v>0.48222222222222222</v>
      </c>
      <c r="AA29" s="29">
        <v>0.37555555555555553</v>
      </c>
      <c r="AB29" s="29">
        <v>4.4444444444444444E-3</v>
      </c>
      <c r="AC29" s="30">
        <v>54.044444444444444</v>
      </c>
      <c r="AD29" s="27">
        <f t="shared" si="6"/>
        <v>0.76</v>
      </c>
    </row>
    <row r="30" spans="1:30" x14ac:dyDescent="0.25">
      <c r="A30" s="26"/>
      <c r="B30" s="26"/>
      <c r="C30" s="26"/>
      <c r="D30" s="26">
        <v>2</v>
      </c>
      <c r="E30" s="26">
        <v>478</v>
      </c>
      <c r="F30" s="26">
        <v>27</v>
      </c>
      <c r="G30" s="26">
        <v>71</v>
      </c>
      <c r="H30" s="26">
        <v>0</v>
      </c>
      <c r="I30" s="26">
        <v>1</v>
      </c>
      <c r="J30" s="26">
        <v>377</v>
      </c>
      <c r="K30" s="26">
        <v>476</v>
      </c>
      <c r="L30" s="26">
        <v>2</v>
      </c>
      <c r="M30" s="26">
        <f t="shared" si="0"/>
        <v>478</v>
      </c>
      <c r="N30" s="26">
        <v>0</v>
      </c>
      <c r="O30" s="27">
        <f t="shared" si="1"/>
        <v>0.78870292887029292</v>
      </c>
      <c r="P30" s="27">
        <f t="shared" si="2"/>
        <v>5.6485355648535567E-2</v>
      </c>
      <c r="Q30" s="27">
        <f t="shared" si="3"/>
        <v>0.14853556485355648</v>
      </c>
      <c r="R30" s="27">
        <f t="shared" si="4"/>
        <v>2.0920502092050207E-3</v>
      </c>
      <c r="S30" s="27">
        <f t="shared" si="5"/>
        <v>0</v>
      </c>
      <c r="T30" s="28">
        <v>89</v>
      </c>
      <c r="U30" s="28">
        <v>328</v>
      </c>
      <c r="V30" s="28">
        <v>224</v>
      </c>
      <c r="W30" s="28">
        <v>2</v>
      </c>
      <c r="X30" s="28">
        <v>643</v>
      </c>
      <c r="Y30" s="29">
        <v>0.13841368584758942</v>
      </c>
      <c r="Z30" s="29">
        <v>0.51010886469673411</v>
      </c>
      <c r="AA30" s="29">
        <v>0.34836702954898913</v>
      </c>
      <c r="AB30" s="29">
        <v>3.1104199066874028E-3</v>
      </c>
      <c r="AC30" s="30">
        <v>38.13374805598756</v>
      </c>
      <c r="AD30" s="27">
        <f t="shared" si="6"/>
        <v>0.74339035769828932</v>
      </c>
    </row>
    <row r="31" spans="1:30" x14ac:dyDescent="0.25">
      <c r="A31" s="26"/>
      <c r="B31" s="26"/>
      <c r="C31" s="26"/>
      <c r="D31" s="26">
        <v>3</v>
      </c>
      <c r="E31" s="26">
        <v>480</v>
      </c>
      <c r="F31" s="26">
        <v>64</v>
      </c>
      <c r="G31" s="26">
        <v>57</v>
      </c>
      <c r="H31" s="26">
        <v>1</v>
      </c>
      <c r="I31" s="26">
        <v>2</v>
      </c>
      <c r="J31" s="26">
        <v>353</v>
      </c>
      <c r="K31" s="26">
        <v>477</v>
      </c>
      <c r="L31" s="26">
        <v>3</v>
      </c>
      <c r="M31" s="26">
        <f t="shared" si="0"/>
        <v>480</v>
      </c>
      <c r="N31" s="26">
        <v>0</v>
      </c>
      <c r="O31" s="27">
        <f t="shared" si="1"/>
        <v>0.73541666666666672</v>
      </c>
      <c r="P31" s="27">
        <f t="shared" si="2"/>
        <v>0.13333333333333333</v>
      </c>
      <c r="Q31" s="27">
        <f t="shared" si="3"/>
        <v>0.11874999999999999</v>
      </c>
      <c r="R31" s="27">
        <f t="shared" si="4"/>
        <v>4.1666666666666666E-3</v>
      </c>
      <c r="S31" s="27">
        <f t="shared" si="5"/>
        <v>2.0833333333333333E-3</v>
      </c>
      <c r="T31" s="28">
        <v>153</v>
      </c>
      <c r="U31" s="28">
        <v>257</v>
      </c>
      <c r="V31" s="28">
        <v>233</v>
      </c>
      <c r="W31" s="28">
        <v>1</v>
      </c>
      <c r="X31" s="28">
        <v>644</v>
      </c>
      <c r="Y31" s="29">
        <v>0.2375776397515528</v>
      </c>
      <c r="Z31" s="29">
        <v>0.39906832298136646</v>
      </c>
      <c r="AA31" s="29">
        <v>0.36180124223602483</v>
      </c>
      <c r="AB31" s="29">
        <v>1.5527950310559005E-3</v>
      </c>
      <c r="AC31" s="30">
        <v>24.757763975155278</v>
      </c>
      <c r="AD31" s="27">
        <f t="shared" si="6"/>
        <v>0.74534161490683226</v>
      </c>
    </row>
    <row r="32" spans="1:30" x14ac:dyDescent="0.25">
      <c r="A32" s="26">
        <v>8</v>
      </c>
      <c r="B32" s="26" t="s">
        <v>143</v>
      </c>
      <c r="C32" s="26" t="s">
        <v>144</v>
      </c>
      <c r="D32" s="26">
        <v>1</v>
      </c>
      <c r="E32" s="26">
        <v>311</v>
      </c>
      <c r="F32" s="26">
        <v>8</v>
      </c>
      <c r="G32" s="26">
        <v>95</v>
      </c>
      <c r="H32" s="26">
        <v>0</v>
      </c>
      <c r="I32" s="26">
        <v>4</v>
      </c>
      <c r="J32" s="26">
        <v>200</v>
      </c>
      <c r="K32" s="26">
        <v>307</v>
      </c>
      <c r="L32" s="26">
        <v>4</v>
      </c>
      <c r="M32" s="26">
        <f t="shared" si="0"/>
        <v>311</v>
      </c>
      <c r="N32" s="26">
        <v>0</v>
      </c>
      <c r="O32" s="27">
        <f t="shared" si="1"/>
        <v>0.64308681672025725</v>
      </c>
      <c r="P32" s="27">
        <f t="shared" si="2"/>
        <v>2.5723472668810289E-2</v>
      </c>
      <c r="Q32" s="27">
        <f t="shared" si="3"/>
        <v>0.30546623794212219</v>
      </c>
      <c r="R32" s="27">
        <f t="shared" si="4"/>
        <v>1.2861736334405145E-2</v>
      </c>
      <c r="S32" s="27">
        <f t="shared" si="5"/>
        <v>0</v>
      </c>
      <c r="T32" s="28">
        <v>115</v>
      </c>
      <c r="U32" s="28">
        <v>238</v>
      </c>
      <c r="V32" s="28">
        <v>97</v>
      </c>
      <c r="W32" s="28">
        <v>0</v>
      </c>
      <c r="X32" s="28">
        <v>450</v>
      </c>
      <c r="Y32" s="29">
        <v>0.25555555555555554</v>
      </c>
      <c r="Z32" s="29">
        <v>0.52888888888888885</v>
      </c>
      <c r="AA32" s="29">
        <v>0.21555555555555556</v>
      </c>
      <c r="AB32" s="29">
        <v>0</v>
      </c>
      <c r="AC32" s="30">
        <v>70.406666666666666</v>
      </c>
      <c r="AD32" s="27">
        <f t="shared" si="6"/>
        <v>0.69111111111111112</v>
      </c>
    </row>
    <row r="33" spans="1:30" x14ac:dyDescent="0.25">
      <c r="A33" s="26"/>
      <c r="B33" s="26"/>
      <c r="C33" s="26"/>
      <c r="D33" s="26">
        <v>2</v>
      </c>
      <c r="E33" s="26">
        <v>371</v>
      </c>
      <c r="F33" s="26">
        <v>18</v>
      </c>
      <c r="G33" s="26">
        <v>124</v>
      </c>
      <c r="H33" s="26">
        <v>1</v>
      </c>
      <c r="I33" s="26">
        <v>2</v>
      </c>
      <c r="J33" s="26">
        <v>216</v>
      </c>
      <c r="K33" s="26">
        <v>361</v>
      </c>
      <c r="L33" s="26">
        <v>10</v>
      </c>
      <c r="M33" s="26">
        <f t="shared" si="0"/>
        <v>371</v>
      </c>
      <c r="N33" s="26">
        <v>0</v>
      </c>
      <c r="O33" s="27">
        <f t="shared" si="1"/>
        <v>0.58221024258760112</v>
      </c>
      <c r="P33" s="27">
        <f t="shared" si="2"/>
        <v>4.8517520215633422E-2</v>
      </c>
      <c r="Q33" s="27">
        <f t="shared" si="3"/>
        <v>0.33423180592991913</v>
      </c>
      <c r="R33" s="27">
        <f t="shared" si="4"/>
        <v>5.3908355795148251E-3</v>
      </c>
      <c r="S33" s="27">
        <f t="shared" si="5"/>
        <v>2.6954177897574125E-3</v>
      </c>
      <c r="T33" s="28">
        <v>147</v>
      </c>
      <c r="U33" s="28">
        <v>176</v>
      </c>
      <c r="V33" s="28">
        <v>126</v>
      </c>
      <c r="W33" s="28">
        <v>1</v>
      </c>
      <c r="X33" s="28">
        <v>450</v>
      </c>
      <c r="Y33" s="29">
        <v>0.32666666666666666</v>
      </c>
      <c r="Z33" s="29">
        <v>0.39111111111111113</v>
      </c>
      <c r="AA33" s="29">
        <v>0.28000000000000003</v>
      </c>
      <c r="AB33" s="29">
        <v>2.2222222222222222E-3</v>
      </c>
      <c r="AC33" s="30">
        <v>57.093333333333334</v>
      </c>
      <c r="AD33" s="27">
        <f t="shared" si="6"/>
        <v>0.82444444444444442</v>
      </c>
    </row>
    <row r="34" spans="1:30" x14ac:dyDescent="0.25">
      <c r="A34" s="26"/>
      <c r="B34" s="26"/>
      <c r="C34" s="26"/>
      <c r="D34" s="26">
        <v>3</v>
      </c>
      <c r="E34" s="26">
        <v>445</v>
      </c>
      <c r="F34" s="26">
        <v>48</v>
      </c>
      <c r="G34" s="26">
        <v>98</v>
      </c>
      <c r="H34" s="26">
        <v>1</v>
      </c>
      <c r="I34" s="26">
        <v>0</v>
      </c>
      <c r="J34" s="26">
        <v>290</v>
      </c>
      <c r="K34" s="26">
        <v>437</v>
      </c>
      <c r="L34" s="26">
        <v>8</v>
      </c>
      <c r="M34" s="26">
        <f t="shared" si="0"/>
        <v>445</v>
      </c>
      <c r="N34" s="26">
        <v>0</v>
      </c>
      <c r="O34" s="27">
        <f t="shared" si="1"/>
        <v>0.651685393258427</v>
      </c>
      <c r="P34" s="27">
        <f t="shared" si="2"/>
        <v>0.10786516853932585</v>
      </c>
      <c r="Q34" s="27">
        <f t="shared" si="3"/>
        <v>0.22022471910112359</v>
      </c>
      <c r="R34" s="27">
        <f t="shared" si="4"/>
        <v>0</v>
      </c>
      <c r="S34" s="27">
        <f t="shared" si="5"/>
        <v>2.2471910112359553E-3</v>
      </c>
      <c r="T34" s="28">
        <v>206</v>
      </c>
      <c r="U34" s="28">
        <v>274</v>
      </c>
      <c r="V34" s="28">
        <v>143</v>
      </c>
      <c r="W34" s="28">
        <v>0</v>
      </c>
      <c r="X34" s="28">
        <v>623</v>
      </c>
      <c r="Y34" s="29">
        <v>0.3306581059390048</v>
      </c>
      <c r="Z34" s="29">
        <v>0.43980738362760835</v>
      </c>
      <c r="AA34" s="29">
        <v>0.22953451043338685</v>
      </c>
      <c r="AB34" s="29">
        <v>0</v>
      </c>
      <c r="AC34" s="30">
        <v>41.243980738362758</v>
      </c>
      <c r="AD34" s="27">
        <f t="shared" si="6"/>
        <v>0.7142857142857143</v>
      </c>
    </row>
    <row r="35" spans="1:30" x14ac:dyDescent="0.25">
      <c r="A35" s="26"/>
      <c r="B35" s="26"/>
      <c r="C35" s="26"/>
      <c r="D35" s="26">
        <v>4</v>
      </c>
      <c r="E35" s="26">
        <v>471</v>
      </c>
      <c r="F35" s="26">
        <v>54</v>
      </c>
      <c r="G35" s="26">
        <v>114</v>
      </c>
      <c r="H35" s="26">
        <v>1</v>
      </c>
      <c r="I35" s="26">
        <v>3</v>
      </c>
      <c r="J35" s="26">
        <v>295</v>
      </c>
      <c r="K35" s="26">
        <v>467</v>
      </c>
      <c r="L35" s="26">
        <v>4</v>
      </c>
      <c r="M35" s="26">
        <f t="shared" si="0"/>
        <v>471</v>
      </c>
      <c r="N35" s="26">
        <v>0</v>
      </c>
      <c r="O35" s="27">
        <f t="shared" si="1"/>
        <v>0.62632696390658171</v>
      </c>
      <c r="P35" s="27">
        <f t="shared" si="2"/>
        <v>0.11464968152866242</v>
      </c>
      <c r="Q35" s="27">
        <f t="shared" si="3"/>
        <v>0.24203821656050956</v>
      </c>
      <c r="R35" s="27">
        <f t="shared" si="4"/>
        <v>6.369426751592357E-3</v>
      </c>
      <c r="S35" s="27">
        <f t="shared" si="5"/>
        <v>2.1231422505307855E-3</v>
      </c>
      <c r="T35" s="28">
        <v>287</v>
      </c>
      <c r="U35" s="28">
        <v>279</v>
      </c>
      <c r="V35" s="28">
        <v>57</v>
      </c>
      <c r="W35" s="28">
        <v>0</v>
      </c>
      <c r="X35" s="28">
        <v>623</v>
      </c>
      <c r="Y35" s="29">
        <v>0.4606741573033708</v>
      </c>
      <c r="Z35" s="29">
        <v>0.4478330658105939</v>
      </c>
      <c r="AA35" s="29">
        <v>9.1492776886035312E-2</v>
      </c>
      <c r="AB35" s="29">
        <v>0</v>
      </c>
      <c r="AC35" s="30">
        <v>28.956661316211878</v>
      </c>
      <c r="AD35" s="27">
        <f t="shared" si="6"/>
        <v>0.7560192616372392</v>
      </c>
    </row>
    <row r="36" spans="1:30" x14ac:dyDescent="0.25">
      <c r="A36" s="26"/>
      <c r="B36" s="26"/>
      <c r="C36" s="26"/>
      <c r="D36" s="26">
        <v>5</v>
      </c>
      <c r="E36" s="26">
        <v>520</v>
      </c>
      <c r="F36" s="26">
        <v>104</v>
      </c>
      <c r="G36" s="26">
        <v>125</v>
      </c>
      <c r="H36" s="26">
        <v>0</v>
      </c>
      <c r="I36" s="26">
        <v>2</v>
      </c>
      <c r="J36" s="26">
        <v>286</v>
      </c>
      <c r="K36" s="26">
        <v>517</v>
      </c>
      <c r="L36" s="26">
        <v>3</v>
      </c>
      <c r="M36" s="26">
        <f t="shared" si="0"/>
        <v>520</v>
      </c>
      <c r="N36" s="26">
        <v>0</v>
      </c>
      <c r="O36" s="27">
        <f t="shared" si="1"/>
        <v>0.55000000000000004</v>
      </c>
      <c r="P36" s="27">
        <f t="shared" si="2"/>
        <v>0.2</v>
      </c>
      <c r="Q36" s="27">
        <f t="shared" si="3"/>
        <v>0.24038461538461539</v>
      </c>
      <c r="R36" s="27">
        <f t="shared" si="4"/>
        <v>3.8461538461538464E-3</v>
      </c>
      <c r="S36" s="27">
        <f t="shared" si="5"/>
        <v>0</v>
      </c>
      <c r="T36" s="28">
        <v>350</v>
      </c>
      <c r="U36" s="28">
        <v>230</v>
      </c>
      <c r="V36" s="28">
        <v>45</v>
      </c>
      <c r="W36" s="28">
        <v>0</v>
      </c>
      <c r="X36" s="28">
        <v>625</v>
      </c>
      <c r="Y36" s="29">
        <v>0.56000000000000005</v>
      </c>
      <c r="Z36" s="29">
        <v>0.36799999999999999</v>
      </c>
      <c r="AA36" s="29">
        <v>7.1999999999999995E-2</v>
      </c>
      <c r="AB36" s="29">
        <v>0</v>
      </c>
      <c r="AC36" s="30">
        <v>21.7424</v>
      </c>
      <c r="AD36" s="27">
        <f t="shared" si="6"/>
        <v>0.83199999999999996</v>
      </c>
    </row>
    <row r="37" spans="1:30" x14ac:dyDescent="0.25">
      <c r="A37" s="26">
        <v>9</v>
      </c>
      <c r="B37" s="26" t="s">
        <v>145</v>
      </c>
      <c r="C37" s="26" t="s">
        <v>146</v>
      </c>
      <c r="D37" s="26">
        <v>1</v>
      </c>
      <c r="E37" s="26">
        <v>304</v>
      </c>
      <c r="F37" s="26">
        <v>10</v>
      </c>
      <c r="G37" s="26">
        <v>57</v>
      </c>
      <c r="H37" s="26">
        <v>1</v>
      </c>
      <c r="I37" s="26">
        <v>0</v>
      </c>
      <c r="J37" s="26">
        <v>229</v>
      </c>
      <c r="K37" s="26">
        <v>297</v>
      </c>
      <c r="L37" s="26">
        <v>7</v>
      </c>
      <c r="M37" s="26">
        <f t="shared" si="0"/>
        <v>304</v>
      </c>
      <c r="N37" s="26">
        <v>0</v>
      </c>
      <c r="O37" s="27">
        <f t="shared" si="1"/>
        <v>0.75328947368421051</v>
      </c>
      <c r="P37" s="27">
        <f t="shared" si="2"/>
        <v>3.2894736842105261E-2</v>
      </c>
      <c r="Q37" s="27">
        <f t="shared" si="3"/>
        <v>0.1875</v>
      </c>
      <c r="R37" s="27">
        <f t="shared" si="4"/>
        <v>0</v>
      </c>
      <c r="S37" s="27">
        <f t="shared" si="5"/>
        <v>3.2894736842105261E-3</v>
      </c>
      <c r="T37" s="28">
        <v>24</v>
      </c>
      <c r="U37" s="28">
        <v>355</v>
      </c>
      <c r="V37" s="28">
        <v>71</v>
      </c>
      <c r="W37" s="28">
        <v>0</v>
      </c>
      <c r="X37" s="28">
        <v>450</v>
      </c>
      <c r="Y37" s="29">
        <v>5.3333333333333337E-2</v>
      </c>
      <c r="Z37" s="29">
        <v>0.78888888888888886</v>
      </c>
      <c r="AA37" s="29">
        <v>0.15777777777777777</v>
      </c>
      <c r="AB37" s="29">
        <v>0</v>
      </c>
      <c r="AC37" s="30">
        <v>68.602222222222224</v>
      </c>
      <c r="AD37" s="27">
        <f t="shared" si="6"/>
        <v>0.67555555555555558</v>
      </c>
    </row>
    <row r="38" spans="1:30" x14ac:dyDescent="0.25">
      <c r="A38" s="26"/>
      <c r="B38" s="26"/>
      <c r="C38" s="26"/>
      <c r="D38" s="26">
        <v>2</v>
      </c>
      <c r="E38" s="26">
        <v>361</v>
      </c>
      <c r="F38" s="26">
        <v>6</v>
      </c>
      <c r="G38" s="26">
        <v>49</v>
      </c>
      <c r="H38" s="26">
        <v>1</v>
      </c>
      <c r="I38" s="26">
        <v>0</v>
      </c>
      <c r="J38" s="26">
        <v>302</v>
      </c>
      <c r="K38" s="26">
        <v>358</v>
      </c>
      <c r="L38" s="26">
        <v>3</v>
      </c>
      <c r="M38" s="26">
        <f t="shared" si="0"/>
        <v>361</v>
      </c>
      <c r="N38" s="26">
        <v>0</v>
      </c>
      <c r="O38" s="27">
        <f t="shared" si="1"/>
        <v>0.83656509695290859</v>
      </c>
      <c r="P38" s="27">
        <f t="shared" si="2"/>
        <v>1.662049861495845E-2</v>
      </c>
      <c r="Q38" s="27">
        <f t="shared" si="3"/>
        <v>0.13573407202216067</v>
      </c>
      <c r="R38" s="27">
        <f t="shared" si="4"/>
        <v>0</v>
      </c>
      <c r="S38" s="27">
        <f t="shared" si="5"/>
        <v>2.7700831024930748E-3</v>
      </c>
      <c r="T38" s="28">
        <v>25</v>
      </c>
      <c r="U38" s="28">
        <v>375</v>
      </c>
      <c r="V38" s="28">
        <v>50</v>
      </c>
      <c r="W38" s="28">
        <v>0</v>
      </c>
      <c r="X38" s="28">
        <v>450</v>
      </c>
      <c r="Y38" s="29">
        <v>5.5555555555555552E-2</v>
      </c>
      <c r="Z38" s="29">
        <v>0.83333333333333337</v>
      </c>
      <c r="AA38" s="29">
        <v>0.1111111111111111</v>
      </c>
      <c r="AB38" s="29">
        <v>0</v>
      </c>
      <c r="AC38" s="30">
        <v>62.193333333333335</v>
      </c>
      <c r="AD38" s="27">
        <f t="shared" si="6"/>
        <v>0.80222222222222217</v>
      </c>
    </row>
    <row r="39" spans="1:30" x14ac:dyDescent="0.25">
      <c r="A39" s="26"/>
      <c r="B39" s="26"/>
      <c r="C39" s="26"/>
      <c r="D39" s="26">
        <v>3</v>
      </c>
      <c r="E39" s="26">
        <v>480</v>
      </c>
      <c r="F39" s="26">
        <v>18</v>
      </c>
      <c r="G39" s="26">
        <v>70</v>
      </c>
      <c r="H39" s="26">
        <v>1</v>
      </c>
      <c r="I39" s="26">
        <v>3</v>
      </c>
      <c r="J39" s="26">
        <v>384</v>
      </c>
      <c r="K39" s="26">
        <v>476</v>
      </c>
      <c r="L39" s="26">
        <v>4</v>
      </c>
      <c r="M39" s="26">
        <f t="shared" si="0"/>
        <v>480</v>
      </c>
      <c r="N39" s="26">
        <v>0</v>
      </c>
      <c r="O39" s="27">
        <f t="shared" si="1"/>
        <v>0.8</v>
      </c>
      <c r="P39" s="27">
        <f t="shared" si="2"/>
        <v>3.7499999999999999E-2</v>
      </c>
      <c r="Q39" s="27">
        <f t="shared" si="3"/>
        <v>0.14583333333333334</v>
      </c>
      <c r="R39" s="27">
        <f t="shared" si="4"/>
        <v>6.2500000000000003E-3</v>
      </c>
      <c r="S39" s="27">
        <f t="shared" si="5"/>
        <v>2.0833333333333333E-3</v>
      </c>
      <c r="T39" s="28">
        <v>59</v>
      </c>
      <c r="U39" s="28">
        <v>470</v>
      </c>
      <c r="V39" s="28">
        <v>66</v>
      </c>
      <c r="W39" s="28">
        <v>2</v>
      </c>
      <c r="X39" s="28">
        <v>597</v>
      </c>
      <c r="Y39" s="29">
        <v>9.8827470686767172E-2</v>
      </c>
      <c r="Z39" s="29">
        <v>0.78726968174204359</v>
      </c>
      <c r="AA39" s="29">
        <v>0.11055276381909548</v>
      </c>
      <c r="AB39" s="29">
        <v>3.3500837520938024E-3</v>
      </c>
      <c r="AC39" s="30">
        <v>53.361809045226131</v>
      </c>
      <c r="AD39" s="27">
        <f t="shared" si="6"/>
        <v>0.8040201005025126</v>
      </c>
    </row>
    <row r="40" spans="1:30" x14ac:dyDescent="0.25">
      <c r="A40" s="26"/>
      <c r="B40" s="26"/>
      <c r="C40" s="26"/>
      <c r="D40" s="26">
        <v>4</v>
      </c>
      <c r="E40" s="26">
        <v>446</v>
      </c>
      <c r="F40" s="26">
        <v>13</v>
      </c>
      <c r="G40" s="26">
        <v>37</v>
      </c>
      <c r="H40" s="26">
        <v>0</v>
      </c>
      <c r="I40" s="26">
        <v>2</v>
      </c>
      <c r="J40" s="26">
        <v>392</v>
      </c>
      <c r="K40" s="26">
        <v>444</v>
      </c>
      <c r="L40" s="26">
        <v>2</v>
      </c>
      <c r="M40" s="26">
        <f t="shared" si="0"/>
        <v>446</v>
      </c>
      <c r="N40" s="26">
        <v>0</v>
      </c>
      <c r="O40" s="27">
        <f t="shared" si="1"/>
        <v>0.87892376681614348</v>
      </c>
      <c r="P40" s="27">
        <f t="shared" si="2"/>
        <v>2.914798206278027E-2</v>
      </c>
      <c r="Q40" s="27">
        <f t="shared" si="3"/>
        <v>8.2959641255605385E-2</v>
      </c>
      <c r="R40" s="27">
        <f t="shared" si="4"/>
        <v>4.4843049327354259E-3</v>
      </c>
      <c r="S40" s="27">
        <f t="shared" si="5"/>
        <v>0</v>
      </c>
      <c r="T40" s="28">
        <v>57</v>
      </c>
      <c r="U40" s="28">
        <v>463</v>
      </c>
      <c r="V40" s="28">
        <v>77</v>
      </c>
      <c r="W40" s="28">
        <v>0</v>
      </c>
      <c r="X40" s="28">
        <v>597</v>
      </c>
      <c r="Y40" s="29">
        <v>9.5477386934673364E-2</v>
      </c>
      <c r="Z40" s="29">
        <v>0.7755443886097152</v>
      </c>
      <c r="AA40" s="29">
        <v>0.12897822445561138</v>
      </c>
      <c r="AB40" s="29">
        <v>0</v>
      </c>
      <c r="AC40" s="30">
        <v>44.711892797319933</v>
      </c>
      <c r="AD40" s="27">
        <f t="shared" si="6"/>
        <v>0.7470686767169179</v>
      </c>
    </row>
    <row r="41" spans="1:30" x14ac:dyDescent="0.25">
      <c r="A41" s="26"/>
      <c r="B41" s="26"/>
      <c r="C41" s="26"/>
      <c r="D41" s="26">
        <v>5</v>
      </c>
      <c r="E41" s="26">
        <v>446</v>
      </c>
      <c r="F41" s="26">
        <v>17</v>
      </c>
      <c r="G41" s="26">
        <v>45</v>
      </c>
      <c r="H41" s="26">
        <v>0</v>
      </c>
      <c r="I41" s="26">
        <v>1</v>
      </c>
      <c r="J41" s="26">
        <v>383</v>
      </c>
      <c r="K41" s="26">
        <v>446</v>
      </c>
      <c r="L41" s="26">
        <v>0</v>
      </c>
      <c r="M41" s="26">
        <f t="shared" si="0"/>
        <v>446</v>
      </c>
      <c r="N41" s="26">
        <v>0</v>
      </c>
      <c r="O41" s="27">
        <f t="shared" si="1"/>
        <v>0.85874439461883412</v>
      </c>
      <c r="P41" s="27">
        <f t="shared" si="2"/>
        <v>3.811659192825112E-2</v>
      </c>
      <c r="Q41" s="27">
        <f t="shared" si="3"/>
        <v>0.10089686098654709</v>
      </c>
      <c r="R41" s="27">
        <f t="shared" si="4"/>
        <v>2.242152466367713E-3</v>
      </c>
      <c r="S41" s="27">
        <f t="shared" si="5"/>
        <v>0</v>
      </c>
      <c r="T41" s="28">
        <v>58</v>
      </c>
      <c r="U41" s="28">
        <v>423</v>
      </c>
      <c r="V41" s="28">
        <v>115</v>
      </c>
      <c r="W41" s="28">
        <v>1</v>
      </c>
      <c r="X41" s="28">
        <v>597</v>
      </c>
      <c r="Y41" s="29">
        <v>9.7152428810720268E-2</v>
      </c>
      <c r="Z41" s="29">
        <v>0.70854271356783916</v>
      </c>
      <c r="AA41" s="29">
        <v>0.19262981574539365</v>
      </c>
      <c r="AB41" s="29">
        <v>1.6750418760469012E-3</v>
      </c>
      <c r="AC41" s="30">
        <v>36.162479061976548</v>
      </c>
      <c r="AD41" s="27">
        <f t="shared" si="6"/>
        <v>0.7470686767169179</v>
      </c>
    </row>
    <row r="42" spans="1:30" x14ac:dyDescent="0.25">
      <c r="A42" s="26"/>
      <c r="B42" s="26"/>
      <c r="C42" s="26"/>
      <c r="D42" s="26">
        <v>6</v>
      </c>
      <c r="E42" s="26">
        <v>475</v>
      </c>
      <c r="F42" s="26">
        <v>10</v>
      </c>
      <c r="G42" s="26">
        <v>62</v>
      </c>
      <c r="H42" s="26">
        <v>0</v>
      </c>
      <c r="I42" s="26">
        <v>0</v>
      </c>
      <c r="J42" s="26">
        <v>401</v>
      </c>
      <c r="K42" s="26">
        <v>473</v>
      </c>
      <c r="L42" s="26">
        <v>2</v>
      </c>
      <c r="M42" s="26">
        <f t="shared" si="0"/>
        <v>475</v>
      </c>
      <c r="N42" s="26">
        <v>0</v>
      </c>
      <c r="O42" s="27">
        <f t="shared" si="1"/>
        <v>0.84421052631578952</v>
      </c>
      <c r="P42" s="27">
        <f t="shared" si="2"/>
        <v>2.1052631578947368E-2</v>
      </c>
      <c r="Q42" s="27">
        <f t="shared" si="3"/>
        <v>0.13052631578947368</v>
      </c>
      <c r="R42" s="27">
        <f t="shared" si="4"/>
        <v>0</v>
      </c>
      <c r="S42" s="27">
        <f t="shared" si="5"/>
        <v>0</v>
      </c>
      <c r="T42" s="28">
        <v>41</v>
      </c>
      <c r="U42" s="28">
        <v>358</v>
      </c>
      <c r="V42" s="28">
        <v>200</v>
      </c>
      <c r="W42" s="28">
        <v>1</v>
      </c>
      <c r="X42" s="28">
        <v>600</v>
      </c>
      <c r="Y42" s="29">
        <v>6.8333333333333329E-2</v>
      </c>
      <c r="Z42" s="29">
        <v>0.59666666666666668</v>
      </c>
      <c r="AA42" s="29">
        <v>0.33333333333333331</v>
      </c>
      <c r="AB42" s="29">
        <v>1.6666666666666668E-3</v>
      </c>
      <c r="AC42" s="30">
        <v>25.333333333333332</v>
      </c>
      <c r="AD42" s="27">
        <f t="shared" si="6"/>
        <v>0.79166666666666663</v>
      </c>
    </row>
    <row r="43" spans="1:30" x14ac:dyDescent="0.25">
      <c r="A43" s="26">
        <v>10</v>
      </c>
      <c r="B43" s="26" t="s">
        <v>147</v>
      </c>
      <c r="C43" s="26" t="s">
        <v>148</v>
      </c>
      <c r="D43" s="26">
        <v>1</v>
      </c>
      <c r="E43" s="26">
        <v>343</v>
      </c>
      <c r="F43" s="26">
        <v>8</v>
      </c>
      <c r="G43" s="26">
        <v>76</v>
      </c>
      <c r="H43" s="26">
        <v>0</v>
      </c>
      <c r="I43" s="26">
        <v>0</v>
      </c>
      <c r="J43" s="26">
        <v>250</v>
      </c>
      <c r="K43" s="26">
        <v>334</v>
      </c>
      <c r="L43" s="26">
        <v>9</v>
      </c>
      <c r="M43" s="26">
        <f t="shared" si="0"/>
        <v>343</v>
      </c>
      <c r="N43" s="26">
        <v>0</v>
      </c>
      <c r="O43" s="27">
        <f t="shared" si="1"/>
        <v>0.7288629737609329</v>
      </c>
      <c r="P43" s="27">
        <f t="shared" si="2"/>
        <v>2.3323615160349854E-2</v>
      </c>
      <c r="Q43" s="27">
        <f t="shared" si="3"/>
        <v>0.22157434402332363</v>
      </c>
      <c r="R43" s="27">
        <f t="shared" si="4"/>
        <v>0</v>
      </c>
      <c r="S43" s="27">
        <f t="shared" si="5"/>
        <v>0</v>
      </c>
      <c r="T43" s="28">
        <v>28</v>
      </c>
      <c r="U43" s="28">
        <v>403</v>
      </c>
      <c r="V43" s="28">
        <v>19</v>
      </c>
      <c r="W43" s="28">
        <v>0</v>
      </c>
      <c r="X43" s="28">
        <v>450</v>
      </c>
      <c r="Y43" s="29">
        <v>6.222222222222222E-2</v>
      </c>
      <c r="Z43" s="29">
        <v>0.89555555555555555</v>
      </c>
      <c r="AA43" s="29">
        <v>4.2222222222222223E-2</v>
      </c>
      <c r="AB43" s="29">
        <v>0</v>
      </c>
      <c r="AC43" s="30">
        <v>65.842222222222219</v>
      </c>
      <c r="AD43" s="27">
        <f t="shared" si="6"/>
        <v>0.76222222222222225</v>
      </c>
    </row>
    <row r="44" spans="1:30" x14ac:dyDescent="0.25">
      <c r="A44" s="26"/>
      <c r="B44" s="26"/>
      <c r="C44" s="26"/>
      <c r="D44" s="26">
        <v>2</v>
      </c>
      <c r="E44" s="26">
        <v>536</v>
      </c>
      <c r="F44" s="26">
        <v>11</v>
      </c>
      <c r="G44" s="26">
        <v>73</v>
      </c>
      <c r="H44" s="26">
        <v>0</v>
      </c>
      <c r="I44" s="26">
        <v>5</v>
      </c>
      <c r="J44" s="26">
        <v>447</v>
      </c>
      <c r="K44" s="26">
        <v>536</v>
      </c>
      <c r="L44" s="26">
        <v>0</v>
      </c>
      <c r="M44" s="26">
        <f t="shared" si="0"/>
        <v>536</v>
      </c>
      <c r="N44" s="26">
        <v>0</v>
      </c>
      <c r="O44" s="27">
        <f t="shared" si="1"/>
        <v>0.83395522388059706</v>
      </c>
      <c r="P44" s="27">
        <f t="shared" si="2"/>
        <v>2.0522388059701493E-2</v>
      </c>
      <c r="Q44" s="27">
        <f t="shared" si="3"/>
        <v>0.13619402985074627</v>
      </c>
      <c r="R44" s="27">
        <f t="shared" si="4"/>
        <v>9.3283582089552231E-3</v>
      </c>
      <c r="S44" s="27">
        <f t="shared" si="5"/>
        <v>0</v>
      </c>
      <c r="T44" s="28">
        <v>51</v>
      </c>
      <c r="U44" s="28">
        <v>624</v>
      </c>
      <c r="V44" s="28">
        <v>49</v>
      </c>
      <c r="W44" s="28">
        <v>1</v>
      </c>
      <c r="X44" s="28">
        <v>725</v>
      </c>
      <c r="Y44" s="29">
        <v>7.0344827586206901E-2</v>
      </c>
      <c r="Z44" s="29">
        <v>0.8606896551724138</v>
      </c>
      <c r="AA44" s="29">
        <v>6.7586206896551718E-2</v>
      </c>
      <c r="AB44" s="29">
        <v>1.3793103448275861E-3</v>
      </c>
      <c r="AC44" s="30">
        <v>36.475862068965519</v>
      </c>
      <c r="AD44" s="27">
        <f t="shared" si="6"/>
        <v>0.73931034482758617</v>
      </c>
    </row>
    <row r="45" spans="1:30" x14ac:dyDescent="0.25">
      <c r="A45" s="26">
        <v>11</v>
      </c>
      <c r="B45" s="26" t="s">
        <v>149</v>
      </c>
      <c r="C45" s="26" t="s">
        <v>150</v>
      </c>
      <c r="D45" s="26">
        <v>1</v>
      </c>
      <c r="E45" s="26">
        <v>320</v>
      </c>
      <c r="F45" s="26">
        <v>19</v>
      </c>
      <c r="G45" s="26">
        <v>125</v>
      </c>
      <c r="H45" s="26">
        <v>4</v>
      </c>
      <c r="I45" s="26">
        <v>3</v>
      </c>
      <c r="J45" s="26">
        <v>164</v>
      </c>
      <c r="K45" s="26">
        <v>315</v>
      </c>
      <c r="L45" s="26">
        <v>5</v>
      </c>
      <c r="M45" s="26">
        <f t="shared" si="0"/>
        <v>320</v>
      </c>
      <c r="N45" s="26">
        <v>0</v>
      </c>
      <c r="O45" s="27">
        <f t="shared" si="1"/>
        <v>0.51249999999999996</v>
      </c>
      <c r="P45" s="27">
        <f t="shared" si="2"/>
        <v>5.9374999999999997E-2</v>
      </c>
      <c r="Q45" s="27">
        <f t="shared" si="3"/>
        <v>0.390625</v>
      </c>
      <c r="R45" s="27">
        <f t="shared" si="4"/>
        <v>9.3749999999999997E-3</v>
      </c>
      <c r="S45" s="27">
        <f t="shared" si="5"/>
        <v>1.2500000000000001E-2</v>
      </c>
      <c r="T45" s="28">
        <v>218</v>
      </c>
      <c r="U45" s="28">
        <v>200</v>
      </c>
      <c r="V45" s="28">
        <v>30</v>
      </c>
      <c r="W45" s="28">
        <v>2</v>
      </c>
      <c r="X45" s="28">
        <v>450</v>
      </c>
      <c r="Y45" s="29">
        <v>0.48444444444444446</v>
      </c>
      <c r="Z45" s="29">
        <v>0.44444444444444442</v>
      </c>
      <c r="AA45" s="29">
        <v>6.6666666666666666E-2</v>
      </c>
      <c r="AB45" s="29">
        <v>4.4444444444444444E-3</v>
      </c>
      <c r="AC45" s="30">
        <v>70.577777777777783</v>
      </c>
      <c r="AD45" s="27">
        <f t="shared" si="6"/>
        <v>0.71111111111111114</v>
      </c>
    </row>
    <row r="46" spans="1:30" x14ac:dyDescent="0.25">
      <c r="A46" s="26"/>
      <c r="B46" s="26"/>
      <c r="C46" s="26"/>
      <c r="D46" s="26">
        <v>2</v>
      </c>
      <c r="E46" s="26">
        <v>375</v>
      </c>
      <c r="F46" s="26">
        <v>16</v>
      </c>
      <c r="G46" s="26">
        <v>143</v>
      </c>
      <c r="H46" s="26">
        <v>0</v>
      </c>
      <c r="I46" s="26">
        <v>6</v>
      </c>
      <c r="J46" s="26">
        <v>206</v>
      </c>
      <c r="K46" s="26">
        <v>371</v>
      </c>
      <c r="L46" s="26">
        <v>4</v>
      </c>
      <c r="M46" s="26">
        <f t="shared" si="0"/>
        <v>375</v>
      </c>
      <c r="N46" s="26">
        <v>0</v>
      </c>
      <c r="O46" s="27">
        <f t="shared" si="1"/>
        <v>0.54933333333333334</v>
      </c>
      <c r="P46" s="27">
        <f t="shared" si="2"/>
        <v>4.2666666666666665E-2</v>
      </c>
      <c r="Q46" s="27">
        <f t="shared" si="3"/>
        <v>0.38133333333333336</v>
      </c>
      <c r="R46" s="27">
        <f t="shared" si="4"/>
        <v>1.6E-2</v>
      </c>
      <c r="S46" s="27">
        <f t="shared" si="5"/>
        <v>0</v>
      </c>
      <c r="T46" s="28">
        <v>207</v>
      </c>
      <c r="U46" s="28">
        <v>209</v>
      </c>
      <c r="V46" s="28">
        <v>33</v>
      </c>
      <c r="W46" s="28">
        <v>1</v>
      </c>
      <c r="X46" s="28">
        <v>450</v>
      </c>
      <c r="Y46" s="29">
        <v>0.46</v>
      </c>
      <c r="Z46" s="29">
        <v>0.46444444444444444</v>
      </c>
      <c r="AA46" s="29">
        <v>7.3333333333333334E-2</v>
      </c>
      <c r="AB46" s="29">
        <v>2.2222222222222222E-3</v>
      </c>
      <c r="AC46" s="30">
        <v>62.206666666666663</v>
      </c>
      <c r="AD46" s="27">
        <f t="shared" si="6"/>
        <v>0.83333333333333337</v>
      </c>
    </row>
    <row r="47" spans="1:30" x14ac:dyDescent="0.25">
      <c r="A47" s="26"/>
      <c r="B47" s="26"/>
      <c r="C47" s="26"/>
      <c r="D47" s="26">
        <v>3</v>
      </c>
      <c r="E47" s="26">
        <v>462</v>
      </c>
      <c r="F47" s="26">
        <v>51</v>
      </c>
      <c r="G47" s="26">
        <v>135</v>
      </c>
      <c r="H47" s="26">
        <v>1</v>
      </c>
      <c r="I47" s="26">
        <v>4</v>
      </c>
      <c r="J47" s="26">
        <v>268</v>
      </c>
      <c r="K47" s="26">
        <v>459</v>
      </c>
      <c r="L47" s="26">
        <v>3</v>
      </c>
      <c r="M47" s="26">
        <f t="shared" si="0"/>
        <v>462</v>
      </c>
      <c r="N47" s="26">
        <v>0</v>
      </c>
      <c r="O47" s="27">
        <f t="shared" si="1"/>
        <v>0.58008658008658009</v>
      </c>
      <c r="P47" s="27">
        <f t="shared" si="2"/>
        <v>0.11038961038961038</v>
      </c>
      <c r="Q47" s="27">
        <f t="shared" si="3"/>
        <v>0.29220779220779219</v>
      </c>
      <c r="R47" s="27">
        <f t="shared" si="4"/>
        <v>8.658008658008658E-3</v>
      </c>
      <c r="S47" s="27">
        <f t="shared" si="5"/>
        <v>2.1645021645021645E-3</v>
      </c>
      <c r="T47" s="28">
        <v>282</v>
      </c>
      <c r="U47" s="28">
        <v>224</v>
      </c>
      <c r="V47" s="28">
        <v>55</v>
      </c>
      <c r="W47" s="28">
        <v>4</v>
      </c>
      <c r="X47" s="28">
        <v>565</v>
      </c>
      <c r="Y47" s="29">
        <v>0.49911504424778763</v>
      </c>
      <c r="Z47" s="29">
        <v>0.39646017699115044</v>
      </c>
      <c r="AA47" s="29">
        <v>9.7345132743362831E-2</v>
      </c>
      <c r="AB47" s="29">
        <v>7.0796460176991149E-3</v>
      </c>
      <c r="AC47" s="30">
        <v>52.674336283185838</v>
      </c>
      <c r="AD47" s="27">
        <f t="shared" si="6"/>
        <v>0.81769911504424775</v>
      </c>
    </row>
    <row r="48" spans="1:30" x14ac:dyDescent="0.25">
      <c r="A48" s="26"/>
      <c r="B48" s="26"/>
      <c r="C48" s="26"/>
      <c r="D48" s="26">
        <v>4</v>
      </c>
      <c r="E48" s="26">
        <v>477</v>
      </c>
      <c r="F48" s="26">
        <v>76</v>
      </c>
      <c r="G48" s="26">
        <v>129</v>
      </c>
      <c r="H48" s="26">
        <v>0</v>
      </c>
      <c r="I48" s="26">
        <v>2</v>
      </c>
      <c r="J48" s="26">
        <v>267</v>
      </c>
      <c r="K48" s="26">
        <v>474</v>
      </c>
      <c r="L48" s="26">
        <v>3</v>
      </c>
      <c r="M48" s="26">
        <f t="shared" si="0"/>
        <v>477</v>
      </c>
      <c r="N48" s="26">
        <v>0</v>
      </c>
      <c r="O48" s="27">
        <f t="shared" si="1"/>
        <v>0.55974842767295596</v>
      </c>
      <c r="P48" s="27">
        <f t="shared" si="2"/>
        <v>0.15932914046121593</v>
      </c>
      <c r="Q48" s="27">
        <f t="shared" si="3"/>
        <v>0.27044025157232704</v>
      </c>
      <c r="R48" s="27">
        <f t="shared" si="4"/>
        <v>4.1928721174004195E-3</v>
      </c>
      <c r="S48" s="27">
        <f t="shared" si="5"/>
        <v>0</v>
      </c>
      <c r="T48" s="28">
        <v>303</v>
      </c>
      <c r="U48" s="28">
        <v>176</v>
      </c>
      <c r="V48" s="28">
        <v>84</v>
      </c>
      <c r="W48" s="28">
        <v>2</v>
      </c>
      <c r="X48" s="28">
        <v>565</v>
      </c>
      <c r="Y48" s="29">
        <v>0.536283185840708</v>
      </c>
      <c r="Z48" s="29">
        <v>0.31150442477876106</v>
      </c>
      <c r="AA48" s="29">
        <v>0.14867256637168141</v>
      </c>
      <c r="AB48" s="29">
        <v>3.5398230088495575E-3</v>
      </c>
      <c r="AC48" s="30">
        <v>44.139823008849561</v>
      </c>
      <c r="AD48" s="27">
        <f t="shared" si="6"/>
        <v>0.84424778761061947</v>
      </c>
    </row>
    <row r="49" spans="1:30" x14ac:dyDescent="0.25">
      <c r="A49" s="26"/>
      <c r="B49" s="26"/>
      <c r="C49" s="26"/>
      <c r="D49" s="26">
        <v>5</v>
      </c>
      <c r="E49" s="26">
        <v>440</v>
      </c>
      <c r="F49" s="26">
        <v>69</v>
      </c>
      <c r="G49" s="26">
        <v>85</v>
      </c>
      <c r="H49" s="26">
        <v>0</v>
      </c>
      <c r="I49" s="26">
        <v>3</v>
      </c>
      <c r="J49" s="26">
        <v>283</v>
      </c>
      <c r="K49" s="26">
        <v>440</v>
      </c>
      <c r="L49" s="26">
        <v>0</v>
      </c>
      <c r="M49" s="26">
        <f t="shared" si="0"/>
        <v>440</v>
      </c>
      <c r="N49" s="26">
        <v>0</v>
      </c>
      <c r="O49" s="27">
        <f t="shared" si="1"/>
        <v>0.64318181818181819</v>
      </c>
      <c r="P49" s="27">
        <f t="shared" si="2"/>
        <v>0.15681818181818183</v>
      </c>
      <c r="Q49" s="27">
        <f t="shared" si="3"/>
        <v>0.19318181818181818</v>
      </c>
      <c r="R49" s="27">
        <f t="shared" si="4"/>
        <v>6.8181818181818179E-3</v>
      </c>
      <c r="S49" s="27">
        <f t="shared" si="5"/>
        <v>0</v>
      </c>
      <c r="T49" s="28">
        <v>258</v>
      </c>
      <c r="U49" s="28">
        <v>220</v>
      </c>
      <c r="V49" s="28">
        <v>89</v>
      </c>
      <c r="W49" s="28">
        <v>3</v>
      </c>
      <c r="X49" s="28">
        <v>570</v>
      </c>
      <c r="Y49" s="29">
        <v>0.45263157894736844</v>
      </c>
      <c r="Z49" s="29">
        <v>0.38596491228070173</v>
      </c>
      <c r="AA49" s="29">
        <v>0.156140350877193</v>
      </c>
      <c r="AB49" s="29">
        <v>5.263157894736842E-3</v>
      </c>
      <c r="AC49" s="30">
        <v>35.705263157894734</v>
      </c>
      <c r="AD49" s="27">
        <f t="shared" si="6"/>
        <v>0.77192982456140347</v>
      </c>
    </row>
    <row r="50" spans="1:30" x14ac:dyDescent="0.25">
      <c r="A50" s="26"/>
      <c r="B50" s="26"/>
      <c r="C50" s="26"/>
      <c r="D50" s="26">
        <v>6</v>
      </c>
      <c r="E50" s="26">
        <v>460</v>
      </c>
      <c r="F50" s="26">
        <v>119</v>
      </c>
      <c r="G50" s="26">
        <v>110</v>
      </c>
      <c r="H50" s="26">
        <v>0</v>
      </c>
      <c r="I50" s="26">
        <v>6</v>
      </c>
      <c r="J50" s="26">
        <v>224</v>
      </c>
      <c r="K50" s="26">
        <v>459</v>
      </c>
      <c r="L50" s="26">
        <v>1</v>
      </c>
      <c r="M50" s="26">
        <f t="shared" si="0"/>
        <v>460</v>
      </c>
      <c r="N50" s="26">
        <v>0</v>
      </c>
      <c r="O50" s="27">
        <f t="shared" si="1"/>
        <v>0.48695652173913045</v>
      </c>
      <c r="P50" s="27">
        <f t="shared" si="2"/>
        <v>0.25869565217391305</v>
      </c>
      <c r="Q50" s="27">
        <f t="shared" si="3"/>
        <v>0.2391304347826087</v>
      </c>
      <c r="R50" s="27">
        <f t="shared" si="4"/>
        <v>1.3043478260869565E-2</v>
      </c>
      <c r="S50" s="27">
        <f t="shared" si="5"/>
        <v>0</v>
      </c>
      <c r="T50" s="28">
        <v>353</v>
      </c>
      <c r="U50" s="28">
        <v>161</v>
      </c>
      <c r="V50" s="28">
        <v>61</v>
      </c>
      <c r="W50" s="28">
        <v>3</v>
      </c>
      <c r="X50" s="28">
        <v>578</v>
      </c>
      <c r="Y50" s="29">
        <v>0.61072664359861595</v>
      </c>
      <c r="Z50" s="29">
        <v>0.27854671280276816</v>
      </c>
      <c r="AA50" s="29">
        <v>0.10553633217993079</v>
      </c>
      <c r="AB50" s="29">
        <v>5.1903114186851208E-3</v>
      </c>
      <c r="AC50" s="30">
        <v>24.975778546712803</v>
      </c>
      <c r="AD50" s="27">
        <f t="shared" si="6"/>
        <v>0.79584775086505188</v>
      </c>
    </row>
    <row r="51" spans="1:30" x14ac:dyDescent="0.25">
      <c r="A51" s="104">
        <v>12</v>
      </c>
      <c r="B51" s="104" t="s">
        <v>151</v>
      </c>
      <c r="C51" s="104" t="s">
        <v>152</v>
      </c>
      <c r="D51" s="104">
        <v>1</v>
      </c>
      <c r="E51" s="104">
        <v>352</v>
      </c>
      <c r="F51" s="104">
        <v>52</v>
      </c>
      <c r="G51" s="104">
        <v>191</v>
      </c>
      <c r="H51" s="104">
        <v>1</v>
      </c>
      <c r="I51" s="104">
        <v>3</v>
      </c>
      <c r="J51" s="104">
        <v>99</v>
      </c>
      <c r="K51" s="104">
        <v>346</v>
      </c>
      <c r="L51" s="104">
        <v>6</v>
      </c>
      <c r="M51" s="104">
        <f t="shared" si="0"/>
        <v>352</v>
      </c>
      <c r="N51" s="104">
        <v>0</v>
      </c>
      <c r="O51" s="105">
        <f t="shared" si="1"/>
        <v>0.28125</v>
      </c>
      <c r="P51" s="105">
        <f t="shared" si="2"/>
        <v>0.14772727272727273</v>
      </c>
      <c r="Q51" s="105">
        <f t="shared" si="3"/>
        <v>0.54261363636363635</v>
      </c>
      <c r="R51" s="105">
        <f t="shared" si="4"/>
        <v>8.5227272727272721E-3</v>
      </c>
      <c r="S51" s="105">
        <f t="shared" si="5"/>
        <v>2.840909090909091E-3</v>
      </c>
      <c r="T51" s="106">
        <v>397</v>
      </c>
      <c r="U51" s="106">
        <v>30</v>
      </c>
      <c r="V51" s="106">
        <v>21</v>
      </c>
      <c r="W51" s="106">
        <v>2</v>
      </c>
      <c r="X51" s="106">
        <v>450</v>
      </c>
      <c r="Y51" s="107">
        <v>0.88222222222222224</v>
      </c>
      <c r="Z51" s="107">
        <v>6.6666666666666666E-2</v>
      </c>
      <c r="AA51" s="107">
        <v>4.6666666666666669E-2</v>
      </c>
      <c r="AB51" s="107">
        <v>4.4444444444444444E-3</v>
      </c>
      <c r="AC51" s="108">
        <v>59.4</v>
      </c>
      <c r="AD51" s="105">
        <f t="shared" si="6"/>
        <v>0.78222222222222226</v>
      </c>
    </row>
    <row r="52" spans="1:30" x14ac:dyDescent="0.25">
      <c r="A52" s="104"/>
      <c r="B52" s="104"/>
      <c r="C52" s="104"/>
      <c r="D52" s="104">
        <v>2</v>
      </c>
      <c r="E52" s="104">
        <v>316</v>
      </c>
      <c r="F52" s="104">
        <v>75</v>
      </c>
      <c r="G52" s="104">
        <v>122</v>
      </c>
      <c r="H52" s="104">
        <v>0</v>
      </c>
      <c r="I52" s="104">
        <v>7</v>
      </c>
      <c r="J52" s="104">
        <v>110</v>
      </c>
      <c r="K52" s="104">
        <v>314</v>
      </c>
      <c r="L52" s="104">
        <v>2</v>
      </c>
      <c r="M52" s="104">
        <f t="shared" si="0"/>
        <v>316</v>
      </c>
      <c r="N52" s="104">
        <v>0</v>
      </c>
      <c r="O52" s="105">
        <f t="shared" si="1"/>
        <v>0.34810126582278483</v>
      </c>
      <c r="P52" s="105">
        <f t="shared" si="2"/>
        <v>0.23734177215189872</v>
      </c>
      <c r="Q52" s="105">
        <f t="shared" si="3"/>
        <v>0.38607594936708861</v>
      </c>
      <c r="R52" s="105">
        <f t="shared" si="4"/>
        <v>2.2151898734177215E-2</v>
      </c>
      <c r="S52" s="105">
        <f t="shared" si="5"/>
        <v>0</v>
      </c>
      <c r="T52" s="106">
        <v>292</v>
      </c>
      <c r="U52" s="106">
        <v>76</v>
      </c>
      <c r="V52" s="106">
        <v>45</v>
      </c>
      <c r="W52" s="106">
        <v>1</v>
      </c>
      <c r="X52" s="106">
        <v>414</v>
      </c>
      <c r="Y52" s="107">
        <v>0.70531400966183577</v>
      </c>
      <c r="Z52" s="107">
        <v>0.18357487922705315</v>
      </c>
      <c r="AA52" s="107">
        <v>0.10869565217391304</v>
      </c>
      <c r="AB52" s="107">
        <v>2.4154589371980675E-3</v>
      </c>
      <c r="AC52" s="108">
        <v>41.115942028985508</v>
      </c>
      <c r="AD52" s="105">
        <f t="shared" si="6"/>
        <v>0.76328502415458932</v>
      </c>
    </row>
    <row r="53" spans="1:30" x14ac:dyDescent="0.25">
      <c r="A53" s="104"/>
      <c r="B53" s="104"/>
      <c r="C53" s="104"/>
      <c r="D53" s="104">
        <v>3</v>
      </c>
      <c r="E53" s="104">
        <v>344</v>
      </c>
      <c r="F53" s="104">
        <v>147</v>
      </c>
      <c r="G53" s="104">
        <v>109</v>
      </c>
      <c r="H53" s="104">
        <v>1</v>
      </c>
      <c r="I53" s="104">
        <v>0</v>
      </c>
      <c r="J53" s="104">
        <v>86</v>
      </c>
      <c r="K53" s="104">
        <v>343</v>
      </c>
      <c r="L53" s="104">
        <v>1</v>
      </c>
      <c r="M53" s="104">
        <f t="shared" si="0"/>
        <v>344</v>
      </c>
      <c r="N53" s="104">
        <v>0</v>
      </c>
      <c r="O53" s="105">
        <f t="shared" si="1"/>
        <v>0.25</v>
      </c>
      <c r="P53" s="105">
        <f t="shared" si="2"/>
        <v>0.42732558139534882</v>
      </c>
      <c r="Q53" s="105">
        <f t="shared" si="3"/>
        <v>0.31686046511627908</v>
      </c>
      <c r="R53" s="105">
        <f t="shared" si="4"/>
        <v>0</v>
      </c>
      <c r="S53" s="105">
        <f t="shared" si="5"/>
        <v>2.9069767441860465E-3</v>
      </c>
      <c r="T53" s="106">
        <v>364</v>
      </c>
      <c r="U53" s="106">
        <v>41</v>
      </c>
      <c r="V53" s="106">
        <v>10</v>
      </c>
      <c r="W53" s="106">
        <v>0</v>
      </c>
      <c r="X53" s="106">
        <v>415</v>
      </c>
      <c r="Y53" s="107">
        <v>0.87710843373493974</v>
      </c>
      <c r="Z53" s="107">
        <v>9.8795180722891562E-2</v>
      </c>
      <c r="AA53" s="107">
        <v>2.4096385542168676E-2</v>
      </c>
      <c r="AB53" s="107">
        <v>0</v>
      </c>
      <c r="AC53" s="108">
        <v>25.862650602409637</v>
      </c>
      <c r="AD53" s="105">
        <f t="shared" si="6"/>
        <v>0.82891566265060246</v>
      </c>
    </row>
    <row r="54" spans="1:30" x14ac:dyDescent="0.25">
      <c r="A54" s="104">
        <v>13</v>
      </c>
      <c r="B54" s="104" t="s">
        <v>153</v>
      </c>
      <c r="C54" s="104" t="s">
        <v>154</v>
      </c>
      <c r="D54" s="104">
        <v>1</v>
      </c>
      <c r="E54" s="104">
        <v>317</v>
      </c>
      <c r="F54" s="104">
        <v>26</v>
      </c>
      <c r="G54" s="104">
        <v>71</v>
      </c>
      <c r="H54" s="104">
        <v>5</v>
      </c>
      <c r="I54" s="104">
        <v>3</v>
      </c>
      <c r="J54" s="104">
        <v>200</v>
      </c>
      <c r="K54" s="104">
        <v>305</v>
      </c>
      <c r="L54" s="104">
        <v>12</v>
      </c>
      <c r="M54" s="104">
        <f t="shared" si="0"/>
        <v>317</v>
      </c>
      <c r="N54" s="104">
        <v>0</v>
      </c>
      <c r="O54" s="105">
        <f t="shared" si="1"/>
        <v>0.63091482649842268</v>
      </c>
      <c r="P54" s="105">
        <f t="shared" si="2"/>
        <v>8.2018927444794956E-2</v>
      </c>
      <c r="Q54" s="105">
        <f t="shared" si="3"/>
        <v>0.22397476340694006</v>
      </c>
      <c r="R54" s="105">
        <f t="shared" si="4"/>
        <v>9.4637223974763408E-3</v>
      </c>
      <c r="S54" s="105">
        <f t="shared" si="5"/>
        <v>1.5772870662460567E-2</v>
      </c>
      <c r="T54" s="106">
        <v>71</v>
      </c>
      <c r="U54" s="106">
        <v>143</v>
      </c>
      <c r="V54" s="106">
        <v>234</v>
      </c>
      <c r="W54" s="106">
        <v>2</v>
      </c>
      <c r="X54" s="106">
        <v>450</v>
      </c>
      <c r="Y54" s="107">
        <v>0.15777777777777777</v>
      </c>
      <c r="Z54" s="107">
        <v>0.31777777777777777</v>
      </c>
      <c r="AA54" s="107">
        <v>0.52</v>
      </c>
      <c r="AB54" s="107">
        <v>4.4444444444444444E-3</v>
      </c>
      <c r="AC54" s="108">
        <v>66.94</v>
      </c>
      <c r="AD54" s="105">
        <f t="shared" si="6"/>
        <v>0.70444444444444443</v>
      </c>
    </row>
    <row r="55" spans="1:30" x14ac:dyDescent="0.25">
      <c r="A55" s="104"/>
      <c r="B55" s="104"/>
      <c r="C55" s="104"/>
      <c r="D55" s="104">
        <v>2</v>
      </c>
      <c r="E55" s="104">
        <v>378</v>
      </c>
      <c r="F55" s="104">
        <v>63</v>
      </c>
      <c r="G55" s="104">
        <v>85</v>
      </c>
      <c r="H55" s="104">
        <v>3</v>
      </c>
      <c r="I55" s="104">
        <v>3</v>
      </c>
      <c r="J55" s="104">
        <v>214</v>
      </c>
      <c r="K55" s="104">
        <v>368</v>
      </c>
      <c r="L55" s="104">
        <v>10</v>
      </c>
      <c r="M55" s="104">
        <f t="shared" si="0"/>
        <v>378</v>
      </c>
      <c r="N55" s="104">
        <v>0</v>
      </c>
      <c r="O55" s="105">
        <f t="shared" si="1"/>
        <v>0.56613756613756616</v>
      </c>
      <c r="P55" s="105">
        <f t="shared" si="2"/>
        <v>0.16666666666666666</v>
      </c>
      <c r="Q55" s="105">
        <f t="shared" si="3"/>
        <v>0.22486772486772486</v>
      </c>
      <c r="R55" s="105">
        <f t="shared" si="4"/>
        <v>7.9365079365079361E-3</v>
      </c>
      <c r="S55" s="105">
        <f t="shared" si="5"/>
        <v>7.9365079365079361E-3</v>
      </c>
      <c r="T55" s="106">
        <v>138</v>
      </c>
      <c r="U55" s="106">
        <v>92</v>
      </c>
      <c r="V55" s="106">
        <v>216</v>
      </c>
      <c r="W55" s="106">
        <v>4</v>
      </c>
      <c r="X55" s="106">
        <v>450</v>
      </c>
      <c r="Y55" s="107">
        <v>0.30666666666666664</v>
      </c>
      <c r="Z55" s="107">
        <v>0.20444444444444446</v>
      </c>
      <c r="AA55" s="107">
        <v>0.48</v>
      </c>
      <c r="AB55" s="107">
        <v>8.8888888888888889E-3</v>
      </c>
      <c r="AC55" s="108">
        <v>58.72</v>
      </c>
      <c r="AD55" s="105">
        <f t="shared" si="6"/>
        <v>0.84</v>
      </c>
    </row>
    <row r="56" spans="1:30" x14ac:dyDescent="0.25">
      <c r="A56" s="104"/>
      <c r="B56" s="104"/>
      <c r="C56" s="104"/>
      <c r="D56" s="104">
        <v>3</v>
      </c>
      <c r="E56" s="104">
        <v>572</v>
      </c>
      <c r="F56" s="104">
        <v>92</v>
      </c>
      <c r="G56" s="104">
        <v>84</v>
      </c>
      <c r="H56" s="104">
        <v>3</v>
      </c>
      <c r="I56" s="104">
        <v>3</v>
      </c>
      <c r="J56" s="104">
        <v>383</v>
      </c>
      <c r="K56" s="104">
        <v>565</v>
      </c>
      <c r="L56" s="104">
        <v>7</v>
      </c>
      <c r="M56" s="104">
        <f t="shared" si="0"/>
        <v>572</v>
      </c>
      <c r="N56" s="104">
        <v>0</v>
      </c>
      <c r="O56" s="105">
        <f t="shared" si="1"/>
        <v>0.66958041958041958</v>
      </c>
      <c r="P56" s="105">
        <f t="shared" si="2"/>
        <v>0.16083916083916083</v>
      </c>
      <c r="Q56" s="105">
        <f t="shared" si="3"/>
        <v>0.14685314685314685</v>
      </c>
      <c r="R56" s="105">
        <f t="shared" si="4"/>
        <v>5.244755244755245E-3</v>
      </c>
      <c r="S56" s="105">
        <f t="shared" si="5"/>
        <v>5.244755244755245E-3</v>
      </c>
      <c r="T56" s="106">
        <v>184</v>
      </c>
      <c r="U56" s="106">
        <v>142</v>
      </c>
      <c r="V56" s="106">
        <v>363</v>
      </c>
      <c r="W56" s="106">
        <v>6</v>
      </c>
      <c r="X56" s="106">
        <v>695</v>
      </c>
      <c r="Y56" s="107">
        <v>0.26474820143884892</v>
      </c>
      <c r="Z56" s="107">
        <v>0.20431654676258992</v>
      </c>
      <c r="AA56" s="107">
        <v>0.52230215827338133</v>
      </c>
      <c r="AB56" s="107">
        <v>8.6330935251798559E-3</v>
      </c>
      <c r="AC56" s="108">
        <v>47.860431654676262</v>
      </c>
      <c r="AD56" s="105">
        <f t="shared" si="6"/>
        <v>0.82302158273381298</v>
      </c>
    </row>
    <row r="57" spans="1:30" x14ac:dyDescent="0.25">
      <c r="A57" s="104"/>
      <c r="B57" s="104"/>
      <c r="C57" s="104"/>
      <c r="D57" s="104">
        <v>4</v>
      </c>
      <c r="E57" s="104">
        <v>541</v>
      </c>
      <c r="F57" s="104">
        <v>83</v>
      </c>
      <c r="G57" s="104">
        <v>68</v>
      </c>
      <c r="H57" s="104">
        <v>0</v>
      </c>
      <c r="I57" s="104">
        <v>6</v>
      </c>
      <c r="J57" s="104">
        <v>381</v>
      </c>
      <c r="K57" s="104">
        <v>538</v>
      </c>
      <c r="L57" s="104">
        <v>3</v>
      </c>
      <c r="M57" s="104">
        <f t="shared" si="0"/>
        <v>541</v>
      </c>
      <c r="N57" s="104">
        <v>0</v>
      </c>
      <c r="O57" s="105">
        <f t="shared" si="1"/>
        <v>0.70425138632162665</v>
      </c>
      <c r="P57" s="105">
        <f t="shared" si="2"/>
        <v>0.15341959334565619</v>
      </c>
      <c r="Q57" s="105">
        <f t="shared" si="3"/>
        <v>0.1256931608133087</v>
      </c>
      <c r="R57" s="105">
        <f t="shared" si="4"/>
        <v>1.1090573012939002E-2</v>
      </c>
      <c r="S57" s="105">
        <f t="shared" si="5"/>
        <v>0</v>
      </c>
      <c r="T57" s="106">
        <v>203</v>
      </c>
      <c r="U57" s="106">
        <v>116</v>
      </c>
      <c r="V57" s="106">
        <v>372</v>
      </c>
      <c r="W57" s="106">
        <v>5</v>
      </c>
      <c r="X57" s="106">
        <v>696</v>
      </c>
      <c r="Y57" s="107">
        <v>0.29166666666666669</v>
      </c>
      <c r="Z57" s="107">
        <v>0.16666666666666666</v>
      </c>
      <c r="AA57" s="107">
        <v>0.53448275862068961</v>
      </c>
      <c r="AB57" s="107">
        <v>7.1839080459770114E-3</v>
      </c>
      <c r="AC57" s="108">
        <v>37.484195402298852</v>
      </c>
      <c r="AD57" s="105">
        <f t="shared" si="6"/>
        <v>0.7772988505747126</v>
      </c>
    </row>
    <row r="58" spans="1:30" x14ac:dyDescent="0.25">
      <c r="A58" s="104"/>
      <c r="B58" s="104"/>
      <c r="C58" s="104"/>
      <c r="D58" s="104">
        <v>5</v>
      </c>
      <c r="E58" s="104">
        <v>509</v>
      </c>
      <c r="F58" s="104">
        <v>101</v>
      </c>
      <c r="G58" s="104">
        <v>84</v>
      </c>
      <c r="H58" s="104">
        <v>2</v>
      </c>
      <c r="I58" s="104">
        <v>7</v>
      </c>
      <c r="J58" s="104">
        <v>314</v>
      </c>
      <c r="K58" s="104">
        <v>508</v>
      </c>
      <c r="L58" s="104">
        <v>1</v>
      </c>
      <c r="M58" s="104">
        <f t="shared" si="0"/>
        <v>509</v>
      </c>
      <c r="N58" s="104">
        <v>0</v>
      </c>
      <c r="O58" s="105">
        <f t="shared" si="1"/>
        <v>0.61689587426326131</v>
      </c>
      <c r="P58" s="105">
        <f t="shared" si="2"/>
        <v>0.19842829076620824</v>
      </c>
      <c r="Q58" s="105">
        <f t="shared" si="3"/>
        <v>0.16502946954813361</v>
      </c>
      <c r="R58" s="105">
        <f t="shared" si="4"/>
        <v>1.37524557956778E-2</v>
      </c>
      <c r="S58" s="105">
        <f t="shared" si="5"/>
        <v>3.929273084479371E-3</v>
      </c>
      <c r="T58" s="106">
        <v>292</v>
      </c>
      <c r="U58" s="106">
        <v>92</v>
      </c>
      <c r="V58" s="106">
        <v>309</v>
      </c>
      <c r="W58" s="106">
        <v>3</v>
      </c>
      <c r="X58" s="106">
        <v>696</v>
      </c>
      <c r="Y58" s="107">
        <v>0.41954022988505746</v>
      </c>
      <c r="Z58" s="107">
        <v>0.13218390804597702</v>
      </c>
      <c r="AA58" s="107">
        <v>0.44396551724137934</v>
      </c>
      <c r="AB58" s="107">
        <v>4.3103448275862068E-3</v>
      </c>
      <c r="AC58" s="108">
        <v>29.456896551724139</v>
      </c>
      <c r="AD58" s="105">
        <f t="shared" si="6"/>
        <v>0.73132183908045978</v>
      </c>
    </row>
    <row r="59" spans="1:30" x14ac:dyDescent="0.25">
      <c r="A59" s="104"/>
      <c r="B59" s="104"/>
      <c r="C59" s="104"/>
      <c r="D59" s="104">
        <v>6</v>
      </c>
      <c r="E59" s="104">
        <v>551</v>
      </c>
      <c r="F59" s="104">
        <v>136</v>
      </c>
      <c r="G59" s="104">
        <v>66</v>
      </c>
      <c r="H59" s="104">
        <v>3</v>
      </c>
      <c r="I59" s="104">
        <v>3</v>
      </c>
      <c r="J59" s="104">
        <v>342</v>
      </c>
      <c r="K59" s="104">
        <v>550</v>
      </c>
      <c r="L59" s="104">
        <v>1</v>
      </c>
      <c r="M59" s="104">
        <f t="shared" si="0"/>
        <v>551</v>
      </c>
      <c r="N59" s="104">
        <v>0</v>
      </c>
      <c r="O59" s="105">
        <f t="shared" si="1"/>
        <v>0.62068965517241381</v>
      </c>
      <c r="P59" s="105">
        <f t="shared" si="2"/>
        <v>0.24682395644283123</v>
      </c>
      <c r="Q59" s="105">
        <f t="shared" si="3"/>
        <v>0.11978221415607986</v>
      </c>
      <c r="R59" s="105">
        <f t="shared" si="4"/>
        <v>5.4446460980036296E-3</v>
      </c>
      <c r="S59" s="105">
        <f t="shared" si="5"/>
        <v>5.4446460980036296E-3</v>
      </c>
      <c r="T59" s="106">
        <v>337</v>
      </c>
      <c r="U59" s="106">
        <v>90</v>
      </c>
      <c r="V59" s="106">
        <v>268</v>
      </c>
      <c r="W59" s="106">
        <v>1</v>
      </c>
      <c r="X59" s="106">
        <v>696</v>
      </c>
      <c r="Y59" s="107">
        <v>0.48419540229885055</v>
      </c>
      <c r="Z59" s="107">
        <v>0.12931034482758622</v>
      </c>
      <c r="AA59" s="107">
        <v>0.38505747126436779</v>
      </c>
      <c r="AB59" s="107">
        <v>1.4367816091954023E-3</v>
      </c>
      <c r="AC59" s="108">
        <v>24.275862068965516</v>
      </c>
      <c r="AD59" s="105">
        <f t="shared" si="6"/>
        <v>0.79166666666666663</v>
      </c>
    </row>
    <row r="60" spans="1:30" x14ac:dyDescent="0.25">
      <c r="A60" s="104"/>
      <c r="B60" s="104"/>
      <c r="C60" s="104"/>
      <c r="D60" s="104">
        <v>7</v>
      </c>
      <c r="E60" s="104">
        <v>579</v>
      </c>
      <c r="F60" s="104">
        <v>177</v>
      </c>
      <c r="G60" s="104">
        <v>65</v>
      </c>
      <c r="H60" s="104">
        <v>1</v>
      </c>
      <c r="I60" s="104">
        <v>3</v>
      </c>
      <c r="J60" s="104">
        <v>330</v>
      </c>
      <c r="K60" s="104">
        <v>576</v>
      </c>
      <c r="L60" s="104">
        <v>3</v>
      </c>
      <c r="M60" s="104">
        <f t="shared" si="0"/>
        <v>579</v>
      </c>
      <c r="N60" s="104">
        <v>0</v>
      </c>
      <c r="O60" s="105">
        <f t="shared" si="1"/>
        <v>0.56994818652849744</v>
      </c>
      <c r="P60" s="105">
        <f t="shared" si="2"/>
        <v>0.30569948186528495</v>
      </c>
      <c r="Q60" s="105">
        <f t="shared" si="3"/>
        <v>0.11226252158894647</v>
      </c>
      <c r="R60" s="105">
        <f t="shared" si="4"/>
        <v>5.1813471502590676E-3</v>
      </c>
      <c r="S60" s="105">
        <f t="shared" si="5"/>
        <v>1.7271157167530224E-3</v>
      </c>
      <c r="T60" s="106">
        <v>357</v>
      </c>
      <c r="U60" s="106">
        <v>88</v>
      </c>
      <c r="V60" s="106">
        <v>254</v>
      </c>
      <c r="W60" s="106">
        <v>1</v>
      </c>
      <c r="X60" s="106">
        <v>700</v>
      </c>
      <c r="Y60" s="107">
        <v>0.51</v>
      </c>
      <c r="Z60" s="107">
        <v>0.12571428571428572</v>
      </c>
      <c r="AA60" s="107">
        <v>0.36285714285714288</v>
      </c>
      <c r="AB60" s="107">
        <v>1.4285714285714286E-3</v>
      </c>
      <c r="AC60" s="108">
        <v>19.985714285714284</v>
      </c>
      <c r="AD60" s="105">
        <f t="shared" si="6"/>
        <v>0.82714285714285718</v>
      </c>
    </row>
    <row r="61" spans="1:30" x14ac:dyDescent="0.25">
      <c r="A61" s="104">
        <v>14</v>
      </c>
      <c r="B61" s="104" t="s">
        <v>155</v>
      </c>
      <c r="C61" s="104" t="s">
        <v>156</v>
      </c>
      <c r="D61" s="104">
        <v>1</v>
      </c>
      <c r="E61" s="104">
        <v>338</v>
      </c>
      <c r="F61" s="104">
        <v>9</v>
      </c>
      <c r="G61" s="104">
        <v>56</v>
      </c>
      <c r="H61" s="104">
        <v>2</v>
      </c>
      <c r="I61" s="104">
        <v>1</v>
      </c>
      <c r="J61" s="104">
        <v>254</v>
      </c>
      <c r="K61" s="104">
        <v>322</v>
      </c>
      <c r="L61" s="104">
        <v>16</v>
      </c>
      <c r="M61" s="104">
        <f t="shared" si="0"/>
        <v>338</v>
      </c>
      <c r="N61" s="104">
        <v>0</v>
      </c>
      <c r="O61" s="105">
        <f t="shared" si="1"/>
        <v>0.75147928994082835</v>
      </c>
      <c r="P61" s="105">
        <f t="shared" si="2"/>
        <v>2.6627218934911243E-2</v>
      </c>
      <c r="Q61" s="105">
        <f t="shared" si="3"/>
        <v>0.16568047337278108</v>
      </c>
      <c r="R61" s="105">
        <f t="shared" si="4"/>
        <v>2.9585798816568047E-3</v>
      </c>
      <c r="S61" s="105">
        <f t="shared" si="5"/>
        <v>5.9171597633136093E-3</v>
      </c>
      <c r="T61" s="106">
        <v>31</v>
      </c>
      <c r="U61" s="106">
        <v>287</v>
      </c>
      <c r="V61" s="106">
        <v>132</v>
      </c>
      <c r="W61" s="106">
        <v>0</v>
      </c>
      <c r="X61" s="106">
        <v>450</v>
      </c>
      <c r="Y61" s="107">
        <v>6.8888888888888888E-2</v>
      </c>
      <c r="Z61" s="107">
        <v>0.63777777777777778</v>
      </c>
      <c r="AA61" s="107">
        <v>0.29333333333333333</v>
      </c>
      <c r="AB61" s="107">
        <v>0</v>
      </c>
      <c r="AC61" s="108">
        <v>67.784444444444446</v>
      </c>
      <c r="AD61" s="105">
        <f t="shared" si="6"/>
        <v>0.75111111111111106</v>
      </c>
    </row>
    <row r="62" spans="1:30" x14ac:dyDescent="0.25">
      <c r="A62" s="104"/>
      <c r="B62" s="104"/>
      <c r="C62" s="104"/>
      <c r="D62" s="104">
        <v>2</v>
      </c>
      <c r="E62" s="104">
        <v>376</v>
      </c>
      <c r="F62" s="104">
        <v>27</v>
      </c>
      <c r="G62" s="104">
        <v>67</v>
      </c>
      <c r="H62" s="104">
        <v>1</v>
      </c>
      <c r="I62" s="104">
        <v>6</v>
      </c>
      <c r="J62" s="104">
        <v>268</v>
      </c>
      <c r="K62" s="104">
        <v>369</v>
      </c>
      <c r="L62" s="104">
        <v>7</v>
      </c>
      <c r="M62" s="104">
        <f t="shared" si="0"/>
        <v>376</v>
      </c>
      <c r="N62" s="104">
        <v>0</v>
      </c>
      <c r="O62" s="105">
        <f t="shared" si="1"/>
        <v>0.71276595744680848</v>
      </c>
      <c r="P62" s="105">
        <f t="shared" si="2"/>
        <v>7.1808510638297879E-2</v>
      </c>
      <c r="Q62" s="105">
        <f t="shared" si="3"/>
        <v>0.17819148936170212</v>
      </c>
      <c r="R62" s="105">
        <f t="shared" si="4"/>
        <v>1.5957446808510637E-2</v>
      </c>
      <c r="S62" s="105">
        <f t="shared" si="5"/>
        <v>2.6595744680851063E-3</v>
      </c>
      <c r="T62" s="106">
        <v>93</v>
      </c>
      <c r="U62" s="106">
        <v>199</v>
      </c>
      <c r="V62" s="106">
        <v>154</v>
      </c>
      <c r="W62" s="106">
        <v>4</v>
      </c>
      <c r="X62" s="106">
        <v>450</v>
      </c>
      <c r="Y62" s="107">
        <v>0.20666666666666667</v>
      </c>
      <c r="Z62" s="107">
        <v>0.44222222222222224</v>
      </c>
      <c r="AA62" s="107">
        <v>0.34222222222222221</v>
      </c>
      <c r="AB62" s="107">
        <v>8.8888888888888889E-3</v>
      </c>
      <c r="AC62" s="108">
        <v>56.528888888888886</v>
      </c>
      <c r="AD62" s="105">
        <f t="shared" si="6"/>
        <v>0.83555555555555561</v>
      </c>
    </row>
    <row r="63" spans="1:30" x14ac:dyDescent="0.25">
      <c r="A63" s="104"/>
      <c r="B63" s="104"/>
      <c r="C63" s="104"/>
      <c r="D63" s="104">
        <v>3</v>
      </c>
      <c r="E63" s="104">
        <v>543</v>
      </c>
      <c r="F63" s="104">
        <v>51</v>
      </c>
      <c r="G63" s="104">
        <v>67</v>
      </c>
      <c r="H63" s="104">
        <v>0</v>
      </c>
      <c r="I63" s="104">
        <v>2</v>
      </c>
      <c r="J63" s="104">
        <v>419</v>
      </c>
      <c r="K63" s="104">
        <v>539</v>
      </c>
      <c r="L63" s="104">
        <v>4</v>
      </c>
      <c r="M63" s="104">
        <f t="shared" si="0"/>
        <v>543</v>
      </c>
      <c r="N63" s="104">
        <v>0</v>
      </c>
      <c r="O63" s="105">
        <f t="shared" si="1"/>
        <v>0.77163904235727443</v>
      </c>
      <c r="P63" s="105">
        <f t="shared" si="2"/>
        <v>9.3922651933701654E-2</v>
      </c>
      <c r="Q63" s="105">
        <f t="shared" si="3"/>
        <v>0.12338858195211787</v>
      </c>
      <c r="R63" s="105">
        <f t="shared" si="4"/>
        <v>3.6832412523020259E-3</v>
      </c>
      <c r="S63" s="105">
        <f t="shared" si="5"/>
        <v>0</v>
      </c>
      <c r="T63" s="106">
        <v>123</v>
      </c>
      <c r="U63" s="106">
        <v>292</v>
      </c>
      <c r="V63" s="106">
        <v>306</v>
      </c>
      <c r="W63" s="106">
        <v>3</v>
      </c>
      <c r="X63" s="106">
        <v>724</v>
      </c>
      <c r="Y63" s="107">
        <v>0.16988950276243095</v>
      </c>
      <c r="Z63" s="107">
        <v>0.40331491712707185</v>
      </c>
      <c r="AA63" s="107">
        <v>0.42265193370165743</v>
      </c>
      <c r="AB63" s="107">
        <v>4.1436464088397788E-3</v>
      </c>
      <c r="AC63" s="108">
        <v>42.321823204419893</v>
      </c>
      <c r="AD63" s="105">
        <f t="shared" si="6"/>
        <v>0.75</v>
      </c>
    </row>
    <row r="64" spans="1:30" x14ac:dyDescent="0.25">
      <c r="A64" s="104"/>
      <c r="B64" s="104"/>
      <c r="C64" s="104"/>
      <c r="D64" s="104">
        <v>4</v>
      </c>
      <c r="E64" s="104">
        <v>536</v>
      </c>
      <c r="F64" s="104">
        <v>71</v>
      </c>
      <c r="G64" s="104">
        <v>48</v>
      </c>
      <c r="H64" s="104">
        <v>1</v>
      </c>
      <c r="I64" s="104">
        <v>2</v>
      </c>
      <c r="J64" s="104">
        <v>413</v>
      </c>
      <c r="K64" s="104">
        <v>535</v>
      </c>
      <c r="L64" s="104">
        <v>1</v>
      </c>
      <c r="M64" s="104">
        <f t="shared" si="0"/>
        <v>536</v>
      </c>
      <c r="N64" s="104">
        <v>0</v>
      </c>
      <c r="O64" s="105">
        <f t="shared" si="1"/>
        <v>0.77052238805970152</v>
      </c>
      <c r="P64" s="105">
        <f t="shared" si="2"/>
        <v>0.13246268656716417</v>
      </c>
      <c r="Q64" s="105">
        <f t="shared" si="3"/>
        <v>8.9552238805970144E-2</v>
      </c>
      <c r="R64" s="105">
        <f t="shared" si="4"/>
        <v>3.7313432835820895E-3</v>
      </c>
      <c r="S64" s="105">
        <f t="shared" si="5"/>
        <v>1.8656716417910447E-3</v>
      </c>
      <c r="T64" s="106">
        <v>183</v>
      </c>
      <c r="U64" s="106">
        <v>281</v>
      </c>
      <c r="V64" s="106">
        <v>256</v>
      </c>
      <c r="W64" s="106">
        <v>4</v>
      </c>
      <c r="X64" s="106">
        <v>724</v>
      </c>
      <c r="Y64" s="107">
        <v>0.25276243093922651</v>
      </c>
      <c r="Z64" s="107">
        <v>0.38812154696132595</v>
      </c>
      <c r="AA64" s="107">
        <v>0.35359116022099446</v>
      </c>
      <c r="AB64" s="107">
        <v>5.5248618784530384E-3</v>
      </c>
      <c r="AC64" s="108">
        <v>30.715469613259668</v>
      </c>
      <c r="AD64" s="105">
        <f t="shared" si="6"/>
        <v>0.74033149171270718</v>
      </c>
    </row>
    <row r="65" spans="1:30" x14ac:dyDescent="0.25">
      <c r="A65" s="104"/>
      <c r="B65" s="104"/>
      <c r="C65" s="104"/>
      <c r="D65" s="104">
        <v>5</v>
      </c>
      <c r="E65" s="104">
        <v>557</v>
      </c>
      <c r="F65" s="104">
        <v>80</v>
      </c>
      <c r="G65" s="104">
        <v>76</v>
      </c>
      <c r="H65" s="104">
        <v>0</v>
      </c>
      <c r="I65" s="104">
        <v>2</v>
      </c>
      <c r="J65" s="104">
        <v>399</v>
      </c>
      <c r="K65" s="104">
        <v>557</v>
      </c>
      <c r="L65" s="104">
        <v>0</v>
      </c>
      <c r="M65" s="104">
        <f t="shared" si="0"/>
        <v>557</v>
      </c>
      <c r="N65" s="104">
        <v>0</v>
      </c>
      <c r="O65" s="105">
        <f t="shared" si="1"/>
        <v>0.71633752244165172</v>
      </c>
      <c r="P65" s="105">
        <f t="shared" si="2"/>
        <v>0.14362657091561939</v>
      </c>
      <c r="Q65" s="105">
        <f t="shared" si="3"/>
        <v>0.13644524236983843</v>
      </c>
      <c r="R65" s="105">
        <f t="shared" si="4"/>
        <v>3.5906642728904849E-3</v>
      </c>
      <c r="S65" s="105">
        <f t="shared" si="5"/>
        <v>0</v>
      </c>
      <c r="T65" s="106">
        <v>211</v>
      </c>
      <c r="U65" s="106">
        <v>232</v>
      </c>
      <c r="V65" s="106">
        <v>281</v>
      </c>
      <c r="W65" s="106">
        <v>1</v>
      </c>
      <c r="X65" s="106">
        <v>725</v>
      </c>
      <c r="Y65" s="107">
        <v>0.29103448275862071</v>
      </c>
      <c r="Z65" s="107">
        <v>0.32</v>
      </c>
      <c r="AA65" s="107">
        <v>0.38758620689655171</v>
      </c>
      <c r="AB65" s="107">
        <v>1.3793103448275861E-3</v>
      </c>
      <c r="AC65" s="108">
        <v>22.304827586206898</v>
      </c>
      <c r="AD65" s="105">
        <f t="shared" si="6"/>
        <v>0.76827586206896548</v>
      </c>
    </row>
    <row r="66" spans="1:30" x14ac:dyDescent="0.25">
      <c r="A66" s="104">
        <v>15</v>
      </c>
      <c r="B66" s="104" t="s">
        <v>157</v>
      </c>
      <c r="C66" s="104" t="s">
        <v>158</v>
      </c>
      <c r="D66" s="104">
        <v>1</v>
      </c>
      <c r="E66" s="104">
        <v>307</v>
      </c>
      <c r="F66" s="104">
        <v>10</v>
      </c>
      <c r="G66" s="104">
        <v>47</v>
      </c>
      <c r="H66" s="104">
        <v>4</v>
      </c>
      <c r="I66" s="104">
        <v>3</v>
      </c>
      <c r="J66" s="104">
        <v>236</v>
      </c>
      <c r="K66" s="104">
        <v>300</v>
      </c>
      <c r="L66" s="104">
        <v>7</v>
      </c>
      <c r="M66" s="104">
        <f t="shared" si="0"/>
        <v>307</v>
      </c>
      <c r="N66" s="104">
        <v>0</v>
      </c>
      <c r="O66" s="105">
        <f t="shared" si="1"/>
        <v>0.76872964169381108</v>
      </c>
      <c r="P66" s="105">
        <f t="shared" si="2"/>
        <v>3.2573289902280131E-2</v>
      </c>
      <c r="Q66" s="105">
        <f t="shared" si="3"/>
        <v>0.15309446254071662</v>
      </c>
      <c r="R66" s="105">
        <f t="shared" si="4"/>
        <v>9.7719869706840382E-3</v>
      </c>
      <c r="S66" s="105">
        <f t="shared" si="5"/>
        <v>1.3029315960912053E-2</v>
      </c>
      <c r="T66" s="106">
        <v>59</v>
      </c>
      <c r="U66" s="106">
        <v>331</v>
      </c>
      <c r="V66" s="106">
        <v>58</v>
      </c>
      <c r="W66" s="106">
        <v>2</v>
      </c>
      <c r="X66" s="106">
        <v>450</v>
      </c>
      <c r="Y66" s="107">
        <v>0.13111111111111112</v>
      </c>
      <c r="Z66" s="107">
        <v>0.73555555555555552</v>
      </c>
      <c r="AA66" s="107">
        <v>0.12888888888888889</v>
      </c>
      <c r="AB66" s="107">
        <v>4.4444444444444444E-3</v>
      </c>
      <c r="AC66" s="108">
        <v>70.484444444444449</v>
      </c>
      <c r="AD66" s="105">
        <f t="shared" si="6"/>
        <v>0.68222222222222217</v>
      </c>
    </row>
    <row r="67" spans="1:30" x14ac:dyDescent="0.25">
      <c r="A67" s="104"/>
      <c r="B67" s="104"/>
      <c r="C67" s="104"/>
      <c r="D67" s="104">
        <v>2</v>
      </c>
      <c r="E67" s="104">
        <v>366</v>
      </c>
      <c r="F67" s="104">
        <v>14</v>
      </c>
      <c r="G67" s="104">
        <v>50</v>
      </c>
      <c r="H67" s="104">
        <v>1</v>
      </c>
      <c r="I67" s="104">
        <v>3</v>
      </c>
      <c r="J67" s="104">
        <v>290</v>
      </c>
      <c r="K67" s="104">
        <v>358</v>
      </c>
      <c r="L67" s="104">
        <v>8</v>
      </c>
      <c r="M67" s="104">
        <f t="shared" ref="M67:M130" si="7">L67+K67</f>
        <v>366</v>
      </c>
      <c r="N67" s="104">
        <v>0</v>
      </c>
      <c r="O67" s="105">
        <f t="shared" ref="O67:O130" si="8">J67/M67</f>
        <v>0.79234972677595628</v>
      </c>
      <c r="P67" s="105">
        <f t="shared" ref="P67:P130" si="9">F67/M67</f>
        <v>3.825136612021858E-2</v>
      </c>
      <c r="Q67" s="105">
        <f t="shared" ref="Q67:Q130" si="10">G67/M67</f>
        <v>0.13661202185792351</v>
      </c>
      <c r="R67" s="105">
        <f t="shared" ref="R67:R130" si="11">I67/M67</f>
        <v>8.1967213114754103E-3</v>
      </c>
      <c r="S67" s="105">
        <f t="shared" ref="S67:S130" si="12">H67/M67</f>
        <v>2.7322404371584699E-3</v>
      </c>
      <c r="T67" s="106">
        <v>42</v>
      </c>
      <c r="U67" s="106">
        <v>331</v>
      </c>
      <c r="V67" s="106">
        <v>75</v>
      </c>
      <c r="W67" s="106">
        <v>2</v>
      </c>
      <c r="X67" s="106">
        <v>450</v>
      </c>
      <c r="Y67" s="107">
        <v>9.3333333333333338E-2</v>
      </c>
      <c r="Z67" s="107">
        <v>0.73555555555555552</v>
      </c>
      <c r="AA67" s="107">
        <v>0.16666666666666666</v>
      </c>
      <c r="AB67" s="107">
        <v>4.4444444444444444E-3</v>
      </c>
      <c r="AC67" s="108">
        <v>65.444444444444443</v>
      </c>
      <c r="AD67" s="105">
        <f t="shared" ref="AD67:AD130" si="13">M67/X67</f>
        <v>0.81333333333333335</v>
      </c>
    </row>
    <row r="68" spans="1:30" x14ac:dyDescent="0.25">
      <c r="A68" s="104"/>
      <c r="B68" s="104"/>
      <c r="C68" s="104"/>
      <c r="D68" s="104">
        <v>3</v>
      </c>
      <c r="E68" s="104">
        <v>374</v>
      </c>
      <c r="F68" s="104">
        <v>16</v>
      </c>
      <c r="G68" s="104">
        <v>41</v>
      </c>
      <c r="H68" s="104">
        <v>0</v>
      </c>
      <c r="I68" s="104">
        <v>2</v>
      </c>
      <c r="J68" s="104">
        <v>309</v>
      </c>
      <c r="K68" s="104">
        <v>368</v>
      </c>
      <c r="L68" s="104">
        <v>6</v>
      </c>
      <c r="M68" s="104">
        <f t="shared" si="7"/>
        <v>374</v>
      </c>
      <c r="N68" s="104">
        <v>0</v>
      </c>
      <c r="O68" s="105">
        <f t="shared" si="8"/>
        <v>0.8262032085561497</v>
      </c>
      <c r="P68" s="105">
        <f t="shared" si="9"/>
        <v>4.2780748663101602E-2</v>
      </c>
      <c r="Q68" s="105">
        <f t="shared" si="10"/>
        <v>0.10962566844919786</v>
      </c>
      <c r="R68" s="105">
        <f t="shared" si="11"/>
        <v>5.3475935828877002E-3</v>
      </c>
      <c r="S68" s="105">
        <f t="shared" si="12"/>
        <v>0</v>
      </c>
      <c r="T68" s="106">
        <v>60</v>
      </c>
      <c r="U68" s="106">
        <v>322</v>
      </c>
      <c r="V68" s="106">
        <v>66</v>
      </c>
      <c r="W68" s="106">
        <v>2</v>
      </c>
      <c r="X68" s="106">
        <v>450</v>
      </c>
      <c r="Y68" s="107">
        <v>0.13333333333333333</v>
      </c>
      <c r="Z68" s="107">
        <v>0.7155555555555555</v>
      </c>
      <c r="AA68" s="107">
        <v>0.14666666666666667</v>
      </c>
      <c r="AB68" s="107">
        <v>4.4444444444444444E-3</v>
      </c>
      <c r="AC68" s="108">
        <v>58.855555555555554</v>
      </c>
      <c r="AD68" s="105">
        <f t="shared" si="13"/>
        <v>0.83111111111111113</v>
      </c>
    </row>
    <row r="69" spans="1:30" x14ac:dyDescent="0.25">
      <c r="A69" s="104"/>
      <c r="B69" s="104"/>
      <c r="C69" s="104"/>
      <c r="D69" s="104">
        <v>4</v>
      </c>
      <c r="E69" s="104">
        <v>529</v>
      </c>
      <c r="F69" s="104">
        <v>38</v>
      </c>
      <c r="G69" s="104">
        <v>51</v>
      </c>
      <c r="H69" s="104">
        <v>0</v>
      </c>
      <c r="I69" s="104">
        <v>4</v>
      </c>
      <c r="J69" s="104">
        <v>430</v>
      </c>
      <c r="K69" s="104">
        <v>523</v>
      </c>
      <c r="L69" s="104">
        <v>6</v>
      </c>
      <c r="M69" s="104">
        <f t="shared" si="7"/>
        <v>529</v>
      </c>
      <c r="N69" s="104">
        <v>0</v>
      </c>
      <c r="O69" s="105">
        <f t="shared" si="8"/>
        <v>0.81285444234404536</v>
      </c>
      <c r="P69" s="105">
        <f t="shared" si="9"/>
        <v>7.1833648393194713E-2</v>
      </c>
      <c r="Q69" s="105">
        <f t="shared" si="10"/>
        <v>9.6408317580340269E-2</v>
      </c>
      <c r="R69" s="105">
        <f t="shared" si="11"/>
        <v>7.5614366729678641E-3</v>
      </c>
      <c r="S69" s="105">
        <f t="shared" si="12"/>
        <v>0</v>
      </c>
      <c r="T69" s="106">
        <v>91</v>
      </c>
      <c r="U69" s="106">
        <v>454</v>
      </c>
      <c r="V69" s="106">
        <v>100</v>
      </c>
      <c r="W69" s="106">
        <v>1</v>
      </c>
      <c r="X69" s="106">
        <v>646</v>
      </c>
      <c r="Y69" s="107">
        <v>0.14086687306501547</v>
      </c>
      <c r="Z69" s="107">
        <v>0.70278637770897834</v>
      </c>
      <c r="AA69" s="107">
        <v>0.15479876160990713</v>
      </c>
      <c r="AB69" s="107">
        <v>1.5479876160990713E-3</v>
      </c>
      <c r="AC69" s="108">
        <v>52.5015479876161</v>
      </c>
      <c r="AD69" s="105">
        <f t="shared" si="13"/>
        <v>0.81888544891640869</v>
      </c>
    </row>
    <row r="70" spans="1:30" x14ac:dyDescent="0.25">
      <c r="A70" s="104"/>
      <c r="B70" s="104"/>
      <c r="C70" s="104"/>
      <c r="D70" s="104">
        <v>5</v>
      </c>
      <c r="E70" s="104">
        <v>493</v>
      </c>
      <c r="F70" s="104">
        <v>25</v>
      </c>
      <c r="G70" s="104">
        <v>35</v>
      </c>
      <c r="H70" s="104">
        <v>0</v>
      </c>
      <c r="I70" s="104">
        <v>1</v>
      </c>
      <c r="J70" s="104">
        <v>427</v>
      </c>
      <c r="K70" s="104">
        <v>488</v>
      </c>
      <c r="L70" s="104">
        <v>5</v>
      </c>
      <c r="M70" s="104">
        <f t="shared" si="7"/>
        <v>493</v>
      </c>
      <c r="N70" s="104">
        <v>0</v>
      </c>
      <c r="O70" s="105">
        <f t="shared" si="8"/>
        <v>0.8661257606490872</v>
      </c>
      <c r="P70" s="105">
        <f t="shared" si="9"/>
        <v>5.0709939148073022E-2</v>
      </c>
      <c r="Q70" s="105">
        <f t="shared" si="10"/>
        <v>7.099391480730223E-2</v>
      </c>
      <c r="R70" s="105">
        <f t="shared" si="11"/>
        <v>2.0283975659229209E-3</v>
      </c>
      <c r="S70" s="105">
        <f t="shared" si="12"/>
        <v>0</v>
      </c>
      <c r="T70" s="106">
        <v>68</v>
      </c>
      <c r="U70" s="106">
        <v>464</v>
      </c>
      <c r="V70" s="106">
        <v>109</v>
      </c>
      <c r="W70" s="106">
        <v>5</v>
      </c>
      <c r="X70" s="106">
        <v>646</v>
      </c>
      <c r="Y70" s="107">
        <v>0.10526315789473684</v>
      </c>
      <c r="Z70" s="107">
        <v>0.71826625386996901</v>
      </c>
      <c r="AA70" s="107">
        <v>0.16873065015479877</v>
      </c>
      <c r="AB70" s="107">
        <v>7.7399380804953561E-3</v>
      </c>
      <c r="AC70" s="108">
        <v>45.339009287925698</v>
      </c>
      <c r="AD70" s="105">
        <f t="shared" si="13"/>
        <v>0.76315789473684215</v>
      </c>
    </row>
    <row r="71" spans="1:30" x14ac:dyDescent="0.25">
      <c r="A71" s="104"/>
      <c r="B71" s="104"/>
      <c r="C71" s="104"/>
      <c r="D71" s="104">
        <v>6</v>
      </c>
      <c r="E71" s="104">
        <v>484</v>
      </c>
      <c r="F71" s="104">
        <v>30</v>
      </c>
      <c r="G71" s="104">
        <v>29</v>
      </c>
      <c r="H71" s="104">
        <v>0</v>
      </c>
      <c r="I71" s="104">
        <v>0</v>
      </c>
      <c r="J71" s="104">
        <v>423</v>
      </c>
      <c r="K71" s="104">
        <v>482</v>
      </c>
      <c r="L71" s="104">
        <v>2</v>
      </c>
      <c r="M71" s="104">
        <f t="shared" si="7"/>
        <v>484</v>
      </c>
      <c r="N71" s="104">
        <v>0</v>
      </c>
      <c r="O71" s="105">
        <f t="shared" si="8"/>
        <v>0.87396694214876036</v>
      </c>
      <c r="P71" s="105">
        <f t="shared" si="9"/>
        <v>6.1983471074380167E-2</v>
      </c>
      <c r="Q71" s="105">
        <f t="shared" si="10"/>
        <v>5.9917355371900828E-2</v>
      </c>
      <c r="R71" s="105">
        <f t="shared" si="11"/>
        <v>0</v>
      </c>
      <c r="S71" s="105">
        <f t="shared" si="12"/>
        <v>0</v>
      </c>
      <c r="T71" s="106">
        <v>69</v>
      </c>
      <c r="U71" s="106">
        <v>439</v>
      </c>
      <c r="V71" s="106">
        <v>135</v>
      </c>
      <c r="W71" s="106">
        <v>3</v>
      </c>
      <c r="X71" s="106">
        <v>646</v>
      </c>
      <c r="Y71" s="107">
        <v>0.10681114551083591</v>
      </c>
      <c r="Z71" s="107">
        <v>0.67956656346749222</v>
      </c>
      <c r="AA71" s="107">
        <v>0.20897832817337461</v>
      </c>
      <c r="AB71" s="107">
        <v>4.6439628482972135E-3</v>
      </c>
      <c r="AC71" s="108">
        <v>38.778637770897831</v>
      </c>
      <c r="AD71" s="105">
        <f t="shared" si="13"/>
        <v>0.74922600619195046</v>
      </c>
    </row>
    <row r="72" spans="1:30" x14ac:dyDescent="0.25">
      <c r="A72" s="104"/>
      <c r="B72" s="104"/>
      <c r="C72" s="104"/>
      <c r="D72" s="104">
        <v>7</v>
      </c>
      <c r="E72" s="104">
        <v>468</v>
      </c>
      <c r="F72" s="104">
        <v>46</v>
      </c>
      <c r="G72" s="104">
        <v>38</v>
      </c>
      <c r="H72" s="104">
        <v>0</v>
      </c>
      <c r="I72" s="104">
        <v>1</v>
      </c>
      <c r="J72" s="104">
        <v>379</v>
      </c>
      <c r="K72" s="104">
        <v>464</v>
      </c>
      <c r="L72" s="104">
        <v>4</v>
      </c>
      <c r="M72" s="104">
        <f t="shared" si="7"/>
        <v>468</v>
      </c>
      <c r="N72" s="104">
        <v>0</v>
      </c>
      <c r="O72" s="105">
        <f t="shared" si="8"/>
        <v>0.80982905982905984</v>
      </c>
      <c r="P72" s="105">
        <f t="shared" si="9"/>
        <v>9.8290598290598288E-2</v>
      </c>
      <c r="Q72" s="105">
        <f t="shared" si="10"/>
        <v>8.11965811965812E-2</v>
      </c>
      <c r="R72" s="105">
        <f t="shared" si="11"/>
        <v>2.136752136752137E-3</v>
      </c>
      <c r="S72" s="105">
        <f t="shared" si="12"/>
        <v>0</v>
      </c>
      <c r="T72" s="106">
        <v>108</v>
      </c>
      <c r="U72" s="106">
        <v>389</v>
      </c>
      <c r="V72" s="106">
        <v>149</v>
      </c>
      <c r="W72" s="106">
        <v>0</v>
      </c>
      <c r="X72" s="106">
        <v>646</v>
      </c>
      <c r="Y72" s="107">
        <v>0.16718266253869968</v>
      </c>
      <c r="Z72" s="107">
        <v>0.60216718266253866</v>
      </c>
      <c r="AA72" s="107">
        <v>0.23065015479876161</v>
      </c>
      <c r="AB72" s="107">
        <v>0</v>
      </c>
      <c r="AC72" s="108">
        <v>32.348297213622288</v>
      </c>
      <c r="AD72" s="105">
        <f t="shared" si="13"/>
        <v>0.72445820433436536</v>
      </c>
    </row>
    <row r="73" spans="1:30" x14ac:dyDescent="0.25">
      <c r="A73" s="104"/>
      <c r="B73" s="104"/>
      <c r="C73" s="104"/>
      <c r="D73" s="104">
        <v>8</v>
      </c>
      <c r="E73" s="104">
        <v>468</v>
      </c>
      <c r="F73" s="104">
        <v>67</v>
      </c>
      <c r="G73" s="104">
        <v>26</v>
      </c>
      <c r="H73" s="104">
        <v>4</v>
      </c>
      <c r="I73" s="104">
        <v>3</v>
      </c>
      <c r="J73" s="104">
        <v>367</v>
      </c>
      <c r="K73" s="104">
        <v>467</v>
      </c>
      <c r="L73" s="104">
        <v>1</v>
      </c>
      <c r="M73" s="104">
        <f t="shared" si="7"/>
        <v>468</v>
      </c>
      <c r="N73" s="104">
        <v>0</v>
      </c>
      <c r="O73" s="105">
        <f t="shared" si="8"/>
        <v>0.78418803418803418</v>
      </c>
      <c r="P73" s="105">
        <f t="shared" si="9"/>
        <v>0.14316239316239315</v>
      </c>
      <c r="Q73" s="105">
        <f t="shared" si="10"/>
        <v>5.5555555555555552E-2</v>
      </c>
      <c r="R73" s="105">
        <f t="shared" si="11"/>
        <v>6.41025641025641E-3</v>
      </c>
      <c r="S73" s="105">
        <f t="shared" si="12"/>
        <v>8.5470085470085479E-3</v>
      </c>
      <c r="T73" s="106">
        <v>159</v>
      </c>
      <c r="U73" s="106">
        <v>339</v>
      </c>
      <c r="V73" s="106">
        <v>147</v>
      </c>
      <c r="W73" s="106">
        <v>1</v>
      </c>
      <c r="X73" s="106">
        <v>646</v>
      </c>
      <c r="Y73" s="107">
        <v>0.24613003095975233</v>
      </c>
      <c r="Z73" s="107">
        <v>0.52476780185758509</v>
      </c>
      <c r="AA73" s="107">
        <v>0.22755417956656346</v>
      </c>
      <c r="AB73" s="107">
        <v>1.5479876160990713E-3</v>
      </c>
      <c r="AC73" s="108">
        <v>26.470588235294116</v>
      </c>
      <c r="AD73" s="105">
        <f t="shared" si="13"/>
        <v>0.72445820433436536</v>
      </c>
    </row>
    <row r="74" spans="1:30" x14ac:dyDescent="0.25">
      <c r="A74" s="104"/>
      <c r="B74" s="104"/>
      <c r="C74" s="104"/>
      <c r="D74" s="104">
        <v>9</v>
      </c>
      <c r="E74" s="104">
        <v>519</v>
      </c>
      <c r="F74" s="104">
        <v>62</v>
      </c>
      <c r="G74" s="104">
        <v>42</v>
      </c>
      <c r="H74" s="104">
        <v>2</v>
      </c>
      <c r="I74" s="104">
        <v>5</v>
      </c>
      <c r="J74" s="104">
        <v>404</v>
      </c>
      <c r="K74" s="104">
        <v>515</v>
      </c>
      <c r="L74" s="104">
        <v>4</v>
      </c>
      <c r="M74" s="104">
        <f t="shared" si="7"/>
        <v>519</v>
      </c>
      <c r="N74" s="104">
        <v>0</v>
      </c>
      <c r="O74" s="105">
        <f t="shared" si="8"/>
        <v>0.77842003853564545</v>
      </c>
      <c r="P74" s="105">
        <f t="shared" si="9"/>
        <v>0.11946050096339114</v>
      </c>
      <c r="Q74" s="105">
        <f t="shared" si="10"/>
        <v>8.0924855491329481E-2</v>
      </c>
      <c r="R74" s="105">
        <f t="shared" si="11"/>
        <v>9.6339113680154135E-3</v>
      </c>
      <c r="S74" s="105">
        <f t="shared" si="12"/>
        <v>3.8535645472061657E-3</v>
      </c>
      <c r="T74" s="106">
        <v>153</v>
      </c>
      <c r="U74" s="106">
        <v>377</v>
      </c>
      <c r="V74" s="106">
        <v>117</v>
      </c>
      <c r="W74" s="106">
        <v>0</v>
      </c>
      <c r="X74" s="106">
        <v>647</v>
      </c>
      <c r="Y74" s="107">
        <v>0.23647604327666152</v>
      </c>
      <c r="Z74" s="107">
        <v>0.58268933539412671</v>
      </c>
      <c r="AA74" s="107">
        <v>0.18083462132921174</v>
      </c>
      <c r="AB74" s="107">
        <v>0</v>
      </c>
      <c r="AC74" s="108">
        <v>20.876352395672335</v>
      </c>
      <c r="AD74" s="105">
        <f t="shared" si="13"/>
        <v>0.80216383307573413</v>
      </c>
    </row>
    <row r="75" spans="1:30" x14ac:dyDescent="0.25">
      <c r="A75" s="104">
        <v>16</v>
      </c>
      <c r="B75" s="104" t="s">
        <v>159</v>
      </c>
      <c r="C75" s="104" t="s">
        <v>160</v>
      </c>
      <c r="D75" s="104">
        <v>1</v>
      </c>
      <c r="E75" s="104">
        <v>303</v>
      </c>
      <c r="F75" s="104">
        <v>13</v>
      </c>
      <c r="G75" s="104">
        <v>35</v>
      </c>
      <c r="H75" s="104">
        <v>2</v>
      </c>
      <c r="I75" s="104">
        <v>1</v>
      </c>
      <c r="J75" s="104">
        <v>244</v>
      </c>
      <c r="K75" s="104">
        <v>295</v>
      </c>
      <c r="L75" s="104">
        <v>8</v>
      </c>
      <c r="M75" s="104">
        <f t="shared" si="7"/>
        <v>303</v>
      </c>
      <c r="N75" s="104">
        <v>0</v>
      </c>
      <c r="O75" s="105">
        <f t="shared" si="8"/>
        <v>0.80528052805280526</v>
      </c>
      <c r="P75" s="105">
        <f t="shared" si="9"/>
        <v>4.2904290429042903E-2</v>
      </c>
      <c r="Q75" s="105">
        <f t="shared" si="10"/>
        <v>0.11551155115511551</v>
      </c>
      <c r="R75" s="105">
        <f t="shared" si="11"/>
        <v>3.3003300330033004E-3</v>
      </c>
      <c r="S75" s="105">
        <f t="shared" si="12"/>
        <v>6.6006600660066007E-3</v>
      </c>
      <c r="T75" s="106">
        <v>48</v>
      </c>
      <c r="U75" s="106">
        <v>358</v>
      </c>
      <c r="V75" s="106">
        <v>44</v>
      </c>
      <c r="W75" s="106">
        <v>0</v>
      </c>
      <c r="X75" s="106">
        <v>450</v>
      </c>
      <c r="Y75" s="107">
        <v>0.10666666666666667</v>
      </c>
      <c r="Z75" s="107">
        <v>0.79555555555555557</v>
      </c>
      <c r="AA75" s="107">
        <v>9.7777777777777783E-2</v>
      </c>
      <c r="AB75" s="107">
        <v>0</v>
      </c>
      <c r="AC75" s="108">
        <v>70.86666666666666</v>
      </c>
      <c r="AD75" s="105">
        <f t="shared" si="13"/>
        <v>0.67333333333333334</v>
      </c>
    </row>
    <row r="76" spans="1:30" x14ac:dyDescent="0.25">
      <c r="A76" s="104"/>
      <c r="B76" s="104"/>
      <c r="C76" s="104"/>
      <c r="D76" s="104">
        <v>2</v>
      </c>
      <c r="E76" s="104">
        <v>378</v>
      </c>
      <c r="F76" s="104">
        <v>23</v>
      </c>
      <c r="G76" s="104">
        <v>44</v>
      </c>
      <c r="H76" s="104">
        <v>1</v>
      </c>
      <c r="I76" s="104">
        <v>2</v>
      </c>
      <c r="J76" s="104">
        <v>303</v>
      </c>
      <c r="K76" s="104">
        <v>373</v>
      </c>
      <c r="L76" s="104">
        <v>5</v>
      </c>
      <c r="M76" s="104">
        <f t="shared" si="7"/>
        <v>378</v>
      </c>
      <c r="N76" s="104">
        <v>0</v>
      </c>
      <c r="O76" s="105">
        <f t="shared" si="8"/>
        <v>0.80158730158730163</v>
      </c>
      <c r="P76" s="105">
        <f t="shared" si="9"/>
        <v>6.0846560846560843E-2</v>
      </c>
      <c r="Q76" s="105">
        <f t="shared" si="10"/>
        <v>0.1164021164021164</v>
      </c>
      <c r="R76" s="105">
        <f t="shared" si="11"/>
        <v>5.2910052910052907E-3</v>
      </c>
      <c r="S76" s="105">
        <f t="shared" si="12"/>
        <v>2.6455026455026454E-3</v>
      </c>
      <c r="T76" s="106">
        <v>58</v>
      </c>
      <c r="U76" s="106">
        <v>358</v>
      </c>
      <c r="V76" s="106">
        <v>33</v>
      </c>
      <c r="W76" s="106">
        <v>1</v>
      </c>
      <c r="X76" s="106">
        <v>450</v>
      </c>
      <c r="Y76" s="107">
        <v>0.12888888888888889</v>
      </c>
      <c r="Z76" s="107">
        <v>0.79555555555555557</v>
      </c>
      <c r="AA76" s="107">
        <v>7.3333333333333334E-2</v>
      </c>
      <c r="AB76" s="107">
        <v>2.2222222222222222E-3</v>
      </c>
      <c r="AC76" s="108">
        <v>64.468888888888884</v>
      </c>
      <c r="AD76" s="105">
        <f t="shared" si="13"/>
        <v>0.84</v>
      </c>
    </row>
    <row r="77" spans="1:30" x14ac:dyDescent="0.25">
      <c r="A77" s="104"/>
      <c r="B77" s="104"/>
      <c r="C77" s="104"/>
      <c r="D77" s="104">
        <v>3</v>
      </c>
      <c r="E77" s="104">
        <v>378</v>
      </c>
      <c r="F77" s="104">
        <v>28</v>
      </c>
      <c r="G77" s="104">
        <v>43</v>
      </c>
      <c r="H77" s="104">
        <v>1</v>
      </c>
      <c r="I77" s="104">
        <v>3</v>
      </c>
      <c r="J77" s="104">
        <v>301</v>
      </c>
      <c r="K77" s="104">
        <v>376</v>
      </c>
      <c r="L77" s="104">
        <v>2</v>
      </c>
      <c r="M77" s="104">
        <f t="shared" si="7"/>
        <v>378</v>
      </c>
      <c r="N77" s="104">
        <v>0</v>
      </c>
      <c r="O77" s="105">
        <f t="shared" si="8"/>
        <v>0.79629629629629628</v>
      </c>
      <c r="P77" s="105">
        <f t="shared" si="9"/>
        <v>7.407407407407407E-2</v>
      </c>
      <c r="Q77" s="105">
        <f t="shared" si="10"/>
        <v>0.11375661375661375</v>
      </c>
      <c r="R77" s="105">
        <f t="shared" si="11"/>
        <v>7.9365079365079361E-3</v>
      </c>
      <c r="S77" s="105">
        <f t="shared" si="12"/>
        <v>2.6455026455026454E-3</v>
      </c>
      <c r="T77" s="106">
        <v>75</v>
      </c>
      <c r="U77" s="106">
        <v>315</v>
      </c>
      <c r="V77" s="106">
        <v>59</v>
      </c>
      <c r="W77" s="106">
        <v>1</v>
      </c>
      <c r="X77" s="106">
        <v>450</v>
      </c>
      <c r="Y77" s="107">
        <v>0.16666666666666666</v>
      </c>
      <c r="Z77" s="107">
        <v>0.7</v>
      </c>
      <c r="AA77" s="107">
        <v>0.13111111111111112</v>
      </c>
      <c r="AB77" s="107">
        <v>2.2222222222222222E-3</v>
      </c>
      <c r="AC77" s="108">
        <v>56.606666666666669</v>
      </c>
      <c r="AD77" s="105">
        <f t="shared" si="13"/>
        <v>0.84</v>
      </c>
    </row>
    <row r="78" spans="1:30" x14ac:dyDescent="0.25">
      <c r="A78" s="104"/>
      <c r="B78" s="104"/>
      <c r="C78" s="104"/>
      <c r="D78" s="104">
        <v>4</v>
      </c>
      <c r="E78" s="104">
        <v>468</v>
      </c>
      <c r="F78" s="104">
        <v>34</v>
      </c>
      <c r="G78" s="104">
        <v>71</v>
      </c>
      <c r="H78" s="104">
        <v>0</v>
      </c>
      <c r="I78" s="104">
        <v>3</v>
      </c>
      <c r="J78" s="104">
        <v>355</v>
      </c>
      <c r="K78" s="104">
        <v>463</v>
      </c>
      <c r="L78" s="104">
        <v>5</v>
      </c>
      <c r="M78" s="104">
        <f t="shared" si="7"/>
        <v>468</v>
      </c>
      <c r="N78" s="104">
        <v>0</v>
      </c>
      <c r="O78" s="105">
        <f t="shared" si="8"/>
        <v>0.75854700854700852</v>
      </c>
      <c r="P78" s="105">
        <f t="shared" si="9"/>
        <v>7.2649572649572655E-2</v>
      </c>
      <c r="Q78" s="105">
        <f t="shared" si="10"/>
        <v>0.1517094017094017</v>
      </c>
      <c r="R78" s="105">
        <f t="shared" si="11"/>
        <v>6.41025641025641E-3</v>
      </c>
      <c r="S78" s="105">
        <f t="shared" si="12"/>
        <v>0</v>
      </c>
      <c r="T78" s="106">
        <v>136</v>
      </c>
      <c r="U78" s="106">
        <v>327</v>
      </c>
      <c r="V78" s="106">
        <v>109</v>
      </c>
      <c r="W78" s="106">
        <v>7</v>
      </c>
      <c r="X78" s="106">
        <v>579</v>
      </c>
      <c r="Y78" s="107">
        <v>0.23488773747841105</v>
      </c>
      <c r="Z78" s="107">
        <v>0.56476683937823835</v>
      </c>
      <c r="AA78" s="107">
        <v>0.18825561312607944</v>
      </c>
      <c r="AB78" s="107">
        <v>1.2089810017271158E-2</v>
      </c>
      <c r="AC78" s="108">
        <v>47.189982728842836</v>
      </c>
      <c r="AD78" s="105">
        <f t="shared" si="13"/>
        <v>0.80829015544041449</v>
      </c>
    </row>
    <row r="79" spans="1:30" x14ac:dyDescent="0.25">
      <c r="A79" s="104"/>
      <c r="B79" s="104"/>
      <c r="C79" s="104"/>
      <c r="D79" s="104">
        <v>5</v>
      </c>
      <c r="E79" s="104">
        <v>439</v>
      </c>
      <c r="F79" s="104">
        <v>55</v>
      </c>
      <c r="G79" s="104">
        <v>80</v>
      </c>
      <c r="H79" s="104">
        <v>0</v>
      </c>
      <c r="I79" s="104">
        <v>0</v>
      </c>
      <c r="J79" s="104">
        <v>301</v>
      </c>
      <c r="K79" s="104">
        <v>436</v>
      </c>
      <c r="L79" s="104">
        <v>3</v>
      </c>
      <c r="M79" s="104">
        <f t="shared" si="7"/>
        <v>439</v>
      </c>
      <c r="N79" s="104">
        <v>0</v>
      </c>
      <c r="O79" s="105">
        <f t="shared" si="8"/>
        <v>0.68564920273348517</v>
      </c>
      <c r="P79" s="105">
        <f t="shared" si="9"/>
        <v>0.12528473804100229</v>
      </c>
      <c r="Q79" s="105">
        <f t="shared" si="10"/>
        <v>0.18223234624145787</v>
      </c>
      <c r="R79" s="105">
        <f t="shared" si="11"/>
        <v>0</v>
      </c>
      <c r="S79" s="105">
        <f t="shared" si="12"/>
        <v>0</v>
      </c>
      <c r="T79" s="106">
        <v>177</v>
      </c>
      <c r="U79" s="106">
        <v>283</v>
      </c>
      <c r="V79" s="106">
        <v>120</v>
      </c>
      <c r="W79" s="106">
        <v>0</v>
      </c>
      <c r="X79" s="106">
        <v>580</v>
      </c>
      <c r="Y79" s="107">
        <v>0.30517241379310345</v>
      </c>
      <c r="Z79" s="107">
        <v>0.4879310344827586</v>
      </c>
      <c r="AA79" s="107">
        <v>0.20689655172413793</v>
      </c>
      <c r="AB79" s="107">
        <v>0</v>
      </c>
      <c r="AC79" s="108">
        <v>38.425862068965515</v>
      </c>
      <c r="AD79" s="105">
        <f t="shared" si="13"/>
        <v>0.75689655172413794</v>
      </c>
    </row>
    <row r="80" spans="1:30" x14ac:dyDescent="0.25">
      <c r="A80" s="104"/>
      <c r="B80" s="104"/>
      <c r="C80" s="104"/>
      <c r="D80" s="104">
        <v>6</v>
      </c>
      <c r="E80" s="104">
        <v>432</v>
      </c>
      <c r="F80" s="104">
        <v>67</v>
      </c>
      <c r="G80" s="104">
        <v>57</v>
      </c>
      <c r="H80" s="104">
        <v>1</v>
      </c>
      <c r="I80" s="104">
        <v>4</v>
      </c>
      <c r="J80" s="104">
        <v>301</v>
      </c>
      <c r="K80" s="104">
        <v>430</v>
      </c>
      <c r="L80" s="104">
        <v>2</v>
      </c>
      <c r="M80" s="104">
        <f t="shared" si="7"/>
        <v>432</v>
      </c>
      <c r="N80" s="104">
        <v>0</v>
      </c>
      <c r="O80" s="105">
        <f t="shared" si="8"/>
        <v>0.6967592592592593</v>
      </c>
      <c r="P80" s="105">
        <f t="shared" si="9"/>
        <v>0.15509259259259259</v>
      </c>
      <c r="Q80" s="105">
        <f t="shared" si="10"/>
        <v>0.13194444444444445</v>
      </c>
      <c r="R80" s="105">
        <f t="shared" si="11"/>
        <v>9.2592592592592587E-3</v>
      </c>
      <c r="S80" s="105">
        <f t="shared" si="12"/>
        <v>2.3148148148148147E-3</v>
      </c>
      <c r="T80" s="106">
        <v>184</v>
      </c>
      <c r="U80" s="106">
        <v>273</v>
      </c>
      <c r="V80" s="106">
        <v>121</v>
      </c>
      <c r="W80" s="106">
        <v>2</v>
      </c>
      <c r="X80" s="106">
        <v>580</v>
      </c>
      <c r="Y80" s="107">
        <v>0.31724137931034485</v>
      </c>
      <c r="Z80" s="107">
        <v>0.47068965517241379</v>
      </c>
      <c r="AA80" s="107">
        <v>0.20862068965517241</v>
      </c>
      <c r="AB80" s="107">
        <v>3.4482758620689655E-3</v>
      </c>
      <c r="AC80" s="108">
        <v>30.565517241379311</v>
      </c>
      <c r="AD80" s="105">
        <f t="shared" si="13"/>
        <v>0.7448275862068966</v>
      </c>
    </row>
    <row r="81" spans="1:30" x14ac:dyDescent="0.25">
      <c r="A81" s="104"/>
      <c r="B81" s="104"/>
      <c r="C81" s="104"/>
      <c r="D81" s="104">
        <v>7</v>
      </c>
      <c r="E81" s="104">
        <v>439</v>
      </c>
      <c r="F81" s="104">
        <v>75</v>
      </c>
      <c r="G81" s="104">
        <v>61</v>
      </c>
      <c r="H81" s="104">
        <v>1</v>
      </c>
      <c r="I81" s="104">
        <v>2</v>
      </c>
      <c r="J81" s="104">
        <v>297</v>
      </c>
      <c r="K81" s="104">
        <v>436</v>
      </c>
      <c r="L81" s="104">
        <v>3</v>
      </c>
      <c r="M81" s="104">
        <f t="shared" si="7"/>
        <v>439</v>
      </c>
      <c r="N81" s="104">
        <v>0</v>
      </c>
      <c r="O81" s="105">
        <f t="shared" si="8"/>
        <v>0.67653758542141229</v>
      </c>
      <c r="P81" s="105">
        <f t="shared" si="9"/>
        <v>0.17084282460136674</v>
      </c>
      <c r="Q81" s="105">
        <f t="shared" si="10"/>
        <v>0.13895216400911162</v>
      </c>
      <c r="R81" s="105">
        <f t="shared" si="11"/>
        <v>4.5558086560364463E-3</v>
      </c>
      <c r="S81" s="105">
        <f t="shared" si="12"/>
        <v>2.2779043280182231E-3</v>
      </c>
      <c r="T81" s="106">
        <v>206</v>
      </c>
      <c r="U81" s="106">
        <v>210</v>
      </c>
      <c r="V81" s="106">
        <v>164</v>
      </c>
      <c r="W81" s="106">
        <v>0</v>
      </c>
      <c r="X81" s="106">
        <v>580</v>
      </c>
      <c r="Y81" s="107">
        <v>0.35517241379310344</v>
      </c>
      <c r="Z81" s="107">
        <v>0.36206896551724138</v>
      </c>
      <c r="AA81" s="107">
        <v>0.28275862068965518</v>
      </c>
      <c r="AB81" s="107">
        <v>0</v>
      </c>
      <c r="AC81" s="108">
        <v>22.581034482758621</v>
      </c>
      <c r="AD81" s="105">
        <f t="shared" si="13"/>
        <v>0.75689655172413794</v>
      </c>
    </row>
    <row r="82" spans="1:30" x14ac:dyDescent="0.25">
      <c r="A82" s="104">
        <v>17</v>
      </c>
      <c r="B82" s="104" t="s">
        <v>161</v>
      </c>
      <c r="C82" s="104" t="s">
        <v>162</v>
      </c>
      <c r="D82" s="104">
        <v>1</v>
      </c>
      <c r="E82" s="104">
        <v>306</v>
      </c>
      <c r="F82" s="104">
        <v>19</v>
      </c>
      <c r="G82" s="104">
        <v>34</v>
      </c>
      <c r="H82" s="104">
        <v>6</v>
      </c>
      <c r="I82" s="104">
        <v>2</v>
      </c>
      <c r="J82" s="104">
        <v>242</v>
      </c>
      <c r="K82" s="104">
        <v>303</v>
      </c>
      <c r="L82" s="104">
        <v>3</v>
      </c>
      <c r="M82" s="104">
        <f t="shared" si="7"/>
        <v>306</v>
      </c>
      <c r="N82" s="104">
        <v>0</v>
      </c>
      <c r="O82" s="105">
        <f t="shared" si="8"/>
        <v>0.79084967320261434</v>
      </c>
      <c r="P82" s="105">
        <f t="shared" si="9"/>
        <v>6.2091503267973858E-2</v>
      </c>
      <c r="Q82" s="105">
        <f t="shared" si="10"/>
        <v>0.1111111111111111</v>
      </c>
      <c r="R82" s="105">
        <f t="shared" si="11"/>
        <v>6.5359477124183009E-3</v>
      </c>
      <c r="S82" s="105">
        <f t="shared" si="12"/>
        <v>1.9607843137254902E-2</v>
      </c>
      <c r="T82" s="106">
        <v>38</v>
      </c>
      <c r="U82" s="106">
        <v>350</v>
      </c>
      <c r="V82" s="106">
        <v>62</v>
      </c>
      <c r="W82" s="106">
        <v>0</v>
      </c>
      <c r="X82" s="106">
        <v>450</v>
      </c>
      <c r="Y82" s="107">
        <v>8.4444444444444447E-2</v>
      </c>
      <c r="Z82" s="107">
        <v>0.77777777777777779</v>
      </c>
      <c r="AA82" s="107">
        <v>0.13777777777777778</v>
      </c>
      <c r="AB82" s="107">
        <v>0</v>
      </c>
      <c r="AC82" s="108">
        <v>64.642222222222216</v>
      </c>
      <c r="AD82" s="105">
        <f t="shared" si="13"/>
        <v>0.68</v>
      </c>
    </row>
    <row r="83" spans="1:30" x14ac:dyDescent="0.25">
      <c r="A83" s="104"/>
      <c r="B83" s="104"/>
      <c r="C83" s="104"/>
      <c r="D83" s="104">
        <v>2</v>
      </c>
      <c r="E83" s="104">
        <v>382</v>
      </c>
      <c r="F83" s="104">
        <v>7</v>
      </c>
      <c r="G83" s="104">
        <v>29</v>
      </c>
      <c r="H83" s="104">
        <v>1</v>
      </c>
      <c r="I83" s="104">
        <v>1</v>
      </c>
      <c r="J83" s="104">
        <v>342</v>
      </c>
      <c r="K83" s="104">
        <v>380</v>
      </c>
      <c r="L83" s="104">
        <v>2</v>
      </c>
      <c r="M83" s="104">
        <f t="shared" si="7"/>
        <v>382</v>
      </c>
      <c r="N83" s="104">
        <v>0</v>
      </c>
      <c r="O83" s="105">
        <f t="shared" si="8"/>
        <v>0.89528795811518325</v>
      </c>
      <c r="P83" s="105">
        <f t="shared" si="9"/>
        <v>1.832460732984293E-2</v>
      </c>
      <c r="Q83" s="105">
        <f t="shared" si="10"/>
        <v>7.5916230366492143E-2</v>
      </c>
      <c r="R83" s="105">
        <f t="shared" si="11"/>
        <v>2.617801047120419E-3</v>
      </c>
      <c r="S83" s="105">
        <f t="shared" si="12"/>
        <v>2.617801047120419E-3</v>
      </c>
      <c r="T83" s="106">
        <v>37</v>
      </c>
      <c r="U83" s="106">
        <v>368</v>
      </c>
      <c r="V83" s="106">
        <v>45</v>
      </c>
      <c r="W83" s="106">
        <v>0</v>
      </c>
      <c r="X83" s="106">
        <v>450</v>
      </c>
      <c r="Y83" s="107">
        <v>8.2222222222222224E-2</v>
      </c>
      <c r="Z83" s="107">
        <v>0.81777777777777783</v>
      </c>
      <c r="AA83" s="107">
        <v>0.1</v>
      </c>
      <c r="AB83" s="107">
        <v>0</v>
      </c>
      <c r="AC83" s="108">
        <v>60.375555555555557</v>
      </c>
      <c r="AD83" s="105">
        <f t="shared" si="13"/>
        <v>0.84888888888888892</v>
      </c>
    </row>
    <row r="84" spans="1:30" x14ac:dyDescent="0.25">
      <c r="A84" s="104"/>
      <c r="B84" s="104"/>
      <c r="C84" s="104"/>
      <c r="D84" s="104">
        <v>3</v>
      </c>
      <c r="E84" s="104">
        <v>506</v>
      </c>
      <c r="F84" s="104">
        <v>12</v>
      </c>
      <c r="G84" s="104">
        <v>30</v>
      </c>
      <c r="H84" s="104">
        <v>1</v>
      </c>
      <c r="I84" s="104">
        <v>2</v>
      </c>
      <c r="J84" s="104">
        <v>451</v>
      </c>
      <c r="K84" s="104">
        <v>496</v>
      </c>
      <c r="L84" s="104">
        <v>10</v>
      </c>
      <c r="M84" s="104">
        <f t="shared" si="7"/>
        <v>506</v>
      </c>
      <c r="N84" s="104">
        <v>0</v>
      </c>
      <c r="O84" s="105">
        <f t="shared" si="8"/>
        <v>0.89130434782608692</v>
      </c>
      <c r="P84" s="105">
        <f t="shared" si="9"/>
        <v>2.3715415019762844E-2</v>
      </c>
      <c r="Q84" s="105">
        <f t="shared" si="10"/>
        <v>5.9288537549407112E-2</v>
      </c>
      <c r="R84" s="105">
        <f t="shared" si="11"/>
        <v>3.952569169960474E-3</v>
      </c>
      <c r="S84" s="105">
        <f t="shared" si="12"/>
        <v>1.976284584980237E-3</v>
      </c>
      <c r="T84" s="106">
        <v>36</v>
      </c>
      <c r="U84" s="106">
        <v>529</v>
      </c>
      <c r="V84" s="106">
        <v>70</v>
      </c>
      <c r="W84" s="106">
        <v>0</v>
      </c>
      <c r="X84" s="106">
        <v>635</v>
      </c>
      <c r="Y84" s="107">
        <v>5.6692913385826771E-2</v>
      </c>
      <c r="Z84" s="107">
        <v>0.83307086614173231</v>
      </c>
      <c r="AA84" s="107">
        <v>0.11023622047244094</v>
      </c>
      <c r="AB84" s="107">
        <v>0</v>
      </c>
      <c r="AC84" s="108">
        <v>52.190551181102364</v>
      </c>
      <c r="AD84" s="105">
        <f t="shared" si="13"/>
        <v>0.79685039370078736</v>
      </c>
    </row>
    <row r="85" spans="1:30" x14ac:dyDescent="0.25">
      <c r="A85" s="104"/>
      <c r="B85" s="104"/>
      <c r="C85" s="104"/>
      <c r="D85" s="104">
        <v>4</v>
      </c>
      <c r="E85" s="104">
        <v>473</v>
      </c>
      <c r="F85" s="104">
        <v>24</v>
      </c>
      <c r="G85" s="104">
        <v>42</v>
      </c>
      <c r="H85" s="104">
        <v>0</v>
      </c>
      <c r="I85" s="104">
        <v>0</v>
      </c>
      <c r="J85" s="104">
        <v>406</v>
      </c>
      <c r="K85" s="104">
        <v>472</v>
      </c>
      <c r="L85" s="104">
        <v>1</v>
      </c>
      <c r="M85" s="104">
        <f t="shared" si="7"/>
        <v>473</v>
      </c>
      <c r="N85" s="104">
        <v>0</v>
      </c>
      <c r="O85" s="105">
        <f t="shared" si="8"/>
        <v>0.85835095137420714</v>
      </c>
      <c r="P85" s="105">
        <f t="shared" si="9"/>
        <v>5.0739957716701901E-2</v>
      </c>
      <c r="Q85" s="105">
        <f t="shared" si="10"/>
        <v>8.8794926004228336E-2</v>
      </c>
      <c r="R85" s="105">
        <f t="shared" si="11"/>
        <v>0</v>
      </c>
      <c r="S85" s="105">
        <f t="shared" si="12"/>
        <v>0</v>
      </c>
      <c r="T85" s="106">
        <v>66</v>
      </c>
      <c r="U85" s="106">
        <v>459</v>
      </c>
      <c r="V85" s="106">
        <v>106</v>
      </c>
      <c r="W85" s="106">
        <v>4</v>
      </c>
      <c r="X85" s="106">
        <v>635</v>
      </c>
      <c r="Y85" s="107">
        <v>0.10393700787401575</v>
      </c>
      <c r="Z85" s="107">
        <v>0.72283464566929134</v>
      </c>
      <c r="AA85" s="107">
        <v>0.16692913385826771</v>
      </c>
      <c r="AB85" s="107">
        <v>6.2992125984251968E-3</v>
      </c>
      <c r="AC85" s="108">
        <v>44.294488188976381</v>
      </c>
      <c r="AD85" s="105">
        <f t="shared" si="13"/>
        <v>0.74488188976377956</v>
      </c>
    </row>
    <row r="86" spans="1:30" x14ac:dyDescent="0.25">
      <c r="A86" s="104"/>
      <c r="B86" s="104"/>
      <c r="C86" s="104"/>
      <c r="D86" s="104">
        <v>5</v>
      </c>
      <c r="E86" s="104">
        <v>464</v>
      </c>
      <c r="F86" s="104">
        <v>33</v>
      </c>
      <c r="G86" s="104">
        <v>34</v>
      </c>
      <c r="H86" s="104">
        <v>1</v>
      </c>
      <c r="I86" s="104">
        <v>1</v>
      </c>
      <c r="J86" s="104">
        <v>394</v>
      </c>
      <c r="K86" s="104">
        <v>463</v>
      </c>
      <c r="L86" s="104">
        <v>1</v>
      </c>
      <c r="M86" s="104">
        <f t="shared" si="7"/>
        <v>464</v>
      </c>
      <c r="N86" s="104">
        <v>0</v>
      </c>
      <c r="O86" s="105">
        <f t="shared" si="8"/>
        <v>0.84913793103448276</v>
      </c>
      <c r="P86" s="105">
        <f t="shared" si="9"/>
        <v>7.1120689655172417E-2</v>
      </c>
      <c r="Q86" s="105">
        <f t="shared" si="10"/>
        <v>7.3275862068965511E-2</v>
      </c>
      <c r="R86" s="105">
        <f t="shared" si="11"/>
        <v>2.1551724137931034E-3</v>
      </c>
      <c r="S86" s="105">
        <f t="shared" si="12"/>
        <v>2.1551724137931034E-3</v>
      </c>
      <c r="T86" s="106">
        <v>80</v>
      </c>
      <c r="U86" s="106">
        <v>458</v>
      </c>
      <c r="V86" s="106">
        <v>94</v>
      </c>
      <c r="W86" s="106">
        <v>3</v>
      </c>
      <c r="X86" s="106">
        <v>635</v>
      </c>
      <c r="Y86" s="107">
        <v>0.12598425196850394</v>
      </c>
      <c r="Z86" s="107">
        <v>0.721259842519685</v>
      </c>
      <c r="AA86" s="107">
        <v>0.14803149606299212</v>
      </c>
      <c r="AB86" s="107">
        <v>4.7244094488188976E-3</v>
      </c>
      <c r="AC86" s="108">
        <v>37.634645669291338</v>
      </c>
      <c r="AD86" s="105">
        <f t="shared" si="13"/>
        <v>0.73070866141732282</v>
      </c>
    </row>
    <row r="87" spans="1:30" x14ac:dyDescent="0.25">
      <c r="A87" s="104"/>
      <c r="B87" s="104"/>
      <c r="C87" s="104"/>
      <c r="D87" s="104">
        <v>6</v>
      </c>
      <c r="E87" s="104">
        <v>456</v>
      </c>
      <c r="F87" s="104">
        <v>37</v>
      </c>
      <c r="G87" s="104">
        <v>29</v>
      </c>
      <c r="H87" s="104">
        <v>2</v>
      </c>
      <c r="I87" s="104">
        <v>1</v>
      </c>
      <c r="J87" s="104">
        <v>387</v>
      </c>
      <c r="K87" s="104">
        <v>456</v>
      </c>
      <c r="L87" s="104">
        <v>0</v>
      </c>
      <c r="M87" s="104">
        <f t="shared" si="7"/>
        <v>456</v>
      </c>
      <c r="N87" s="104">
        <v>0</v>
      </c>
      <c r="O87" s="105">
        <f t="shared" si="8"/>
        <v>0.84868421052631582</v>
      </c>
      <c r="P87" s="105">
        <f t="shared" si="9"/>
        <v>8.1140350877192985E-2</v>
      </c>
      <c r="Q87" s="105">
        <f t="shared" si="10"/>
        <v>6.3596491228070179E-2</v>
      </c>
      <c r="R87" s="105">
        <f t="shared" si="11"/>
        <v>2.1929824561403508E-3</v>
      </c>
      <c r="S87" s="105">
        <f t="shared" si="12"/>
        <v>4.3859649122807015E-3</v>
      </c>
      <c r="T87" s="106">
        <v>79</v>
      </c>
      <c r="U87" s="106">
        <v>438</v>
      </c>
      <c r="V87" s="106">
        <v>116</v>
      </c>
      <c r="W87" s="106">
        <v>2</v>
      </c>
      <c r="X87" s="106">
        <v>635</v>
      </c>
      <c r="Y87" s="107">
        <v>0.12440944881889764</v>
      </c>
      <c r="Z87" s="107">
        <v>0.68976377952755907</v>
      </c>
      <c r="AA87" s="107">
        <v>0.18267716535433071</v>
      </c>
      <c r="AB87" s="107">
        <v>3.1496062992125984E-3</v>
      </c>
      <c r="AC87" s="108">
        <v>31.64724409448819</v>
      </c>
      <c r="AD87" s="105">
        <f t="shared" si="13"/>
        <v>0.71811023622047243</v>
      </c>
    </row>
    <row r="88" spans="1:30" x14ac:dyDescent="0.25">
      <c r="A88" s="104"/>
      <c r="B88" s="104"/>
      <c r="C88" s="104"/>
      <c r="D88" s="104">
        <v>7</v>
      </c>
      <c r="E88" s="104">
        <v>451</v>
      </c>
      <c r="F88" s="104">
        <v>31</v>
      </c>
      <c r="G88" s="104">
        <v>29</v>
      </c>
      <c r="H88" s="104">
        <v>1</v>
      </c>
      <c r="I88" s="104">
        <v>2</v>
      </c>
      <c r="J88" s="104">
        <v>387</v>
      </c>
      <c r="K88" s="104">
        <v>450</v>
      </c>
      <c r="L88" s="104">
        <v>1</v>
      </c>
      <c r="M88" s="104">
        <f t="shared" si="7"/>
        <v>451</v>
      </c>
      <c r="N88" s="104">
        <v>0</v>
      </c>
      <c r="O88" s="105">
        <f t="shared" si="8"/>
        <v>0.85809312638580926</v>
      </c>
      <c r="P88" s="105">
        <f t="shared" si="9"/>
        <v>6.8736141906873618E-2</v>
      </c>
      <c r="Q88" s="105">
        <f t="shared" si="10"/>
        <v>6.4301552106430154E-2</v>
      </c>
      <c r="R88" s="105">
        <f t="shared" si="11"/>
        <v>4.434589800443459E-3</v>
      </c>
      <c r="S88" s="105">
        <f t="shared" si="12"/>
        <v>2.2172949002217295E-3</v>
      </c>
      <c r="T88" s="106">
        <v>66</v>
      </c>
      <c r="U88" s="106">
        <v>445</v>
      </c>
      <c r="V88" s="106">
        <v>124</v>
      </c>
      <c r="W88" s="106">
        <v>0</v>
      </c>
      <c r="X88" s="106">
        <v>635</v>
      </c>
      <c r="Y88" s="107">
        <v>0.10393700787401575</v>
      </c>
      <c r="Z88" s="107">
        <v>0.70078740157480313</v>
      </c>
      <c r="AA88" s="107">
        <v>0.1952755905511811</v>
      </c>
      <c r="AB88" s="107">
        <v>0</v>
      </c>
      <c r="AC88" s="108">
        <v>26.447244094488187</v>
      </c>
      <c r="AD88" s="105">
        <f t="shared" si="13"/>
        <v>0.71023622047244095</v>
      </c>
    </row>
    <row r="89" spans="1:30" x14ac:dyDescent="0.25">
      <c r="A89" s="104"/>
      <c r="B89" s="104"/>
      <c r="C89" s="104"/>
      <c r="D89" s="104">
        <v>8</v>
      </c>
      <c r="E89" s="104">
        <v>488</v>
      </c>
      <c r="F89" s="104">
        <v>42</v>
      </c>
      <c r="G89" s="104">
        <v>29</v>
      </c>
      <c r="H89" s="104">
        <v>0</v>
      </c>
      <c r="I89" s="104">
        <v>0</v>
      </c>
      <c r="J89" s="104">
        <v>413</v>
      </c>
      <c r="K89" s="104">
        <v>484</v>
      </c>
      <c r="L89" s="104">
        <v>4</v>
      </c>
      <c r="M89" s="104">
        <f t="shared" si="7"/>
        <v>488</v>
      </c>
      <c r="N89" s="104">
        <v>0</v>
      </c>
      <c r="O89" s="105">
        <f t="shared" si="8"/>
        <v>0.84631147540983609</v>
      </c>
      <c r="P89" s="105">
        <f t="shared" si="9"/>
        <v>8.6065573770491802E-2</v>
      </c>
      <c r="Q89" s="105">
        <f t="shared" si="10"/>
        <v>5.9426229508196718E-2</v>
      </c>
      <c r="R89" s="105">
        <f t="shared" si="11"/>
        <v>0</v>
      </c>
      <c r="S89" s="105">
        <f t="shared" si="12"/>
        <v>0</v>
      </c>
      <c r="T89" s="106">
        <v>90</v>
      </c>
      <c r="U89" s="106">
        <v>430</v>
      </c>
      <c r="V89" s="106">
        <v>118</v>
      </c>
      <c r="W89" s="106">
        <v>0</v>
      </c>
      <c r="X89" s="106">
        <v>638</v>
      </c>
      <c r="Y89" s="107">
        <v>0.14106583072100312</v>
      </c>
      <c r="Z89" s="107">
        <v>0.6739811912225705</v>
      </c>
      <c r="AA89" s="107">
        <v>0.18495297805642633</v>
      </c>
      <c r="AB89" s="107">
        <v>0</v>
      </c>
      <c r="AC89" s="108">
        <v>20.788401253918494</v>
      </c>
      <c r="AD89" s="105">
        <f t="shared" si="13"/>
        <v>0.76489028213166144</v>
      </c>
    </row>
    <row r="90" spans="1:30" x14ac:dyDescent="0.25">
      <c r="A90" s="104">
        <v>18</v>
      </c>
      <c r="B90" s="104" t="s">
        <v>163</v>
      </c>
      <c r="C90" s="104" t="s">
        <v>164</v>
      </c>
      <c r="D90" s="104">
        <v>1</v>
      </c>
      <c r="E90" s="104">
        <v>317</v>
      </c>
      <c r="F90" s="104">
        <v>21</v>
      </c>
      <c r="G90" s="104">
        <v>66</v>
      </c>
      <c r="H90" s="104">
        <v>1</v>
      </c>
      <c r="I90" s="104">
        <v>0</v>
      </c>
      <c r="J90" s="104">
        <v>225</v>
      </c>
      <c r="K90" s="104">
        <v>313</v>
      </c>
      <c r="L90" s="104">
        <v>4</v>
      </c>
      <c r="M90" s="104">
        <f t="shared" si="7"/>
        <v>317</v>
      </c>
      <c r="N90" s="104">
        <v>0</v>
      </c>
      <c r="O90" s="105">
        <f t="shared" si="8"/>
        <v>0.70977917981072558</v>
      </c>
      <c r="P90" s="105">
        <f t="shared" si="9"/>
        <v>6.6246056782334389E-2</v>
      </c>
      <c r="Q90" s="105">
        <f t="shared" si="10"/>
        <v>0.20820189274447951</v>
      </c>
      <c r="R90" s="105">
        <f t="shared" si="11"/>
        <v>0</v>
      </c>
      <c r="S90" s="105">
        <f t="shared" si="12"/>
        <v>3.1545741324921135E-3</v>
      </c>
      <c r="T90" s="106">
        <v>82</v>
      </c>
      <c r="U90" s="106">
        <v>180</v>
      </c>
      <c r="V90" s="106">
        <v>181</v>
      </c>
      <c r="W90" s="106">
        <v>7</v>
      </c>
      <c r="X90" s="106">
        <v>450</v>
      </c>
      <c r="Y90" s="107">
        <v>0.18222222222222223</v>
      </c>
      <c r="Z90" s="107">
        <v>0.4</v>
      </c>
      <c r="AA90" s="107">
        <v>0.4022222222222222</v>
      </c>
      <c r="AB90" s="107">
        <v>1.5555555555555555E-2</v>
      </c>
      <c r="AC90" s="108">
        <v>65.371111111111105</v>
      </c>
      <c r="AD90" s="105">
        <f t="shared" si="13"/>
        <v>0.70444444444444443</v>
      </c>
    </row>
    <row r="91" spans="1:30" x14ac:dyDescent="0.25">
      <c r="A91" s="104"/>
      <c r="B91" s="104"/>
      <c r="C91" s="104"/>
      <c r="D91" s="104">
        <v>2</v>
      </c>
      <c r="E91" s="104">
        <v>366</v>
      </c>
      <c r="F91" s="104">
        <v>29</v>
      </c>
      <c r="G91" s="104">
        <v>48</v>
      </c>
      <c r="H91" s="104">
        <v>0</v>
      </c>
      <c r="I91" s="104">
        <v>5</v>
      </c>
      <c r="J91" s="104">
        <v>282</v>
      </c>
      <c r="K91" s="104">
        <v>364</v>
      </c>
      <c r="L91" s="104">
        <v>2</v>
      </c>
      <c r="M91" s="104">
        <f t="shared" si="7"/>
        <v>366</v>
      </c>
      <c r="N91" s="104">
        <v>0</v>
      </c>
      <c r="O91" s="105">
        <f t="shared" si="8"/>
        <v>0.77049180327868849</v>
      </c>
      <c r="P91" s="105">
        <f t="shared" si="9"/>
        <v>7.9234972677595633E-2</v>
      </c>
      <c r="Q91" s="105">
        <f t="shared" si="10"/>
        <v>0.13114754098360656</v>
      </c>
      <c r="R91" s="105">
        <f t="shared" si="11"/>
        <v>1.3661202185792349E-2</v>
      </c>
      <c r="S91" s="105">
        <f t="shared" si="12"/>
        <v>0</v>
      </c>
      <c r="T91" s="106">
        <v>92</v>
      </c>
      <c r="U91" s="106">
        <v>178</v>
      </c>
      <c r="V91" s="106">
        <v>175</v>
      </c>
      <c r="W91" s="106">
        <v>5</v>
      </c>
      <c r="X91" s="106">
        <v>450</v>
      </c>
      <c r="Y91" s="107">
        <v>0.20444444444444446</v>
      </c>
      <c r="Z91" s="107">
        <v>0.39555555555555555</v>
      </c>
      <c r="AA91" s="107">
        <v>0.3888888888888889</v>
      </c>
      <c r="AB91" s="107">
        <v>1.1111111111111112E-2</v>
      </c>
      <c r="AC91" s="108">
        <v>57.428888888888892</v>
      </c>
      <c r="AD91" s="105">
        <f t="shared" si="13"/>
        <v>0.81333333333333335</v>
      </c>
    </row>
    <row r="92" spans="1:30" x14ac:dyDescent="0.25">
      <c r="A92" s="104"/>
      <c r="B92" s="104"/>
      <c r="C92" s="104"/>
      <c r="D92" s="104">
        <v>3</v>
      </c>
      <c r="E92" s="104">
        <v>488</v>
      </c>
      <c r="F92" s="104">
        <v>28</v>
      </c>
      <c r="G92" s="104">
        <v>61</v>
      </c>
      <c r="H92" s="104">
        <v>2</v>
      </c>
      <c r="I92" s="104">
        <v>1</v>
      </c>
      <c r="J92" s="104">
        <v>392</v>
      </c>
      <c r="K92" s="104">
        <v>484</v>
      </c>
      <c r="L92" s="104">
        <v>4</v>
      </c>
      <c r="M92" s="104">
        <f t="shared" si="7"/>
        <v>488</v>
      </c>
      <c r="N92" s="104">
        <v>0</v>
      </c>
      <c r="O92" s="105">
        <f t="shared" si="8"/>
        <v>0.80327868852459017</v>
      </c>
      <c r="P92" s="105">
        <f t="shared" si="9"/>
        <v>5.737704918032787E-2</v>
      </c>
      <c r="Q92" s="105">
        <f t="shared" si="10"/>
        <v>0.125</v>
      </c>
      <c r="R92" s="105">
        <f t="shared" si="11"/>
        <v>2.0491803278688526E-3</v>
      </c>
      <c r="S92" s="105">
        <f t="shared" si="12"/>
        <v>4.0983606557377051E-3</v>
      </c>
      <c r="T92" s="106">
        <v>137</v>
      </c>
      <c r="U92" s="106">
        <v>292</v>
      </c>
      <c r="V92" s="106">
        <v>207</v>
      </c>
      <c r="W92" s="106">
        <v>3</v>
      </c>
      <c r="X92" s="106">
        <v>639</v>
      </c>
      <c r="Y92" s="107">
        <v>0.21439749608763695</v>
      </c>
      <c r="Z92" s="107">
        <v>0.4569640062597809</v>
      </c>
      <c r="AA92" s="107">
        <v>0.323943661971831</v>
      </c>
      <c r="AB92" s="107">
        <v>4.6948356807511738E-3</v>
      </c>
      <c r="AC92" s="108">
        <v>47.575899843505475</v>
      </c>
      <c r="AD92" s="105">
        <f t="shared" si="13"/>
        <v>0.76369327073552429</v>
      </c>
    </row>
    <row r="93" spans="1:30" x14ac:dyDescent="0.25">
      <c r="A93" s="104"/>
      <c r="B93" s="104"/>
      <c r="C93" s="104"/>
      <c r="D93" s="104">
        <v>4</v>
      </c>
      <c r="E93" s="104">
        <v>469</v>
      </c>
      <c r="F93" s="104">
        <v>32</v>
      </c>
      <c r="G93" s="104">
        <v>58</v>
      </c>
      <c r="H93" s="104">
        <v>2</v>
      </c>
      <c r="I93" s="104">
        <v>6</v>
      </c>
      <c r="J93" s="104">
        <v>369</v>
      </c>
      <c r="K93" s="104">
        <v>467</v>
      </c>
      <c r="L93" s="104">
        <v>2</v>
      </c>
      <c r="M93" s="104">
        <f t="shared" si="7"/>
        <v>469</v>
      </c>
      <c r="N93" s="104">
        <v>0</v>
      </c>
      <c r="O93" s="105">
        <f t="shared" si="8"/>
        <v>0.78678038379530912</v>
      </c>
      <c r="P93" s="105">
        <f t="shared" si="9"/>
        <v>6.8230277185501065E-2</v>
      </c>
      <c r="Q93" s="105">
        <f t="shared" si="10"/>
        <v>0.12366737739872068</v>
      </c>
      <c r="R93" s="105">
        <f t="shared" si="11"/>
        <v>1.279317697228145E-2</v>
      </c>
      <c r="S93" s="105">
        <f t="shared" si="12"/>
        <v>4.2643923240938165E-3</v>
      </c>
      <c r="T93" s="106">
        <v>129</v>
      </c>
      <c r="U93" s="106">
        <v>316</v>
      </c>
      <c r="V93" s="106">
        <v>189</v>
      </c>
      <c r="W93" s="106">
        <v>5</v>
      </c>
      <c r="X93" s="106">
        <v>639</v>
      </c>
      <c r="Y93" s="107">
        <v>0.20187793427230047</v>
      </c>
      <c r="Z93" s="107">
        <v>0.49452269170579027</v>
      </c>
      <c r="AA93" s="107">
        <v>0.29577464788732394</v>
      </c>
      <c r="AB93" s="107">
        <v>7.8247261345852897E-3</v>
      </c>
      <c r="AC93" s="108">
        <v>39.820031298904539</v>
      </c>
      <c r="AD93" s="105">
        <f t="shared" si="13"/>
        <v>0.7339593114241002</v>
      </c>
    </row>
    <row r="94" spans="1:30" x14ac:dyDescent="0.25">
      <c r="A94" s="104"/>
      <c r="B94" s="104"/>
      <c r="C94" s="104"/>
      <c r="D94" s="104">
        <v>5</v>
      </c>
      <c r="E94" s="104">
        <v>473</v>
      </c>
      <c r="F94" s="104">
        <v>59</v>
      </c>
      <c r="G94" s="104">
        <v>43</v>
      </c>
      <c r="H94" s="104">
        <v>3</v>
      </c>
      <c r="I94" s="104">
        <v>2</v>
      </c>
      <c r="J94" s="104">
        <v>363</v>
      </c>
      <c r="K94" s="104">
        <v>470</v>
      </c>
      <c r="L94" s="104">
        <v>3</v>
      </c>
      <c r="M94" s="104">
        <f t="shared" si="7"/>
        <v>473</v>
      </c>
      <c r="N94" s="104">
        <v>0</v>
      </c>
      <c r="O94" s="105">
        <f t="shared" si="8"/>
        <v>0.76744186046511631</v>
      </c>
      <c r="P94" s="105">
        <f t="shared" si="9"/>
        <v>0.12473572938689217</v>
      </c>
      <c r="Q94" s="105">
        <f t="shared" si="10"/>
        <v>9.0909090909090912E-2</v>
      </c>
      <c r="R94" s="105">
        <f t="shared" si="11"/>
        <v>4.2283298097251587E-3</v>
      </c>
      <c r="S94" s="105">
        <f t="shared" si="12"/>
        <v>6.3424947145877377E-3</v>
      </c>
      <c r="T94" s="106">
        <v>167</v>
      </c>
      <c r="U94" s="106">
        <v>302</v>
      </c>
      <c r="V94" s="106">
        <v>166</v>
      </c>
      <c r="W94" s="106">
        <v>4</v>
      </c>
      <c r="X94" s="106">
        <v>639</v>
      </c>
      <c r="Y94" s="107">
        <v>0.26134585289514867</v>
      </c>
      <c r="Z94" s="107">
        <v>0.47261345852895148</v>
      </c>
      <c r="AA94" s="107">
        <v>0.25978090766823159</v>
      </c>
      <c r="AB94" s="107">
        <v>6.2597809076682318E-3</v>
      </c>
      <c r="AC94" s="108">
        <v>33.30203442879499</v>
      </c>
      <c r="AD94" s="105">
        <f t="shared" si="13"/>
        <v>0.74021909233176841</v>
      </c>
    </row>
    <row r="95" spans="1:30" x14ac:dyDescent="0.25">
      <c r="A95" s="104"/>
      <c r="B95" s="104"/>
      <c r="C95" s="104"/>
      <c r="D95" s="104">
        <v>6</v>
      </c>
      <c r="E95" s="104">
        <v>439</v>
      </c>
      <c r="F95" s="104">
        <v>53</v>
      </c>
      <c r="G95" s="104">
        <v>33</v>
      </c>
      <c r="H95" s="104">
        <v>4</v>
      </c>
      <c r="I95" s="104">
        <v>2</v>
      </c>
      <c r="J95" s="104">
        <v>338</v>
      </c>
      <c r="K95" s="104">
        <v>430</v>
      </c>
      <c r="L95" s="104">
        <v>9</v>
      </c>
      <c r="M95" s="104">
        <f t="shared" si="7"/>
        <v>439</v>
      </c>
      <c r="N95" s="104">
        <v>0</v>
      </c>
      <c r="O95" s="105">
        <f t="shared" si="8"/>
        <v>0.76993166287015946</v>
      </c>
      <c r="P95" s="105">
        <f t="shared" si="9"/>
        <v>0.12072892938496584</v>
      </c>
      <c r="Q95" s="105">
        <f t="shared" si="10"/>
        <v>7.5170842824601361E-2</v>
      </c>
      <c r="R95" s="105">
        <f t="shared" si="11"/>
        <v>4.5558086560364463E-3</v>
      </c>
      <c r="S95" s="105">
        <f t="shared" si="12"/>
        <v>9.1116173120728925E-3</v>
      </c>
      <c r="T95" s="106">
        <v>175</v>
      </c>
      <c r="U95" s="106">
        <v>288</v>
      </c>
      <c r="V95" s="106">
        <v>173</v>
      </c>
      <c r="W95" s="106">
        <v>3</v>
      </c>
      <c r="X95" s="106">
        <v>639</v>
      </c>
      <c r="Y95" s="107">
        <v>0.27386541471048514</v>
      </c>
      <c r="Z95" s="107">
        <v>0.45070422535211269</v>
      </c>
      <c r="AA95" s="107">
        <v>0.27073552425665104</v>
      </c>
      <c r="AB95" s="107">
        <v>4.6948356807511738E-3</v>
      </c>
      <c r="AC95" s="108">
        <v>27.402190923317683</v>
      </c>
      <c r="AD95" s="105">
        <f t="shared" si="13"/>
        <v>0.68701095461658845</v>
      </c>
    </row>
    <row r="96" spans="1:30" x14ac:dyDescent="0.25">
      <c r="A96" s="104"/>
      <c r="B96" s="104"/>
      <c r="C96" s="104"/>
      <c r="D96" s="104">
        <v>7</v>
      </c>
      <c r="E96" s="104">
        <v>525</v>
      </c>
      <c r="F96" s="104">
        <v>48</v>
      </c>
      <c r="G96" s="104">
        <v>61</v>
      </c>
      <c r="H96" s="104">
        <v>2</v>
      </c>
      <c r="I96" s="104">
        <v>1</v>
      </c>
      <c r="J96" s="104">
        <v>412</v>
      </c>
      <c r="K96" s="104">
        <v>524</v>
      </c>
      <c r="L96" s="104">
        <v>1</v>
      </c>
      <c r="M96" s="104">
        <f t="shared" si="7"/>
        <v>525</v>
      </c>
      <c r="N96" s="104">
        <v>0</v>
      </c>
      <c r="O96" s="105">
        <f t="shared" si="8"/>
        <v>0.78476190476190477</v>
      </c>
      <c r="P96" s="105">
        <f t="shared" si="9"/>
        <v>9.1428571428571428E-2</v>
      </c>
      <c r="Q96" s="105">
        <f t="shared" si="10"/>
        <v>0.11619047619047619</v>
      </c>
      <c r="R96" s="105">
        <f t="shared" si="11"/>
        <v>1.9047619047619048E-3</v>
      </c>
      <c r="S96" s="105">
        <f t="shared" si="12"/>
        <v>3.8095238095238095E-3</v>
      </c>
      <c r="T96" s="106">
        <v>161</v>
      </c>
      <c r="U96" s="106">
        <v>303</v>
      </c>
      <c r="V96" s="106">
        <v>173</v>
      </c>
      <c r="W96" s="106">
        <v>2</v>
      </c>
      <c r="X96" s="106">
        <v>639</v>
      </c>
      <c r="Y96" s="107">
        <v>0.2519561815336463</v>
      </c>
      <c r="Z96" s="107">
        <v>0.47417840375586856</v>
      </c>
      <c r="AA96" s="107">
        <v>0.27073552425665104</v>
      </c>
      <c r="AB96" s="107">
        <v>3.1298904538341159E-3</v>
      </c>
      <c r="AC96" s="108">
        <v>21.4037558685446</v>
      </c>
      <c r="AD96" s="105">
        <f t="shared" si="13"/>
        <v>0.82159624413145538</v>
      </c>
    </row>
    <row r="97" spans="1:30" x14ac:dyDescent="0.25">
      <c r="A97" s="26">
        <v>19</v>
      </c>
      <c r="B97" s="26" t="s">
        <v>165</v>
      </c>
      <c r="C97" s="26" t="s">
        <v>166</v>
      </c>
      <c r="D97" s="26">
        <v>1</v>
      </c>
      <c r="E97" s="26">
        <v>264</v>
      </c>
      <c r="F97" s="26">
        <v>13</v>
      </c>
      <c r="G97" s="26">
        <v>57</v>
      </c>
      <c r="H97" s="26">
        <v>6</v>
      </c>
      <c r="I97" s="26">
        <v>3</v>
      </c>
      <c r="J97" s="26">
        <v>180</v>
      </c>
      <c r="K97" s="26">
        <v>259</v>
      </c>
      <c r="L97" s="26">
        <v>5</v>
      </c>
      <c r="M97" s="26">
        <f t="shared" si="7"/>
        <v>264</v>
      </c>
      <c r="N97" s="26">
        <v>0</v>
      </c>
      <c r="O97" s="27">
        <f t="shared" si="8"/>
        <v>0.68181818181818177</v>
      </c>
      <c r="P97" s="27">
        <f t="shared" si="9"/>
        <v>4.924242424242424E-2</v>
      </c>
      <c r="Q97" s="27">
        <f t="shared" si="10"/>
        <v>0.21590909090909091</v>
      </c>
      <c r="R97" s="27">
        <f t="shared" si="11"/>
        <v>1.1363636363636364E-2</v>
      </c>
      <c r="S97" s="27">
        <f t="shared" si="12"/>
        <v>2.2727272727272728E-2</v>
      </c>
      <c r="T97" s="28">
        <v>19</v>
      </c>
      <c r="U97" s="28">
        <v>31</v>
      </c>
      <c r="V97" s="28">
        <v>326</v>
      </c>
      <c r="W97" s="28">
        <v>2</v>
      </c>
      <c r="X97" s="28">
        <v>378</v>
      </c>
      <c r="Y97" s="29">
        <v>5.0264550264550262E-2</v>
      </c>
      <c r="Z97" s="29">
        <v>8.2010582010582006E-2</v>
      </c>
      <c r="AA97" s="29">
        <v>0.86243386243386244</v>
      </c>
      <c r="AB97" s="29">
        <v>5.2910052910052907E-3</v>
      </c>
      <c r="AC97" s="30">
        <v>53.164021164021165</v>
      </c>
      <c r="AD97" s="27">
        <f t="shared" si="13"/>
        <v>0.69841269841269837</v>
      </c>
    </row>
    <row r="98" spans="1:30" x14ac:dyDescent="0.25">
      <c r="A98" s="26">
        <v>20</v>
      </c>
      <c r="B98" s="26" t="s">
        <v>167</v>
      </c>
      <c r="C98" s="26" t="s">
        <v>168</v>
      </c>
      <c r="D98" s="26">
        <v>1</v>
      </c>
      <c r="E98" s="26">
        <v>169</v>
      </c>
      <c r="F98" s="26">
        <v>5</v>
      </c>
      <c r="G98" s="26">
        <v>54</v>
      </c>
      <c r="H98" s="26">
        <v>5</v>
      </c>
      <c r="I98" s="26">
        <v>2</v>
      </c>
      <c r="J98" s="26">
        <v>98</v>
      </c>
      <c r="K98" s="26">
        <v>164</v>
      </c>
      <c r="L98" s="26">
        <v>5</v>
      </c>
      <c r="M98" s="26">
        <f t="shared" si="7"/>
        <v>169</v>
      </c>
      <c r="N98" s="26">
        <v>0</v>
      </c>
      <c r="O98" s="27">
        <f t="shared" si="8"/>
        <v>0.57988165680473369</v>
      </c>
      <c r="P98" s="27">
        <f t="shared" si="9"/>
        <v>2.9585798816568046E-2</v>
      </c>
      <c r="Q98" s="27">
        <f t="shared" si="10"/>
        <v>0.31952662721893493</v>
      </c>
      <c r="R98" s="27">
        <f t="shared" si="11"/>
        <v>1.1834319526627219E-2</v>
      </c>
      <c r="S98" s="27">
        <f t="shared" si="12"/>
        <v>2.9585798816568046E-2</v>
      </c>
      <c r="T98" s="28">
        <v>15</v>
      </c>
      <c r="U98" s="28">
        <v>42</v>
      </c>
      <c r="V98" s="28">
        <v>193</v>
      </c>
      <c r="W98" s="28">
        <v>0</v>
      </c>
      <c r="X98" s="28">
        <v>250</v>
      </c>
      <c r="Y98" s="29">
        <v>0.06</v>
      </c>
      <c r="Z98" s="29">
        <v>0.16800000000000001</v>
      </c>
      <c r="AA98" s="29">
        <v>0.77200000000000002</v>
      </c>
      <c r="AB98" s="29">
        <v>0</v>
      </c>
      <c r="AC98" s="30">
        <v>68.048000000000002</v>
      </c>
      <c r="AD98" s="27">
        <f t="shared" si="13"/>
        <v>0.67600000000000005</v>
      </c>
    </row>
    <row r="99" spans="1:30" x14ac:dyDescent="0.25">
      <c r="A99" s="26"/>
      <c r="B99" s="26"/>
      <c r="C99" s="26"/>
      <c r="D99" s="26">
        <v>2</v>
      </c>
      <c r="E99" s="26">
        <v>281</v>
      </c>
      <c r="F99" s="26">
        <v>20</v>
      </c>
      <c r="G99" s="26">
        <v>69</v>
      </c>
      <c r="H99" s="26">
        <v>1</v>
      </c>
      <c r="I99" s="26">
        <v>1</v>
      </c>
      <c r="J99" s="26">
        <v>187</v>
      </c>
      <c r="K99" s="26">
        <v>278</v>
      </c>
      <c r="L99" s="26">
        <v>3</v>
      </c>
      <c r="M99" s="26">
        <f t="shared" si="7"/>
        <v>281</v>
      </c>
      <c r="N99" s="26">
        <v>0</v>
      </c>
      <c r="O99" s="27">
        <f t="shared" si="8"/>
        <v>0.66548042704626331</v>
      </c>
      <c r="P99" s="27">
        <f t="shared" si="9"/>
        <v>7.1174377224199295E-2</v>
      </c>
      <c r="Q99" s="27">
        <f t="shared" si="10"/>
        <v>0.24555160142348753</v>
      </c>
      <c r="R99" s="27">
        <f t="shared" si="11"/>
        <v>3.5587188612099642E-3</v>
      </c>
      <c r="S99" s="27">
        <f t="shared" si="12"/>
        <v>3.5587188612099642E-3</v>
      </c>
      <c r="T99" s="28">
        <v>42</v>
      </c>
      <c r="U99" s="28">
        <v>38</v>
      </c>
      <c r="V99" s="28">
        <v>266</v>
      </c>
      <c r="W99" s="28">
        <v>0</v>
      </c>
      <c r="X99" s="28">
        <v>346</v>
      </c>
      <c r="Y99" s="29">
        <v>0.12138728323699421</v>
      </c>
      <c r="Z99" s="29">
        <v>0.10982658959537572</v>
      </c>
      <c r="AA99" s="29">
        <v>0.76878612716763006</v>
      </c>
      <c r="AB99" s="29">
        <v>0</v>
      </c>
      <c r="AC99" s="30">
        <v>41.306358381502889</v>
      </c>
      <c r="AD99" s="27">
        <f t="shared" si="13"/>
        <v>0.81213872832369938</v>
      </c>
    </row>
    <row r="100" spans="1:30" x14ac:dyDescent="0.25">
      <c r="A100" s="26">
        <v>21</v>
      </c>
      <c r="B100" s="26" t="s">
        <v>169</v>
      </c>
      <c r="C100" s="26" t="s">
        <v>170</v>
      </c>
      <c r="D100" s="26">
        <v>1</v>
      </c>
      <c r="E100" s="26">
        <v>266</v>
      </c>
      <c r="F100" s="26">
        <v>6</v>
      </c>
      <c r="G100" s="26">
        <v>96</v>
      </c>
      <c r="H100" s="26">
        <v>4</v>
      </c>
      <c r="I100" s="26">
        <v>2</v>
      </c>
      <c r="J100" s="26">
        <v>153</v>
      </c>
      <c r="K100" s="26">
        <v>261</v>
      </c>
      <c r="L100" s="26">
        <v>5</v>
      </c>
      <c r="M100" s="26">
        <f t="shared" si="7"/>
        <v>266</v>
      </c>
      <c r="N100" s="26">
        <v>0</v>
      </c>
      <c r="O100" s="27">
        <f t="shared" si="8"/>
        <v>0.57518796992481203</v>
      </c>
      <c r="P100" s="27">
        <f t="shared" si="9"/>
        <v>2.2556390977443608E-2</v>
      </c>
      <c r="Q100" s="27">
        <f t="shared" si="10"/>
        <v>0.36090225563909772</v>
      </c>
      <c r="R100" s="27">
        <f t="shared" si="11"/>
        <v>7.5187969924812026E-3</v>
      </c>
      <c r="S100" s="27">
        <f t="shared" si="12"/>
        <v>1.5037593984962405E-2</v>
      </c>
      <c r="T100" s="28">
        <v>13</v>
      </c>
      <c r="U100" s="28">
        <v>85</v>
      </c>
      <c r="V100" s="28">
        <v>268</v>
      </c>
      <c r="W100" s="28">
        <v>0</v>
      </c>
      <c r="X100" s="28">
        <v>366</v>
      </c>
      <c r="Y100" s="29">
        <v>3.5519125683060107E-2</v>
      </c>
      <c r="Z100" s="29">
        <v>0.23224043715846995</v>
      </c>
      <c r="AA100" s="29">
        <v>0.73224043715846998</v>
      </c>
      <c r="AB100" s="29">
        <v>0</v>
      </c>
      <c r="AC100" s="30">
        <v>52.002732240437162</v>
      </c>
      <c r="AD100" s="27">
        <f t="shared" si="13"/>
        <v>0.72677595628415304</v>
      </c>
    </row>
    <row r="101" spans="1:30" x14ac:dyDescent="0.25">
      <c r="A101" s="26">
        <v>22</v>
      </c>
      <c r="B101" s="26" t="s">
        <v>171</v>
      </c>
      <c r="C101" s="26" t="s">
        <v>172</v>
      </c>
      <c r="D101" s="26">
        <v>1</v>
      </c>
      <c r="E101" s="26">
        <v>214</v>
      </c>
      <c r="F101" s="26">
        <v>13</v>
      </c>
      <c r="G101" s="26">
        <v>57</v>
      </c>
      <c r="H101" s="26">
        <v>2</v>
      </c>
      <c r="I101" s="26">
        <v>5</v>
      </c>
      <c r="J101" s="26">
        <v>130</v>
      </c>
      <c r="K101" s="26">
        <v>207</v>
      </c>
      <c r="L101" s="26">
        <v>7</v>
      </c>
      <c r="M101" s="26">
        <f t="shared" si="7"/>
        <v>214</v>
      </c>
      <c r="N101" s="26">
        <v>0</v>
      </c>
      <c r="O101" s="27">
        <f t="shared" si="8"/>
        <v>0.60747663551401865</v>
      </c>
      <c r="P101" s="27">
        <f t="shared" si="9"/>
        <v>6.0747663551401869E-2</v>
      </c>
      <c r="Q101" s="27">
        <f t="shared" si="10"/>
        <v>0.26635514018691586</v>
      </c>
      <c r="R101" s="27">
        <f t="shared" si="11"/>
        <v>2.336448598130841E-2</v>
      </c>
      <c r="S101" s="27">
        <f t="shared" si="12"/>
        <v>9.3457943925233638E-3</v>
      </c>
      <c r="T101" s="28">
        <v>30</v>
      </c>
      <c r="U101" s="28">
        <v>111</v>
      </c>
      <c r="V101" s="28">
        <v>209</v>
      </c>
      <c r="W101" s="28">
        <v>0</v>
      </c>
      <c r="X101" s="28">
        <v>350</v>
      </c>
      <c r="Y101" s="29">
        <v>8.5714285714285715E-2</v>
      </c>
      <c r="Z101" s="29">
        <v>0.31714285714285712</v>
      </c>
      <c r="AA101" s="29">
        <v>0.5971428571428572</v>
      </c>
      <c r="AB101" s="29">
        <v>0</v>
      </c>
      <c r="AC101" s="30">
        <v>69.854285714285709</v>
      </c>
      <c r="AD101" s="27">
        <f t="shared" si="13"/>
        <v>0.61142857142857143</v>
      </c>
    </row>
    <row r="102" spans="1:30" x14ac:dyDescent="0.25">
      <c r="A102" s="26"/>
      <c r="B102" s="26"/>
      <c r="C102" s="26"/>
      <c r="D102" s="26">
        <v>2</v>
      </c>
      <c r="E102" s="26">
        <v>322</v>
      </c>
      <c r="F102" s="26">
        <v>52</v>
      </c>
      <c r="G102" s="26">
        <v>65</v>
      </c>
      <c r="H102" s="26">
        <v>2</v>
      </c>
      <c r="I102" s="26">
        <v>3</v>
      </c>
      <c r="J102" s="26">
        <v>195</v>
      </c>
      <c r="K102" s="26">
        <v>317</v>
      </c>
      <c r="L102" s="26">
        <v>5</v>
      </c>
      <c r="M102" s="26">
        <f t="shared" si="7"/>
        <v>322</v>
      </c>
      <c r="N102" s="26">
        <v>0</v>
      </c>
      <c r="O102" s="27">
        <f t="shared" si="8"/>
        <v>0.60559006211180122</v>
      </c>
      <c r="P102" s="27">
        <f t="shared" si="9"/>
        <v>0.16149068322981366</v>
      </c>
      <c r="Q102" s="27">
        <f t="shared" si="10"/>
        <v>0.20186335403726707</v>
      </c>
      <c r="R102" s="27">
        <f t="shared" si="11"/>
        <v>9.316770186335404E-3</v>
      </c>
      <c r="S102" s="27">
        <f t="shared" si="12"/>
        <v>6.2111801242236021E-3</v>
      </c>
      <c r="T102" s="28">
        <v>109</v>
      </c>
      <c r="U102" s="28">
        <v>46</v>
      </c>
      <c r="V102" s="28">
        <v>273</v>
      </c>
      <c r="W102" s="28">
        <v>0</v>
      </c>
      <c r="X102" s="28">
        <v>428</v>
      </c>
      <c r="Y102" s="29">
        <v>0.25467289719626168</v>
      </c>
      <c r="Z102" s="29">
        <v>0.10747663551401869</v>
      </c>
      <c r="AA102" s="29">
        <v>0.63785046728971961</v>
      </c>
      <c r="AB102" s="29">
        <v>0</v>
      </c>
      <c r="AC102" s="30">
        <v>41.511682242990652</v>
      </c>
      <c r="AD102" s="27">
        <f t="shared" si="13"/>
        <v>0.75233644859813087</v>
      </c>
    </row>
    <row r="103" spans="1:30" x14ac:dyDescent="0.25">
      <c r="A103" s="26">
        <v>23</v>
      </c>
      <c r="B103" s="26" t="s">
        <v>173</v>
      </c>
      <c r="C103" s="26" t="s">
        <v>174</v>
      </c>
      <c r="D103" s="26">
        <v>1</v>
      </c>
      <c r="E103" s="26">
        <v>244</v>
      </c>
      <c r="F103" s="26">
        <v>85</v>
      </c>
      <c r="G103" s="26">
        <v>77</v>
      </c>
      <c r="H103" s="26">
        <v>7</v>
      </c>
      <c r="I103" s="26">
        <v>0</v>
      </c>
      <c r="J103" s="26">
        <v>74</v>
      </c>
      <c r="K103" s="26">
        <v>243</v>
      </c>
      <c r="L103" s="26">
        <v>1</v>
      </c>
      <c r="M103" s="26">
        <f t="shared" si="7"/>
        <v>244</v>
      </c>
      <c r="N103" s="26">
        <v>0</v>
      </c>
      <c r="O103" s="27">
        <f t="shared" si="8"/>
        <v>0.30327868852459017</v>
      </c>
      <c r="P103" s="27">
        <f t="shared" si="9"/>
        <v>0.34836065573770492</v>
      </c>
      <c r="Q103" s="27">
        <f t="shared" si="10"/>
        <v>0.3155737704918033</v>
      </c>
      <c r="R103" s="27">
        <f t="shared" si="11"/>
        <v>0</v>
      </c>
      <c r="S103" s="27">
        <f t="shared" si="12"/>
        <v>2.8688524590163935E-2</v>
      </c>
      <c r="T103" s="28">
        <v>332</v>
      </c>
      <c r="U103" s="28">
        <v>33</v>
      </c>
      <c r="V103" s="28">
        <v>58</v>
      </c>
      <c r="W103" s="28">
        <v>27</v>
      </c>
      <c r="X103" s="28">
        <v>450</v>
      </c>
      <c r="Y103" s="29">
        <v>0.73777777777777775</v>
      </c>
      <c r="Z103" s="29">
        <v>7.3333333333333334E-2</v>
      </c>
      <c r="AA103" s="29">
        <v>0.12888888888888889</v>
      </c>
      <c r="AB103" s="29">
        <v>0.06</v>
      </c>
      <c r="AC103" s="30">
        <v>55.808888888888887</v>
      </c>
      <c r="AD103" s="27">
        <f t="shared" si="13"/>
        <v>0.54222222222222227</v>
      </c>
    </row>
    <row r="104" spans="1:30" x14ac:dyDescent="0.25">
      <c r="A104" s="26"/>
      <c r="B104" s="26"/>
      <c r="C104" s="26"/>
      <c r="D104" s="26">
        <v>2</v>
      </c>
      <c r="E104" s="26">
        <v>189</v>
      </c>
      <c r="F104" s="26">
        <v>106</v>
      </c>
      <c r="G104" s="26">
        <v>53</v>
      </c>
      <c r="H104" s="26">
        <v>2</v>
      </c>
      <c r="I104" s="26">
        <v>0</v>
      </c>
      <c r="J104" s="26">
        <v>26</v>
      </c>
      <c r="K104" s="26">
        <v>187</v>
      </c>
      <c r="L104" s="26">
        <v>2</v>
      </c>
      <c r="M104" s="26">
        <f t="shared" si="7"/>
        <v>189</v>
      </c>
      <c r="N104" s="26">
        <v>0</v>
      </c>
      <c r="O104" s="27">
        <f t="shared" si="8"/>
        <v>0.13756613756613756</v>
      </c>
      <c r="P104" s="27">
        <f t="shared" si="9"/>
        <v>0.56084656084656082</v>
      </c>
      <c r="Q104" s="27">
        <f t="shared" si="10"/>
        <v>0.28042328042328041</v>
      </c>
      <c r="R104" s="27">
        <f t="shared" si="11"/>
        <v>0</v>
      </c>
      <c r="S104" s="27">
        <f t="shared" si="12"/>
        <v>1.0582010582010581E-2</v>
      </c>
      <c r="T104" s="28">
        <v>382</v>
      </c>
      <c r="U104" s="28">
        <v>8</v>
      </c>
      <c r="V104" s="28">
        <v>17</v>
      </c>
      <c r="W104" s="28">
        <v>59</v>
      </c>
      <c r="X104" s="28">
        <v>466</v>
      </c>
      <c r="Y104" s="29">
        <v>0.81974248927038629</v>
      </c>
      <c r="Z104" s="29">
        <v>1.7167381974248927E-2</v>
      </c>
      <c r="AA104" s="29">
        <v>3.6480686695278972E-2</v>
      </c>
      <c r="AB104" s="29">
        <v>0.12660944206008584</v>
      </c>
      <c r="AC104" s="30">
        <v>42.422746781115883</v>
      </c>
      <c r="AD104" s="27">
        <f t="shared" si="13"/>
        <v>0.40557939914163088</v>
      </c>
    </row>
    <row r="105" spans="1:30" x14ac:dyDescent="0.25">
      <c r="A105" s="26"/>
      <c r="B105" s="26"/>
      <c r="C105" s="26"/>
      <c r="D105" s="26">
        <v>3</v>
      </c>
      <c r="E105" s="26">
        <v>179</v>
      </c>
      <c r="F105" s="26">
        <v>93</v>
      </c>
      <c r="G105" s="26">
        <v>33</v>
      </c>
      <c r="H105" s="26">
        <v>0</v>
      </c>
      <c r="I105" s="26">
        <v>1</v>
      </c>
      <c r="J105" s="26">
        <v>50</v>
      </c>
      <c r="K105" s="26">
        <v>177</v>
      </c>
      <c r="L105" s="26">
        <v>2</v>
      </c>
      <c r="M105" s="26">
        <f t="shared" si="7"/>
        <v>179</v>
      </c>
      <c r="N105" s="26">
        <v>0</v>
      </c>
      <c r="O105" s="27">
        <f t="shared" si="8"/>
        <v>0.27932960893854747</v>
      </c>
      <c r="P105" s="27">
        <f t="shared" si="9"/>
        <v>0.51955307262569828</v>
      </c>
      <c r="Q105" s="27">
        <f t="shared" si="10"/>
        <v>0.18435754189944134</v>
      </c>
      <c r="R105" s="27">
        <f t="shared" si="11"/>
        <v>5.5865921787709499E-3</v>
      </c>
      <c r="S105" s="27">
        <f t="shared" si="12"/>
        <v>0</v>
      </c>
      <c r="T105" s="28">
        <v>371</v>
      </c>
      <c r="U105" s="28">
        <v>18</v>
      </c>
      <c r="V105" s="28">
        <v>40</v>
      </c>
      <c r="W105" s="28">
        <v>37</v>
      </c>
      <c r="X105" s="28">
        <v>466</v>
      </c>
      <c r="Y105" s="29">
        <v>0.79613733905579398</v>
      </c>
      <c r="Z105" s="29">
        <v>3.8626609442060089E-2</v>
      </c>
      <c r="AA105" s="29">
        <v>8.5836909871244635E-2</v>
      </c>
      <c r="AB105" s="29">
        <v>7.9399141630901282E-2</v>
      </c>
      <c r="AC105" s="30">
        <v>31.032188841201716</v>
      </c>
      <c r="AD105" s="27">
        <f t="shared" si="13"/>
        <v>0.38412017167381973</v>
      </c>
    </row>
    <row r="106" spans="1:30" x14ac:dyDescent="0.25">
      <c r="A106" s="26">
        <v>24</v>
      </c>
      <c r="B106" s="26" t="s">
        <v>175</v>
      </c>
      <c r="C106" s="26" t="s">
        <v>176</v>
      </c>
      <c r="D106" s="26">
        <v>1</v>
      </c>
      <c r="E106" s="26">
        <v>339</v>
      </c>
      <c r="F106" s="26">
        <v>86</v>
      </c>
      <c r="G106" s="26">
        <v>168</v>
      </c>
      <c r="H106" s="26">
        <v>0</v>
      </c>
      <c r="I106" s="26">
        <v>7</v>
      </c>
      <c r="J106" s="26">
        <v>74</v>
      </c>
      <c r="K106" s="26">
        <v>335</v>
      </c>
      <c r="L106" s="26">
        <v>4</v>
      </c>
      <c r="M106" s="26">
        <f t="shared" si="7"/>
        <v>339</v>
      </c>
      <c r="N106" s="26">
        <v>0</v>
      </c>
      <c r="O106" s="27">
        <f t="shared" si="8"/>
        <v>0.21828908554572271</v>
      </c>
      <c r="P106" s="27">
        <f t="shared" si="9"/>
        <v>0.25368731563421831</v>
      </c>
      <c r="Q106" s="27">
        <f t="shared" si="10"/>
        <v>0.49557522123893805</v>
      </c>
      <c r="R106" s="27">
        <f t="shared" si="11"/>
        <v>2.0648967551622419E-2</v>
      </c>
      <c r="S106" s="27">
        <f t="shared" si="12"/>
        <v>0</v>
      </c>
      <c r="T106" s="28">
        <v>384</v>
      </c>
      <c r="U106" s="28">
        <v>17</v>
      </c>
      <c r="V106" s="28">
        <v>45</v>
      </c>
      <c r="W106" s="28">
        <v>4</v>
      </c>
      <c r="X106" s="28">
        <v>450</v>
      </c>
      <c r="Y106" s="29">
        <v>0.85333333333333339</v>
      </c>
      <c r="Z106" s="29">
        <v>3.7777777777777778E-2</v>
      </c>
      <c r="AA106" s="29">
        <v>0.1</v>
      </c>
      <c r="AB106" s="29">
        <v>8.8888888888888889E-3</v>
      </c>
      <c r="AC106" s="30">
        <v>64.66</v>
      </c>
      <c r="AD106" s="27">
        <f t="shared" si="13"/>
        <v>0.7533333333333333</v>
      </c>
    </row>
    <row r="107" spans="1:30" x14ac:dyDescent="0.25">
      <c r="A107" s="26"/>
      <c r="B107" s="26"/>
      <c r="C107" s="26"/>
      <c r="D107" s="26">
        <v>2</v>
      </c>
      <c r="E107" s="26">
        <v>381</v>
      </c>
      <c r="F107" s="26">
        <v>111</v>
      </c>
      <c r="G107" s="26">
        <v>166</v>
      </c>
      <c r="H107" s="26">
        <v>2</v>
      </c>
      <c r="I107" s="26">
        <v>4</v>
      </c>
      <c r="J107" s="26">
        <v>97</v>
      </c>
      <c r="K107" s="26">
        <v>380</v>
      </c>
      <c r="L107" s="26">
        <v>1</v>
      </c>
      <c r="M107" s="26">
        <f t="shared" si="7"/>
        <v>381</v>
      </c>
      <c r="N107" s="26">
        <v>0</v>
      </c>
      <c r="O107" s="27">
        <f t="shared" si="8"/>
        <v>0.25459317585301838</v>
      </c>
      <c r="P107" s="27">
        <f t="shared" si="9"/>
        <v>0.29133858267716534</v>
      </c>
      <c r="Q107" s="27">
        <f t="shared" si="10"/>
        <v>0.4356955380577428</v>
      </c>
      <c r="R107" s="27">
        <f t="shared" si="11"/>
        <v>1.0498687664041995E-2</v>
      </c>
      <c r="S107" s="27">
        <f t="shared" si="12"/>
        <v>5.2493438320209973E-3</v>
      </c>
      <c r="T107" s="28">
        <v>400</v>
      </c>
      <c r="U107" s="28">
        <v>12</v>
      </c>
      <c r="V107" s="28">
        <v>36</v>
      </c>
      <c r="W107" s="28">
        <v>2</v>
      </c>
      <c r="X107" s="28">
        <v>450</v>
      </c>
      <c r="Y107" s="29">
        <v>0.88888888888888884</v>
      </c>
      <c r="Z107" s="29">
        <v>2.6666666666666668E-2</v>
      </c>
      <c r="AA107" s="29">
        <v>0.08</v>
      </c>
      <c r="AB107" s="29">
        <v>4.4444444444444444E-3</v>
      </c>
      <c r="AC107" s="30">
        <v>59.993333333333332</v>
      </c>
      <c r="AD107" s="27">
        <f t="shared" si="13"/>
        <v>0.84666666666666668</v>
      </c>
    </row>
    <row r="108" spans="1:30" x14ac:dyDescent="0.25">
      <c r="A108" s="26"/>
      <c r="B108" s="26"/>
      <c r="C108" s="26"/>
      <c r="D108" s="26">
        <v>3</v>
      </c>
      <c r="E108" s="26">
        <v>550</v>
      </c>
      <c r="F108" s="26">
        <v>216</v>
      </c>
      <c r="G108" s="26">
        <v>169</v>
      </c>
      <c r="H108" s="26">
        <v>7</v>
      </c>
      <c r="I108" s="26">
        <v>10</v>
      </c>
      <c r="J108" s="26">
        <v>141</v>
      </c>
      <c r="K108" s="26">
        <v>543</v>
      </c>
      <c r="L108" s="26">
        <v>7</v>
      </c>
      <c r="M108" s="26">
        <f t="shared" si="7"/>
        <v>550</v>
      </c>
      <c r="N108" s="26">
        <v>0</v>
      </c>
      <c r="O108" s="27">
        <f t="shared" si="8"/>
        <v>0.25636363636363635</v>
      </c>
      <c r="P108" s="27">
        <f t="shared" si="9"/>
        <v>0.3927272727272727</v>
      </c>
      <c r="Q108" s="27">
        <f t="shared" si="10"/>
        <v>0.30727272727272725</v>
      </c>
      <c r="R108" s="27">
        <f t="shared" si="11"/>
        <v>1.8181818181818181E-2</v>
      </c>
      <c r="S108" s="27">
        <f t="shared" si="12"/>
        <v>1.2727272727272728E-2</v>
      </c>
      <c r="T108" s="28">
        <v>590</v>
      </c>
      <c r="U108" s="28">
        <v>19</v>
      </c>
      <c r="V108" s="28">
        <v>68</v>
      </c>
      <c r="W108" s="28">
        <v>13</v>
      </c>
      <c r="X108" s="28">
        <v>690</v>
      </c>
      <c r="Y108" s="29">
        <v>0.85507246376811596</v>
      </c>
      <c r="Z108" s="29">
        <v>2.753623188405797E-2</v>
      </c>
      <c r="AA108" s="29">
        <v>9.8550724637681164E-2</v>
      </c>
      <c r="AB108" s="29">
        <v>1.8840579710144929E-2</v>
      </c>
      <c r="AC108" s="30">
        <v>46.602898550724639</v>
      </c>
      <c r="AD108" s="27">
        <f t="shared" si="13"/>
        <v>0.79710144927536231</v>
      </c>
    </row>
    <row r="109" spans="1:30" x14ac:dyDescent="0.25">
      <c r="A109" s="26"/>
      <c r="B109" s="26"/>
      <c r="C109" s="26"/>
      <c r="D109" s="26">
        <v>4</v>
      </c>
      <c r="E109" s="26">
        <v>504</v>
      </c>
      <c r="F109" s="26">
        <v>218</v>
      </c>
      <c r="G109" s="26">
        <v>143</v>
      </c>
      <c r="H109" s="26">
        <v>5</v>
      </c>
      <c r="I109" s="26">
        <v>9</v>
      </c>
      <c r="J109" s="26">
        <v>129</v>
      </c>
      <c r="K109" s="26">
        <v>504</v>
      </c>
      <c r="L109" s="26">
        <v>0</v>
      </c>
      <c r="M109" s="26">
        <f t="shared" si="7"/>
        <v>504</v>
      </c>
      <c r="N109" s="26">
        <v>0</v>
      </c>
      <c r="O109" s="27">
        <f t="shared" si="8"/>
        <v>0.25595238095238093</v>
      </c>
      <c r="P109" s="27">
        <f t="shared" si="9"/>
        <v>0.43253968253968256</v>
      </c>
      <c r="Q109" s="27">
        <f t="shared" si="10"/>
        <v>0.28373015873015872</v>
      </c>
      <c r="R109" s="27">
        <f t="shared" si="11"/>
        <v>1.7857142857142856E-2</v>
      </c>
      <c r="S109" s="27">
        <f t="shared" si="12"/>
        <v>9.9206349206349201E-3</v>
      </c>
      <c r="T109" s="28">
        <v>633</v>
      </c>
      <c r="U109" s="28">
        <v>16</v>
      </c>
      <c r="V109" s="28">
        <v>38</v>
      </c>
      <c r="W109" s="28">
        <v>3</v>
      </c>
      <c r="X109" s="28">
        <v>690</v>
      </c>
      <c r="Y109" s="29">
        <v>0.91739130434782612</v>
      </c>
      <c r="Z109" s="29">
        <v>2.318840579710145E-2</v>
      </c>
      <c r="AA109" s="29">
        <v>5.5072463768115941E-2</v>
      </c>
      <c r="AB109" s="29">
        <v>4.3478260869565218E-3</v>
      </c>
      <c r="AC109" s="30">
        <v>36.042028985507244</v>
      </c>
      <c r="AD109" s="27">
        <f t="shared" si="13"/>
        <v>0.73043478260869565</v>
      </c>
    </row>
    <row r="110" spans="1:30" x14ac:dyDescent="0.25">
      <c r="A110" s="26"/>
      <c r="B110" s="26"/>
      <c r="C110" s="26"/>
      <c r="D110" s="26">
        <v>5</v>
      </c>
      <c r="E110" s="26">
        <v>529</v>
      </c>
      <c r="F110" s="26">
        <v>214</v>
      </c>
      <c r="G110" s="26">
        <v>141</v>
      </c>
      <c r="H110" s="26">
        <v>3</v>
      </c>
      <c r="I110" s="26">
        <v>11</v>
      </c>
      <c r="J110" s="26">
        <v>160</v>
      </c>
      <c r="K110" s="26">
        <v>529</v>
      </c>
      <c r="L110" s="26">
        <v>0</v>
      </c>
      <c r="M110" s="26">
        <f t="shared" si="7"/>
        <v>529</v>
      </c>
      <c r="N110" s="26">
        <v>0</v>
      </c>
      <c r="O110" s="27">
        <f t="shared" si="8"/>
        <v>0.30245746691871456</v>
      </c>
      <c r="P110" s="27">
        <f t="shared" si="9"/>
        <v>0.4045368620037807</v>
      </c>
      <c r="Q110" s="27">
        <f t="shared" si="10"/>
        <v>0.26654064272211719</v>
      </c>
      <c r="R110" s="27">
        <f t="shared" si="11"/>
        <v>2.0793950850661626E-2</v>
      </c>
      <c r="S110" s="27">
        <f t="shared" si="12"/>
        <v>5.6710775047258983E-3</v>
      </c>
      <c r="T110" s="28">
        <v>641</v>
      </c>
      <c r="U110" s="28">
        <v>19</v>
      </c>
      <c r="V110" s="28">
        <v>30</v>
      </c>
      <c r="W110" s="28">
        <v>2</v>
      </c>
      <c r="X110" s="28">
        <v>692</v>
      </c>
      <c r="Y110" s="29">
        <v>0.92630057803468213</v>
      </c>
      <c r="Z110" s="29">
        <v>2.7456647398843931E-2</v>
      </c>
      <c r="AA110" s="29">
        <v>4.3352601156069363E-2</v>
      </c>
      <c r="AB110" s="29">
        <v>2.8901734104046241E-3</v>
      </c>
      <c r="AC110" s="30">
        <v>28.702312138728324</v>
      </c>
      <c r="AD110" s="27">
        <f t="shared" si="13"/>
        <v>0.76445086705202314</v>
      </c>
    </row>
    <row r="111" spans="1:30" x14ac:dyDescent="0.25">
      <c r="A111" s="26"/>
      <c r="B111" s="26"/>
      <c r="C111" s="26"/>
      <c r="D111" s="26">
        <v>6</v>
      </c>
      <c r="E111" s="26">
        <v>552</v>
      </c>
      <c r="F111" s="26">
        <v>265</v>
      </c>
      <c r="G111" s="26">
        <v>121</v>
      </c>
      <c r="H111" s="26">
        <v>5</v>
      </c>
      <c r="I111" s="26">
        <v>12</v>
      </c>
      <c r="J111" s="26">
        <v>147</v>
      </c>
      <c r="K111" s="26">
        <v>550</v>
      </c>
      <c r="L111" s="26">
        <v>2</v>
      </c>
      <c r="M111" s="26">
        <f t="shared" si="7"/>
        <v>552</v>
      </c>
      <c r="N111" s="26">
        <v>0</v>
      </c>
      <c r="O111" s="27">
        <f t="shared" si="8"/>
        <v>0.26630434782608697</v>
      </c>
      <c r="P111" s="27">
        <f t="shared" si="9"/>
        <v>0.48007246376811596</v>
      </c>
      <c r="Q111" s="27">
        <f t="shared" si="10"/>
        <v>0.21920289855072464</v>
      </c>
      <c r="R111" s="27">
        <f t="shared" si="11"/>
        <v>2.1739130434782608E-2</v>
      </c>
      <c r="S111" s="27">
        <f t="shared" si="12"/>
        <v>9.057971014492754E-3</v>
      </c>
      <c r="T111" s="28">
        <v>658</v>
      </c>
      <c r="U111" s="28">
        <v>10</v>
      </c>
      <c r="V111" s="28">
        <v>26</v>
      </c>
      <c r="W111" s="28">
        <v>0</v>
      </c>
      <c r="X111" s="28">
        <v>694</v>
      </c>
      <c r="Y111" s="29">
        <v>0.94812680115273773</v>
      </c>
      <c r="Z111" s="29">
        <v>1.4409221902017291E-2</v>
      </c>
      <c r="AA111" s="29">
        <v>3.7463976945244955E-2</v>
      </c>
      <c r="AB111" s="29">
        <v>0</v>
      </c>
      <c r="AC111" s="30">
        <v>21.585014409221902</v>
      </c>
      <c r="AD111" s="27">
        <f t="shared" si="13"/>
        <v>0.79538904899135443</v>
      </c>
    </row>
    <row r="112" spans="1:30" x14ac:dyDescent="0.25">
      <c r="A112" s="26">
        <v>25</v>
      </c>
      <c r="B112" s="26" t="s">
        <v>177</v>
      </c>
      <c r="C112" s="26" t="s">
        <v>178</v>
      </c>
      <c r="D112" s="26">
        <v>1</v>
      </c>
      <c r="E112" s="26">
        <v>312</v>
      </c>
      <c r="F112" s="26">
        <v>63</v>
      </c>
      <c r="G112" s="26">
        <v>157</v>
      </c>
      <c r="H112" s="26">
        <v>4</v>
      </c>
      <c r="I112" s="26">
        <v>7</v>
      </c>
      <c r="J112" s="26">
        <v>78</v>
      </c>
      <c r="K112" s="26">
        <v>309</v>
      </c>
      <c r="L112" s="26">
        <v>3</v>
      </c>
      <c r="M112" s="26">
        <f t="shared" si="7"/>
        <v>312</v>
      </c>
      <c r="N112" s="26">
        <v>0</v>
      </c>
      <c r="O112" s="27">
        <f t="shared" si="8"/>
        <v>0.25</v>
      </c>
      <c r="P112" s="27">
        <f t="shared" si="9"/>
        <v>0.20192307692307693</v>
      </c>
      <c r="Q112" s="27">
        <f t="shared" si="10"/>
        <v>0.50320512820512819</v>
      </c>
      <c r="R112" s="27">
        <f t="shared" si="11"/>
        <v>2.2435897435897436E-2</v>
      </c>
      <c r="S112" s="27">
        <f t="shared" si="12"/>
        <v>1.282051282051282E-2</v>
      </c>
      <c r="T112" s="28">
        <v>351</v>
      </c>
      <c r="U112" s="28">
        <v>51</v>
      </c>
      <c r="V112" s="28">
        <v>46</v>
      </c>
      <c r="W112" s="28">
        <v>2</v>
      </c>
      <c r="X112" s="28">
        <v>450</v>
      </c>
      <c r="Y112" s="29">
        <v>0.78</v>
      </c>
      <c r="Z112" s="29">
        <v>0.11333333333333333</v>
      </c>
      <c r="AA112" s="29">
        <v>0.10222222222222223</v>
      </c>
      <c r="AB112" s="29">
        <v>4.4444444444444444E-3</v>
      </c>
      <c r="AC112" s="30">
        <v>67.608888888888885</v>
      </c>
      <c r="AD112" s="27">
        <f t="shared" si="13"/>
        <v>0.69333333333333336</v>
      </c>
    </row>
    <row r="113" spans="1:30" x14ac:dyDescent="0.25">
      <c r="A113" s="26"/>
      <c r="B113" s="26"/>
      <c r="C113" s="26"/>
      <c r="D113" s="26">
        <v>2</v>
      </c>
      <c r="E113" s="26">
        <v>369</v>
      </c>
      <c r="F113" s="26">
        <v>116</v>
      </c>
      <c r="G113" s="26">
        <v>160</v>
      </c>
      <c r="H113" s="26">
        <v>2</v>
      </c>
      <c r="I113" s="26">
        <v>4</v>
      </c>
      <c r="J113" s="26">
        <v>80</v>
      </c>
      <c r="K113" s="26">
        <v>362</v>
      </c>
      <c r="L113" s="26">
        <v>7</v>
      </c>
      <c r="M113" s="26">
        <f t="shared" si="7"/>
        <v>369</v>
      </c>
      <c r="N113" s="26">
        <v>0</v>
      </c>
      <c r="O113" s="27">
        <f t="shared" si="8"/>
        <v>0.21680216802168023</v>
      </c>
      <c r="P113" s="27">
        <f t="shared" si="9"/>
        <v>0.3143631436314363</v>
      </c>
      <c r="Q113" s="27">
        <f t="shared" si="10"/>
        <v>0.43360433604336046</v>
      </c>
      <c r="R113" s="27">
        <f t="shared" si="11"/>
        <v>1.0840108401084011E-2</v>
      </c>
      <c r="S113" s="27">
        <f t="shared" si="12"/>
        <v>5.4200542005420054E-3</v>
      </c>
      <c r="T113" s="28">
        <v>398</v>
      </c>
      <c r="U113" s="28">
        <v>10</v>
      </c>
      <c r="V113" s="28">
        <v>41</v>
      </c>
      <c r="W113" s="28">
        <v>1</v>
      </c>
      <c r="X113" s="28">
        <v>450</v>
      </c>
      <c r="Y113" s="29">
        <v>0.88444444444444448</v>
      </c>
      <c r="Z113" s="29">
        <v>2.2222222222222223E-2</v>
      </c>
      <c r="AA113" s="29">
        <v>9.1111111111111115E-2</v>
      </c>
      <c r="AB113" s="29">
        <v>2.2222222222222222E-3</v>
      </c>
      <c r="AC113" s="30">
        <v>58.375555555555557</v>
      </c>
      <c r="AD113" s="27">
        <f t="shared" si="13"/>
        <v>0.82</v>
      </c>
    </row>
    <row r="114" spans="1:30" x14ac:dyDescent="0.25">
      <c r="A114" s="26"/>
      <c r="B114" s="26"/>
      <c r="C114" s="26"/>
      <c r="D114" s="26">
        <v>3</v>
      </c>
      <c r="E114" s="26">
        <v>449</v>
      </c>
      <c r="F114" s="26">
        <v>203</v>
      </c>
      <c r="G114" s="26">
        <v>141</v>
      </c>
      <c r="H114" s="26">
        <v>0</v>
      </c>
      <c r="I114" s="26">
        <v>3</v>
      </c>
      <c r="J114" s="26">
        <v>102</v>
      </c>
      <c r="K114" s="26">
        <v>449</v>
      </c>
      <c r="L114" s="26">
        <v>0</v>
      </c>
      <c r="M114" s="26">
        <f t="shared" si="7"/>
        <v>449</v>
      </c>
      <c r="N114" s="26">
        <v>0</v>
      </c>
      <c r="O114" s="27">
        <f t="shared" si="8"/>
        <v>0.22717149220489977</v>
      </c>
      <c r="P114" s="27">
        <f t="shared" si="9"/>
        <v>0.45211581291759467</v>
      </c>
      <c r="Q114" s="27">
        <f t="shared" si="10"/>
        <v>0.31403118040089084</v>
      </c>
      <c r="R114" s="27">
        <f t="shared" si="11"/>
        <v>6.6815144766146995E-3</v>
      </c>
      <c r="S114" s="27">
        <f t="shared" si="12"/>
        <v>0</v>
      </c>
      <c r="T114" s="28">
        <v>581</v>
      </c>
      <c r="U114" s="28">
        <v>15</v>
      </c>
      <c r="V114" s="28">
        <v>31</v>
      </c>
      <c r="W114" s="28">
        <v>20</v>
      </c>
      <c r="X114" s="28">
        <v>647</v>
      </c>
      <c r="Y114" s="29">
        <v>0.89799072642967548</v>
      </c>
      <c r="Z114" s="29">
        <v>2.3183925811437404E-2</v>
      </c>
      <c r="AA114" s="29">
        <v>4.7913446676970631E-2</v>
      </c>
      <c r="AB114" s="29">
        <v>3.0911901081916538E-2</v>
      </c>
      <c r="AC114" s="30">
        <v>47.62132921174652</v>
      </c>
      <c r="AD114" s="27">
        <f t="shared" si="13"/>
        <v>0.69397217928902633</v>
      </c>
    </row>
    <row r="115" spans="1:30" x14ac:dyDescent="0.25">
      <c r="A115" s="26"/>
      <c r="B115" s="26"/>
      <c r="C115" s="26"/>
      <c r="D115" s="26">
        <v>4</v>
      </c>
      <c r="E115" s="26">
        <v>449</v>
      </c>
      <c r="F115" s="26">
        <v>188</v>
      </c>
      <c r="G115" s="26">
        <v>124</v>
      </c>
      <c r="H115" s="26">
        <v>1</v>
      </c>
      <c r="I115" s="26">
        <v>9</v>
      </c>
      <c r="J115" s="26">
        <v>122</v>
      </c>
      <c r="K115" s="26">
        <v>444</v>
      </c>
      <c r="L115" s="26">
        <v>5</v>
      </c>
      <c r="M115" s="26">
        <f t="shared" si="7"/>
        <v>449</v>
      </c>
      <c r="N115" s="26">
        <v>0</v>
      </c>
      <c r="O115" s="27">
        <f t="shared" si="8"/>
        <v>0.27171492204899778</v>
      </c>
      <c r="P115" s="27">
        <f t="shared" si="9"/>
        <v>0.41870824053452116</v>
      </c>
      <c r="Q115" s="27">
        <f t="shared" si="10"/>
        <v>0.27616926503340755</v>
      </c>
      <c r="R115" s="27">
        <f t="shared" si="11"/>
        <v>2.0044543429844099E-2</v>
      </c>
      <c r="S115" s="27">
        <f t="shared" si="12"/>
        <v>2.2271714922048997E-3</v>
      </c>
      <c r="T115" s="28">
        <v>552</v>
      </c>
      <c r="U115" s="28">
        <v>22</v>
      </c>
      <c r="V115" s="28">
        <v>56</v>
      </c>
      <c r="W115" s="28">
        <v>17</v>
      </c>
      <c r="X115" s="28">
        <v>647</v>
      </c>
      <c r="Y115" s="29">
        <v>0.85316846986089645</v>
      </c>
      <c r="Z115" s="29">
        <v>3.4003091190108192E-2</v>
      </c>
      <c r="AA115" s="29">
        <v>8.6553323029366303E-2</v>
      </c>
      <c r="AB115" s="29">
        <v>2.6275115919629059E-2</v>
      </c>
      <c r="AC115" s="30">
        <v>36.729520865533232</v>
      </c>
      <c r="AD115" s="27">
        <f t="shared" si="13"/>
        <v>0.69397217928902633</v>
      </c>
    </row>
    <row r="116" spans="1:30" x14ac:dyDescent="0.25">
      <c r="A116" s="26"/>
      <c r="B116" s="26"/>
      <c r="C116" s="26"/>
      <c r="D116" s="26">
        <v>5</v>
      </c>
      <c r="E116" s="26">
        <v>486</v>
      </c>
      <c r="F116" s="26">
        <v>224</v>
      </c>
      <c r="G116" s="26">
        <v>118</v>
      </c>
      <c r="H116" s="26">
        <v>1</v>
      </c>
      <c r="I116" s="26">
        <v>4</v>
      </c>
      <c r="J116" s="26">
        <v>138</v>
      </c>
      <c r="K116" s="26">
        <v>485</v>
      </c>
      <c r="L116" s="26">
        <v>1</v>
      </c>
      <c r="M116" s="26">
        <f t="shared" si="7"/>
        <v>486</v>
      </c>
      <c r="N116" s="26">
        <v>0</v>
      </c>
      <c r="O116" s="27">
        <f t="shared" si="8"/>
        <v>0.2839506172839506</v>
      </c>
      <c r="P116" s="27">
        <f t="shared" si="9"/>
        <v>0.46090534979423869</v>
      </c>
      <c r="Q116" s="27">
        <f t="shared" si="10"/>
        <v>0.24279835390946503</v>
      </c>
      <c r="R116" s="27">
        <f t="shared" si="11"/>
        <v>8.23045267489712E-3</v>
      </c>
      <c r="S116" s="27">
        <f t="shared" si="12"/>
        <v>2.05761316872428E-3</v>
      </c>
      <c r="T116" s="28">
        <v>576</v>
      </c>
      <c r="U116" s="28">
        <v>25</v>
      </c>
      <c r="V116" s="28">
        <v>42</v>
      </c>
      <c r="W116" s="28">
        <v>4</v>
      </c>
      <c r="X116" s="28">
        <v>647</v>
      </c>
      <c r="Y116" s="29">
        <v>0.89026275115919629</v>
      </c>
      <c r="Z116" s="29">
        <v>3.8639876352395672E-2</v>
      </c>
      <c r="AA116" s="29">
        <v>6.4914992272024727E-2</v>
      </c>
      <c r="AB116" s="29">
        <v>6.1823802163833074E-3</v>
      </c>
      <c r="AC116" s="30">
        <v>27.92272024729521</v>
      </c>
      <c r="AD116" s="27">
        <f t="shared" si="13"/>
        <v>0.75115919629057182</v>
      </c>
    </row>
    <row r="117" spans="1:30" x14ac:dyDescent="0.25">
      <c r="A117" s="26"/>
      <c r="B117" s="26"/>
      <c r="C117" s="26"/>
      <c r="D117" s="26">
        <v>6</v>
      </c>
      <c r="E117" s="26">
        <v>441</v>
      </c>
      <c r="F117" s="26">
        <v>208</v>
      </c>
      <c r="G117" s="26">
        <v>101</v>
      </c>
      <c r="H117" s="26">
        <v>4</v>
      </c>
      <c r="I117" s="26">
        <v>2</v>
      </c>
      <c r="J117" s="26">
        <v>124</v>
      </c>
      <c r="K117" s="26">
        <v>439</v>
      </c>
      <c r="L117" s="26">
        <v>2</v>
      </c>
      <c r="M117" s="26">
        <f t="shared" si="7"/>
        <v>441</v>
      </c>
      <c r="N117" s="26">
        <v>0</v>
      </c>
      <c r="O117" s="27">
        <f t="shared" si="8"/>
        <v>0.28117913832199548</v>
      </c>
      <c r="P117" s="27">
        <f t="shared" si="9"/>
        <v>0.47165532879818595</v>
      </c>
      <c r="Q117" s="27">
        <f t="shared" si="10"/>
        <v>0.22902494331065759</v>
      </c>
      <c r="R117" s="27">
        <f t="shared" si="11"/>
        <v>4.5351473922902496E-3</v>
      </c>
      <c r="S117" s="27">
        <f t="shared" si="12"/>
        <v>9.0702947845804991E-3</v>
      </c>
      <c r="T117" s="28">
        <v>573</v>
      </c>
      <c r="U117" s="28">
        <v>15</v>
      </c>
      <c r="V117" s="28">
        <v>45</v>
      </c>
      <c r="W117" s="28">
        <v>14</v>
      </c>
      <c r="X117" s="28">
        <v>647</v>
      </c>
      <c r="Y117" s="29">
        <v>0.88562596599690879</v>
      </c>
      <c r="Z117" s="29">
        <v>2.3183925811437404E-2</v>
      </c>
      <c r="AA117" s="29">
        <v>6.9551777434312206E-2</v>
      </c>
      <c r="AB117" s="29">
        <v>2.1638330757341576E-2</v>
      </c>
      <c r="AC117" s="30">
        <v>20.868624420401854</v>
      </c>
      <c r="AD117" s="27">
        <f t="shared" si="13"/>
        <v>0.68160741885625964</v>
      </c>
    </row>
    <row r="118" spans="1:30" x14ac:dyDescent="0.25">
      <c r="A118" s="26">
        <v>26</v>
      </c>
      <c r="B118" s="26" t="s">
        <v>179</v>
      </c>
      <c r="C118" s="26" t="s">
        <v>180</v>
      </c>
      <c r="D118" s="26">
        <v>1</v>
      </c>
      <c r="E118" s="26">
        <v>271</v>
      </c>
      <c r="F118" s="26">
        <v>34</v>
      </c>
      <c r="G118" s="26">
        <v>97</v>
      </c>
      <c r="H118" s="26">
        <v>1</v>
      </c>
      <c r="I118" s="26">
        <v>6</v>
      </c>
      <c r="J118" s="26">
        <v>128</v>
      </c>
      <c r="K118" s="26">
        <v>266</v>
      </c>
      <c r="L118" s="26">
        <v>5</v>
      </c>
      <c r="M118" s="26">
        <f t="shared" si="7"/>
        <v>271</v>
      </c>
      <c r="N118" s="26">
        <v>0</v>
      </c>
      <c r="O118" s="27">
        <f t="shared" si="8"/>
        <v>0.47232472324723246</v>
      </c>
      <c r="P118" s="27">
        <f t="shared" si="9"/>
        <v>0.12546125461254612</v>
      </c>
      <c r="Q118" s="27">
        <f t="shared" si="10"/>
        <v>0.35793357933579334</v>
      </c>
      <c r="R118" s="27">
        <f t="shared" si="11"/>
        <v>2.2140221402214021E-2</v>
      </c>
      <c r="S118" s="27">
        <f t="shared" si="12"/>
        <v>3.6900369003690036E-3</v>
      </c>
      <c r="T118" s="28">
        <v>220</v>
      </c>
      <c r="U118" s="28">
        <v>193</v>
      </c>
      <c r="V118" s="28">
        <v>35</v>
      </c>
      <c r="W118" s="28">
        <v>2</v>
      </c>
      <c r="X118" s="28">
        <v>450</v>
      </c>
      <c r="Y118" s="29">
        <v>0.48888888888888887</v>
      </c>
      <c r="Z118" s="29">
        <v>0.42888888888888888</v>
      </c>
      <c r="AA118" s="29">
        <v>7.7777777777777779E-2</v>
      </c>
      <c r="AB118" s="29">
        <v>4.4444444444444444E-3</v>
      </c>
      <c r="AC118" s="30">
        <v>70.926666666666662</v>
      </c>
      <c r="AD118" s="27">
        <f t="shared" si="13"/>
        <v>0.60222222222222221</v>
      </c>
    </row>
    <row r="119" spans="1:30" x14ac:dyDescent="0.25">
      <c r="A119" s="26"/>
      <c r="B119" s="26"/>
      <c r="C119" s="26"/>
      <c r="D119" s="26">
        <v>2</v>
      </c>
      <c r="E119" s="26">
        <v>343</v>
      </c>
      <c r="F119" s="26">
        <v>61</v>
      </c>
      <c r="G119" s="26">
        <v>116</v>
      </c>
      <c r="H119" s="26">
        <v>0</v>
      </c>
      <c r="I119" s="26">
        <v>6</v>
      </c>
      <c r="J119" s="26">
        <v>157</v>
      </c>
      <c r="K119" s="26">
        <v>340</v>
      </c>
      <c r="L119" s="26">
        <v>3</v>
      </c>
      <c r="M119" s="26">
        <f t="shared" si="7"/>
        <v>343</v>
      </c>
      <c r="N119" s="26">
        <v>0</v>
      </c>
      <c r="O119" s="27">
        <f t="shared" si="8"/>
        <v>0.45772594752186591</v>
      </c>
      <c r="P119" s="27">
        <f t="shared" si="9"/>
        <v>0.17784256559766765</v>
      </c>
      <c r="Q119" s="27">
        <f t="shared" si="10"/>
        <v>0.33819241982507287</v>
      </c>
      <c r="R119" s="27">
        <f t="shared" si="11"/>
        <v>1.7492711370262391E-2</v>
      </c>
      <c r="S119" s="27">
        <f t="shared" si="12"/>
        <v>0</v>
      </c>
      <c r="T119" s="28">
        <v>261</v>
      </c>
      <c r="U119" s="28">
        <v>156</v>
      </c>
      <c r="V119" s="28">
        <v>31</v>
      </c>
      <c r="W119" s="28">
        <v>2</v>
      </c>
      <c r="X119" s="28">
        <v>450</v>
      </c>
      <c r="Y119" s="29">
        <v>0.57999999999999996</v>
      </c>
      <c r="Z119" s="29">
        <v>0.34666666666666668</v>
      </c>
      <c r="AA119" s="29">
        <v>6.8888888888888888E-2</v>
      </c>
      <c r="AB119" s="29">
        <v>4.4444444444444444E-3</v>
      </c>
      <c r="AC119" s="30">
        <v>65.3</v>
      </c>
      <c r="AD119" s="27">
        <f t="shared" si="13"/>
        <v>0.76222222222222225</v>
      </c>
    </row>
    <row r="120" spans="1:30" x14ac:dyDescent="0.25">
      <c r="A120" s="26"/>
      <c r="B120" s="26"/>
      <c r="C120" s="26"/>
      <c r="D120" s="26">
        <v>3</v>
      </c>
      <c r="E120" s="26">
        <v>367</v>
      </c>
      <c r="F120" s="26">
        <v>75</v>
      </c>
      <c r="G120" s="26">
        <v>124</v>
      </c>
      <c r="H120" s="26">
        <v>0</v>
      </c>
      <c r="I120" s="26">
        <v>5</v>
      </c>
      <c r="J120" s="26">
        <v>162</v>
      </c>
      <c r="K120" s="26">
        <v>366</v>
      </c>
      <c r="L120" s="26">
        <v>1</v>
      </c>
      <c r="M120" s="26">
        <f t="shared" si="7"/>
        <v>367</v>
      </c>
      <c r="N120" s="26">
        <v>0</v>
      </c>
      <c r="O120" s="27">
        <f t="shared" si="8"/>
        <v>0.44141689373297005</v>
      </c>
      <c r="P120" s="27">
        <f t="shared" si="9"/>
        <v>0.20435967302452315</v>
      </c>
      <c r="Q120" s="27">
        <f t="shared" si="10"/>
        <v>0.33787465940054495</v>
      </c>
      <c r="R120" s="27">
        <f t="shared" si="11"/>
        <v>1.3623978201634877E-2</v>
      </c>
      <c r="S120" s="27">
        <f t="shared" si="12"/>
        <v>0</v>
      </c>
      <c r="T120" s="28">
        <v>279</v>
      </c>
      <c r="U120" s="28">
        <v>130</v>
      </c>
      <c r="V120" s="28">
        <v>39</v>
      </c>
      <c r="W120" s="28">
        <v>2</v>
      </c>
      <c r="X120" s="28">
        <v>450</v>
      </c>
      <c r="Y120" s="29">
        <v>0.62</v>
      </c>
      <c r="Z120" s="29">
        <v>0.28888888888888886</v>
      </c>
      <c r="AA120" s="29">
        <v>8.666666666666667E-2</v>
      </c>
      <c r="AB120" s="29">
        <v>4.4444444444444444E-3</v>
      </c>
      <c r="AC120" s="30">
        <v>57.226666666666667</v>
      </c>
      <c r="AD120" s="27">
        <f t="shared" si="13"/>
        <v>0.81555555555555559</v>
      </c>
    </row>
    <row r="121" spans="1:30" x14ac:dyDescent="0.25">
      <c r="A121" s="26"/>
      <c r="B121" s="26"/>
      <c r="C121" s="26"/>
      <c r="D121" s="26">
        <v>4</v>
      </c>
      <c r="E121" s="26">
        <v>521</v>
      </c>
      <c r="F121" s="26">
        <v>167</v>
      </c>
      <c r="G121" s="26">
        <v>111</v>
      </c>
      <c r="H121" s="26">
        <v>2</v>
      </c>
      <c r="I121" s="26">
        <v>9</v>
      </c>
      <c r="J121" s="26">
        <v>231</v>
      </c>
      <c r="K121" s="26">
        <v>520</v>
      </c>
      <c r="L121" s="26">
        <v>1</v>
      </c>
      <c r="M121" s="26">
        <f t="shared" si="7"/>
        <v>521</v>
      </c>
      <c r="N121" s="26">
        <v>0</v>
      </c>
      <c r="O121" s="27">
        <f t="shared" si="8"/>
        <v>0.44337811900191937</v>
      </c>
      <c r="P121" s="27">
        <f t="shared" si="9"/>
        <v>0.32053742802303264</v>
      </c>
      <c r="Q121" s="27">
        <f t="shared" si="10"/>
        <v>0.21305182341650672</v>
      </c>
      <c r="R121" s="27">
        <f t="shared" si="11"/>
        <v>1.7274472168905951E-2</v>
      </c>
      <c r="S121" s="27">
        <f t="shared" si="12"/>
        <v>3.838771593090211E-3</v>
      </c>
      <c r="T121" s="28">
        <v>414</v>
      </c>
      <c r="U121" s="28">
        <v>187</v>
      </c>
      <c r="V121" s="28">
        <v>68</v>
      </c>
      <c r="W121" s="28">
        <v>4</v>
      </c>
      <c r="X121" s="28">
        <v>673</v>
      </c>
      <c r="Y121" s="29">
        <v>0.61515601783060925</v>
      </c>
      <c r="Z121" s="29">
        <v>0.27786032689450224</v>
      </c>
      <c r="AA121" s="29">
        <v>0.10104011887072809</v>
      </c>
      <c r="AB121" s="29">
        <v>5.9435364041604752E-3</v>
      </c>
      <c r="AC121" s="30">
        <v>46.245170876671622</v>
      </c>
      <c r="AD121" s="27">
        <f t="shared" si="13"/>
        <v>0.77414561664190196</v>
      </c>
    </row>
    <row r="122" spans="1:30" x14ac:dyDescent="0.25">
      <c r="A122" s="26"/>
      <c r="B122" s="26"/>
      <c r="C122" s="26"/>
      <c r="D122" s="26">
        <v>5</v>
      </c>
      <c r="E122" s="26">
        <v>479</v>
      </c>
      <c r="F122" s="26">
        <v>164</v>
      </c>
      <c r="G122" s="26">
        <v>112</v>
      </c>
      <c r="H122" s="26">
        <v>1</v>
      </c>
      <c r="I122" s="26">
        <v>8</v>
      </c>
      <c r="J122" s="26">
        <v>193</v>
      </c>
      <c r="K122" s="26">
        <v>478</v>
      </c>
      <c r="L122" s="26">
        <v>1</v>
      </c>
      <c r="M122" s="26">
        <f t="shared" si="7"/>
        <v>479</v>
      </c>
      <c r="N122" s="26">
        <v>0</v>
      </c>
      <c r="O122" s="27">
        <f t="shared" si="8"/>
        <v>0.40292275574112735</v>
      </c>
      <c r="P122" s="27">
        <f t="shared" si="9"/>
        <v>0.34237995824634654</v>
      </c>
      <c r="Q122" s="27">
        <f t="shared" si="10"/>
        <v>0.23382045929018788</v>
      </c>
      <c r="R122" s="27">
        <f t="shared" si="11"/>
        <v>1.6701461377870562E-2</v>
      </c>
      <c r="S122" s="27">
        <f t="shared" si="12"/>
        <v>2.0876826722338203E-3</v>
      </c>
      <c r="T122" s="28">
        <v>468</v>
      </c>
      <c r="U122" s="28">
        <v>146</v>
      </c>
      <c r="V122" s="28">
        <v>56</v>
      </c>
      <c r="W122" s="28">
        <v>3</v>
      </c>
      <c r="X122" s="28">
        <v>673</v>
      </c>
      <c r="Y122" s="29">
        <v>0.6953937592867756</v>
      </c>
      <c r="Z122" s="29">
        <v>0.21693907875185736</v>
      </c>
      <c r="AA122" s="29">
        <v>8.3209509658246653E-2</v>
      </c>
      <c r="AB122" s="29">
        <v>4.4576523031203564E-3</v>
      </c>
      <c r="AC122" s="30">
        <v>36.35215453194651</v>
      </c>
      <c r="AD122" s="27">
        <f t="shared" si="13"/>
        <v>0.71173848439821696</v>
      </c>
    </row>
    <row r="123" spans="1:30" x14ac:dyDescent="0.25">
      <c r="A123" s="26"/>
      <c r="B123" s="26"/>
      <c r="C123" s="26"/>
      <c r="D123" s="26">
        <v>6</v>
      </c>
      <c r="E123" s="26">
        <v>476</v>
      </c>
      <c r="F123" s="26">
        <v>196</v>
      </c>
      <c r="G123" s="26">
        <v>86</v>
      </c>
      <c r="H123" s="26">
        <v>2</v>
      </c>
      <c r="I123" s="26">
        <v>4</v>
      </c>
      <c r="J123" s="26">
        <v>186</v>
      </c>
      <c r="K123" s="26">
        <v>474</v>
      </c>
      <c r="L123" s="26">
        <v>2</v>
      </c>
      <c r="M123" s="26">
        <f t="shared" si="7"/>
        <v>476</v>
      </c>
      <c r="N123" s="26">
        <v>0</v>
      </c>
      <c r="O123" s="27">
        <f t="shared" si="8"/>
        <v>0.3907563025210084</v>
      </c>
      <c r="P123" s="27">
        <f t="shared" si="9"/>
        <v>0.41176470588235292</v>
      </c>
      <c r="Q123" s="27">
        <f t="shared" si="10"/>
        <v>0.18067226890756302</v>
      </c>
      <c r="R123" s="27">
        <f t="shared" si="11"/>
        <v>8.4033613445378148E-3</v>
      </c>
      <c r="S123" s="27">
        <f t="shared" si="12"/>
        <v>4.2016806722689074E-3</v>
      </c>
      <c r="T123" s="28">
        <v>478</v>
      </c>
      <c r="U123" s="28">
        <v>147</v>
      </c>
      <c r="V123" s="28">
        <v>47</v>
      </c>
      <c r="W123" s="28">
        <v>2</v>
      </c>
      <c r="X123" s="28">
        <v>674</v>
      </c>
      <c r="Y123" s="29">
        <v>0.70919881305637977</v>
      </c>
      <c r="Z123" s="29">
        <v>0.21810089020771514</v>
      </c>
      <c r="AA123" s="29">
        <v>6.9732937685459948E-2</v>
      </c>
      <c r="AB123" s="29">
        <v>2.967359050445104E-3</v>
      </c>
      <c r="AC123" s="30">
        <v>28.790801186943622</v>
      </c>
      <c r="AD123" s="27">
        <f t="shared" si="13"/>
        <v>0.70623145400593468</v>
      </c>
    </row>
    <row r="124" spans="1:30" x14ac:dyDescent="0.25">
      <c r="A124" s="26"/>
      <c r="B124" s="26"/>
      <c r="C124" s="26"/>
      <c r="D124" s="26">
        <v>7</v>
      </c>
      <c r="E124" s="26">
        <v>548</v>
      </c>
      <c r="F124" s="26">
        <v>233</v>
      </c>
      <c r="G124" s="26">
        <v>91</v>
      </c>
      <c r="H124" s="26">
        <v>0</v>
      </c>
      <c r="I124" s="26">
        <v>5</v>
      </c>
      <c r="J124" s="26">
        <v>217</v>
      </c>
      <c r="K124" s="26">
        <v>546</v>
      </c>
      <c r="L124" s="26">
        <v>2</v>
      </c>
      <c r="M124" s="26">
        <f t="shared" si="7"/>
        <v>548</v>
      </c>
      <c r="N124" s="26">
        <v>0</v>
      </c>
      <c r="O124" s="27">
        <f t="shared" si="8"/>
        <v>0.395985401459854</v>
      </c>
      <c r="P124" s="27">
        <f t="shared" si="9"/>
        <v>0.42518248175182483</v>
      </c>
      <c r="Q124" s="27">
        <f t="shared" si="10"/>
        <v>0.16605839416058393</v>
      </c>
      <c r="R124" s="27">
        <f t="shared" si="11"/>
        <v>9.1240875912408752E-3</v>
      </c>
      <c r="S124" s="27">
        <f t="shared" si="12"/>
        <v>0</v>
      </c>
      <c r="T124" s="28">
        <v>490</v>
      </c>
      <c r="U124" s="28">
        <v>139</v>
      </c>
      <c r="V124" s="28">
        <v>46</v>
      </c>
      <c r="W124" s="28">
        <v>0</v>
      </c>
      <c r="X124" s="28">
        <v>675</v>
      </c>
      <c r="Y124" s="29">
        <v>0.72592592592592597</v>
      </c>
      <c r="Z124" s="29">
        <v>0.20592592592592593</v>
      </c>
      <c r="AA124" s="29">
        <v>6.8148148148148152E-2</v>
      </c>
      <c r="AB124" s="29">
        <v>0</v>
      </c>
      <c r="AC124" s="30">
        <v>21.604444444444443</v>
      </c>
      <c r="AD124" s="27">
        <f t="shared" si="13"/>
        <v>0.81185185185185182</v>
      </c>
    </row>
    <row r="125" spans="1:30" x14ac:dyDescent="0.25">
      <c r="A125" s="26"/>
      <c r="B125" s="26"/>
      <c r="C125" s="26" t="s">
        <v>181</v>
      </c>
      <c r="D125" s="26">
        <v>1</v>
      </c>
      <c r="E125" s="26">
        <v>369</v>
      </c>
      <c r="F125" s="26">
        <v>120</v>
      </c>
      <c r="G125" s="26">
        <v>188</v>
      </c>
      <c r="H125" s="26">
        <v>3</v>
      </c>
      <c r="I125" s="26">
        <v>5</v>
      </c>
      <c r="J125" s="26">
        <v>47</v>
      </c>
      <c r="K125" s="26">
        <v>363</v>
      </c>
      <c r="L125" s="26">
        <v>6</v>
      </c>
      <c r="M125" s="26">
        <f t="shared" si="7"/>
        <v>369</v>
      </c>
      <c r="N125" s="26">
        <v>0</v>
      </c>
      <c r="O125" s="27">
        <f t="shared" si="8"/>
        <v>0.12737127371273713</v>
      </c>
      <c r="P125" s="27">
        <f t="shared" si="9"/>
        <v>0.32520325203252032</v>
      </c>
      <c r="Q125" s="27">
        <f t="shared" si="10"/>
        <v>0.50948509485094851</v>
      </c>
      <c r="R125" s="27">
        <f t="shared" si="11"/>
        <v>1.3550135501355014E-2</v>
      </c>
      <c r="S125" s="27">
        <f t="shared" si="12"/>
        <v>8.130081300813009E-3</v>
      </c>
      <c r="T125" s="28">
        <v>425</v>
      </c>
      <c r="U125" s="28">
        <v>9</v>
      </c>
      <c r="V125" s="28">
        <v>12</v>
      </c>
      <c r="W125" s="28">
        <v>4</v>
      </c>
      <c r="X125" s="28">
        <v>450</v>
      </c>
      <c r="Y125" s="29">
        <v>0.94444444444444442</v>
      </c>
      <c r="Z125" s="29">
        <v>0.02</v>
      </c>
      <c r="AA125" s="29">
        <v>2.6666666666666668E-2</v>
      </c>
      <c r="AB125" s="29">
        <v>8.8888888888888889E-3</v>
      </c>
      <c r="AC125" s="30">
        <v>54.99111111111111</v>
      </c>
      <c r="AD125" s="27">
        <f t="shared" si="13"/>
        <v>0.82</v>
      </c>
    </row>
    <row r="126" spans="1:30" x14ac:dyDescent="0.25">
      <c r="A126" s="26"/>
      <c r="B126" s="26"/>
      <c r="C126" s="26"/>
      <c r="D126" s="26">
        <v>2</v>
      </c>
      <c r="E126" s="26">
        <v>580</v>
      </c>
      <c r="F126" s="26">
        <v>277</v>
      </c>
      <c r="G126" s="26">
        <v>216</v>
      </c>
      <c r="H126" s="26">
        <v>2</v>
      </c>
      <c r="I126" s="26">
        <v>10</v>
      </c>
      <c r="J126" s="26">
        <v>74</v>
      </c>
      <c r="K126" s="26">
        <v>579</v>
      </c>
      <c r="L126" s="26">
        <v>1</v>
      </c>
      <c r="M126" s="26">
        <f t="shared" si="7"/>
        <v>580</v>
      </c>
      <c r="N126" s="26">
        <v>0</v>
      </c>
      <c r="O126" s="27">
        <f t="shared" si="8"/>
        <v>0.12758620689655173</v>
      </c>
      <c r="P126" s="27">
        <f t="shared" si="9"/>
        <v>0.47758620689655173</v>
      </c>
      <c r="Q126" s="27">
        <f t="shared" si="10"/>
        <v>0.3724137931034483</v>
      </c>
      <c r="R126" s="27">
        <f t="shared" si="11"/>
        <v>1.7241379310344827E-2</v>
      </c>
      <c r="S126" s="27">
        <f t="shared" si="12"/>
        <v>3.4482758620689655E-3</v>
      </c>
      <c r="T126" s="28">
        <v>660</v>
      </c>
      <c r="U126" s="28">
        <v>10</v>
      </c>
      <c r="V126" s="28">
        <v>10</v>
      </c>
      <c r="W126" s="28">
        <v>11</v>
      </c>
      <c r="X126" s="28">
        <v>691</v>
      </c>
      <c r="Y126" s="29">
        <v>0.95513748191027492</v>
      </c>
      <c r="Z126" s="29">
        <v>1.4471780028943559E-2</v>
      </c>
      <c r="AA126" s="29">
        <v>1.4471780028943559E-2</v>
      </c>
      <c r="AB126" s="29">
        <v>1.5918958031837915E-2</v>
      </c>
      <c r="AC126" s="30">
        <v>50.060781476121562</v>
      </c>
      <c r="AD126" s="27">
        <f t="shared" si="13"/>
        <v>0.83936324167872645</v>
      </c>
    </row>
    <row r="127" spans="1:30" x14ac:dyDescent="0.25">
      <c r="A127" s="26"/>
      <c r="B127" s="26"/>
      <c r="C127" s="26"/>
      <c r="D127" s="26">
        <v>3</v>
      </c>
      <c r="E127" s="26">
        <v>497</v>
      </c>
      <c r="F127" s="26">
        <v>248</v>
      </c>
      <c r="G127" s="26">
        <v>126</v>
      </c>
      <c r="H127" s="26">
        <v>5</v>
      </c>
      <c r="I127" s="26">
        <v>11</v>
      </c>
      <c r="J127" s="26">
        <v>106</v>
      </c>
      <c r="K127" s="26">
        <v>496</v>
      </c>
      <c r="L127" s="26">
        <v>1</v>
      </c>
      <c r="M127" s="26">
        <f t="shared" si="7"/>
        <v>497</v>
      </c>
      <c r="N127" s="26">
        <v>0</v>
      </c>
      <c r="O127" s="27">
        <f t="shared" si="8"/>
        <v>0.21327967806841047</v>
      </c>
      <c r="P127" s="27">
        <f t="shared" si="9"/>
        <v>0.49899396378269617</v>
      </c>
      <c r="Q127" s="27">
        <f t="shared" si="10"/>
        <v>0.25352112676056338</v>
      </c>
      <c r="R127" s="27">
        <f t="shared" si="11"/>
        <v>2.2132796780684104E-2</v>
      </c>
      <c r="S127" s="27">
        <f t="shared" si="12"/>
        <v>1.0060362173038229E-2</v>
      </c>
      <c r="T127" s="28">
        <v>588</v>
      </c>
      <c r="U127" s="28">
        <v>50</v>
      </c>
      <c r="V127" s="28">
        <v>46</v>
      </c>
      <c r="W127" s="28">
        <v>7</v>
      </c>
      <c r="X127" s="28">
        <v>691</v>
      </c>
      <c r="Y127" s="29">
        <v>0.85094066570188132</v>
      </c>
      <c r="Z127" s="29">
        <v>7.2358900144717797E-2</v>
      </c>
      <c r="AA127" s="29">
        <v>6.6570188133140376E-2</v>
      </c>
      <c r="AB127" s="29">
        <v>1.0130246020260492E-2</v>
      </c>
      <c r="AC127" s="30">
        <v>35.422575976845152</v>
      </c>
      <c r="AD127" s="27">
        <f t="shared" si="13"/>
        <v>0.71924746743849488</v>
      </c>
    </row>
    <row r="128" spans="1:30" x14ac:dyDescent="0.25">
      <c r="A128" s="26"/>
      <c r="B128" s="26"/>
      <c r="C128" s="26"/>
      <c r="D128" s="26">
        <v>4</v>
      </c>
      <c r="E128" s="26">
        <v>498</v>
      </c>
      <c r="F128" s="26">
        <v>253</v>
      </c>
      <c r="G128" s="26">
        <v>114</v>
      </c>
      <c r="H128" s="26">
        <v>4</v>
      </c>
      <c r="I128" s="26">
        <v>10</v>
      </c>
      <c r="J128" s="26">
        <v>113</v>
      </c>
      <c r="K128" s="26">
        <v>494</v>
      </c>
      <c r="L128" s="26">
        <v>4</v>
      </c>
      <c r="M128" s="26">
        <f t="shared" si="7"/>
        <v>498</v>
      </c>
      <c r="N128" s="26">
        <v>0</v>
      </c>
      <c r="O128" s="27">
        <f t="shared" si="8"/>
        <v>0.22690763052208834</v>
      </c>
      <c r="P128" s="27">
        <f t="shared" si="9"/>
        <v>0.50803212851405621</v>
      </c>
      <c r="Q128" s="27">
        <f t="shared" si="10"/>
        <v>0.2289156626506024</v>
      </c>
      <c r="R128" s="27">
        <f t="shared" si="11"/>
        <v>2.0080321285140562E-2</v>
      </c>
      <c r="S128" s="27">
        <f t="shared" si="12"/>
        <v>8.0321285140562242E-3</v>
      </c>
      <c r="T128" s="28">
        <v>638</v>
      </c>
      <c r="U128" s="28">
        <v>27</v>
      </c>
      <c r="V128" s="28">
        <v>26</v>
      </c>
      <c r="W128" s="28">
        <v>0</v>
      </c>
      <c r="X128" s="28">
        <v>691</v>
      </c>
      <c r="Y128" s="29">
        <v>0.92329956584659911</v>
      </c>
      <c r="Z128" s="29">
        <v>3.9073806078147609E-2</v>
      </c>
      <c r="AA128" s="29">
        <v>3.7626628075253257E-2</v>
      </c>
      <c r="AB128" s="29">
        <v>0</v>
      </c>
      <c r="AC128" s="30">
        <v>26.80752532561505</v>
      </c>
      <c r="AD128" s="27">
        <f t="shared" si="13"/>
        <v>0.72069464544138928</v>
      </c>
    </row>
    <row r="129" spans="1:30" x14ac:dyDescent="0.25">
      <c r="A129" s="26"/>
      <c r="B129" s="26"/>
      <c r="C129" s="26"/>
      <c r="D129" s="26">
        <v>5</v>
      </c>
      <c r="E129" s="26">
        <v>539</v>
      </c>
      <c r="F129" s="26">
        <v>307</v>
      </c>
      <c r="G129" s="26">
        <v>115</v>
      </c>
      <c r="H129" s="26">
        <v>3</v>
      </c>
      <c r="I129" s="26">
        <v>6</v>
      </c>
      <c r="J129" s="26">
        <v>106</v>
      </c>
      <c r="K129" s="26">
        <v>537</v>
      </c>
      <c r="L129" s="26">
        <v>2</v>
      </c>
      <c r="M129" s="26">
        <f t="shared" si="7"/>
        <v>539</v>
      </c>
      <c r="N129" s="26">
        <v>0</v>
      </c>
      <c r="O129" s="27">
        <f t="shared" si="8"/>
        <v>0.19666048237476808</v>
      </c>
      <c r="P129" s="27">
        <f t="shared" si="9"/>
        <v>0.56957328385899819</v>
      </c>
      <c r="Q129" s="27">
        <f t="shared" si="10"/>
        <v>0.21335807050092764</v>
      </c>
      <c r="R129" s="27">
        <f t="shared" si="11"/>
        <v>1.1131725417439703E-2</v>
      </c>
      <c r="S129" s="27">
        <f t="shared" si="12"/>
        <v>5.5658627087198514E-3</v>
      </c>
      <c r="T129" s="28">
        <v>663</v>
      </c>
      <c r="U129" s="28">
        <v>14</v>
      </c>
      <c r="V129" s="28">
        <v>14</v>
      </c>
      <c r="W129" s="28">
        <v>0</v>
      </c>
      <c r="X129" s="28">
        <v>691</v>
      </c>
      <c r="Y129" s="29">
        <v>0.95947901591895801</v>
      </c>
      <c r="Z129" s="29">
        <v>2.0260492040520984E-2</v>
      </c>
      <c r="AA129" s="29">
        <v>2.0260492040520984E-2</v>
      </c>
      <c r="AB129" s="29">
        <v>0</v>
      </c>
      <c r="AC129" s="30">
        <v>22.804630969609264</v>
      </c>
      <c r="AD129" s="27">
        <f t="shared" si="13"/>
        <v>0.78002894356005792</v>
      </c>
    </row>
    <row r="130" spans="1:30" x14ac:dyDescent="0.25">
      <c r="A130" s="26"/>
      <c r="B130" s="26"/>
      <c r="C130" s="26"/>
      <c r="D130" s="26">
        <v>6</v>
      </c>
      <c r="E130" s="26">
        <v>534</v>
      </c>
      <c r="F130" s="26">
        <v>315</v>
      </c>
      <c r="G130" s="26">
        <v>116</v>
      </c>
      <c r="H130" s="26">
        <v>1</v>
      </c>
      <c r="I130" s="26">
        <v>3</v>
      </c>
      <c r="J130" s="26">
        <v>82</v>
      </c>
      <c r="K130" s="26">
        <v>517</v>
      </c>
      <c r="L130" s="26">
        <v>17</v>
      </c>
      <c r="M130" s="26">
        <f t="shared" si="7"/>
        <v>534</v>
      </c>
      <c r="N130" s="26">
        <v>0</v>
      </c>
      <c r="O130" s="27">
        <f t="shared" si="8"/>
        <v>0.15355805243445692</v>
      </c>
      <c r="P130" s="27">
        <f t="shared" si="9"/>
        <v>0.5898876404494382</v>
      </c>
      <c r="Q130" s="27">
        <f t="shared" si="10"/>
        <v>0.21722846441947566</v>
      </c>
      <c r="R130" s="27">
        <f t="shared" si="11"/>
        <v>5.6179775280898875E-3</v>
      </c>
      <c r="S130" s="27">
        <f t="shared" si="12"/>
        <v>1.8726591760299626E-3</v>
      </c>
      <c r="T130" s="28">
        <v>657</v>
      </c>
      <c r="U130" s="28">
        <v>20</v>
      </c>
      <c r="V130" s="28">
        <v>13</v>
      </c>
      <c r="W130" s="28">
        <v>1</v>
      </c>
      <c r="X130" s="28">
        <v>691</v>
      </c>
      <c r="Y130" s="29">
        <v>0.95079594790159194</v>
      </c>
      <c r="Z130" s="29">
        <v>2.8943560057887119E-2</v>
      </c>
      <c r="AA130" s="29">
        <v>1.8813314037626629E-2</v>
      </c>
      <c r="AB130" s="29">
        <v>1.4471780028943559E-3</v>
      </c>
      <c r="AC130" s="30">
        <v>19.450072358900144</v>
      </c>
      <c r="AD130" s="27">
        <f t="shared" si="13"/>
        <v>0.77279305354558614</v>
      </c>
    </row>
    <row r="131" spans="1:30" x14ac:dyDescent="0.25">
      <c r="A131" s="26">
        <v>27</v>
      </c>
      <c r="B131" s="26" t="s">
        <v>182</v>
      </c>
      <c r="C131" s="26" t="s">
        <v>183</v>
      </c>
      <c r="D131" s="26">
        <v>1</v>
      </c>
      <c r="E131" s="26">
        <v>328</v>
      </c>
      <c r="F131" s="26">
        <v>9</v>
      </c>
      <c r="G131" s="26">
        <v>98</v>
      </c>
      <c r="H131" s="26">
        <v>1</v>
      </c>
      <c r="I131" s="26">
        <v>2</v>
      </c>
      <c r="J131" s="26">
        <v>212</v>
      </c>
      <c r="K131" s="26">
        <v>322</v>
      </c>
      <c r="L131" s="26">
        <v>6</v>
      </c>
      <c r="M131" s="26">
        <f t="shared" ref="M131:M194" si="14">L131+K131</f>
        <v>328</v>
      </c>
      <c r="N131" s="26">
        <v>0</v>
      </c>
      <c r="O131" s="27">
        <f t="shared" ref="O131:O194" si="15">J131/M131</f>
        <v>0.64634146341463417</v>
      </c>
      <c r="P131" s="27">
        <f t="shared" ref="P131:P194" si="16">F131/M131</f>
        <v>2.7439024390243903E-2</v>
      </c>
      <c r="Q131" s="27">
        <f t="shared" ref="Q131:Q194" si="17">G131/M131</f>
        <v>0.29878048780487804</v>
      </c>
      <c r="R131" s="27">
        <f t="shared" ref="R131:R194" si="18">I131/M131</f>
        <v>6.0975609756097563E-3</v>
      </c>
      <c r="S131" s="27">
        <f t="shared" ref="S131:S194" si="19">H131/M131</f>
        <v>3.0487804878048782E-3</v>
      </c>
      <c r="T131" s="28">
        <v>36</v>
      </c>
      <c r="U131" s="28">
        <v>239</v>
      </c>
      <c r="V131" s="28">
        <v>174</v>
      </c>
      <c r="W131" s="28">
        <v>1</v>
      </c>
      <c r="X131" s="28">
        <v>450</v>
      </c>
      <c r="Y131" s="29">
        <v>0.08</v>
      </c>
      <c r="Z131" s="29">
        <v>0.53111111111111109</v>
      </c>
      <c r="AA131" s="29">
        <v>0.38666666666666666</v>
      </c>
      <c r="AB131" s="29">
        <v>2.2222222222222222E-3</v>
      </c>
      <c r="AC131" s="30">
        <v>62.326666666666668</v>
      </c>
      <c r="AD131" s="27">
        <f t="shared" ref="AD131:AD194" si="20">M131/X131</f>
        <v>0.72888888888888892</v>
      </c>
    </row>
    <row r="132" spans="1:30" x14ac:dyDescent="0.25">
      <c r="A132" s="26"/>
      <c r="B132" s="26"/>
      <c r="C132" s="26"/>
      <c r="D132" s="26">
        <v>2</v>
      </c>
      <c r="E132" s="26">
        <v>465</v>
      </c>
      <c r="F132" s="26">
        <v>51</v>
      </c>
      <c r="G132" s="26">
        <v>96</v>
      </c>
      <c r="H132" s="26">
        <v>0</v>
      </c>
      <c r="I132" s="26">
        <v>0</v>
      </c>
      <c r="J132" s="26">
        <v>315</v>
      </c>
      <c r="K132" s="26">
        <v>462</v>
      </c>
      <c r="L132" s="26">
        <v>3</v>
      </c>
      <c r="M132" s="26">
        <f t="shared" si="14"/>
        <v>465</v>
      </c>
      <c r="N132" s="26">
        <v>0</v>
      </c>
      <c r="O132" s="27">
        <f t="shared" si="15"/>
        <v>0.67741935483870963</v>
      </c>
      <c r="P132" s="27">
        <f t="shared" si="16"/>
        <v>0.10967741935483871</v>
      </c>
      <c r="Q132" s="27">
        <f t="shared" si="17"/>
        <v>0.20645161290322581</v>
      </c>
      <c r="R132" s="27">
        <f t="shared" si="18"/>
        <v>0</v>
      </c>
      <c r="S132" s="27">
        <f t="shared" si="19"/>
        <v>0</v>
      </c>
      <c r="T132" s="28">
        <v>114</v>
      </c>
      <c r="U132" s="28">
        <v>224</v>
      </c>
      <c r="V132" s="28">
        <v>281</v>
      </c>
      <c r="W132" s="28">
        <v>2</v>
      </c>
      <c r="X132" s="28">
        <v>621</v>
      </c>
      <c r="Y132" s="29">
        <v>0.18357487922705315</v>
      </c>
      <c r="Z132" s="29">
        <v>0.36070853462157809</v>
      </c>
      <c r="AA132" s="29">
        <v>0.45249597423510468</v>
      </c>
      <c r="AB132" s="29">
        <v>3.2206119162640902E-3</v>
      </c>
      <c r="AC132" s="30">
        <v>34.222222222222221</v>
      </c>
      <c r="AD132" s="27">
        <f t="shared" si="20"/>
        <v>0.74879227053140096</v>
      </c>
    </row>
    <row r="133" spans="1:30" x14ac:dyDescent="0.25">
      <c r="A133" s="26">
        <v>28</v>
      </c>
      <c r="B133" s="26" t="s">
        <v>184</v>
      </c>
      <c r="C133" s="26" t="s">
        <v>185</v>
      </c>
      <c r="D133" s="26">
        <v>1</v>
      </c>
      <c r="E133" s="26">
        <v>298</v>
      </c>
      <c r="F133" s="26">
        <v>25</v>
      </c>
      <c r="G133" s="26">
        <v>129</v>
      </c>
      <c r="H133" s="26">
        <v>3</v>
      </c>
      <c r="I133" s="26">
        <v>5</v>
      </c>
      <c r="J133" s="26">
        <v>102</v>
      </c>
      <c r="K133" s="26">
        <v>264</v>
      </c>
      <c r="L133" s="26">
        <v>34</v>
      </c>
      <c r="M133" s="26">
        <f t="shared" si="14"/>
        <v>298</v>
      </c>
      <c r="N133" s="26">
        <v>0</v>
      </c>
      <c r="O133" s="27">
        <f t="shared" si="15"/>
        <v>0.34228187919463088</v>
      </c>
      <c r="P133" s="27">
        <f t="shared" si="16"/>
        <v>8.3892617449664433E-2</v>
      </c>
      <c r="Q133" s="27">
        <f t="shared" si="17"/>
        <v>0.43288590604026844</v>
      </c>
      <c r="R133" s="27">
        <f t="shared" si="18"/>
        <v>1.6778523489932886E-2</v>
      </c>
      <c r="S133" s="27">
        <f t="shared" si="19"/>
        <v>1.0067114093959731E-2</v>
      </c>
      <c r="T133" s="28">
        <v>222</v>
      </c>
      <c r="U133" s="28">
        <v>120</v>
      </c>
      <c r="V133" s="28">
        <v>106</v>
      </c>
      <c r="W133" s="28">
        <v>2</v>
      </c>
      <c r="X133" s="28">
        <v>450</v>
      </c>
      <c r="Y133" s="29">
        <v>0.49333333333333335</v>
      </c>
      <c r="Z133" s="29">
        <v>0.26666666666666666</v>
      </c>
      <c r="AA133" s="29">
        <v>0.23555555555555555</v>
      </c>
      <c r="AB133" s="29">
        <v>4.4444444444444444E-3</v>
      </c>
      <c r="AC133" s="30">
        <v>72.646666666666661</v>
      </c>
      <c r="AD133" s="27">
        <f t="shared" si="20"/>
        <v>0.66222222222222227</v>
      </c>
    </row>
    <row r="134" spans="1:30" x14ac:dyDescent="0.25">
      <c r="A134" s="26"/>
      <c r="B134" s="26"/>
      <c r="C134" s="26"/>
      <c r="D134" s="26">
        <v>2</v>
      </c>
      <c r="E134" s="26">
        <v>351</v>
      </c>
      <c r="F134" s="26">
        <v>47</v>
      </c>
      <c r="G134" s="26">
        <v>143</v>
      </c>
      <c r="H134" s="26">
        <v>2</v>
      </c>
      <c r="I134" s="26">
        <v>3</v>
      </c>
      <c r="J134" s="26">
        <v>149</v>
      </c>
      <c r="K134" s="26">
        <v>344</v>
      </c>
      <c r="L134" s="26">
        <v>7</v>
      </c>
      <c r="M134" s="26">
        <f t="shared" si="14"/>
        <v>351</v>
      </c>
      <c r="N134" s="26">
        <v>0</v>
      </c>
      <c r="O134" s="27">
        <f t="shared" si="15"/>
        <v>0.42450142450142453</v>
      </c>
      <c r="P134" s="27">
        <f t="shared" si="16"/>
        <v>0.13390313390313391</v>
      </c>
      <c r="Q134" s="27">
        <f t="shared" si="17"/>
        <v>0.40740740740740738</v>
      </c>
      <c r="R134" s="27">
        <f t="shared" si="18"/>
        <v>8.5470085470085479E-3</v>
      </c>
      <c r="S134" s="27">
        <f t="shared" si="19"/>
        <v>5.6980056980056983E-3</v>
      </c>
      <c r="T134" s="28">
        <v>232</v>
      </c>
      <c r="U134" s="28">
        <v>95</v>
      </c>
      <c r="V134" s="28">
        <v>120</v>
      </c>
      <c r="W134" s="28">
        <v>3</v>
      </c>
      <c r="X134" s="28">
        <v>450</v>
      </c>
      <c r="Y134" s="29">
        <v>0.51555555555555554</v>
      </c>
      <c r="Z134" s="29">
        <v>0.21111111111111111</v>
      </c>
      <c r="AA134" s="29">
        <v>0.26666666666666666</v>
      </c>
      <c r="AB134" s="29">
        <v>6.6666666666666671E-3</v>
      </c>
      <c r="AC134" s="30">
        <v>61.531111111111109</v>
      </c>
      <c r="AD134" s="27">
        <f t="shared" si="20"/>
        <v>0.78</v>
      </c>
    </row>
    <row r="135" spans="1:30" x14ac:dyDescent="0.25">
      <c r="A135" s="26"/>
      <c r="B135" s="26"/>
      <c r="C135" s="26"/>
      <c r="D135" s="26">
        <v>3</v>
      </c>
      <c r="E135" s="26">
        <v>504</v>
      </c>
      <c r="F135" s="26">
        <v>101</v>
      </c>
      <c r="G135" s="26">
        <v>208</v>
      </c>
      <c r="H135" s="26">
        <v>1</v>
      </c>
      <c r="I135" s="26">
        <v>7</v>
      </c>
      <c r="J135" s="26">
        <v>180</v>
      </c>
      <c r="K135" s="26">
        <v>497</v>
      </c>
      <c r="L135" s="26">
        <v>7</v>
      </c>
      <c r="M135" s="26">
        <f t="shared" si="14"/>
        <v>504</v>
      </c>
      <c r="N135" s="26">
        <v>0</v>
      </c>
      <c r="O135" s="27">
        <f t="shared" si="15"/>
        <v>0.35714285714285715</v>
      </c>
      <c r="P135" s="27">
        <f t="shared" si="16"/>
        <v>0.20039682539682541</v>
      </c>
      <c r="Q135" s="27">
        <f t="shared" si="17"/>
        <v>0.41269841269841268</v>
      </c>
      <c r="R135" s="27">
        <f t="shared" si="18"/>
        <v>1.3888888888888888E-2</v>
      </c>
      <c r="S135" s="27">
        <f t="shared" si="19"/>
        <v>1.984126984126984E-3</v>
      </c>
      <c r="T135" s="28">
        <v>399</v>
      </c>
      <c r="U135" s="28">
        <v>75</v>
      </c>
      <c r="V135" s="28">
        <v>146</v>
      </c>
      <c r="W135" s="28">
        <v>5</v>
      </c>
      <c r="X135" s="28">
        <v>625</v>
      </c>
      <c r="Y135" s="29">
        <v>0.63839999999999997</v>
      </c>
      <c r="Z135" s="29">
        <v>0.12</v>
      </c>
      <c r="AA135" s="29">
        <v>0.2336</v>
      </c>
      <c r="AB135" s="29">
        <v>8.0000000000000002E-3</v>
      </c>
      <c r="AC135" s="30">
        <v>47.505600000000001</v>
      </c>
      <c r="AD135" s="27">
        <f t="shared" si="20"/>
        <v>0.80640000000000001</v>
      </c>
    </row>
    <row r="136" spans="1:30" x14ac:dyDescent="0.25">
      <c r="A136" s="26"/>
      <c r="B136" s="26"/>
      <c r="C136" s="26"/>
      <c r="D136" s="26">
        <v>4</v>
      </c>
      <c r="E136" s="26">
        <v>490</v>
      </c>
      <c r="F136" s="26">
        <v>131</v>
      </c>
      <c r="G136" s="26">
        <v>158</v>
      </c>
      <c r="H136" s="26">
        <v>2</v>
      </c>
      <c r="I136" s="26">
        <v>8</v>
      </c>
      <c r="J136" s="26">
        <v>190</v>
      </c>
      <c r="K136" s="26">
        <v>489</v>
      </c>
      <c r="L136" s="26">
        <v>1</v>
      </c>
      <c r="M136" s="26">
        <f t="shared" si="14"/>
        <v>490</v>
      </c>
      <c r="N136" s="26">
        <v>0</v>
      </c>
      <c r="O136" s="27">
        <f t="shared" si="15"/>
        <v>0.38775510204081631</v>
      </c>
      <c r="P136" s="27">
        <f t="shared" si="16"/>
        <v>0.26734693877551019</v>
      </c>
      <c r="Q136" s="27">
        <f t="shared" si="17"/>
        <v>0.32244897959183672</v>
      </c>
      <c r="R136" s="27">
        <f t="shared" si="18"/>
        <v>1.6326530612244899E-2</v>
      </c>
      <c r="S136" s="27">
        <f t="shared" si="19"/>
        <v>4.0816326530612249E-3</v>
      </c>
      <c r="T136" s="28">
        <v>436</v>
      </c>
      <c r="U136" s="28">
        <v>64</v>
      </c>
      <c r="V136" s="28">
        <v>122</v>
      </c>
      <c r="W136" s="28">
        <v>4</v>
      </c>
      <c r="X136" s="28">
        <v>626</v>
      </c>
      <c r="Y136" s="29">
        <v>0.69648562300319494</v>
      </c>
      <c r="Z136" s="29">
        <v>0.10223642172523961</v>
      </c>
      <c r="AA136" s="29">
        <v>0.19488817891373802</v>
      </c>
      <c r="AB136" s="29">
        <v>6.3897763578274758E-3</v>
      </c>
      <c r="AC136" s="30">
        <v>28.937699680511184</v>
      </c>
      <c r="AD136" s="27">
        <f t="shared" si="20"/>
        <v>0.78274760383386577</v>
      </c>
    </row>
    <row r="137" spans="1:30" x14ac:dyDescent="0.25">
      <c r="A137" s="26">
        <v>29</v>
      </c>
      <c r="B137" s="26" t="s">
        <v>186</v>
      </c>
      <c r="C137" s="26" t="s">
        <v>187</v>
      </c>
      <c r="D137" s="26">
        <v>1</v>
      </c>
      <c r="E137" s="26">
        <v>350</v>
      </c>
      <c r="F137" s="26">
        <v>44</v>
      </c>
      <c r="G137" s="26">
        <v>127</v>
      </c>
      <c r="H137" s="26">
        <v>1</v>
      </c>
      <c r="I137" s="26">
        <v>1</v>
      </c>
      <c r="J137" s="26">
        <v>175</v>
      </c>
      <c r="K137" s="26">
        <v>348</v>
      </c>
      <c r="L137" s="26">
        <v>2</v>
      </c>
      <c r="M137" s="26">
        <f t="shared" si="14"/>
        <v>350</v>
      </c>
      <c r="N137" s="26">
        <v>0</v>
      </c>
      <c r="O137" s="27">
        <f t="shared" si="15"/>
        <v>0.5</v>
      </c>
      <c r="P137" s="27">
        <f t="shared" si="16"/>
        <v>0.12571428571428572</v>
      </c>
      <c r="Q137" s="27">
        <f t="shared" si="17"/>
        <v>0.36285714285714288</v>
      </c>
      <c r="R137" s="27">
        <f t="shared" si="18"/>
        <v>2.8571428571428571E-3</v>
      </c>
      <c r="S137" s="27">
        <f t="shared" si="19"/>
        <v>2.8571428571428571E-3</v>
      </c>
      <c r="T137" s="28">
        <v>235</v>
      </c>
      <c r="U137" s="28">
        <v>123</v>
      </c>
      <c r="V137" s="28">
        <v>90</v>
      </c>
      <c r="W137" s="28">
        <v>2</v>
      </c>
      <c r="X137" s="28">
        <v>450</v>
      </c>
      <c r="Y137" s="29">
        <v>0.52222222222222225</v>
      </c>
      <c r="Z137" s="29">
        <v>0.27333333333333332</v>
      </c>
      <c r="AA137" s="29">
        <v>0.2</v>
      </c>
      <c r="AB137" s="29">
        <v>4.4444444444444444E-3</v>
      </c>
      <c r="AC137" s="30">
        <v>62.588888888888889</v>
      </c>
      <c r="AD137" s="27">
        <f t="shared" si="20"/>
        <v>0.77777777777777779</v>
      </c>
    </row>
    <row r="138" spans="1:30" x14ac:dyDescent="0.25">
      <c r="A138" s="26"/>
      <c r="B138" s="26"/>
      <c r="C138" s="26"/>
      <c r="D138" s="26">
        <v>2</v>
      </c>
      <c r="E138" s="26">
        <v>417</v>
      </c>
      <c r="F138" s="26">
        <v>72</v>
      </c>
      <c r="G138" s="26">
        <v>97</v>
      </c>
      <c r="H138" s="26">
        <v>1</v>
      </c>
      <c r="I138" s="26">
        <v>2</v>
      </c>
      <c r="J138" s="26">
        <v>242</v>
      </c>
      <c r="K138" s="26">
        <v>414</v>
      </c>
      <c r="L138" s="26">
        <v>3</v>
      </c>
      <c r="M138" s="26">
        <f t="shared" si="14"/>
        <v>417</v>
      </c>
      <c r="N138" s="26">
        <v>0</v>
      </c>
      <c r="O138" s="27">
        <f t="shared" si="15"/>
        <v>0.58033573141486805</v>
      </c>
      <c r="P138" s="27">
        <f t="shared" si="16"/>
        <v>0.17266187050359713</v>
      </c>
      <c r="Q138" s="27">
        <f t="shared" si="17"/>
        <v>0.23261390887290168</v>
      </c>
      <c r="R138" s="27">
        <f t="shared" si="18"/>
        <v>4.7961630695443642E-3</v>
      </c>
      <c r="S138" s="27">
        <f t="shared" si="19"/>
        <v>2.3980815347721821E-3</v>
      </c>
      <c r="T138" s="28">
        <v>242</v>
      </c>
      <c r="U138" s="28">
        <v>132</v>
      </c>
      <c r="V138" s="28">
        <v>141</v>
      </c>
      <c r="W138" s="28">
        <v>2</v>
      </c>
      <c r="X138" s="28">
        <v>517</v>
      </c>
      <c r="Y138" s="29">
        <v>0.46808510638297873</v>
      </c>
      <c r="Z138" s="29">
        <v>0.25531914893617019</v>
      </c>
      <c r="AA138" s="29">
        <v>0.27272727272727271</v>
      </c>
      <c r="AB138" s="29">
        <v>3.8684719535783366E-3</v>
      </c>
      <c r="AC138" s="30">
        <v>43.427466150870409</v>
      </c>
      <c r="AD138" s="27">
        <f t="shared" si="20"/>
        <v>0.80657640232108319</v>
      </c>
    </row>
    <row r="139" spans="1:30" x14ac:dyDescent="0.25">
      <c r="A139" s="26"/>
      <c r="B139" s="26"/>
      <c r="C139" s="26"/>
      <c r="D139" s="26">
        <v>3</v>
      </c>
      <c r="E139" s="26">
        <v>411</v>
      </c>
      <c r="F139" s="26">
        <v>103</v>
      </c>
      <c r="G139" s="26">
        <v>113</v>
      </c>
      <c r="H139" s="26">
        <v>2</v>
      </c>
      <c r="I139" s="26">
        <v>0</v>
      </c>
      <c r="J139" s="26">
        <v>192</v>
      </c>
      <c r="K139" s="26">
        <v>410</v>
      </c>
      <c r="L139" s="26">
        <v>1</v>
      </c>
      <c r="M139" s="26">
        <f t="shared" si="14"/>
        <v>411</v>
      </c>
      <c r="N139" s="26">
        <v>0</v>
      </c>
      <c r="O139" s="27">
        <f t="shared" si="15"/>
        <v>0.46715328467153283</v>
      </c>
      <c r="P139" s="27">
        <f t="shared" si="16"/>
        <v>0.25060827250608275</v>
      </c>
      <c r="Q139" s="27">
        <f t="shared" si="17"/>
        <v>0.27493917274939172</v>
      </c>
      <c r="R139" s="27">
        <f t="shared" si="18"/>
        <v>0</v>
      </c>
      <c r="S139" s="27">
        <f t="shared" si="19"/>
        <v>4.8661800486618006E-3</v>
      </c>
      <c r="T139" s="28">
        <v>291</v>
      </c>
      <c r="U139" s="28">
        <v>117</v>
      </c>
      <c r="V139" s="28">
        <v>109</v>
      </c>
      <c r="W139" s="28">
        <v>0</v>
      </c>
      <c r="X139" s="28">
        <v>517</v>
      </c>
      <c r="Y139" s="29">
        <v>0.56286266924564798</v>
      </c>
      <c r="Z139" s="29">
        <v>0.22630560928433269</v>
      </c>
      <c r="AA139" s="29">
        <v>0.21083172147001933</v>
      </c>
      <c r="AB139" s="29">
        <v>0</v>
      </c>
      <c r="AC139" s="30">
        <v>27.268858800773696</v>
      </c>
      <c r="AD139" s="27">
        <f t="shared" si="20"/>
        <v>0.79497098646034814</v>
      </c>
    </row>
    <row r="140" spans="1:30" x14ac:dyDescent="0.25">
      <c r="A140" s="26">
        <v>30</v>
      </c>
      <c r="B140" s="26" t="s">
        <v>188</v>
      </c>
      <c r="C140" s="26" t="s">
        <v>189</v>
      </c>
      <c r="D140" s="26">
        <v>1</v>
      </c>
      <c r="E140" s="26">
        <v>315</v>
      </c>
      <c r="F140" s="26">
        <v>31</v>
      </c>
      <c r="G140" s="26">
        <v>85</v>
      </c>
      <c r="H140" s="26">
        <v>0</v>
      </c>
      <c r="I140" s="26">
        <v>8</v>
      </c>
      <c r="J140" s="26">
        <v>188</v>
      </c>
      <c r="K140" s="26">
        <v>312</v>
      </c>
      <c r="L140" s="26">
        <v>3</v>
      </c>
      <c r="M140" s="26">
        <f t="shared" si="14"/>
        <v>315</v>
      </c>
      <c r="N140" s="26">
        <v>0</v>
      </c>
      <c r="O140" s="27">
        <f t="shared" si="15"/>
        <v>0.59682539682539681</v>
      </c>
      <c r="P140" s="27">
        <f t="shared" si="16"/>
        <v>9.841269841269841E-2</v>
      </c>
      <c r="Q140" s="27">
        <f t="shared" si="17"/>
        <v>0.26984126984126983</v>
      </c>
      <c r="R140" s="27">
        <f t="shared" si="18"/>
        <v>2.5396825396825397E-2</v>
      </c>
      <c r="S140" s="27">
        <f t="shared" si="19"/>
        <v>0</v>
      </c>
      <c r="T140" s="28">
        <v>174</v>
      </c>
      <c r="U140" s="28">
        <v>262</v>
      </c>
      <c r="V140" s="28">
        <v>14</v>
      </c>
      <c r="W140" s="28">
        <v>0</v>
      </c>
      <c r="X140" s="28">
        <v>450</v>
      </c>
      <c r="Y140" s="29">
        <v>0.38666666666666666</v>
      </c>
      <c r="Z140" s="29">
        <v>0.5822222222222222</v>
      </c>
      <c r="AA140" s="29">
        <v>3.111111111111111E-2</v>
      </c>
      <c r="AB140" s="29">
        <v>0</v>
      </c>
      <c r="AC140" s="30">
        <v>68.966666666666669</v>
      </c>
      <c r="AD140" s="27">
        <f t="shared" si="20"/>
        <v>0.7</v>
      </c>
    </row>
    <row r="141" spans="1:30" x14ac:dyDescent="0.25">
      <c r="A141" s="26"/>
      <c r="B141" s="26"/>
      <c r="C141" s="26"/>
      <c r="D141" s="26">
        <v>2</v>
      </c>
      <c r="E141" s="26">
        <v>421</v>
      </c>
      <c r="F141" s="26">
        <v>64</v>
      </c>
      <c r="G141" s="26">
        <v>106</v>
      </c>
      <c r="H141" s="26">
        <v>0</v>
      </c>
      <c r="I141" s="26">
        <v>0</v>
      </c>
      <c r="J141" s="26">
        <v>248</v>
      </c>
      <c r="K141" s="26">
        <v>418</v>
      </c>
      <c r="L141" s="26">
        <v>3</v>
      </c>
      <c r="M141" s="26">
        <f t="shared" si="14"/>
        <v>421</v>
      </c>
      <c r="N141" s="26">
        <v>0</v>
      </c>
      <c r="O141" s="27">
        <f t="shared" si="15"/>
        <v>0.5890736342042755</v>
      </c>
      <c r="P141" s="27">
        <f t="shared" si="16"/>
        <v>0.15201900237529692</v>
      </c>
      <c r="Q141" s="27">
        <f t="shared" si="17"/>
        <v>0.25178147268408552</v>
      </c>
      <c r="R141" s="27">
        <f t="shared" si="18"/>
        <v>0</v>
      </c>
      <c r="S141" s="27">
        <f t="shared" si="19"/>
        <v>0</v>
      </c>
      <c r="T141" s="28">
        <v>255</v>
      </c>
      <c r="U141" s="28">
        <v>252</v>
      </c>
      <c r="V141" s="28">
        <v>25</v>
      </c>
      <c r="W141" s="28">
        <v>3</v>
      </c>
      <c r="X141" s="28">
        <v>535</v>
      </c>
      <c r="Y141" s="29">
        <v>0.47663551401869159</v>
      </c>
      <c r="Z141" s="29">
        <v>0.47102803738317756</v>
      </c>
      <c r="AA141" s="29">
        <v>4.6728971962616821E-2</v>
      </c>
      <c r="AB141" s="29">
        <v>5.6074766355140183E-3</v>
      </c>
      <c r="AC141" s="30">
        <v>49.162616822429904</v>
      </c>
      <c r="AD141" s="27">
        <f t="shared" si="20"/>
        <v>0.78691588785046729</v>
      </c>
    </row>
    <row r="142" spans="1:30" x14ac:dyDescent="0.25">
      <c r="A142" s="26"/>
      <c r="B142" s="26"/>
      <c r="C142" s="26"/>
      <c r="D142" s="26">
        <v>3</v>
      </c>
      <c r="E142" s="26">
        <v>414</v>
      </c>
      <c r="F142" s="26">
        <v>101</v>
      </c>
      <c r="G142" s="26">
        <v>112</v>
      </c>
      <c r="H142" s="26">
        <v>0</v>
      </c>
      <c r="I142" s="26">
        <v>1</v>
      </c>
      <c r="J142" s="26">
        <v>198</v>
      </c>
      <c r="K142" s="26">
        <v>412</v>
      </c>
      <c r="L142" s="26">
        <v>2</v>
      </c>
      <c r="M142" s="26">
        <f t="shared" si="14"/>
        <v>414</v>
      </c>
      <c r="N142" s="26">
        <v>0</v>
      </c>
      <c r="O142" s="27">
        <f t="shared" si="15"/>
        <v>0.47826086956521741</v>
      </c>
      <c r="P142" s="27">
        <f t="shared" si="16"/>
        <v>0.24396135265700483</v>
      </c>
      <c r="Q142" s="27">
        <f t="shared" si="17"/>
        <v>0.27053140096618356</v>
      </c>
      <c r="R142" s="27">
        <f t="shared" si="18"/>
        <v>2.4154589371980675E-3</v>
      </c>
      <c r="S142" s="27">
        <f t="shared" si="19"/>
        <v>0</v>
      </c>
      <c r="T142" s="28">
        <v>303</v>
      </c>
      <c r="U142" s="28">
        <v>178</v>
      </c>
      <c r="V142" s="28">
        <v>55</v>
      </c>
      <c r="W142" s="28">
        <v>0</v>
      </c>
      <c r="X142" s="28">
        <v>536</v>
      </c>
      <c r="Y142" s="29">
        <v>0.56529850746268662</v>
      </c>
      <c r="Z142" s="29">
        <v>0.33208955223880599</v>
      </c>
      <c r="AA142" s="29">
        <v>0.10261194029850747</v>
      </c>
      <c r="AB142" s="29">
        <v>0</v>
      </c>
      <c r="AC142" s="30">
        <v>29.23320895522388</v>
      </c>
      <c r="AD142" s="27">
        <f t="shared" si="20"/>
        <v>0.77238805970149249</v>
      </c>
    </row>
    <row r="143" spans="1:30" x14ac:dyDescent="0.25">
      <c r="A143" s="26">
        <v>31</v>
      </c>
      <c r="B143" s="26" t="s">
        <v>190</v>
      </c>
      <c r="C143" s="26" t="s">
        <v>191</v>
      </c>
      <c r="D143" s="26">
        <v>1</v>
      </c>
      <c r="E143" s="26">
        <v>263</v>
      </c>
      <c r="F143" s="26">
        <v>8</v>
      </c>
      <c r="G143" s="26">
        <v>90</v>
      </c>
      <c r="H143" s="26">
        <v>4</v>
      </c>
      <c r="I143" s="26">
        <v>3</v>
      </c>
      <c r="J143" s="26">
        <v>152</v>
      </c>
      <c r="K143" s="26">
        <v>257</v>
      </c>
      <c r="L143" s="26">
        <v>6</v>
      </c>
      <c r="M143" s="26">
        <f t="shared" si="14"/>
        <v>263</v>
      </c>
      <c r="N143" s="26">
        <v>0</v>
      </c>
      <c r="O143" s="27">
        <f t="shared" si="15"/>
        <v>0.57794676806083645</v>
      </c>
      <c r="P143" s="27">
        <f t="shared" si="16"/>
        <v>3.0418250950570342E-2</v>
      </c>
      <c r="Q143" s="27">
        <f t="shared" si="17"/>
        <v>0.34220532319391633</v>
      </c>
      <c r="R143" s="27">
        <f t="shared" si="18"/>
        <v>1.1406844106463879E-2</v>
      </c>
      <c r="S143" s="27">
        <f t="shared" si="19"/>
        <v>1.5209125475285171E-2</v>
      </c>
      <c r="T143" s="28">
        <v>8</v>
      </c>
      <c r="U143" s="28">
        <v>103</v>
      </c>
      <c r="V143" s="28">
        <v>239</v>
      </c>
      <c r="W143" s="28">
        <v>0</v>
      </c>
      <c r="X143" s="28">
        <v>350</v>
      </c>
      <c r="Y143" s="29">
        <v>2.2857142857142857E-2</v>
      </c>
      <c r="Z143" s="29">
        <v>0.29428571428571426</v>
      </c>
      <c r="AA143" s="29">
        <v>0.68285714285714283</v>
      </c>
      <c r="AB143" s="29">
        <v>0</v>
      </c>
      <c r="AC143" s="30">
        <v>64.934285714285721</v>
      </c>
      <c r="AD143" s="27">
        <f t="shared" si="20"/>
        <v>0.75142857142857145</v>
      </c>
    </row>
    <row r="144" spans="1:30" x14ac:dyDescent="0.25">
      <c r="A144" s="26"/>
      <c r="B144" s="26"/>
      <c r="C144" s="26"/>
      <c r="D144" s="26">
        <v>2</v>
      </c>
      <c r="E144" s="26">
        <v>394</v>
      </c>
      <c r="F144" s="26">
        <v>18</v>
      </c>
      <c r="G144" s="26">
        <v>105</v>
      </c>
      <c r="H144" s="26">
        <v>0</v>
      </c>
      <c r="I144" s="26">
        <v>2</v>
      </c>
      <c r="J144" s="26">
        <v>262</v>
      </c>
      <c r="K144" s="26">
        <v>387</v>
      </c>
      <c r="L144" s="26">
        <v>7</v>
      </c>
      <c r="M144" s="26">
        <f t="shared" si="14"/>
        <v>394</v>
      </c>
      <c r="N144" s="26">
        <v>0</v>
      </c>
      <c r="O144" s="27">
        <f t="shared" si="15"/>
        <v>0.6649746192893401</v>
      </c>
      <c r="P144" s="27">
        <f t="shared" si="16"/>
        <v>4.5685279187817257E-2</v>
      </c>
      <c r="Q144" s="27">
        <f t="shared" si="17"/>
        <v>0.26649746192893403</v>
      </c>
      <c r="R144" s="27">
        <f t="shared" si="18"/>
        <v>5.076142131979695E-3</v>
      </c>
      <c r="S144" s="27">
        <f t="shared" si="19"/>
        <v>0</v>
      </c>
      <c r="T144" s="28">
        <v>53</v>
      </c>
      <c r="U144" s="28">
        <v>72</v>
      </c>
      <c r="V144" s="28">
        <v>372</v>
      </c>
      <c r="W144" s="28">
        <v>2</v>
      </c>
      <c r="X144" s="28">
        <v>499</v>
      </c>
      <c r="Y144" s="29">
        <v>0.10621242484969939</v>
      </c>
      <c r="Z144" s="29">
        <v>0.14428857715430862</v>
      </c>
      <c r="AA144" s="29">
        <v>0.74549098196392782</v>
      </c>
      <c r="AB144" s="29">
        <v>4.0080160320641279E-3</v>
      </c>
      <c r="AC144" s="30">
        <v>35.076152304609217</v>
      </c>
      <c r="AD144" s="27">
        <f t="shared" si="20"/>
        <v>0.78957915831663328</v>
      </c>
    </row>
    <row r="145" spans="1:30" x14ac:dyDescent="0.25">
      <c r="A145" s="26">
        <v>32</v>
      </c>
      <c r="B145" s="26" t="s">
        <v>192</v>
      </c>
      <c r="C145" s="26" t="s">
        <v>193</v>
      </c>
      <c r="D145" s="26">
        <v>1</v>
      </c>
      <c r="E145" s="26">
        <v>357</v>
      </c>
      <c r="F145" s="26">
        <v>69</v>
      </c>
      <c r="G145" s="26">
        <v>213</v>
      </c>
      <c r="H145" s="26">
        <v>0</v>
      </c>
      <c r="I145" s="26">
        <v>2</v>
      </c>
      <c r="J145" s="26">
        <v>69</v>
      </c>
      <c r="K145" s="26">
        <v>353</v>
      </c>
      <c r="L145" s="26">
        <v>4</v>
      </c>
      <c r="M145" s="26">
        <f t="shared" si="14"/>
        <v>357</v>
      </c>
      <c r="N145" s="26">
        <v>0</v>
      </c>
      <c r="O145" s="27">
        <f t="shared" si="15"/>
        <v>0.19327731092436976</v>
      </c>
      <c r="P145" s="27">
        <f t="shared" si="16"/>
        <v>0.19327731092436976</v>
      </c>
      <c r="Q145" s="27">
        <f t="shared" si="17"/>
        <v>0.59663865546218486</v>
      </c>
      <c r="R145" s="27">
        <f t="shared" si="18"/>
        <v>5.6022408963585435E-3</v>
      </c>
      <c r="S145" s="27">
        <f t="shared" si="19"/>
        <v>0</v>
      </c>
      <c r="T145" s="28">
        <v>409</v>
      </c>
      <c r="U145" s="28">
        <v>37</v>
      </c>
      <c r="V145" s="28">
        <v>1</v>
      </c>
      <c r="W145" s="28">
        <v>3</v>
      </c>
      <c r="X145" s="28">
        <v>450</v>
      </c>
      <c r="Y145" s="29">
        <v>0.90888888888888886</v>
      </c>
      <c r="Z145" s="29">
        <v>8.2222222222222224E-2</v>
      </c>
      <c r="AA145" s="29">
        <v>2.2222222222222222E-3</v>
      </c>
      <c r="AB145" s="29">
        <v>6.6666666666666671E-3</v>
      </c>
      <c r="AC145" s="30">
        <v>65.084444444444443</v>
      </c>
      <c r="AD145" s="27">
        <f t="shared" si="20"/>
        <v>0.79333333333333333</v>
      </c>
    </row>
    <row r="146" spans="1:30" x14ac:dyDescent="0.25">
      <c r="A146" s="26"/>
      <c r="B146" s="26"/>
      <c r="C146" s="26"/>
      <c r="D146" s="26">
        <v>2</v>
      </c>
      <c r="E146" s="26">
        <v>486</v>
      </c>
      <c r="F146" s="26">
        <v>176</v>
      </c>
      <c r="G146" s="26">
        <v>199</v>
      </c>
      <c r="H146" s="26">
        <v>1</v>
      </c>
      <c r="I146" s="26">
        <v>9</v>
      </c>
      <c r="J146" s="26">
        <v>95</v>
      </c>
      <c r="K146" s="26">
        <v>480</v>
      </c>
      <c r="L146" s="26">
        <v>6</v>
      </c>
      <c r="M146" s="26">
        <f t="shared" si="14"/>
        <v>486</v>
      </c>
      <c r="N146" s="26">
        <v>0</v>
      </c>
      <c r="O146" s="27">
        <f t="shared" si="15"/>
        <v>0.19547325102880658</v>
      </c>
      <c r="P146" s="27">
        <f t="shared" si="16"/>
        <v>0.36213991769547327</v>
      </c>
      <c r="Q146" s="27">
        <f t="shared" si="17"/>
        <v>0.40946502057613171</v>
      </c>
      <c r="R146" s="27">
        <f t="shared" si="18"/>
        <v>1.8518518518518517E-2</v>
      </c>
      <c r="S146" s="27">
        <f t="shared" si="19"/>
        <v>2.05761316872428E-3</v>
      </c>
      <c r="T146" s="28">
        <v>529</v>
      </c>
      <c r="U146" s="28">
        <v>31</v>
      </c>
      <c r="V146" s="28">
        <v>10</v>
      </c>
      <c r="W146" s="28">
        <v>3</v>
      </c>
      <c r="X146" s="28">
        <v>573</v>
      </c>
      <c r="Y146" s="29">
        <v>0.92321116928446767</v>
      </c>
      <c r="Z146" s="29">
        <v>5.4101221640488653E-2</v>
      </c>
      <c r="AA146" s="29">
        <v>1.7452006980802792E-2</v>
      </c>
      <c r="AB146" s="29">
        <v>5.235602094240838E-3</v>
      </c>
      <c r="AC146" s="30">
        <v>50.183246073298427</v>
      </c>
      <c r="AD146" s="27">
        <f t="shared" si="20"/>
        <v>0.84816753926701571</v>
      </c>
    </row>
    <row r="147" spans="1:30" x14ac:dyDescent="0.25">
      <c r="A147" s="26"/>
      <c r="B147" s="26"/>
      <c r="C147" s="26"/>
      <c r="D147" s="26">
        <v>3</v>
      </c>
      <c r="E147" s="26">
        <v>441</v>
      </c>
      <c r="F147" s="26">
        <v>231</v>
      </c>
      <c r="G147" s="26">
        <v>146</v>
      </c>
      <c r="H147" s="26">
        <v>0</v>
      </c>
      <c r="I147" s="26">
        <v>4</v>
      </c>
      <c r="J147" s="26">
        <v>58</v>
      </c>
      <c r="K147" s="26">
        <v>439</v>
      </c>
      <c r="L147" s="26">
        <v>2</v>
      </c>
      <c r="M147" s="26">
        <f t="shared" si="14"/>
        <v>441</v>
      </c>
      <c r="N147" s="26">
        <v>0</v>
      </c>
      <c r="O147" s="27">
        <f t="shared" si="15"/>
        <v>0.13151927437641722</v>
      </c>
      <c r="P147" s="27">
        <f t="shared" si="16"/>
        <v>0.52380952380952384</v>
      </c>
      <c r="Q147" s="27">
        <f t="shared" si="17"/>
        <v>0.33106575963718821</v>
      </c>
      <c r="R147" s="27">
        <f t="shared" si="18"/>
        <v>9.0702947845804991E-3</v>
      </c>
      <c r="S147" s="27">
        <f t="shared" si="19"/>
        <v>0</v>
      </c>
      <c r="T147" s="28">
        <v>536</v>
      </c>
      <c r="U147" s="28">
        <v>15</v>
      </c>
      <c r="V147" s="28">
        <v>19</v>
      </c>
      <c r="W147" s="28">
        <v>3</v>
      </c>
      <c r="X147" s="28">
        <v>573</v>
      </c>
      <c r="Y147" s="29">
        <v>0.93542757417102962</v>
      </c>
      <c r="Z147" s="29">
        <v>2.6178010471204188E-2</v>
      </c>
      <c r="AA147" s="29">
        <v>3.3158813263525308E-2</v>
      </c>
      <c r="AB147" s="29">
        <v>5.235602094240838E-3</v>
      </c>
      <c r="AC147" s="30">
        <v>36.095986038394415</v>
      </c>
      <c r="AD147" s="27">
        <f t="shared" si="20"/>
        <v>0.76963350785340312</v>
      </c>
    </row>
    <row r="148" spans="1:30" x14ac:dyDescent="0.25">
      <c r="A148" s="26"/>
      <c r="B148" s="26"/>
      <c r="C148" s="26"/>
      <c r="D148" s="26">
        <v>4</v>
      </c>
      <c r="E148" s="26">
        <v>460</v>
      </c>
      <c r="F148" s="26">
        <v>244</v>
      </c>
      <c r="G148" s="26">
        <v>161</v>
      </c>
      <c r="H148" s="26">
        <v>0</v>
      </c>
      <c r="I148" s="26">
        <v>5</v>
      </c>
      <c r="J148" s="26">
        <v>49</v>
      </c>
      <c r="K148" s="26">
        <v>459</v>
      </c>
      <c r="L148" s="26">
        <v>1</v>
      </c>
      <c r="M148" s="26">
        <f t="shared" si="14"/>
        <v>460</v>
      </c>
      <c r="N148" s="26">
        <v>0</v>
      </c>
      <c r="O148" s="27">
        <f t="shared" si="15"/>
        <v>0.10652173913043478</v>
      </c>
      <c r="P148" s="27">
        <f t="shared" si="16"/>
        <v>0.5304347826086957</v>
      </c>
      <c r="Q148" s="27">
        <f t="shared" si="17"/>
        <v>0.35</v>
      </c>
      <c r="R148" s="27">
        <f t="shared" si="18"/>
        <v>1.0869565217391304E-2</v>
      </c>
      <c r="S148" s="27">
        <f t="shared" si="19"/>
        <v>0</v>
      </c>
      <c r="T148" s="28">
        <v>562</v>
      </c>
      <c r="U148" s="28">
        <v>2</v>
      </c>
      <c r="V148" s="28">
        <v>10</v>
      </c>
      <c r="W148" s="28">
        <v>0</v>
      </c>
      <c r="X148" s="28">
        <v>574</v>
      </c>
      <c r="Y148" s="29">
        <v>0.97909407665505221</v>
      </c>
      <c r="Z148" s="29">
        <v>3.4843205574912892E-3</v>
      </c>
      <c r="AA148" s="29">
        <v>1.7421602787456445E-2</v>
      </c>
      <c r="AB148" s="29">
        <v>0</v>
      </c>
      <c r="AC148" s="30">
        <v>24.193379790940767</v>
      </c>
      <c r="AD148" s="27">
        <f t="shared" si="20"/>
        <v>0.80139372822299648</v>
      </c>
    </row>
    <row r="149" spans="1:30" x14ac:dyDescent="0.25">
      <c r="A149" s="26">
        <v>33</v>
      </c>
      <c r="B149" s="26" t="s">
        <v>194</v>
      </c>
      <c r="C149" s="26" t="s">
        <v>195</v>
      </c>
      <c r="D149" s="26">
        <v>1</v>
      </c>
      <c r="E149" s="26">
        <v>292</v>
      </c>
      <c r="F149" s="26">
        <v>42</v>
      </c>
      <c r="G149" s="26">
        <v>97</v>
      </c>
      <c r="H149" s="26">
        <v>1</v>
      </c>
      <c r="I149" s="26">
        <v>6</v>
      </c>
      <c r="J149" s="26">
        <v>139</v>
      </c>
      <c r="K149" s="26">
        <v>285</v>
      </c>
      <c r="L149" s="26">
        <v>7</v>
      </c>
      <c r="M149" s="26">
        <f t="shared" si="14"/>
        <v>292</v>
      </c>
      <c r="N149" s="26">
        <v>0</v>
      </c>
      <c r="O149" s="27">
        <f t="shared" si="15"/>
        <v>0.47602739726027399</v>
      </c>
      <c r="P149" s="27">
        <f t="shared" si="16"/>
        <v>0.14383561643835616</v>
      </c>
      <c r="Q149" s="27">
        <f t="shared" si="17"/>
        <v>0.3321917808219178</v>
      </c>
      <c r="R149" s="27">
        <f t="shared" si="18"/>
        <v>2.0547945205479451E-2</v>
      </c>
      <c r="S149" s="27">
        <f t="shared" si="19"/>
        <v>3.4246575342465752E-3</v>
      </c>
      <c r="T149" s="28">
        <v>183</v>
      </c>
      <c r="U149" s="28">
        <v>232</v>
      </c>
      <c r="V149" s="28">
        <v>35</v>
      </c>
      <c r="W149" s="28">
        <v>0</v>
      </c>
      <c r="X149" s="28">
        <v>450</v>
      </c>
      <c r="Y149" s="29">
        <v>0.40666666666666668</v>
      </c>
      <c r="Z149" s="29">
        <v>0.51555555555555554</v>
      </c>
      <c r="AA149" s="29">
        <v>7.7777777777777779E-2</v>
      </c>
      <c r="AB149" s="29">
        <v>0</v>
      </c>
      <c r="AC149" s="30">
        <v>70.293333333333337</v>
      </c>
      <c r="AD149" s="27">
        <f t="shared" si="20"/>
        <v>0.64888888888888885</v>
      </c>
    </row>
    <row r="150" spans="1:30" x14ac:dyDescent="0.25">
      <c r="A150" s="26"/>
      <c r="B150" s="26"/>
      <c r="C150" s="26"/>
      <c r="D150" s="26">
        <v>2</v>
      </c>
      <c r="E150" s="26">
        <v>356</v>
      </c>
      <c r="F150" s="26">
        <v>35</v>
      </c>
      <c r="G150" s="26">
        <v>162</v>
      </c>
      <c r="H150" s="26">
        <v>1</v>
      </c>
      <c r="I150" s="26">
        <v>1</v>
      </c>
      <c r="J150" s="26">
        <v>149</v>
      </c>
      <c r="K150" s="26">
        <v>348</v>
      </c>
      <c r="L150" s="26">
        <v>8</v>
      </c>
      <c r="M150" s="26">
        <f t="shared" si="14"/>
        <v>356</v>
      </c>
      <c r="N150" s="26">
        <v>0</v>
      </c>
      <c r="O150" s="27">
        <f t="shared" si="15"/>
        <v>0.41853932584269665</v>
      </c>
      <c r="P150" s="27">
        <f t="shared" si="16"/>
        <v>9.8314606741573038E-2</v>
      </c>
      <c r="Q150" s="27">
        <f t="shared" si="17"/>
        <v>0.4550561797752809</v>
      </c>
      <c r="R150" s="27">
        <f t="shared" si="18"/>
        <v>2.8089887640449437E-3</v>
      </c>
      <c r="S150" s="27">
        <f t="shared" si="19"/>
        <v>2.8089887640449437E-3</v>
      </c>
      <c r="T150" s="28">
        <v>232</v>
      </c>
      <c r="U150" s="28">
        <v>175</v>
      </c>
      <c r="V150" s="28">
        <v>43</v>
      </c>
      <c r="W150" s="28">
        <v>0</v>
      </c>
      <c r="X150" s="28">
        <v>450</v>
      </c>
      <c r="Y150" s="29">
        <v>0.51555555555555554</v>
      </c>
      <c r="Z150" s="29">
        <v>0.3888888888888889</v>
      </c>
      <c r="AA150" s="29">
        <v>9.555555555555556E-2</v>
      </c>
      <c r="AB150" s="29">
        <v>0</v>
      </c>
      <c r="AC150" s="30">
        <v>62.653333333333336</v>
      </c>
      <c r="AD150" s="27">
        <f t="shared" si="20"/>
        <v>0.7911111111111111</v>
      </c>
    </row>
    <row r="151" spans="1:30" x14ac:dyDescent="0.25">
      <c r="A151" s="26"/>
      <c r="B151" s="26"/>
      <c r="C151" s="26"/>
      <c r="D151" s="26">
        <v>3</v>
      </c>
      <c r="E151" s="26">
        <v>463</v>
      </c>
      <c r="F151" s="26">
        <v>87</v>
      </c>
      <c r="G151" s="26">
        <v>165</v>
      </c>
      <c r="H151" s="26">
        <v>0</v>
      </c>
      <c r="I151" s="26">
        <v>1</v>
      </c>
      <c r="J151" s="26">
        <v>207</v>
      </c>
      <c r="K151" s="26">
        <v>460</v>
      </c>
      <c r="L151" s="26">
        <v>3</v>
      </c>
      <c r="M151" s="26">
        <f t="shared" si="14"/>
        <v>463</v>
      </c>
      <c r="N151" s="26">
        <v>0</v>
      </c>
      <c r="O151" s="27">
        <f t="shared" si="15"/>
        <v>0.44708423326133911</v>
      </c>
      <c r="P151" s="27">
        <f t="shared" si="16"/>
        <v>0.18790496760259179</v>
      </c>
      <c r="Q151" s="27">
        <f t="shared" si="17"/>
        <v>0.35637149028077753</v>
      </c>
      <c r="R151" s="27">
        <f t="shared" si="18"/>
        <v>2.1598272138228943E-3</v>
      </c>
      <c r="S151" s="27">
        <f t="shared" si="19"/>
        <v>0</v>
      </c>
      <c r="T151" s="28">
        <v>316</v>
      </c>
      <c r="U151" s="28">
        <v>192</v>
      </c>
      <c r="V151" s="28">
        <v>62</v>
      </c>
      <c r="W151" s="28">
        <v>4</v>
      </c>
      <c r="X151" s="28">
        <v>574</v>
      </c>
      <c r="Y151" s="29">
        <v>0.55052264808362372</v>
      </c>
      <c r="Z151" s="29">
        <v>0.33449477351916379</v>
      </c>
      <c r="AA151" s="29">
        <v>0.10801393728222997</v>
      </c>
      <c r="AB151" s="29">
        <v>6.9686411149825784E-3</v>
      </c>
      <c r="AC151" s="30">
        <v>49.909407665505228</v>
      </c>
      <c r="AD151" s="27">
        <f t="shared" si="20"/>
        <v>0.80662020905923348</v>
      </c>
    </row>
    <row r="152" spans="1:30" x14ac:dyDescent="0.25">
      <c r="A152" s="26"/>
      <c r="B152" s="26"/>
      <c r="C152" s="26"/>
      <c r="D152" s="26">
        <v>4</v>
      </c>
      <c r="E152" s="26">
        <v>430</v>
      </c>
      <c r="F152" s="26">
        <v>120</v>
      </c>
      <c r="G152" s="26">
        <v>100</v>
      </c>
      <c r="H152" s="26">
        <v>0</v>
      </c>
      <c r="I152" s="26">
        <v>8</v>
      </c>
      <c r="J152" s="26">
        <v>200</v>
      </c>
      <c r="K152" s="26">
        <v>428</v>
      </c>
      <c r="L152" s="26">
        <v>2</v>
      </c>
      <c r="M152" s="26">
        <f t="shared" si="14"/>
        <v>430</v>
      </c>
      <c r="N152" s="26">
        <v>0</v>
      </c>
      <c r="O152" s="27">
        <f t="shared" si="15"/>
        <v>0.46511627906976744</v>
      </c>
      <c r="P152" s="27">
        <f t="shared" si="16"/>
        <v>0.27906976744186046</v>
      </c>
      <c r="Q152" s="27">
        <f t="shared" si="17"/>
        <v>0.23255813953488372</v>
      </c>
      <c r="R152" s="27">
        <f t="shared" si="18"/>
        <v>1.8604651162790697E-2</v>
      </c>
      <c r="S152" s="27">
        <f t="shared" si="19"/>
        <v>0</v>
      </c>
      <c r="T152" s="28">
        <v>330</v>
      </c>
      <c r="U152" s="28">
        <v>176</v>
      </c>
      <c r="V152" s="28">
        <v>65</v>
      </c>
      <c r="W152" s="28">
        <v>3</v>
      </c>
      <c r="X152" s="28">
        <v>574</v>
      </c>
      <c r="Y152" s="29">
        <v>0.57491289198606277</v>
      </c>
      <c r="Z152" s="29">
        <v>0.30662020905923343</v>
      </c>
      <c r="AA152" s="29">
        <v>0.1132404181184669</v>
      </c>
      <c r="AB152" s="29">
        <v>5.2264808362369342E-3</v>
      </c>
      <c r="AC152" s="30">
        <v>39.374564459930312</v>
      </c>
      <c r="AD152" s="27">
        <f t="shared" si="20"/>
        <v>0.74912891986062713</v>
      </c>
    </row>
    <row r="153" spans="1:30" x14ac:dyDescent="0.25">
      <c r="A153" s="26"/>
      <c r="B153" s="26"/>
      <c r="C153" s="26"/>
      <c r="D153" s="26">
        <v>5</v>
      </c>
      <c r="E153" s="26">
        <v>414</v>
      </c>
      <c r="F153" s="26">
        <v>129</v>
      </c>
      <c r="G153" s="26">
        <v>121</v>
      </c>
      <c r="H153" s="26">
        <v>0</v>
      </c>
      <c r="I153" s="26">
        <v>4</v>
      </c>
      <c r="J153" s="26">
        <v>157</v>
      </c>
      <c r="K153" s="26">
        <v>411</v>
      </c>
      <c r="L153" s="26">
        <v>3</v>
      </c>
      <c r="M153" s="26">
        <f t="shared" si="14"/>
        <v>414</v>
      </c>
      <c r="N153" s="26">
        <v>0</v>
      </c>
      <c r="O153" s="27">
        <f t="shared" si="15"/>
        <v>0.37922705314009664</v>
      </c>
      <c r="P153" s="27">
        <f t="shared" si="16"/>
        <v>0.31159420289855072</v>
      </c>
      <c r="Q153" s="27">
        <f t="shared" si="17"/>
        <v>0.2922705314009662</v>
      </c>
      <c r="R153" s="27">
        <f t="shared" si="18"/>
        <v>9.6618357487922701E-3</v>
      </c>
      <c r="S153" s="27">
        <f t="shared" si="19"/>
        <v>0</v>
      </c>
      <c r="T153" s="28">
        <v>366</v>
      </c>
      <c r="U153" s="28">
        <v>141</v>
      </c>
      <c r="V153" s="28">
        <v>65</v>
      </c>
      <c r="W153" s="28">
        <v>2</v>
      </c>
      <c r="X153" s="28">
        <v>574</v>
      </c>
      <c r="Y153" s="29">
        <v>0.6376306620209059</v>
      </c>
      <c r="Z153" s="29">
        <v>0.2456445993031359</v>
      </c>
      <c r="AA153" s="29">
        <v>0.1132404181184669</v>
      </c>
      <c r="AB153" s="29">
        <v>3.4843205574912892E-3</v>
      </c>
      <c r="AC153" s="30">
        <v>30.71254355400697</v>
      </c>
      <c r="AD153" s="27">
        <f t="shared" si="20"/>
        <v>0.72125435540069682</v>
      </c>
    </row>
    <row r="154" spans="1:30" x14ac:dyDescent="0.25">
      <c r="A154" s="26"/>
      <c r="B154" s="26"/>
      <c r="C154" s="26"/>
      <c r="D154" s="26">
        <v>6</v>
      </c>
      <c r="E154" s="26">
        <v>463</v>
      </c>
      <c r="F154" s="26">
        <v>149</v>
      </c>
      <c r="G154" s="26">
        <v>138</v>
      </c>
      <c r="H154" s="26">
        <v>0</v>
      </c>
      <c r="I154" s="26">
        <v>2</v>
      </c>
      <c r="J154" s="26">
        <v>167</v>
      </c>
      <c r="K154" s="26">
        <v>456</v>
      </c>
      <c r="L154" s="26">
        <v>7</v>
      </c>
      <c r="M154" s="26">
        <f t="shared" si="14"/>
        <v>463</v>
      </c>
      <c r="N154" s="26">
        <v>0</v>
      </c>
      <c r="O154" s="27">
        <f t="shared" si="15"/>
        <v>0.36069114470842334</v>
      </c>
      <c r="P154" s="27">
        <f t="shared" si="16"/>
        <v>0.32181425485961124</v>
      </c>
      <c r="Q154" s="27">
        <f t="shared" si="17"/>
        <v>0.29805615550755937</v>
      </c>
      <c r="R154" s="27">
        <f t="shared" si="18"/>
        <v>4.3196544276457886E-3</v>
      </c>
      <c r="S154" s="27">
        <f t="shared" si="19"/>
        <v>0</v>
      </c>
      <c r="T154" s="28">
        <v>374</v>
      </c>
      <c r="U154" s="28">
        <v>117</v>
      </c>
      <c r="V154" s="28">
        <v>84</v>
      </c>
      <c r="W154" s="28">
        <v>0</v>
      </c>
      <c r="X154" s="28">
        <v>575</v>
      </c>
      <c r="Y154" s="29">
        <v>0.65043478260869569</v>
      </c>
      <c r="Z154" s="29">
        <v>0.20347826086956522</v>
      </c>
      <c r="AA154" s="29">
        <v>0.14608695652173914</v>
      </c>
      <c r="AB154" s="29">
        <v>0</v>
      </c>
      <c r="AC154" s="30">
        <v>22.306086956521739</v>
      </c>
      <c r="AD154" s="27">
        <f t="shared" si="20"/>
        <v>0.80521739130434777</v>
      </c>
    </row>
    <row r="155" spans="1:30" x14ac:dyDescent="0.25">
      <c r="A155" s="26"/>
      <c r="B155" s="26"/>
      <c r="C155" s="26" t="s">
        <v>196</v>
      </c>
      <c r="D155" s="26">
        <v>1</v>
      </c>
      <c r="E155" s="26">
        <v>210</v>
      </c>
      <c r="F155" s="26">
        <v>20</v>
      </c>
      <c r="G155" s="26">
        <v>134</v>
      </c>
      <c r="H155" s="26">
        <v>0</v>
      </c>
      <c r="I155" s="26">
        <v>1</v>
      </c>
      <c r="J155" s="26">
        <v>48</v>
      </c>
      <c r="K155" s="26">
        <v>203</v>
      </c>
      <c r="L155" s="26">
        <v>7</v>
      </c>
      <c r="M155" s="26">
        <f t="shared" si="14"/>
        <v>210</v>
      </c>
      <c r="N155" s="26">
        <v>0</v>
      </c>
      <c r="O155" s="27">
        <f t="shared" si="15"/>
        <v>0.22857142857142856</v>
      </c>
      <c r="P155" s="27">
        <f t="shared" si="16"/>
        <v>9.5238095238095233E-2</v>
      </c>
      <c r="Q155" s="27">
        <f t="shared" si="17"/>
        <v>0.63809523809523805</v>
      </c>
      <c r="R155" s="27">
        <f t="shared" si="18"/>
        <v>4.7619047619047623E-3</v>
      </c>
      <c r="S155" s="27">
        <f t="shared" si="19"/>
        <v>0</v>
      </c>
      <c r="T155" s="28">
        <v>88</v>
      </c>
      <c r="U155" s="28">
        <v>25</v>
      </c>
      <c r="V155" s="28">
        <v>4</v>
      </c>
      <c r="W155" s="28">
        <v>146</v>
      </c>
      <c r="X155" s="28">
        <v>263</v>
      </c>
      <c r="Y155" s="29">
        <v>0.33460076045627374</v>
      </c>
      <c r="Z155" s="29">
        <v>9.5057034220532313E-2</v>
      </c>
      <c r="AA155" s="29">
        <v>1.5209125475285171E-2</v>
      </c>
      <c r="AB155" s="29">
        <v>0.55513307984790872</v>
      </c>
      <c r="AC155" s="30">
        <v>41.988593155893533</v>
      </c>
      <c r="AD155" s="27">
        <f t="shared" si="20"/>
        <v>0.79847908745247154</v>
      </c>
    </row>
    <row r="156" spans="1:30" x14ac:dyDescent="0.25">
      <c r="A156" s="26">
        <v>34</v>
      </c>
      <c r="B156" s="26" t="s">
        <v>197</v>
      </c>
      <c r="C156" s="26" t="s">
        <v>198</v>
      </c>
      <c r="D156" s="26">
        <v>1</v>
      </c>
      <c r="E156" s="26">
        <v>344</v>
      </c>
      <c r="F156" s="26">
        <v>57</v>
      </c>
      <c r="G156" s="26">
        <v>193</v>
      </c>
      <c r="H156" s="26">
        <v>1</v>
      </c>
      <c r="I156" s="26">
        <v>2</v>
      </c>
      <c r="J156" s="26">
        <v>86</v>
      </c>
      <c r="K156" s="26">
        <v>339</v>
      </c>
      <c r="L156" s="26">
        <v>5</v>
      </c>
      <c r="M156" s="26">
        <f t="shared" si="14"/>
        <v>344</v>
      </c>
      <c r="N156" s="26">
        <v>0</v>
      </c>
      <c r="O156" s="27">
        <f t="shared" si="15"/>
        <v>0.25</v>
      </c>
      <c r="P156" s="27">
        <f t="shared" si="16"/>
        <v>0.16569767441860464</v>
      </c>
      <c r="Q156" s="27">
        <f t="shared" si="17"/>
        <v>0.56104651162790697</v>
      </c>
      <c r="R156" s="27">
        <f t="shared" si="18"/>
        <v>5.8139534883720929E-3</v>
      </c>
      <c r="S156" s="27">
        <f t="shared" si="19"/>
        <v>2.9069767441860465E-3</v>
      </c>
      <c r="T156" s="28">
        <v>299</v>
      </c>
      <c r="U156" s="28">
        <v>17</v>
      </c>
      <c r="V156" s="28">
        <v>132</v>
      </c>
      <c r="W156" s="28">
        <v>2</v>
      </c>
      <c r="X156" s="28">
        <v>450</v>
      </c>
      <c r="Y156" s="29">
        <v>0.66444444444444439</v>
      </c>
      <c r="Z156" s="29">
        <v>3.7777777777777778E-2</v>
      </c>
      <c r="AA156" s="29">
        <v>0.29333333333333333</v>
      </c>
      <c r="AB156" s="29">
        <v>4.4444444444444444E-3</v>
      </c>
      <c r="AC156" s="30">
        <v>64.597777777777779</v>
      </c>
      <c r="AD156" s="27">
        <f t="shared" si="20"/>
        <v>0.76444444444444448</v>
      </c>
    </row>
    <row r="157" spans="1:30" x14ac:dyDescent="0.25">
      <c r="A157" s="26"/>
      <c r="B157" s="26"/>
      <c r="C157" s="26"/>
      <c r="D157" s="26">
        <v>2</v>
      </c>
      <c r="E157" s="26">
        <v>344</v>
      </c>
      <c r="F157" s="26">
        <v>73</v>
      </c>
      <c r="G157" s="26">
        <v>125</v>
      </c>
      <c r="H157" s="26">
        <v>1</v>
      </c>
      <c r="I157" s="26">
        <v>5</v>
      </c>
      <c r="J157" s="26">
        <v>134</v>
      </c>
      <c r="K157" s="26">
        <v>338</v>
      </c>
      <c r="L157" s="26">
        <v>6</v>
      </c>
      <c r="M157" s="26">
        <f t="shared" si="14"/>
        <v>344</v>
      </c>
      <c r="N157" s="26">
        <v>0</v>
      </c>
      <c r="O157" s="27">
        <f t="shared" si="15"/>
        <v>0.38953488372093026</v>
      </c>
      <c r="P157" s="27">
        <f t="shared" si="16"/>
        <v>0.21220930232558138</v>
      </c>
      <c r="Q157" s="27">
        <f t="shared" si="17"/>
        <v>0.36337209302325579</v>
      </c>
      <c r="R157" s="27">
        <f t="shared" si="18"/>
        <v>1.4534883720930232E-2</v>
      </c>
      <c r="S157" s="27">
        <f t="shared" si="19"/>
        <v>2.9069767441860465E-3</v>
      </c>
      <c r="T157" s="28">
        <v>298</v>
      </c>
      <c r="U157" s="28">
        <v>32</v>
      </c>
      <c r="V157" s="28">
        <v>116</v>
      </c>
      <c r="W157" s="28">
        <v>4</v>
      </c>
      <c r="X157" s="28">
        <v>450</v>
      </c>
      <c r="Y157" s="29">
        <v>0.66222222222222227</v>
      </c>
      <c r="Z157" s="29">
        <v>7.1111111111111111E-2</v>
      </c>
      <c r="AA157" s="29">
        <v>0.25777777777777777</v>
      </c>
      <c r="AB157" s="29">
        <v>8.8888888888888889E-3</v>
      </c>
      <c r="AC157" s="30">
        <v>56.13111111111111</v>
      </c>
      <c r="AD157" s="27">
        <f t="shared" si="20"/>
        <v>0.76444444444444448</v>
      </c>
    </row>
    <row r="158" spans="1:30" x14ac:dyDescent="0.25">
      <c r="A158" s="26"/>
      <c r="B158" s="26"/>
      <c r="C158" s="26"/>
      <c r="D158" s="26">
        <v>3</v>
      </c>
      <c r="E158" s="26">
        <v>406</v>
      </c>
      <c r="F158" s="26">
        <v>158</v>
      </c>
      <c r="G158" s="26">
        <v>114</v>
      </c>
      <c r="H158" s="26">
        <v>7</v>
      </c>
      <c r="I158" s="26">
        <v>8</v>
      </c>
      <c r="J158" s="26">
        <v>116</v>
      </c>
      <c r="K158" s="26">
        <v>403</v>
      </c>
      <c r="L158" s="26">
        <v>3</v>
      </c>
      <c r="M158" s="26">
        <f t="shared" si="14"/>
        <v>406</v>
      </c>
      <c r="N158" s="26">
        <v>0</v>
      </c>
      <c r="O158" s="27">
        <f t="shared" si="15"/>
        <v>0.2857142857142857</v>
      </c>
      <c r="P158" s="27">
        <f t="shared" si="16"/>
        <v>0.3891625615763547</v>
      </c>
      <c r="Q158" s="27">
        <f t="shared" si="17"/>
        <v>0.28078817733990147</v>
      </c>
      <c r="R158" s="27">
        <f t="shared" si="18"/>
        <v>1.9704433497536946E-2</v>
      </c>
      <c r="S158" s="27">
        <f t="shared" si="19"/>
        <v>1.7241379310344827E-2</v>
      </c>
      <c r="T158" s="28">
        <v>464</v>
      </c>
      <c r="U158" s="28">
        <v>34</v>
      </c>
      <c r="V158" s="28">
        <v>114</v>
      </c>
      <c r="W158" s="28">
        <v>35</v>
      </c>
      <c r="X158" s="28">
        <v>647</v>
      </c>
      <c r="Y158" s="29">
        <v>0.71715610510046368</v>
      </c>
      <c r="Z158" s="29">
        <v>5.2550231839258117E-2</v>
      </c>
      <c r="AA158" s="29">
        <v>0.17619783616692428</v>
      </c>
      <c r="AB158" s="29">
        <v>5.4095826893353939E-2</v>
      </c>
      <c r="AC158" s="30">
        <v>45.707882534775891</v>
      </c>
      <c r="AD158" s="27">
        <f t="shared" si="20"/>
        <v>0.62751159196290573</v>
      </c>
    </row>
    <row r="159" spans="1:30" x14ac:dyDescent="0.25">
      <c r="A159" s="26"/>
      <c r="B159" s="26"/>
      <c r="C159" s="26"/>
      <c r="D159" s="26">
        <v>4</v>
      </c>
      <c r="E159" s="26">
        <v>415</v>
      </c>
      <c r="F159" s="26">
        <v>168</v>
      </c>
      <c r="G159" s="26">
        <v>115</v>
      </c>
      <c r="H159" s="26">
        <v>0</v>
      </c>
      <c r="I159" s="26">
        <v>5</v>
      </c>
      <c r="J159" s="26">
        <v>125</v>
      </c>
      <c r="K159" s="26">
        <v>413</v>
      </c>
      <c r="L159" s="26">
        <v>2</v>
      </c>
      <c r="M159" s="26">
        <f t="shared" si="14"/>
        <v>415</v>
      </c>
      <c r="N159" s="26">
        <v>0</v>
      </c>
      <c r="O159" s="27">
        <f t="shared" si="15"/>
        <v>0.30120481927710846</v>
      </c>
      <c r="P159" s="27">
        <f t="shared" si="16"/>
        <v>0.40481927710843374</v>
      </c>
      <c r="Q159" s="27">
        <f t="shared" si="17"/>
        <v>0.27710843373493976</v>
      </c>
      <c r="R159" s="27">
        <f t="shared" si="18"/>
        <v>1.2048192771084338E-2</v>
      </c>
      <c r="S159" s="27">
        <f t="shared" si="19"/>
        <v>0</v>
      </c>
      <c r="T159" s="28">
        <v>480</v>
      </c>
      <c r="U159" s="28">
        <v>22</v>
      </c>
      <c r="V159" s="28">
        <v>125</v>
      </c>
      <c r="W159" s="28">
        <v>20</v>
      </c>
      <c r="X159" s="28">
        <v>647</v>
      </c>
      <c r="Y159" s="29">
        <v>0.74188562596599694</v>
      </c>
      <c r="Z159" s="29">
        <v>3.4003091190108192E-2</v>
      </c>
      <c r="AA159" s="29">
        <v>0.19319938176197837</v>
      </c>
      <c r="AB159" s="29">
        <v>3.0911901081916538E-2</v>
      </c>
      <c r="AC159" s="30">
        <v>38.766615146831533</v>
      </c>
      <c r="AD159" s="27">
        <f t="shared" si="20"/>
        <v>0.64142194744976821</v>
      </c>
    </row>
    <row r="160" spans="1:30" x14ac:dyDescent="0.25">
      <c r="A160" s="26"/>
      <c r="B160" s="26"/>
      <c r="C160" s="26"/>
      <c r="D160" s="26">
        <v>5</v>
      </c>
      <c r="E160" s="26">
        <v>440</v>
      </c>
      <c r="F160" s="26">
        <v>182</v>
      </c>
      <c r="G160" s="26">
        <v>100</v>
      </c>
      <c r="H160" s="26">
        <v>1</v>
      </c>
      <c r="I160" s="26">
        <v>7</v>
      </c>
      <c r="J160" s="26">
        <v>150</v>
      </c>
      <c r="K160" s="26">
        <v>440</v>
      </c>
      <c r="L160" s="26">
        <v>0</v>
      </c>
      <c r="M160" s="26">
        <f t="shared" si="14"/>
        <v>440</v>
      </c>
      <c r="N160" s="26">
        <v>0</v>
      </c>
      <c r="O160" s="27">
        <f t="shared" si="15"/>
        <v>0.34090909090909088</v>
      </c>
      <c r="P160" s="27">
        <f t="shared" si="16"/>
        <v>0.41363636363636364</v>
      </c>
      <c r="Q160" s="27">
        <f t="shared" si="17"/>
        <v>0.22727272727272727</v>
      </c>
      <c r="R160" s="27">
        <f t="shared" si="18"/>
        <v>1.5909090909090907E-2</v>
      </c>
      <c r="S160" s="27">
        <f t="shared" si="19"/>
        <v>2.2727272727272726E-3</v>
      </c>
      <c r="T160" s="28">
        <v>467</v>
      </c>
      <c r="U160" s="28">
        <v>27</v>
      </c>
      <c r="V160" s="28">
        <v>140</v>
      </c>
      <c r="W160" s="28">
        <v>13</v>
      </c>
      <c r="X160" s="28">
        <v>647</v>
      </c>
      <c r="Y160" s="29">
        <v>0.72179289026275117</v>
      </c>
      <c r="Z160" s="29">
        <v>4.1731066460587329E-2</v>
      </c>
      <c r="AA160" s="29">
        <v>0.21638330757341576</v>
      </c>
      <c r="AB160" s="29">
        <v>2.009273570324575E-2</v>
      </c>
      <c r="AC160" s="30">
        <v>32.885625965996908</v>
      </c>
      <c r="AD160" s="27">
        <f t="shared" si="20"/>
        <v>0.68006182380216385</v>
      </c>
    </row>
    <row r="161" spans="1:30" x14ac:dyDescent="0.25">
      <c r="A161" s="26"/>
      <c r="B161" s="26"/>
      <c r="C161" s="26"/>
      <c r="D161" s="26">
        <v>6</v>
      </c>
      <c r="E161" s="26">
        <v>492</v>
      </c>
      <c r="F161" s="26">
        <v>189</v>
      </c>
      <c r="G161" s="26">
        <v>116</v>
      </c>
      <c r="H161" s="26">
        <v>1</v>
      </c>
      <c r="I161" s="26">
        <v>1</v>
      </c>
      <c r="J161" s="26">
        <v>184</v>
      </c>
      <c r="K161" s="26">
        <v>491</v>
      </c>
      <c r="L161" s="26">
        <v>1</v>
      </c>
      <c r="M161" s="26">
        <f t="shared" si="14"/>
        <v>492</v>
      </c>
      <c r="N161" s="26">
        <v>0</v>
      </c>
      <c r="O161" s="27">
        <f t="shared" si="15"/>
        <v>0.37398373983739835</v>
      </c>
      <c r="P161" s="27">
        <f t="shared" si="16"/>
        <v>0.38414634146341464</v>
      </c>
      <c r="Q161" s="27">
        <f t="shared" si="17"/>
        <v>0.23577235772357724</v>
      </c>
      <c r="R161" s="27">
        <f t="shared" si="18"/>
        <v>2.0325203252032522E-3</v>
      </c>
      <c r="S161" s="27">
        <f t="shared" si="19"/>
        <v>2.0325203252032522E-3</v>
      </c>
      <c r="T161" s="28">
        <v>445</v>
      </c>
      <c r="U161" s="28">
        <v>20</v>
      </c>
      <c r="V161" s="28">
        <v>181</v>
      </c>
      <c r="W161" s="28">
        <v>2</v>
      </c>
      <c r="X161" s="28">
        <v>648</v>
      </c>
      <c r="Y161" s="29">
        <v>0.68672839506172845</v>
      </c>
      <c r="Z161" s="29">
        <v>3.0864197530864196E-2</v>
      </c>
      <c r="AA161" s="29">
        <v>0.27932098765432101</v>
      </c>
      <c r="AB161" s="29">
        <v>3.0864197530864196E-3</v>
      </c>
      <c r="AC161" s="30">
        <v>23.831790123456791</v>
      </c>
      <c r="AD161" s="27">
        <f t="shared" si="20"/>
        <v>0.7592592592592593</v>
      </c>
    </row>
    <row r="162" spans="1:30" x14ac:dyDescent="0.25">
      <c r="A162" s="26"/>
      <c r="B162" s="26"/>
      <c r="C162" s="26" t="s">
        <v>199</v>
      </c>
      <c r="D162" s="26">
        <v>1</v>
      </c>
      <c r="E162" s="26">
        <v>351</v>
      </c>
      <c r="F162" s="26">
        <v>49</v>
      </c>
      <c r="G162" s="26">
        <v>183</v>
      </c>
      <c r="H162" s="26">
        <v>4</v>
      </c>
      <c r="I162" s="26">
        <v>2</v>
      </c>
      <c r="J162" s="26">
        <v>110</v>
      </c>
      <c r="K162" s="26">
        <v>348</v>
      </c>
      <c r="L162" s="26">
        <v>3</v>
      </c>
      <c r="M162" s="26">
        <f t="shared" si="14"/>
        <v>351</v>
      </c>
      <c r="N162" s="26">
        <v>0</v>
      </c>
      <c r="O162" s="27">
        <f t="shared" si="15"/>
        <v>0.31339031339031337</v>
      </c>
      <c r="P162" s="27">
        <f t="shared" si="16"/>
        <v>0.1396011396011396</v>
      </c>
      <c r="Q162" s="27">
        <f t="shared" si="17"/>
        <v>0.5213675213675214</v>
      </c>
      <c r="R162" s="27">
        <f t="shared" si="18"/>
        <v>5.6980056980056983E-3</v>
      </c>
      <c r="S162" s="27">
        <f t="shared" si="19"/>
        <v>1.1396011396011397E-2</v>
      </c>
      <c r="T162" s="28">
        <v>276</v>
      </c>
      <c r="U162" s="28">
        <v>63</v>
      </c>
      <c r="V162" s="28">
        <v>98</v>
      </c>
      <c r="W162" s="28">
        <v>13</v>
      </c>
      <c r="X162" s="28">
        <v>450</v>
      </c>
      <c r="Y162" s="29">
        <v>0.61333333333333329</v>
      </c>
      <c r="Z162" s="29">
        <v>0.14000000000000001</v>
      </c>
      <c r="AA162" s="29">
        <v>0.21777777777777776</v>
      </c>
      <c r="AB162" s="29">
        <v>2.8888888888888888E-2</v>
      </c>
      <c r="AC162" s="30">
        <v>66.704444444444448</v>
      </c>
      <c r="AD162" s="27">
        <f t="shared" si="20"/>
        <v>0.78</v>
      </c>
    </row>
    <row r="163" spans="1:30" x14ac:dyDescent="0.25">
      <c r="A163" s="26"/>
      <c r="B163" s="26"/>
      <c r="C163" s="26"/>
      <c r="D163" s="26">
        <v>2</v>
      </c>
      <c r="E163" s="26">
        <v>535</v>
      </c>
      <c r="F163" s="26">
        <v>166</v>
      </c>
      <c r="G163" s="26">
        <v>170</v>
      </c>
      <c r="H163" s="26">
        <v>2</v>
      </c>
      <c r="I163" s="26">
        <v>8</v>
      </c>
      <c r="J163" s="26">
        <v>184</v>
      </c>
      <c r="K163" s="26">
        <v>530</v>
      </c>
      <c r="L163" s="26">
        <v>5</v>
      </c>
      <c r="M163" s="26">
        <f t="shared" si="14"/>
        <v>535</v>
      </c>
      <c r="N163" s="26">
        <v>0</v>
      </c>
      <c r="O163" s="27">
        <f t="shared" si="15"/>
        <v>0.34392523364485983</v>
      </c>
      <c r="P163" s="27">
        <f t="shared" si="16"/>
        <v>0.3102803738317757</v>
      </c>
      <c r="Q163" s="27">
        <f t="shared" si="17"/>
        <v>0.31775700934579437</v>
      </c>
      <c r="R163" s="27">
        <f t="shared" si="18"/>
        <v>1.4953271028037384E-2</v>
      </c>
      <c r="S163" s="27">
        <f t="shared" si="19"/>
        <v>3.7383177570093459E-3</v>
      </c>
      <c r="T163" s="28">
        <v>451</v>
      </c>
      <c r="U163" s="28">
        <v>87</v>
      </c>
      <c r="V163" s="28">
        <v>133</v>
      </c>
      <c r="W163" s="28">
        <v>11</v>
      </c>
      <c r="X163" s="28">
        <v>682</v>
      </c>
      <c r="Y163" s="29">
        <v>0.66129032258064513</v>
      </c>
      <c r="Z163" s="29">
        <v>0.12756598240469208</v>
      </c>
      <c r="AA163" s="29">
        <v>0.19501466275659823</v>
      </c>
      <c r="AB163" s="29">
        <v>1.6129032258064516E-2</v>
      </c>
      <c r="AC163" s="30">
        <v>47.502932551319645</v>
      </c>
      <c r="AD163" s="27">
        <f t="shared" si="20"/>
        <v>0.78445747800586507</v>
      </c>
    </row>
    <row r="164" spans="1:30" x14ac:dyDescent="0.25">
      <c r="A164" s="26"/>
      <c r="B164" s="26"/>
      <c r="C164" s="26"/>
      <c r="D164" s="26">
        <v>3</v>
      </c>
      <c r="E164" s="26">
        <v>492</v>
      </c>
      <c r="F164" s="26">
        <v>207</v>
      </c>
      <c r="G164" s="26">
        <v>128</v>
      </c>
      <c r="H164" s="26">
        <v>1</v>
      </c>
      <c r="I164" s="26">
        <v>3</v>
      </c>
      <c r="J164" s="26">
        <v>153</v>
      </c>
      <c r="K164" s="26">
        <v>492</v>
      </c>
      <c r="L164" s="26">
        <v>0</v>
      </c>
      <c r="M164" s="26">
        <f t="shared" si="14"/>
        <v>492</v>
      </c>
      <c r="N164" s="26">
        <v>0</v>
      </c>
      <c r="O164" s="27">
        <f t="shared" si="15"/>
        <v>0.31097560975609756</v>
      </c>
      <c r="P164" s="27">
        <f t="shared" si="16"/>
        <v>0.42073170731707316</v>
      </c>
      <c r="Q164" s="27">
        <f t="shared" si="17"/>
        <v>0.26016260162601629</v>
      </c>
      <c r="R164" s="27">
        <f t="shared" si="18"/>
        <v>6.0975609756097563E-3</v>
      </c>
      <c r="S164" s="27">
        <f t="shared" si="19"/>
        <v>2.0325203252032522E-3</v>
      </c>
      <c r="T164" s="28">
        <v>522</v>
      </c>
      <c r="U164" s="28">
        <v>61</v>
      </c>
      <c r="V164" s="28">
        <v>96</v>
      </c>
      <c r="W164" s="28">
        <v>3</v>
      </c>
      <c r="X164" s="28">
        <v>682</v>
      </c>
      <c r="Y164" s="29">
        <v>0.76539589442815248</v>
      </c>
      <c r="Z164" s="29">
        <v>8.9442815249266866E-2</v>
      </c>
      <c r="AA164" s="29">
        <v>0.14076246334310852</v>
      </c>
      <c r="AB164" s="29">
        <v>4.3988269794721412E-3</v>
      </c>
      <c r="AC164" s="30">
        <v>27.848973607038122</v>
      </c>
      <c r="AD164" s="27">
        <f t="shared" si="20"/>
        <v>0.72140762463343111</v>
      </c>
    </row>
    <row r="165" spans="1:30" x14ac:dyDescent="0.25">
      <c r="A165" s="26">
        <v>35</v>
      </c>
      <c r="B165" s="26" t="s">
        <v>200</v>
      </c>
      <c r="C165" s="26" t="s">
        <v>201</v>
      </c>
      <c r="D165" s="26">
        <v>1</v>
      </c>
      <c r="E165" s="26">
        <v>284</v>
      </c>
      <c r="F165" s="26">
        <v>38</v>
      </c>
      <c r="G165" s="26">
        <v>98</v>
      </c>
      <c r="H165" s="26">
        <v>1</v>
      </c>
      <c r="I165" s="26">
        <v>5</v>
      </c>
      <c r="J165" s="26">
        <v>137</v>
      </c>
      <c r="K165" s="26">
        <v>279</v>
      </c>
      <c r="L165" s="26">
        <v>5</v>
      </c>
      <c r="M165" s="26">
        <f t="shared" si="14"/>
        <v>284</v>
      </c>
      <c r="N165" s="26">
        <v>0</v>
      </c>
      <c r="O165" s="27">
        <f t="shared" si="15"/>
        <v>0.48239436619718312</v>
      </c>
      <c r="P165" s="27">
        <f t="shared" si="16"/>
        <v>0.13380281690140844</v>
      </c>
      <c r="Q165" s="27">
        <f t="shared" si="17"/>
        <v>0.34507042253521125</v>
      </c>
      <c r="R165" s="27">
        <f t="shared" si="18"/>
        <v>1.7605633802816902E-2</v>
      </c>
      <c r="S165" s="27">
        <f t="shared" si="19"/>
        <v>3.5211267605633804E-3</v>
      </c>
      <c r="T165" s="28">
        <v>200</v>
      </c>
      <c r="U165" s="28">
        <v>166</v>
      </c>
      <c r="V165" s="28">
        <v>82</v>
      </c>
      <c r="W165" s="28">
        <v>2</v>
      </c>
      <c r="X165" s="28">
        <v>450</v>
      </c>
      <c r="Y165" s="29">
        <v>0.44444444444444442</v>
      </c>
      <c r="Z165" s="29">
        <v>0.36888888888888888</v>
      </c>
      <c r="AA165" s="29">
        <v>0.18222222222222223</v>
      </c>
      <c r="AB165" s="29">
        <v>4.4444444444444444E-3</v>
      </c>
      <c r="AC165" s="30">
        <v>69.844444444444449</v>
      </c>
      <c r="AD165" s="27">
        <f t="shared" si="20"/>
        <v>0.63111111111111107</v>
      </c>
    </row>
    <row r="166" spans="1:30" x14ac:dyDescent="0.25">
      <c r="A166" s="26"/>
      <c r="B166" s="26"/>
      <c r="C166" s="26"/>
      <c r="D166" s="26">
        <v>2</v>
      </c>
      <c r="E166" s="26">
        <v>364</v>
      </c>
      <c r="F166" s="26">
        <v>47</v>
      </c>
      <c r="G166" s="26">
        <v>94</v>
      </c>
      <c r="H166" s="26">
        <v>0</v>
      </c>
      <c r="I166" s="26">
        <v>5</v>
      </c>
      <c r="J166" s="26">
        <v>216</v>
      </c>
      <c r="K166" s="26">
        <v>362</v>
      </c>
      <c r="L166" s="26">
        <v>2</v>
      </c>
      <c r="M166" s="26">
        <f t="shared" si="14"/>
        <v>364</v>
      </c>
      <c r="N166" s="26">
        <v>0</v>
      </c>
      <c r="O166" s="27">
        <f t="shared" si="15"/>
        <v>0.59340659340659341</v>
      </c>
      <c r="P166" s="27">
        <f t="shared" si="16"/>
        <v>0.12912087912087913</v>
      </c>
      <c r="Q166" s="27">
        <f t="shared" si="17"/>
        <v>0.25824175824175827</v>
      </c>
      <c r="R166" s="27">
        <f t="shared" si="18"/>
        <v>1.3736263736263736E-2</v>
      </c>
      <c r="S166" s="27">
        <f t="shared" si="19"/>
        <v>0</v>
      </c>
      <c r="T166" s="28">
        <v>192</v>
      </c>
      <c r="U166" s="28">
        <v>160</v>
      </c>
      <c r="V166" s="28">
        <v>98</v>
      </c>
      <c r="W166" s="28">
        <v>0</v>
      </c>
      <c r="X166" s="28">
        <v>450</v>
      </c>
      <c r="Y166" s="29">
        <v>0.42666666666666669</v>
      </c>
      <c r="Z166" s="29">
        <v>0.35555555555555557</v>
      </c>
      <c r="AA166" s="29">
        <v>0.21777777777777776</v>
      </c>
      <c r="AB166" s="29">
        <v>0</v>
      </c>
      <c r="AC166" s="30">
        <v>64.697777777777773</v>
      </c>
      <c r="AD166" s="27">
        <f t="shared" si="20"/>
        <v>0.80888888888888888</v>
      </c>
    </row>
    <row r="167" spans="1:30" x14ac:dyDescent="0.25">
      <c r="A167" s="26"/>
      <c r="B167" s="26"/>
      <c r="C167" s="26"/>
      <c r="D167" s="26">
        <v>3</v>
      </c>
      <c r="E167" s="26">
        <v>386</v>
      </c>
      <c r="F167" s="26">
        <v>95</v>
      </c>
      <c r="G167" s="26">
        <v>95</v>
      </c>
      <c r="H167" s="26">
        <v>0</v>
      </c>
      <c r="I167" s="26">
        <v>5</v>
      </c>
      <c r="J167" s="26">
        <v>188</v>
      </c>
      <c r="K167" s="26">
        <v>383</v>
      </c>
      <c r="L167" s="26">
        <v>3</v>
      </c>
      <c r="M167" s="26">
        <f t="shared" si="14"/>
        <v>386</v>
      </c>
      <c r="N167" s="26">
        <v>0</v>
      </c>
      <c r="O167" s="27">
        <f t="shared" si="15"/>
        <v>0.48704663212435234</v>
      </c>
      <c r="P167" s="27">
        <f t="shared" si="16"/>
        <v>0.24611398963730569</v>
      </c>
      <c r="Q167" s="27">
        <f t="shared" si="17"/>
        <v>0.24611398963730569</v>
      </c>
      <c r="R167" s="27">
        <f t="shared" si="18"/>
        <v>1.2953367875647668E-2</v>
      </c>
      <c r="S167" s="27">
        <f t="shared" si="19"/>
        <v>0</v>
      </c>
      <c r="T167" s="28">
        <v>257</v>
      </c>
      <c r="U167" s="28">
        <v>99</v>
      </c>
      <c r="V167" s="28">
        <v>89</v>
      </c>
      <c r="W167" s="28">
        <v>5</v>
      </c>
      <c r="X167" s="28">
        <v>450</v>
      </c>
      <c r="Y167" s="29">
        <v>0.57111111111111112</v>
      </c>
      <c r="Z167" s="29">
        <v>0.22</v>
      </c>
      <c r="AA167" s="29">
        <v>0.19777777777777777</v>
      </c>
      <c r="AB167" s="29">
        <v>1.1111111111111112E-2</v>
      </c>
      <c r="AC167" s="30">
        <v>56.324444444444445</v>
      </c>
      <c r="AD167" s="27">
        <f t="shared" si="20"/>
        <v>0.85777777777777775</v>
      </c>
    </row>
    <row r="168" spans="1:30" x14ac:dyDescent="0.25">
      <c r="A168" s="26"/>
      <c r="B168" s="26"/>
      <c r="C168" s="26"/>
      <c r="D168" s="26">
        <v>4</v>
      </c>
      <c r="E168" s="26">
        <v>561</v>
      </c>
      <c r="F168" s="26">
        <v>158</v>
      </c>
      <c r="G168" s="26">
        <v>129</v>
      </c>
      <c r="H168" s="26">
        <v>1</v>
      </c>
      <c r="I168" s="26">
        <v>10</v>
      </c>
      <c r="J168" s="26">
        <v>260</v>
      </c>
      <c r="K168" s="26">
        <v>558</v>
      </c>
      <c r="L168" s="26">
        <v>3</v>
      </c>
      <c r="M168" s="26">
        <f t="shared" si="14"/>
        <v>561</v>
      </c>
      <c r="N168" s="26">
        <v>0</v>
      </c>
      <c r="O168" s="27">
        <f t="shared" si="15"/>
        <v>0.46345811051693403</v>
      </c>
      <c r="P168" s="27">
        <f t="shared" si="16"/>
        <v>0.28163992869875221</v>
      </c>
      <c r="Q168" s="27">
        <f t="shared" si="17"/>
        <v>0.22994652406417113</v>
      </c>
      <c r="R168" s="27">
        <f t="shared" si="18"/>
        <v>1.7825311942959002E-2</v>
      </c>
      <c r="S168" s="27">
        <f t="shared" si="19"/>
        <v>1.7825311942959001E-3</v>
      </c>
      <c r="T168" s="28">
        <v>401</v>
      </c>
      <c r="U168" s="28">
        <v>167</v>
      </c>
      <c r="V168" s="28">
        <v>122</v>
      </c>
      <c r="W168" s="28">
        <v>4</v>
      </c>
      <c r="X168" s="28">
        <v>694</v>
      </c>
      <c r="Y168" s="29">
        <v>0.5778097982708934</v>
      </c>
      <c r="Z168" s="29">
        <v>0.24063400576368876</v>
      </c>
      <c r="AA168" s="29">
        <v>0.17579250720461095</v>
      </c>
      <c r="AB168" s="29">
        <v>5.763688760806916E-3</v>
      </c>
      <c r="AC168" s="30">
        <v>47.453890489913547</v>
      </c>
      <c r="AD168" s="27">
        <f t="shared" si="20"/>
        <v>0.80835734870317</v>
      </c>
    </row>
    <row r="169" spans="1:30" x14ac:dyDescent="0.25">
      <c r="A169" s="26"/>
      <c r="B169" s="26"/>
      <c r="C169" s="26"/>
      <c r="D169" s="26">
        <v>5</v>
      </c>
      <c r="E169" s="26">
        <v>541</v>
      </c>
      <c r="F169" s="26">
        <v>159</v>
      </c>
      <c r="G169" s="26">
        <v>114</v>
      </c>
      <c r="H169" s="26">
        <v>3</v>
      </c>
      <c r="I169" s="26">
        <v>9</v>
      </c>
      <c r="J169" s="26">
        <v>254</v>
      </c>
      <c r="K169" s="26">
        <v>539</v>
      </c>
      <c r="L169" s="26">
        <v>2</v>
      </c>
      <c r="M169" s="26">
        <f t="shared" si="14"/>
        <v>541</v>
      </c>
      <c r="N169" s="26">
        <v>0</v>
      </c>
      <c r="O169" s="27">
        <f t="shared" si="15"/>
        <v>0.46950092421441775</v>
      </c>
      <c r="P169" s="27">
        <f t="shared" si="16"/>
        <v>0.29390018484288355</v>
      </c>
      <c r="Q169" s="27">
        <f t="shared" si="17"/>
        <v>0.21072088724584104</v>
      </c>
      <c r="R169" s="27">
        <f t="shared" si="18"/>
        <v>1.6635859519408502E-2</v>
      </c>
      <c r="S169" s="27">
        <f t="shared" si="19"/>
        <v>5.5452865064695009E-3</v>
      </c>
      <c r="T169" s="28">
        <v>457</v>
      </c>
      <c r="U169" s="28">
        <v>146</v>
      </c>
      <c r="V169" s="28">
        <v>88</v>
      </c>
      <c r="W169" s="28">
        <v>3</v>
      </c>
      <c r="X169" s="28">
        <v>694</v>
      </c>
      <c r="Y169" s="29">
        <v>0.65850144092219021</v>
      </c>
      <c r="Z169" s="29">
        <v>0.21037463976945245</v>
      </c>
      <c r="AA169" s="29">
        <v>0.12680115273775217</v>
      </c>
      <c r="AB169" s="29">
        <v>4.3227665706051877E-3</v>
      </c>
      <c r="AC169" s="30">
        <v>39.190201729106626</v>
      </c>
      <c r="AD169" s="27">
        <f t="shared" si="20"/>
        <v>0.77953890489913547</v>
      </c>
    </row>
    <row r="170" spans="1:30" x14ac:dyDescent="0.25">
      <c r="A170" s="26"/>
      <c r="B170" s="26"/>
      <c r="C170" s="26"/>
      <c r="D170" s="26">
        <v>6</v>
      </c>
      <c r="E170" s="26">
        <v>517</v>
      </c>
      <c r="F170" s="26">
        <v>200</v>
      </c>
      <c r="G170" s="26">
        <v>92</v>
      </c>
      <c r="H170" s="26">
        <v>2</v>
      </c>
      <c r="I170" s="26">
        <v>8</v>
      </c>
      <c r="J170" s="26">
        <v>214</v>
      </c>
      <c r="K170" s="26">
        <v>516</v>
      </c>
      <c r="L170" s="26">
        <v>1</v>
      </c>
      <c r="M170" s="26">
        <f t="shared" si="14"/>
        <v>517</v>
      </c>
      <c r="N170" s="26">
        <v>0</v>
      </c>
      <c r="O170" s="27">
        <f t="shared" si="15"/>
        <v>0.41392649903288203</v>
      </c>
      <c r="P170" s="27">
        <f t="shared" si="16"/>
        <v>0.38684719535783363</v>
      </c>
      <c r="Q170" s="27">
        <f t="shared" si="17"/>
        <v>0.17794970986460348</v>
      </c>
      <c r="R170" s="27">
        <f t="shared" si="18"/>
        <v>1.5473887814313346E-2</v>
      </c>
      <c r="S170" s="27">
        <f t="shared" si="19"/>
        <v>3.8684719535783366E-3</v>
      </c>
      <c r="T170" s="28">
        <v>512</v>
      </c>
      <c r="U170" s="28">
        <v>120</v>
      </c>
      <c r="V170" s="28">
        <v>60</v>
      </c>
      <c r="W170" s="28">
        <v>2</v>
      </c>
      <c r="X170" s="28">
        <v>694</v>
      </c>
      <c r="Y170" s="29">
        <v>0.73775216138328525</v>
      </c>
      <c r="Z170" s="29">
        <v>0.1729106628242075</v>
      </c>
      <c r="AA170" s="29">
        <v>8.645533141210375E-2</v>
      </c>
      <c r="AB170" s="29">
        <v>2.881844380403458E-3</v>
      </c>
      <c r="AC170" s="30">
        <v>30.82564841498559</v>
      </c>
      <c r="AD170" s="27">
        <f t="shared" si="20"/>
        <v>0.74495677233429392</v>
      </c>
    </row>
    <row r="171" spans="1:30" x14ac:dyDescent="0.25">
      <c r="A171" s="26"/>
      <c r="B171" s="26"/>
      <c r="C171" s="26"/>
      <c r="D171" s="26">
        <v>7</v>
      </c>
      <c r="E171" s="26">
        <v>568</v>
      </c>
      <c r="F171" s="26">
        <v>258</v>
      </c>
      <c r="G171" s="26">
        <v>92</v>
      </c>
      <c r="H171" s="26">
        <v>1</v>
      </c>
      <c r="I171" s="26">
        <v>3</v>
      </c>
      <c r="J171" s="26">
        <v>211</v>
      </c>
      <c r="K171" s="26">
        <v>565</v>
      </c>
      <c r="L171" s="26">
        <v>3</v>
      </c>
      <c r="M171" s="26">
        <f t="shared" si="14"/>
        <v>568</v>
      </c>
      <c r="N171" s="26">
        <v>0</v>
      </c>
      <c r="O171" s="27">
        <f t="shared" si="15"/>
        <v>0.37147887323943662</v>
      </c>
      <c r="P171" s="27">
        <f t="shared" si="16"/>
        <v>0.45422535211267606</v>
      </c>
      <c r="Q171" s="27">
        <f t="shared" si="17"/>
        <v>0.1619718309859155</v>
      </c>
      <c r="R171" s="27">
        <f t="shared" si="18"/>
        <v>5.2816901408450703E-3</v>
      </c>
      <c r="S171" s="27">
        <f t="shared" si="19"/>
        <v>1.7605633802816902E-3</v>
      </c>
      <c r="T171" s="28">
        <v>563</v>
      </c>
      <c r="U171" s="28">
        <v>90</v>
      </c>
      <c r="V171" s="28">
        <v>42</v>
      </c>
      <c r="W171" s="28">
        <v>0</v>
      </c>
      <c r="X171" s="28">
        <v>695</v>
      </c>
      <c r="Y171" s="29">
        <v>0.81007194244604319</v>
      </c>
      <c r="Z171" s="29">
        <v>0.12949640287769784</v>
      </c>
      <c r="AA171" s="29">
        <v>6.0431654676258995E-2</v>
      </c>
      <c r="AB171" s="29">
        <v>0</v>
      </c>
      <c r="AC171" s="30">
        <v>22.211510791366905</v>
      </c>
      <c r="AD171" s="27">
        <f t="shared" si="20"/>
        <v>0.81726618705035969</v>
      </c>
    </row>
    <row r="172" spans="1:30" x14ac:dyDescent="0.25">
      <c r="A172" s="26"/>
      <c r="B172" s="26"/>
      <c r="C172" s="26" t="s">
        <v>202</v>
      </c>
      <c r="D172" s="26">
        <v>1</v>
      </c>
      <c r="E172" s="26">
        <v>328</v>
      </c>
      <c r="F172" s="26">
        <v>54</v>
      </c>
      <c r="G172" s="26">
        <v>84</v>
      </c>
      <c r="H172" s="26">
        <v>1</v>
      </c>
      <c r="I172" s="26">
        <v>6</v>
      </c>
      <c r="J172" s="26">
        <v>180</v>
      </c>
      <c r="K172" s="26">
        <v>325</v>
      </c>
      <c r="L172" s="26">
        <v>3</v>
      </c>
      <c r="M172" s="26">
        <f t="shared" si="14"/>
        <v>328</v>
      </c>
      <c r="N172" s="26">
        <v>0</v>
      </c>
      <c r="O172" s="27">
        <f t="shared" si="15"/>
        <v>0.54878048780487809</v>
      </c>
      <c r="P172" s="27">
        <f t="shared" si="16"/>
        <v>0.16463414634146342</v>
      </c>
      <c r="Q172" s="27">
        <f t="shared" si="17"/>
        <v>0.25609756097560976</v>
      </c>
      <c r="R172" s="27">
        <f t="shared" si="18"/>
        <v>1.8292682926829267E-2</v>
      </c>
      <c r="S172" s="27">
        <f t="shared" si="19"/>
        <v>3.0487804878048782E-3</v>
      </c>
      <c r="T172" s="28">
        <v>176</v>
      </c>
      <c r="U172" s="28">
        <v>121</v>
      </c>
      <c r="V172" s="28">
        <v>151</v>
      </c>
      <c r="W172" s="28">
        <v>2</v>
      </c>
      <c r="X172" s="28">
        <v>450</v>
      </c>
      <c r="Y172" s="29">
        <v>0.39111111111111113</v>
      </c>
      <c r="Z172" s="29">
        <v>0.2688888888888889</v>
      </c>
      <c r="AA172" s="29">
        <v>0.33555555555555555</v>
      </c>
      <c r="AB172" s="29">
        <v>4.4444444444444444E-3</v>
      </c>
      <c r="AC172" s="30">
        <v>64.319999999999993</v>
      </c>
      <c r="AD172" s="27">
        <f t="shared" si="20"/>
        <v>0.72888888888888892</v>
      </c>
    </row>
    <row r="173" spans="1:30" x14ac:dyDescent="0.25">
      <c r="A173" s="26"/>
      <c r="B173" s="26"/>
      <c r="C173" s="26"/>
      <c r="D173" s="26">
        <v>2</v>
      </c>
      <c r="E173" s="26">
        <v>500</v>
      </c>
      <c r="F173" s="26">
        <v>76</v>
      </c>
      <c r="G173" s="26">
        <v>73</v>
      </c>
      <c r="H173" s="26">
        <v>2</v>
      </c>
      <c r="I173" s="26">
        <v>6</v>
      </c>
      <c r="J173" s="26">
        <v>342</v>
      </c>
      <c r="K173" s="26">
        <v>499</v>
      </c>
      <c r="L173" s="26">
        <v>1</v>
      </c>
      <c r="M173" s="26">
        <f t="shared" si="14"/>
        <v>500</v>
      </c>
      <c r="N173" s="26">
        <v>0</v>
      </c>
      <c r="O173" s="27">
        <f t="shared" si="15"/>
        <v>0.68400000000000005</v>
      </c>
      <c r="P173" s="27">
        <f t="shared" si="16"/>
        <v>0.152</v>
      </c>
      <c r="Q173" s="27">
        <f t="shared" si="17"/>
        <v>0.14599999999999999</v>
      </c>
      <c r="R173" s="27">
        <f t="shared" si="18"/>
        <v>1.2E-2</v>
      </c>
      <c r="S173" s="27">
        <f t="shared" si="19"/>
        <v>4.0000000000000001E-3</v>
      </c>
      <c r="T173" s="28">
        <v>203</v>
      </c>
      <c r="U173" s="28">
        <v>249</v>
      </c>
      <c r="V173" s="28">
        <v>170</v>
      </c>
      <c r="W173" s="28">
        <v>5</v>
      </c>
      <c r="X173" s="28">
        <v>627</v>
      </c>
      <c r="Y173" s="29">
        <v>0.3237639553429027</v>
      </c>
      <c r="Z173" s="29">
        <v>0.39712918660287083</v>
      </c>
      <c r="AA173" s="29">
        <v>0.27113237639553428</v>
      </c>
      <c r="AB173" s="29">
        <v>7.9744816586921844E-3</v>
      </c>
      <c r="AC173" s="30">
        <v>48.658692185007972</v>
      </c>
      <c r="AD173" s="27">
        <f t="shared" si="20"/>
        <v>0.79744816586921852</v>
      </c>
    </row>
    <row r="174" spans="1:30" x14ac:dyDescent="0.25">
      <c r="A174" s="26"/>
      <c r="B174" s="26"/>
      <c r="C174" s="26"/>
      <c r="D174" s="26">
        <v>3</v>
      </c>
      <c r="E174" s="26">
        <v>427</v>
      </c>
      <c r="F174" s="26">
        <v>78</v>
      </c>
      <c r="G174" s="26">
        <v>49</v>
      </c>
      <c r="H174" s="26">
        <v>2</v>
      </c>
      <c r="I174" s="26">
        <v>5</v>
      </c>
      <c r="J174" s="26">
        <v>291</v>
      </c>
      <c r="K174" s="26">
        <v>425</v>
      </c>
      <c r="L174" s="26">
        <v>2</v>
      </c>
      <c r="M174" s="26">
        <f t="shared" si="14"/>
        <v>427</v>
      </c>
      <c r="N174" s="26">
        <v>0</v>
      </c>
      <c r="O174" s="27">
        <f t="shared" si="15"/>
        <v>0.68149882903981263</v>
      </c>
      <c r="P174" s="27">
        <f t="shared" si="16"/>
        <v>0.18266978922716628</v>
      </c>
      <c r="Q174" s="27">
        <f t="shared" si="17"/>
        <v>0.11475409836065574</v>
      </c>
      <c r="R174" s="27">
        <f t="shared" si="18"/>
        <v>1.1709601873536301E-2</v>
      </c>
      <c r="S174" s="27">
        <f t="shared" si="19"/>
        <v>4.6838407494145199E-3</v>
      </c>
      <c r="T174" s="28">
        <v>219</v>
      </c>
      <c r="U174" s="28">
        <v>299</v>
      </c>
      <c r="V174" s="28">
        <v>108</v>
      </c>
      <c r="W174" s="28">
        <v>1</v>
      </c>
      <c r="X174" s="28">
        <v>627</v>
      </c>
      <c r="Y174" s="29">
        <v>0.34928229665071769</v>
      </c>
      <c r="Z174" s="29">
        <v>0.47687400318979267</v>
      </c>
      <c r="AA174" s="29">
        <v>0.17224880382775121</v>
      </c>
      <c r="AB174" s="29">
        <v>1.594896331738437E-3</v>
      </c>
      <c r="AC174" s="30">
        <v>34.696969696969695</v>
      </c>
      <c r="AD174" s="27">
        <f t="shared" si="20"/>
        <v>0.68102073365231264</v>
      </c>
    </row>
    <row r="175" spans="1:30" x14ac:dyDescent="0.25">
      <c r="A175" s="26"/>
      <c r="B175" s="26"/>
      <c r="C175" s="26"/>
      <c r="D175" s="26">
        <v>4</v>
      </c>
      <c r="E175" s="26">
        <v>459</v>
      </c>
      <c r="F175" s="26">
        <v>94</v>
      </c>
      <c r="G175" s="26">
        <v>50</v>
      </c>
      <c r="H175" s="26">
        <v>1</v>
      </c>
      <c r="I175" s="26">
        <v>4</v>
      </c>
      <c r="J175" s="26">
        <v>310</v>
      </c>
      <c r="K175" s="26">
        <v>459</v>
      </c>
      <c r="L175" s="26">
        <v>0</v>
      </c>
      <c r="M175" s="26">
        <f t="shared" si="14"/>
        <v>459</v>
      </c>
      <c r="N175" s="26">
        <v>0</v>
      </c>
      <c r="O175" s="27">
        <f t="shared" si="15"/>
        <v>0.6753812636165577</v>
      </c>
      <c r="P175" s="27">
        <f t="shared" si="16"/>
        <v>0.20479302832244009</v>
      </c>
      <c r="Q175" s="27">
        <f t="shared" si="17"/>
        <v>0.10893246187363835</v>
      </c>
      <c r="R175" s="27">
        <f t="shared" si="18"/>
        <v>8.7145969498910684E-3</v>
      </c>
      <c r="S175" s="27">
        <f t="shared" si="19"/>
        <v>2.1786492374727671E-3</v>
      </c>
      <c r="T175" s="28">
        <v>241</v>
      </c>
      <c r="U175" s="28">
        <v>281</v>
      </c>
      <c r="V175" s="28">
        <v>103</v>
      </c>
      <c r="W175" s="28">
        <v>2</v>
      </c>
      <c r="X175" s="28">
        <v>627</v>
      </c>
      <c r="Y175" s="29">
        <v>0.38437001594896331</v>
      </c>
      <c r="Z175" s="29">
        <v>0.44816586921850082</v>
      </c>
      <c r="AA175" s="29">
        <v>0.16427432216905902</v>
      </c>
      <c r="AB175" s="29">
        <v>3.189792663476874E-3</v>
      </c>
      <c r="AC175" s="30">
        <v>27.130781499202552</v>
      </c>
      <c r="AD175" s="27">
        <f t="shared" si="20"/>
        <v>0.73205741626794263</v>
      </c>
    </row>
    <row r="176" spans="1:30" x14ac:dyDescent="0.25">
      <c r="A176" s="26"/>
      <c r="B176" s="26"/>
      <c r="C176" s="26"/>
      <c r="D176" s="26">
        <v>5</v>
      </c>
      <c r="E176" s="26">
        <v>497</v>
      </c>
      <c r="F176" s="26">
        <v>118</v>
      </c>
      <c r="G176" s="26">
        <v>51</v>
      </c>
      <c r="H176" s="26">
        <v>0</v>
      </c>
      <c r="I176" s="26">
        <v>2</v>
      </c>
      <c r="J176" s="26">
        <v>324</v>
      </c>
      <c r="K176" s="26">
        <v>495</v>
      </c>
      <c r="L176" s="26">
        <v>2</v>
      </c>
      <c r="M176" s="26">
        <f t="shared" si="14"/>
        <v>497</v>
      </c>
      <c r="N176" s="26">
        <v>0</v>
      </c>
      <c r="O176" s="27">
        <f t="shared" si="15"/>
        <v>0.65191146881287731</v>
      </c>
      <c r="P176" s="27">
        <f t="shared" si="16"/>
        <v>0.23742454728370221</v>
      </c>
      <c r="Q176" s="27">
        <f t="shared" si="17"/>
        <v>0.10261569416498995</v>
      </c>
      <c r="R176" s="27">
        <f t="shared" si="18"/>
        <v>4.0241448692152921E-3</v>
      </c>
      <c r="S176" s="27">
        <f t="shared" si="19"/>
        <v>0</v>
      </c>
      <c r="T176" s="28">
        <v>258</v>
      </c>
      <c r="U176" s="28">
        <v>272</v>
      </c>
      <c r="V176" s="28">
        <v>97</v>
      </c>
      <c r="W176" s="28">
        <v>1</v>
      </c>
      <c r="X176" s="28">
        <v>628</v>
      </c>
      <c r="Y176" s="29">
        <v>0.41082802547770703</v>
      </c>
      <c r="Z176" s="29">
        <v>0.43312101910828027</v>
      </c>
      <c r="AA176" s="29">
        <v>0.15445859872611464</v>
      </c>
      <c r="AB176" s="29">
        <v>1.5923566878980893E-3</v>
      </c>
      <c r="AC176" s="30">
        <v>20.936305732484076</v>
      </c>
      <c r="AD176" s="27">
        <f t="shared" si="20"/>
        <v>0.79140127388535031</v>
      </c>
    </row>
    <row r="177" spans="1:30" x14ac:dyDescent="0.25">
      <c r="A177" s="26">
        <v>36</v>
      </c>
      <c r="B177" s="26" t="s">
        <v>203</v>
      </c>
      <c r="C177" s="26" t="s">
        <v>204</v>
      </c>
      <c r="D177" s="26">
        <v>1</v>
      </c>
      <c r="E177" s="26">
        <v>299</v>
      </c>
      <c r="F177" s="26">
        <v>12</v>
      </c>
      <c r="G177" s="26">
        <v>70</v>
      </c>
      <c r="H177" s="26">
        <v>1</v>
      </c>
      <c r="I177" s="26">
        <v>2</v>
      </c>
      <c r="J177" s="26">
        <v>197</v>
      </c>
      <c r="K177" s="26">
        <v>282</v>
      </c>
      <c r="L177" s="26">
        <v>17</v>
      </c>
      <c r="M177" s="26">
        <f t="shared" si="14"/>
        <v>299</v>
      </c>
      <c r="N177" s="26">
        <v>0</v>
      </c>
      <c r="O177" s="27">
        <f t="shared" si="15"/>
        <v>0.65886287625418061</v>
      </c>
      <c r="P177" s="27">
        <f t="shared" si="16"/>
        <v>4.0133779264214048E-2</v>
      </c>
      <c r="Q177" s="27">
        <f t="shared" si="17"/>
        <v>0.23411371237458195</v>
      </c>
      <c r="R177" s="27">
        <f t="shared" si="18"/>
        <v>6.688963210702341E-3</v>
      </c>
      <c r="S177" s="27">
        <f t="shared" si="19"/>
        <v>3.3444816053511705E-3</v>
      </c>
      <c r="T177" s="28">
        <v>89</v>
      </c>
      <c r="U177" s="28">
        <v>219</v>
      </c>
      <c r="V177" s="28">
        <v>139</v>
      </c>
      <c r="W177" s="28">
        <v>3</v>
      </c>
      <c r="X177" s="28">
        <v>450</v>
      </c>
      <c r="Y177" s="29">
        <v>0.19777777777777777</v>
      </c>
      <c r="Z177" s="29">
        <v>0.48666666666666669</v>
      </c>
      <c r="AA177" s="29">
        <v>0.30888888888888888</v>
      </c>
      <c r="AB177" s="29">
        <v>6.6666666666666671E-3</v>
      </c>
      <c r="AC177" s="30">
        <v>70.444444444444443</v>
      </c>
      <c r="AD177" s="27">
        <f t="shared" si="20"/>
        <v>0.66444444444444439</v>
      </c>
    </row>
    <row r="178" spans="1:30" x14ac:dyDescent="0.25">
      <c r="A178" s="26"/>
      <c r="B178" s="26"/>
      <c r="C178" s="26"/>
      <c r="D178" s="26">
        <v>2</v>
      </c>
      <c r="E178" s="26">
        <v>364</v>
      </c>
      <c r="F178" s="26">
        <v>19</v>
      </c>
      <c r="G178" s="26">
        <v>71</v>
      </c>
      <c r="H178" s="26">
        <v>1</v>
      </c>
      <c r="I178" s="26">
        <v>3</v>
      </c>
      <c r="J178" s="26">
        <v>267</v>
      </c>
      <c r="K178" s="26">
        <v>361</v>
      </c>
      <c r="L178" s="26">
        <v>3</v>
      </c>
      <c r="M178" s="26">
        <f t="shared" si="14"/>
        <v>364</v>
      </c>
      <c r="N178" s="26">
        <v>0</v>
      </c>
      <c r="O178" s="27">
        <f t="shared" si="15"/>
        <v>0.73351648351648346</v>
      </c>
      <c r="P178" s="27">
        <f t="shared" si="16"/>
        <v>5.21978021978022E-2</v>
      </c>
      <c r="Q178" s="27">
        <f t="shared" si="17"/>
        <v>0.19505494505494506</v>
      </c>
      <c r="R178" s="27">
        <f t="shared" si="18"/>
        <v>8.241758241758242E-3</v>
      </c>
      <c r="S178" s="27">
        <f t="shared" si="19"/>
        <v>2.7472527472527475E-3</v>
      </c>
      <c r="T178" s="28">
        <v>87</v>
      </c>
      <c r="U178" s="28">
        <v>174</v>
      </c>
      <c r="V178" s="28">
        <v>178</v>
      </c>
      <c r="W178" s="28">
        <v>11</v>
      </c>
      <c r="X178" s="28">
        <v>450</v>
      </c>
      <c r="Y178" s="29">
        <v>0.19333333333333333</v>
      </c>
      <c r="Z178" s="29">
        <v>0.38666666666666666</v>
      </c>
      <c r="AA178" s="29">
        <v>0.39555555555555555</v>
      </c>
      <c r="AB178" s="29">
        <v>2.4444444444444446E-2</v>
      </c>
      <c r="AC178" s="30">
        <v>59.715555555555554</v>
      </c>
      <c r="AD178" s="27">
        <f t="shared" si="20"/>
        <v>0.80888888888888888</v>
      </c>
    </row>
    <row r="179" spans="1:30" x14ac:dyDescent="0.25">
      <c r="A179" s="26"/>
      <c r="B179" s="26"/>
      <c r="C179" s="26"/>
      <c r="D179" s="26">
        <v>3</v>
      </c>
      <c r="E179" s="26">
        <v>394</v>
      </c>
      <c r="F179" s="26">
        <v>38</v>
      </c>
      <c r="G179" s="26">
        <v>59</v>
      </c>
      <c r="H179" s="26">
        <v>0</v>
      </c>
      <c r="I179" s="26">
        <v>2</v>
      </c>
      <c r="J179" s="26">
        <v>293</v>
      </c>
      <c r="K179" s="26">
        <v>392</v>
      </c>
      <c r="L179" s="26">
        <v>2</v>
      </c>
      <c r="M179" s="26">
        <f t="shared" si="14"/>
        <v>394</v>
      </c>
      <c r="N179" s="26">
        <v>0</v>
      </c>
      <c r="O179" s="27">
        <f t="shared" si="15"/>
        <v>0.74365482233502533</v>
      </c>
      <c r="P179" s="27">
        <f t="shared" si="16"/>
        <v>9.6446700507614211E-2</v>
      </c>
      <c r="Q179" s="27">
        <f t="shared" si="17"/>
        <v>0.14974619289340102</v>
      </c>
      <c r="R179" s="27">
        <f t="shared" si="18"/>
        <v>5.076142131979695E-3</v>
      </c>
      <c r="S179" s="27">
        <f t="shared" si="19"/>
        <v>0</v>
      </c>
      <c r="T179" s="28">
        <v>100</v>
      </c>
      <c r="U179" s="28">
        <v>207</v>
      </c>
      <c r="V179" s="28">
        <v>186</v>
      </c>
      <c r="W179" s="28">
        <v>4</v>
      </c>
      <c r="X179" s="28">
        <v>497</v>
      </c>
      <c r="Y179" s="29">
        <v>0.2012072434607646</v>
      </c>
      <c r="Z179" s="29">
        <v>0.4164989939637827</v>
      </c>
      <c r="AA179" s="29">
        <v>0.37424547283702214</v>
      </c>
      <c r="AB179" s="29">
        <v>8.0482897384305842E-3</v>
      </c>
      <c r="AC179" s="30">
        <v>47.052313883299796</v>
      </c>
      <c r="AD179" s="27">
        <f t="shared" si="20"/>
        <v>0.79275653923541245</v>
      </c>
    </row>
    <row r="180" spans="1:30" x14ac:dyDescent="0.25">
      <c r="A180" s="26"/>
      <c r="B180" s="26"/>
      <c r="C180" s="26"/>
      <c r="D180" s="26">
        <v>4</v>
      </c>
      <c r="E180" s="26">
        <v>358</v>
      </c>
      <c r="F180" s="26">
        <v>44</v>
      </c>
      <c r="G180" s="26">
        <v>47</v>
      </c>
      <c r="H180" s="26">
        <v>0</v>
      </c>
      <c r="I180" s="26">
        <v>2</v>
      </c>
      <c r="J180" s="26">
        <v>264</v>
      </c>
      <c r="K180" s="26">
        <v>357</v>
      </c>
      <c r="L180" s="26">
        <v>1</v>
      </c>
      <c r="M180" s="26">
        <f t="shared" si="14"/>
        <v>358</v>
      </c>
      <c r="N180" s="26">
        <v>0</v>
      </c>
      <c r="O180" s="27">
        <f t="shared" si="15"/>
        <v>0.73743016759776536</v>
      </c>
      <c r="P180" s="27">
        <f t="shared" si="16"/>
        <v>0.12290502793296089</v>
      </c>
      <c r="Q180" s="27">
        <f t="shared" si="17"/>
        <v>0.13128491620111732</v>
      </c>
      <c r="R180" s="27">
        <f t="shared" si="18"/>
        <v>5.5865921787709499E-3</v>
      </c>
      <c r="S180" s="27">
        <f t="shared" si="19"/>
        <v>0</v>
      </c>
      <c r="T180" s="28">
        <v>136</v>
      </c>
      <c r="U180" s="28">
        <v>219</v>
      </c>
      <c r="V180" s="28">
        <v>134</v>
      </c>
      <c r="W180" s="28">
        <v>8</v>
      </c>
      <c r="X180" s="28">
        <v>497</v>
      </c>
      <c r="Y180" s="29">
        <v>0.27364185110663986</v>
      </c>
      <c r="Z180" s="29">
        <v>0.44064386317907445</v>
      </c>
      <c r="AA180" s="29">
        <v>0.26961770623742454</v>
      </c>
      <c r="AB180" s="29">
        <v>1.6096579476861168E-2</v>
      </c>
      <c r="AC180" s="30">
        <v>35.366197183098592</v>
      </c>
      <c r="AD180" s="27">
        <f t="shared" si="20"/>
        <v>0.72032193158953728</v>
      </c>
    </row>
    <row r="181" spans="1:30" x14ac:dyDescent="0.25">
      <c r="A181" s="26"/>
      <c r="B181" s="26"/>
      <c r="C181" s="26"/>
      <c r="D181" s="26">
        <v>5</v>
      </c>
      <c r="E181" s="26">
        <v>400</v>
      </c>
      <c r="F181" s="26">
        <v>60</v>
      </c>
      <c r="G181" s="26">
        <v>54</v>
      </c>
      <c r="H181" s="26">
        <v>1</v>
      </c>
      <c r="I181" s="26">
        <v>2</v>
      </c>
      <c r="J181" s="26">
        <v>282</v>
      </c>
      <c r="K181" s="26">
        <v>399</v>
      </c>
      <c r="L181" s="26">
        <v>1</v>
      </c>
      <c r="M181" s="26">
        <f t="shared" si="14"/>
        <v>400</v>
      </c>
      <c r="N181" s="26">
        <v>0</v>
      </c>
      <c r="O181" s="27">
        <f t="shared" si="15"/>
        <v>0.70499999999999996</v>
      </c>
      <c r="P181" s="27">
        <f t="shared" si="16"/>
        <v>0.15</v>
      </c>
      <c r="Q181" s="27">
        <f t="shared" si="17"/>
        <v>0.13500000000000001</v>
      </c>
      <c r="R181" s="27">
        <f t="shared" si="18"/>
        <v>5.0000000000000001E-3</v>
      </c>
      <c r="S181" s="27">
        <f t="shared" si="19"/>
        <v>2.5000000000000001E-3</v>
      </c>
      <c r="T181" s="28">
        <v>154</v>
      </c>
      <c r="U181" s="28">
        <v>207</v>
      </c>
      <c r="V181" s="28">
        <v>135</v>
      </c>
      <c r="W181" s="28">
        <v>2</v>
      </c>
      <c r="X181" s="28">
        <v>498</v>
      </c>
      <c r="Y181" s="29">
        <v>0.30923694779116467</v>
      </c>
      <c r="Z181" s="29">
        <v>0.41566265060240964</v>
      </c>
      <c r="AA181" s="29">
        <v>0.27108433734939757</v>
      </c>
      <c r="AB181" s="29">
        <v>4.0160642570281121E-3</v>
      </c>
      <c r="AC181" s="30">
        <v>24.477911646586346</v>
      </c>
      <c r="AD181" s="27">
        <f t="shared" si="20"/>
        <v>0.80321285140562249</v>
      </c>
    </row>
    <row r="182" spans="1:30" x14ac:dyDescent="0.25">
      <c r="A182" s="26">
        <v>37</v>
      </c>
      <c r="B182" s="26" t="s">
        <v>205</v>
      </c>
      <c r="C182" s="26" t="s">
        <v>206</v>
      </c>
      <c r="D182" s="26">
        <v>1</v>
      </c>
      <c r="E182" s="26">
        <v>263</v>
      </c>
      <c r="F182" s="26">
        <v>11</v>
      </c>
      <c r="G182" s="26">
        <v>57</v>
      </c>
      <c r="H182" s="26">
        <v>0</v>
      </c>
      <c r="I182" s="26">
        <v>1</v>
      </c>
      <c r="J182" s="26">
        <v>180</v>
      </c>
      <c r="K182" s="26">
        <v>249</v>
      </c>
      <c r="L182" s="26">
        <v>14</v>
      </c>
      <c r="M182" s="26">
        <f t="shared" si="14"/>
        <v>263</v>
      </c>
      <c r="N182" s="26">
        <v>0</v>
      </c>
      <c r="O182" s="27">
        <f t="shared" si="15"/>
        <v>0.68441064638783267</v>
      </c>
      <c r="P182" s="27">
        <f t="shared" si="16"/>
        <v>4.1825095057034217E-2</v>
      </c>
      <c r="Q182" s="27">
        <f t="shared" si="17"/>
        <v>0.21673003802281368</v>
      </c>
      <c r="R182" s="27">
        <f t="shared" si="18"/>
        <v>3.8022813688212928E-3</v>
      </c>
      <c r="S182" s="27">
        <f t="shared" si="19"/>
        <v>0</v>
      </c>
      <c r="T182" s="28">
        <v>61</v>
      </c>
      <c r="U182" s="28">
        <v>171</v>
      </c>
      <c r="V182" s="28">
        <v>214</v>
      </c>
      <c r="W182" s="28">
        <v>4</v>
      </c>
      <c r="X182" s="28">
        <v>450</v>
      </c>
      <c r="Y182" s="29">
        <v>0.13555555555555557</v>
      </c>
      <c r="Z182" s="29">
        <v>0.38</v>
      </c>
      <c r="AA182" s="29">
        <v>0.47555555555555556</v>
      </c>
      <c r="AB182" s="29">
        <v>8.8888888888888889E-3</v>
      </c>
      <c r="AC182" s="30">
        <v>72.084444444444443</v>
      </c>
      <c r="AD182" s="27">
        <f t="shared" si="20"/>
        <v>0.58444444444444443</v>
      </c>
    </row>
    <row r="183" spans="1:30" x14ac:dyDescent="0.25">
      <c r="A183" s="26"/>
      <c r="B183" s="26"/>
      <c r="C183" s="26"/>
      <c r="D183" s="26">
        <v>2</v>
      </c>
      <c r="E183" s="26">
        <v>335</v>
      </c>
      <c r="F183" s="26">
        <v>17</v>
      </c>
      <c r="G183" s="26">
        <v>75</v>
      </c>
      <c r="H183" s="26">
        <v>0</v>
      </c>
      <c r="I183" s="26">
        <v>4</v>
      </c>
      <c r="J183" s="26">
        <v>229</v>
      </c>
      <c r="K183" s="26">
        <v>325</v>
      </c>
      <c r="L183" s="26">
        <v>10</v>
      </c>
      <c r="M183" s="26">
        <f t="shared" si="14"/>
        <v>335</v>
      </c>
      <c r="N183" s="26">
        <v>0</v>
      </c>
      <c r="O183" s="27">
        <f t="shared" si="15"/>
        <v>0.68358208955223876</v>
      </c>
      <c r="P183" s="27">
        <f t="shared" si="16"/>
        <v>5.0746268656716415E-2</v>
      </c>
      <c r="Q183" s="27">
        <f t="shared" si="17"/>
        <v>0.22388059701492538</v>
      </c>
      <c r="R183" s="27">
        <f t="shared" si="18"/>
        <v>1.1940298507462687E-2</v>
      </c>
      <c r="S183" s="27">
        <f t="shared" si="19"/>
        <v>0</v>
      </c>
      <c r="T183" s="28">
        <v>71</v>
      </c>
      <c r="U183" s="28">
        <v>152</v>
      </c>
      <c r="V183" s="28">
        <v>220</v>
      </c>
      <c r="W183" s="28">
        <v>7</v>
      </c>
      <c r="X183" s="28">
        <v>450</v>
      </c>
      <c r="Y183" s="29">
        <v>0.15777777777777777</v>
      </c>
      <c r="Z183" s="29">
        <v>0.33777777777777779</v>
      </c>
      <c r="AA183" s="29">
        <v>0.48888888888888887</v>
      </c>
      <c r="AB183" s="29">
        <v>1.5555555555555555E-2</v>
      </c>
      <c r="AC183" s="30">
        <v>68.675555555555562</v>
      </c>
      <c r="AD183" s="27">
        <f t="shared" si="20"/>
        <v>0.74444444444444446</v>
      </c>
    </row>
    <row r="184" spans="1:30" x14ac:dyDescent="0.25">
      <c r="A184" s="26"/>
      <c r="B184" s="26"/>
      <c r="C184" s="26"/>
      <c r="D184" s="26">
        <v>3</v>
      </c>
      <c r="E184" s="26">
        <v>350</v>
      </c>
      <c r="F184" s="26">
        <v>26</v>
      </c>
      <c r="G184" s="26">
        <v>99</v>
      </c>
      <c r="H184" s="26">
        <v>2</v>
      </c>
      <c r="I184" s="26">
        <v>5</v>
      </c>
      <c r="J184" s="26">
        <v>212</v>
      </c>
      <c r="K184" s="26">
        <v>344</v>
      </c>
      <c r="L184" s="26">
        <v>6</v>
      </c>
      <c r="M184" s="26">
        <f t="shared" si="14"/>
        <v>350</v>
      </c>
      <c r="N184" s="26">
        <v>0</v>
      </c>
      <c r="O184" s="27">
        <f t="shared" si="15"/>
        <v>0.60571428571428576</v>
      </c>
      <c r="P184" s="27">
        <f t="shared" si="16"/>
        <v>7.4285714285714288E-2</v>
      </c>
      <c r="Q184" s="27">
        <f t="shared" si="17"/>
        <v>0.28285714285714286</v>
      </c>
      <c r="R184" s="27">
        <f t="shared" si="18"/>
        <v>1.4285714285714285E-2</v>
      </c>
      <c r="S184" s="27">
        <f t="shared" si="19"/>
        <v>5.7142857142857143E-3</v>
      </c>
      <c r="T184" s="28">
        <v>128</v>
      </c>
      <c r="U184" s="28">
        <v>124</v>
      </c>
      <c r="V184" s="28">
        <v>194</v>
      </c>
      <c r="W184" s="28">
        <v>4</v>
      </c>
      <c r="X184" s="28">
        <v>450</v>
      </c>
      <c r="Y184" s="29">
        <v>0.28444444444444444</v>
      </c>
      <c r="Z184" s="29">
        <v>0.27555555555555555</v>
      </c>
      <c r="AA184" s="29">
        <v>0.43111111111111111</v>
      </c>
      <c r="AB184" s="29">
        <v>8.8888888888888889E-3</v>
      </c>
      <c r="AC184" s="30">
        <v>62.053333333333335</v>
      </c>
      <c r="AD184" s="27">
        <f t="shared" si="20"/>
        <v>0.77777777777777779</v>
      </c>
    </row>
    <row r="185" spans="1:30" x14ac:dyDescent="0.25">
      <c r="A185" s="26"/>
      <c r="B185" s="26"/>
      <c r="C185" s="26"/>
      <c r="D185" s="26">
        <v>4</v>
      </c>
      <c r="E185" s="26">
        <v>470</v>
      </c>
      <c r="F185" s="26">
        <v>28</v>
      </c>
      <c r="G185" s="26">
        <v>109</v>
      </c>
      <c r="H185" s="26">
        <v>3</v>
      </c>
      <c r="I185" s="26">
        <v>5</v>
      </c>
      <c r="J185" s="26">
        <v>322</v>
      </c>
      <c r="K185" s="26">
        <v>467</v>
      </c>
      <c r="L185" s="26">
        <v>3</v>
      </c>
      <c r="M185" s="26">
        <f t="shared" si="14"/>
        <v>470</v>
      </c>
      <c r="N185" s="26">
        <v>0</v>
      </c>
      <c r="O185" s="27">
        <f t="shared" si="15"/>
        <v>0.68510638297872339</v>
      </c>
      <c r="P185" s="27">
        <f t="shared" si="16"/>
        <v>5.9574468085106386E-2</v>
      </c>
      <c r="Q185" s="27">
        <f t="shared" si="17"/>
        <v>0.23191489361702128</v>
      </c>
      <c r="R185" s="27">
        <f t="shared" si="18"/>
        <v>1.0638297872340425E-2</v>
      </c>
      <c r="S185" s="27">
        <f t="shared" si="19"/>
        <v>6.382978723404255E-3</v>
      </c>
      <c r="T185" s="28">
        <v>124</v>
      </c>
      <c r="U185" s="28">
        <v>210</v>
      </c>
      <c r="V185" s="28">
        <v>257</v>
      </c>
      <c r="W185" s="28">
        <v>9</v>
      </c>
      <c r="X185" s="28">
        <v>600</v>
      </c>
      <c r="Y185" s="29">
        <v>0.20666666666666667</v>
      </c>
      <c r="Z185" s="29">
        <v>0.35</v>
      </c>
      <c r="AA185" s="29">
        <v>0.42833333333333334</v>
      </c>
      <c r="AB185" s="29">
        <v>1.4999999999999999E-2</v>
      </c>
      <c r="AC185" s="30">
        <v>53.953333333333333</v>
      </c>
      <c r="AD185" s="27">
        <f t="shared" si="20"/>
        <v>0.78333333333333333</v>
      </c>
    </row>
    <row r="186" spans="1:30" x14ac:dyDescent="0.25">
      <c r="A186" s="26"/>
      <c r="B186" s="26"/>
      <c r="C186" s="26"/>
      <c r="D186" s="26">
        <v>5</v>
      </c>
      <c r="E186" s="26">
        <v>441</v>
      </c>
      <c r="F186" s="26">
        <v>39</v>
      </c>
      <c r="G186" s="26">
        <v>55</v>
      </c>
      <c r="H186" s="26">
        <v>4</v>
      </c>
      <c r="I186" s="26">
        <v>2</v>
      </c>
      <c r="J186" s="26">
        <v>339</v>
      </c>
      <c r="K186" s="26">
        <v>439</v>
      </c>
      <c r="L186" s="26">
        <v>2</v>
      </c>
      <c r="M186" s="26">
        <f t="shared" si="14"/>
        <v>441</v>
      </c>
      <c r="N186" s="26">
        <v>0</v>
      </c>
      <c r="O186" s="27">
        <f t="shared" si="15"/>
        <v>0.76870748299319724</v>
      </c>
      <c r="P186" s="27">
        <f t="shared" si="16"/>
        <v>8.8435374149659865E-2</v>
      </c>
      <c r="Q186" s="27">
        <f t="shared" si="17"/>
        <v>0.12471655328798185</v>
      </c>
      <c r="R186" s="27">
        <f t="shared" si="18"/>
        <v>4.5351473922902496E-3</v>
      </c>
      <c r="S186" s="27">
        <f t="shared" si="19"/>
        <v>9.0702947845804991E-3</v>
      </c>
      <c r="T186" s="28">
        <v>106</v>
      </c>
      <c r="U186" s="28">
        <v>248</v>
      </c>
      <c r="V186" s="28">
        <v>232</v>
      </c>
      <c r="W186" s="28">
        <v>14</v>
      </c>
      <c r="X186" s="28">
        <v>600</v>
      </c>
      <c r="Y186" s="29">
        <v>0.17666666666666667</v>
      </c>
      <c r="Z186" s="29">
        <v>0.41333333333333333</v>
      </c>
      <c r="AA186" s="29">
        <v>0.38666666666666666</v>
      </c>
      <c r="AB186" s="29">
        <v>2.3333333333333334E-2</v>
      </c>
      <c r="AC186" s="30">
        <v>42.883333333333333</v>
      </c>
      <c r="AD186" s="27">
        <f t="shared" si="20"/>
        <v>0.73499999999999999</v>
      </c>
    </row>
    <row r="187" spans="1:30" x14ac:dyDescent="0.25">
      <c r="A187" s="26"/>
      <c r="B187" s="26"/>
      <c r="C187" s="26"/>
      <c r="D187" s="26">
        <v>6</v>
      </c>
      <c r="E187" s="26">
        <v>407</v>
      </c>
      <c r="F187" s="26">
        <v>51</v>
      </c>
      <c r="G187" s="26">
        <v>42</v>
      </c>
      <c r="H187" s="26">
        <v>1</v>
      </c>
      <c r="I187" s="26">
        <v>1</v>
      </c>
      <c r="J187" s="26">
        <v>312</v>
      </c>
      <c r="K187" s="26">
        <v>407</v>
      </c>
      <c r="L187" s="26">
        <v>0</v>
      </c>
      <c r="M187" s="26">
        <f t="shared" si="14"/>
        <v>407</v>
      </c>
      <c r="N187" s="26">
        <v>0</v>
      </c>
      <c r="O187" s="27">
        <f t="shared" si="15"/>
        <v>0.7665847665847666</v>
      </c>
      <c r="P187" s="27">
        <f t="shared" si="16"/>
        <v>0.12530712530712532</v>
      </c>
      <c r="Q187" s="27">
        <f t="shared" si="17"/>
        <v>0.10319410319410319</v>
      </c>
      <c r="R187" s="27">
        <f t="shared" si="18"/>
        <v>2.4570024570024569E-3</v>
      </c>
      <c r="S187" s="27">
        <f t="shared" si="19"/>
        <v>2.4570024570024569E-3</v>
      </c>
      <c r="T187" s="28">
        <v>161</v>
      </c>
      <c r="U187" s="28">
        <v>247</v>
      </c>
      <c r="V187" s="28">
        <v>182</v>
      </c>
      <c r="W187" s="28">
        <v>10</v>
      </c>
      <c r="X187" s="28">
        <v>600</v>
      </c>
      <c r="Y187" s="29">
        <v>0.26833333333333331</v>
      </c>
      <c r="Z187" s="29">
        <v>0.41166666666666668</v>
      </c>
      <c r="AA187" s="29">
        <v>0.30333333333333334</v>
      </c>
      <c r="AB187" s="29">
        <v>1.6666666666666666E-2</v>
      </c>
      <c r="AC187" s="30">
        <v>33.383333333333333</v>
      </c>
      <c r="AD187" s="27">
        <f t="shared" si="20"/>
        <v>0.67833333333333334</v>
      </c>
    </row>
    <row r="188" spans="1:30" x14ac:dyDescent="0.25">
      <c r="A188" s="26"/>
      <c r="B188" s="26"/>
      <c r="C188" s="26"/>
      <c r="D188" s="26">
        <v>7</v>
      </c>
      <c r="E188" s="26">
        <v>440</v>
      </c>
      <c r="F188" s="26">
        <v>75</v>
      </c>
      <c r="G188" s="26">
        <v>59</v>
      </c>
      <c r="H188" s="26">
        <v>1</v>
      </c>
      <c r="I188" s="26">
        <v>2</v>
      </c>
      <c r="J188" s="26">
        <v>303</v>
      </c>
      <c r="K188" s="26">
        <v>440</v>
      </c>
      <c r="L188" s="26">
        <v>0</v>
      </c>
      <c r="M188" s="26">
        <f t="shared" si="14"/>
        <v>440</v>
      </c>
      <c r="N188" s="26">
        <v>0</v>
      </c>
      <c r="O188" s="27">
        <f t="shared" si="15"/>
        <v>0.6886363636363636</v>
      </c>
      <c r="P188" s="27">
        <f t="shared" si="16"/>
        <v>0.17045454545454544</v>
      </c>
      <c r="Q188" s="27">
        <f t="shared" si="17"/>
        <v>0.13409090909090909</v>
      </c>
      <c r="R188" s="27">
        <f t="shared" si="18"/>
        <v>4.5454545454545452E-3</v>
      </c>
      <c r="S188" s="27">
        <f t="shared" si="19"/>
        <v>2.2727272727272726E-3</v>
      </c>
      <c r="T188" s="28">
        <v>200</v>
      </c>
      <c r="U188" s="28">
        <v>239</v>
      </c>
      <c r="V188" s="28">
        <v>155</v>
      </c>
      <c r="W188" s="28">
        <v>8</v>
      </c>
      <c r="X188" s="28">
        <v>602</v>
      </c>
      <c r="Y188" s="29">
        <v>0.33222591362126247</v>
      </c>
      <c r="Z188" s="29">
        <v>0.39700996677740863</v>
      </c>
      <c r="AA188" s="29">
        <v>0.25747508305647843</v>
      </c>
      <c r="AB188" s="29">
        <v>1.3289036544850499E-2</v>
      </c>
      <c r="AC188" s="30">
        <v>23.880398671096344</v>
      </c>
      <c r="AD188" s="27">
        <f t="shared" si="20"/>
        <v>0.73089700996677742</v>
      </c>
    </row>
    <row r="189" spans="1:30" x14ac:dyDescent="0.25">
      <c r="A189" s="26">
        <v>38</v>
      </c>
      <c r="B189" s="26" t="s">
        <v>207</v>
      </c>
      <c r="C189" s="26" t="s">
        <v>208</v>
      </c>
      <c r="D189" s="26">
        <v>1</v>
      </c>
      <c r="E189" s="26">
        <v>230</v>
      </c>
      <c r="F189" s="26">
        <v>8</v>
      </c>
      <c r="G189" s="26">
        <v>28</v>
      </c>
      <c r="H189" s="26">
        <v>1</v>
      </c>
      <c r="I189" s="26">
        <v>2</v>
      </c>
      <c r="J189" s="26">
        <v>189</v>
      </c>
      <c r="K189" s="26">
        <v>228</v>
      </c>
      <c r="L189" s="26">
        <v>2</v>
      </c>
      <c r="M189" s="26">
        <f t="shared" si="14"/>
        <v>230</v>
      </c>
      <c r="N189" s="26">
        <v>0</v>
      </c>
      <c r="O189" s="27">
        <f t="shared" si="15"/>
        <v>0.82173913043478264</v>
      </c>
      <c r="P189" s="27">
        <f t="shared" si="16"/>
        <v>3.4782608695652174E-2</v>
      </c>
      <c r="Q189" s="27">
        <f t="shared" si="17"/>
        <v>0.12173913043478261</v>
      </c>
      <c r="R189" s="27">
        <f t="shared" si="18"/>
        <v>8.6956521739130436E-3</v>
      </c>
      <c r="S189" s="27">
        <f t="shared" si="19"/>
        <v>4.3478260869565218E-3</v>
      </c>
      <c r="T189" s="28">
        <v>63</v>
      </c>
      <c r="U189" s="28">
        <v>258</v>
      </c>
      <c r="V189" s="28">
        <v>117</v>
      </c>
      <c r="W189" s="28">
        <v>12</v>
      </c>
      <c r="X189" s="28">
        <v>450</v>
      </c>
      <c r="Y189" s="29">
        <v>0.14000000000000001</v>
      </c>
      <c r="Z189" s="29">
        <v>0.57333333333333336</v>
      </c>
      <c r="AA189" s="29">
        <v>0.26</v>
      </c>
      <c r="AB189" s="29">
        <v>2.6666666666666668E-2</v>
      </c>
      <c r="AC189" s="30">
        <v>77.346666666666664</v>
      </c>
      <c r="AD189" s="27">
        <f t="shared" si="20"/>
        <v>0.51111111111111107</v>
      </c>
    </row>
    <row r="190" spans="1:30" x14ac:dyDescent="0.25">
      <c r="A190" s="26"/>
      <c r="B190" s="26"/>
      <c r="C190" s="26"/>
      <c r="D190" s="26">
        <v>2</v>
      </c>
      <c r="E190" s="26">
        <v>367</v>
      </c>
      <c r="F190" s="26">
        <v>70</v>
      </c>
      <c r="G190" s="26">
        <v>48</v>
      </c>
      <c r="H190" s="26">
        <v>1</v>
      </c>
      <c r="I190" s="26">
        <v>2</v>
      </c>
      <c r="J190" s="26">
        <v>244</v>
      </c>
      <c r="K190" s="26">
        <v>365</v>
      </c>
      <c r="L190" s="26">
        <v>2</v>
      </c>
      <c r="M190" s="26">
        <f t="shared" si="14"/>
        <v>367</v>
      </c>
      <c r="N190" s="26">
        <v>0</v>
      </c>
      <c r="O190" s="27">
        <f t="shared" si="15"/>
        <v>0.66485013623978206</v>
      </c>
      <c r="P190" s="27">
        <f t="shared" si="16"/>
        <v>0.1907356948228883</v>
      </c>
      <c r="Q190" s="27">
        <f t="shared" si="17"/>
        <v>0.13079019073569481</v>
      </c>
      <c r="R190" s="27">
        <f t="shared" si="18"/>
        <v>5.4495912806539508E-3</v>
      </c>
      <c r="S190" s="27">
        <f t="shared" si="19"/>
        <v>2.7247956403269754E-3</v>
      </c>
      <c r="T190" s="28">
        <v>107</v>
      </c>
      <c r="U190" s="28">
        <v>229</v>
      </c>
      <c r="V190" s="28">
        <v>105</v>
      </c>
      <c r="W190" s="28">
        <v>9</v>
      </c>
      <c r="X190" s="28">
        <v>450</v>
      </c>
      <c r="Y190" s="29">
        <v>0.23777777777777778</v>
      </c>
      <c r="Z190" s="29">
        <v>0.50888888888888884</v>
      </c>
      <c r="AA190" s="29">
        <v>0.23333333333333334</v>
      </c>
      <c r="AB190" s="29">
        <v>0.02</v>
      </c>
      <c r="AC190" s="30">
        <v>68.24444444444444</v>
      </c>
      <c r="AD190" s="27">
        <f t="shared" si="20"/>
        <v>0.81555555555555559</v>
      </c>
    </row>
    <row r="191" spans="1:30" x14ac:dyDescent="0.25">
      <c r="A191" s="26"/>
      <c r="B191" s="26"/>
      <c r="C191" s="26"/>
      <c r="D191" s="26">
        <v>3</v>
      </c>
      <c r="E191" s="26">
        <v>343</v>
      </c>
      <c r="F191" s="26">
        <v>47</v>
      </c>
      <c r="G191" s="26">
        <v>49</v>
      </c>
      <c r="H191" s="26">
        <v>1</v>
      </c>
      <c r="I191" s="26">
        <v>4</v>
      </c>
      <c r="J191" s="26">
        <v>241</v>
      </c>
      <c r="K191" s="26">
        <v>342</v>
      </c>
      <c r="L191" s="26">
        <v>1</v>
      </c>
      <c r="M191" s="26">
        <f t="shared" si="14"/>
        <v>343</v>
      </c>
      <c r="N191" s="26">
        <v>0</v>
      </c>
      <c r="O191" s="27">
        <f t="shared" si="15"/>
        <v>0.70262390670553931</v>
      </c>
      <c r="P191" s="27">
        <f t="shared" si="16"/>
        <v>0.13702623906705538</v>
      </c>
      <c r="Q191" s="27">
        <f t="shared" si="17"/>
        <v>0.14285714285714285</v>
      </c>
      <c r="R191" s="27">
        <f t="shared" si="18"/>
        <v>1.1661807580174927E-2</v>
      </c>
      <c r="S191" s="27">
        <f t="shared" si="19"/>
        <v>2.9154518950437317E-3</v>
      </c>
      <c r="T191" s="28">
        <v>138</v>
      </c>
      <c r="U191" s="28">
        <v>198</v>
      </c>
      <c r="V191" s="28">
        <v>112</v>
      </c>
      <c r="W191" s="28">
        <v>2</v>
      </c>
      <c r="X191" s="28">
        <v>450</v>
      </c>
      <c r="Y191" s="29">
        <v>0.30666666666666664</v>
      </c>
      <c r="Z191" s="29">
        <v>0.44</v>
      </c>
      <c r="AA191" s="29">
        <v>0.24888888888888888</v>
      </c>
      <c r="AB191" s="29">
        <v>4.4444444444444444E-3</v>
      </c>
      <c r="AC191" s="30">
        <v>60.077777777777776</v>
      </c>
      <c r="AD191" s="27">
        <f t="shared" si="20"/>
        <v>0.76222222222222225</v>
      </c>
    </row>
    <row r="192" spans="1:30" x14ac:dyDescent="0.25">
      <c r="A192" s="26"/>
      <c r="B192" s="26"/>
      <c r="C192" s="26"/>
      <c r="D192" s="26">
        <v>4</v>
      </c>
      <c r="E192" s="26">
        <v>357</v>
      </c>
      <c r="F192" s="26">
        <v>45</v>
      </c>
      <c r="G192" s="26">
        <v>65</v>
      </c>
      <c r="H192" s="26">
        <v>1</v>
      </c>
      <c r="I192" s="26">
        <v>3</v>
      </c>
      <c r="J192" s="26">
        <v>237</v>
      </c>
      <c r="K192" s="26">
        <v>351</v>
      </c>
      <c r="L192" s="26">
        <v>6</v>
      </c>
      <c r="M192" s="26">
        <f t="shared" si="14"/>
        <v>357</v>
      </c>
      <c r="N192" s="26">
        <v>0</v>
      </c>
      <c r="O192" s="27">
        <f t="shared" si="15"/>
        <v>0.66386554621848737</v>
      </c>
      <c r="P192" s="27">
        <f t="shared" si="16"/>
        <v>0.12605042016806722</v>
      </c>
      <c r="Q192" s="27">
        <f t="shared" si="17"/>
        <v>0.18207282913165265</v>
      </c>
      <c r="R192" s="27">
        <f t="shared" si="18"/>
        <v>8.4033613445378148E-3</v>
      </c>
      <c r="S192" s="27">
        <f t="shared" si="19"/>
        <v>2.8011204481792717E-3</v>
      </c>
      <c r="T192" s="28">
        <v>171</v>
      </c>
      <c r="U192" s="28">
        <v>205</v>
      </c>
      <c r="V192" s="28">
        <v>110</v>
      </c>
      <c r="W192" s="28">
        <v>3</v>
      </c>
      <c r="X192" s="28">
        <v>489</v>
      </c>
      <c r="Y192" s="29">
        <v>0.34969325153374231</v>
      </c>
      <c r="Z192" s="29">
        <v>0.41922290388548056</v>
      </c>
      <c r="AA192" s="29">
        <v>0.22494887525562371</v>
      </c>
      <c r="AB192" s="29">
        <v>6.1349693251533744E-3</v>
      </c>
      <c r="AC192" s="30">
        <v>51.310838445807768</v>
      </c>
      <c r="AD192" s="27">
        <f t="shared" si="20"/>
        <v>0.73006134969325154</v>
      </c>
    </row>
    <row r="193" spans="1:30" x14ac:dyDescent="0.25">
      <c r="A193" s="26"/>
      <c r="B193" s="26"/>
      <c r="C193" s="26"/>
      <c r="D193" s="26">
        <v>5</v>
      </c>
      <c r="E193" s="26">
        <v>441</v>
      </c>
      <c r="F193" s="26">
        <v>39</v>
      </c>
      <c r="G193" s="26">
        <v>55</v>
      </c>
      <c r="H193" s="26">
        <v>4</v>
      </c>
      <c r="I193" s="26">
        <v>2</v>
      </c>
      <c r="J193" s="26">
        <v>339</v>
      </c>
      <c r="K193" s="26">
        <v>439</v>
      </c>
      <c r="L193" s="26">
        <v>2</v>
      </c>
      <c r="M193" s="26">
        <f t="shared" si="14"/>
        <v>441</v>
      </c>
      <c r="N193" s="26">
        <v>0</v>
      </c>
      <c r="O193" s="27">
        <f t="shared" si="15"/>
        <v>0.76870748299319724</v>
      </c>
      <c r="P193" s="27">
        <f t="shared" si="16"/>
        <v>8.8435374149659865E-2</v>
      </c>
      <c r="Q193" s="27">
        <f t="shared" si="17"/>
        <v>0.12471655328798185</v>
      </c>
      <c r="R193" s="27">
        <f t="shared" si="18"/>
        <v>4.5351473922902496E-3</v>
      </c>
      <c r="S193" s="27">
        <f t="shared" si="19"/>
        <v>9.0702947845804991E-3</v>
      </c>
      <c r="T193" s="28">
        <v>171</v>
      </c>
      <c r="U193" s="28">
        <v>206</v>
      </c>
      <c r="V193" s="28">
        <v>111</v>
      </c>
      <c r="W193" s="28">
        <v>1</v>
      </c>
      <c r="X193" s="28">
        <v>489</v>
      </c>
      <c r="Y193" s="29">
        <v>0.34969325153374231</v>
      </c>
      <c r="Z193" s="29">
        <v>0.42126789366053169</v>
      </c>
      <c r="AA193" s="29">
        <v>0.22699386503067484</v>
      </c>
      <c r="AB193" s="29">
        <v>2.0449897750511249E-3</v>
      </c>
      <c r="AC193" s="30">
        <v>41.942740286298566</v>
      </c>
      <c r="AD193" s="27">
        <f t="shared" si="20"/>
        <v>0.90184049079754602</v>
      </c>
    </row>
    <row r="194" spans="1:30" x14ac:dyDescent="0.25">
      <c r="A194" s="26"/>
      <c r="B194" s="26"/>
      <c r="C194" s="26"/>
      <c r="D194" s="26">
        <v>6</v>
      </c>
      <c r="E194" s="26">
        <v>333</v>
      </c>
      <c r="F194" s="26">
        <v>84</v>
      </c>
      <c r="G194" s="26">
        <v>45</v>
      </c>
      <c r="H194" s="26">
        <v>0</v>
      </c>
      <c r="I194" s="26">
        <v>2</v>
      </c>
      <c r="J194" s="26">
        <v>200</v>
      </c>
      <c r="K194" s="26">
        <v>331</v>
      </c>
      <c r="L194" s="26">
        <v>2</v>
      </c>
      <c r="M194" s="26">
        <f t="shared" si="14"/>
        <v>333</v>
      </c>
      <c r="N194" s="26">
        <v>0</v>
      </c>
      <c r="O194" s="27">
        <f t="shared" si="15"/>
        <v>0.60060060060060061</v>
      </c>
      <c r="P194" s="27">
        <f t="shared" si="16"/>
        <v>0.25225225225225223</v>
      </c>
      <c r="Q194" s="27">
        <f t="shared" si="17"/>
        <v>0.13513513513513514</v>
      </c>
      <c r="R194" s="27">
        <f t="shared" si="18"/>
        <v>6.006006006006006E-3</v>
      </c>
      <c r="S194" s="27">
        <f t="shared" si="19"/>
        <v>0</v>
      </c>
      <c r="T194" s="28">
        <v>231</v>
      </c>
      <c r="U194" s="28">
        <v>154</v>
      </c>
      <c r="V194" s="28">
        <v>100</v>
      </c>
      <c r="W194" s="28">
        <v>5</v>
      </c>
      <c r="X194" s="28">
        <v>490</v>
      </c>
      <c r="Y194" s="29">
        <v>0.47142857142857142</v>
      </c>
      <c r="Z194" s="29">
        <v>0.31428571428571428</v>
      </c>
      <c r="AA194" s="29">
        <v>0.20408163265306123</v>
      </c>
      <c r="AB194" s="29">
        <v>1.020408163265306E-2</v>
      </c>
      <c r="AC194" s="30">
        <v>28.126530612244899</v>
      </c>
      <c r="AD194" s="27">
        <f t="shared" si="20"/>
        <v>0.67959183673469392</v>
      </c>
    </row>
    <row r="195" spans="1:30" x14ac:dyDescent="0.25">
      <c r="A195" s="26">
        <v>38</v>
      </c>
      <c r="B195" s="26" t="s">
        <v>207</v>
      </c>
      <c r="C195" s="26" t="s">
        <v>209</v>
      </c>
      <c r="D195" s="26">
        <v>1</v>
      </c>
      <c r="E195" s="26">
        <v>334</v>
      </c>
      <c r="F195" s="26">
        <v>47</v>
      </c>
      <c r="G195" s="26">
        <v>141</v>
      </c>
      <c r="H195" s="26">
        <v>1</v>
      </c>
      <c r="I195" s="26">
        <v>5</v>
      </c>
      <c r="J195" s="26">
        <v>130</v>
      </c>
      <c r="K195" s="26">
        <v>324</v>
      </c>
      <c r="L195" s="26">
        <v>10</v>
      </c>
      <c r="M195" s="26">
        <f t="shared" ref="M195:M200" si="21">L195+K195</f>
        <v>334</v>
      </c>
      <c r="N195" s="26">
        <v>0</v>
      </c>
      <c r="O195" s="27">
        <f t="shared" ref="O195:O200" si="22">J195/M195</f>
        <v>0.38922155688622756</v>
      </c>
      <c r="P195" s="27">
        <f t="shared" ref="P195:P200" si="23">F195/M195</f>
        <v>0.1407185628742515</v>
      </c>
      <c r="Q195" s="27">
        <f t="shared" ref="Q195:Q200" si="24">G195/M195</f>
        <v>0.42215568862275449</v>
      </c>
      <c r="R195" s="27">
        <f t="shared" ref="R195:R200" si="25">I195/M195</f>
        <v>1.4970059880239521E-2</v>
      </c>
      <c r="S195" s="27">
        <f t="shared" ref="S195:S200" si="26">H195/M195</f>
        <v>2.9940119760479044E-3</v>
      </c>
      <c r="T195" s="28">
        <v>189</v>
      </c>
      <c r="U195" s="28">
        <v>40</v>
      </c>
      <c r="V195" s="28">
        <v>210</v>
      </c>
      <c r="W195" s="28">
        <v>11</v>
      </c>
      <c r="X195" s="28">
        <v>450</v>
      </c>
      <c r="Y195" s="29">
        <v>0.42</v>
      </c>
      <c r="Z195" s="29">
        <v>8.8888888888888892E-2</v>
      </c>
      <c r="AA195" s="29">
        <v>0.46666666666666667</v>
      </c>
      <c r="AB195" s="29">
        <v>2.4444444444444446E-2</v>
      </c>
      <c r="AC195" s="30">
        <v>63.866666666666667</v>
      </c>
      <c r="AD195" s="27">
        <f t="shared" ref="AD195:AD202" si="27">M195/X195</f>
        <v>0.74222222222222223</v>
      </c>
    </row>
    <row r="196" spans="1:30" x14ac:dyDescent="0.25">
      <c r="A196" s="26"/>
      <c r="B196" s="26"/>
      <c r="C196" s="26"/>
      <c r="D196" s="26">
        <v>2</v>
      </c>
      <c r="E196" s="26">
        <v>379</v>
      </c>
      <c r="F196" s="26">
        <v>44</v>
      </c>
      <c r="G196" s="26">
        <v>103</v>
      </c>
      <c r="H196" s="26">
        <v>0</v>
      </c>
      <c r="I196" s="26">
        <v>5</v>
      </c>
      <c r="J196" s="26">
        <v>225</v>
      </c>
      <c r="K196" s="26">
        <v>377</v>
      </c>
      <c r="L196" s="26">
        <v>2</v>
      </c>
      <c r="M196" s="26">
        <f t="shared" si="21"/>
        <v>379</v>
      </c>
      <c r="N196" s="26">
        <v>0</v>
      </c>
      <c r="O196" s="27">
        <f t="shared" si="22"/>
        <v>0.59366754617414252</v>
      </c>
      <c r="P196" s="27">
        <f t="shared" si="23"/>
        <v>0.11609498680738786</v>
      </c>
      <c r="Q196" s="27">
        <f t="shared" si="24"/>
        <v>0.27176781002638523</v>
      </c>
      <c r="R196" s="27">
        <f t="shared" si="25"/>
        <v>1.3192612137203167E-2</v>
      </c>
      <c r="S196" s="27">
        <f t="shared" si="26"/>
        <v>0</v>
      </c>
      <c r="T196" s="28">
        <v>172</v>
      </c>
      <c r="U196" s="28">
        <v>45</v>
      </c>
      <c r="V196" s="28">
        <v>215</v>
      </c>
      <c r="W196" s="28">
        <v>18</v>
      </c>
      <c r="X196" s="28">
        <v>450</v>
      </c>
      <c r="Y196" s="29">
        <v>0.38222222222222224</v>
      </c>
      <c r="Z196" s="29">
        <v>0.1</v>
      </c>
      <c r="AA196" s="29">
        <v>0.4777777777777778</v>
      </c>
      <c r="AB196" s="29">
        <v>0.04</v>
      </c>
      <c r="AC196" s="30">
        <v>54.568888888888885</v>
      </c>
      <c r="AD196" s="27">
        <f t="shared" si="27"/>
        <v>0.84222222222222221</v>
      </c>
    </row>
    <row r="197" spans="1:30" x14ac:dyDescent="0.25">
      <c r="A197" s="26"/>
      <c r="B197" s="26"/>
      <c r="C197" s="26"/>
      <c r="D197" s="26">
        <v>3</v>
      </c>
      <c r="E197" s="26">
        <v>513</v>
      </c>
      <c r="F197" s="26">
        <v>94</v>
      </c>
      <c r="G197" s="26">
        <v>109</v>
      </c>
      <c r="H197" s="26">
        <v>4</v>
      </c>
      <c r="I197" s="26">
        <v>9</v>
      </c>
      <c r="J197" s="26">
        <v>290</v>
      </c>
      <c r="K197" s="26">
        <v>506</v>
      </c>
      <c r="L197" s="26">
        <v>7</v>
      </c>
      <c r="M197" s="26">
        <f t="shared" si="21"/>
        <v>513</v>
      </c>
      <c r="N197" s="26">
        <v>0</v>
      </c>
      <c r="O197" s="27">
        <f t="shared" si="22"/>
        <v>0.56530214424951264</v>
      </c>
      <c r="P197" s="27">
        <f t="shared" si="23"/>
        <v>0.18323586744639375</v>
      </c>
      <c r="Q197" s="27">
        <f t="shared" si="24"/>
        <v>0.2124756335282651</v>
      </c>
      <c r="R197" s="27">
        <f t="shared" si="25"/>
        <v>1.7543859649122806E-2</v>
      </c>
      <c r="S197" s="27">
        <f t="shared" si="26"/>
        <v>7.7972709551656916E-3</v>
      </c>
      <c r="T197" s="28">
        <v>274</v>
      </c>
      <c r="U197" s="28">
        <v>86</v>
      </c>
      <c r="V197" s="28">
        <v>307</v>
      </c>
      <c r="W197" s="28">
        <v>16</v>
      </c>
      <c r="X197" s="28">
        <v>683</v>
      </c>
      <c r="Y197" s="29">
        <v>0.40117130307467058</v>
      </c>
      <c r="Z197" s="29">
        <v>0.12591508052708639</v>
      </c>
      <c r="AA197" s="29">
        <v>0.44948755490483161</v>
      </c>
      <c r="AB197" s="29">
        <v>2.3426061493411421E-2</v>
      </c>
      <c r="AC197" s="30">
        <v>41.30893118594436</v>
      </c>
      <c r="AD197" s="27">
        <f t="shared" si="27"/>
        <v>0.75109809663250371</v>
      </c>
    </row>
    <row r="198" spans="1:30" x14ac:dyDescent="0.25">
      <c r="A198" s="26"/>
      <c r="B198" s="26"/>
      <c r="C198" s="26"/>
      <c r="D198" s="26">
        <v>4</v>
      </c>
      <c r="E198" s="26">
        <v>487</v>
      </c>
      <c r="F198" s="26">
        <v>129</v>
      </c>
      <c r="G198" s="26">
        <v>90</v>
      </c>
      <c r="H198" s="26">
        <v>3</v>
      </c>
      <c r="I198" s="26">
        <v>5</v>
      </c>
      <c r="J198" s="26">
        <v>256</v>
      </c>
      <c r="K198" s="26">
        <v>483</v>
      </c>
      <c r="L198" s="26">
        <v>4</v>
      </c>
      <c r="M198" s="26">
        <f t="shared" si="21"/>
        <v>487</v>
      </c>
      <c r="N198" s="26">
        <v>0</v>
      </c>
      <c r="O198" s="27">
        <f t="shared" si="22"/>
        <v>0.52566735112936347</v>
      </c>
      <c r="P198" s="27">
        <f t="shared" si="23"/>
        <v>0.26488706365503079</v>
      </c>
      <c r="Q198" s="27">
        <f t="shared" si="24"/>
        <v>0.18480492813141683</v>
      </c>
      <c r="R198" s="27">
        <f t="shared" si="25"/>
        <v>1.0266940451745379E-2</v>
      </c>
      <c r="S198" s="27">
        <f t="shared" si="26"/>
        <v>6.1601642710472282E-3</v>
      </c>
      <c r="T198" s="28">
        <v>373</v>
      </c>
      <c r="U198" s="28">
        <v>56</v>
      </c>
      <c r="V198" s="28">
        <v>252</v>
      </c>
      <c r="W198" s="28">
        <v>2</v>
      </c>
      <c r="X198" s="28">
        <v>683</v>
      </c>
      <c r="Y198" s="29">
        <v>0.54612005856515378</v>
      </c>
      <c r="Z198" s="29">
        <v>8.1991215226939973E-2</v>
      </c>
      <c r="AA198" s="29">
        <v>0.36896046852122988</v>
      </c>
      <c r="AB198" s="29">
        <v>2.9282576866764276E-3</v>
      </c>
      <c r="AC198" s="30">
        <v>31.187408491947291</v>
      </c>
      <c r="AD198" s="27">
        <f t="shared" si="27"/>
        <v>0.71303074670571009</v>
      </c>
    </row>
    <row r="199" spans="1:30" x14ac:dyDescent="0.25">
      <c r="A199" s="26"/>
      <c r="B199" s="26"/>
      <c r="C199" s="26"/>
      <c r="D199" s="26">
        <v>5</v>
      </c>
      <c r="E199" s="26">
        <v>547</v>
      </c>
      <c r="F199" s="26">
        <v>162</v>
      </c>
      <c r="G199" s="26">
        <v>93</v>
      </c>
      <c r="H199" s="26">
        <v>4</v>
      </c>
      <c r="I199" s="26">
        <v>9</v>
      </c>
      <c r="J199" s="26">
        <v>276</v>
      </c>
      <c r="K199" s="26">
        <v>544</v>
      </c>
      <c r="L199" s="26">
        <v>3</v>
      </c>
      <c r="M199" s="26">
        <f t="shared" si="21"/>
        <v>547</v>
      </c>
      <c r="N199" s="26">
        <v>0</v>
      </c>
      <c r="O199" s="27">
        <f t="shared" si="22"/>
        <v>0.50457038391224862</v>
      </c>
      <c r="P199" s="27">
        <f t="shared" si="23"/>
        <v>0.29616087751371117</v>
      </c>
      <c r="Q199" s="27">
        <f t="shared" si="24"/>
        <v>0.17001828153564899</v>
      </c>
      <c r="R199" s="27">
        <f t="shared" si="25"/>
        <v>1.6453382084095063E-2</v>
      </c>
      <c r="S199" s="27">
        <f t="shared" si="26"/>
        <v>7.3126142595978062E-3</v>
      </c>
      <c r="T199" s="28">
        <v>394</v>
      </c>
      <c r="U199" s="28">
        <v>48</v>
      </c>
      <c r="V199" s="28">
        <v>238</v>
      </c>
      <c r="W199" s="28">
        <v>5</v>
      </c>
      <c r="X199" s="28">
        <v>685</v>
      </c>
      <c r="Y199" s="29">
        <v>0.57518248175182485</v>
      </c>
      <c r="Z199" s="29">
        <v>7.0072992700729933E-2</v>
      </c>
      <c r="AA199" s="29">
        <v>0.34744525547445254</v>
      </c>
      <c r="AB199" s="29">
        <v>7.2992700729927005E-3</v>
      </c>
      <c r="AC199" s="30">
        <v>23</v>
      </c>
      <c r="AD199" s="27">
        <f t="shared" si="27"/>
        <v>0.79854014598540146</v>
      </c>
    </row>
    <row r="200" spans="1:30" x14ac:dyDescent="0.25">
      <c r="A200" s="26" t="s">
        <v>210</v>
      </c>
      <c r="B200" s="26"/>
      <c r="C200" s="26"/>
      <c r="D200" s="26">
        <v>198</v>
      </c>
      <c r="E200" s="26">
        <v>81436</v>
      </c>
      <c r="F200" s="26">
        <v>18235</v>
      </c>
      <c r="G200" s="26">
        <v>18412</v>
      </c>
      <c r="H200" s="26">
        <v>441</v>
      </c>
      <c r="I200" s="26">
        <v>748</v>
      </c>
      <c r="J200" s="26">
        <v>42349</v>
      </c>
      <c r="K200" s="26">
        <v>80185</v>
      </c>
      <c r="L200" s="26">
        <v>1096</v>
      </c>
      <c r="M200" s="26">
        <f t="shared" si="21"/>
        <v>81281</v>
      </c>
      <c r="N200" s="26">
        <v>155</v>
      </c>
      <c r="O200" s="27">
        <f t="shared" si="22"/>
        <v>0.52101967249418679</v>
      </c>
      <c r="P200" s="27">
        <f t="shared" si="23"/>
        <v>0.22434517291864028</v>
      </c>
      <c r="Q200" s="27">
        <f t="shared" si="24"/>
        <v>0.22652280360723909</v>
      </c>
      <c r="R200" s="27">
        <f t="shared" si="25"/>
        <v>9.2026426840220964E-3</v>
      </c>
      <c r="S200" s="27">
        <f t="shared" si="26"/>
        <v>5.425622224136022E-3</v>
      </c>
      <c r="T200" s="28">
        <v>48388</v>
      </c>
      <c r="U200" s="28">
        <v>32919</v>
      </c>
      <c r="V200" s="28">
        <v>21727</v>
      </c>
      <c r="W200" s="28">
        <v>1416</v>
      </c>
      <c r="X200" s="28">
        <v>104450</v>
      </c>
      <c r="Y200" s="29">
        <v>0.46326471996170415</v>
      </c>
      <c r="Z200" s="29">
        <v>0.31516515078985158</v>
      </c>
      <c r="AA200" s="29">
        <v>0.20801340354236478</v>
      </c>
      <c r="AB200" s="29">
        <v>1.3556725706079464E-2</v>
      </c>
      <c r="AC200" s="30">
        <v>43.599585588925734</v>
      </c>
      <c r="AD200" s="27">
        <f t="shared" si="27"/>
        <v>0.77818094782192437</v>
      </c>
    </row>
    <row r="202" spans="1:30" x14ac:dyDescent="0.25">
      <c r="A202" s="26"/>
      <c r="B202" s="26"/>
      <c r="C202" s="26" t="s">
        <v>316</v>
      </c>
      <c r="D202" s="26"/>
      <c r="E202" s="26">
        <f>SUM(E3:E22)</f>
        <v>5069</v>
      </c>
      <c r="F202" s="26">
        <f t="shared" ref="F202:N202" si="28">SUM(F3:F22)</f>
        <v>3002</v>
      </c>
      <c r="G202" s="26">
        <f t="shared" si="28"/>
        <v>1357</v>
      </c>
      <c r="H202" s="26">
        <f t="shared" si="28"/>
        <v>119</v>
      </c>
      <c r="I202" s="26">
        <f t="shared" si="28"/>
        <v>80</v>
      </c>
      <c r="J202" s="26">
        <f t="shared" si="28"/>
        <v>446</v>
      </c>
      <c r="K202" s="26">
        <f t="shared" si="28"/>
        <v>5004</v>
      </c>
      <c r="L202" s="26">
        <f t="shared" si="28"/>
        <v>65</v>
      </c>
      <c r="M202" s="26">
        <f t="shared" si="28"/>
        <v>5069</v>
      </c>
      <c r="N202" s="26">
        <f t="shared" si="28"/>
        <v>0</v>
      </c>
      <c r="O202" s="27">
        <f t="shared" ref="O202" si="29">J202/M202</f>
        <v>8.7985796014993095E-2</v>
      </c>
      <c r="P202" s="27">
        <f t="shared" ref="P202" si="30">F202/M202</f>
        <v>0.59222726376011048</v>
      </c>
      <c r="Q202" s="27">
        <f t="shared" ref="Q202" si="31">G202/M202</f>
        <v>0.26770566186624578</v>
      </c>
      <c r="R202" s="27">
        <f t="shared" ref="R202" si="32">I202/M202</f>
        <v>1.5782205563227462E-2</v>
      </c>
      <c r="S202" s="27">
        <f t="shared" ref="S202" si="33">H202/M202</f>
        <v>2.347603077530085E-2</v>
      </c>
      <c r="T202" s="26">
        <f t="shared" ref="T202:X202" si="34">SUM(T3:T22)</f>
        <v>6505</v>
      </c>
      <c r="U202" s="26">
        <f t="shared" si="34"/>
        <v>74</v>
      </c>
      <c r="V202" s="26">
        <f t="shared" si="34"/>
        <v>249</v>
      </c>
      <c r="W202" s="26">
        <f t="shared" si="34"/>
        <v>551</v>
      </c>
      <c r="X202" s="26">
        <f t="shared" si="34"/>
        <v>7379</v>
      </c>
      <c r="Y202" s="27">
        <f>T202/X202</f>
        <v>0.88155576636400601</v>
      </c>
      <c r="Z202" s="27">
        <f>U202/X202</f>
        <v>1.0028459140804987E-2</v>
      </c>
      <c r="AA202" s="27">
        <f>V202/X202</f>
        <v>3.3744409811627595E-2</v>
      </c>
      <c r="AB202" s="27">
        <f>W202/X202</f>
        <v>7.4671364683561461E-2</v>
      </c>
      <c r="AC202" s="32">
        <f>AVERAGE(AC3:AC22)</f>
        <v>33.149739072186392</v>
      </c>
      <c r="AD202" s="27">
        <f t="shared" si="27"/>
        <v>0.68694945114514161</v>
      </c>
    </row>
    <row r="204" spans="1:30" ht="13.8" x14ac:dyDescent="0.3">
      <c r="B204" s="43" t="s">
        <v>317</v>
      </c>
      <c r="C204" s="43" t="s">
        <v>318</v>
      </c>
      <c r="D204" s="26"/>
      <c r="E204" s="26">
        <f>SUM(E23:E50)</f>
        <v>11457</v>
      </c>
      <c r="F204" s="26">
        <f t="shared" ref="F204:N204" si="35">SUM(F23:F50)</f>
        <v>878</v>
      </c>
      <c r="G204" s="26">
        <f t="shared" si="35"/>
        <v>2408</v>
      </c>
      <c r="H204" s="26">
        <f t="shared" si="35"/>
        <v>21</v>
      </c>
      <c r="I204" s="26">
        <f t="shared" si="35"/>
        <v>64</v>
      </c>
      <c r="J204" s="26">
        <f t="shared" si="35"/>
        <v>7956</v>
      </c>
      <c r="K204" s="26">
        <f t="shared" si="35"/>
        <v>11327</v>
      </c>
      <c r="L204" s="26">
        <f t="shared" si="35"/>
        <v>130</v>
      </c>
      <c r="M204" s="26">
        <f t="shared" si="35"/>
        <v>11457</v>
      </c>
      <c r="N204" s="26">
        <f t="shared" si="35"/>
        <v>0</v>
      </c>
      <c r="O204" s="27">
        <f t="shared" ref="O204:O208" si="36">J204/M204</f>
        <v>0.69442262372348784</v>
      </c>
      <c r="P204" s="27">
        <f t="shared" ref="P204:P208" si="37">F204/M204</f>
        <v>7.6634371999650869E-2</v>
      </c>
      <c r="Q204" s="27">
        <f t="shared" ref="Q204:Q208" si="38">G204/M204</f>
        <v>0.21017718425416776</v>
      </c>
      <c r="R204" s="27">
        <f t="shared" ref="R204:R208" si="39">I204/M204</f>
        <v>5.5861045648948242E-3</v>
      </c>
      <c r="S204" s="27">
        <f t="shared" ref="S204:S208" si="40">H204/M204</f>
        <v>1.8329405603561141E-3</v>
      </c>
      <c r="T204" s="26">
        <f t="shared" ref="T204:X204" si="41">SUM(T23:T50)</f>
        <v>3574</v>
      </c>
      <c r="U204" s="26">
        <f t="shared" si="41"/>
        <v>8190</v>
      </c>
      <c r="V204" s="26">
        <f t="shared" si="41"/>
        <v>3214</v>
      </c>
      <c r="W204" s="26">
        <f t="shared" si="41"/>
        <v>29</v>
      </c>
      <c r="X204" s="26">
        <f t="shared" si="41"/>
        <v>15007</v>
      </c>
      <c r="Y204" s="27">
        <f t="shared" ref="Y204:Y208" si="42">T204/X204</f>
        <v>0.23815552742053708</v>
      </c>
      <c r="Z204" s="27">
        <f t="shared" ref="Z204:Z208" si="43">U204/X204</f>
        <v>0.54574531885120281</v>
      </c>
      <c r="AA204" s="27">
        <f t="shared" ref="AA204:AA208" si="44">V204/X204</f>
        <v>0.21416672219630839</v>
      </c>
      <c r="AB204" s="27">
        <f t="shared" ref="AB204:AB208" si="45">W204/X204</f>
        <v>1.9324315319517559E-3</v>
      </c>
      <c r="AC204" s="32"/>
      <c r="AD204" s="27">
        <f t="shared" ref="AD204:AD208" si="46">M204/X204</f>
        <v>0.76344372626107815</v>
      </c>
    </row>
    <row r="205" spans="1:30" ht="13.8" x14ac:dyDescent="0.3">
      <c r="B205" s="43" t="s">
        <v>319</v>
      </c>
      <c r="C205" s="43" t="s">
        <v>320</v>
      </c>
      <c r="D205" s="26"/>
      <c r="E205" s="26">
        <f>SUM(E51:E96)</f>
        <v>20257</v>
      </c>
      <c r="F205" s="26">
        <f t="shared" ref="F205:N205" si="47">SUM(F51:F96)</f>
        <v>2268</v>
      </c>
      <c r="G205" s="26">
        <f t="shared" si="47"/>
        <v>2635</v>
      </c>
      <c r="H205" s="26">
        <f t="shared" si="47"/>
        <v>66</v>
      </c>
      <c r="I205" s="26">
        <f t="shared" si="47"/>
        <v>114</v>
      </c>
      <c r="J205" s="26">
        <f t="shared" si="47"/>
        <v>14982</v>
      </c>
      <c r="K205" s="26">
        <f t="shared" si="47"/>
        <v>20065</v>
      </c>
      <c r="L205" s="26">
        <f t="shared" si="47"/>
        <v>192</v>
      </c>
      <c r="M205" s="26">
        <f t="shared" si="47"/>
        <v>20257</v>
      </c>
      <c r="N205" s="26">
        <f t="shared" si="47"/>
        <v>0</v>
      </c>
      <c r="O205" s="27">
        <f t="shared" si="36"/>
        <v>0.73959618897171353</v>
      </c>
      <c r="P205" s="27">
        <f t="shared" si="37"/>
        <v>0.11196129732931825</v>
      </c>
      <c r="Q205" s="27">
        <f t="shared" si="38"/>
        <v>0.13007849138569383</v>
      </c>
      <c r="R205" s="27">
        <f t="shared" si="39"/>
        <v>5.6276842572937748E-3</v>
      </c>
      <c r="S205" s="27">
        <f t="shared" si="40"/>
        <v>3.258132991064817E-3</v>
      </c>
      <c r="T205" s="26">
        <f t="shared" ref="T205:X205" si="48">SUM(T51:T96)</f>
        <v>6404</v>
      </c>
      <c r="U205" s="26">
        <f t="shared" si="48"/>
        <v>13107</v>
      </c>
      <c r="V205" s="26">
        <f t="shared" si="48"/>
        <v>6826</v>
      </c>
      <c r="W205" s="26">
        <f t="shared" si="48"/>
        <v>102</v>
      </c>
      <c r="X205" s="26">
        <f t="shared" si="48"/>
        <v>26439</v>
      </c>
      <c r="Y205" s="27">
        <f t="shared" si="42"/>
        <v>0.24221793562540186</v>
      </c>
      <c r="Z205" s="27">
        <f t="shared" si="43"/>
        <v>0.49574492227391354</v>
      </c>
      <c r="AA205" s="27">
        <f t="shared" si="44"/>
        <v>0.25817920496236618</v>
      </c>
      <c r="AB205" s="27">
        <f t="shared" si="45"/>
        <v>3.8579371383183933E-3</v>
      </c>
      <c r="AC205" s="32"/>
      <c r="AD205" s="27">
        <f t="shared" si="46"/>
        <v>0.76617875108740874</v>
      </c>
    </row>
    <row r="206" spans="1:30" ht="13.8" x14ac:dyDescent="0.3">
      <c r="B206" s="43" t="s">
        <v>321</v>
      </c>
      <c r="C206" s="43" t="s">
        <v>322</v>
      </c>
      <c r="D206" s="26"/>
      <c r="E206" s="26">
        <f>SUM(E97:E130)</f>
        <v>13511</v>
      </c>
      <c r="F206" s="26">
        <f t="shared" ref="F206:N206" si="49">SUM(F97:F130)</f>
        <v>4955</v>
      </c>
      <c r="G206" s="26">
        <f t="shared" si="49"/>
        <v>3882</v>
      </c>
      <c r="H206" s="26">
        <f t="shared" si="49"/>
        <v>87</v>
      </c>
      <c r="I206" s="26">
        <f t="shared" si="49"/>
        <v>187</v>
      </c>
      <c r="J206" s="26">
        <f t="shared" si="49"/>
        <v>4287</v>
      </c>
      <c r="K206" s="26">
        <f t="shared" si="49"/>
        <v>13398</v>
      </c>
      <c r="L206" s="26">
        <f t="shared" si="49"/>
        <v>113</v>
      </c>
      <c r="M206" s="26">
        <f t="shared" si="49"/>
        <v>13511</v>
      </c>
      <c r="N206" s="26">
        <f t="shared" si="49"/>
        <v>0</v>
      </c>
      <c r="O206" s="27">
        <f t="shared" si="36"/>
        <v>0.31729701724520759</v>
      </c>
      <c r="P206" s="27">
        <f t="shared" si="37"/>
        <v>0.36673821330767525</v>
      </c>
      <c r="Q206" s="27">
        <f t="shared" si="38"/>
        <v>0.28732144178817259</v>
      </c>
      <c r="R206" s="27">
        <f t="shared" si="39"/>
        <v>1.384057434682851E-2</v>
      </c>
      <c r="S206" s="27">
        <f t="shared" si="40"/>
        <v>6.4391976907704832E-3</v>
      </c>
      <c r="T206" s="26">
        <f t="shared" ref="T206:X206" si="50">SUM(T97:T130)</f>
        <v>13891</v>
      </c>
      <c r="U206" s="26">
        <f t="shared" si="50"/>
        <v>1871</v>
      </c>
      <c r="V206" s="26">
        <f t="shared" si="50"/>
        <v>2597</v>
      </c>
      <c r="W206" s="26">
        <f t="shared" si="50"/>
        <v>245</v>
      </c>
      <c r="X206" s="26">
        <f t="shared" si="50"/>
        <v>18604</v>
      </c>
      <c r="Y206" s="27">
        <f t="shared" si="42"/>
        <v>0.74666738335841754</v>
      </c>
      <c r="Z206" s="27">
        <f t="shared" si="43"/>
        <v>0.10056976994194797</v>
      </c>
      <c r="AA206" s="27">
        <f t="shared" si="44"/>
        <v>0.1395936357772522</v>
      </c>
      <c r="AB206" s="27">
        <f t="shared" si="45"/>
        <v>1.3169210922382284E-2</v>
      </c>
      <c r="AC206" s="32"/>
      <c r="AD206" s="27">
        <f t="shared" si="46"/>
        <v>0.72624166845839599</v>
      </c>
    </row>
    <row r="207" spans="1:30" ht="13.8" x14ac:dyDescent="0.3">
      <c r="B207" s="43" t="s">
        <v>323</v>
      </c>
      <c r="C207" s="43" t="s">
        <v>324</v>
      </c>
      <c r="D207" s="26"/>
      <c r="E207" s="26">
        <f>SUM(E131:E164)</f>
        <v>13612</v>
      </c>
      <c r="F207" s="26">
        <f t="shared" ref="F207:N207" si="51">SUM(F131:F164)</f>
        <v>3356</v>
      </c>
      <c r="G207" s="26">
        <f t="shared" si="51"/>
        <v>4547</v>
      </c>
      <c r="H207" s="26">
        <f t="shared" si="51"/>
        <v>38</v>
      </c>
      <c r="I207" s="26">
        <f t="shared" si="51"/>
        <v>126</v>
      </c>
      <c r="J207" s="26">
        <f t="shared" si="51"/>
        <v>5385</v>
      </c>
      <c r="K207" s="26">
        <f t="shared" si="51"/>
        <v>13452</v>
      </c>
      <c r="L207" s="26">
        <f t="shared" si="51"/>
        <v>160</v>
      </c>
      <c r="M207" s="26">
        <f t="shared" si="51"/>
        <v>13612</v>
      </c>
      <c r="N207" s="26">
        <f t="shared" si="51"/>
        <v>0</v>
      </c>
      <c r="O207" s="27">
        <f t="shared" si="36"/>
        <v>0.39560681751395826</v>
      </c>
      <c r="P207" s="27">
        <f t="shared" si="37"/>
        <v>0.24654716426682338</v>
      </c>
      <c r="Q207" s="27">
        <f t="shared" si="38"/>
        <v>0.33404349103732001</v>
      </c>
      <c r="R207" s="27">
        <f t="shared" si="39"/>
        <v>9.2565383485160146E-3</v>
      </c>
      <c r="S207" s="27">
        <f t="shared" si="40"/>
        <v>2.7916544225683221E-3</v>
      </c>
      <c r="T207" s="26">
        <f t="shared" ref="T207:X207" si="52">SUM(T131:T164)</f>
        <v>10627</v>
      </c>
      <c r="U207" s="26">
        <f t="shared" si="52"/>
        <v>3562</v>
      </c>
      <c r="V207" s="26">
        <f t="shared" si="52"/>
        <v>3527</v>
      </c>
      <c r="W207" s="26">
        <f t="shared" si="52"/>
        <v>293</v>
      </c>
      <c r="X207" s="26">
        <f t="shared" si="52"/>
        <v>18009</v>
      </c>
      <c r="Y207" s="27">
        <f t="shared" si="42"/>
        <v>0.59009384196790493</v>
      </c>
      <c r="Z207" s="27">
        <f t="shared" si="43"/>
        <v>0.19778999389194291</v>
      </c>
      <c r="AA207" s="27">
        <f t="shared" si="44"/>
        <v>0.19584652118385251</v>
      </c>
      <c r="AB207" s="27">
        <f t="shared" si="45"/>
        <v>1.6269642956299627E-2</v>
      </c>
      <c r="AC207" s="32"/>
      <c r="AD207" s="27">
        <f t="shared" si="46"/>
        <v>0.75584430007218617</v>
      </c>
    </row>
    <row r="208" spans="1:30" ht="13.8" x14ac:dyDescent="0.3">
      <c r="B208" s="43" t="s">
        <v>325</v>
      </c>
      <c r="C208" s="43" t="s">
        <v>326</v>
      </c>
      <c r="D208" s="26"/>
      <c r="E208" s="26">
        <f>SUM(E165:E199)</f>
        <v>14284</v>
      </c>
      <c r="F208" s="26">
        <f t="shared" ref="F208:N208" si="53">SUM(F165:F199)</f>
        <v>2564</v>
      </c>
      <c r="G208" s="26">
        <f t="shared" si="53"/>
        <v>2644</v>
      </c>
      <c r="H208" s="26">
        <f t="shared" si="53"/>
        <v>48</v>
      </c>
      <c r="I208" s="26">
        <f t="shared" si="53"/>
        <v>147</v>
      </c>
      <c r="J208" s="26">
        <f t="shared" si="53"/>
        <v>8754</v>
      </c>
      <c r="K208" s="26">
        <f t="shared" si="53"/>
        <v>14157</v>
      </c>
      <c r="L208" s="26">
        <f t="shared" si="53"/>
        <v>127</v>
      </c>
      <c r="M208" s="26">
        <f t="shared" si="53"/>
        <v>14284</v>
      </c>
      <c r="N208" s="26">
        <f t="shared" si="53"/>
        <v>0</v>
      </c>
      <c r="O208" s="27">
        <f t="shared" si="36"/>
        <v>0.61285354242509105</v>
      </c>
      <c r="P208" s="27">
        <f t="shared" si="37"/>
        <v>0.17950154018482217</v>
      </c>
      <c r="Q208" s="27">
        <f t="shared" si="38"/>
        <v>0.18510221226547185</v>
      </c>
      <c r="R208" s="27">
        <f t="shared" si="39"/>
        <v>1.0291234948193784E-2</v>
      </c>
      <c r="S208" s="27">
        <f t="shared" si="40"/>
        <v>3.3604032483898066E-3</v>
      </c>
      <c r="T208" s="26">
        <f t="shared" ref="T208:X208" si="54">SUM(T165:T199)</f>
        <v>7379</v>
      </c>
      <c r="U208" s="26">
        <f t="shared" si="54"/>
        <v>6112</v>
      </c>
      <c r="V208" s="26">
        <f t="shared" si="54"/>
        <v>5313</v>
      </c>
      <c r="W208" s="26">
        <f t="shared" si="54"/>
        <v>195</v>
      </c>
      <c r="X208" s="26">
        <f t="shared" si="54"/>
        <v>18999</v>
      </c>
      <c r="Y208" s="27">
        <f t="shared" si="42"/>
        <v>0.38838886257171429</v>
      </c>
      <c r="Z208" s="27">
        <f t="shared" si="43"/>
        <v>0.32170114216537715</v>
      </c>
      <c r="AA208" s="27">
        <f t="shared" si="44"/>
        <v>0.27964629717353545</v>
      </c>
      <c r="AB208" s="27">
        <f t="shared" si="45"/>
        <v>1.0263698089373125E-2</v>
      </c>
      <c r="AC208" s="32"/>
      <c r="AD208" s="27">
        <f t="shared" si="46"/>
        <v>0.75182904363387548</v>
      </c>
    </row>
  </sheetData>
  <autoFilter ref="A1:AD200" xr:uid="{50BF7526-7DBA-4562-AA5C-209139EA511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6347-77A8-4609-B9CA-48969E09DD57}">
  <dimension ref="A1:AB47"/>
  <sheetViews>
    <sheetView tabSelected="1" workbookViewId="0">
      <pane xSplit="4" ySplit="1" topLeftCell="K33" activePane="bottomRight" state="frozen"/>
      <selection pane="topRight" activeCell="E1" sqref="E1"/>
      <selection pane="bottomLeft" activeCell="A2" sqref="A2"/>
      <selection pane="bottomRight" activeCell="AC39" sqref="AC39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26" t="s">
        <v>315</v>
      </c>
      <c r="B1" s="26" t="s">
        <v>212</v>
      </c>
      <c r="C1" s="26" t="s">
        <v>213</v>
      </c>
      <c r="D1" s="26" t="s">
        <v>214</v>
      </c>
      <c r="E1" s="26" t="s">
        <v>303</v>
      </c>
      <c r="F1" s="26" t="s">
        <v>304</v>
      </c>
      <c r="G1" s="26" t="s">
        <v>305</v>
      </c>
      <c r="H1" s="26" t="s">
        <v>306</v>
      </c>
      <c r="I1" s="26" t="s">
        <v>307</v>
      </c>
    </row>
    <row r="2" spans="1:28" x14ac:dyDescent="0.25">
      <c r="A2" s="105">
        <v>0.78222222222222226</v>
      </c>
      <c r="B2" s="105">
        <v>0.28125</v>
      </c>
      <c r="C2" s="105">
        <v>0.14772727272727273</v>
      </c>
      <c r="D2" s="105">
        <v>0.54261363636363635</v>
      </c>
      <c r="E2" s="107">
        <v>0.88222222222222224</v>
      </c>
      <c r="F2" s="107">
        <v>6.6666666666666666E-2</v>
      </c>
      <c r="G2" s="107">
        <v>4.6666666666666669E-2</v>
      </c>
      <c r="H2" s="107">
        <v>4.4444444444444444E-3</v>
      </c>
      <c r="I2" s="108">
        <v>59.4</v>
      </c>
    </row>
    <row r="3" spans="1:28" x14ac:dyDescent="0.25">
      <c r="A3" s="105">
        <v>0.76328502415458932</v>
      </c>
      <c r="B3" s="105">
        <v>0.34810126582278483</v>
      </c>
      <c r="C3" s="105">
        <v>0.23734177215189872</v>
      </c>
      <c r="D3" s="105">
        <v>0.38607594936708861</v>
      </c>
      <c r="E3" s="107">
        <v>0.70531400966183577</v>
      </c>
      <c r="F3" s="107">
        <v>0.18357487922705315</v>
      </c>
      <c r="G3" s="107">
        <v>0.10869565217391304</v>
      </c>
      <c r="H3" s="107">
        <v>2.4154589371980675E-3</v>
      </c>
      <c r="I3" s="108">
        <v>41.115942028985508</v>
      </c>
      <c r="K3" t="s">
        <v>327</v>
      </c>
      <c r="T3" t="s">
        <v>330</v>
      </c>
    </row>
    <row r="4" spans="1:28" x14ac:dyDescent="0.25">
      <c r="A4" s="105">
        <v>0.82891566265060246</v>
      </c>
      <c r="B4" s="105">
        <v>0.25</v>
      </c>
      <c r="C4" s="105">
        <v>0.42732558139534882</v>
      </c>
      <c r="D4" s="105">
        <v>0.31686046511627908</v>
      </c>
      <c r="E4" s="107">
        <v>0.87710843373493974</v>
      </c>
      <c r="F4" s="107">
        <v>9.8795180722891562E-2</v>
      </c>
      <c r="G4" s="107">
        <v>2.4096385542168676E-2</v>
      </c>
      <c r="H4" s="107">
        <v>0</v>
      </c>
      <c r="I4" s="108">
        <v>25.862650602409637</v>
      </c>
    </row>
    <row r="5" spans="1:28" x14ac:dyDescent="0.25">
      <c r="A5" s="105">
        <v>0.70444444444444443</v>
      </c>
      <c r="B5" s="105">
        <v>0.63091482649842268</v>
      </c>
      <c r="C5" s="105">
        <v>8.2018927444794956E-2</v>
      </c>
      <c r="D5" s="105">
        <v>0.22397476340694006</v>
      </c>
      <c r="E5" s="107">
        <v>0.15777777777777777</v>
      </c>
      <c r="F5" s="107">
        <v>0.31777777777777777</v>
      </c>
      <c r="G5" s="107">
        <v>0.52</v>
      </c>
      <c r="H5" s="107">
        <v>4.4444444444444444E-3</v>
      </c>
      <c r="I5" s="108">
        <v>66.94</v>
      </c>
    </row>
    <row r="6" spans="1:28" x14ac:dyDescent="0.25">
      <c r="A6" s="105">
        <v>0.84</v>
      </c>
      <c r="B6" s="105">
        <v>0.56613756613756616</v>
      </c>
      <c r="C6" s="105">
        <v>0.16666666666666666</v>
      </c>
      <c r="D6" s="105">
        <v>0.22486772486772486</v>
      </c>
      <c r="E6" s="107">
        <v>0.30666666666666664</v>
      </c>
      <c r="F6" s="107">
        <v>0.20444444444444446</v>
      </c>
      <c r="G6" s="107">
        <v>0.48</v>
      </c>
      <c r="H6" s="107">
        <v>8.8888888888888889E-3</v>
      </c>
      <c r="I6" s="108">
        <v>58.72</v>
      </c>
      <c r="S6" s="35">
        <f>0.0538+0.7543</f>
        <v>0.80809999999999993</v>
      </c>
      <c r="AB6" s="35">
        <f>-0.7162+0.9091</f>
        <v>0.19290000000000007</v>
      </c>
    </row>
    <row r="7" spans="1:28" x14ac:dyDescent="0.25">
      <c r="A7" s="105">
        <v>0.82302158273381298</v>
      </c>
      <c r="B7" s="105">
        <v>0.66958041958041958</v>
      </c>
      <c r="C7" s="105">
        <v>0.16083916083916083</v>
      </c>
      <c r="D7" s="105">
        <v>0.14685314685314685</v>
      </c>
      <c r="E7" s="107">
        <v>0.26474820143884892</v>
      </c>
      <c r="F7" s="107">
        <v>0.20431654676258992</v>
      </c>
      <c r="G7" s="107">
        <v>0.52230215827338133</v>
      </c>
      <c r="H7" s="107">
        <v>8.6330935251798559E-3</v>
      </c>
      <c r="I7" s="108">
        <v>47.860431654676262</v>
      </c>
    </row>
    <row r="8" spans="1:28" x14ac:dyDescent="0.25">
      <c r="A8" s="105">
        <v>0.7772988505747126</v>
      </c>
      <c r="B8" s="105">
        <v>0.70425138632162665</v>
      </c>
      <c r="C8" s="105">
        <v>0.15341959334565619</v>
      </c>
      <c r="D8" s="105">
        <v>0.1256931608133087</v>
      </c>
      <c r="E8" s="107">
        <v>0.29166666666666669</v>
      </c>
      <c r="F8" s="107">
        <v>0.16666666666666666</v>
      </c>
      <c r="G8" s="107">
        <v>0.53448275862068961</v>
      </c>
      <c r="H8" s="107">
        <v>7.1839080459770114E-3</v>
      </c>
      <c r="I8" s="108">
        <v>37.484195402298852</v>
      </c>
    </row>
    <row r="9" spans="1:28" x14ac:dyDescent="0.25">
      <c r="A9" s="105">
        <v>0.73132183908045978</v>
      </c>
      <c r="B9" s="105">
        <v>0.61689587426326131</v>
      </c>
      <c r="C9" s="105">
        <v>0.19842829076620824</v>
      </c>
      <c r="D9" s="105">
        <v>0.16502946954813361</v>
      </c>
      <c r="E9" s="107">
        <v>0.41954022988505746</v>
      </c>
      <c r="F9" s="107">
        <v>0.13218390804597702</v>
      </c>
      <c r="G9" s="107">
        <v>0.44396551724137934</v>
      </c>
      <c r="H9" s="107">
        <v>4.3103448275862068E-3</v>
      </c>
      <c r="I9" s="108">
        <v>29.456896551724139</v>
      </c>
    </row>
    <row r="10" spans="1:28" x14ac:dyDescent="0.25">
      <c r="A10" s="105">
        <v>0.79166666666666663</v>
      </c>
      <c r="B10" s="105">
        <v>0.62068965517241381</v>
      </c>
      <c r="C10" s="105">
        <v>0.24682395644283123</v>
      </c>
      <c r="D10" s="105">
        <v>0.11978221415607986</v>
      </c>
      <c r="E10" s="107">
        <v>0.48419540229885055</v>
      </c>
      <c r="F10" s="107">
        <v>0.12931034482758622</v>
      </c>
      <c r="G10" s="107">
        <v>0.38505747126436779</v>
      </c>
      <c r="H10" s="107">
        <v>1.4367816091954023E-3</v>
      </c>
      <c r="I10" s="108">
        <v>24.275862068965516</v>
      </c>
    </row>
    <row r="11" spans="1:28" x14ac:dyDescent="0.25">
      <c r="A11" s="105">
        <v>0.82714285714285718</v>
      </c>
      <c r="B11" s="105">
        <v>0.56994818652849744</v>
      </c>
      <c r="C11" s="105">
        <v>0.30569948186528495</v>
      </c>
      <c r="D11" s="105">
        <v>0.11226252158894647</v>
      </c>
      <c r="E11" s="107">
        <v>0.51</v>
      </c>
      <c r="F11" s="107">
        <v>0.12571428571428572</v>
      </c>
      <c r="G11" s="107">
        <v>0.36285714285714288</v>
      </c>
      <c r="H11" s="107">
        <v>1.4285714285714286E-3</v>
      </c>
      <c r="I11" s="108">
        <v>19.985714285714284</v>
      </c>
    </row>
    <row r="12" spans="1:28" x14ac:dyDescent="0.25">
      <c r="A12" s="105">
        <v>0.75111111111111106</v>
      </c>
      <c r="B12" s="105">
        <v>0.75147928994082835</v>
      </c>
      <c r="C12" s="105">
        <v>2.6627218934911243E-2</v>
      </c>
      <c r="D12" s="105">
        <v>0.16568047337278108</v>
      </c>
      <c r="E12" s="107">
        <v>6.8888888888888888E-2</v>
      </c>
      <c r="F12" s="107">
        <v>0.63777777777777778</v>
      </c>
      <c r="G12" s="107">
        <v>0.29333333333333333</v>
      </c>
      <c r="H12" s="107">
        <v>0</v>
      </c>
      <c r="I12" s="108">
        <v>67.784444444444446</v>
      </c>
    </row>
    <row r="13" spans="1:28" x14ac:dyDescent="0.25">
      <c r="A13" s="105">
        <v>0.83555555555555561</v>
      </c>
      <c r="B13" s="105">
        <v>0.71276595744680848</v>
      </c>
      <c r="C13" s="105">
        <v>7.1808510638297879E-2</v>
      </c>
      <c r="D13" s="105">
        <v>0.17819148936170212</v>
      </c>
      <c r="E13" s="107">
        <v>0.20666666666666667</v>
      </c>
      <c r="F13" s="107">
        <v>0.44222222222222224</v>
      </c>
      <c r="G13" s="107">
        <v>0.34222222222222221</v>
      </c>
      <c r="H13" s="107">
        <v>8.8888888888888889E-3</v>
      </c>
      <c r="I13" s="108">
        <v>56.528888888888886</v>
      </c>
    </row>
    <row r="14" spans="1:28" x14ac:dyDescent="0.25">
      <c r="A14" s="105">
        <v>0.75</v>
      </c>
      <c r="B14" s="105">
        <v>0.77163904235727443</v>
      </c>
      <c r="C14" s="105">
        <v>9.3922651933701654E-2</v>
      </c>
      <c r="D14" s="105">
        <v>0.12338858195211787</v>
      </c>
      <c r="E14" s="107">
        <v>0.16988950276243095</v>
      </c>
      <c r="F14" s="107">
        <v>0.40331491712707185</v>
      </c>
      <c r="G14" s="107">
        <v>0.42265193370165743</v>
      </c>
      <c r="H14" s="107">
        <v>4.1436464088397788E-3</v>
      </c>
      <c r="I14" s="108">
        <v>42.321823204419893</v>
      </c>
    </row>
    <row r="15" spans="1:28" x14ac:dyDescent="0.25">
      <c r="A15" s="105">
        <v>0.74033149171270718</v>
      </c>
      <c r="B15" s="105">
        <v>0.77052238805970152</v>
      </c>
      <c r="C15" s="105">
        <v>0.13246268656716417</v>
      </c>
      <c r="D15" s="105">
        <v>8.9552238805970144E-2</v>
      </c>
      <c r="E15" s="107">
        <v>0.25276243093922651</v>
      </c>
      <c r="F15" s="107">
        <v>0.38812154696132595</v>
      </c>
      <c r="G15" s="107">
        <v>0.35359116022099446</v>
      </c>
      <c r="H15" s="107">
        <v>5.5248618784530384E-3</v>
      </c>
      <c r="I15" s="108">
        <v>30.715469613259668</v>
      </c>
    </row>
    <row r="16" spans="1:28" x14ac:dyDescent="0.25">
      <c r="A16" s="105">
        <v>0.76827586206896548</v>
      </c>
      <c r="B16" s="105">
        <v>0.71633752244165172</v>
      </c>
      <c r="C16" s="105">
        <v>0.14362657091561939</v>
      </c>
      <c r="D16" s="105">
        <v>0.13644524236983843</v>
      </c>
      <c r="E16" s="107">
        <v>0.29103448275862071</v>
      </c>
      <c r="F16" s="107">
        <v>0.32</v>
      </c>
      <c r="G16" s="107">
        <v>0.38758620689655171</v>
      </c>
      <c r="H16" s="107">
        <v>1.3793103448275861E-3</v>
      </c>
      <c r="I16" s="108">
        <v>22.304827586206898</v>
      </c>
    </row>
    <row r="17" spans="1:28" x14ac:dyDescent="0.25">
      <c r="A17" s="105">
        <v>0.68222222222222217</v>
      </c>
      <c r="B17" s="105">
        <v>0.76872964169381108</v>
      </c>
      <c r="C17" s="105">
        <v>3.2573289902280131E-2</v>
      </c>
      <c r="D17" s="105">
        <v>0.15309446254071662</v>
      </c>
      <c r="E17" s="107">
        <v>0.13111111111111112</v>
      </c>
      <c r="F17" s="107">
        <v>0.73555555555555552</v>
      </c>
      <c r="G17" s="107">
        <v>0.12888888888888889</v>
      </c>
      <c r="H17" s="107">
        <v>4.4444444444444444E-3</v>
      </c>
      <c r="I17" s="108">
        <v>70.484444444444449</v>
      </c>
    </row>
    <row r="18" spans="1:28" x14ac:dyDescent="0.25">
      <c r="A18" s="105">
        <v>0.81333333333333335</v>
      </c>
      <c r="B18" s="105">
        <v>0.79234972677595628</v>
      </c>
      <c r="C18" s="105">
        <v>3.825136612021858E-2</v>
      </c>
      <c r="D18" s="105">
        <v>0.13661202185792351</v>
      </c>
      <c r="E18" s="107">
        <v>9.3333333333333338E-2</v>
      </c>
      <c r="F18" s="107">
        <v>0.73555555555555552</v>
      </c>
      <c r="G18" s="107">
        <v>0.16666666666666666</v>
      </c>
      <c r="H18" s="107">
        <v>4.4444444444444444E-3</v>
      </c>
      <c r="I18" s="108">
        <v>65.444444444444443</v>
      </c>
    </row>
    <row r="19" spans="1:28" x14ac:dyDescent="0.25">
      <c r="A19" s="105">
        <v>0.83111111111111113</v>
      </c>
      <c r="B19" s="105">
        <v>0.8262032085561497</v>
      </c>
      <c r="C19" s="105">
        <v>4.2780748663101602E-2</v>
      </c>
      <c r="D19" s="105">
        <v>0.10962566844919786</v>
      </c>
      <c r="E19" s="107">
        <v>0.13333333333333333</v>
      </c>
      <c r="F19" s="107">
        <v>0.7155555555555555</v>
      </c>
      <c r="G19" s="107">
        <v>0.14666666666666667</v>
      </c>
      <c r="H19" s="107">
        <v>4.4444444444444444E-3</v>
      </c>
      <c r="I19" s="108">
        <v>58.855555555555554</v>
      </c>
    </row>
    <row r="20" spans="1:28" x14ac:dyDescent="0.25">
      <c r="A20" s="105">
        <v>0.81888544891640869</v>
      </c>
      <c r="B20" s="105">
        <v>0.81285444234404536</v>
      </c>
      <c r="C20" s="105">
        <v>7.1833648393194713E-2</v>
      </c>
      <c r="D20" s="105">
        <v>9.6408317580340269E-2</v>
      </c>
      <c r="E20" s="107">
        <v>0.14086687306501547</v>
      </c>
      <c r="F20" s="107">
        <v>0.70278637770897834</v>
      </c>
      <c r="G20" s="107">
        <v>0.15479876160990713</v>
      </c>
      <c r="H20" s="107">
        <v>1.5479876160990713E-3</v>
      </c>
      <c r="I20" s="108">
        <v>52.5015479876161</v>
      </c>
    </row>
    <row r="21" spans="1:28" x14ac:dyDescent="0.25">
      <c r="A21" s="105">
        <v>0.76315789473684215</v>
      </c>
      <c r="B21" s="105">
        <v>0.8661257606490872</v>
      </c>
      <c r="C21" s="105">
        <v>5.0709939148073022E-2</v>
      </c>
      <c r="D21" s="105">
        <v>7.099391480730223E-2</v>
      </c>
      <c r="E21" s="107">
        <v>0.10526315789473684</v>
      </c>
      <c r="F21" s="107">
        <v>0.71826625386996901</v>
      </c>
      <c r="G21" s="107">
        <v>0.16873065015479877</v>
      </c>
      <c r="H21" s="107">
        <v>7.7399380804953561E-3</v>
      </c>
      <c r="I21" s="108">
        <v>45.339009287925698</v>
      </c>
    </row>
    <row r="22" spans="1:28" x14ac:dyDescent="0.25">
      <c r="A22" s="105">
        <v>0.74922600619195046</v>
      </c>
      <c r="B22" s="105">
        <v>0.87396694214876036</v>
      </c>
      <c r="C22" s="105">
        <v>6.1983471074380167E-2</v>
      </c>
      <c r="D22" s="105">
        <v>5.9917355371900828E-2</v>
      </c>
      <c r="E22" s="107">
        <v>0.10681114551083591</v>
      </c>
      <c r="F22" s="107">
        <v>0.67956656346749222</v>
      </c>
      <c r="G22" s="107">
        <v>0.20897832817337461</v>
      </c>
      <c r="H22" s="107">
        <v>4.6439628482972135E-3</v>
      </c>
      <c r="I22" s="108">
        <v>38.778637770897831</v>
      </c>
      <c r="K22" t="s">
        <v>328</v>
      </c>
      <c r="T22" t="s">
        <v>331</v>
      </c>
    </row>
    <row r="23" spans="1:28" x14ac:dyDescent="0.25">
      <c r="A23" s="105">
        <v>0.72445820433436536</v>
      </c>
      <c r="B23" s="105">
        <v>0.80982905982905984</v>
      </c>
      <c r="C23" s="105">
        <v>9.8290598290598288E-2</v>
      </c>
      <c r="D23" s="105">
        <v>8.11965811965812E-2</v>
      </c>
      <c r="E23" s="107">
        <v>0.16718266253869968</v>
      </c>
      <c r="F23" s="107">
        <v>0.60216718266253866</v>
      </c>
      <c r="G23" s="107">
        <v>0.23065015479876161</v>
      </c>
      <c r="H23" s="107">
        <v>0</v>
      </c>
      <c r="I23" s="108">
        <v>32.348297213622288</v>
      </c>
    </row>
    <row r="24" spans="1:28" x14ac:dyDescent="0.25">
      <c r="A24" s="105">
        <v>0.72445820433436536</v>
      </c>
      <c r="B24" s="105">
        <v>0.78418803418803418</v>
      </c>
      <c r="C24" s="105">
        <v>0.14316239316239315</v>
      </c>
      <c r="D24" s="105">
        <v>5.5555555555555552E-2</v>
      </c>
      <c r="E24" s="107">
        <v>0.24613003095975233</v>
      </c>
      <c r="F24" s="107">
        <v>0.52476780185758509</v>
      </c>
      <c r="G24" s="107">
        <v>0.22755417956656346</v>
      </c>
      <c r="H24" s="107">
        <v>1.5479876160990713E-3</v>
      </c>
      <c r="I24" s="108">
        <v>26.470588235294116</v>
      </c>
    </row>
    <row r="25" spans="1:28" x14ac:dyDescent="0.25">
      <c r="A25" s="105">
        <v>0.80216383307573413</v>
      </c>
      <c r="B25" s="105">
        <v>0.77842003853564545</v>
      </c>
      <c r="C25" s="105">
        <v>0.11946050096339114</v>
      </c>
      <c r="D25" s="105">
        <v>8.0924855491329481E-2</v>
      </c>
      <c r="E25" s="107">
        <v>0.23647604327666152</v>
      </c>
      <c r="F25" s="107">
        <v>0.58268933539412671</v>
      </c>
      <c r="G25" s="107">
        <v>0.18083462132921174</v>
      </c>
      <c r="H25" s="107">
        <v>0</v>
      </c>
      <c r="I25" s="108">
        <v>20.876352395672335</v>
      </c>
    </row>
    <row r="26" spans="1:28" x14ac:dyDescent="0.25">
      <c r="A26" s="105">
        <v>0.67333333333333334</v>
      </c>
      <c r="B26" s="105">
        <v>0.80528052805280526</v>
      </c>
      <c r="C26" s="105">
        <v>4.2904290429042903E-2</v>
      </c>
      <c r="D26" s="105">
        <v>0.11551155115511551</v>
      </c>
      <c r="E26" s="107">
        <v>0.10666666666666667</v>
      </c>
      <c r="F26" s="107">
        <v>0.79555555555555557</v>
      </c>
      <c r="G26" s="107">
        <v>9.7777777777777783E-2</v>
      </c>
      <c r="H26" s="107">
        <v>0</v>
      </c>
      <c r="I26" s="108">
        <v>70.86666666666666</v>
      </c>
      <c r="S26" s="35">
        <f>-0.0328+0.7839</f>
        <v>0.75109999999999999</v>
      </c>
      <c r="AB26" s="35">
        <f>0.5078+0.4788</f>
        <v>0.98660000000000003</v>
      </c>
    </row>
    <row r="27" spans="1:28" x14ac:dyDescent="0.25">
      <c r="A27" s="105">
        <v>0.84</v>
      </c>
      <c r="B27" s="105">
        <v>0.80158730158730163</v>
      </c>
      <c r="C27" s="105">
        <v>6.0846560846560843E-2</v>
      </c>
      <c r="D27" s="105">
        <v>0.1164021164021164</v>
      </c>
      <c r="E27" s="107">
        <v>0.12888888888888889</v>
      </c>
      <c r="F27" s="107">
        <v>0.79555555555555557</v>
      </c>
      <c r="G27" s="107">
        <v>7.3333333333333334E-2</v>
      </c>
      <c r="H27" s="107">
        <v>2.2222222222222222E-3</v>
      </c>
      <c r="I27" s="108">
        <v>64.468888888888884</v>
      </c>
    </row>
    <row r="28" spans="1:28" x14ac:dyDescent="0.25">
      <c r="A28" s="105">
        <v>0.84</v>
      </c>
      <c r="B28" s="105">
        <v>0.79629629629629628</v>
      </c>
      <c r="C28" s="105">
        <v>7.407407407407407E-2</v>
      </c>
      <c r="D28" s="105">
        <v>0.11375661375661375</v>
      </c>
      <c r="E28" s="107">
        <v>0.16666666666666666</v>
      </c>
      <c r="F28" s="107">
        <v>0.7</v>
      </c>
      <c r="G28" s="107">
        <v>0.13111111111111112</v>
      </c>
      <c r="H28" s="107">
        <v>2.2222222222222222E-3</v>
      </c>
      <c r="I28" s="108">
        <v>56.606666666666669</v>
      </c>
    </row>
    <row r="29" spans="1:28" x14ac:dyDescent="0.25">
      <c r="A29" s="105">
        <v>0.80829015544041449</v>
      </c>
      <c r="B29" s="105">
        <v>0.75854700854700852</v>
      </c>
      <c r="C29" s="105">
        <v>7.2649572649572655E-2</v>
      </c>
      <c r="D29" s="105">
        <v>0.1517094017094017</v>
      </c>
      <c r="E29" s="107">
        <v>0.23488773747841105</v>
      </c>
      <c r="F29" s="107">
        <v>0.56476683937823835</v>
      </c>
      <c r="G29" s="107">
        <v>0.18825561312607944</v>
      </c>
      <c r="H29" s="107">
        <v>1.2089810017271158E-2</v>
      </c>
      <c r="I29" s="108">
        <v>47.189982728842836</v>
      </c>
    </row>
    <row r="30" spans="1:28" x14ac:dyDescent="0.25">
      <c r="A30" s="105">
        <v>0.75689655172413794</v>
      </c>
      <c r="B30" s="105">
        <v>0.68564920273348517</v>
      </c>
      <c r="C30" s="105">
        <v>0.12528473804100229</v>
      </c>
      <c r="D30" s="105">
        <v>0.18223234624145787</v>
      </c>
      <c r="E30" s="107">
        <v>0.30517241379310345</v>
      </c>
      <c r="F30" s="107">
        <v>0.4879310344827586</v>
      </c>
      <c r="G30" s="107">
        <v>0.20689655172413793</v>
      </c>
      <c r="H30" s="107">
        <v>0</v>
      </c>
      <c r="I30" s="108">
        <v>38.425862068965515</v>
      </c>
    </row>
    <row r="31" spans="1:28" x14ac:dyDescent="0.25">
      <c r="A31" s="105">
        <v>0.7448275862068966</v>
      </c>
      <c r="B31" s="105">
        <v>0.6967592592592593</v>
      </c>
      <c r="C31" s="105">
        <v>0.15509259259259259</v>
      </c>
      <c r="D31" s="105">
        <v>0.13194444444444445</v>
      </c>
      <c r="E31" s="107">
        <v>0.31724137931034485</v>
      </c>
      <c r="F31" s="107">
        <v>0.47068965517241379</v>
      </c>
      <c r="G31" s="107">
        <v>0.20862068965517241</v>
      </c>
      <c r="H31" s="107">
        <v>3.4482758620689655E-3</v>
      </c>
      <c r="I31" s="108">
        <v>30.565517241379311</v>
      </c>
    </row>
    <row r="32" spans="1:28" x14ac:dyDescent="0.25">
      <c r="A32" s="105">
        <v>0.75689655172413794</v>
      </c>
      <c r="B32" s="105">
        <v>0.67653758542141229</v>
      </c>
      <c r="C32" s="105">
        <v>0.17084282460136674</v>
      </c>
      <c r="D32" s="105">
        <v>0.13895216400911162</v>
      </c>
      <c r="E32" s="107">
        <v>0.35517241379310344</v>
      </c>
      <c r="F32" s="107">
        <v>0.36206896551724138</v>
      </c>
      <c r="G32" s="107">
        <v>0.28275862068965518</v>
      </c>
      <c r="H32" s="107">
        <v>0</v>
      </c>
      <c r="I32" s="108">
        <v>22.581034482758621</v>
      </c>
    </row>
    <row r="33" spans="1:28" x14ac:dyDescent="0.25">
      <c r="A33" s="105">
        <v>0.68</v>
      </c>
      <c r="B33" s="105">
        <v>0.79084967320261434</v>
      </c>
      <c r="C33" s="105">
        <v>6.2091503267973858E-2</v>
      </c>
      <c r="D33" s="105">
        <v>0.1111111111111111</v>
      </c>
      <c r="E33" s="107">
        <v>8.4444444444444447E-2</v>
      </c>
      <c r="F33" s="107">
        <v>0.77777777777777779</v>
      </c>
      <c r="G33" s="107">
        <v>0.13777777777777778</v>
      </c>
      <c r="H33" s="107">
        <v>0</v>
      </c>
      <c r="I33" s="108">
        <v>64.642222222222216</v>
      </c>
    </row>
    <row r="34" spans="1:28" x14ac:dyDescent="0.25">
      <c r="A34" s="105">
        <v>0.84888888888888892</v>
      </c>
      <c r="B34" s="105">
        <v>0.89528795811518325</v>
      </c>
      <c r="C34" s="105">
        <v>1.832460732984293E-2</v>
      </c>
      <c r="D34" s="105">
        <v>7.5916230366492143E-2</v>
      </c>
      <c r="E34" s="107">
        <v>8.2222222222222224E-2</v>
      </c>
      <c r="F34" s="107">
        <v>0.81777777777777783</v>
      </c>
      <c r="G34" s="107">
        <v>0.1</v>
      </c>
      <c r="H34" s="107">
        <v>0</v>
      </c>
      <c r="I34" s="108">
        <v>60.375555555555557</v>
      </c>
    </row>
    <row r="35" spans="1:28" x14ac:dyDescent="0.25">
      <c r="A35" s="105">
        <v>0.79685039370078736</v>
      </c>
      <c r="B35" s="105">
        <v>0.89130434782608692</v>
      </c>
      <c r="C35" s="105">
        <v>2.3715415019762844E-2</v>
      </c>
      <c r="D35" s="105">
        <v>5.9288537549407112E-2</v>
      </c>
      <c r="E35" s="107">
        <v>5.6692913385826771E-2</v>
      </c>
      <c r="F35" s="107">
        <v>0.83307086614173231</v>
      </c>
      <c r="G35" s="107">
        <v>0.11023622047244094</v>
      </c>
      <c r="H35" s="107">
        <v>0</v>
      </c>
      <c r="I35" s="108">
        <v>52.190551181102364</v>
      </c>
    </row>
    <row r="36" spans="1:28" x14ac:dyDescent="0.25">
      <c r="A36" s="105">
        <v>0.74488188976377956</v>
      </c>
      <c r="B36" s="105">
        <v>0.85835095137420714</v>
      </c>
      <c r="C36" s="105">
        <v>5.0739957716701901E-2</v>
      </c>
      <c r="D36" s="105">
        <v>8.8794926004228336E-2</v>
      </c>
      <c r="E36" s="107">
        <v>0.10393700787401575</v>
      </c>
      <c r="F36" s="107">
        <v>0.72283464566929134</v>
      </c>
      <c r="G36" s="107">
        <v>0.16692913385826771</v>
      </c>
      <c r="H36" s="107">
        <v>6.2992125984251968E-3</v>
      </c>
      <c r="I36" s="108">
        <v>44.294488188976381</v>
      </c>
    </row>
    <row r="37" spans="1:28" x14ac:dyDescent="0.25">
      <c r="A37" s="105">
        <v>0.73070866141732282</v>
      </c>
      <c r="B37" s="105">
        <v>0.84913793103448276</v>
      </c>
      <c r="C37" s="105">
        <v>7.1120689655172417E-2</v>
      </c>
      <c r="D37" s="105">
        <v>7.3275862068965511E-2</v>
      </c>
      <c r="E37" s="107">
        <v>0.12598425196850394</v>
      </c>
      <c r="F37" s="107">
        <v>0.721259842519685</v>
      </c>
      <c r="G37" s="107">
        <v>0.14803149606299212</v>
      </c>
      <c r="H37" s="107">
        <v>4.7244094488188976E-3</v>
      </c>
      <c r="I37" s="108">
        <v>37.634645669291338</v>
      </c>
    </row>
    <row r="38" spans="1:28" x14ac:dyDescent="0.25">
      <c r="A38" s="105">
        <v>0.71811023622047243</v>
      </c>
      <c r="B38" s="105">
        <v>0.84868421052631582</v>
      </c>
      <c r="C38" s="105">
        <v>8.1140350877192985E-2</v>
      </c>
      <c r="D38" s="105">
        <v>6.3596491228070179E-2</v>
      </c>
      <c r="E38" s="107">
        <v>0.12440944881889764</v>
      </c>
      <c r="F38" s="107">
        <v>0.68976377952755907</v>
      </c>
      <c r="G38" s="107">
        <v>0.18267716535433071</v>
      </c>
      <c r="H38" s="107">
        <v>3.1496062992125984E-3</v>
      </c>
      <c r="I38" s="108">
        <v>31.64724409448819</v>
      </c>
    </row>
    <row r="39" spans="1:28" x14ac:dyDescent="0.25">
      <c r="A39" s="105">
        <v>0.71023622047244095</v>
      </c>
      <c r="B39" s="105">
        <v>0.85809312638580926</v>
      </c>
      <c r="C39" s="105">
        <v>6.8736141906873618E-2</v>
      </c>
      <c r="D39" s="105">
        <v>6.4301552106430154E-2</v>
      </c>
      <c r="E39" s="107">
        <v>0.10393700787401575</v>
      </c>
      <c r="F39" s="107">
        <v>0.70078740157480313</v>
      </c>
      <c r="G39" s="107">
        <v>0.1952755905511811</v>
      </c>
      <c r="H39" s="107">
        <v>0</v>
      </c>
      <c r="I39" s="108">
        <v>26.447244094488187</v>
      </c>
    </row>
    <row r="40" spans="1:28" x14ac:dyDescent="0.25">
      <c r="A40" s="105">
        <v>0.76489028213166144</v>
      </c>
      <c r="B40" s="105">
        <v>0.84631147540983609</v>
      </c>
      <c r="C40" s="105">
        <v>8.6065573770491802E-2</v>
      </c>
      <c r="D40" s="105">
        <v>5.9426229508196718E-2</v>
      </c>
      <c r="E40" s="107">
        <v>0.14106583072100312</v>
      </c>
      <c r="F40" s="107">
        <v>0.6739811912225705</v>
      </c>
      <c r="G40" s="107">
        <v>0.18495297805642633</v>
      </c>
      <c r="H40" s="107">
        <v>0</v>
      </c>
      <c r="I40" s="108">
        <v>20.788401253918494</v>
      </c>
    </row>
    <row r="41" spans="1:28" x14ac:dyDescent="0.25">
      <c r="A41" s="105">
        <v>0.70444444444444443</v>
      </c>
      <c r="B41" s="105">
        <v>0.70977917981072558</v>
      </c>
      <c r="C41" s="105">
        <v>6.6246056782334389E-2</v>
      </c>
      <c r="D41" s="105">
        <v>0.20820189274447951</v>
      </c>
      <c r="E41" s="107">
        <v>0.18222222222222223</v>
      </c>
      <c r="F41" s="107">
        <v>0.4</v>
      </c>
      <c r="G41" s="107">
        <v>0.4022222222222222</v>
      </c>
      <c r="H41" s="107">
        <v>1.5555555555555555E-2</v>
      </c>
      <c r="I41" s="108">
        <v>65.371111111111105</v>
      </c>
      <c r="K41" t="s">
        <v>329</v>
      </c>
      <c r="T41" t="s">
        <v>332</v>
      </c>
    </row>
    <row r="42" spans="1:28" x14ac:dyDescent="0.25">
      <c r="A42" s="105">
        <v>0.81333333333333335</v>
      </c>
      <c r="B42" s="105">
        <v>0.77049180327868849</v>
      </c>
      <c r="C42" s="105">
        <v>7.9234972677595633E-2</v>
      </c>
      <c r="D42" s="105">
        <v>0.13114754098360656</v>
      </c>
      <c r="E42" s="107">
        <v>0.20444444444444446</v>
      </c>
      <c r="F42" s="107">
        <v>0.39555555555555555</v>
      </c>
      <c r="G42" s="107">
        <v>0.3888888888888889</v>
      </c>
      <c r="H42" s="107">
        <v>1.1111111111111112E-2</v>
      </c>
      <c r="I42" s="108">
        <v>57.428888888888892</v>
      </c>
    </row>
    <row r="43" spans="1:28" x14ac:dyDescent="0.25">
      <c r="A43" s="105">
        <v>0.76369327073552429</v>
      </c>
      <c r="B43" s="105">
        <v>0.80327868852459017</v>
      </c>
      <c r="C43" s="105">
        <v>5.737704918032787E-2</v>
      </c>
      <c r="D43" s="105">
        <v>0.125</v>
      </c>
      <c r="E43" s="107">
        <v>0.21439749608763695</v>
      </c>
      <c r="F43" s="107">
        <v>0.4569640062597809</v>
      </c>
      <c r="G43" s="107">
        <v>0.323943661971831</v>
      </c>
      <c r="H43" s="107">
        <v>4.6948356807511738E-3</v>
      </c>
      <c r="I43" s="108">
        <v>47.575899843505475</v>
      </c>
    </row>
    <row r="44" spans="1:28" x14ac:dyDescent="0.25">
      <c r="A44" s="105">
        <v>0.7339593114241002</v>
      </c>
      <c r="B44" s="105">
        <v>0.78678038379530912</v>
      </c>
      <c r="C44" s="105">
        <v>6.8230277185501065E-2</v>
      </c>
      <c r="D44" s="105">
        <v>0.12366737739872068</v>
      </c>
      <c r="E44" s="107">
        <v>0.20187793427230047</v>
      </c>
      <c r="F44" s="107">
        <v>0.49452269170579027</v>
      </c>
      <c r="G44" s="107">
        <v>0.29577464788732394</v>
      </c>
      <c r="H44" s="107">
        <v>7.8247261345852897E-3</v>
      </c>
      <c r="I44" s="108">
        <v>39.820031298904539</v>
      </c>
    </row>
    <row r="45" spans="1:28" x14ac:dyDescent="0.25">
      <c r="A45" s="105">
        <v>0.74021909233176841</v>
      </c>
      <c r="B45" s="105">
        <v>0.76744186046511631</v>
      </c>
      <c r="C45" s="105">
        <v>0.12473572938689217</v>
      </c>
      <c r="D45" s="105">
        <v>9.0909090909090912E-2</v>
      </c>
      <c r="E45" s="107">
        <v>0.26134585289514867</v>
      </c>
      <c r="F45" s="107">
        <v>0.47261345852895148</v>
      </c>
      <c r="G45" s="107">
        <v>0.25978090766823159</v>
      </c>
      <c r="H45" s="107">
        <v>6.2597809076682318E-3</v>
      </c>
      <c r="I45" s="108">
        <v>33.30203442879499</v>
      </c>
      <c r="S45" s="35">
        <f>-0.0113+0.7703</f>
        <v>0.75900000000000001</v>
      </c>
      <c r="AB45" s="35">
        <f>-0.0627+0.7492</f>
        <v>0.6865</v>
      </c>
    </row>
    <row r="46" spans="1:28" x14ac:dyDescent="0.25">
      <c r="A46" s="105">
        <v>0.68701095461658845</v>
      </c>
      <c r="B46" s="105">
        <v>0.76993166287015946</v>
      </c>
      <c r="C46" s="105">
        <v>0.12072892938496584</v>
      </c>
      <c r="D46" s="105">
        <v>7.5170842824601361E-2</v>
      </c>
      <c r="E46" s="107">
        <v>0.27386541471048514</v>
      </c>
      <c r="F46" s="107">
        <v>0.45070422535211269</v>
      </c>
      <c r="G46" s="107">
        <v>0.27073552425665104</v>
      </c>
      <c r="H46" s="107">
        <v>4.6948356807511738E-3</v>
      </c>
      <c r="I46" s="108">
        <v>27.402190923317683</v>
      </c>
    </row>
    <row r="47" spans="1:28" x14ac:dyDescent="0.25">
      <c r="A47" s="105">
        <v>0.82159624413145538</v>
      </c>
      <c r="B47" s="105">
        <v>0.78476190476190477</v>
      </c>
      <c r="C47" s="105">
        <v>9.1428571428571428E-2</v>
      </c>
      <c r="D47" s="105">
        <v>0.11619047619047619</v>
      </c>
      <c r="E47" s="107">
        <v>0.2519561815336463</v>
      </c>
      <c r="F47" s="107">
        <v>0.47417840375586856</v>
      </c>
      <c r="G47" s="107">
        <v>0.27073552425665104</v>
      </c>
      <c r="H47" s="107">
        <v>3.1298904538341159E-3</v>
      </c>
      <c r="I47" s="108">
        <v>21.4037558685446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FB59-0981-4767-9CE8-2453DC10D94F}">
  <dimension ref="A1:Y240"/>
  <sheetViews>
    <sheetView workbookViewId="0">
      <pane xSplit="4" ySplit="1" topLeftCell="P160" activePane="bottomRight" state="frozen"/>
      <selection pane="topRight" activeCell="E1" sqref="E1"/>
      <selection pane="bottomLeft" activeCell="A2" sqref="A2"/>
      <selection pane="bottomRight" activeCell="P2" sqref="P2:Y178"/>
    </sheetView>
  </sheetViews>
  <sheetFormatPr defaultRowHeight="13.2" x14ac:dyDescent="0.25"/>
  <cols>
    <col min="1" max="1" width="8" bestFit="1" customWidth="1"/>
    <col min="2" max="2" width="29.88671875" bestFit="1" customWidth="1"/>
    <col min="3" max="3" width="77.88671875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9" width="6" bestFit="1" customWidth="1"/>
    <col min="10" max="10" width="7.5546875" bestFit="1" customWidth="1"/>
    <col min="11" max="11" width="6.44140625" bestFit="1" customWidth="1"/>
    <col min="13" max="13" width="7.6640625" bestFit="1" customWidth="1"/>
    <col min="14" max="14" width="7" style="31" bestFit="1" customWidth="1"/>
    <col min="15" max="15" width="18.44140625" bestFit="1" customWidth="1"/>
    <col min="16" max="18" width="6" bestFit="1" customWidth="1"/>
    <col min="19" max="19" width="5" bestFit="1" customWidth="1"/>
    <col min="20" max="23" width="7" bestFit="1" customWidth="1"/>
    <col min="24" max="24" width="6" bestFit="1" customWidth="1"/>
    <col min="25" max="25" width="7.33203125" bestFit="1" customWidth="1"/>
  </cols>
  <sheetData>
    <row r="1" spans="1:25" x14ac:dyDescent="0.25">
      <c r="A1" s="28" t="s">
        <v>217</v>
      </c>
      <c r="B1" s="28" t="s">
        <v>218</v>
      </c>
      <c r="C1" s="28" t="s">
        <v>219</v>
      </c>
      <c r="D1" s="28" t="s">
        <v>220</v>
      </c>
      <c r="E1" s="28" t="s">
        <v>221</v>
      </c>
      <c r="F1" s="28" t="s">
        <v>222</v>
      </c>
      <c r="G1" s="28" t="s">
        <v>223</v>
      </c>
      <c r="H1" s="28" t="s">
        <v>224</v>
      </c>
      <c r="I1" s="28" t="s">
        <v>225</v>
      </c>
      <c r="J1" s="28" t="s">
        <v>226</v>
      </c>
      <c r="K1" s="28" t="s">
        <v>227</v>
      </c>
      <c r="L1" s="28" t="s">
        <v>228</v>
      </c>
      <c r="M1" s="28" t="s">
        <v>229</v>
      </c>
      <c r="N1" s="30" t="s">
        <v>230</v>
      </c>
      <c r="O1" s="28" t="s">
        <v>231</v>
      </c>
      <c r="P1" s="28" t="s">
        <v>298</v>
      </c>
      <c r="Q1" s="28" t="s">
        <v>299</v>
      </c>
      <c r="R1" s="28" t="s">
        <v>300</v>
      </c>
      <c r="S1" s="28" t="s">
        <v>301</v>
      </c>
      <c r="T1" s="28" t="s">
        <v>302</v>
      </c>
      <c r="U1" s="28" t="s">
        <v>303</v>
      </c>
      <c r="V1" s="28" t="s">
        <v>304</v>
      </c>
      <c r="W1" s="28" t="s">
        <v>305</v>
      </c>
      <c r="X1" s="28" t="s">
        <v>306</v>
      </c>
      <c r="Y1" s="28" t="s">
        <v>307</v>
      </c>
    </row>
    <row r="2" spans="1:25" x14ac:dyDescent="0.25">
      <c r="A2" s="28" t="s">
        <v>232</v>
      </c>
      <c r="B2" s="28" t="s">
        <v>233</v>
      </c>
      <c r="C2" s="28" t="s">
        <v>140</v>
      </c>
      <c r="D2" s="28">
        <v>1</v>
      </c>
      <c r="E2" s="28"/>
      <c r="F2" s="28"/>
      <c r="G2" s="28"/>
      <c r="H2" s="28">
        <v>214</v>
      </c>
      <c r="I2" s="28">
        <v>163</v>
      </c>
      <c r="J2" s="28">
        <v>1</v>
      </c>
      <c r="K2" s="28">
        <v>22</v>
      </c>
      <c r="L2" s="28"/>
      <c r="M2" s="28">
        <v>400</v>
      </c>
      <c r="N2" s="30">
        <v>75.92</v>
      </c>
      <c r="O2" s="28" t="s">
        <v>234</v>
      </c>
      <c r="P2" s="28">
        <f t="shared" ref="P2:P57" si="0">K2</f>
        <v>22</v>
      </c>
      <c r="Q2" s="28">
        <f t="shared" ref="Q2:Q57" si="1">H2</f>
        <v>214</v>
      </c>
      <c r="R2" s="28">
        <f t="shared" ref="R2:R57" si="2">I2</f>
        <v>163</v>
      </c>
      <c r="S2" s="28">
        <f t="shared" ref="S2:S57" si="3">M2-SUM(P2:R2)</f>
        <v>1</v>
      </c>
      <c r="T2" s="28">
        <f t="shared" ref="T2:T57" si="4">SUM(P2:S2)</f>
        <v>400</v>
      </c>
      <c r="U2" s="29">
        <f t="shared" ref="U2:U57" si="5">P2/M2</f>
        <v>5.5E-2</v>
      </c>
      <c r="V2" s="29">
        <f t="shared" ref="V2:V57" si="6">Q2/M2</f>
        <v>0.53500000000000003</v>
      </c>
      <c r="W2" s="29">
        <f t="shared" ref="W2:W57" si="7">R2/M2</f>
        <v>0.40749999999999997</v>
      </c>
      <c r="X2" s="29">
        <f t="shared" ref="X2:X57" si="8">S2/M2</f>
        <v>2.5000000000000001E-3</v>
      </c>
      <c r="Y2" s="30">
        <f t="shared" ref="Y2:Y57" si="9">N2</f>
        <v>75.92</v>
      </c>
    </row>
    <row r="3" spans="1:25" x14ac:dyDescent="0.25">
      <c r="A3" s="28" t="s">
        <v>232</v>
      </c>
      <c r="B3" s="28" t="s">
        <v>233</v>
      </c>
      <c r="C3" s="28" t="s">
        <v>140</v>
      </c>
      <c r="D3" s="28">
        <v>2</v>
      </c>
      <c r="E3" s="28"/>
      <c r="F3" s="28"/>
      <c r="G3" s="28"/>
      <c r="H3" s="28">
        <v>228</v>
      </c>
      <c r="I3" s="28">
        <v>147</v>
      </c>
      <c r="J3" s="28"/>
      <c r="K3" s="28">
        <v>25</v>
      </c>
      <c r="L3" s="28"/>
      <c r="M3" s="28">
        <v>400</v>
      </c>
      <c r="N3" s="30">
        <v>68.127499999999998</v>
      </c>
      <c r="O3" s="28" t="s">
        <v>234</v>
      </c>
      <c r="P3" s="28">
        <f t="shared" si="0"/>
        <v>25</v>
      </c>
      <c r="Q3" s="28">
        <f t="shared" si="1"/>
        <v>228</v>
      </c>
      <c r="R3" s="28">
        <f t="shared" si="2"/>
        <v>147</v>
      </c>
      <c r="S3" s="28">
        <f t="shared" si="3"/>
        <v>0</v>
      </c>
      <c r="T3" s="28">
        <f t="shared" si="4"/>
        <v>400</v>
      </c>
      <c r="U3" s="29">
        <f t="shared" si="5"/>
        <v>6.25E-2</v>
      </c>
      <c r="V3" s="29">
        <f t="shared" si="6"/>
        <v>0.56999999999999995</v>
      </c>
      <c r="W3" s="29">
        <f t="shared" si="7"/>
        <v>0.36749999999999999</v>
      </c>
      <c r="X3" s="29">
        <f t="shared" si="8"/>
        <v>0</v>
      </c>
      <c r="Y3" s="30">
        <f t="shared" si="9"/>
        <v>68.127499999999998</v>
      </c>
    </row>
    <row r="4" spans="1:25" x14ac:dyDescent="0.25">
      <c r="A4" s="28" t="s">
        <v>232</v>
      </c>
      <c r="B4" s="28" t="s">
        <v>233</v>
      </c>
      <c r="C4" s="28" t="s">
        <v>140</v>
      </c>
      <c r="D4" s="28">
        <v>3</v>
      </c>
      <c r="E4" s="28"/>
      <c r="F4" s="28"/>
      <c r="G4" s="28"/>
      <c r="H4" s="28">
        <v>228</v>
      </c>
      <c r="I4" s="28">
        <v>176</v>
      </c>
      <c r="J4" s="28"/>
      <c r="K4" s="28">
        <v>21</v>
      </c>
      <c r="L4" s="28"/>
      <c r="M4" s="28">
        <v>425</v>
      </c>
      <c r="N4" s="30">
        <v>60.174117647058821</v>
      </c>
      <c r="O4" s="28" t="s">
        <v>234</v>
      </c>
      <c r="P4" s="28">
        <f t="shared" si="0"/>
        <v>21</v>
      </c>
      <c r="Q4" s="28">
        <f t="shared" si="1"/>
        <v>228</v>
      </c>
      <c r="R4" s="28">
        <f t="shared" si="2"/>
        <v>176</v>
      </c>
      <c r="S4" s="28">
        <f t="shared" si="3"/>
        <v>0</v>
      </c>
      <c r="T4" s="28">
        <f t="shared" si="4"/>
        <v>425</v>
      </c>
      <c r="U4" s="29">
        <f t="shared" si="5"/>
        <v>4.9411764705882349E-2</v>
      </c>
      <c r="V4" s="29">
        <f t="shared" si="6"/>
        <v>0.53647058823529414</v>
      </c>
      <c r="W4" s="29">
        <f t="shared" si="7"/>
        <v>0.41411764705882353</v>
      </c>
      <c r="X4" s="29">
        <f t="shared" si="8"/>
        <v>0</v>
      </c>
      <c r="Y4" s="30">
        <f t="shared" si="9"/>
        <v>60.174117647058821</v>
      </c>
    </row>
    <row r="5" spans="1:25" x14ac:dyDescent="0.25">
      <c r="A5" s="28" t="s">
        <v>232</v>
      </c>
      <c r="B5" s="28" t="s">
        <v>233</v>
      </c>
      <c r="C5" s="28" t="s">
        <v>140</v>
      </c>
      <c r="D5" s="28">
        <v>4</v>
      </c>
      <c r="E5" s="28"/>
      <c r="F5" s="28"/>
      <c r="G5" s="28"/>
      <c r="H5" s="28">
        <v>256</v>
      </c>
      <c r="I5" s="28">
        <v>205</v>
      </c>
      <c r="J5" s="28"/>
      <c r="K5" s="28">
        <v>37</v>
      </c>
      <c r="L5" s="28"/>
      <c r="M5" s="28">
        <v>498</v>
      </c>
      <c r="N5" s="30">
        <v>52.154618473895582</v>
      </c>
      <c r="O5" s="28" t="s">
        <v>234</v>
      </c>
      <c r="P5" s="28">
        <f t="shared" si="0"/>
        <v>37</v>
      </c>
      <c r="Q5" s="28">
        <f t="shared" si="1"/>
        <v>256</v>
      </c>
      <c r="R5" s="28">
        <f t="shared" si="2"/>
        <v>205</v>
      </c>
      <c r="S5" s="28">
        <f t="shared" si="3"/>
        <v>0</v>
      </c>
      <c r="T5" s="28">
        <f t="shared" si="4"/>
        <v>498</v>
      </c>
      <c r="U5" s="29">
        <f t="shared" si="5"/>
        <v>7.4297188755020074E-2</v>
      </c>
      <c r="V5" s="29">
        <f t="shared" si="6"/>
        <v>0.51405622489959835</v>
      </c>
      <c r="W5" s="29">
        <f t="shared" si="7"/>
        <v>0.41164658634538154</v>
      </c>
      <c r="X5" s="29">
        <f t="shared" si="8"/>
        <v>0</v>
      </c>
      <c r="Y5" s="30">
        <f t="shared" si="9"/>
        <v>52.154618473895582</v>
      </c>
    </row>
    <row r="6" spans="1:25" x14ac:dyDescent="0.25">
      <c r="A6" s="28" t="s">
        <v>232</v>
      </c>
      <c r="B6" s="28" t="s">
        <v>233</v>
      </c>
      <c r="C6" s="28" t="s">
        <v>140</v>
      </c>
      <c r="D6" s="28">
        <v>5</v>
      </c>
      <c r="E6" s="28"/>
      <c r="F6" s="28"/>
      <c r="G6" s="28"/>
      <c r="H6" s="28">
        <v>30</v>
      </c>
      <c r="I6" s="28">
        <v>380</v>
      </c>
      <c r="J6" s="28"/>
      <c r="K6" s="28">
        <v>90</v>
      </c>
      <c r="L6" s="28"/>
      <c r="M6" s="28">
        <v>500</v>
      </c>
      <c r="N6" s="30">
        <v>33.11</v>
      </c>
      <c r="O6" s="28" t="s">
        <v>234</v>
      </c>
      <c r="P6" s="28">
        <f t="shared" si="0"/>
        <v>90</v>
      </c>
      <c r="Q6" s="28">
        <f t="shared" si="1"/>
        <v>30</v>
      </c>
      <c r="R6" s="28">
        <f t="shared" si="2"/>
        <v>380</v>
      </c>
      <c r="S6" s="28">
        <f t="shared" si="3"/>
        <v>0</v>
      </c>
      <c r="T6" s="28">
        <f t="shared" si="4"/>
        <v>500</v>
      </c>
      <c r="U6" s="29">
        <f t="shared" si="5"/>
        <v>0.18</v>
      </c>
      <c r="V6" s="29">
        <f t="shared" si="6"/>
        <v>0.06</v>
      </c>
      <c r="W6" s="29">
        <f t="shared" si="7"/>
        <v>0.76</v>
      </c>
      <c r="X6" s="29">
        <f t="shared" si="8"/>
        <v>0</v>
      </c>
      <c r="Y6" s="30">
        <f t="shared" si="9"/>
        <v>33.11</v>
      </c>
    </row>
    <row r="7" spans="1:25" x14ac:dyDescent="0.25">
      <c r="A7" s="28" t="s">
        <v>232</v>
      </c>
      <c r="B7" s="28" t="s">
        <v>233</v>
      </c>
      <c r="C7" s="28" t="s">
        <v>141</v>
      </c>
      <c r="D7" s="28">
        <v>1</v>
      </c>
      <c r="E7" s="28"/>
      <c r="F7" s="28"/>
      <c r="G7" s="28">
        <v>2</v>
      </c>
      <c r="H7" s="28">
        <v>574</v>
      </c>
      <c r="I7" s="28">
        <v>50</v>
      </c>
      <c r="J7" s="28"/>
      <c r="K7" s="28">
        <v>6</v>
      </c>
      <c r="L7" s="28"/>
      <c r="M7" s="28">
        <v>632</v>
      </c>
      <c r="N7" s="30">
        <v>36.509493670886073</v>
      </c>
      <c r="O7" s="28" t="s">
        <v>234</v>
      </c>
      <c r="P7" s="28">
        <f>K7</f>
        <v>6</v>
      </c>
      <c r="Q7" s="28">
        <f>H7</f>
        <v>574</v>
      </c>
      <c r="R7" s="28">
        <f>I7</f>
        <v>50</v>
      </c>
      <c r="S7" s="28">
        <f>M7-SUM(P7:R7)</f>
        <v>2</v>
      </c>
      <c r="T7" s="28">
        <f>SUM(P7:S7)</f>
        <v>632</v>
      </c>
      <c r="U7" s="29">
        <f>P7/M7</f>
        <v>9.4936708860759497E-3</v>
      </c>
      <c r="V7" s="29">
        <f>Q7/M7</f>
        <v>0.90822784810126578</v>
      </c>
      <c r="W7" s="29">
        <f>R7/M7</f>
        <v>7.9113924050632917E-2</v>
      </c>
      <c r="X7" s="29">
        <f>S7/M7</f>
        <v>3.1645569620253164E-3</v>
      </c>
      <c r="Y7" s="30">
        <f>N7</f>
        <v>36.509493670886073</v>
      </c>
    </row>
    <row r="8" spans="1:25" x14ac:dyDescent="0.25">
      <c r="A8" s="28" t="s">
        <v>232</v>
      </c>
      <c r="B8" s="28" t="s">
        <v>233</v>
      </c>
      <c r="C8" s="28" t="s">
        <v>142</v>
      </c>
      <c r="D8" s="28">
        <v>1</v>
      </c>
      <c r="E8" s="28"/>
      <c r="F8" s="28"/>
      <c r="G8" s="28">
        <v>1</v>
      </c>
      <c r="H8" s="28">
        <v>217</v>
      </c>
      <c r="I8" s="28">
        <v>169</v>
      </c>
      <c r="J8" s="28">
        <v>1</v>
      </c>
      <c r="K8" s="28">
        <v>62</v>
      </c>
      <c r="L8" s="28"/>
      <c r="M8" s="28">
        <v>450</v>
      </c>
      <c r="N8" s="30">
        <v>54.044444444444444</v>
      </c>
      <c r="O8" s="28" t="s">
        <v>234</v>
      </c>
      <c r="P8" s="28">
        <f t="shared" si="0"/>
        <v>62</v>
      </c>
      <c r="Q8" s="28">
        <f t="shared" si="1"/>
        <v>217</v>
      </c>
      <c r="R8" s="28">
        <f t="shared" si="2"/>
        <v>169</v>
      </c>
      <c r="S8" s="28">
        <f t="shared" si="3"/>
        <v>2</v>
      </c>
      <c r="T8" s="28">
        <f t="shared" si="4"/>
        <v>450</v>
      </c>
      <c r="U8" s="29">
        <f t="shared" si="5"/>
        <v>0.13777777777777778</v>
      </c>
      <c r="V8" s="29">
        <f t="shared" si="6"/>
        <v>0.48222222222222222</v>
      </c>
      <c r="W8" s="29">
        <f t="shared" si="7"/>
        <v>0.37555555555555553</v>
      </c>
      <c r="X8" s="29">
        <f t="shared" si="8"/>
        <v>4.4444444444444444E-3</v>
      </c>
      <c r="Y8" s="30">
        <f t="shared" si="9"/>
        <v>54.044444444444444</v>
      </c>
    </row>
    <row r="9" spans="1:25" x14ac:dyDescent="0.25">
      <c r="A9" s="28" t="s">
        <v>232</v>
      </c>
      <c r="B9" s="28" t="s">
        <v>233</v>
      </c>
      <c r="C9" s="28" t="s">
        <v>142</v>
      </c>
      <c r="D9" s="28">
        <v>2</v>
      </c>
      <c r="E9" s="28"/>
      <c r="F9" s="28"/>
      <c r="G9" s="28">
        <v>1</v>
      </c>
      <c r="H9" s="28">
        <v>328</v>
      </c>
      <c r="I9" s="28">
        <v>224</v>
      </c>
      <c r="J9" s="28"/>
      <c r="K9" s="28">
        <v>89</v>
      </c>
      <c r="L9" s="28">
        <v>1</v>
      </c>
      <c r="M9" s="28">
        <v>643</v>
      </c>
      <c r="N9" s="30">
        <v>38.13374805598756</v>
      </c>
      <c r="O9" s="28" t="s">
        <v>234</v>
      </c>
      <c r="P9" s="28">
        <f t="shared" si="0"/>
        <v>89</v>
      </c>
      <c r="Q9" s="28">
        <f t="shared" si="1"/>
        <v>328</v>
      </c>
      <c r="R9" s="28">
        <f t="shared" si="2"/>
        <v>224</v>
      </c>
      <c r="S9" s="28">
        <f t="shared" si="3"/>
        <v>2</v>
      </c>
      <c r="T9" s="28">
        <f t="shared" si="4"/>
        <v>643</v>
      </c>
      <c r="U9" s="29">
        <f t="shared" si="5"/>
        <v>0.13841368584758942</v>
      </c>
      <c r="V9" s="29">
        <f t="shared" si="6"/>
        <v>0.51010886469673411</v>
      </c>
      <c r="W9" s="29">
        <f t="shared" si="7"/>
        <v>0.34836702954898913</v>
      </c>
      <c r="X9" s="29">
        <f t="shared" si="8"/>
        <v>3.1104199066874028E-3</v>
      </c>
      <c r="Y9" s="30">
        <f t="shared" si="9"/>
        <v>38.13374805598756</v>
      </c>
    </row>
    <row r="10" spans="1:25" x14ac:dyDescent="0.25">
      <c r="A10" s="28" t="s">
        <v>232</v>
      </c>
      <c r="B10" s="28" t="s">
        <v>233</v>
      </c>
      <c r="C10" s="28" t="s">
        <v>142</v>
      </c>
      <c r="D10" s="28">
        <v>3</v>
      </c>
      <c r="E10" s="28">
        <v>1</v>
      </c>
      <c r="F10" s="28"/>
      <c r="G10" s="28"/>
      <c r="H10" s="28">
        <v>257</v>
      </c>
      <c r="I10" s="28">
        <v>233</v>
      </c>
      <c r="J10" s="28"/>
      <c r="K10" s="28">
        <v>153</v>
      </c>
      <c r="L10" s="28"/>
      <c r="M10" s="28">
        <v>644</v>
      </c>
      <c r="N10" s="30">
        <v>24.757763975155278</v>
      </c>
      <c r="O10" s="28" t="s">
        <v>234</v>
      </c>
      <c r="P10" s="28">
        <f t="shared" si="0"/>
        <v>153</v>
      </c>
      <c r="Q10" s="28">
        <f t="shared" si="1"/>
        <v>257</v>
      </c>
      <c r="R10" s="28">
        <f t="shared" si="2"/>
        <v>233</v>
      </c>
      <c r="S10" s="28">
        <f t="shared" si="3"/>
        <v>1</v>
      </c>
      <c r="T10" s="28">
        <f t="shared" si="4"/>
        <v>644</v>
      </c>
      <c r="U10" s="29">
        <f t="shared" si="5"/>
        <v>0.2375776397515528</v>
      </c>
      <c r="V10" s="29">
        <f t="shared" si="6"/>
        <v>0.39906832298136646</v>
      </c>
      <c r="W10" s="29">
        <f t="shared" si="7"/>
        <v>0.36180124223602483</v>
      </c>
      <c r="X10" s="29">
        <f t="shared" si="8"/>
        <v>1.5527950310559005E-3</v>
      </c>
      <c r="Y10" s="30">
        <f t="shared" si="9"/>
        <v>24.757763975155278</v>
      </c>
    </row>
    <row r="11" spans="1:25" x14ac:dyDescent="0.25">
      <c r="A11" s="28" t="s">
        <v>236</v>
      </c>
      <c r="B11" s="28" t="s">
        <v>237</v>
      </c>
      <c r="C11" s="28" t="s">
        <v>144</v>
      </c>
      <c r="D11" s="28">
        <v>1</v>
      </c>
      <c r="E11" s="28"/>
      <c r="F11" s="28"/>
      <c r="G11" s="28"/>
      <c r="H11" s="28">
        <v>238</v>
      </c>
      <c r="I11" s="28">
        <v>97</v>
      </c>
      <c r="J11" s="28"/>
      <c r="K11" s="28">
        <v>115</v>
      </c>
      <c r="L11" s="28"/>
      <c r="M11" s="28">
        <v>450</v>
      </c>
      <c r="N11" s="30">
        <v>70.406666666666666</v>
      </c>
      <c r="O11" s="28" t="s">
        <v>234</v>
      </c>
      <c r="P11" s="28">
        <f t="shared" si="0"/>
        <v>115</v>
      </c>
      <c r="Q11" s="28">
        <f t="shared" si="1"/>
        <v>238</v>
      </c>
      <c r="R11" s="28">
        <f t="shared" si="2"/>
        <v>97</v>
      </c>
      <c r="S11" s="28">
        <f t="shared" si="3"/>
        <v>0</v>
      </c>
      <c r="T11" s="28">
        <f t="shared" si="4"/>
        <v>450</v>
      </c>
      <c r="U11" s="29">
        <f t="shared" si="5"/>
        <v>0.25555555555555554</v>
      </c>
      <c r="V11" s="29">
        <f t="shared" si="6"/>
        <v>0.52888888888888885</v>
      </c>
      <c r="W11" s="29">
        <f t="shared" si="7"/>
        <v>0.21555555555555556</v>
      </c>
      <c r="X11" s="29">
        <f t="shared" si="8"/>
        <v>0</v>
      </c>
      <c r="Y11" s="30">
        <f t="shared" si="9"/>
        <v>70.406666666666666</v>
      </c>
    </row>
    <row r="12" spans="1:25" x14ac:dyDescent="0.25">
      <c r="A12" s="28" t="s">
        <v>236</v>
      </c>
      <c r="B12" s="28" t="s">
        <v>237</v>
      </c>
      <c r="C12" s="28" t="s">
        <v>144</v>
      </c>
      <c r="D12" s="28">
        <v>2</v>
      </c>
      <c r="E12" s="28"/>
      <c r="F12" s="28"/>
      <c r="G12" s="28"/>
      <c r="H12" s="28">
        <v>176</v>
      </c>
      <c r="I12" s="28">
        <v>126</v>
      </c>
      <c r="J12" s="28"/>
      <c r="K12" s="28">
        <v>147</v>
      </c>
      <c r="L12" s="28">
        <v>1</v>
      </c>
      <c r="M12" s="28">
        <v>450</v>
      </c>
      <c r="N12" s="30">
        <v>57.093333333333334</v>
      </c>
      <c r="O12" s="28" t="s">
        <v>234</v>
      </c>
      <c r="P12" s="28">
        <f t="shared" si="0"/>
        <v>147</v>
      </c>
      <c r="Q12" s="28">
        <f t="shared" si="1"/>
        <v>176</v>
      </c>
      <c r="R12" s="28">
        <f t="shared" si="2"/>
        <v>126</v>
      </c>
      <c r="S12" s="28">
        <f t="shared" si="3"/>
        <v>1</v>
      </c>
      <c r="T12" s="28">
        <f t="shared" si="4"/>
        <v>450</v>
      </c>
      <c r="U12" s="29">
        <f t="shared" si="5"/>
        <v>0.32666666666666666</v>
      </c>
      <c r="V12" s="29">
        <f t="shared" si="6"/>
        <v>0.39111111111111113</v>
      </c>
      <c r="W12" s="29">
        <f t="shared" si="7"/>
        <v>0.28000000000000003</v>
      </c>
      <c r="X12" s="29">
        <f t="shared" si="8"/>
        <v>2.2222222222222222E-3</v>
      </c>
      <c r="Y12" s="30">
        <f t="shared" si="9"/>
        <v>57.093333333333334</v>
      </c>
    </row>
    <row r="13" spans="1:25" x14ac:dyDescent="0.25">
      <c r="A13" s="28" t="s">
        <v>236</v>
      </c>
      <c r="B13" s="28" t="s">
        <v>237</v>
      </c>
      <c r="C13" s="28" t="s">
        <v>144</v>
      </c>
      <c r="D13" s="28">
        <v>3</v>
      </c>
      <c r="E13" s="28"/>
      <c r="F13" s="28"/>
      <c r="G13" s="28"/>
      <c r="H13" s="28">
        <v>274</v>
      </c>
      <c r="I13" s="28">
        <v>143</v>
      </c>
      <c r="J13" s="28"/>
      <c r="K13" s="28">
        <v>206</v>
      </c>
      <c r="L13" s="28"/>
      <c r="M13" s="28">
        <v>623</v>
      </c>
      <c r="N13" s="30">
        <v>41.243980738362758</v>
      </c>
      <c r="O13" s="28" t="s">
        <v>234</v>
      </c>
      <c r="P13" s="28">
        <f t="shared" si="0"/>
        <v>206</v>
      </c>
      <c r="Q13" s="28">
        <f t="shared" si="1"/>
        <v>274</v>
      </c>
      <c r="R13" s="28">
        <f t="shared" si="2"/>
        <v>143</v>
      </c>
      <c r="S13" s="28">
        <f t="shared" si="3"/>
        <v>0</v>
      </c>
      <c r="T13" s="28">
        <f t="shared" si="4"/>
        <v>623</v>
      </c>
      <c r="U13" s="29">
        <f t="shared" si="5"/>
        <v>0.3306581059390048</v>
      </c>
      <c r="V13" s="29">
        <f t="shared" si="6"/>
        <v>0.43980738362760835</v>
      </c>
      <c r="W13" s="29">
        <f t="shared" si="7"/>
        <v>0.22953451043338685</v>
      </c>
      <c r="X13" s="29">
        <f t="shared" si="8"/>
        <v>0</v>
      </c>
      <c r="Y13" s="30">
        <f t="shared" si="9"/>
        <v>41.243980738362758</v>
      </c>
    </row>
    <row r="14" spans="1:25" x14ac:dyDescent="0.25">
      <c r="A14" s="28" t="s">
        <v>236</v>
      </c>
      <c r="B14" s="28" t="s">
        <v>237</v>
      </c>
      <c r="C14" s="28" t="s">
        <v>144</v>
      </c>
      <c r="D14" s="28">
        <v>4</v>
      </c>
      <c r="E14" s="28"/>
      <c r="F14" s="28"/>
      <c r="G14" s="28"/>
      <c r="H14" s="28">
        <v>279</v>
      </c>
      <c r="I14" s="28">
        <v>57</v>
      </c>
      <c r="J14" s="28"/>
      <c r="K14" s="28">
        <v>287</v>
      </c>
      <c r="L14" s="28"/>
      <c r="M14" s="28">
        <v>623</v>
      </c>
      <c r="N14" s="30">
        <v>28.956661316211878</v>
      </c>
      <c r="O14" s="28" t="s">
        <v>234</v>
      </c>
      <c r="P14" s="28">
        <f t="shared" si="0"/>
        <v>287</v>
      </c>
      <c r="Q14" s="28">
        <f t="shared" si="1"/>
        <v>279</v>
      </c>
      <c r="R14" s="28">
        <f t="shared" si="2"/>
        <v>57</v>
      </c>
      <c r="S14" s="28">
        <f t="shared" si="3"/>
        <v>0</v>
      </c>
      <c r="T14" s="28">
        <f t="shared" si="4"/>
        <v>623</v>
      </c>
      <c r="U14" s="29">
        <f t="shared" si="5"/>
        <v>0.4606741573033708</v>
      </c>
      <c r="V14" s="29">
        <f t="shared" si="6"/>
        <v>0.4478330658105939</v>
      </c>
      <c r="W14" s="29">
        <f t="shared" si="7"/>
        <v>9.1492776886035312E-2</v>
      </c>
      <c r="X14" s="29">
        <f t="shared" si="8"/>
        <v>0</v>
      </c>
      <c r="Y14" s="30">
        <f t="shared" si="9"/>
        <v>28.956661316211878</v>
      </c>
    </row>
    <row r="15" spans="1:25" x14ac:dyDescent="0.25">
      <c r="A15" s="28" t="s">
        <v>236</v>
      </c>
      <c r="B15" s="28" t="s">
        <v>237</v>
      </c>
      <c r="C15" s="28" t="s">
        <v>144</v>
      </c>
      <c r="D15" s="28">
        <v>5</v>
      </c>
      <c r="E15" s="28"/>
      <c r="F15" s="28"/>
      <c r="G15" s="28"/>
      <c r="H15" s="28">
        <v>230</v>
      </c>
      <c r="I15" s="28">
        <v>45</v>
      </c>
      <c r="J15" s="28"/>
      <c r="K15" s="28">
        <v>350</v>
      </c>
      <c r="L15" s="28"/>
      <c r="M15" s="28">
        <v>625</v>
      </c>
      <c r="N15" s="30">
        <v>21.7424</v>
      </c>
      <c r="O15" s="28" t="s">
        <v>234</v>
      </c>
      <c r="P15" s="28">
        <f t="shared" si="0"/>
        <v>350</v>
      </c>
      <c r="Q15" s="28">
        <f t="shared" si="1"/>
        <v>230</v>
      </c>
      <c r="R15" s="28">
        <f t="shared" si="2"/>
        <v>45</v>
      </c>
      <c r="S15" s="28">
        <f t="shared" si="3"/>
        <v>0</v>
      </c>
      <c r="T15" s="28">
        <f t="shared" si="4"/>
        <v>625</v>
      </c>
      <c r="U15" s="29">
        <f t="shared" si="5"/>
        <v>0.56000000000000005</v>
      </c>
      <c r="V15" s="29">
        <f t="shared" si="6"/>
        <v>0.36799999999999999</v>
      </c>
      <c r="W15" s="29">
        <f t="shared" si="7"/>
        <v>7.1999999999999995E-2</v>
      </c>
      <c r="X15" s="29">
        <f t="shared" si="8"/>
        <v>0</v>
      </c>
      <c r="Y15" s="30">
        <f t="shared" si="9"/>
        <v>21.7424</v>
      </c>
    </row>
    <row r="16" spans="1:25" x14ac:dyDescent="0.25">
      <c r="A16" s="28" t="s">
        <v>238</v>
      </c>
      <c r="B16" s="28" t="s">
        <v>239</v>
      </c>
      <c r="C16" s="28" t="s">
        <v>146</v>
      </c>
      <c r="D16" s="28">
        <v>1</v>
      </c>
      <c r="E16" s="28"/>
      <c r="F16" s="28"/>
      <c r="G16" s="28"/>
      <c r="H16" s="28">
        <v>355</v>
      </c>
      <c r="I16" s="28">
        <v>71</v>
      </c>
      <c r="J16" s="28"/>
      <c r="K16" s="28">
        <v>24</v>
      </c>
      <c r="L16" s="28"/>
      <c r="M16" s="28">
        <v>450</v>
      </c>
      <c r="N16" s="30">
        <v>68.602222222222224</v>
      </c>
      <c r="O16" s="28" t="s">
        <v>234</v>
      </c>
      <c r="P16" s="28">
        <f t="shared" si="0"/>
        <v>24</v>
      </c>
      <c r="Q16" s="28">
        <f t="shared" si="1"/>
        <v>355</v>
      </c>
      <c r="R16" s="28">
        <f t="shared" si="2"/>
        <v>71</v>
      </c>
      <c r="S16" s="28">
        <f t="shared" si="3"/>
        <v>0</v>
      </c>
      <c r="T16" s="28">
        <f t="shared" si="4"/>
        <v>450</v>
      </c>
      <c r="U16" s="29">
        <f t="shared" si="5"/>
        <v>5.3333333333333337E-2</v>
      </c>
      <c r="V16" s="29">
        <f t="shared" si="6"/>
        <v>0.78888888888888886</v>
      </c>
      <c r="W16" s="29">
        <f t="shared" si="7"/>
        <v>0.15777777777777777</v>
      </c>
      <c r="X16" s="29">
        <f t="shared" si="8"/>
        <v>0</v>
      </c>
      <c r="Y16" s="30">
        <f t="shared" si="9"/>
        <v>68.602222222222224</v>
      </c>
    </row>
    <row r="17" spans="1:25" x14ac:dyDescent="0.25">
      <c r="A17" s="28" t="s">
        <v>238</v>
      </c>
      <c r="B17" s="28" t="s">
        <v>239</v>
      </c>
      <c r="C17" s="28" t="s">
        <v>146</v>
      </c>
      <c r="D17" s="28">
        <v>2</v>
      </c>
      <c r="E17" s="28"/>
      <c r="F17" s="28"/>
      <c r="G17" s="28"/>
      <c r="H17" s="28">
        <v>375</v>
      </c>
      <c r="I17" s="28">
        <v>50</v>
      </c>
      <c r="J17" s="28"/>
      <c r="K17" s="28">
        <v>25</v>
      </c>
      <c r="L17" s="28"/>
      <c r="M17" s="28">
        <v>450</v>
      </c>
      <c r="N17" s="30">
        <v>62.193333333333335</v>
      </c>
      <c r="O17" s="28" t="s">
        <v>234</v>
      </c>
      <c r="P17" s="28">
        <f t="shared" si="0"/>
        <v>25</v>
      </c>
      <c r="Q17" s="28">
        <f t="shared" si="1"/>
        <v>375</v>
      </c>
      <c r="R17" s="28">
        <f t="shared" si="2"/>
        <v>50</v>
      </c>
      <c r="S17" s="28">
        <f t="shared" si="3"/>
        <v>0</v>
      </c>
      <c r="T17" s="28">
        <f t="shared" si="4"/>
        <v>450</v>
      </c>
      <c r="U17" s="29">
        <f t="shared" si="5"/>
        <v>5.5555555555555552E-2</v>
      </c>
      <c r="V17" s="29">
        <f t="shared" si="6"/>
        <v>0.83333333333333337</v>
      </c>
      <c r="W17" s="29">
        <f t="shared" si="7"/>
        <v>0.1111111111111111</v>
      </c>
      <c r="X17" s="29">
        <f t="shared" si="8"/>
        <v>0</v>
      </c>
      <c r="Y17" s="30">
        <f t="shared" si="9"/>
        <v>62.193333333333335</v>
      </c>
    </row>
    <row r="18" spans="1:25" x14ac:dyDescent="0.25">
      <c r="A18" s="28" t="s">
        <v>238</v>
      </c>
      <c r="B18" s="28" t="s">
        <v>239</v>
      </c>
      <c r="C18" s="28" t="s">
        <v>146</v>
      </c>
      <c r="D18" s="28">
        <v>3</v>
      </c>
      <c r="E18" s="28"/>
      <c r="F18" s="28"/>
      <c r="G18" s="28"/>
      <c r="H18" s="28">
        <v>470</v>
      </c>
      <c r="I18" s="28">
        <v>66</v>
      </c>
      <c r="J18" s="28">
        <v>1</v>
      </c>
      <c r="K18" s="28">
        <v>59</v>
      </c>
      <c r="L18" s="28">
        <v>1</v>
      </c>
      <c r="M18" s="28">
        <v>597</v>
      </c>
      <c r="N18" s="30">
        <v>53.361809045226131</v>
      </c>
      <c r="O18" s="28" t="s">
        <v>234</v>
      </c>
      <c r="P18" s="28">
        <f t="shared" si="0"/>
        <v>59</v>
      </c>
      <c r="Q18" s="28">
        <f t="shared" si="1"/>
        <v>470</v>
      </c>
      <c r="R18" s="28">
        <f t="shared" si="2"/>
        <v>66</v>
      </c>
      <c r="S18" s="28">
        <f t="shared" si="3"/>
        <v>2</v>
      </c>
      <c r="T18" s="28">
        <f t="shared" si="4"/>
        <v>597</v>
      </c>
      <c r="U18" s="29">
        <f t="shared" si="5"/>
        <v>9.8827470686767172E-2</v>
      </c>
      <c r="V18" s="29">
        <f t="shared" si="6"/>
        <v>0.78726968174204359</v>
      </c>
      <c r="W18" s="29">
        <f t="shared" si="7"/>
        <v>0.11055276381909548</v>
      </c>
      <c r="X18" s="29">
        <f t="shared" si="8"/>
        <v>3.3500837520938024E-3</v>
      </c>
      <c r="Y18" s="30">
        <f t="shared" si="9"/>
        <v>53.361809045226131</v>
      </c>
    </row>
    <row r="19" spans="1:25" x14ac:dyDescent="0.25">
      <c r="A19" s="28" t="s">
        <v>238</v>
      </c>
      <c r="B19" s="28" t="s">
        <v>239</v>
      </c>
      <c r="C19" s="28" t="s">
        <v>146</v>
      </c>
      <c r="D19" s="28">
        <v>4</v>
      </c>
      <c r="E19" s="28"/>
      <c r="F19" s="28"/>
      <c r="G19" s="28"/>
      <c r="H19" s="28">
        <v>463</v>
      </c>
      <c r="I19" s="28">
        <v>77</v>
      </c>
      <c r="J19" s="28"/>
      <c r="K19" s="28">
        <v>57</v>
      </c>
      <c r="L19" s="28"/>
      <c r="M19" s="28">
        <v>597</v>
      </c>
      <c r="N19" s="30">
        <v>44.711892797319933</v>
      </c>
      <c r="O19" s="28" t="s">
        <v>234</v>
      </c>
      <c r="P19" s="28">
        <f t="shared" si="0"/>
        <v>57</v>
      </c>
      <c r="Q19" s="28">
        <f t="shared" si="1"/>
        <v>463</v>
      </c>
      <c r="R19" s="28">
        <f t="shared" si="2"/>
        <v>77</v>
      </c>
      <c r="S19" s="28">
        <f t="shared" si="3"/>
        <v>0</v>
      </c>
      <c r="T19" s="28">
        <f t="shared" si="4"/>
        <v>597</v>
      </c>
      <c r="U19" s="29">
        <f t="shared" si="5"/>
        <v>9.5477386934673364E-2</v>
      </c>
      <c r="V19" s="29">
        <f t="shared" si="6"/>
        <v>0.7755443886097152</v>
      </c>
      <c r="W19" s="29">
        <f t="shared" si="7"/>
        <v>0.12897822445561138</v>
      </c>
      <c r="X19" s="29">
        <f t="shared" si="8"/>
        <v>0</v>
      </c>
      <c r="Y19" s="30">
        <f t="shared" si="9"/>
        <v>44.711892797319933</v>
      </c>
    </row>
    <row r="20" spans="1:25" x14ac:dyDescent="0.25">
      <c r="A20" s="28" t="s">
        <v>238</v>
      </c>
      <c r="B20" s="28" t="s">
        <v>239</v>
      </c>
      <c r="C20" s="28" t="s">
        <v>146</v>
      </c>
      <c r="D20" s="28">
        <v>5</v>
      </c>
      <c r="E20" s="28"/>
      <c r="F20" s="28"/>
      <c r="G20" s="28"/>
      <c r="H20" s="28">
        <v>423</v>
      </c>
      <c r="I20" s="28">
        <v>115</v>
      </c>
      <c r="J20" s="28">
        <v>1</v>
      </c>
      <c r="K20" s="28">
        <v>58</v>
      </c>
      <c r="L20" s="28"/>
      <c r="M20" s="28">
        <v>597</v>
      </c>
      <c r="N20" s="30">
        <v>36.162479061976548</v>
      </c>
      <c r="O20" s="28" t="s">
        <v>234</v>
      </c>
      <c r="P20" s="28">
        <f t="shared" si="0"/>
        <v>58</v>
      </c>
      <c r="Q20" s="28">
        <f t="shared" si="1"/>
        <v>423</v>
      </c>
      <c r="R20" s="28">
        <f t="shared" si="2"/>
        <v>115</v>
      </c>
      <c r="S20" s="28">
        <f t="shared" si="3"/>
        <v>1</v>
      </c>
      <c r="T20" s="28">
        <f t="shared" si="4"/>
        <v>597</v>
      </c>
      <c r="U20" s="29">
        <f t="shared" si="5"/>
        <v>9.7152428810720268E-2</v>
      </c>
      <c r="V20" s="29">
        <f t="shared" si="6"/>
        <v>0.70854271356783916</v>
      </c>
      <c r="W20" s="29">
        <f t="shared" si="7"/>
        <v>0.19262981574539365</v>
      </c>
      <c r="X20" s="29">
        <f t="shared" si="8"/>
        <v>1.6750418760469012E-3</v>
      </c>
      <c r="Y20" s="30">
        <f t="shared" si="9"/>
        <v>36.162479061976548</v>
      </c>
    </row>
    <row r="21" spans="1:25" x14ac:dyDescent="0.25">
      <c r="A21" s="28" t="s">
        <v>238</v>
      </c>
      <c r="B21" s="28" t="s">
        <v>239</v>
      </c>
      <c r="C21" s="28" t="s">
        <v>146</v>
      </c>
      <c r="D21" s="28">
        <v>6</v>
      </c>
      <c r="E21" s="28"/>
      <c r="F21" s="28"/>
      <c r="G21" s="28"/>
      <c r="H21" s="28">
        <v>358</v>
      </c>
      <c r="I21" s="28">
        <v>200</v>
      </c>
      <c r="J21" s="28">
        <v>1</v>
      </c>
      <c r="K21" s="28">
        <v>41</v>
      </c>
      <c r="L21" s="28"/>
      <c r="M21" s="28">
        <v>600</v>
      </c>
      <c r="N21" s="30">
        <v>25.333333333333332</v>
      </c>
      <c r="O21" s="28" t="s">
        <v>234</v>
      </c>
      <c r="P21" s="28">
        <f t="shared" si="0"/>
        <v>41</v>
      </c>
      <c r="Q21" s="28">
        <f t="shared" si="1"/>
        <v>358</v>
      </c>
      <c r="R21" s="28">
        <f t="shared" si="2"/>
        <v>200</v>
      </c>
      <c r="S21" s="28">
        <f t="shared" si="3"/>
        <v>1</v>
      </c>
      <c r="T21" s="28">
        <f t="shared" si="4"/>
        <v>600</v>
      </c>
      <c r="U21" s="29">
        <f t="shared" si="5"/>
        <v>6.8333333333333329E-2</v>
      </c>
      <c r="V21" s="29">
        <f t="shared" si="6"/>
        <v>0.59666666666666668</v>
      </c>
      <c r="W21" s="29">
        <f t="shared" si="7"/>
        <v>0.33333333333333331</v>
      </c>
      <c r="X21" s="29">
        <f t="shared" si="8"/>
        <v>1.6666666666666668E-3</v>
      </c>
      <c r="Y21" s="30">
        <f t="shared" si="9"/>
        <v>25.333333333333332</v>
      </c>
    </row>
    <row r="22" spans="1:25" x14ac:dyDescent="0.25">
      <c r="A22" s="28" t="s">
        <v>240</v>
      </c>
      <c r="B22" s="28" t="s">
        <v>241</v>
      </c>
      <c r="C22" s="28" t="s">
        <v>148</v>
      </c>
      <c r="D22" s="28">
        <v>1</v>
      </c>
      <c r="E22" s="28"/>
      <c r="F22" s="28"/>
      <c r="G22" s="28"/>
      <c r="H22" s="28">
        <v>403</v>
      </c>
      <c r="I22" s="28">
        <v>19</v>
      </c>
      <c r="J22" s="28"/>
      <c r="K22" s="28">
        <v>28</v>
      </c>
      <c r="L22" s="28"/>
      <c r="M22" s="28">
        <v>450</v>
      </c>
      <c r="N22" s="30">
        <v>65.842222222222219</v>
      </c>
      <c r="O22" s="28" t="s">
        <v>234</v>
      </c>
      <c r="P22" s="28">
        <f t="shared" si="0"/>
        <v>28</v>
      </c>
      <c r="Q22" s="28">
        <f t="shared" si="1"/>
        <v>403</v>
      </c>
      <c r="R22" s="28">
        <f t="shared" si="2"/>
        <v>19</v>
      </c>
      <c r="S22" s="28">
        <f t="shared" si="3"/>
        <v>0</v>
      </c>
      <c r="T22" s="28">
        <f t="shared" si="4"/>
        <v>450</v>
      </c>
      <c r="U22" s="29">
        <f t="shared" si="5"/>
        <v>6.222222222222222E-2</v>
      </c>
      <c r="V22" s="29">
        <f t="shared" si="6"/>
        <v>0.89555555555555555</v>
      </c>
      <c r="W22" s="29">
        <f t="shared" si="7"/>
        <v>4.2222222222222223E-2</v>
      </c>
      <c r="X22" s="29">
        <f t="shared" si="8"/>
        <v>0</v>
      </c>
      <c r="Y22" s="30">
        <f t="shared" si="9"/>
        <v>65.842222222222219</v>
      </c>
    </row>
    <row r="23" spans="1:25" x14ac:dyDescent="0.25">
      <c r="A23" s="28" t="s">
        <v>240</v>
      </c>
      <c r="B23" s="28" t="s">
        <v>241</v>
      </c>
      <c r="C23" s="28" t="s">
        <v>148</v>
      </c>
      <c r="D23" s="28">
        <v>2</v>
      </c>
      <c r="E23" s="28"/>
      <c r="F23" s="28"/>
      <c r="G23" s="28"/>
      <c r="H23" s="28">
        <v>624</v>
      </c>
      <c r="I23" s="28">
        <v>49</v>
      </c>
      <c r="J23" s="28">
        <v>1</v>
      </c>
      <c r="K23" s="28">
        <v>51</v>
      </c>
      <c r="L23" s="28"/>
      <c r="M23" s="28">
        <v>725</v>
      </c>
      <c r="N23" s="30">
        <v>36.475862068965519</v>
      </c>
      <c r="O23" s="28" t="s">
        <v>234</v>
      </c>
      <c r="P23" s="28">
        <f t="shared" si="0"/>
        <v>51</v>
      </c>
      <c r="Q23" s="28">
        <f t="shared" si="1"/>
        <v>624</v>
      </c>
      <c r="R23" s="28">
        <f t="shared" si="2"/>
        <v>49</v>
      </c>
      <c r="S23" s="28">
        <f t="shared" si="3"/>
        <v>1</v>
      </c>
      <c r="T23" s="28">
        <f t="shared" si="4"/>
        <v>725</v>
      </c>
      <c r="U23" s="29">
        <f t="shared" si="5"/>
        <v>7.0344827586206901E-2</v>
      </c>
      <c r="V23" s="29">
        <f t="shared" si="6"/>
        <v>0.8606896551724138</v>
      </c>
      <c r="W23" s="29">
        <f t="shared" si="7"/>
        <v>6.7586206896551718E-2</v>
      </c>
      <c r="X23" s="29">
        <f t="shared" si="8"/>
        <v>1.3793103448275861E-3</v>
      </c>
      <c r="Y23" s="30">
        <f t="shared" si="9"/>
        <v>36.475862068965519</v>
      </c>
    </row>
    <row r="24" spans="1:25" x14ac:dyDescent="0.25">
      <c r="A24" s="28" t="s">
        <v>242</v>
      </c>
      <c r="B24" s="28" t="s">
        <v>243</v>
      </c>
      <c r="C24" s="28" t="s">
        <v>150</v>
      </c>
      <c r="D24" s="28">
        <v>1</v>
      </c>
      <c r="E24" s="28"/>
      <c r="F24" s="28"/>
      <c r="G24" s="28"/>
      <c r="H24" s="28">
        <v>200</v>
      </c>
      <c r="I24" s="28">
        <v>30</v>
      </c>
      <c r="J24" s="28">
        <v>2</v>
      </c>
      <c r="K24" s="28">
        <v>218</v>
      </c>
      <c r="L24" s="28"/>
      <c r="M24" s="28">
        <v>450</v>
      </c>
      <c r="N24" s="30">
        <v>70.577777777777783</v>
      </c>
      <c r="O24" s="28" t="s">
        <v>234</v>
      </c>
      <c r="P24" s="28">
        <f t="shared" si="0"/>
        <v>218</v>
      </c>
      <c r="Q24" s="28">
        <f t="shared" si="1"/>
        <v>200</v>
      </c>
      <c r="R24" s="28">
        <f t="shared" si="2"/>
        <v>30</v>
      </c>
      <c r="S24" s="28">
        <f t="shared" si="3"/>
        <v>2</v>
      </c>
      <c r="T24" s="28">
        <f t="shared" si="4"/>
        <v>450</v>
      </c>
      <c r="U24" s="29">
        <f t="shared" si="5"/>
        <v>0.48444444444444446</v>
      </c>
      <c r="V24" s="29">
        <f t="shared" si="6"/>
        <v>0.44444444444444442</v>
      </c>
      <c r="W24" s="29">
        <f t="shared" si="7"/>
        <v>6.6666666666666666E-2</v>
      </c>
      <c r="X24" s="29">
        <f t="shared" si="8"/>
        <v>4.4444444444444444E-3</v>
      </c>
      <c r="Y24" s="30">
        <f t="shared" si="9"/>
        <v>70.577777777777783</v>
      </c>
    </row>
    <row r="25" spans="1:25" x14ac:dyDescent="0.25">
      <c r="A25" s="28" t="s">
        <v>242</v>
      </c>
      <c r="B25" s="28" t="s">
        <v>243</v>
      </c>
      <c r="C25" s="28" t="s">
        <v>150</v>
      </c>
      <c r="D25" s="28">
        <v>2</v>
      </c>
      <c r="E25" s="28"/>
      <c r="F25" s="28"/>
      <c r="G25" s="28"/>
      <c r="H25" s="28">
        <v>209</v>
      </c>
      <c r="I25" s="28">
        <v>33</v>
      </c>
      <c r="J25" s="28">
        <v>1</v>
      </c>
      <c r="K25" s="28">
        <v>207</v>
      </c>
      <c r="L25" s="28"/>
      <c r="M25" s="28">
        <v>450</v>
      </c>
      <c r="N25" s="30">
        <v>62.206666666666663</v>
      </c>
      <c r="O25" s="28" t="s">
        <v>234</v>
      </c>
      <c r="P25" s="28">
        <f t="shared" si="0"/>
        <v>207</v>
      </c>
      <c r="Q25" s="28">
        <f t="shared" si="1"/>
        <v>209</v>
      </c>
      <c r="R25" s="28">
        <f t="shared" si="2"/>
        <v>33</v>
      </c>
      <c r="S25" s="28">
        <f t="shared" si="3"/>
        <v>1</v>
      </c>
      <c r="T25" s="28">
        <f t="shared" si="4"/>
        <v>450</v>
      </c>
      <c r="U25" s="29">
        <f t="shared" si="5"/>
        <v>0.46</v>
      </c>
      <c r="V25" s="29">
        <f t="shared" si="6"/>
        <v>0.46444444444444444</v>
      </c>
      <c r="W25" s="29">
        <f t="shared" si="7"/>
        <v>7.3333333333333334E-2</v>
      </c>
      <c r="X25" s="29">
        <f t="shared" si="8"/>
        <v>2.2222222222222222E-3</v>
      </c>
      <c r="Y25" s="30">
        <f t="shared" si="9"/>
        <v>62.206666666666663</v>
      </c>
    </row>
    <row r="26" spans="1:25" x14ac:dyDescent="0.25">
      <c r="A26" s="28" t="s">
        <v>242</v>
      </c>
      <c r="B26" s="28" t="s">
        <v>243</v>
      </c>
      <c r="C26" s="28" t="s">
        <v>150</v>
      </c>
      <c r="D26" s="28">
        <v>3</v>
      </c>
      <c r="E26" s="28"/>
      <c r="F26" s="28"/>
      <c r="G26" s="28">
        <v>2</v>
      </c>
      <c r="H26" s="28">
        <v>224</v>
      </c>
      <c r="I26" s="28">
        <v>55</v>
      </c>
      <c r="J26" s="28">
        <v>2</v>
      </c>
      <c r="K26" s="28">
        <v>282</v>
      </c>
      <c r="L26" s="28"/>
      <c r="M26" s="28">
        <v>565</v>
      </c>
      <c r="N26" s="30">
        <v>52.674336283185838</v>
      </c>
      <c r="O26" s="28" t="s">
        <v>234</v>
      </c>
      <c r="P26" s="28">
        <f t="shared" si="0"/>
        <v>282</v>
      </c>
      <c r="Q26" s="28">
        <f t="shared" si="1"/>
        <v>224</v>
      </c>
      <c r="R26" s="28">
        <f t="shared" si="2"/>
        <v>55</v>
      </c>
      <c r="S26" s="28">
        <f t="shared" si="3"/>
        <v>4</v>
      </c>
      <c r="T26" s="28">
        <f t="shared" si="4"/>
        <v>565</v>
      </c>
      <c r="U26" s="29">
        <f t="shared" si="5"/>
        <v>0.49911504424778763</v>
      </c>
      <c r="V26" s="29">
        <f t="shared" si="6"/>
        <v>0.39646017699115044</v>
      </c>
      <c r="W26" s="29">
        <f t="shared" si="7"/>
        <v>9.7345132743362831E-2</v>
      </c>
      <c r="X26" s="29">
        <f t="shared" si="8"/>
        <v>7.0796460176991149E-3</v>
      </c>
      <c r="Y26" s="30">
        <f t="shared" si="9"/>
        <v>52.674336283185838</v>
      </c>
    </row>
    <row r="27" spans="1:25" x14ac:dyDescent="0.25">
      <c r="A27" s="28" t="s">
        <v>242</v>
      </c>
      <c r="B27" s="28" t="s">
        <v>243</v>
      </c>
      <c r="C27" s="28" t="s">
        <v>150</v>
      </c>
      <c r="D27" s="28">
        <v>4</v>
      </c>
      <c r="E27" s="28"/>
      <c r="F27" s="28"/>
      <c r="G27" s="28"/>
      <c r="H27" s="28">
        <v>176</v>
      </c>
      <c r="I27" s="28">
        <v>84</v>
      </c>
      <c r="J27" s="28">
        <v>2</v>
      </c>
      <c r="K27" s="28">
        <v>303</v>
      </c>
      <c r="L27" s="28"/>
      <c r="M27" s="28">
        <v>565</v>
      </c>
      <c r="N27" s="30">
        <v>44.139823008849561</v>
      </c>
      <c r="O27" s="28" t="s">
        <v>234</v>
      </c>
      <c r="P27" s="28">
        <f t="shared" si="0"/>
        <v>303</v>
      </c>
      <c r="Q27" s="28">
        <f t="shared" si="1"/>
        <v>176</v>
      </c>
      <c r="R27" s="28">
        <f t="shared" si="2"/>
        <v>84</v>
      </c>
      <c r="S27" s="28">
        <f t="shared" si="3"/>
        <v>2</v>
      </c>
      <c r="T27" s="28">
        <f t="shared" si="4"/>
        <v>565</v>
      </c>
      <c r="U27" s="29">
        <f t="shared" si="5"/>
        <v>0.536283185840708</v>
      </c>
      <c r="V27" s="29">
        <f t="shared" si="6"/>
        <v>0.31150442477876106</v>
      </c>
      <c r="W27" s="29">
        <f t="shared" si="7"/>
        <v>0.14867256637168141</v>
      </c>
      <c r="X27" s="29">
        <f t="shared" si="8"/>
        <v>3.5398230088495575E-3</v>
      </c>
      <c r="Y27" s="30">
        <f t="shared" si="9"/>
        <v>44.139823008849561</v>
      </c>
    </row>
    <row r="28" spans="1:25" x14ac:dyDescent="0.25">
      <c r="A28" s="28" t="s">
        <v>242</v>
      </c>
      <c r="B28" s="28" t="s">
        <v>243</v>
      </c>
      <c r="C28" s="28" t="s">
        <v>150</v>
      </c>
      <c r="D28" s="28">
        <v>5</v>
      </c>
      <c r="E28" s="28"/>
      <c r="F28" s="28"/>
      <c r="G28" s="28">
        <v>1</v>
      </c>
      <c r="H28" s="28">
        <v>220</v>
      </c>
      <c r="I28" s="28">
        <v>89</v>
      </c>
      <c r="J28" s="28">
        <v>2</v>
      </c>
      <c r="K28" s="28">
        <v>258</v>
      </c>
      <c r="L28" s="28"/>
      <c r="M28" s="28">
        <v>570</v>
      </c>
      <c r="N28" s="30">
        <v>35.705263157894734</v>
      </c>
      <c r="O28" s="28" t="s">
        <v>234</v>
      </c>
      <c r="P28" s="28">
        <f t="shared" si="0"/>
        <v>258</v>
      </c>
      <c r="Q28" s="28">
        <f t="shared" si="1"/>
        <v>220</v>
      </c>
      <c r="R28" s="28">
        <f t="shared" si="2"/>
        <v>89</v>
      </c>
      <c r="S28" s="28">
        <f t="shared" si="3"/>
        <v>3</v>
      </c>
      <c r="T28" s="28">
        <f t="shared" si="4"/>
        <v>570</v>
      </c>
      <c r="U28" s="29">
        <f t="shared" si="5"/>
        <v>0.45263157894736844</v>
      </c>
      <c r="V28" s="29">
        <f t="shared" si="6"/>
        <v>0.38596491228070173</v>
      </c>
      <c r="W28" s="29">
        <f t="shared" si="7"/>
        <v>0.156140350877193</v>
      </c>
      <c r="X28" s="29">
        <f t="shared" si="8"/>
        <v>5.263157894736842E-3</v>
      </c>
      <c r="Y28" s="30">
        <f t="shared" si="9"/>
        <v>35.705263157894734</v>
      </c>
    </row>
    <row r="29" spans="1:25" x14ac:dyDescent="0.25">
      <c r="A29" s="28" t="s">
        <v>242</v>
      </c>
      <c r="B29" s="28" t="s">
        <v>243</v>
      </c>
      <c r="C29" s="28" t="s">
        <v>150</v>
      </c>
      <c r="D29" s="28">
        <v>6</v>
      </c>
      <c r="E29" s="28"/>
      <c r="F29" s="28"/>
      <c r="G29" s="28"/>
      <c r="H29" s="28">
        <v>161</v>
      </c>
      <c r="I29" s="28">
        <v>61</v>
      </c>
      <c r="J29" s="28">
        <v>3</v>
      </c>
      <c r="K29" s="28">
        <v>353</v>
      </c>
      <c r="L29" s="28"/>
      <c r="M29" s="28">
        <v>578</v>
      </c>
      <c r="N29" s="30">
        <v>24.975778546712803</v>
      </c>
      <c r="O29" s="28" t="s">
        <v>234</v>
      </c>
      <c r="P29" s="28">
        <f t="shared" si="0"/>
        <v>353</v>
      </c>
      <c r="Q29" s="28">
        <f t="shared" si="1"/>
        <v>161</v>
      </c>
      <c r="R29" s="28">
        <f t="shared" si="2"/>
        <v>61</v>
      </c>
      <c r="S29" s="28">
        <f t="shared" si="3"/>
        <v>3</v>
      </c>
      <c r="T29" s="28">
        <f t="shared" si="4"/>
        <v>578</v>
      </c>
      <c r="U29" s="29">
        <f t="shared" si="5"/>
        <v>0.61072664359861595</v>
      </c>
      <c r="V29" s="29">
        <f t="shared" si="6"/>
        <v>0.27854671280276816</v>
      </c>
      <c r="W29" s="29">
        <f t="shared" si="7"/>
        <v>0.10553633217993079</v>
      </c>
      <c r="X29" s="29">
        <f t="shared" si="8"/>
        <v>5.1903114186851208E-3</v>
      </c>
      <c r="Y29" s="30">
        <f t="shared" si="9"/>
        <v>24.975778546712803</v>
      </c>
    </row>
    <row r="30" spans="1:25" x14ac:dyDescent="0.25">
      <c r="A30" s="28" t="s">
        <v>244</v>
      </c>
      <c r="B30" s="28" t="s">
        <v>245</v>
      </c>
      <c r="C30" s="28" t="s">
        <v>152</v>
      </c>
      <c r="D30" s="28">
        <v>1</v>
      </c>
      <c r="E30" s="28"/>
      <c r="F30" s="28"/>
      <c r="G30" s="28"/>
      <c r="H30" s="28">
        <v>30</v>
      </c>
      <c r="I30" s="28">
        <v>21</v>
      </c>
      <c r="J30" s="28">
        <v>2</v>
      </c>
      <c r="K30" s="28">
        <v>397</v>
      </c>
      <c r="L30" s="28"/>
      <c r="M30" s="28">
        <v>450</v>
      </c>
      <c r="N30" s="30">
        <v>59.4</v>
      </c>
      <c r="O30" s="28" t="s">
        <v>234</v>
      </c>
      <c r="P30" s="28">
        <f t="shared" si="0"/>
        <v>397</v>
      </c>
      <c r="Q30" s="28">
        <f t="shared" si="1"/>
        <v>30</v>
      </c>
      <c r="R30" s="28">
        <f t="shared" si="2"/>
        <v>21</v>
      </c>
      <c r="S30" s="28">
        <f t="shared" si="3"/>
        <v>2</v>
      </c>
      <c r="T30" s="28">
        <f t="shared" si="4"/>
        <v>450</v>
      </c>
      <c r="U30" s="29">
        <f t="shared" si="5"/>
        <v>0.88222222222222224</v>
      </c>
      <c r="V30" s="29">
        <f t="shared" si="6"/>
        <v>6.6666666666666666E-2</v>
      </c>
      <c r="W30" s="29">
        <f t="shared" si="7"/>
        <v>4.6666666666666669E-2</v>
      </c>
      <c r="X30" s="29">
        <f t="shared" si="8"/>
        <v>4.4444444444444444E-3</v>
      </c>
      <c r="Y30" s="30">
        <f t="shared" si="9"/>
        <v>59.4</v>
      </c>
    </row>
    <row r="31" spans="1:25" x14ac:dyDescent="0.25">
      <c r="A31" s="28" t="s">
        <v>244</v>
      </c>
      <c r="B31" s="28" t="s">
        <v>245</v>
      </c>
      <c r="C31" s="28" t="s">
        <v>152</v>
      </c>
      <c r="D31" s="28">
        <v>2</v>
      </c>
      <c r="E31" s="28"/>
      <c r="F31" s="28">
        <v>1</v>
      </c>
      <c r="G31" s="28"/>
      <c r="H31" s="28">
        <v>76</v>
      </c>
      <c r="I31" s="28">
        <v>45</v>
      </c>
      <c r="J31" s="28"/>
      <c r="K31" s="28">
        <v>292</v>
      </c>
      <c r="L31" s="28"/>
      <c r="M31" s="28">
        <v>414</v>
      </c>
      <c r="N31" s="30">
        <v>41.115942028985508</v>
      </c>
      <c r="O31" s="28" t="s">
        <v>234</v>
      </c>
      <c r="P31" s="28">
        <f t="shared" si="0"/>
        <v>292</v>
      </c>
      <c r="Q31" s="28">
        <f t="shared" si="1"/>
        <v>76</v>
      </c>
      <c r="R31" s="28">
        <f t="shared" si="2"/>
        <v>45</v>
      </c>
      <c r="S31" s="28">
        <f t="shared" si="3"/>
        <v>1</v>
      </c>
      <c r="T31" s="28">
        <f t="shared" si="4"/>
        <v>414</v>
      </c>
      <c r="U31" s="29">
        <f t="shared" si="5"/>
        <v>0.70531400966183577</v>
      </c>
      <c r="V31" s="29">
        <f t="shared" si="6"/>
        <v>0.18357487922705315</v>
      </c>
      <c r="W31" s="29">
        <f t="shared" si="7"/>
        <v>0.10869565217391304</v>
      </c>
      <c r="X31" s="29">
        <f t="shared" si="8"/>
        <v>2.4154589371980675E-3</v>
      </c>
      <c r="Y31" s="30">
        <f t="shared" si="9"/>
        <v>41.115942028985508</v>
      </c>
    </row>
    <row r="32" spans="1:25" x14ac:dyDescent="0.25">
      <c r="A32" s="28" t="s">
        <v>244</v>
      </c>
      <c r="B32" s="28" t="s">
        <v>245</v>
      </c>
      <c r="C32" s="28" t="s">
        <v>152</v>
      </c>
      <c r="D32" s="28">
        <v>3</v>
      </c>
      <c r="E32" s="28"/>
      <c r="F32" s="28"/>
      <c r="G32" s="28"/>
      <c r="H32" s="28">
        <v>41</v>
      </c>
      <c r="I32" s="28">
        <v>10</v>
      </c>
      <c r="J32" s="28"/>
      <c r="K32" s="28">
        <v>364</v>
      </c>
      <c r="L32" s="28"/>
      <c r="M32" s="28">
        <v>415</v>
      </c>
      <c r="N32" s="30">
        <v>25.862650602409637</v>
      </c>
      <c r="O32" s="28" t="s">
        <v>234</v>
      </c>
      <c r="P32" s="28">
        <f t="shared" si="0"/>
        <v>364</v>
      </c>
      <c r="Q32" s="28">
        <f t="shared" si="1"/>
        <v>41</v>
      </c>
      <c r="R32" s="28">
        <f t="shared" si="2"/>
        <v>10</v>
      </c>
      <c r="S32" s="28">
        <f t="shared" si="3"/>
        <v>0</v>
      </c>
      <c r="T32" s="28">
        <f t="shared" si="4"/>
        <v>415</v>
      </c>
      <c r="U32" s="29">
        <f t="shared" si="5"/>
        <v>0.87710843373493974</v>
      </c>
      <c r="V32" s="29">
        <f t="shared" si="6"/>
        <v>9.8795180722891562E-2</v>
      </c>
      <c r="W32" s="29">
        <f t="shared" si="7"/>
        <v>2.4096385542168676E-2</v>
      </c>
      <c r="X32" s="29">
        <f t="shared" si="8"/>
        <v>0</v>
      </c>
      <c r="Y32" s="30">
        <f t="shared" si="9"/>
        <v>25.862650602409637</v>
      </c>
    </row>
    <row r="33" spans="1:25" x14ac:dyDescent="0.25">
      <c r="A33" s="28" t="s">
        <v>246</v>
      </c>
      <c r="B33" s="28" t="s">
        <v>247</v>
      </c>
      <c r="C33" s="28" t="s">
        <v>154</v>
      </c>
      <c r="D33" s="28">
        <v>1</v>
      </c>
      <c r="E33" s="28"/>
      <c r="F33" s="28"/>
      <c r="G33" s="28">
        <v>1</v>
      </c>
      <c r="H33" s="28">
        <v>143</v>
      </c>
      <c r="I33" s="28">
        <v>234</v>
      </c>
      <c r="J33" s="28">
        <v>1</v>
      </c>
      <c r="K33" s="28">
        <v>71</v>
      </c>
      <c r="L33" s="28"/>
      <c r="M33" s="28">
        <v>450</v>
      </c>
      <c r="N33" s="30">
        <v>66.94</v>
      </c>
      <c r="O33" s="28" t="s">
        <v>234</v>
      </c>
      <c r="P33" s="28">
        <f t="shared" si="0"/>
        <v>71</v>
      </c>
      <c r="Q33" s="28">
        <f t="shared" si="1"/>
        <v>143</v>
      </c>
      <c r="R33" s="28">
        <f t="shared" si="2"/>
        <v>234</v>
      </c>
      <c r="S33" s="28">
        <f t="shared" si="3"/>
        <v>2</v>
      </c>
      <c r="T33" s="28">
        <f t="shared" si="4"/>
        <v>450</v>
      </c>
      <c r="U33" s="29">
        <f t="shared" si="5"/>
        <v>0.15777777777777777</v>
      </c>
      <c r="V33" s="29">
        <f t="shared" si="6"/>
        <v>0.31777777777777777</v>
      </c>
      <c r="W33" s="29">
        <f t="shared" si="7"/>
        <v>0.52</v>
      </c>
      <c r="X33" s="29">
        <f t="shared" si="8"/>
        <v>4.4444444444444444E-3</v>
      </c>
      <c r="Y33" s="30">
        <f t="shared" si="9"/>
        <v>66.94</v>
      </c>
    </row>
    <row r="34" spans="1:25" x14ac:dyDescent="0.25">
      <c r="A34" s="28" t="s">
        <v>246</v>
      </c>
      <c r="B34" s="28" t="s">
        <v>247</v>
      </c>
      <c r="C34" s="28" t="s">
        <v>154</v>
      </c>
      <c r="D34" s="28">
        <v>2</v>
      </c>
      <c r="E34" s="28"/>
      <c r="F34" s="28">
        <v>1</v>
      </c>
      <c r="G34" s="28">
        <v>2</v>
      </c>
      <c r="H34" s="28">
        <v>92</v>
      </c>
      <c r="I34" s="28">
        <v>216</v>
      </c>
      <c r="J34" s="28">
        <v>1</v>
      </c>
      <c r="K34" s="28">
        <v>138</v>
      </c>
      <c r="L34" s="28"/>
      <c r="M34" s="28">
        <v>450</v>
      </c>
      <c r="N34" s="30">
        <v>58.72</v>
      </c>
      <c r="O34" s="28" t="s">
        <v>234</v>
      </c>
      <c r="P34" s="28">
        <f t="shared" si="0"/>
        <v>138</v>
      </c>
      <c r="Q34" s="28">
        <f t="shared" si="1"/>
        <v>92</v>
      </c>
      <c r="R34" s="28">
        <f t="shared" si="2"/>
        <v>216</v>
      </c>
      <c r="S34" s="28">
        <f t="shared" si="3"/>
        <v>4</v>
      </c>
      <c r="T34" s="28">
        <f t="shared" si="4"/>
        <v>450</v>
      </c>
      <c r="U34" s="29">
        <f t="shared" si="5"/>
        <v>0.30666666666666664</v>
      </c>
      <c r="V34" s="29">
        <f t="shared" si="6"/>
        <v>0.20444444444444446</v>
      </c>
      <c r="W34" s="29">
        <f t="shared" si="7"/>
        <v>0.48</v>
      </c>
      <c r="X34" s="29">
        <f t="shared" si="8"/>
        <v>8.8888888888888889E-3</v>
      </c>
      <c r="Y34" s="30">
        <f t="shared" si="9"/>
        <v>58.72</v>
      </c>
    </row>
    <row r="35" spans="1:25" x14ac:dyDescent="0.25">
      <c r="A35" s="28" t="s">
        <v>246</v>
      </c>
      <c r="B35" s="28" t="s">
        <v>247</v>
      </c>
      <c r="C35" s="28" t="s">
        <v>154</v>
      </c>
      <c r="D35" s="28">
        <v>3</v>
      </c>
      <c r="E35" s="28"/>
      <c r="F35" s="28">
        <v>1</v>
      </c>
      <c r="G35" s="28">
        <v>2</v>
      </c>
      <c r="H35" s="28">
        <v>142</v>
      </c>
      <c r="I35" s="28">
        <v>363</v>
      </c>
      <c r="J35" s="28">
        <v>3</v>
      </c>
      <c r="K35" s="28">
        <v>184</v>
      </c>
      <c r="L35" s="28"/>
      <c r="M35" s="28">
        <v>695</v>
      </c>
      <c r="N35" s="30">
        <v>47.860431654676262</v>
      </c>
      <c r="O35" s="28" t="s">
        <v>234</v>
      </c>
      <c r="P35" s="28">
        <f t="shared" si="0"/>
        <v>184</v>
      </c>
      <c r="Q35" s="28">
        <f t="shared" si="1"/>
        <v>142</v>
      </c>
      <c r="R35" s="28">
        <f t="shared" si="2"/>
        <v>363</v>
      </c>
      <c r="S35" s="28">
        <f t="shared" si="3"/>
        <v>6</v>
      </c>
      <c r="T35" s="28">
        <f t="shared" si="4"/>
        <v>695</v>
      </c>
      <c r="U35" s="29">
        <f t="shared" si="5"/>
        <v>0.26474820143884892</v>
      </c>
      <c r="V35" s="29">
        <f t="shared" si="6"/>
        <v>0.20431654676258992</v>
      </c>
      <c r="W35" s="29">
        <f t="shared" si="7"/>
        <v>0.52230215827338133</v>
      </c>
      <c r="X35" s="29">
        <f t="shared" si="8"/>
        <v>8.6330935251798559E-3</v>
      </c>
      <c r="Y35" s="30">
        <f t="shared" si="9"/>
        <v>47.860431654676262</v>
      </c>
    </row>
    <row r="36" spans="1:25" x14ac:dyDescent="0.25">
      <c r="A36" s="28" t="s">
        <v>246</v>
      </c>
      <c r="B36" s="28" t="s">
        <v>247</v>
      </c>
      <c r="C36" s="28" t="s">
        <v>154</v>
      </c>
      <c r="D36" s="28">
        <v>4</v>
      </c>
      <c r="E36" s="28"/>
      <c r="F36" s="28">
        <v>2</v>
      </c>
      <c r="G36" s="28"/>
      <c r="H36" s="28">
        <v>116</v>
      </c>
      <c r="I36" s="28">
        <v>372</v>
      </c>
      <c r="J36" s="28">
        <v>3</v>
      </c>
      <c r="K36" s="28">
        <v>203</v>
      </c>
      <c r="L36" s="28"/>
      <c r="M36" s="28">
        <v>696</v>
      </c>
      <c r="N36" s="30">
        <v>37.484195402298852</v>
      </c>
      <c r="O36" s="28" t="s">
        <v>234</v>
      </c>
      <c r="P36" s="28">
        <f t="shared" si="0"/>
        <v>203</v>
      </c>
      <c r="Q36" s="28">
        <f t="shared" si="1"/>
        <v>116</v>
      </c>
      <c r="R36" s="28">
        <f t="shared" si="2"/>
        <v>372</v>
      </c>
      <c r="S36" s="28">
        <f t="shared" si="3"/>
        <v>5</v>
      </c>
      <c r="T36" s="28">
        <f t="shared" si="4"/>
        <v>696</v>
      </c>
      <c r="U36" s="29">
        <f t="shared" si="5"/>
        <v>0.29166666666666669</v>
      </c>
      <c r="V36" s="29">
        <f t="shared" si="6"/>
        <v>0.16666666666666666</v>
      </c>
      <c r="W36" s="29">
        <f t="shared" si="7"/>
        <v>0.53448275862068961</v>
      </c>
      <c r="X36" s="29">
        <f t="shared" si="8"/>
        <v>7.1839080459770114E-3</v>
      </c>
      <c r="Y36" s="30">
        <f t="shared" si="9"/>
        <v>37.484195402298852</v>
      </c>
    </row>
    <row r="37" spans="1:25" x14ac:dyDescent="0.25">
      <c r="A37" s="28" t="s">
        <v>246</v>
      </c>
      <c r="B37" s="28" t="s">
        <v>247</v>
      </c>
      <c r="C37" s="28" t="s">
        <v>154</v>
      </c>
      <c r="D37" s="28">
        <v>5</v>
      </c>
      <c r="E37" s="28">
        <v>2</v>
      </c>
      <c r="F37" s="28"/>
      <c r="G37" s="28">
        <v>1</v>
      </c>
      <c r="H37" s="28">
        <v>92</v>
      </c>
      <c r="I37" s="28">
        <v>309</v>
      </c>
      <c r="J37" s="28"/>
      <c r="K37" s="28">
        <v>292</v>
      </c>
      <c r="L37" s="28"/>
      <c r="M37" s="28">
        <v>696</v>
      </c>
      <c r="N37" s="30">
        <v>29.456896551724139</v>
      </c>
      <c r="O37" s="28" t="s">
        <v>234</v>
      </c>
      <c r="P37" s="28">
        <f t="shared" si="0"/>
        <v>292</v>
      </c>
      <c r="Q37" s="28">
        <f t="shared" si="1"/>
        <v>92</v>
      </c>
      <c r="R37" s="28">
        <f t="shared" si="2"/>
        <v>309</v>
      </c>
      <c r="S37" s="28">
        <f t="shared" si="3"/>
        <v>3</v>
      </c>
      <c r="T37" s="28">
        <f t="shared" si="4"/>
        <v>696</v>
      </c>
      <c r="U37" s="29">
        <f t="shared" si="5"/>
        <v>0.41954022988505746</v>
      </c>
      <c r="V37" s="29">
        <f t="shared" si="6"/>
        <v>0.13218390804597702</v>
      </c>
      <c r="W37" s="29">
        <f t="shared" si="7"/>
        <v>0.44396551724137934</v>
      </c>
      <c r="X37" s="29">
        <f t="shared" si="8"/>
        <v>4.3103448275862068E-3</v>
      </c>
      <c r="Y37" s="30">
        <f t="shared" si="9"/>
        <v>29.456896551724139</v>
      </c>
    </row>
    <row r="38" spans="1:25" x14ac:dyDescent="0.25">
      <c r="A38" s="28" t="s">
        <v>246</v>
      </c>
      <c r="B38" s="28" t="s">
        <v>247</v>
      </c>
      <c r="C38" s="28" t="s">
        <v>154</v>
      </c>
      <c r="D38" s="28">
        <v>6</v>
      </c>
      <c r="E38" s="28"/>
      <c r="F38" s="28"/>
      <c r="G38" s="28">
        <v>1</v>
      </c>
      <c r="H38" s="28">
        <v>90</v>
      </c>
      <c r="I38" s="28">
        <v>268</v>
      </c>
      <c r="J38" s="28"/>
      <c r="K38" s="28">
        <v>337</v>
      </c>
      <c r="L38" s="28"/>
      <c r="M38" s="28">
        <v>696</v>
      </c>
      <c r="N38" s="30">
        <v>24.275862068965516</v>
      </c>
      <c r="O38" s="28" t="s">
        <v>234</v>
      </c>
      <c r="P38" s="28">
        <f t="shared" si="0"/>
        <v>337</v>
      </c>
      <c r="Q38" s="28">
        <f t="shared" si="1"/>
        <v>90</v>
      </c>
      <c r="R38" s="28">
        <f t="shared" si="2"/>
        <v>268</v>
      </c>
      <c r="S38" s="28">
        <f t="shared" si="3"/>
        <v>1</v>
      </c>
      <c r="T38" s="28">
        <f t="shared" si="4"/>
        <v>696</v>
      </c>
      <c r="U38" s="29">
        <f t="shared" si="5"/>
        <v>0.48419540229885055</v>
      </c>
      <c r="V38" s="29">
        <f t="shared" si="6"/>
        <v>0.12931034482758622</v>
      </c>
      <c r="W38" s="29">
        <f t="shared" si="7"/>
        <v>0.38505747126436779</v>
      </c>
      <c r="X38" s="29">
        <f t="shared" si="8"/>
        <v>1.4367816091954023E-3</v>
      </c>
      <c r="Y38" s="30">
        <f t="shared" si="9"/>
        <v>24.275862068965516</v>
      </c>
    </row>
    <row r="39" spans="1:25" x14ac:dyDescent="0.25">
      <c r="A39" s="28" t="s">
        <v>246</v>
      </c>
      <c r="B39" s="28" t="s">
        <v>247</v>
      </c>
      <c r="C39" s="28" t="s">
        <v>154</v>
      </c>
      <c r="D39" s="28">
        <v>7</v>
      </c>
      <c r="E39" s="28"/>
      <c r="F39" s="28"/>
      <c r="G39" s="28">
        <v>1</v>
      </c>
      <c r="H39" s="28">
        <v>88</v>
      </c>
      <c r="I39" s="28">
        <v>254</v>
      </c>
      <c r="J39" s="28"/>
      <c r="K39" s="28">
        <v>357</v>
      </c>
      <c r="L39" s="28"/>
      <c r="M39" s="28">
        <v>700</v>
      </c>
      <c r="N39" s="30">
        <v>19.985714285714284</v>
      </c>
      <c r="O39" s="28" t="s">
        <v>234</v>
      </c>
      <c r="P39" s="28">
        <f t="shared" si="0"/>
        <v>357</v>
      </c>
      <c r="Q39" s="28">
        <f t="shared" si="1"/>
        <v>88</v>
      </c>
      <c r="R39" s="28">
        <f t="shared" si="2"/>
        <v>254</v>
      </c>
      <c r="S39" s="28">
        <f t="shared" si="3"/>
        <v>1</v>
      </c>
      <c r="T39" s="28">
        <f t="shared" si="4"/>
        <v>700</v>
      </c>
      <c r="U39" s="29">
        <f t="shared" si="5"/>
        <v>0.51</v>
      </c>
      <c r="V39" s="29">
        <f t="shared" si="6"/>
        <v>0.12571428571428572</v>
      </c>
      <c r="W39" s="29">
        <f t="shared" si="7"/>
        <v>0.36285714285714288</v>
      </c>
      <c r="X39" s="29">
        <f t="shared" si="8"/>
        <v>1.4285714285714286E-3</v>
      </c>
      <c r="Y39" s="30">
        <f t="shared" si="9"/>
        <v>19.985714285714284</v>
      </c>
    </row>
    <row r="40" spans="1:25" x14ac:dyDescent="0.25">
      <c r="A40" s="28" t="s">
        <v>248</v>
      </c>
      <c r="B40" s="28" t="s">
        <v>249</v>
      </c>
      <c r="C40" s="28" t="s">
        <v>156</v>
      </c>
      <c r="D40" s="28">
        <v>1</v>
      </c>
      <c r="E40" s="28"/>
      <c r="F40" s="28"/>
      <c r="G40" s="28"/>
      <c r="H40" s="28">
        <v>287</v>
      </c>
      <c r="I40" s="28">
        <v>132</v>
      </c>
      <c r="J40" s="28"/>
      <c r="K40" s="28">
        <v>31</v>
      </c>
      <c r="L40" s="28"/>
      <c r="M40" s="28">
        <v>450</v>
      </c>
      <c r="N40" s="30">
        <v>67.784444444444446</v>
      </c>
      <c r="O40" s="28" t="s">
        <v>234</v>
      </c>
      <c r="P40" s="28">
        <f t="shared" si="0"/>
        <v>31</v>
      </c>
      <c r="Q40" s="28">
        <f t="shared" si="1"/>
        <v>287</v>
      </c>
      <c r="R40" s="28">
        <f t="shared" si="2"/>
        <v>132</v>
      </c>
      <c r="S40" s="28">
        <f t="shared" si="3"/>
        <v>0</v>
      </c>
      <c r="T40" s="28">
        <f t="shared" si="4"/>
        <v>450</v>
      </c>
      <c r="U40" s="29">
        <f t="shared" si="5"/>
        <v>6.8888888888888888E-2</v>
      </c>
      <c r="V40" s="29">
        <f t="shared" si="6"/>
        <v>0.63777777777777778</v>
      </c>
      <c r="W40" s="29">
        <f t="shared" si="7"/>
        <v>0.29333333333333333</v>
      </c>
      <c r="X40" s="29">
        <f t="shared" si="8"/>
        <v>0</v>
      </c>
      <c r="Y40" s="30">
        <f t="shared" si="9"/>
        <v>67.784444444444446</v>
      </c>
    </row>
    <row r="41" spans="1:25" x14ac:dyDescent="0.25">
      <c r="A41" s="28" t="s">
        <v>248</v>
      </c>
      <c r="B41" s="28" t="s">
        <v>249</v>
      </c>
      <c r="C41" s="28" t="s">
        <v>156</v>
      </c>
      <c r="D41" s="28">
        <v>2</v>
      </c>
      <c r="E41" s="28"/>
      <c r="F41" s="28"/>
      <c r="G41" s="28">
        <v>2</v>
      </c>
      <c r="H41" s="28">
        <v>199</v>
      </c>
      <c r="I41" s="28">
        <v>154</v>
      </c>
      <c r="J41" s="28">
        <v>2</v>
      </c>
      <c r="K41" s="28">
        <v>93</v>
      </c>
      <c r="L41" s="28"/>
      <c r="M41" s="28">
        <v>450</v>
      </c>
      <c r="N41" s="30">
        <v>56.528888888888886</v>
      </c>
      <c r="O41" s="28" t="s">
        <v>234</v>
      </c>
      <c r="P41" s="28">
        <f t="shared" si="0"/>
        <v>93</v>
      </c>
      <c r="Q41" s="28">
        <f t="shared" si="1"/>
        <v>199</v>
      </c>
      <c r="R41" s="28">
        <f t="shared" si="2"/>
        <v>154</v>
      </c>
      <c r="S41" s="28">
        <f t="shared" si="3"/>
        <v>4</v>
      </c>
      <c r="T41" s="28">
        <f t="shared" si="4"/>
        <v>450</v>
      </c>
      <c r="U41" s="29">
        <f t="shared" si="5"/>
        <v>0.20666666666666667</v>
      </c>
      <c r="V41" s="29">
        <f t="shared" si="6"/>
        <v>0.44222222222222224</v>
      </c>
      <c r="W41" s="29">
        <f t="shared" si="7"/>
        <v>0.34222222222222221</v>
      </c>
      <c r="X41" s="29">
        <f t="shared" si="8"/>
        <v>8.8888888888888889E-3</v>
      </c>
      <c r="Y41" s="30">
        <f t="shared" si="9"/>
        <v>56.528888888888886</v>
      </c>
    </row>
    <row r="42" spans="1:25" x14ac:dyDescent="0.25">
      <c r="A42" s="28" t="s">
        <v>248</v>
      </c>
      <c r="B42" s="28" t="s">
        <v>249</v>
      </c>
      <c r="C42" s="28" t="s">
        <v>156</v>
      </c>
      <c r="D42" s="28">
        <v>3</v>
      </c>
      <c r="E42" s="28"/>
      <c r="F42" s="28">
        <v>1</v>
      </c>
      <c r="G42" s="28">
        <v>1</v>
      </c>
      <c r="H42" s="28">
        <v>292</v>
      </c>
      <c r="I42" s="28">
        <v>306</v>
      </c>
      <c r="J42" s="28">
        <v>1</v>
      </c>
      <c r="K42" s="28">
        <v>123</v>
      </c>
      <c r="L42" s="28"/>
      <c r="M42" s="28">
        <v>724</v>
      </c>
      <c r="N42" s="30">
        <v>42.321823204419893</v>
      </c>
      <c r="O42" s="28" t="s">
        <v>234</v>
      </c>
      <c r="P42" s="28">
        <f t="shared" si="0"/>
        <v>123</v>
      </c>
      <c r="Q42" s="28">
        <f t="shared" si="1"/>
        <v>292</v>
      </c>
      <c r="R42" s="28">
        <f t="shared" si="2"/>
        <v>306</v>
      </c>
      <c r="S42" s="28">
        <f t="shared" si="3"/>
        <v>3</v>
      </c>
      <c r="T42" s="28">
        <f t="shared" si="4"/>
        <v>724</v>
      </c>
      <c r="U42" s="29">
        <f t="shared" si="5"/>
        <v>0.16988950276243095</v>
      </c>
      <c r="V42" s="29">
        <f t="shared" si="6"/>
        <v>0.40331491712707185</v>
      </c>
      <c r="W42" s="29">
        <f t="shared" si="7"/>
        <v>0.42265193370165743</v>
      </c>
      <c r="X42" s="29">
        <f t="shared" si="8"/>
        <v>4.1436464088397788E-3</v>
      </c>
      <c r="Y42" s="30">
        <f t="shared" si="9"/>
        <v>42.321823204419893</v>
      </c>
    </row>
    <row r="43" spans="1:25" x14ac:dyDescent="0.25">
      <c r="A43" s="28" t="s">
        <v>248</v>
      </c>
      <c r="B43" s="28" t="s">
        <v>249</v>
      </c>
      <c r="C43" s="28" t="s">
        <v>156</v>
      </c>
      <c r="D43" s="28">
        <v>4</v>
      </c>
      <c r="E43" s="28">
        <v>1</v>
      </c>
      <c r="F43" s="28"/>
      <c r="G43" s="28"/>
      <c r="H43" s="28">
        <v>281</v>
      </c>
      <c r="I43" s="28">
        <v>256</v>
      </c>
      <c r="J43" s="28">
        <v>3</v>
      </c>
      <c r="K43" s="28">
        <v>183</v>
      </c>
      <c r="L43" s="28"/>
      <c r="M43" s="28">
        <v>724</v>
      </c>
      <c r="N43" s="30">
        <v>30.715469613259668</v>
      </c>
      <c r="O43" s="28" t="s">
        <v>234</v>
      </c>
      <c r="P43" s="28">
        <f t="shared" si="0"/>
        <v>183</v>
      </c>
      <c r="Q43" s="28">
        <f t="shared" si="1"/>
        <v>281</v>
      </c>
      <c r="R43" s="28">
        <f t="shared" si="2"/>
        <v>256</v>
      </c>
      <c r="S43" s="28">
        <f t="shared" si="3"/>
        <v>4</v>
      </c>
      <c r="T43" s="28">
        <f t="shared" si="4"/>
        <v>724</v>
      </c>
      <c r="U43" s="29">
        <f t="shared" si="5"/>
        <v>0.25276243093922651</v>
      </c>
      <c r="V43" s="29">
        <f t="shared" si="6"/>
        <v>0.38812154696132595</v>
      </c>
      <c r="W43" s="29">
        <f t="shared" si="7"/>
        <v>0.35359116022099446</v>
      </c>
      <c r="X43" s="29">
        <f t="shared" si="8"/>
        <v>5.5248618784530384E-3</v>
      </c>
      <c r="Y43" s="30">
        <f t="shared" si="9"/>
        <v>30.715469613259668</v>
      </c>
    </row>
    <row r="44" spans="1:25" x14ac:dyDescent="0.25">
      <c r="A44" s="28" t="s">
        <v>248</v>
      </c>
      <c r="B44" s="28" t="s">
        <v>249</v>
      </c>
      <c r="C44" s="28" t="s">
        <v>156</v>
      </c>
      <c r="D44" s="28">
        <v>5</v>
      </c>
      <c r="E44" s="28"/>
      <c r="F44" s="28"/>
      <c r="G44" s="28"/>
      <c r="H44" s="28">
        <v>232</v>
      </c>
      <c r="I44" s="28">
        <v>281</v>
      </c>
      <c r="J44" s="28">
        <v>1</v>
      </c>
      <c r="K44" s="28">
        <v>211</v>
      </c>
      <c r="L44" s="28"/>
      <c r="M44" s="28">
        <v>725</v>
      </c>
      <c r="N44" s="30">
        <v>22.304827586206898</v>
      </c>
      <c r="O44" s="28" t="s">
        <v>234</v>
      </c>
      <c r="P44" s="28">
        <f t="shared" si="0"/>
        <v>211</v>
      </c>
      <c r="Q44" s="28">
        <f t="shared" si="1"/>
        <v>232</v>
      </c>
      <c r="R44" s="28">
        <f t="shared" si="2"/>
        <v>281</v>
      </c>
      <c r="S44" s="28">
        <f t="shared" si="3"/>
        <v>1</v>
      </c>
      <c r="T44" s="28">
        <f t="shared" si="4"/>
        <v>725</v>
      </c>
      <c r="U44" s="29">
        <f t="shared" si="5"/>
        <v>0.29103448275862071</v>
      </c>
      <c r="V44" s="29">
        <f t="shared" si="6"/>
        <v>0.32</v>
      </c>
      <c r="W44" s="29">
        <f t="shared" si="7"/>
        <v>0.38758620689655171</v>
      </c>
      <c r="X44" s="29">
        <f t="shared" si="8"/>
        <v>1.3793103448275861E-3</v>
      </c>
      <c r="Y44" s="30">
        <f t="shared" si="9"/>
        <v>22.304827586206898</v>
      </c>
    </row>
    <row r="45" spans="1:25" x14ac:dyDescent="0.25">
      <c r="A45" s="28" t="s">
        <v>250</v>
      </c>
      <c r="B45" s="28" t="s">
        <v>251</v>
      </c>
      <c r="C45" s="28" t="s">
        <v>158</v>
      </c>
      <c r="D45" s="28">
        <v>1</v>
      </c>
      <c r="E45" s="28"/>
      <c r="F45" s="28"/>
      <c r="G45" s="28">
        <v>1</v>
      </c>
      <c r="H45" s="28">
        <v>331</v>
      </c>
      <c r="I45" s="28">
        <v>58</v>
      </c>
      <c r="J45" s="28">
        <v>1</v>
      </c>
      <c r="K45" s="28">
        <v>59</v>
      </c>
      <c r="L45" s="28"/>
      <c r="M45" s="28">
        <v>450</v>
      </c>
      <c r="N45" s="30">
        <v>70.484444444444449</v>
      </c>
      <c r="O45" s="28" t="s">
        <v>234</v>
      </c>
      <c r="P45" s="28">
        <f t="shared" si="0"/>
        <v>59</v>
      </c>
      <c r="Q45" s="28">
        <f t="shared" si="1"/>
        <v>331</v>
      </c>
      <c r="R45" s="28">
        <f t="shared" si="2"/>
        <v>58</v>
      </c>
      <c r="S45" s="28">
        <f t="shared" si="3"/>
        <v>2</v>
      </c>
      <c r="T45" s="28">
        <f t="shared" si="4"/>
        <v>450</v>
      </c>
      <c r="U45" s="29">
        <f t="shared" si="5"/>
        <v>0.13111111111111112</v>
      </c>
      <c r="V45" s="29">
        <f t="shared" si="6"/>
        <v>0.73555555555555552</v>
      </c>
      <c r="W45" s="29">
        <f t="shared" si="7"/>
        <v>0.12888888888888889</v>
      </c>
      <c r="X45" s="29">
        <f t="shared" si="8"/>
        <v>4.4444444444444444E-3</v>
      </c>
      <c r="Y45" s="30">
        <f t="shared" si="9"/>
        <v>70.484444444444449</v>
      </c>
    </row>
    <row r="46" spans="1:25" x14ac:dyDescent="0.25">
      <c r="A46" s="28" t="s">
        <v>250</v>
      </c>
      <c r="B46" s="28" t="s">
        <v>251</v>
      </c>
      <c r="C46" s="28" t="s">
        <v>158</v>
      </c>
      <c r="D46" s="28">
        <v>2</v>
      </c>
      <c r="E46" s="28"/>
      <c r="F46" s="28">
        <v>1</v>
      </c>
      <c r="G46" s="28"/>
      <c r="H46" s="28">
        <v>331</v>
      </c>
      <c r="I46" s="28">
        <v>75</v>
      </c>
      <c r="J46" s="28">
        <v>1</v>
      </c>
      <c r="K46" s="28">
        <v>42</v>
      </c>
      <c r="L46" s="28"/>
      <c r="M46" s="28">
        <v>450</v>
      </c>
      <c r="N46" s="30">
        <v>65.444444444444443</v>
      </c>
      <c r="O46" s="28" t="s">
        <v>234</v>
      </c>
      <c r="P46" s="28">
        <f t="shared" si="0"/>
        <v>42</v>
      </c>
      <c r="Q46" s="28">
        <f t="shared" si="1"/>
        <v>331</v>
      </c>
      <c r="R46" s="28">
        <f t="shared" si="2"/>
        <v>75</v>
      </c>
      <c r="S46" s="28">
        <f t="shared" si="3"/>
        <v>2</v>
      </c>
      <c r="T46" s="28">
        <f t="shared" si="4"/>
        <v>450</v>
      </c>
      <c r="U46" s="29">
        <f t="shared" si="5"/>
        <v>9.3333333333333338E-2</v>
      </c>
      <c r="V46" s="29">
        <f t="shared" si="6"/>
        <v>0.73555555555555552</v>
      </c>
      <c r="W46" s="29">
        <f t="shared" si="7"/>
        <v>0.16666666666666666</v>
      </c>
      <c r="X46" s="29">
        <f t="shared" si="8"/>
        <v>4.4444444444444444E-3</v>
      </c>
      <c r="Y46" s="30">
        <f t="shared" si="9"/>
        <v>65.444444444444443</v>
      </c>
    </row>
    <row r="47" spans="1:25" x14ac:dyDescent="0.25">
      <c r="A47" s="28" t="s">
        <v>250</v>
      </c>
      <c r="B47" s="28" t="s">
        <v>251</v>
      </c>
      <c r="C47" s="28" t="s">
        <v>158</v>
      </c>
      <c r="D47" s="28">
        <v>3</v>
      </c>
      <c r="E47" s="28"/>
      <c r="F47" s="28">
        <v>1</v>
      </c>
      <c r="G47" s="28"/>
      <c r="H47" s="28">
        <v>322</v>
      </c>
      <c r="I47" s="28">
        <v>66</v>
      </c>
      <c r="J47" s="28">
        <v>1</v>
      </c>
      <c r="K47" s="28">
        <v>60</v>
      </c>
      <c r="L47" s="28"/>
      <c r="M47" s="28">
        <v>450</v>
      </c>
      <c r="N47" s="30">
        <v>58.855555555555554</v>
      </c>
      <c r="O47" s="28" t="s">
        <v>234</v>
      </c>
      <c r="P47" s="28">
        <f t="shared" si="0"/>
        <v>60</v>
      </c>
      <c r="Q47" s="28">
        <f t="shared" si="1"/>
        <v>322</v>
      </c>
      <c r="R47" s="28">
        <f t="shared" si="2"/>
        <v>66</v>
      </c>
      <c r="S47" s="28">
        <f t="shared" si="3"/>
        <v>2</v>
      </c>
      <c r="T47" s="28">
        <f t="shared" si="4"/>
        <v>450</v>
      </c>
      <c r="U47" s="29">
        <f t="shared" si="5"/>
        <v>0.13333333333333333</v>
      </c>
      <c r="V47" s="29">
        <f t="shared" si="6"/>
        <v>0.7155555555555555</v>
      </c>
      <c r="W47" s="29">
        <f t="shared" si="7"/>
        <v>0.14666666666666667</v>
      </c>
      <c r="X47" s="29">
        <f t="shared" si="8"/>
        <v>4.4444444444444444E-3</v>
      </c>
      <c r="Y47" s="30">
        <f t="shared" si="9"/>
        <v>58.855555555555554</v>
      </c>
    </row>
    <row r="48" spans="1:25" x14ac:dyDescent="0.25">
      <c r="A48" s="28" t="s">
        <v>250</v>
      </c>
      <c r="B48" s="28" t="s">
        <v>251</v>
      </c>
      <c r="C48" s="28" t="s">
        <v>158</v>
      </c>
      <c r="D48" s="28">
        <v>4</v>
      </c>
      <c r="E48" s="28"/>
      <c r="F48" s="28"/>
      <c r="G48" s="28">
        <v>1</v>
      </c>
      <c r="H48" s="28">
        <v>454</v>
      </c>
      <c r="I48" s="28">
        <v>100</v>
      </c>
      <c r="J48" s="28"/>
      <c r="K48" s="28">
        <v>91</v>
      </c>
      <c r="L48" s="28"/>
      <c r="M48" s="28">
        <v>646</v>
      </c>
      <c r="N48" s="30">
        <v>52.5015479876161</v>
      </c>
      <c r="O48" s="28" t="s">
        <v>234</v>
      </c>
      <c r="P48" s="28">
        <f t="shared" si="0"/>
        <v>91</v>
      </c>
      <c r="Q48" s="28">
        <f t="shared" si="1"/>
        <v>454</v>
      </c>
      <c r="R48" s="28">
        <f t="shared" si="2"/>
        <v>100</v>
      </c>
      <c r="S48" s="28">
        <f t="shared" si="3"/>
        <v>1</v>
      </c>
      <c r="T48" s="28">
        <f t="shared" si="4"/>
        <v>646</v>
      </c>
      <c r="U48" s="29">
        <f t="shared" si="5"/>
        <v>0.14086687306501547</v>
      </c>
      <c r="V48" s="29">
        <f t="shared" si="6"/>
        <v>0.70278637770897834</v>
      </c>
      <c r="W48" s="29">
        <f t="shared" si="7"/>
        <v>0.15479876160990713</v>
      </c>
      <c r="X48" s="29">
        <f t="shared" si="8"/>
        <v>1.5479876160990713E-3</v>
      </c>
      <c r="Y48" s="30">
        <f t="shared" si="9"/>
        <v>52.5015479876161</v>
      </c>
    </row>
    <row r="49" spans="1:25" x14ac:dyDescent="0.25">
      <c r="A49" s="28" t="s">
        <v>250</v>
      </c>
      <c r="B49" s="28" t="s">
        <v>251</v>
      </c>
      <c r="C49" s="28" t="s">
        <v>158</v>
      </c>
      <c r="D49" s="28">
        <v>5</v>
      </c>
      <c r="E49" s="28"/>
      <c r="F49" s="28">
        <v>1</v>
      </c>
      <c r="G49" s="28">
        <v>2</v>
      </c>
      <c r="H49" s="28">
        <v>464</v>
      </c>
      <c r="I49" s="28">
        <v>109</v>
      </c>
      <c r="J49" s="28">
        <v>2</v>
      </c>
      <c r="K49" s="28">
        <v>68</v>
      </c>
      <c r="L49" s="28"/>
      <c r="M49" s="28">
        <v>646</v>
      </c>
      <c r="N49" s="30">
        <v>45.339009287925698</v>
      </c>
      <c r="O49" s="28" t="s">
        <v>234</v>
      </c>
      <c r="P49" s="28">
        <f t="shared" si="0"/>
        <v>68</v>
      </c>
      <c r="Q49" s="28">
        <f t="shared" si="1"/>
        <v>464</v>
      </c>
      <c r="R49" s="28">
        <f t="shared" si="2"/>
        <v>109</v>
      </c>
      <c r="S49" s="28">
        <f t="shared" si="3"/>
        <v>5</v>
      </c>
      <c r="T49" s="28">
        <f t="shared" si="4"/>
        <v>646</v>
      </c>
      <c r="U49" s="29">
        <f t="shared" si="5"/>
        <v>0.10526315789473684</v>
      </c>
      <c r="V49" s="29">
        <f t="shared" si="6"/>
        <v>0.71826625386996901</v>
      </c>
      <c r="W49" s="29">
        <f t="shared" si="7"/>
        <v>0.16873065015479877</v>
      </c>
      <c r="X49" s="29">
        <f t="shared" si="8"/>
        <v>7.7399380804953561E-3</v>
      </c>
      <c r="Y49" s="30">
        <f t="shared" si="9"/>
        <v>45.339009287925698</v>
      </c>
    </row>
    <row r="50" spans="1:25" x14ac:dyDescent="0.25">
      <c r="A50" s="28" t="s">
        <v>250</v>
      </c>
      <c r="B50" s="28" t="s">
        <v>251</v>
      </c>
      <c r="C50" s="28" t="s">
        <v>158</v>
      </c>
      <c r="D50" s="28">
        <v>6</v>
      </c>
      <c r="E50" s="28"/>
      <c r="F50" s="28">
        <v>1</v>
      </c>
      <c r="G50" s="28">
        <v>2</v>
      </c>
      <c r="H50" s="28">
        <v>439</v>
      </c>
      <c r="I50" s="28">
        <v>135</v>
      </c>
      <c r="J50" s="28"/>
      <c r="K50" s="28">
        <v>69</v>
      </c>
      <c r="L50" s="28"/>
      <c r="M50" s="28">
        <v>646</v>
      </c>
      <c r="N50" s="30">
        <v>38.778637770897831</v>
      </c>
      <c r="O50" s="28" t="s">
        <v>234</v>
      </c>
      <c r="P50" s="28">
        <f t="shared" si="0"/>
        <v>69</v>
      </c>
      <c r="Q50" s="28">
        <f t="shared" si="1"/>
        <v>439</v>
      </c>
      <c r="R50" s="28">
        <f t="shared" si="2"/>
        <v>135</v>
      </c>
      <c r="S50" s="28">
        <f t="shared" si="3"/>
        <v>3</v>
      </c>
      <c r="T50" s="28">
        <f t="shared" si="4"/>
        <v>646</v>
      </c>
      <c r="U50" s="29">
        <f t="shared" si="5"/>
        <v>0.10681114551083591</v>
      </c>
      <c r="V50" s="29">
        <f t="shared" si="6"/>
        <v>0.67956656346749222</v>
      </c>
      <c r="W50" s="29">
        <f t="shared" si="7"/>
        <v>0.20897832817337461</v>
      </c>
      <c r="X50" s="29">
        <f t="shared" si="8"/>
        <v>4.6439628482972135E-3</v>
      </c>
      <c r="Y50" s="30">
        <f t="shared" si="9"/>
        <v>38.778637770897831</v>
      </c>
    </row>
    <row r="51" spans="1:25" x14ac:dyDescent="0.25">
      <c r="A51" s="28" t="s">
        <v>250</v>
      </c>
      <c r="B51" s="28" t="s">
        <v>251</v>
      </c>
      <c r="C51" s="28" t="s">
        <v>158</v>
      </c>
      <c r="D51" s="28">
        <v>7</v>
      </c>
      <c r="E51" s="28"/>
      <c r="F51" s="28"/>
      <c r="G51" s="28"/>
      <c r="H51" s="28">
        <v>389</v>
      </c>
      <c r="I51" s="28">
        <v>149</v>
      </c>
      <c r="J51" s="28"/>
      <c r="K51" s="28">
        <v>108</v>
      </c>
      <c r="L51" s="28"/>
      <c r="M51" s="28">
        <v>646</v>
      </c>
      <c r="N51" s="30">
        <v>32.348297213622288</v>
      </c>
      <c r="O51" s="28" t="s">
        <v>234</v>
      </c>
      <c r="P51" s="28">
        <f t="shared" si="0"/>
        <v>108</v>
      </c>
      <c r="Q51" s="28">
        <f t="shared" si="1"/>
        <v>389</v>
      </c>
      <c r="R51" s="28">
        <f t="shared" si="2"/>
        <v>149</v>
      </c>
      <c r="S51" s="28">
        <f t="shared" si="3"/>
        <v>0</v>
      </c>
      <c r="T51" s="28">
        <f t="shared" si="4"/>
        <v>646</v>
      </c>
      <c r="U51" s="29">
        <f t="shared" si="5"/>
        <v>0.16718266253869968</v>
      </c>
      <c r="V51" s="29">
        <f t="shared" si="6"/>
        <v>0.60216718266253866</v>
      </c>
      <c r="W51" s="29">
        <f t="shared" si="7"/>
        <v>0.23065015479876161</v>
      </c>
      <c r="X51" s="29">
        <f t="shared" si="8"/>
        <v>0</v>
      </c>
      <c r="Y51" s="30">
        <f t="shared" si="9"/>
        <v>32.348297213622288</v>
      </c>
    </row>
    <row r="52" spans="1:25" x14ac:dyDescent="0.25">
      <c r="A52" s="28" t="s">
        <v>250</v>
      </c>
      <c r="B52" s="28" t="s">
        <v>251</v>
      </c>
      <c r="C52" s="28" t="s">
        <v>158</v>
      </c>
      <c r="D52" s="28">
        <v>8</v>
      </c>
      <c r="E52" s="28"/>
      <c r="F52" s="28"/>
      <c r="G52" s="28"/>
      <c r="H52" s="28">
        <v>339</v>
      </c>
      <c r="I52" s="28">
        <v>147</v>
      </c>
      <c r="J52" s="28">
        <v>1</v>
      </c>
      <c r="K52" s="28">
        <v>159</v>
      </c>
      <c r="L52" s="28"/>
      <c r="M52" s="28">
        <v>646</v>
      </c>
      <c r="N52" s="30">
        <v>26.470588235294116</v>
      </c>
      <c r="O52" s="28" t="s">
        <v>234</v>
      </c>
      <c r="P52" s="28">
        <f t="shared" si="0"/>
        <v>159</v>
      </c>
      <c r="Q52" s="28">
        <f t="shared" si="1"/>
        <v>339</v>
      </c>
      <c r="R52" s="28">
        <f t="shared" si="2"/>
        <v>147</v>
      </c>
      <c r="S52" s="28">
        <f t="shared" si="3"/>
        <v>1</v>
      </c>
      <c r="T52" s="28">
        <f t="shared" si="4"/>
        <v>646</v>
      </c>
      <c r="U52" s="29">
        <f t="shared" si="5"/>
        <v>0.24613003095975233</v>
      </c>
      <c r="V52" s="29">
        <f t="shared" si="6"/>
        <v>0.52476780185758509</v>
      </c>
      <c r="W52" s="29">
        <f t="shared" si="7"/>
        <v>0.22755417956656346</v>
      </c>
      <c r="X52" s="29">
        <f t="shared" si="8"/>
        <v>1.5479876160990713E-3</v>
      </c>
      <c r="Y52" s="30">
        <f t="shared" si="9"/>
        <v>26.470588235294116</v>
      </c>
    </row>
    <row r="53" spans="1:25" x14ac:dyDescent="0.25">
      <c r="A53" s="28" t="s">
        <v>250</v>
      </c>
      <c r="B53" s="28" t="s">
        <v>251</v>
      </c>
      <c r="C53" s="28" t="s">
        <v>158</v>
      </c>
      <c r="D53" s="28">
        <v>9</v>
      </c>
      <c r="E53" s="28"/>
      <c r="F53" s="28"/>
      <c r="G53" s="28"/>
      <c r="H53" s="28">
        <v>377</v>
      </c>
      <c r="I53" s="28">
        <v>117</v>
      </c>
      <c r="J53" s="28"/>
      <c r="K53" s="28">
        <v>153</v>
      </c>
      <c r="L53" s="28"/>
      <c r="M53" s="28">
        <v>647</v>
      </c>
      <c r="N53" s="30">
        <v>20.876352395672335</v>
      </c>
      <c r="O53" s="28" t="s">
        <v>234</v>
      </c>
      <c r="P53" s="28">
        <f t="shared" si="0"/>
        <v>153</v>
      </c>
      <c r="Q53" s="28">
        <f t="shared" si="1"/>
        <v>377</v>
      </c>
      <c r="R53" s="28">
        <f t="shared" si="2"/>
        <v>117</v>
      </c>
      <c r="S53" s="28">
        <f t="shared" si="3"/>
        <v>0</v>
      </c>
      <c r="T53" s="28">
        <f t="shared" si="4"/>
        <v>647</v>
      </c>
      <c r="U53" s="29">
        <f t="shared" si="5"/>
        <v>0.23647604327666152</v>
      </c>
      <c r="V53" s="29">
        <f t="shared" si="6"/>
        <v>0.58268933539412671</v>
      </c>
      <c r="W53" s="29">
        <f t="shared" si="7"/>
        <v>0.18083462132921174</v>
      </c>
      <c r="X53" s="29">
        <f t="shared" si="8"/>
        <v>0</v>
      </c>
      <c r="Y53" s="30">
        <f t="shared" si="9"/>
        <v>20.876352395672335</v>
      </c>
    </row>
    <row r="54" spans="1:25" x14ac:dyDescent="0.25">
      <c r="A54" s="28" t="s">
        <v>252</v>
      </c>
      <c r="B54" s="28" t="s">
        <v>253</v>
      </c>
      <c r="C54" s="28" t="s">
        <v>160</v>
      </c>
      <c r="D54" s="28">
        <v>1</v>
      </c>
      <c r="E54" s="28"/>
      <c r="F54" s="28"/>
      <c r="G54" s="28"/>
      <c r="H54" s="28">
        <v>358</v>
      </c>
      <c r="I54" s="28">
        <v>44</v>
      </c>
      <c r="J54" s="28"/>
      <c r="K54" s="28">
        <v>48</v>
      </c>
      <c r="L54" s="28"/>
      <c r="M54" s="28">
        <v>450</v>
      </c>
      <c r="N54" s="30">
        <v>70.86666666666666</v>
      </c>
      <c r="O54" s="28" t="s">
        <v>234</v>
      </c>
      <c r="P54" s="28">
        <f t="shared" si="0"/>
        <v>48</v>
      </c>
      <c r="Q54" s="28">
        <f t="shared" si="1"/>
        <v>358</v>
      </c>
      <c r="R54" s="28">
        <f t="shared" si="2"/>
        <v>44</v>
      </c>
      <c r="S54" s="28">
        <f t="shared" si="3"/>
        <v>0</v>
      </c>
      <c r="T54" s="28">
        <f t="shared" si="4"/>
        <v>450</v>
      </c>
      <c r="U54" s="29">
        <f t="shared" si="5"/>
        <v>0.10666666666666667</v>
      </c>
      <c r="V54" s="29">
        <f t="shared" si="6"/>
        <v>0.79555555555555557</v>
      </c>
      <c r="W54" s="29">
        <f t="shared" si="7"/>
        <v>9.7777777777777783E-2</v>
      </c>
      <c r="X54" s="29">
        <f t="shared" si="8"/>
        <v>0</v>
      </c>
      <c r="Y54" s="30">
        <f t="shared" si="9"/>
        <v>70.86666666666666</v>
      </c>
    </row>
    <row r="55" spans="1:25" x14ac:dyDescent="0.25">
      <c r="A55" s="28" t="s">
        <v>252</v>
      </c>
      <c r="B55" s="28" t="s">
        <v>253</v>
      </c>
      <c r="C55" s="28" t="s">
        <v>160</v>
      </c>
      <c r="D55" s="28">
        <v>2</v>
      </c>
      <c r="E55" s="28"/>
      <c r="F55" s="28"/>
      <c r="G55" s="28"/>
      <c r="H55" s="28">
        <v>358</v>
      </c>
      <c r="I55" s="28">
        <v>33</v>
      </c>
      <c r="J55" s="28">
        <v>1</v>
      </c>
      <c r="K55" s="28">
        <v>58</v>
      </c>
      <c r="L55" s="28"/>
      <c r="M55" s="28">
        <v>450</v>
      </c>
      <c r="N55" s="30">
        <v>64.468888888888884</v>
      </c>
      <c r="O55" s="28" t="s">
        <v>234</v>
      </c>
      <c r="P55" s="28">
        <f t="shared" si="0"/>
        <v>58</v>
      </c>
      <c r="Q55" s="28">
        <f t="shared" si="1"/>
        <v>358</v>
      </c>
      <c r="R55" s="28">
        <f t="shared" si="2"/>
        <v>33</v>
      </c>
      <c r="S55" s="28">
        <f t="shared" si="3"/>
        <v>1</v>
      </c>
      <c r="T55" s="28">
        <f t="shared" si="4"/>
        <v>450</v>
      </c>
      <c r="U55" s="29">
        <f t="shared" si="5"/>
        <v>0.12888888888888889</v>
      </c>
      <c r="V55" s="29">
        <f t="shared" si="6"/>
        <v>0.79555555555555557</v>
      </c>
      <c r="W55" s="29">
        <f t="shared" si="7"/>
        <v>7.3333333333333334E-2</v>
      </c>
      <c r="X55" s="29">
        <f t="shared" si="8"/>
        <v>2.2222222222222222E-3</v>
      </c>
      <c r="Y55" s="30">
        <f t="shared" si="9"/>
        <v>64.468888888888884</v>
      </c>
    </row>
    <row r="56" spans="1:25" x14ac:dyDescent="0.25">
      <c r="A56" s="28" t="s">
        <v>252</v>
      </c>
      <c r="B56" s="28" t="s">
        <v>253</v>
      </c>
      <c r="C56" s="28" t="s">
        <v>160</v>
      </c>
      <c r="D56" s="28">
        <v>3</v>
      </c>
      <c r="E56" s="28"/>
      <c r="F56" s="28"/>
      <c r="G56" s="28"/>
      <c r="H56" s="28">
        <v>315</v>
      </c>
      <c r="I56" s="28">
        <v>59</v>
      </c>
      <c r="J56" s="28">
        <v>1</v>
      </c>
      <c r="K56" s="28">
        <v>75</v>
      </c>
      <c r="L56" s="28"/>
      <c r="M56" s="28">
        <v>450</v>
      </c>
      <c r="N56" s="30">
        <v>56.606666666666669</v>
      </c>
      <c r="O56" s="28" t="s">
        <v>234</v>
      </c>
      <c r="P56" s="28">
        <f t="shared" si="0"/>
        <v>75</v>
      </c>
      <c r="Q56" s="28">
        <f t="shared" si="1"/>
        <v>315</v>
      </c>
      <c r="R56" s="28">
        <f t="shared" si="2"/>
        <v>59</v>
      </c>
      <c r="S56" s="28">
        <f t="shared" si="3"/>
        <v>1</v>
      </c>
      <c r="T56" s="28">
        <f t="shared" si="4"/>
        <v>450</v>
      </c>
      <c r="U56" s="29">
        <f t="shared" si="5"/>
        <v>0.16666666666666666</v>
      </c>
      <c r="V56" s="29">
        <f t="shared" si="6"/>
        <v>0.7</v>
      </c>
      <c r="W56" s="29">
        <f t="shared" si="7"/>
        <v>0.13111111111111112</v>
      </c>
      <c r="X56" s="29">
        <f t="shared" si="8"/>
        <v>2.2222222222222222E-3</v>
      </c>
      <c r="Y56" s="30">
        <f t="shared" si="9"/>
        <v>56.606666666666669</v>
      </c>
    </row>
    <row r="57" spans="1:25" x14ac:dyDescent="0.25">
      <c r="A57" s="28" t="s">
        <v>252</v>
      </c>
      <c r="B57" s="28" t="s">
        <v>253</v>
      </c>
      <c r="C57" s="28" t="s">
        <v>160</v>
      </c>
      <c r="D57" s="28">
        <v>4</v>
      </c>
      <c r="E57" s="28">
        <v>1</v>
      </c>
      <c r="F57" s="28"/>
      <c r="G57" s="28">
        <v>2</v>
      </c>
      <c r="H57" s="28">
        <v>327</v>
      </c>
      <c r="I57" s="28">
        <v>109</v>
      </c>
      <c r="J57" s="28">
        <v>4</v>
      </c>
      <c r="K57" s="28">
        <v>136</v>
      </c>
      <c r="L57" s="28"/>
      <c r="M57" s="28">
        <v>579</v>
      </c>
      <c r="N57" s="30">
        <v>47.189982728842836</v>
      </c>
      <c r="O57" s="28" t="s">
        <v>234</v>
      </c>
      <c r="P57" s="28">
        <f t="shared" si="0"/>
        <v>136</v>
      </c>
      <c r="Q57" s="28">
        <f t="shared" si="1"/>
        <v>327</v>
      </c>
      <c r="R57" s="28">
        <f t="shared" si="2"/>
        <v>109</v>
      </c>
      <c r="S57" s="28">
        <f t="shared" si="3"/>
        <v>7</v>
      </c>
      <c r="T57" s="28">
        <f t="shared" si="4"/>
        <v>579</v>
      </c>
      <c r="U57" s="29">
        <f t="shared" si="5"/>
        <v>0.23488773747841105</v>
      </c>
      <c r="V57" s="29">
        <f t="shared" si="6"/>
        <v>0.56476683937823835</v>
      </c>
      <c r="W57" s="29">
        <f t="shared" si="7"/>
        <v>0.18825561312607944</v>
      </c>
      <c r="X57" s="29">
        <f t="shared" si="8"/>
        <v>1.2089810017271158E-2</v>
      </c>
      <c r="Y57" s="30">
        <f t="shared" si="9"/>
        <v>47.189982728842836</v>
      </c>
    </row>
    <row r="58" spans="1:25" x14ac:dyDescent="0.25">
      <c r="A58" s="28" t="s">
        <v>252</v>
      </c>
      <c r="B58" s="28" t="s">
        <v>253</v>
      </c>
      <c r="C58" s="28" t="s">
        <v>160</v>
      </c>
      <c r="D58" s="28">
        <v>5</v>
      </c>
      <c r="E58" s="28"/>
      <c r="F58" s="28"/>
      <c r="G58" s="28"/>
      <c r="H58" s="28">
        <v>283</v>
      </c>
      <c r="I58" s="28">
        <v>120</v>
      </c>
      <c r="J58" s="28"/>
      <c r="K58" s="28">
        <v>177</v>
      </c>
      <c r="L58" s="28"/>
      <c r="M58" s="28">
        <v>580</v>
      </c>
      <c r="N58" s="30">
        <v>38.425862068965515</v>
      </c>
      <c r="O58" s="28" t="s">
        <v>234</v>
      </c>
      <c r="P58" s="28">
        <f t="shared" ref="P58:P98" si="10">K58</f>
        <v>177</v>
      </c>
      <c r="Q58" s="28">
        <f t="shared" ref="Q58:Q98" si="11">H58</f>
        <v>283</v>
      </c>
      <c r="R58" s="28">
        <f t="shared" ref="R58:R98" si="12">I58</f>
        <v>120</v>
      </c>
      <c r="S58" s="28">
        <f t="shared" ref="S58:S98" si="13">M58-SUM(P58:R58)</f>
        <v>0</v>
      </c>
      <c r="T58" s="28">
        <f t="shared" ref="T58:T98" si="14">SUM(P58:S58)</f>
        <v>580</v>
      </c>
      <c r="U58" s="29">
        <f t="shared" ref="U58:U98" si="15">P58/M58</f>
        <v>0.30517241379310345</v>
      </c>
      <c r="V58" s="29">
        <f t="shared" ref="V58:V98" si="16">Q58/M58</f>
        <v>0.4879310344827586</v>
      </c>
      <c r="W58" s="29">
        <f t="shared" ref="W58:W98" si="17">R58/M58</f>
        <v>0.20689655172413793</v>
      </c>
      <c r="X58" s="29">
        <f t="shared" ref="X58:X98" si="18">S58/M58</f>
        <v>0</v>
      </c>
      <c r="Y58" s="30">
        <f t="shared" ref="Y58:Y98" si="19">N58</f>
        <v>38.425862068965515</v>
      </c>
    </row>
    <row r="59" spans="1:25" x14ac:dyDescent="0.25">
      <c r="A59" s="28" t="s">
        <v>252</v>
      </c>
      <c r="B59" s="28" t="s">
        <v>253</v>
      </c>
      <c r="C59" s="28" t="s">
        <v>160</v>
      </c>
      <c r="D59" s="28">
        <v>6</v>
      </c>
      <c r="E59" s="28">
        <v>1</v>
      </c>
      <c r="F59" s="28"/>
      <c r="G59" s="28">
        <v>1</v>
      </c>
      <c r="H59" s="28">
        <v>273</v>
      </c>
      <c r="I59" s="28">
        <v>121</v>
      </c>
      <c r="J59" s="28"/>
      <c r="K59" s="28">
        <v>184</v>
      </c>
      <c r="L59" s="28"/>
      <c r="M59" s="28">
        <v>580</v>
      </c>
      <c r="N59" s="30">
        <v>30.565517241379311</v>
      </c>
      <c r="O59" s="28" t="s">
        <v>234</v>
      </c>
      <c r="P59" s="28">
        <f t="shared" si="10"/>
        <v>184</v>
      </c>
      <c r="Q59" s="28">
        <f t="shared" si="11"/>
        <v>273</v>
      </c>
      <c r="R59" s="28">
        <f t="shared" si="12"/>
        <v>121</v>
      </c>
      <c r="S59" s="28">
        <f t="shared" si="13"/>
        <v>2</v>
      </c>
      <c r="T59" s="28">
        <f t="shared" si="14"/>
        <v>580</v>
      </c>
      <c r="U59" s="29">
        <f t="shared" si="15"/>
        <v>0.31724137931034485</v>
      </c>
      <c r="V59" s="29">
        <f t="shared" si="16"/>
        <v>0.47068965517241379</v>
      </c>
      <c r="W59" s="29">
        <f t="shared" si="17"/>
        <v>0.20862068965517241</v>
      </c>
      <c r="X59" s="29">
        <f t="shared" si="18"/>
        <v>3.4482758620689655E-3</v>
      </c>
      <c r="Y59" s="30">
        <f t="shared" si="19"/>
        <v>30.565517241379311</v>
      </c>
    </row>
    <row r="60" spans="1:25" x14ac:dyDescent="0.25">
      <c r="A60" s="28" t="s">
        <v>252</v>
      </c>
      <c r="B60" s="28" t="s">
        <v>253</v>
      </c>
      <c r="C60" s="28" t="s">
        <v>160</v>
      </c>
      <c r="D60" s="28">
        <v>7</v>
      </c>
      <c r="E60" s="28"/>
      <c r="F60" s="28"/>
      <c r="G60" s="28"/>
      <c r="H60" s="28">
        <v>210</v>
      </c>
      <c r="I60" s="28">
        <v>164</v>
      </c>
      <c r="J60" s="28"/>
      <c r="K60" s="28">
        <v>206</v>
      </c>
      <c r="L60" s="28"/>
      <c r="M60" s="28">
        <v>580</v>
      </c>
      <c r="N60" s="30">
        <v>22.581034482758621</v>
      </c>
      <c r="O60" s="28" t="s">
        <v>234</v>
      </c>
      <c r="P60" s="28">
        <f t="shared" si="10"/>
        <v>206</v>
      </c>
      <c r="Q60" s="28">
        <f t="shared" si="11"/>
        <v>210</v>
      </c>
      <c r="R60" s="28">
        <f t="shared" si="12"/>
        <v>164</v>
      </c>
      <c r="S60" s="28">
        <f t="shared" si="13"/>
        <v>0</v>
      </c>
      <c r="T60" s="28">
        <f t="shared" si="14"/>
        <v>580</v>
      </c>
      <c r="U60" s="29">
        <f t="shared" si="15"/>
        <v>0.35517241379310344</v>
      </c>
      <c r="V60" s="29">
        <f t="shared" si="16"/>
        <v>0.36206896551724138</v>
      </c>
      <c r="W60" s="29">
        <f t="shared" si="17"/>
        <v>0.28275862068965518</v>
      </c>
      <c r="X60" s="29">
        <f t="shared" si="18"/>
        <v>0</v>
      </c>
      <c r="Y60" s="30">
        <f t="shared" si="19"/>
        <v>22.581034482758621</v>
      </c>
    </row>
    <row r="61" spans="1:25" x14ac:dyDescent="0.25">
      <c r="A61" s="28" t="s">
        <v>254</v>
      </c>
      <c r="B61" s="28" t="s">
        <v>255</v>
      </c>
      <c r="C61" s="28" t="s">
        <v>162</v>
      </c>
      <c r="D61" s="28">
        <v>1</v>
      </c>
      <c r="E61" s="28"/>
      <c r="F61" s="28"/>
      <c r="G61" s="28"/>
      <c r="H61" s="28">
        <v>350</v>
      </c>
      <c r="I61" s="28">
        <v>62</v>
      </c>
      <c r="J61" s="28"/>
      <c r="K61" s="28">
        <v>38</v>
      </c>
      <c r="L61" s="28"/>
      <c r="M61" s="28">
        <v>450</v>
      </c>
      <c r="N61" s="30">
        <v>64.642222222222216</v>
      </c>
      <c r="O61" s="28" t="s">
        <v>234</v>
      </c>
      <c r="P61" s="28">
        <f t="shared" si="10"/>
        <v>38</v>
      </c>
      <c r="Q61" s="28">
        <f t="shared" si="11"/>
        <v>350</v>
      </c>
      <c r="R61" s="28">
        <f t="shared" si="12"/>
        <v>62</v>
      </c>
      <c r="S61" s="28">
        <f t="shared" si="13"/>
        <v>0</v>
      </c>
      <c r="T61" s="28">
        <f t="shared" si="14"/>
        <v>450</v>
      </c>
      <c r="U61" s="29">
        <f t="shared" si="15"/>
        <v>8.4444444444444447E-2</v>
      </c>
      <c r="V61" s="29">
        <f t="shared" si="16"/>
        <v>0.77777777777777779</v>
      </c>
      <c r="W61" s="29">
        <f t="shared" si="17"/>
        <v>0.13777777777777778</v>
      </c>
      <c r="X61" s="29">
        <f t="shared" si="18"/>
        <v>0</v>
      </c>
      <c r="Y61" s="30">
        <f t="shared" si="19"/>
        <v>64.642222222222216</v>
      </c>
    </row>
    <row r="62" spans="1:25" x14ac:dyDescent="0.25">
      <c r="A62" s="28" t="s">
        <v>254</v>
      </c>
      <c r="B62" s="28" t="s">
        <v>255</v>
      </c>
      <c r="C62" s="28" t="s">
        <v>162</v>
      </c>
      <c r="D62" s="28">
        <v>2</v>
      </c>
      <c r="E62" s="28"/>
      <c r="F62" s="28"/>
      <c r="G62" s="28"/>
      <c r="H62" s="28">
        <v>368</v>
      </c>
      <c r="I62" s="28">
        <v>45</v>
      </c>
      <c r="J62" s="28"/>
      <c r="K62" s="28">
        <v>37</v>
      </c>
      <c r="L62" s="28"/>
      <c r="M62" s="28">
        <v>450</v>
      </c>
      <c r="N62" s="30">
        <v>60.375555555555557</v>
      </c>
      <c r="O62" s="28" t="s">
        <v>234</v>
      </c>
      <c r="P62" s="28">
        <f t="shared" si="10"/>
        <v>37</v>
      </c>
      <c r="Q62" s="28">
        <f t="shared" si="11"/>
        <v>368</v>
      </c>
      <c r="R62" s="28">
        <f t="shared" si="12"/>
        <v>45</v>
      </c>
      <c r="S62" s="28">
        <f t="shared" si="13"/>
        <v>0</v>
      </c>
      <c r="T62" s="28">
        <f t="shared" si="14"/>
        <v>450</v>
      </c>
      <c r="U62" s="29">
        <f t="shared" si="15"/>
        <v>8.2222222222222224E-2</v>
      </c>
      <c r="V62" s="29">
        <f t="shared" si="16"/>
        <v>0.81777777777777783</v>
      </c>
      <c r="W62" s="29">
        <f t="shared" si="17"/>
        <v>0.1</v>
      </c>
      <c r="X62" s="29">
        <f t="shared" si="18"/>
        <v>0</v>
      </c>
      <c r="Y62" s="30">
        <f t="shared" si="19"/>
        <v>60.375555555555557</v>
      </c>
    </row>
    <row r="63" spans="1:25" x14ac:dyDescent="0.25">
      <c r="A63" s="28" t="s">
        <v>254</v>
      </c>
      <c r="B63" s="28" t="s">
        <v>255</v>
      </c>
      <c r="C63" s="28" t="s">
        <v>162</v>
      </c>
      <c r="D63" s="28">
        <v>3</v>
      </c>
      <c r="E63" s="28"/>
      <c r="F63" s="28"/>
      <c r="G63" s="28"/>
      <c r="H63" s="28">
        <v>529</v>
      </c>
      <c r="I63" s="28">
        <v>70</v>
      </c>
      <c r="J63" s="28"/>
      <c r="K63" s="28">
        <v>36</v>
      </c>
      <c r="L63" s="28"/>
      <c r="M63" s="28">
        <v>635</v>
      </c>
      <c r="N63" s="30">
        <v>52.190551181102364</v>
      </c>
      <c r="O63" s="28" t="s">
        <v>234</v>
      </c>
      <c r="P63" s="28">
        <f t="shared" si="10"/>
        <v>36</v>
      </c>
      <c r="Q63" s="28">
        <f t="shared" si="11"/>
        <v>529</v>
      </c>
      <c r="R63" s="28">
        <f t="shared" si="12"/>
        <v>70</v>
      </c>
      <c r="S63" s="28">
        <f t="shared" si="13"/>
        <v>0</v>
      </c>
      <c r="T63" s="28">
        <f t="shared" si="14"/>
        <v>635</v>
      </c>
      <c r="U63" s="29">
        <f t="shared" si="15"/>
        <v>5.6692913385826771E-2</v>
      </c>
      <c r="V63" s="29">
        <f t="shared" si="16"/>
        <v>0.83307086614173231</v>
      </c>
      <c r="W63" s="29">
        <f t="shared" si="17"/>
        <v>0.11023622047244094</v>
      </c>
      <c r="X63" s="29">
        <f t="shared" si="18"/>
        <v>0</v>
      </c>
      <c r="Y63" s="30">
        <f t="shared" si="19"/>
        <v>52.190551181102364</v>
      </c>
    </row>
    <row r="64" spans="1:25" x14ac:dyDescent="0.25">
      <c r="A64" s="28" t="s">
        <v>254</v>
      </c>
      <c r="B64" s="28" t="s">
        <v>255</v>
      </c>
      <c r="C64" s="28" t="s">
        <v>162</v>
      </c>
      <c r="D64" s="28">
        <v>4</v>
      </c>
      <c r="E64" s="28"/>
      <c r="F64" s="28"/>
      <c r="G64" s="28"/>
      <c r="H64" s="28">
        <v>459</v>
      </c>
      <c r="I64" s="28">
        <v>106</v>
      </c>
      <c r="J64" s="28">
        <v>4</v>
      </c>
      <c r="K64" s="28">
        <v>66</v>
      </c>
      <c r="L64" s="28"/>
      <c r="M64" s="28">
        <v>635</v>
      </c>
      <c r="N64" s="30">
        <v>44.294488188976381</v>
      </c>
      <c r="O64" s="28" t="s">
        <v>234</v>
      </c>
      <c r="P64" s="28">
        <f t="shared" si="10"/>
        <v>66</v>
      </c>
      <c r="Q64" s="28">
        <f t="shared" si="11"/>
        <v>459</v>
      </c>
      <c r="R64" s="28">
        <f t="shared" si="12"/>
        <v>106</v>
      </c>
      <c r="S64" s="28">
        <f t="shared" si="13"/>
        <v>4</v>
      </c>
      <c r="T64" s="28">
        <f t="shared" si="14"/>
        <v>635</v>
      </c>
      <c r="U64" s="29">
        <f t="shared" si="15"/>
        <v>0.10393700787401575</v>
      </c>
      <c r="V64" s="29">
        <f t="shared" si="16"/>
        <v>0.72283464566929134</v>
      </c>
      <c r="W64" s="29">
        <f t="shared" si="17"/>
        <v>0.16692913385826771</v>
      </c>
      <c r="X64" s="29">
        <f t="shared" si="18"/>
        <v>6.2992125984251968E-3</v>
      </c>
      <c r="Y64" s="30">
        <f t="shared" si="19"/>
        <v>44.294488188976381</v>
      </c>
    </row>
    <row r="65" spans="1:25" x14ac:dyDescent="0.25">
      <c r="A65" s="28" t="s">
        <v>254</v>
      </c>
      <c r="B65" s="28" t="s">
        <v>255</v>
      </c>
      <c r="C65" s="28" t="s">
        <v>162</v>
      </c>
      <c r="D65" s="28">
        <v>5</v>
      </c>
      <c r="E65" s="28"/>
      <c r="F65" s="28"/>
      <c r="G65" s="28">
        <v>2</v>
      </c>
      <c r="H65" s="28">
        <v>458</v>
      </c>
      <c r="I65" s="28">
        <v>94</v>
      </c>
      <c r="J65" s="28">
        <v>1</v>
      </c>
      <c r="K65" s="28">
        <v>80</v>
      </c>
      <c r="L65" s="28"/>
      <c r="M65" s="28">
        <v>635</v>
      </c>
      <c r="N65" s="30">
        <v>37.634645669291338</v>
      </c>
      <c r="O65" s="28" t="s">
        <v>234</v>
      </c>
      <c r="P65" s="28">
        <f t="shared" si="10"/>
        <v>80</v>
      </c>
      <c r="Q65" s="28">
        <f t="shared" si="11"/>
        <v>458</v>
      </c>
      <c r="R65" s="28">
        <f t="shared" si="12"/>
        <v>94</v>
      </c>
      <c r="S65" s="28">
        <f t="shared" si="13"/>
        <v>3</v>
      </c>
      <c r="T65" s="28">
        <f t="shared" si="14"/>
        <v>635</v>
      </c>
      <c r="U65" s="29">
        <f t="shared" si="15"/>
        <v>0.12598425196850394</v>
      </c>
      <c r="V65" s="29">
        <f t="shared" si="16"/>
        <v>0.721259842519685</v>
      </c>
      <c r="W65" s="29">
        <f t="shared" si="17"/>
        <v>0.14803149606299212</v>
      </c>
      <c r="X65" s="29">
        <f t="shared" si="18"/>
        <v>4.7244094488188976E-3</v>
      </c>
      <c r="Y65" s="30">
        <f t="shared" si="19"/>
        <v>37.634645669291338</v>
      </c>
    </row>
    <row r="66" spans="1:25" x14ac:dyDescent="0.25">
      <c r="A66" s="28" t="s">
        <v>254</v>
      </c>
      <c r="B66" s="28" t="s">
        <v>255</v>
      </c>
      <c r="C66" s="28" t="s">
        <v>162</v>
      </c>
      <c r="D66" s="28">
        <v>6</v>
      </c>
      <c r="E66" s="28"/>
      <c r="F66" s="28"/>
      <c r="G66" s="28">
        <v>1</v>
      </c>
      <c r="H66" s="28">
        <v>438</v>
      </c>
      <c r="I66" s="28">
        <v>116</v>
      </c>
      <c r="J66" s="28">
        <v>1</v>
      </c>
      <c r="K66" s="28">
        <v>79</v>
      </c>
      <c r="L66" s="28"/>
      <c r="M66" s="28">
        <v>635</v>
      </c>
      <c r="N66" s="30">
        <v>31.64724409448819</v>
      </c>
      <c r="O66" s="28" t="s">
        <v>234</v>
      </c>
      <c r="P66" s="28">
        <f t="shared" si="10"/>
        <v>79</v>
      </c>
      <c r="Q66" s="28">
        <f t="shared" si="11"/>
        <v>438</v>
      </c>
      <c r="R66" s="28">
        <f t="shared" si="12"/>
        <v>116</v>
      </c>
      <c r="S66" s="28">
        <f t="shared" si="13"/>
        <v>2</v>
      </c>
      <c r="T66" s="28">
        <f t="shared" si="14"/>
        <v>635</v>
      </c>
      <c r="U66" s="29">
        <f t="shared" si="15"/>
        <v>0.12440944881889764</v>
      </c>
      <c r="V66" s="29">
        <f t="shared" si="16"/>
        <v>0.68976377952755907</v>
      </c>
      <c r="W66" s="29">
        <f t="shared" si="17"/>
        <v>0.18267716535433071</v>
      </c>
      <c r="X66" s="29">
        <f t="shared" si="18"/>
        <v>3.1496062992125984E-3</v>
      </c>
      <c r="Y66" s="30">
        <f t="shared" si="19"/>
        <v>31.64724409448819</v>
      </c>
    </row>
    <row r="67" spans="1:25" x14ac:dyDescent="0.25">
      <c r="A67" s="28" t="s">
        <v>254</v>
      </c>
      <c r="B67" s="28" t="s">
        <v>255</v>
      </c>
      <c r="C67" s="28" t="s">
        <v>162</v>
      </c>
      <c r="D67" s="28">
        <v>7</v>
      </c>
      <c r="E67" s="28"/>
      <c r="F67" s="28"/>
      <c r="G67" s="28"/>
      <c r="H67" s="28">
        <v>445</v>
      </c>
      <c r="I67" s="28">
        <v>124</v>
      </c>
      <c r="J67" s="28"/>
      <c r="K67" s="28">
        <v>66</v>
      </c>
      <c r="L67" s="28"/>
      <c r="M67" s="28">
        <v>635</v>
      </c>
      <c r="N67" s="30">
        <v>26.447244094488187</v>
      </c>
      <c r="O67" s="28" t="s">
        <v>234</v>
      </c>
      <c r="P67" s="28">
        <f t="shared" si="10"/>
        <v>66</v>
      </c>
      <c r="Q67" s="28">
        <f t="shared" si="11"/>
        <v>445</v>
      </c>
      <c r="R67" s="28">
        <f t="shared" si="12"/>
        <v>124</v>
      </c>
      <c r="S67" s="28">
        <f t="shared" si="13"/>
        <v>0</v>
      </c>
      <c r="T67" s="28">
        <f t="shared" si="14"/>
        <v>635</v>
      </c>
      <c r="U67" s="29">
        <f t="shared" si="15"/>
        <v>0.10393700787401575</v>
      </c>
      <c r="V67" s="29">
        <f t="shared" si="16"/>
        <v>0.70078740157480313</v>
      </c>
      <c r="W67" s="29">
        <f t="shared" si="17"/>
        <v>0.1952755905511811</v>
      </c>
      <c r="X67" s="29">
        <f t="shared" si="18"/>
        <v>0</v>
      </c>
      <c r="Y67" s="30">
        <f t="shared" si="19"/>
        <v>26.447244094488187</v>
      </c>
    </row>
    <row r="68" spans="1:25" x14ac:dyDescent="0.25">
      <c r="A68" s="28" t="s">
        <v>254</v>
      </c>
      <c r="B68" s="28" t="s">
        <v>255</v>
      </c>
      <c r="C68" s="28" t="s">
        <v>162</v>
      </c>
      <c r="D68" s="28">
        <v>8</v>
      </c>
      <c r="E68" s="28"/>
      <c r="F68" s="28"/>
      <c r="G68" s="28"/>
      <c r="H68" s="28">
        <v>430</v>
      </c>
      <c r="I68" s="28">
        <v>118</v>
      </c>
      <c r="J68" s="28"/>
      <c r="K68" s="28">
        <v>90</v>
      </c>
      <c r="L68" s="28"/>
      <c r="M68" s="28">
        <v>638</v>
      </c>
      <c r="N68" s="30">
        <v>20.788401253918494</v>
      </c>
      <c r="O68" s="28" t="s">
        <v>234</v>
      </c>
      <c r="P68" s="28">
        <f t="shared" si="10"/>
        <v>90</v>
      </c>
      <c r="Q68" s="28">
        <f t="shared" si="11"/>
        <v>430</v>
      </c>
      <c r="R68" s="28">
        <f t="shared" si="12"/>
        <v>118</v>
      </c>
      <c r="S68" s="28">
        <f t="shared" si="13"/>
        <v>0</v>
      </c>
      <c r="T68" s="28">
        <f t="shared" si="14"/>
        <v>638</v>
      </c>
      <c r="U68" s="29">
        <f t="shared" si="15"/>
        <v>0.14106583072100312</v>
      </c>
      <c r="V68" s="29">
        <f t="shared" si="16"/>
        <v>0.6739811912225705</v>
      </c>
      <c r="W68" s="29">
        <f t="shared" si="17"/>
        <v>0.18495297805642633</v>
      </c>
      <c r="X68" s="29">
        <f t="shared" si="18"/>
        <v>0</v>
      </c>
      <c r="Y68" s="30">
        <f t="shared" si="19"/>
        <v>20.788401253918494</v>
      </c>
    </row>
    <row r="69" spans="1:25" x14ac:dyDescent="0.25">
      <c r="A69" s="28" t="s">
        <v>256</v>
      </c>
      <c r="B69" s="28" t="s">
        <v>257</v>
      </c>
      <c r="C69" s="28" t="s">
        <v>164</v>
      </c>
      <c r="D69" s="28">
        <v>1</v>
      </c>
      <c r="E69" s="28"/>
      <c r="F69" s="28"/>
      <c r="G69" s="28"/>
      <c r="H69" s="28">
        <v>180</v>
      </c>
      <c r="I69" s="28">
        <v>181</v>
      </c>
      <c r="J69" s="28">
        <v>7</v>
      </c>
      <c r="K69" s="28">
        <v>82</v>
      </c>
      <c r="L69" s="28"/>
      <c r="M69" s="28">
        <v>450</v>
      </c>
      <c r="N69" s="30">
        <v>65.371111111111105</v>
      </c>
      <c r="O69" s="28" t="s">
        <v>234</v>
      </c>
      <c r="P69" s="28">
        <f t="shared" si="10"/>
        <v>82</v>
      </c>
      <c r="Q69" s="28">
        <f t="shared" si="11"/>
        <v>180</v>
      </c>
      <c r="R69" s="28">
        <f t="shared" si="12"/>
        <v>181</v>
      </c>
      <c r="S69" s="28">
        <f t="shared" si="13"/>
        <v>7</v>
      </c>
      <c r="T69" s="28">
        <f t="shared" si="14"/>
        <v>450</v>
      </c>
      <c r="U69" s="29">
        <f t="shared" si="15"/>
        <v>0.18222222222222223</v>
      </c>
      <c r="V69" s="29">
        <f t="shared" si="16"/>
        <v>0.4</v>
      </c>
      <c r="W69" s="29">
        <f t="shared" si="17"/>
        <v>0.4022222222222222</v>
      </c>
      <c r="X69" s="29">
        <f t="shared" si="18"/>
        <v>1.5555555555555555E-2</v>
      </c>
      <c r="Y69" s="30">
        <f t="shared" si="19"/>
        <v>65.371111111111105</v>
      </c>
    </row>
    <row r="70" spans="1:25" x14ac:dyDescent="0.25">
      <c r="A70" s="28" t="s">
        <v>256</v>
      </c>
      <c r="B70" s="28" t="s">
        <v>257</v>
      </c>
      <c r="C70" s="28" t="s">
        <v>164</v>
      </c>
      <c r="D70" s="28">
        <v>2</v>
      </c>
      <c r="E70" s="28"/>
      <c r="F70" s="28"/>
      <c r="G70" s="28">
        <v>1</v>
      </c>
      <c r="H70" s="28">
        <v>178</v>
      </c>
      <c r="I70" s="28">
        <v>175</v>
      </c>
      <c r="J70" s="28">
        <v>4</v>
      </c>
      <c r="K70" s="28">
        <v>92</v>
      </c>
      <c r="L70" s="28"/>
      <c r="M70" s="28">
        <v>450</v>
      </c>
      <c r="N70" s="30">
        <v>57.428888888888892</v>
      </c>
      <c r="O70" s="28" t="s">
        <v>234</v>
      </c>
      <c r="P70" s="28">
        <f t="shared" si="10"/>
        <v>92</v>
      </c>
      <c r="Q70" s="28">
        <f t="shared" si="11"/>
        <v>178</v>
      </c>
      <c r="R70" s="28">
        <f t="shared" si="12"/>
        <v>175</v>
      </c>
      <c r="S70" s="28">
        <f t="shared" si="13"/>
        <v>5</v>
      </c>
      <c r="T70" s="28">
        <f t="shared" si="14"/>
        <v>450</v>
      </c>
      <c r="U70" s="29">
        <f t="shared" si="15"/>
        <v>0.20444444444444446</v>
      </c>
      <c r="V70" s="29">
        <f t="shared" si="16"/>
        <v>0.39555555555555555</v>
      </c>
      <c r="W70" s="29">
        <f t="shared" si="17"/>
        <v>0.3888888888888889</v>
      </c>
      <c r="X70" s="29">
        <f t="shared" si="18"/>
        <v>1.1111111111111112E-2</v>
      </c>
      <c r="Y70" s="30">
        <f t="shared" si="19"/>
        <v>57.428888888888892</v>
      </c>
    </row>
    <row r="71" spans="1:25" x14ac:dyDescent="0.25">
      <c r="A71" s="28" t="s">
        <v>256</v>
      </c>
      <c r="B71" s="28" t="s">
        <v>257</v>
      </c>
      <c r="C71" s="28" t="s">
        <v>164</v>
      </c>
      <c r="D71" s="28">
        <v>3</v>
      </c>
      <c r="E71" s="28"/>
      <c r="F71" s="28"/>
      <c r="G71" s="28">
        <v>3</v>
      </c>
      <c r="H71" s="28">
        <v>292</v>
      </c>
      <c r="I71" s="28">
        <v>207</v>
      </c>
      <c r="J71" s="28"/>
      <c r="K71" s="28">
        <v>137</v>
      </c>
      <c r="L71" s="28"/>
      <c r="M71" s="28">
        <v>639</v>
      </c>
      <c r="N71" s="30">
        <v>47.575899843505475</v>
      </c>
      <c r="O71" s="28" t="s">
        <v>234</v>
      </c>
      <c r="P71" s="28">
        <f t="shared" si="10"/>
        <v>137</v>
      </c>
      <c r="Q71" s="28">
        <f t="shared" si="11"/>
        <v>292</v>
      </c>
      <c r="R71" s="28">
        <f t="shared" si="12"/>
        <v>207</v>
      </c>
      <c r="S71" s="28">
        <f t="shared" si="13"/>
        <v>3</v>
      </c>
      <c r="T71" s="28">
        <f t="shared" si="14"/>
        <v>639</v>
      </c>
      <c r="U71" s="29">
        <f t="shared" si="15"/>
        <v>0.21439749608763695</v>
      </c>
      <c r="V71" s="29">
        <f t="shared" si="16"/>
        <v>0.4569640062597809</v>
      </c>
      <c r="W71" s="29">
        <f t="shared" si="17"/>
        <v>0.323943661971831</v>
      </c>
      <c r="X71" s="29">
        <f t="shared" si="18"/>
        <v>4.6948356807511738E-3</v>
      </c>
      <c r="Y71" s="30">
        <f t="shared" si="19"/>
        <v>47.575899843505475</v>
      </c>
    </row>
    <row r="72" spans="1:25" x14ac:dyDescent="0.25">
      <c r="A72" s="28" t="s">
        <v>256</v>
      </c>
      <c r="B72" s="28" t="s">
        <v>257</v>
      </c>
      <c r="C72" s="28" t="s">
        <v>164</v>
      </c>
      <c r="D72" s="28">
        <v>4</v>
      </c>
      <c r="E72" s="28"/>
      <c r="F72" s="28"/>
      <c r="G72" s="28">
        <v>1</v>
      </c>
      <c r="H72" s="28">
        <v>316</v>
      </c>
      <c r="I72" s="28">
        <v>189</v>
      </c>
      <c r="J72" s="28">
        <v>4</v>
      </c>
      <c r="K72" s="28">
        <v>129</v>
      </c>
      <c r="L72" s="28"/>
      <c r="M72" s="28">
        <v>639</v>
      </c>
      <c r="N72" s="30">
        <v>39.820031298904539</v>
      </c>
      <c r="O72" s="28" t="s">
        <v>234</v>
      </c>
      <c r="P72" s="28">
        <f t="shared" si="10"/>
        <v>129</v>
      </c>
      <c r="Q72" s="28">
        <f t="shared" si="11"/>
        <v>316</v>
      </c>
      <c r="R72" s="28">
        <f t="shared" si="12"/>
        <v>189</v>
      </c>
      <c r="S72" s="28">
        <f t="shared" si="13"/>
        <v>5</v>
      </c>
      <c r="T72" s="28">
        <f t="shared" si="14"/>
        <v>639</v>
      </c>
      <c r="U72" s="29">
        <f t="shared" si="15"/>
        <v>0.20187793427230047</v>
      </c>
      <c r="V72" s="29">
        <f t="shared" si="16"/>
        <v>0.49452269170579027</v>
      </c>
      <c r="W72" s="29">
        <f t="shared" si="17"/>
        <v>0.29577464788732394</v>
      </c>
      <c r="X72" s="29">
        <f t="shared" si="18"/>
        <v>7.8247261345852897E-3</v>
      </c>
      <c r="Y72" s="30">
        <f t="shared" si="19"/>
        <v>39.820031298904539</v>
      </c>
    </row>
    <row r="73" spans="1:25" x14ac:dyDescent="0.25">
      <c r="A73" s="28" t="s">
        <v>256</v>
      </c>
      <c r="B73" s="28" t="s">
        <v>257</v>
      </c>
      <c r="C73" s="28" t="s">
        <v>164</v>
      </c>
      <c r="D73" s="28">
        <v>5</v>
      </c>
      <c r="E73" s="28"/>
      <c r="F73" s="28">
        <v>1</v>
      </c>
      <c r="G73" s="28"/>
      <c r="H73" s="28">
        <v>302</v>
      </c>
      <c r="I73" s="28">
        <v>166</v>
      </c>
      <c r="J73" s="28">
        <v>3</v>
      </c>
      <c r="K73" s="28">
        <v>167</v>
      </c>
      <c r="L73" s="28"/>
      <c r="M73" s="28">
        <v>639</v>
      </c>
      <c r="N73" s="30">
        <v>33.30203442879499</v>
      </c>
      <c r="O73" s="28" t="s">
        <v>234</v>
      </c>
      <c r="P73" s="28">
        <f t="shared" si="10"/>
        <v>167</v>
      </c>
      <c r="Q73" s="28">
        <f t="shared" si="11"/>
        <v>302</v>
      </c>
      <c r="R73" s="28">
        <f t="shared" si="12"/>
        <v>166</v>
      </c>
      <c r="S73" s="28">
        <f t="shared" si="13"/>
        <v>4</v>
      </c>
      <c r="T73" s="28">
        <f t="shared" si="14"/>
        <v>639</v>
      </c>
      <c r="U73" s="29">
        <f t="shared" si="15"/>
        <v>0.26134585289514867</v>
      </c>
      <c r="V73" s="29">
        <f t="shared" si="16"/>
        <v>0.47261345852895148</v>
      </c>
      <c r="W73" s="29">
        <f t="shared" si="17"/>
        <v>0.25978090766823159</v>
      </c>
      <c r="X73" s="29">
        <f t="shared" si="18"/>
        <v>6.2597809076682318E-3</v>
      </c>
      <c r="Y73" s="30">
        <f t="shared" si="19"/>
        <v>33.30203442879499</v>
      </c>
    </row>
    <row r="74" spans="1:25" x14ac:dyDescent="0.25">
      <c r="A74" s="28" t="s">
        <v>256</v>
      </c>
      <c r="B74" s="28" t="s">
        <v>257</v>
      </c>
      <c r="C74" s="28" t="s">
        <v>164</v>
      </c>
      <c r="D74" s="28">
        <v>6</v>
      </c>
      <c r="E74" s="28"/>
      <c r="F74" s="28"/>
      <c r="G74" s="28"/>
      <c r="H74" s="28">
        <v>288</v>
      </c>
      <c r="I74" s="28">
        <v>173</v>
      </c>
      <c r="J74" s="28">
        <v>3</v>
      </c>
      <c r="K74" s="28">
        <v>175</v>
      </c>
      <c r="L74" s="28"/>
      <c r="M74" s="28">
        <v>639</v>
      </c>
      <c r="N74" s="30">
        <v>27.402190923317683</v>
      </c>
      <c r="O74" s="28" t="s">
        <v>234</v>
      </c>
      <c r="P74" s="28">
        <f t="shared" si="10"/>
        <v>175</v>
      </c>
      <c r="Q74" s="28">
        <f t="shared" si="11"/>
        <v>288</v>
      </c>
      <c r="R74" s="28">
        <f t="shared" si="12"/>
        <v>173</v>
      </c>
      <c r="S74" s="28">
        <f t="shared" si="13"/>
        <v>3</v>
      </c>
      <c r="T74" s="28">
        <f t="shared" si="14"/>
        <v>639</v>
      </c>
      <c r="U74" s="29">
        <f t="shared" si="15"/>
        <v>0.27386541471048514</v>
      </c>
      <c r="V74" s="29">
        <f t="shared" si="16"/>
        <v>0.45070422535211269</v>
      </c>
      <c r="W74" s="29">
        <f t="shared" si="17"/>
        <v>0.27073552425665104</v>
      </c>
      <c r="X74" s="29">
        <f t="shared" si="18"/>
        <v>4.6948356807511738E-3</v>
      </c>
      <c r="Y74" s="30">
        <f t="shared" si="19"/>
        <v>27.402190923317683</v>
      </c>
    </row>
    <row r="75" spans="1:25" x14ac:dyDescent="0.25">
      <c r="A75" s="28" t="s">
        <v>256</v>
      </c>
      <c r="B75" s="28" t="s">
        <v>257</v>
      </c>
      <c r="C75" s="28" t="s">
        <v>164</v>
      </c>
      <c r="D75" s="28">
        <v>7</v>
      </c>
      <c r="E75" s="28"/>
      <c r="F75" s="28"/>
      <c r="G75" s="28">
        <v>1</v>
      </c>
      <c r="H75" s="28">
        <v>303</v>
      </c>
      <c r="I75" s="28">
        <v>173</v>
      </c>
      <c r="J75" s="28">
        <v>1</v>
      </c>
      <c r="K75" s="28">
        <v>161</v>
      </c>
      <c r="L75" s="28"/>
      <c r="M75" s="28">
        <v>639</v>
      </c>
      <c r="N75" s="30">
        <v>21.4037558685446</v>
      </c>
      <c r="O75" s="28" t="s">
        <v>234</v>
      </c>
      <c r="P75" s="28">
        <f t="shared" si="10"/>
        <v>161</v>
      </c>
      <c r="Q75" s="28">
        <f t="shared" si="11"/>
        <v>303</v>
      </c>
      <c r="R75" s="28">
        <f t="shared" si="12"/>
        <v>173</v>
      </c>
      <c r="S75" s="28">
        <f t="shared" si="13"/>
        <v>2</v>
      </c>
      <c r="T75" s="28">
        <f t="shared" si="14"/>
        <v>639</v>
      </c>
      <c r="U75" s="29">
        <f t="shared" si="15"/>
        <v>0.2519561815336463</v>
      </c>
      <c r="V75" s="29">
        <f t="shared" si="16"/>
        <v>0.47417840375586856</v>
      </c>
      <c r="W75" s="29">
        <f t="shared" si="17"/>
        <v>0.27073552425665104</v>
      </c>
      <c r="X75" s="29">
        <f t="shared" si="18"/>
        <v>3.1298904538341159E-3</v>
      </c>
      <c r="Y75" s="30">
        <f t="shared" si="19"/>
        <v>21.4037558685446</v>
      </c>
    </row>
    <row r="76" spans="1:25" x14ac:dyDescent="0.25">
      <c r="A76" s="28" t="s">
        <v>258</v>
      </c>
      <c r="B76" s="28" t="s">
        <v>259</v>
      </c>
      <c r="C76" s="28" t="s">
        <v>166</v>
      </c>
      <c r="D76" s="28">
        <v>1</v>
      </c>
      <c r="E76" s="28"/>
      <c r="F76" s="28"/>
      <c r="G76" s="28"/>
      <c r="H76" s="28">
        <v>31</v>
      </c>
      <c r="I76" s="28">
        <v>326</v>
      </c>
      <c r="J76" s="28">
        <v>2</v>
      </c>
      <c r="K76" s="28">
        <v>19</v>
      </c>
      <c r="L76" s="28"/>
      <c r="M76" s="28">
        <v>378</v>
      </c>
      <c r="N76" s="30">
        <v>53.164021164021165</v>
      </c>
      <c r="O76" s="28" t="s">
        <v>234</v>
      </c>
      <c r="P76" s="28">
        <f t="shared" si="10"/>
        <v>19</v>
      </c>
      <c r="Q76" s="28">
        <f t="shared" si="11"/>
        <v>31</v>
      </c>
      <c r="R76" s="28">
        <f t="shared" si="12"/>
        <v>326</v>
      </c>
      <c r="S76" s="28">
        <f t="shared" si="13"/>
        <v>2</v>
      </c>
      <c r="T76" s="28">
        <f t="shared" si="14"/>
        <v>378</v>
      </c>
      <c r="U76" s="29">
        <f t="shared" si="15"/>
        <v>5.0264550264550262E-2</v>
      </c>
      <c r="V76" s="29">
        <f t="shared" si="16"/>
        <v>8.2010582010582006E-2</v>
      </c>
      <c r="W76" s="29">
        <f t="shared" si="17"/>
        <v>0.86243386243386244</v>
      </c>
      <c r="X76" s="29">
        <f t="shared" si="18"/>
        <v>5.2910052910052907E-3</v>
      </c>
      <c r="Y76" s="30">
        <f t="shared" si="19"/>
        <v>53.164021164021165</v>
      </c>
    </row>
    <row r="77" spans="1:25" x14ac:dyDescent="0.25">
      <c r="A77" s="28" t="s">
        <v>260</v>
      </c>
      <c r="B77" s="28" t="s">
        <v>261</v>
      </c>
      <c r="C77" s="28" t="s">
        <v>168</v>
      </c>
      <c r="D77" s="28">
        <v>1</v>
      </c>
      <c r="E77" s="28"/>
      <c r="F77" s="28"/>
      <c r="G77" s="28"/>
      <c r="H77" s="28">
        <v>42</v>
      </c>
      <c r="I77" s="28">
        <v>193</v>
      </c>
      <c r="J77" s="28"/>
      <c r="K77" s="28">
        <v>15</v>
      </c>
      <c r="L77" s="28"/>
      <c r="M77" s="28">
        <v>250</v>
      </c>
      <c r="N77" s="30">
        <v>68.048000000000002</v>
      </c>
      <c r="O77" s="28" t="s">
        <v>234</v>
      </c>
      <c r="P77" s="28">
        <f t="shared" si="10"/>
        <v>15</v>
      </c>
      <c r="Q77" s="28">
        <f t="shared" si="11"/>
        <v>42</v>
      </c>
      <c r="R77" s="28">
        <f t="shared" si="12"/>
        <v>193</v>
      </c>
      <c r="S77" s="28">
        <f t="shared" si="13"/>
        <v>0</v>
      </c>
      <c r="T77" s="28">
        <f t="shared" si="14"/>
        <v>250</v>
      </c>
      <c r="U77" s="29">
        <f t="shared" si="15"/>
        <v>0.06</v>
      </c>
      <c r="V77" s="29">
        <f t="shared" si="16"/>
        <v>0.16800000000000001</v>
      </c>
      <c r="W77" s="29">
        <f t="shared" si="17"/>
        <v>0.77200000000000002</v>
      </c>
      <c r="X77" s="29">
        <f t="shared" si="18"/>
        <v>0</v>
      </c>
      <c r="Y77" s="30">
        <f t="shared" si="19"/>
        <v>68.048000000000002</v>
      </c>
    </row>
    <row r="78" spans="1:25" x14ac:dyDescent="0.25">
      <c r="A78" s="28" t="s">
        <v>260</v>
      </c>
      <c r="B78" s="28" t="s">
        <v>261</v>
      </c>
      <c r="C78" s="28" t="s">
        <v>168</v>
      </c>
      <c r="D78" s="28">
        <v>2</v>
      </c>
      <c r="E78" s="28"/>
      <c r="F78" s="28"/>
      <c r="G78" s="28"/>
      <c r="H78" s="28">
        <v>38</v>
      </c>
      <c r="I78" s="28">
        <v>266</v>
      </c>
      <c r="J78" s="28"/>
      <c r="K78" s="28">
        <v>42</v>
      </c>
      <c r="L78" s="28"/>
      <c r="M78" s="28">
        <v>346</v>
      </c>
      <c r="N78" s="30">
        <v>41.306358381502889</v>
      </c>
      <c r="O78" s="28" t="s">
        <v>234</v>
      </c>
      <c r="P78" s="28">
        <f t="shared" si="10"/>
        <v>42</v>
      </c>
      <c r="Q78" s="28">
        <f t="shared" si="11"/>
        <v>38</v>
      </c>
      <c r="R78" s="28">
        <f t="shared" si="12"/>
        <v>266</v>
      </c>
      <c r="S78" s="28">
        <f t="shared" si="13"/>
        <v>0</v>
      </c>
      <c r="T78" s="28">
        <f t="shared" si="14"/>
        <v>346</v>
      </c>
      <c r="U78" s="29">
        <f t="shared" si="15"/>
        <v>0.12138728323699421</v>
      </c>
      <c r="V78" s="29">
        <f t="shared" si="16"/>
        <v>0.10982658959537572</v>
      </c>
      <c r="W78" s="29">
        <f t="shared" si="17"/>
        <v>0.76878612716763006</v>
      </c>
      <c r="X78" s="29">
        <f t="shared" si="18"/>
        <v>0</v>
      </c>
      <c r="Y78" s="30">
        <f t="shared" si="19"/>
        <v>41.306358381502889</v>
      </c>
    </row>
    <row r="79" spans="1:25" x14ac:dyDescent="0.25">
      <c r="A79" s="28" t="s">
        <v>262</v>
      </c>
      <c r="B79" s="28" t="s">
        <v>263</v>
      </c>
      <c r="C79" s="28" t="s">
        <v>170</v>
      </c>
      <c r="D79" s="28">
        <v>1</v>
      </c>
      <c r="E79" s="28"/>
      <c r="F79" s="28"/>
      <c r="G79" s="28"/>
      <c r="H79" s="28">
        <v>85</v>
      </c>
      <c r="I79" s="28">
        <v>268</v>
      </c>
      <c r="J79" s="28"/>
      <c r="K79" s="28">
        <v>13</v>
      </c>
      <c r="L79" s="28"/>
      <c r="M79" s="28">
        <v>366</v>
      </c>
      <c r="N79" s="30">
        <v>52.002732240437162</v>
      </c>
      <c r="O79" s="28" t="s">
        <v>234</v>
      </c>
      <c r="P79" s="28">
        <f t="shared" si="10"/>
        <v>13</v>
      </c>
      <c r="Q79" s="28">
        <f t="shared" si="11"/>
        <v>85</v>
      </c>
      <c r="R79" s="28">
        <f t="shared" si="12"/>
        <v>268</v>
      </c>
      <c r="S79" s="28">
        <f t="shared" si="13"/>
        <v>0</v>
      </c>
      <c r="T79" s="28">
        <f t="shared" si="14"/>
        <v>366</v>
      </c>
      <c r="U79" s="29">
        <f t="shared" si="15"/>
        <v>3.5519125683060107E-2</v>
      </c>
      <c r="V79" s="29">
        <f t="shared" si="16"/>
        <v>0.23224043715846995</v>
      </c>
      <c r="W79" s="29">
        <f t="shared" si="17"/>
        <v>0.73224043715846998</v>
      </c>
      <c r="X79" s="29">
        <f t="shared" si="18"/>
        <v>0</v>
      </c>
      <c r="Y79" s="30">
        <f t="shared" si="19"/>
        <v>52.002732240437162</v>
      </c>
    </row>
    <row r="80" spans="1:25" x14ac:dyDescent="0.25">
      <c r="A80" s="28" t="s">
        <v>264</v>
      </c>
      <c r="B80" s="28" t="s">
        <v>265</v>
      </c>
      <c r="C80" s="28" t="s">
        <v>172</v>
      </c>
      <c r="D80" s="28">
        <v>1</v>
      </c>
      <c r="E80" s="28"/>
      <c r="F80" s="28"/>
      <c r="G80" s="28"/>
      <c r="H80" s="28">
        <v>111</v>
      </c>
      <c r="I80" s="28">
        <v>209</v>
      </c>
      <c r="J80" s="28"/>
      <c r="K80" s="28">
        <v>30</v>
      </c>
      <c r="L80" s="28"/>
      <c r="M80" s="28">
        <v>350</v>
      </c>
      <c r="N80" s="30">
        <v>69.854285714285709</v>
      </c>
      <c r="O80" s="28" t="s">
        <v>234</v>
      </c>
      <c r="P80" s="28">
        <f t="shared" si="10"/>
        <v>30</v>
      </c>
      <c r="Q80" s="28">
        <f t="shared" si="11"/>
        <v>111</v>
      </c>
      <c r="R80" s="28">
        <f t="shared" si="12"/>
        <v>209</v>
      </c>
      <c r="S80" s="28">
        <f t="shared" si="13"/>
        <v>0</v>
      </c>
      <c r="T80" s="28">
        <f t="shared" si="14"/>
        <v>350</v>
      </c>
      <c r="U80" s="29">
        <f t="shared" si="15"/>
        <v>8.5714285714285715E-2</v>
      </c>
      <c r="V80" s="29">
        <f t="shared" si="16"/>
        <v>0.31714285714285712</v>
      </c>
      <c r="W80" s="29">
        <f t="shared" si="17"/>
        <v>0.5971428571428572</v>
      </c>
      <c r="X80" s="29">
        <f t="shared" si="18"/>
        <v>0</v>
      </c>
      <c r="Y80" s="30">
        <f t="shared" si="19"/>
        <v>69.854285714285709</v>
      </c>
    </row>
    <row r="81" spans="1:25" x14ac:dyDescent="0.25">
      <c r="A81" s="28" t="s">
        <v>264</v>
      </c>
      <c r="B81" s="28" t="s">
        <v>265</v>
      </c>
      <c r="C81" s="28" t="s">
        <v>172</v>
      </c>
      <c r="D81" s="28">
        <v>2</v>
      </c>
      <c r="E81" s="28"/>
      <c r="F81" s="28"/>
      <c r="G81" s="28"/>
      <c r="H81" s="28">
        <v>46</v>
      </c>
      <c r="I81" s="28">
        <v>273</v>
      </c>
      <c r="J81" s="28"/>
      <c r="K81" s="28">
        <v>109</v>
      </c>
      <c r="L81" s="28"/>
      <c r="M81" s="28">
        <v>428</v>
      </c>
      <c r="N81" s="30">
        <v>41.511682242990652</v>
      </c>
      <c r="O81" s="28" t="s">
        <v>234</v>
      </c>
      <c r="P81" s="28">
        <f t="shared" si="10"/>
        <v>109</v>
      </c>
      <c r="Q81" s="28">
        <f t="shared" si="11"/>
        <v>46</v>
      </c>
      <c r="R81" s="28">
        <f t="shared" si="12"/>
        <v>273</v>
      </c>
      <c r="S81" s="28">
        <f t="shared" si="13"/>
        <v>0</v>
      </c>
      <c r="T81" s="28">
        <f t="shared" si="14"/>
        <v>428</v>
      </c>
      <c r="U81" s="29">
        <f t="shared" si="15"/>
        <v>0.25467289719626168</v>
      </c>
      <c r="V81" s="29">
        <f t="shared" si="16"/>
        <v>0.10747663551401869</v>
      </c>
      <c r="W81" s="29">
        <f t="shared" si="17"/>
        <v>0.63785046728971961</v>
      </c>
      <c r="X81" s="29">
        <f t="shared" si="18"/>
        <v>0</v>
      </c>
      <c r="Y81" s="30">
        <f t="shared" si="19"/>
        <v>41.511682242990652</v>
      </c>
    </row>
    <row r="82" spans="1:25" x14ac:dyDescent="0.25">
      <c r="A82" s="28" t="s">
        <v>266</v>
      </c>
      <c r="B82" s="28" t="s">
        <v>267</v>
      </c>
      <c r="C82" s="28" t="s">
        <v>174</v>
      </c>
      <c r="D82" s="28">
        <v>1</v>
      </c>
      <c r="E82" s="28"/>
      <c r="F82" s="28">
        <v>4</v>
      </c>
      <c r="G82" s="28">
        <v>21</v>
      </c>
      <c r="H82" s="28">
        <v>33</v>
      </c>
      <c r="I82" s="28">
        <v>58</v>
      </c>
      <c r="J82" s="28">
        <v>2</v>
      </c>
      <c r="K82" s="28">
        <v>332</v>
      </c>
      <c r="L82" s="28"/>
      <c r="M82" s="28">
        <v>450</v>
      </c>
      <c r="N82" s="30">
        <v>55.808888888888887</v>
      </c>
      <c r="O82" s="28" t="s">
        <v>234</v>
      </c>
      <c r="P82" s="28">
        <f t="shared" si="10"/>
        <v>332</v>
      </c>
      <c r="Q82" s="28">
        <f t="shared" si="11"/>
        <v>33</v>
      </c>
      <c r="R82" s="28">
        <f t="shared" si="12"/>
        <v>58</v>
      </c>
      <c r="S82" s="28">
        <f t="shared" si="13"/>
        <v>27</v>
      </c>
      <c r="T82" s="28">
        <f t="shared" si="14"/>
        <v>450</v>
      </c>
      <c r="U82" s="29">
        <f t="shared" si="15"/>
        <v>0.73777777777777775</v>
      </c>
      <c r="V82" s="29">
        <f t="shared" si="16"/>
        <v>7.3333333333333334E-2</v>
      </c>
      <c r="W82" s="29">
        <f t="shared" si="17"/>
        <v>0.12888888888888889</v>
      </c>
      <c r="X82" s="29">
        <f t="shared" si="18"/>
        <v>0.06</v>
      </c>
      <c r="Y82" s="30">
        <f t="shared" si="19"/>
        <v>55.808888888888887</v>
      </c>
    </row>
    <row r="83" spans="1:25" x14ac:dyDescent="0.25">
      <c r="A83" s="28" t="s">
        <v>266</v>
      </c>
      <c r="B83" s="28" t="s">
        <v>267</v>
      </c>
      <c r="C83" s="28" t="s">
        <v>174</v>
      </c>
      <c r="D83" s="28">
        <v>2</v>
      </c>
      <c r="E83" s="28">
        <v>1</v>
      </c>
      <c r="F83" s="28">
        <v>14</v>
      </c>
      <c r="G83" s="28">
        <v>44</v>
      </c>
      <c r="H83" s="28">
        <v>8</v>
      </c>
      <c r="I83" s="28">
        <v>17</v>
      </c>
      <c r="J83" s="28"/>
      <c r="K83" s="28">
        <v>382</v>
      </c>
      <c r="L83" s="28"/>
      <c r="M83" s="28">
        <v>466</v>
      </c>
      <c r="N83" s="30">
        <v>42.422746781115883</v>
      </c>
      <c r="O83" s="28" t="s">
        <v>234</v>
      </c>
      <c r="P83" s="28">
        <f t="shared" si="10"/>
        <v>382</v>
      </c>
      <c r="Q83" s="28">
        <f t="shared" si="11"/>
        <v>8</v>
      </c>
      <c r="R83" s="28">
        <f t="shared" si="12"/>
        <v>17</v>
      </c>
      <c r="S83" s="28">
        <f t="shared" si="13"/>
        <v>59</v>
      </c>
      <c r="T83" s="28">
        <f t="shared" si="14"/>
        <v>466</v>
      </c>
      <c r="U83" s="29">
        <f t="shared" si="15"/>
        <v>0.81974248927038629</v>
      </c>
      <c r="V83" s="29">
        <f t="shared" si="16"/>
        <v>1.7167381974248927E-2</v>
      </c>
      <c r="W83" s="29">
        <f t="shared" si="17"/>
        <v>3.6480686695278972E-2</v>
      </c>
      <c r="X83" s="29">
        <f t="shared" si="18"/>
        <v>0.12660944206008584</v>
      </c>
      <c r="Y83" s="30">
        <f t="shared" si="19"/>
        <v>42.422746781115883</v>
      </c>
    </row>
    <row r="84" spans="1:25" x14ac:dyDescent="0.25">
      <c r="A84" s="28" t="s">
        <v>266</v>
      </c>
      <c r="B84" s="28" t="s">
        <v>267</v>
      </c>
      <c r="C84" s="28" t="s">
        <v>174</v>
      </c>
      <c r="D84" s="28">
        <v>3</v>
      </c>
      <c r="E84" s="28">
        <v>2</v>
      </c>
      <c r="F84" s="28">
        <v>6</v>
      </c>
      <c r="G84" s="28">
        <v>28</v>
      </c>
      <c r="H84" s="28">
        <v>18</v>
      </c>
      <c r="I84" s="28">
        <v>40</v>
      </c>
      <c r="J84" s="28">
        <v>1</v>
      </c>
      <c r="K84" s="28">
        <v>371</v>
      </c>
      <c r="L84" s="28"/>
      <c r="M84" s="28">
        <v>466</v>
      </c>
      <c r="N84" s="30">
        <v>31.032188841201716</v>
      </c>
      <c r="O84" s="28" t="s">
        <v>234</v>
      </c>
      <c r="P84" s="28">
        <f t="shared" si="10"/>
        <v>371</v>
      </c>
      <c r="Q84" s="28">
        <f t="shared" si="11"/>
        <v>18</v>
      </c>
      <c r="R84" s="28">
        <f t="shared" si="12"/>
        <v>40</v>
      </c>
      <c r="S84" s="28">
        <f t="shared" si="13"/>
        <v>37</v>
      </c>
      <c r="T84" s="28">
        <f t="shared" si="14"/>
        <v>466</v>
      </c>
      <c r="U84" s="29">
        <f t="shared" si="15"/>
        <v>0.79613733905579398</v>
      </c>
      <c r="V84" s="29">
        <f t="shared" si="16"/>
        <v>3.8626609442060089E-2</v>
      </c>
      <c r="W84" s="29">
        <f t="shared" si="17"/>
        <v>8.5836909871244635E-2</v>
      </c>
      <c r="X84" s="29">
        <f t="shared" si="18"/>
        <v>7.9399141630901282E-2</v>
      </c>
      <c r="Y84" s="30">
        <f t="shared" si="19"/>
        <v>31.032188841201716</v>
      </c>
    </row>
    <row r="85" spans="1:25" x14ac:dyDescent="0.25">
      <c r="A85" s="28" t="s">
        <v>268</v>
      </c>
      <c r="B85" s="28" t="s">
        <v>269</v>
      </c>
      <c r="C85" s="28" t="s">
        <v>176</v>
      </c>
      <c r="D85" s="28">
        <v>1</v>
      </c>
      <c r="E85" s="28"/>
      <c r="F85" s="28">
        <v>1</v>
      </c>
      <c r="G85" s="28"/>
      <c r="H85" s="28">
        <v>17</v>
      </c>
      <c r="I85" s="28">
        <v>45</v>
      </c>
      <c r="J85" s="28">
        <v>3</v>
      </c>
      <c r="K85" s="28">
        <v>384</v>
      </c>
      <c r="L85" s="28"/>
      <c r="M85" s="28">
        <v>450</v>
      </c>
      <c r="N85" s="30">
        <v>64.66</v>
      </c>
      <c r="O85" s="28" t="s">
        <v>234</v>
      </c>
      <c r="P85" s="28">
        <f t="shared" si="10"/>
        <v>384</v>
      </c>
      <c r="Q85" s="28">
        <f t="shared" si="11"/>
        <v>17</v>
      </c>
      <c r="R85" s="28">
        <f t="shared" si="12"/>
        <v>45</v>
      </c>
      <c r="S85" s="28">
        <f t="shared" si="13"/>
        <v>4</v>
      </c>
      <c r="T85" s="28">
        <f t="shared" si="14"/>
        <v>450</v>
      </c>
      <c r="U85" s="29">
        <f t="shared" si="15"/>
        <v>0.85333333333333339</v>
      </c>
      <c r="V85" s="29">
        <f t="shared" si="16"/>
        <v>3.7777777777777778E-2</v>
      </c>
      <c r="W85" s="29">
        <f t="shared" si="17"/>
        <v>0.1</v>
      </c>
      <c r="X85" s="29">
        <f t="shared" si="18"/>
        <v>8.8888888888888889E-3</v>
      </c>
      <c r="Y85" s="30">
        <f t="shared" si="19"/>
        <v>64.66</v>
      </c>
    </row>
    <row r="86" spans="1:25" x14ac:dyDescent="0.25">
      <c r="A86" s="28" t="s">
        <v>268</v>
      </c>
      <c r="B86" s="28" t="s">
        <v>269</v>
      </c>
      <c r="C86" s="28" t="s">
        <v>176</v>
      </c>
      <c r="D86" s="28">
        <v>2</v>
      </c>
      <c r="E86" s="28"/>
      <c r="F86" s="28"/>
      <c r="G86" s="28"/>
      <c r="H86" s="28">
        <v>12</v>
      </c>
      <c r="I86" s="28">
        <v>36</v>
      </c>
      <c r="J86" s="28">
        <v>1</v>
      </c>
      <c r="K86" s="28">
        <v>400</v>
      </c>
      <c r="L86" s="28">
        <v>1</v>
      </c>
      <c r="M86" s="28">
        <v>450</v>
      </c>
      <c r="N86" s="30">
        <v>59.993333333333332</v>
      </c>
      <c r="O86" s="28" t="s">
        <v>234</v>
      </c>
      <c r="P86" s="28">
        <f t="shared" si="10"/>
        <v>400</v>
      </c>
      <c r="Q86" s="28">
        <f t="shared" si="11"/>
        <v>12</v>
      </c>
      <c r="R86" s="28">
        <f t="shared" si="12"/>
        <v>36</v>
      </c>
      <c r="S86" s="28">
        <f t="shared" si="13"/>
        <v>2</v>
      </c>
      <c r="T86" s="28">
        <f t="shared" si="14"/>
        <v>450</v>
      </c>
      <c r="U86" s="29">
        <f t="shared" si="15"/>
        <v>0.88888888888888884</v>
      </c>
      <c r="V86" s="29">
        <f t="shared" si="16"/>
        <v>2.6666666666666668E-2</v>
      </c>
      <c r="W86" s="29">
        <f t="shared" si="17"/>
        <v>0.08</v>
      </c>
      <c r="X86" s="29">
        <f t="shared" si="18"/>
        <v>4.4444444444444444E-3</v>
      </c>
      <c r="Y86" s="30">
        <f t="shared" si="19"/>
        <v>59.993333333333332</v>
      </c>
    </row>
    <row r="87" spans="1:25" x14ac:dyDescent="0.25">
      <c r="A87" s="28" t="s">
        <v>268</v>
      </c>
      <c r="B87" s="28" t="s">
        <v>269</v>
      </c>
      <c r="C87" s="28" t="s">
        <v>176</v>
      </c>
      <c r="D87" s="28">
        <v>3</v>
      </c>
      <c r="E87" s="28">
        <v>1</v>
      </c>
      <c r="F87" s="28">
        <v>5</v>
      </c>
      <c r="G87" s="28">
        <v>1</v>
      </c>
      <c r="H87" s="28">
        <v>19</v>
      </c>
      <c r="I87" s="28">
        <v>68</v>
      </c>
      <c r="J87" s="28">
        <v>5</v>
      </c>
      <c r="K87" s="28">
        <v>590</v>
      </c>
      <c r="L87" s="28">
        <v>1</v>
      </c>
      <c r="M87" s="28">
        <v>690</v>
      </c>
      <c r="N87" s="30">
        <v>46.602898550724639</v>
      </c>
      <c r="O87" s="28" t="s">
        <v>234</v>
      </c>
      <c r="P87" s="28">
        <f t="shared" si="10"/>
        <v>590</v>
      </c>
      <c r="Q87" s="28">
        <f t="shared" si="11"/>
        <v>19</v>
      </c>
      <c r="R87" s="28">
        <f t="shared" si="12"/>
        <v>68</v>
      </c>
      <c r="S87" s="28">
        <f t="shared" si="13"/>
        <v>13</v>
      </c>
      <c r="T87" s="28">
        <f t="shared" si="14"/>
        <v>690</v>
      </c>
      <c r="U87" s="29">
        <f t="shared" si="15"/>
        <v>0.85507246376811596</v>
      </c>
      <c r="V87" s="29">
        <f t="shared" si="16"/>
        <v>2.753623188405797E-2</v>
      </c>
      <c r="W87" s="29">
        <f t="shared" si="17"/>
        <v>9.8550724637681164E-2</v>
      </c>
      <c r="X87" s="29">
        <f t="shared" si="18"/>
        <v>1.8840579710144929E-2</v>
      </c>
      <c r="Y87" s="30">
        <f t="shared" si="19"/>
        <v>46.602898550724639</v>
      </c>
    </row>
    <row r="88" spans="1:25" x14ac:dyDescent="0.25">
      <c r="A88" s="28" t="s">
        <v>268</v>
      </c>
      <c r="B88" s="28" t="s">
        <v>269</v>
      </c>
      <c r="C88" s="28" t="s">
        <v>176</v>
      </c>
      <c r="D88" s="28">
        <v>4</v>
      </c>
      <c r="E88" s="28">
        <v>1</v>
      </c>
      <c r="F88" s="28"/>
      <c r="G88" s="28"/>
      <c r="H88" s="28">
        <v>16</v>
      </c>
      <c r="I88" s="28">
        <v>38</v>
      </c>
      <c r="J88" s="28">
        <v>2</v>
      </c>
      <c r="K88" s="28">
        <v>633</v>
      </c>
      <c r="L88" s="28"/>
      <c r="M88" s="28">
        <v>690</v>
      </c>
      <c r="N88" s="30">
        <v>36.042028985507244</v>
      </c>
      <c r="O88" s="28" t="s">
        <v>234</v>
      </c>
      <c r="P88" s="28">
        <f t="shared" si="10"/>
        <v>633</v>
      </c>
      <c r="Q88" s="28">
        <f t="shared" si="11"/>
        <v>16</v>
      </c>
      <c r="R88" s="28">
        <f t="shared" si="12"/>
        <v>38</v>
      </c>
      <c r="S88" s="28">
        <f t="shared" si="13"/>
        <v>3</v>
      </c>
      <c r="T88" s="28">
        <f t="shared" si="14"/>
        <v>690</v>
      </c>
      <c r="U88" s="29">
        <f t="shared" si="15"/>
        <v>0.91739130434782612</v>
      </c>
      <c r="V88" s="29">
        <f t="shared" si="16"/>
        <v>2.318840579710145E-2</v>
      </c>
      <c r="W88" s="29">
        <f t="shared" si="17"/>
        <v>5.5072463768115941E-2</v>
      </c>
      <c r="X88" s="29">
        <f t="shared" si="18"/>
        <v>4.3478260869565218E-3</v>
      </c>
      <c r="Y88" s="30">
        <f t="shared" si="19"/>
        <v>36.042028985507244</v>
      </c>
    </row>
    <row r="89" spans="1:25" x14ac:dyDescent="0.25">
      <c r="A89" s="28" t="s">
        <v>268</v>
      </c>
      <c r="B89" s="28" t="s">
        <v>269</v>
      </c>
      <c r="C89" s="28" t="s">
        <v>176</v>
      </c>
      <c r="D89" s="28">
        <v>5</v>
      </c>
      <c r="E89" s="28"/>
      <c r="F89" s="28">
        <v>1</v>
      </c>
      <c r="G89" s="28">
        <v>1</v>
      </c>
      <c r="H89" s="28">
        <v>19</v>
      </c>
      <c r="I89" s="28">
        <v>30</v>
      </c>
      <c r="J89" s="28"/>
      <c r="K89" s="28">
        <v>641</v>
      </c>
      <c r="L89" s="28"/>
      <c r="M89" s="28">
        <v>692</v>
      </c>
      <c r="N89" s="30">
        <v>28.702312138728324</v>
      </c>
      <c r="O89" s="28" t="s">
        <v>234</v>
      </c>
      <c r="P89" s="28">
        <f t="shared" si="10"/>
        <v>641</v>
      </c>
      <c r="Q89" s="28">
        <f t="shared" si="11"/>
        <v>19</v>
      </c>
      <c r="R89" s="28">
        <f t="shared" si="12"/>
        <v>30</v>
      </c>
      <c r="S89" s="28">
        <f t="shared" si="13"/>
        <v>2</v>
      </c>
      <c r="T89" s="28">
        <f t="shared" si="14"/>
        <v>692</v>
      </c>
      <c r="U89" s="29">
        <f t="shared" si="15"/>
        <v>0.92630057803468213</v>
      </c>
      <c r="V89" s="29">
        <f t="shared" si="16"/>
        <v>2.7456647398843931E-2</v>
      </c>
      <c r="W89" s="29">
        <f t="shared" si="17"/>
        <v>4.3352601156069363E-2</v>
      </c>
      <c r="X89" s="29">
        <f t="shared" si="18"/>
        <v>2.8901734104046241E-3</v>
      </c>
      <c r="Y89" s="30">
        <f t="shared" si="19"/>
        <v>28.702312138728324</v>
      </c>
    </row>
    <row r="90" spans="1:25" x14ac:dyDescent="0.25">
      <c r="A90" s="28" t="s">
        <v>268</v>
      </c>
      <c r="B90" s="28" t="s">
        <v>269</v>
      </c>
      <c r="C90" s="28" t="s">
        <v>176</v>
      </c>
      <c r="D90" s="28">
        <v>6</v>
      </c>
      <c r="E90" s="28"/>
      <c r="F90" s="28"/>
      <c r="G90" s="28"/>
      <c r="H90" s="28">
        <v>10</v>
      </c>
      <c r="I90" s="28">
        <v>26</v>
      </c>
      <c r="J90" s="28"/>
      <c r="K90" s="28">
        <v>658</v>
      </c>
      <c r="L90" s="28"/>
      <c r="M90" s="28">
        <v>694</v>
      </c>
      <c r="N90" s="30">
        <v>21.585014409221902</v>
      </c>
      <c r="O90" s="28" t="s">
        <v>234</v>
      </c>
      <c r="P90" s="28">
        <f t="shared" si="10"/>
        <v>658</v>
      </c>
      <c r="Q90" s="28">
        <f t="shared" si="11"/>
        <v>10</v>
      </c>
      <c r="R90" s="28">
        <f t="shared" si="12"/>
        <v>26</v>
      </c>
      <c r="S90" s="28">
        <f t="shared" si="13"/>
        <v>0</v>
      </c>
      <c r="T90" s="28">
        <f t="shared" si="14"/>
        <v>694</v>
      </c>
      <c r="U90" s="29">
        <f t="shared" si="15"/>
        <v>0.94812680115273773</v>
      </c>
      <c r="V90" s="29">
        <f t="shared" si="16"/>
        <v>1.4409221902017291E-2</v>
      </c>
      <c r="W90" s="29">
        <f t="shared" si="17"/>
        <v>3.7463976945244955E-2</v>
      </c>
      <c r="X90" s="29">
        <f t="shared" si="18"/>
        <v>0</v>
      </c>
      <c r="Y90" s="30">
        <f t="shared" si="19"/>
        <v>21.585014409221902</v>
      </c>
    </row>
    <row r="91" spans="1:25" x14ac:dyDescent="0.25">
      <c r="A91" s="28" t="s">
        <v>270</v>
      </c>
      <c r="B91" s="28" t="s">
        <v>271</v>
      </c>
      <c r="C91" s="28" t="s">
        <v>178</v>
      </c>
      <c r="D91" s="28">
        <v>1</v>
      </c>
      <c r="E91" s="28"/>
      <c r="F91" s="28">
        <v>1</v>
      </c>
      <c r="G91" s="28"/>
      <c r="H91" s="28">
        <v>51</v>
      </c>
      <c r="I91" s="28">
        <v>46</v>
      </c>
      <c r="J91" s="28">
        <v>1</v>
      </c>
      <c r="K91" s="28">
        <v>351</v>
      </c>
      <c r="L91" s="28"/>
      <c r="M91" s="28">
        <v>450</v>
      </c>
      <c r="N91" s="30">
        <v>67.608888888888885</v>
      </c>
      <c r="O91" s="28" t="s">
        <v>234</v>
      </c>
      <c r="P91" s="28">
        <f t="shared" si="10"/>
        <v>351</v>
      </c>
      <c r="Q91" s="28">
        <f t="shared" si="11"/>
        <v>51</v>
      </c>
      <c r="R91" s="28">
        <f t="shared" si="12"/>
        <v>46</v>
      </c>
      <c r="S91" s="28">
        <f t="shared" si="13"/>
        <v>2</v>
      </c>
      <c r="T91" s="28">
        <f t="shared" si="14"/>
        <v>450</v>
      </c>
      <c r="U91" s="29">
        <f t="shared" si="15"/>
        <v>0.78</v>
      </c>
      <c r="V91" s="29">
        <f t="shared" si="16"/>
        <v>0.11333333333333333</v>
      </c>
      <c r="W91" s="29">
        <f t="shared" si="17"/>
        <v>0.10222222222222223</v>
      </c>
      <c r="X91" s="29">
        <f t="shared" si="18"/>
        <v>4.4444444444444444E-3</v>
      </c>
      <c r="Y91" s="30">
        <f t="shared" si="19"/>
        <v>67.608888888888885</v>
      </c>
    </row>
    <row r="92" spans="1:25" x14ac:dyDescent="0.25">
      <c r="A92" s="28" t="s">
        <v>270</v>
      </c>
      <c r="B92" s="28" t="s">
        <v>271</v>
      </c>
      <c r="C92" s="28" t="s">
        <v>178</v>
      </c>
      <c r="D92" s="28">
        <v>2</v>
      </c>
      <c r="E92" s="28"/>
      <c r="F92" s="28">
        <v>1</v>
      </c>
      <c r="G92" s="28"/>
      <c r="H92" s="28">
        <v>10</v>
      </c>
      <c r="I92" s="28">
        <v>41</v>
      </c>
      <c r="J92" s="28"/>
      <c r="K92" s="28">
        <v>398</v>
      </c>
      <c r="L92" s="28"/>
      <c r="M92" s="28">
        <v>450</v>
      </c>
      <c r="N92" s="30">
        <v>58.375555555555557</v>
      </c>
      <c r="O92" s="28" t="s">
        <v>234</v>
      </c>
      <c r="P92" s="28">
        <f t="shared" si="10"/>
        <v>398</v>
      </c>
      <c r="Q92" s="28">
        <f t="shared" si="11"/>
        <v>10</v>
      </c>
      <c r="R92" s="28">
        <f t="shared" si="12"/>
        <v>41</v>
      </c>
      <c r="S92" s="28">
        <f t="shared" si="13"/>
        <v>1</v>
      </c>
      <c r="T92" s="28">
        <f t="shared" si="14"/>
        <v>450</v>
      </c>
      <c r="U92" s="29">
        <f t="shared" si="15"/>
        <v>0.88444444444444448</v>
      </c>
      <c r="V92" s="29">
        <f t="shared" si="16"/>
        <v>2.2222222222222223E-2</v>
      </c>
      <c r="W92" s="29">
        <f t="shared" si="17"/>
        <v>9.1111111111111115E-2</v>
      </c>
      <c r="X92" s="29">
        <f t="shared" si="18"/>
        <v>2.2222222222222222E-3</v>
      </c>
      <c r="Y92" s="30">
        <f t="shared" si="19"/>
        <v>58.375555555555557</v>
      </c>
    </row>
    <row r="93" spans="1:25" x14ac:dyDescent="0.25">
      <c r="A93" s="28" t="s">
        <v>270</v>
      </c>
      <c r="B93" s="28" t="s">
        <v>271</v>
      </c>
      <c r="C93" s="28" t="s">
        <v>178</v>
      </c>
      <c r="D93" s="28">
        <v>3</v>
      </c>
      <c r="E93" s="28"/>
      <c r="F93" s="28">
        <v>4</v>
      </c>
      <c r="G93" s="28">
        <v>15</v>
      </c>
      <c r="H93" s="28">
        <v>15</v>
      </c>
      <c r="I93" s="28">
        <v>31</v>
      </c>
      <c r="J93" s="28">
        <v>1</v>
      </c>
      <c r="K93" s="28">
        <v>581</v>
      </c>
      <c r="L93" s="28"/>
      <c r="M93" s="28">
        <v>647</v>
      </c>
      <c r="N93" s="30">
        <v>47.62132921174652</v>
      </c>
      <c r="O93" s="28" t="s">
        <v>234</v>
      </c>
      <c r="P93" s="28">
        <f t="shared" si="10"/>
        <v>581</v>
      </c>
      <c r="Q93" s="28">
        <f t="shared" si="11"/>
        <v>15</v>
      </c>
      <c r="R93" s="28">
        <f t="shared" si="12"/>
        <v>31</v>
      </c>
      <c r="S93" s="28">
        <f t="shared" si="13"/>
        <v>20</v>
      </c>
      <c r="T93" s="28">
        <f t="shared" si="14"/>
        <v>647</v>
      </c>
      <c r="U93" s="29">
        <f t="shared" si="15"/>
        <v>0.89799072642967548</v>
      </c>
      <c r="V93" s="29">
        <f t="shared" si="16"/>
        <v>2.3183925811437404E-2</v>
      </c>
      <c r="W93" s="29">
        <f t="shared" si="17"/>
        <v>4.7913446676970631E-2</v>
      </c>
      <c r="X93" s="29">
        <f t="shared" si="18"/>
        <v>3.0911901081916538E-2</v>
      </c>
      <c r="Y93" s="30">
        <f t="shared" si="19"/>
        <v>47.62132921174652</v>
      </c>
    </row>
    <row r="94" spans="1:25" x14ac:dyDescent="0.25">
      <c r="A94" s="28" t="s">
        <v>270</v>
      </c>
      <c r="B94" s="28" t="s">
        <v>271</v>
      </c>
      <c r="C94" s="28" t="s">
        <v>178</v>
      </c>
      <c r="D94" s="28">
        <v>4</v>
      </c>
      <c r="E94" s="28">
        <v>2</v>
      </c>
      <c r="F94" s="28">
        <v>2</v>
      </c>
      <c r="G94" s="28">
        <v>8</v>
      </c>
      <c r="H94" s="28">
        <v>22</v>
      </c>
      <c r="I94" s="28">
        <v>56</v>
      </c>
      <c r="J94" s="28">
        <v>2</v>
      </c>
      <c r="K94" s="28">
        <v>552</v>
      </c>
      <c r="L94" s="28">
        <v>3</v>
      </c>
      <c r="M94" s="28">
        <v>647</v>
      </c>
      <c r="N94" s="30">
        <v>36.729520865533232</v>
      </c>
      <c r="O94" s="28" t="s">
        <v>234</v>
      </c>
      <c r="P94" s="28">
        <f t="shared" si="10"/>
        <v>552</v>
      </c>
      <c r="Q94" s="28">
        <f t="shared" si="11"/>
        <v>22</v>
      </c>
      <c r="R94" s="28">
        <f t="shared" si="12"/>
        <v>56</v>
      </c>
      <c r="S94" s="28">
        <f t="shared" si="13"/>
        <v>17</v>
      </c>
      <c r="T94" s="28">
        <f t="shared" si="14"/>
        <v>647</v>
      </c>
      <c r="U94" s="29">
        <f t="shared" si="15"/>
        <v>0.85316846986089645</v>
      </c>
      <c r="V94" s="29">
        <f t="shared" si="16"/>
        <v>3.4003091190108192E-2</v>
      </c>
      <c r="W94" s="29">
        <f t="shared" si="17"/>
        <v>8.6553323029366303E-2</v>
      </c>
      <c r="X94" s="29">
        <f t="shared" si="18"/>
        <v>2.6275115919629059E-2</v>
      </c>
      <c r="Y94" s="30">
        <f t="shared" si="19"/>
        <v>36.729520865533232</v>
      </c>
    </row>
    <row r="95" spans="1:25" x14ac:dyDescent="0.25">
      <c r="A95" s="28" t="s">
        <v>270</v>
      </c>
      <c r="B95" s="28" t="s">
        <v>271</v>
      </c>
      <c r="C95" s="28" t="s">
        <v>178</v>
      </c>
      <c r="D95" s="28">
        <v>5</v>
      </c>
      <c r="E95" s="28">
        <v>1</v>
      </c>
      <c r="F95" s="28"/>
      <c r="G95" s="28">
        <v>2</v>
      </c>
      <c r="H95" s="28">
        <v>25</v>
      </c>
      <c r="I95" s="28">
        <v>42</v>
      </c>
      <c r="J95" s="28">
        <v>1</v>
      </c>
      <c r="K95" s="28">
        <v>576</v>
      </c>
      <c r="L95" s="28"/>
      <c r="M95" s="28">
        <v>647</v>
      </c>
      <c r="N95" s="30">
        <v>27.92272024729521</v>
      </c>
      <c r="O95" s="28" t="s">
        <v>234</v>
      </c>
      <c r="P95" s="28">
        <f t="shared" si="10"/>
        <v>576</v>
      </c>
      <c r="Q95" s="28">
        <f t="shared" si="11"/>
        <v>25</v>
      </c>
      <c r="R95" s="28">
        <f t="shared" si="12"/>
        <v>42</v>
      </c>
      <c r="S95" s="28">
        <f t="shared" si="13"/>
        <v>4</v>
      </c>
      <c r="T95" s="28">
        <f t="shared" si="14"/>
        <v>647</v>
      </c>
      <c r="U95" s="29">
        <f t="shared" si="15"/>
        <v>0.89026275115919629</v>
      </c>
      <c r="V95" s="29">
        <f t="shared" si="16"/>
        <v>3.8639876352395672E-2</v>
      </c>
      <c r="W95" s="29">
        <f t="shared" si="17"/>
        <v>6.4914992272024727E-2</v>
      </c>
      <c r="X95" s="29">
        <f t="shared" si="18"/>
        <v>6.1823802163833074E-3</v>
      </c>
      <c r="Y95" s="30">
        <f t="shared" si="19"/>
        <v>27.92272024729521</v>
      </c>
    </row>
    <row r="96" spans="1:25" x14ac:dyDescent="0.25">
      <c r="A96" s="28" t="s">
        <v>270</v>
      </c>
      <c r="B96" s="28" t="s">
        <v>271</v>
      </c>
      <c r="C96" s="28" t="s">
        <v>178</v>
      </c>
      <c r="D96" s="28">
        <v>6</v>
      </c>
      <c r="E96" s="28"/>
      <c r="F96" s="28"/>
      <c r="G96" s="28">
        <v>14</v>
      </c>
      <c r="H96" s="28">
        <v>15</v>
      </c>
      <c r="I96" s="28">
        <v>45</v>
      </c>
      <c r="J96" s="28"/>
      <c r="K96" s="28">
        <v>573</v>
      </c>
      <c r="L96" s="28"/>
      <c r="M96" s="28">
        <v>647</v>
      </c>
      <c r="N96" s="30">
        <v>20.868624420401854</v>
      </c>
      <c r="O96" s="28" t="s">
        <v>234</v>
      </c>
      <c r="P96" s="28">
        <f t="shared" si="10"/>
        <v>573</v>
      </c>
      <c r="Q96" s="28">
        <f t="shared" si="11"/>
        <v>15</v>
      </c>
      <c r="R96" s="28">
        <f t="shared" si="12"/>
        <v>45</v>
      </c>
      <c r="S96" s="28">
        <f t="shared" si="13"/>
        <v>14</v>
      </c>
      <c r="T96" s="28">
        <f t="shared" si="14"/>
        <v>647</v>
      </c>
      <c r="U96" s="29">
        <f t="shared" si="15"/>
        <v>0.88562596599690879</v>
      </c>
      <c r="V96" s="29">
        <f t="shared" si="16"/>
        <v>2.3183925811437404E-2</v>
      </c>
      <c r="W96" s="29">
        <f t="shared" si="17"/>
        <v>6.9551777434312206E-2</v>
      </c>
      <c r="X96" s="29">
        <f t="shared" si="18"/>
        <v>2.1638330757341576E-2</v>
      </c>
      <c r="Y96" s="30">
        <f t="shared" si="19"/>
        <v>20.868624420401854</v>
      </c>
    </row>
    <row r="97" spans="1:25" x14ac:dyDescent="0.25">
      <c r="A97" s="28" t="s">
        <v>272</v>
      </c>
      <c r="B97" s="28" t="s">
        <v>273</v>
      </c>
      <c r="C97" s="28" t="s">
        <v>180</v>
      </c>
      <c r="D97" s="28">
        <v>1</v>
      </c>
      <c r="E97" s="28"/>
      <c r="F97" s="28"/>
      <c r="G97" s="28"/>
      <c r="H97" s="28">
        <v>193</v>
      </c>
      <c r="I97" s="28">
        <v>35</v>
      </c>
      <c r="J97" s="28">
        <v>2</v>
      </c>
      <c r="K97" s="28">
        <v>220</v>
      </c>
      <c r="L97" s="28"/>
      <c r="M97" s="28">
        <v>450</v>
      </c>
      <c r="N97" s="30">
        <v>70.926666666666662</v>
      </c>
      <c r="O97" s="28" t="s">
        <v>234</v>
      </c>
      <c r="P97" s="28">
        <f t="shared" si="10"/>
        <v>220</v>
      </c>
      <c r="Q97" s="28">
        <f t="shared" si="11"/>
        <v>193</v>
      </c>
      <c r="R97" s="28">
        <f t="shared" si="12"/>
        <v>35</v>
      </c>
      <c r="S97" s="28">
        <f t="shared" si="13"/>
        <v>2</v>
      </c>
      <c r="T97" s="28">
        <f t="shared" si="14"/>
        <v>450</v>
      </c>
      <c r="U97" s="29">
        <f t="shared" si="15"/>
        <v>0.48888888888888887</v>
      </c>
      <c r="V97" s="29">
        <f t="shared" si="16"/>
        <v>0.42888888888888888</v>
      </c>
      <c r="W97" s="29">
        <f t="shared" si="17"/>
        <v>7.7777777777777779E-2</v>
      </c>
      <c r="X97" s="29">
        <f t="shared" si="18"/>
        <v>4.4444444444444444E-3</v>
      </c>
      <c r="Y97" s="30">
        <f t="shared" si="19"/>
        <v>70.926666666666662</v>
      </c>
    </row>
    <row r="98" spans="1:25" x14ac:dyDescent="0.25">
      <c r="A98" s="28" t="s">
        <v>272</v>
      </c>
      <c r="B98" s="28" t="s">
        <v>273</v>
      </c>
      <c r="C98" s="28" t="s">
        <v>180</v>
      </c>
      <c r="D98" s="28">
        <v>2</v>
      </c>
      <c r="E98" s="28"/>
      <c r="F98" s="28"/>
      <c r="G98" s="28"/>
      <c r="H98" s="28">
        <v>156</v>
      </c>
      <c r="I98" s="28">
        <v>31</v>
      </c>
      <c r="J98" s="28">
        <v>1</v>
      </c>
      <c r="K98" s="28">
        <v>261</v>
      </c>
      <c r="L98" s="28">
        <v>1</v>
      </c>
      <c r="M98" s="28">
        <v>450</v>
      </c>
      <c r="N98" s="30">
        <v>65.3</v>
      </c>
      <c r="O98" s="28" t="s">
        <v>234</v>
      </c>
      <c r="P98" s="28">
        <f t="shared" si="10"/>
        <v>261</v>
      </c>
      <c r="Q98" s="28">
        <f t="shared" si="11"/>
        <v>156</v>
      </c>
      <c r="R98" s="28">
        <f t="shared" si="12"/>
        <v>31</v>
      </c>
      <c r="S98" s="28">
        <f t="shared" si="13"/>
        <v>2</v>
      </c>
      <c r="T98" s="28">
        <f t="shared" si="14"/>
        <v>450</v>
      </c>
      <c r="U98" s="29">
        <f t="shared" si="15"/>
        <v>0.57999999999999996</v>
      </c>
      <c r="V98" s="29">
        <f t="shared" si="16"/>
        <v>0.34666666666666668</v>
      </c>
      <c r="W98" s="29">
        <f t="shared" si="17"/>
        <v>6.8888888888888888E-2</v>
      </c>
      <c r="X98" s="29">
        <f t="shared" si="18"/>
        <v>4.4444444444444444E-3</v>
      </c>
      <c r="Y98" s="30">
        <f t="shared" si="19"/>
        <v>65.3</v>
      </c>
    </row>
    <row r="99" spans="1:25" x14ac:dyDescent="0.25">
      <c r="A99" s="28" t="s">
        <v>272</v>
      </c>
      <c r="B99" s="28" t="s">
        <v>273</v>
      </c>
      <c r="C99" s="28" t="s">
        <v>180</v>
      </c>
      <c r="D99" s="28">
        <v>3</v>
      </c>
      <c r="E99" s="28"/>
      <c r="F99" s="28">
        <v>1</v>
      </c>
      <c r="G99" s="28"/>
      <c r="H99" s="28">
        <v>130</v>
      </c>
      <c r="I99" s="28">
        <v>39</v>
      </c>
      <c r="J99" s="28">
        <v>1</v>
      </c>
      <c r="K99" s="28">
        <v>279</v>
      </c>
      <c r="L99" s="28"/>
      <c r="M99" s="28">
        <v>450</v>
      </c>
      <c r="N99" s="30">
        <v>57.226666666666667</v>
      </c>
      <c r="O99" s="28" t="s">
        <v>234</v>
      </c>
      <c r="P99" s="28">
        <f t="shared" ref="P99:P151" si="20">K99</f>
        <v>279</v>
      </c>
      <c r="Q99" s="28">
        <f t="shared" ref="Q99:Q151" si="21">H99</f>
        <v>130</v>
      </c>
      <c r="R99" s="28">
        <f t="shared" ref="R99:R151" si="22">I99</f>
        <v>39</v>
      </c>
      <c r="S99" s="28">
        <f t="shared" ref="S99:S151" si="23">M99-SUM(P99:R99)</f>
        <v>2</v>
      </c>
      <c r="T99" s="28">
        <f t="shared" ref="T99:T151" si="24">SUM(P99:S99)</f>
        <v>450</v>
      </c>
      <c r="U99" s="29">
        <f t="shared" ref="U99:U151" si="25">P99/M99</f>
        <v>0.62</v>
      </c>
      <c r="V99" s="29">
        <f t="shared" ref="V99:V151" si="26">Q99/M99</f>
        <v>0.28888888888888886</v>
      </c>
      <c r="W99" s="29">
        <f t="shared" ref="W99:W151" si="27">R99/M99</f>
        <v>8.666666666666667E-2</v>
      </c>
      <c r="X99" s="29">
        <f t="shared" ref="X99:X151" si="28">S99/M99</f>
        <v>4.4444444444444444E-3</v>
      </c>
      <c r="Y99" s="30">
        <f t="shared" ref="Y99:Y151" si="29">N99</f>
        <v>57.226666666666667</v>
      </c>
    </row>
    <row r="100" spans="1:25" x14ac:dyDescent="0.25">
      <c r="A100" s="28" t="s">
        <v>272</v>
      </c>
      <c r="B100" s="28" t="s">
        <v>273</v>
      </c>
      <c r="C100" s="28" t="s">
        <v>180</v>
      </c>
      <c r="D100" s="28">
        <v>4</v>
      </c>
      <c r="E100" s="28">
        <v>1</v>
      </c>
      <c r="F100" s="28">
        <v>1</v>
      </c>
      <c r="G100" s="28">
        <v>1</v>
      </c>
      <c r="H100" s="28">
        <v>187</v>
      </c>
      <c r="I100" s="28">
        <v>68</v>
      </c>
      <c r="J100" s="28">
        <v>1</v>
      </c>
      <c r="K100" s="28">
        <v>414</v>
      </c>
      <c r="L100" s="28"/>
      <c r="M100" s="28">
        <v>673</v>
      </c>
      <c r="N100" s="30">
        <v>46.245170876671622</v>
      </c>
      <c r="O100" s="28" t="s">
        <v>234</v>
      </c>
      <c r="P100" s="28">
        <f t="shared" si="20"/>
        <v>414</v>
      </c>
      <c r="Q100" s="28">
        <f t="shared" si="21"/>
        <v>187</v>
      </c>
      <c r="R100" s="28">
        <f t="shared" si="22"/>
        <v>68</v>
      </c>
      <c r="S100" s="28">
        <f t="shared" si="23"/>
        <v>4</v>
      </c>
      <c r="T100" s="28">
        <f t="shared" si="24"/>
        <v>673</v>
      </c>
      <c r="U100" s="29">
        <f t="shared" si="25"/>
        <v>0.61515601783060925</v>
      </c>
      <c r="V100" s="29">
        <f t="shared" si="26"/>
        <v>0.27786032689450224</v>
      </c>
      <c r="W100" s="29">
        <f t="shared" si="27"/>
        <v>0.10104011887072809</v>
      </c>
      <c r="X100" s="29">
        <f t="shared" si="28"/>
        <v>5.9435364041604752E-3</v>
      </c>
      <c r="Y100" s="30">
        <f t="shared" si="29"/>
        <v>46.245170876671622</v>
      </c>
    </row>
    <row r="101" spans="1:25" x14ac:dyDescent="0.25">
      <c r="A101" s="28" t="s">
        <v>272</v>
      </c>
      <c r="B101" s="28" t="s">
        <v>273</v>
      </c>
      <c r="C101" s="28" t="s">
        <v>180</v>
      </c>
      <c r="D101" s="28">
        <v>5</v>
      </c>
      <c r="E101" s="28"/>
      <c r="F101" s="28"/>
      <c r="G101" s="28">
        <v>1</v>
      </c>
      <c r="H101" s="28">
        <v>146</v>
      </c>
      <c r="I101" s="28">
        <v>56</v>
      </c>
      <c r="J101" s="28">
        <v>2</v>
      </c>
      <c r="K101" s="28">
        <v>468</v>
      </c>
      <c r="L101" s="28"/>
      <c r="M101" s="28">
        <v>673</v>
      </c>
      <c r="N101" s="30">
        <v>36.35215453194651</v>
      </c>
      <c r="O101" s="28" t="s">
        <v>234</v>
      </c>
      <c r="P101" s="28">
        <f t="shared" si="20"/>
        <v>468</v>
      </c>
      <c r="Q101" s="28">
        <f t="shared" si="21"/>
        <v>146</v>
      </c>
      <c r="R101" s="28">
        <f t="shared" si="22"/>
        <v>56</v>
      </c>
      <c r="S101" s="28">
        <f t="shared" si="23"/>
        <v>3</v>
      </c>
      <c r="T101" s="28">
        <f t="shared" si="24"/>
        <v>673</v>
      </c>
      <c r="U101" s="29">
        <f t="shared" si="25"/>
        <v>0.6953937592867756</v>
      </c>
      <c r="V101" s="29">
        <f t="shared" si="26"/>
        <v>0.21693907875185736</v>
      </c>
      <c r="W101" s="29">
        <f t="shared" si="27"/>
        <v>8.3209509658246653E-2</v>
      </c>
      <c r="X101" s="29">
        <f t="shared" si="28"/>
        <v>4.4576523031203564E-3</v>
      </c>
      <c r="Y101" s="30">
        <f t="shared" si="29"/>
        <v>36.35215453194651</v>
      </c>
    </row>
    <row r="102" spans="1:25" x14ac:dyDescent="0.25">
      <c r="A102" s="28" t="s">
        <v>272</v>
      </c>
      <c r="B102" s="28" t="s">
        <v>273</v>
      </c>
      <c r="C102" s="28" t="s">
        <v>180</v>
      </c>
      <c r="D102" s="28">
        <v>6</v>
      </c>
      <c r="E102" s="28"/>
      <c r="F102" s="28"/>
      <c r="G102" s="28">
        <v>1</v>
      </c>
      <c r="H102" s="28">
        <v>147</v>
      </c>
      <c r="I102" s="28">
        <v>47</v>
      </c>
      <c r="J102" s="28">
        <v>1</v>
      </c>
      <c r="K102" s="28">
        <v>478</v>
      </c>
      <c r="L102" s="28"/>
      <c r="M102" s="28">
        <v>674</v>
      </c>
      <c r="N102" s="30">
        <v>28.790801186943622</v>
      </c>
      <c r="O102" s="28" t="s">
        <v>234</v>
      </c>
      <c r="P102" s="28">
        <f t="shared" si="20"/>
        <v>478</v>
      </c>
      <c r="Q102" s="28">
        <f t="shared" si="21"/>
        <v>147</v>
      </c>
      <c r="R102" s="28">
        <f t="shared" si="22"/>
        <v>47</v>
      </c>
      <c r="S102" s="28">
        <f t="shared" si="23"/>
        <v>2</v>
      </c>
      <c r="T102" s="28">
        <f t="shared" si="24"/>
        <v>674</v>
      </c>
      <c r="U102" s="29">
        <f t="shared" si="25"/>
        <v>0.70919881305637977</v>
      </c>
      <c r="V102" s="29">
        <f t="shared" si="26"/>
        <v>0.21810089020771514</v>
      </c>
      <c r="W102" s="29">
        <f t="shared" si="27"/>
        <v>6.9732937685459948E-2</v>
      </c>
      <c r="X102" s="29">
        <f t="shared" si="28"/>
        <v>2.967359050445104E-3</v>
      </c>
      <c r="Y102" s="30">
        <f t="shared" si="29"/>
        <v>28.790801186943622</v>
      </c>
    </row>
    <row r="103" spans="1:25" x14ac:dyDescent="0.25">
      <c r="A103" s="28" t="s">
        <v>272</v>
      </c>
      <c r="B103" s="28" t="s">
        <v>273</v>
      </c>
      <c r="C103" s="28" t="s">
        <v>180</v>
      </c>
      <c r="D103" s="28">
        <v>7</v>
      </c>
      <c r="E103" s="28"/>
      <c r="F103" s="28"/>
      <c r="G103" s="28"/>
      <c r="H103" s="28">
        <v>139</v>
      </c>
      <c r="I103" s="28">
        <v>46</v>
      </c>
      <c r="J103" s="28"/>
      <c r="K103" s="28">
        <v>490</v>
      </c>
      <c r="L103" s="28"/>
      <c r="M103" s="28">
        <v>675</v>
      </c>
      <c r="N103" s="30">
        <v>21.604444444444443</v>
      </c>
      <c r="O103" s="28" t="s">
        <v>234</v>
      </c>
      <c r="P103" s="28">
        <f t="shared" si="20"/>
        <v>490</v>
      </c>
      <c r="Q103" s="28">
        <f t="shared" si="21"/>
        <v>139</v>
      </c>
      <c r="R103" s="28">
        <f t="shared" si="22"/>
        <v>46</v>
      </c>
      <c r="S103" s="28">
        <f t="shared" si="23"/>
        <v>0</v>
      </c>
      <c r="T103" s="28">
        <f t="shared" si="24"/>
        <v>675</v>
      </c>
      <c r="U103" s="29">
        <f t="shared" si="25"/>
        <v>0.72592592592592597</v>
      </c>
      <c r="V103" s="29">
        <f t="shared" si="26"/>
        <v>0.20592592592592593</v>
      </c>
      <c r="W103" s="29">
        <f t="shared" si="27"/>
        <v>6.8148148148148152E-2</v>
      </c>
      <c r="X103" s="29">
        <f t="shared" si="28"/>
        <v>0</v>
      </c>
      <c r="Y103" s="30">
        <f t="shared" si="29"/>
        <v>21.604444444444443</v>
      </c>
    </row>
    <row r="104" spans="1:25" x14ac:dyDescent="0.25">
      <c r="A104" s="28" t="s">
        <v>272</v>
      </c>
      <c r="B104" s="28" t="s">
        <v>273</v>
      </c>
      <c r="C104" s="28" t="s">
        <v>181</v>
      </c>
      <c r="D104" s="28">
        <v>1</v>
      </c>
      <c r="E104" s="28"/>
      <c r="F104" s="28">
        <v>1</v>
      </c>
      <c r="G104" s="28">
        <v>3</v>
      </c>
      <c r="H104" s="28">
        <v>9</v>
      </c>
      <c r="I104" s="28">
        <v>12</v>
      </c>
      <c r="J104" s="28"/>
      <c r="K104" s="28">
        <v>425</v>
      </c>
      <c r="L104" s="28"/>
      <c r="M104" s="28">
        <v>450</v>
      </c>
      <c r="N104" s="30">
        <v>54.99111111111111</v>
      </c>
      <c r="O104" s="28" t="s">
        <v>234</v>
      </c>
      <c r="P104" s="28">
        <f t="shared" si="20"/>
        <v>425</v>
      </c>
      <c r="Q104" s="28">
        <f t="shared" si="21"/>
        <v>9</v>
      </c>
      <c r="R104" s="28">
        <f t="shared" si="22"/>
        <v>12</v>
      </c>
      <c r="S104" s="28">
        <f t="shared" si="23"/>
        <v>4</v>
      </c>
      <c r="T104" s="28">
        <f t="shared" si="24"/>
        <v>450</v>
      </c>
      <c r="U104" s="29">
        <f t="shared" si="25"/>
        <v>0.94444444444444442</v>
      </c>
      <c r="V104" s="29">
        <f t="shared" si="26"/>
        <v>0.02</v>
      </c>
      <c r="W104" s="29">
        <f t="shared" si="27"/>
        <v>2.6666666666666668E-2</v>
      </c>
      <c r="X104" s="29">
        <f t="shared" si="28"/>
        <v>8.8888888888888889E-3</v>
      </c>
      <c r="Y104" s="30">
        <f t="shared" si="29"/>
        <v>54.99111111111111</v>
      </c>
    </row>
    <row r="105" spans="1:25" x14ac:dyDescent="0.25">
      <c r="A105" s="28" t="s">
        <v>272</v>
      </c>
      <c r="B105" s="28" t="s">
        <v>273</v>
      </c>
      <c r="C105" s="28" t="s">
        <v>181</v>
      </c>
      <c r="D105" s="28">
        <v>2</v>
      </c>
      <c r="E105" s="28">
        <v>4</v>
      </c>
      <c r="F105" s="28">
        <v>3</v>
      </c>
      <c r="G105" s="28">
        <v>3</v>
      </c>
      <c r="H105" s="28">
        <v>10</v>
      </c>
      <c r="I105" s="28">
        <v>10</v>
      </c>
      <c r="J105" s="28">
        <v>1</v>
      </c>
      <c r="K105" s="28">
        <v>660</v>
      </c>
      <c r="L105" s="28"/>
      <c r="M105" s="28">
        <v>691</v>
      </c>
      <c r="N105" s="30">
        <v>50.060781476121562</v>
      </c>
      <c r="O105" s="28" t="s">
        <v>234</v>
      </c>
      <c r="P105" s="28">
        <f t="shared" si="20"/>
        <v>660</v>
      </c>
      <c r="Q105" s="28">
        <f t="shared" si="21"/>
        <v>10</v>
      </c>
      <c r="R105" s="28">
        <f t="shared" si="22"/>
        <v>10</v>
      </c>
      <c r="S105" s="28">
        <f t="shared" si="23"/>
        <v>11</v>
      </c>
      <c r="T105" s="28">
        <f t="shared" si="24"/>
        <v>691</v>
      </c>
      <c r="U105" s="29">
        <f t="shared" si="25"/>
        <v>0.95513748191027492</v>
      </c>
      <c r="V105" s="29">
        <f t="shared" si="26"/>
        <v>1.4471780028943559E-2</v>
      </c>
      <c r="W105" s="29">
        <f t="shared" si="27"/>
        <v>1.4471780028943559E-2</v>
      </c>
      <c r="X105" s="29">
        <f t="shared" si="28"/>
        <v>1.5918958031837915E-2</v>
      </c>
      <c r="Y105" s="30">
        <f t="shared" si="29"/>
        <v>50.060781476121562</v>
      </c>
    </row>
    <row r="106" spans="1:25" x14ac:dyDescent="0.25">
      <c r="A106" s="28" t="s">
        <v>272</v>
      </c>
      <c r="B106" s="28" t="s">
        <v>273</v>
      </c>
      <c r="C106" s="28" t="s">
        <v>181</v>
      </c>
      <c r="D106" s="28">
        <v>3</v>
      </c>
      <c r="E106" s="28"/>
      <c r="F106" s="28">
        <v>5</v>
      </c>
      <c r="G106" s="28">
        <v>1</v>
      </c>
      <c r="H106" s="28">
        <v>50</v>
      </c>
      <c r="I106" s="28">
        <v>46</v>
      </c>
      <c r="J106" s="28">
        <v>1</v>
      </c>
      <c r="K106" s="28">
        <v>588</v>
      </c>
      <c r="L106" s="28"/>
      <c r="M106" s="28">
        <v>691</v>
      </c>
      <c r="N106" s="30">
        <v>35.422575976845152</v>
      </c>
      <c r="O106" s="28" t="s">
        <v>234</v>
      </c>
      <c r="P106" s="28">
        <f t="shared" si="20"/>
        <v>588</v>
      </c>
      <c r="Q106" s="28">
        <f t="shared" si="21"/>
        <v>50</v>
      </c>
      <c r="R106" s="28">
        <f t="shared" si="22"/>
        <v>46</v>
      </c>
      <c r="S106" s="28">
        <f t="shared" si="23"/>
        <v>7</v>
      </c>
      <c r="T106" s="28">
        <f t="shared" si="24"/>
        <v>691</v>
      </c>
      <c r="U106" s="29">
        <f t="shared" si="25"/>
        <v>0.85094066570188132</v>
      </c>
      <c r="V106" s="29">
        <f t="shared" si="26"/>
        <v>7.2358900144717797E-2</v>
      </c>
      <c r="W106" s="29">
        <f t="shared" si="27"/>
        <v>6.6570188133140376E-2</v>
      </c>
      <c r="X106" s="29">
        <f t="shared" si="28"/>
        <v>1.0130246020260492E-2</v>
      </c>
      <c r="Y106" s="30">
        <f t="shared" si="29"/>
        <v>35.422575976845152</v>
      </c>
    </row>
    <row r="107" spans="1:25" x14ac:dyDescent="0.25">
      <c r="A107" s="28" t="s">
        <v>272</v>
      </c>
      <c r="B107" s="28" t="s">
        <v>273</v>
      </c>
      <c r="C107" s="28" t="s">
        <v>181</v>
      </c>
      <c r="D107" s="28">
        <v>4</v>
      </c>
      <c r="E107" s="28"/>
      <c r="F107" s="28"/>
      <c r="G107" s="28"/>
      <c r="H107" s="28">
        <v>27</v>
      </c>
      <c r="I107" s="28">
        <v>26</v>
      </c>
      <c r="J107" s="28"/>
      <c r="K107" s="28">
        <v>638</v>
      </c>
      <c r="L107" s="28"/>
      <c r="M107" s="28">
        <v>691</v>
      </c>
      <c r="N107" s="30">
        <v>26.80752532561505</v>
      </c>
      <c r="O107" s="28" t="s">
        <v>234</v>
      </c>
      <c r="P107" s="28">
        <f t="shared" si="20"/>
        <v>638</v>
      </c>
      <c r="Q107" s="28">
        <f t="shared" si="21"/>
        <v>27</v>
      </c>
      <c r="R107" s="28">
        <f t="shared" si="22"/>
        <v>26</v>
      </c>
      <c r="S107" s="28">
        <f t="shared" si="23"/>
        <v>0</v>
      </c>
      <c r="T107" s="28">
        <f t="shared" si="24"/>
        <v>691</v>
      </c>
      <c r="U107" s="29">
        <f t="shared" si="25"/>
        <v>0.92329956584659911</v>
      </c>
      <c r="V107" s="29">
        <f t="shared" si="26"/>
        <v>3.9073806078147609E-2</v>
      </c>
      <c r="W107" s="29">
        <f t="shared" si="27"/>
        <v>3.7626628075253257E-2</v>
      </c>
      <c r="X107" s="29">
        <f t="shared" si="28"/>
        <v>0</v>
      </c>
      <c r="Y107" s="30">
        <f t="shared" si="29"/>
        <v>26.80752532561505</v>
      </c>
    </row>
    <row r="108" spans="1:25" x14ac:dyDescent="0.25">
      <c r="A108" s="28" t="s">
        <v>272</v>
      </c>
      <c r="B108" s="28" t="s">
        <v>273</v>
      </c>
      <c r="C108" s="28" t="s">
        <v>181</v>
      </c>
      <c r="D108" s="28">
        <v>5</v>
      </c>
      <c r="E108" s="28"/>
      <c r="F108" s="28"/>
      <c r="G108" s="28"/>
      <c r="H108" s="28">
        <v>14</v>
      </c>
      <c r="I108" s="28">
        <v>14</v>
      </c>
      <c r="J108" s="28"/>
      <c r="K108" s="28">
        <v>663</v>
      </c>
      <c r="L108" s="28"/>
      <c r="M108" s="28">
        <v>691</v>
      </c>
      <c r="N108" s="30">
        <v>22.804630969609264</v>
      </c>
      <c r="O108" s="28" t="s">
        <v>234</v>
      </c>
      <c r="P108" s="28">
        <f t="shared" si="20"/>
        <v>663</v>
      </c>
      <c r="Q108" s="28">
        <f t="shared" si="21"/>
        <v>14</v>
      </c>
      <c r="R108" s="28">
        <f t="shared" si="22"/>
        <v>14</v>
      </c>
      <c r="S108" s="28">
        <f t="shared" si="23"/>
        <v>0</v>
      </c>
      <c r="T108" s="28">
        <f t="shared" si="24"/>
        <v>691</v>
      </c>
      <c r="U108" s="29">
        <f t="shared" si="25"/>
        <v>0.95947901591895801</v>
      </c>
      <c r="V108" s="29">
        <f t="shared" si="26"/>
        <v>2.0260492040520984E-2</v>
      </c>
      <c r="W108" s="29">
        <f t="shared" si="27"/>
        <v>2.0260492040520984E-2</v>
      </c>
      <c r="X108" s="29">
        <f t="shared" si="28"/>
        <v>0</v>
      </c>
      <c r="Y108" s="30">
        <f t="shared" si="29"/>
        <v>22.804630969609264</v>
      </c>
    </row>
    <row r="109" spans="1:25" x14ac:dyDescent="0.25">
      <c r="A109" s="28" t="s">
        <v>272</v>
      </c>
      <c r="B109" s="28" t="s">
        <v>273</v>
      </c>
      <c r="C109" s="28" t="s">
        <v>181</v>
      </c>
      <c r="D109" s="28">
        <v>6</v>
      </c>
      <c r="E109" s="28"/>
      <c r="F109" s="28"/>
      <c r="G109" s="28">
        <v>1</v>
      </c>
      <c r="H109" s="28">
        <v>20</v>
      </c>
      <c r="I109" s="28">
        <v>13</v>
      </c>
      <c r="J109" s="28"/>
      <c r="K109" s="28">
        <v>657</v>
      </c>
      <c r="L109" s="28"/>
      <c r="M109" s="28">
        <v>691</v>
      </c>
      <c r="N109" s="30">
        <v>19.450072358900144</v>
      </c>
      <c r="O109" s="28" t="s">
        <v>234</v>
      </c>
      <c r="P109" s="28">
        <f t="shared" si="20"/>
        <v>657</v>
      </c>
      <c r="Q109" s="28">
        <f t="shared" si="21"/>
        <v>20</v>
      </c>
      <c r="R109" s="28">
        <f t="shared" si="22"/>
        <v>13</v>
      </c>
      <c r="S109" s="28">
        <f t="shared" si="23"/>
        <v>1</v>
      </c>
      <c r="T109" s="28">
        <f t="shared" si="24"/>
        <v>691</v>
      </c>
      <c r="U109" s="29">
        <f t="shared" si="25"/>
        <v>0.95079594790159194</v>
      </c>
      <c r="V109" s="29">
        <f t="shared" si="26"/>
        <v>2.8943560057887119E-2</v>
      </c>
      <c r="W109" s="29">
        <f t="shared" si="27"/>
        <v>1.8813314037626629E-2</v>
      </c>
      <c r="X109" s="29">
        <f t="shared" si="28"/>
        <v>1.4471780028943559E-3</v>
      </c>
      <c r="Y109" s="30">
        <f t="shared" si="29"/>
        <v>19.450072358900144</v>
      </c>
    </row>
    <row r="110" spans="1:25" x14ac:dyDescent="0.25">
      <c r="A110" s="28" t="s">
        <v>274</v>
      </c>
      <c r="B110" s="28" t="s">
        <v>275</v>
      </c>
      <c r="C110" s="28" t="s">
        <v>183</v>
      </c>
      <c r="D110" s="28">
        <v>1</v>
      </c>
      <c r="E110" s="28"/>
      <c r="F110" s="28"/>
      <c r="G110" s="28"/>
      <c r="H110" s="28">
        <v>239</v>
      </c>
      <c r="I110" s="28">
        <v>174</v>
      </c>
      <c r="J110" s="28">
        <v>1</v>
      </c>
      <c r="K110" s="28">
        <v>36</v>
      </c>
      <c r="L110" s="28"/>
      <c r="M110" s="28">
        <v>450</v>
      </c>
      <c r="N110" s="30">
        <v>62.326666666666668</v>
      </c>
      <c r="O110" s="28" t="s">
        <v>234</v>
      </c>
      <c r="P110" s="28">
        <f t="shared" si="20"/>
        <v>36</v>
      </c>
      <c r="Q110" s="28">
        <f t="shared" si="21"/>
        <v>239</v>
      </c>
      <c r="R110" s="28">
        <f t="shared" si="22"/>
        <v>174</v>
      </c>
      <c r="S110" s="28">
        <f t="shared" si="23"/>
        <v>1</v>
      </c>
      <c r="T110" s="28">
        <f t="shared" si="24"/>
        <v>450</v>
      </c>
      <c r="U110" s="29">
        <f t="shared" si="25"/>
        <v>0.08</v>
      </c>
      <c r="V110" s="29">
        <f t="shared" si="26"/>
        <v>0.53111111111111109</v>
      </c>
      <c r="W110" s="29">
        <f t="shared" si="27"/>
        <v>0.38666666666666666</v>
      </c>
      <c r="X110" s="29">
        <f t="shared" si="28"/>
        <v>2.2222222222222222E-3</v>
      </c>
      <c r="Y110" s="30">
        <f t="shared" si="29"/>
        <v>62.326666666666668</v>
      </c>
    </row>
    <row r="111" spans="1:25" x14ac:dyDescent="0.25">
      <c r="A111" s="28" t="s">
        <v>274</v>
      </c>
      <c r="B111" s="28" t="s">
        <v>275</v>
      </c>
      <c r="C111" s="28" t="s">
        <v>183</v>
      </c>
      <c r="D111" s="28">
        <v>2</v>
      </c>
      <c r="E111" s="28"/>
      <c r="F111" s="28"/>
      <c r="G111" s="28">
        <v>2</v>
      </c>
      <c r="H111" s="28">
        <v>224</v>
      </c>
      <c r="I111" s="28">
        <v>281</v>
      </c>
      <c r="J111" s="28"/>
      <c r="K111" s="28">
        <v>114</v>
      </c>
      <c r="L111" s="28"/>
      <c r="M111" s="28">
        <v>621</v>
      </c>
      <c r="N111" s="30">
        <v>34.222222222222221</v>
      </c>
      <c r="O111" s="28" t="s">
        <v>234</v>
      </c>
      <c r="P111" s="28">
        <f t="shared" si="20"/>
        <v>114</v>
      </c>
      <c r="Q111" s="28">
        <f t="shared" si="21"/>
        <v>224</v>
      </c>
      <c r="R111" s="28">
        <f t="shared" si="22"/>
        <v>281</v>
      </c>
      <c r="S111" s="28">
        <f t="shared" si="23"/>
        <v>2</v>
      </c>
      <c r="T111" s="28">
        <f t="shared" si="24"/>
        <v>621</v>
      </c>
      <c r="U111" s="29">
        <f t="shared" si="25"/>
        <v>0.18357487922705315</v>
      </c>
      <c r="V111" s="29">
        <f t="shared" si="26"/>
        <v>0.36070853462157809</v>
      </c>
      <c r="W111" s="29">
        <f t="shared" si="27"/>
        <v>0.45249597423510468</v>
      </c>
      <c r="X111" s="29">
        <f t="shared" si="28"/>
        <v>3.2206119162640902E-3</v>
      </c>
      <c r="Y111" s="30">
        <f t="shared" si="29"/>
        <v>34.222222222222221</v>
      </c>
    </row>
    <row r="112" spans="1:25" x14ac:dyDescent="0.25">
      <c r="A112" s="28" t="s">
        <v>276</v>
      </c>
      <c r="B112" s="28" t="s">
        <v>277</v>
      </c>
      <c r="C112" s="28" t="s">
        <v>185</v>
      </c>
      <c r="D112" s="28">
        <v>1</v>
      </c>
      <c r="E112" s="28"/>
      <c r="F112" s="28"/>
      <c r="G112" s="28">
        <v>1</v>
      </c>
      <c r="H112" s="28">
        <v>120</v>
      </c>
      <c r="I112" s="28">
        <v>106</v>
      </c>
      <c r="J112" s="28">
        <v>1</v>
      </c>
      <c r="K112" s="28">
        <v>222</v>
      </c>
      <c r="L112" s="28"/>
      <c r="M112" s="28">
        <v>450</v>
      </c>
      <c r="N112" s="30">
        <v>72.646666666666661</v>
      </c>
      <c r="O112" s="28" t="s">
        <v>234</v>
      </c>
      <c r="P112" s="28">
        <f t="shared" si="20"/>
        <v>222</v>
      </c>
      <c r="Q112" s="28">
        <f t="shared" si="21"/>
        <v>120</v>
      </c>
      <c r="R112" s="28">
        <f t="shared" si="22"/>
        <v>106</v>
      </c>
      <c r="S112" s="28">
        <f t="shared" si="23"/>
        <v>2</v>
      </c>
      <c r="T112" s="28">
        <f t="shared" si="24"/>
        <v>450</v>
      </c>
      <c r="U112" s="29">
        <f t="shared" si="25"/>
        <v>0.49333333333333335</v>
      </c>
      <c r="V112" s="29">
        <f t="shared" si="26"/>
        <v>0.26666666666666666</v>
      </c>
      <c r="W112" s="29">
        <f t="shared" si="27"/>
        <v>0.23555555555555555</v>
      </c>
      <c r="X112" s="29">
        <f t="shared" si="28"/>
        <v>4.4444444444444444E-3</v>
      </c>
      <c r="Y112" s="30">
        <f t="shared" si="29"/>
        <v>72.646666666666661</v>
      </c>
    </row>
    <row r="113" spans="1:25" x14ac:dyDescent="0.25">
      <c r="A113" s="28" t="s">
        <v>276</v>
      </c>
      <c r="B113" s="28" t="s">
        <v>277</v>
      </c>
      <c r="C113" s="28" t="s">
        <v>185</v>
      </c>
      <c r="D113" s="28">
        <v>2</v>
      </c>
      <c r="E113" s="28"/>
      <c r="F113" s="28"/>
      <c r="G113" s="28">
        <v>2</v>
      </c>
      <c r="H113" s="28">
        <v>95</v>
      </c>
      <c r="I113" s="28">
        <v>120</v>
      </c>
      <c r="J113" s="28">
        <v>1</v>
      </c>
      <c r="K113" s="28">
        <v>232</v>
      </c>
      <c r="L113" s="28"/>
      <c r="M113" s="28">
        <v>450</v>
      </c>
      <c r="N113" s="30">
        <v>61.531111111111109</v>
      </c>
      <c r="O113" s="28" t="s">
        <v>234</v>
      </c>
      <c r="P113" s="28">
        <f t="shared" si="20"/>
        <v>232</v>
      </c>
      <c r="Q113" s="28">
        <f t="shared" si="21"/>
        <v>95</v>
      </c>
      <c r="R113" s="28">
        <f t="shared" si="22"/>
        <v>120</v>
      </c>
      <c r="S113" s="28">
        <f t="shared" si="23"/>
        <v>3</v>
      </c>
      <c r="T113" s="28">
        <f t="shared" si="24"/>
        <v>450</v>
      </c>
      <c r="U113" s="29">
        <f t="shared" si="25"/>
        <v>0.51555555555555554</v>
      </c>
      <c r="V113" s="29">
        <f t="shared" si="26"/>
        <v>0.21111111111111111</v>
      </c>
      <c r="W113" s="29">
        <f t="shared" si="27"/>
        <v>0.26666666666666666</v>
      </c>
      <c r="X113" s="29">
        <f t="shared" si="28"/>
        <v>6.6666666666666671E-3</v>
      </c>
      <c r="Y113" s="30">
        <f t="shared" si="29"/>
        <v>61.531111111111109</v>
      </c>
    </row>
    <row r="114" spans="1:25" x14ac:dyDescent="0.25">
      <c r="A114" s="28" t="s">
        <v>276</v>
      </c>
      <c r="B114" s="28" t="s">
        <v>277</v>
      </c>
      <c r="C114" s="28" t="s">
        <v>185</v>
      </c>
      <c r="D114" s="28">
        <v>3</v>
      </c>
      <c r="E114" s="28"/>
      <c r="F114" s="28">
        <v>1</v>
      </c>
      <c r="G114" s="28">
        <v>1</v>
      </c>
      <c r="H114" s="28">
        <v>75</v>
      </c>
      <c r="I114" s="28">
        <v>146</v>
      </c>
      <c r="J114" s="28">
        <v>3</v>
      </c>
      <c r="K114" s="28">
        <v>399</v>
      </c>
      <c r="L114" s="28"/>
      <c r="M114" s="28">
        <v>625</v>
      </c>
      <c r="N114" s="30">
        <v>47.505600000000001</v>
      </c>
      <c r="O114" s="28" t="s">
        <v>234</v>
      </c>
      <c r="P114" s="28">
        <f t="shared" si="20"/>
        <v>399</v>
      </c>
      <c r="Q114" s="28">
        <f t="shared" si="21"/>
        <v>75</v>
      </c>
      <c r="R114" s="28">
        <f t="shared" si="22"/>
        <v>146</v>
      </c>
      <c r="S114" s="28">
        <f t="shared" si="23"/>
        <v>5</v>
      </c>
      <c r="T114" s="28">
        <f t="shared" si="24"/>
        <v>625</v>
      </c>
      <c r="U114" s="29">
        <f t="shared" si="25"/>
        <v>0.63839999999999997</v>
      </c>
      <c r="V114" s="29">
        <f t="shared" si="26"/>
        <v>0.12</v>
      </c>
      <c r="W114" s="29">
        <f t="shared" si="27"/>
        <v>0.2336</v>
      </c>
      <c r="X114" s="29">
        <f t="shared" si="28"/>
        <v>8.0000000000000002E-3</v>
      </c>
      <c r="Y114" s="30">
        <f t="shared" si="29"/>
        <v>47.505600000000001</v>
      </c>
    </row>
    <row r="115" spans="1:25" x14ac:dyDescent="0.25">
      <c r="A115" s="28" t="s">
        <v>276</v>
      </c>
      <c r="B115" s="28" t="s">
        <v>277</v>
      </c>
      <c r="C115" s="28" t="s">
        <v>185</v>
      </c>
      <c r="D115" s="28">
        <v>4</v>
      </c>
      <c r="E115" s="28"/>
      <c r="F115" s="28"/>
      <c r="G115" s="28">
        <v>1</v>
      </c>
      <c r="H115" s="28">
        <v>64</v>
      </c>
      <c r="I115" s="28">
        <v>122</v>
      </c>
      <c r="J115" s="28">
        <v>3</v>
      </c>
      <c r="K115" s="28">
        <v>436</v>
      </c>
      <c r="L115" s="28"/>
      <c r="M115" s="28">
        <v>626</v>
      </c>
      <c r="N115" s="30">
        <v>28.937699680511184</v>
      </c>
      <c r="O115" s="28" t="s">
        <v>234</v>
      </c>
      <c r="P115" s="28">
        <f t="shared" si="20"/>
        <v>436</v>
      </c>
      <c r="Q115" s="28">
        <f t="shared" si="21"/>
        <v>64</v>
      </c>
      <c r="R115" s="28">
        <f t="shared" si="22"/>
        <v>122</v>
      </c>
      <c r="S115" s="28">
        <f t="shared" si="23"/>
        <v>4</v>
      </c>
      <c r="T115" s="28">
        <f t="shared" si="24"/>
        <v>626</v>
      </c>
      <c r="U115" s="29">
        <f t="shared" si="25"/>
        <v>0.69648562300319494</v>
      </c>
      <c r="V115" s="29">
        <f t="shared" si="26"/>
        <v>0.10223642172523961</v>
      </c>
      <c r="W115" s="29">
        <f t="shared" si="27"/>
        <v>0.19488817891373802</v>
      </c>
      <c r="X115" s="29">
        <f t="shared" si="28"/>
        <v>6.3897763578274758E-3</v>
      </c>
      <c r="Y115" s="30">
        <f t="shared" si="29"/>
        <v>28.937699680511184</v>
      </c>
    </row>
    <row r="116" spans="1:25" x14ac:dyDescent="0.25">
      <c r="A116" s="28" t="s">
        <v>278</v>
      </c>
      <c r="B116" s="28" t="s">
        <v>279</v>
      </c>
      <c r="C116" s="28" t="s">
        <v>187</v>
      </c>
      <c r="D116" s="28">
        <v>1</v>
      </c>
      <c r="E116" s="28"/>
      <c r="F116" s="28"/>
      <c r="G116" s="28"/>
      <c r="H116" s="28">
        <v>123</v>
      </c>
      <c r="I116" s="28">
        <v>90</v>
      </c>
      <c r="J116" s="28">
        <v>2</v>
      </c>
      <c r="K116" s="28">
        <v>235</v>
      </c>
      <c r="L116" s="28"/>
      <c r="M116" s="28">
        <v>450</v>
      </c>
      <c r="N116" s="30">
        <v>62.588888888888889</v>
      </c>
      <c r="O116" s="28" t="s">
        <v>234</v>
      </c>
      <c r="P116" s="28">
        <f t="shared" si="20"/>
        <v>235</v>
      </c>
      <c r="Q116" s="28">
        <f t="shared" si="21"/>
        <v>123</v>
      </c>
      <c r="R116" s="28">
        <f t="shared" si="22"/>
        <v>90</v>
      </c>
      <c r="S116" s="28">
        <f t="shared" si="23"/>
        <v>2</v>
      </c>
      <c r="T116" s="28">
        <f t="shared" si="24"/>
        <v>450</v>
      </c>
      <c r="U116" s="29">
        <f t="shared" si="25"/>
        <v>0.52222222222222225</v>
      </c>
      <c r="V116" s="29">
        <f t="shared" si="26"/>
        <v>0.27333333333333332</v>
      </c>
      <c r="W116" s="29">
        <f t="shared" si="27"/>
        <v>0.2</v>
      </c>
      <c r="X116" s="29">
        <f t="shared" si="28"/>
        <v>4.4444444444444444E-3</v>
      </c>
      <c r="Y116" s="30">
        <f t="shared" si="29"/>
        <v>62.588888888888889</v>
      </c>
    </row>
    <row r="117" spans="1:25" x14ac:dyDescent="0.25">
      <c r="A117" s="28" t="s">
        <v>278</v>
      </c>
      <c r="B117" s="28" t="s">
        <v>279</v>
      </c>
      <c r="C117" s="28" t="s">
        <v>187</v>
      </c>
      <c r="D117" s="28">
        <v>2</v>
      </c>
      <c r="E117" s="28"/>
      <c r="F117" s="28"/>
      <c r="G117" s="28">
        <v>1</v>
      </c>
      <c r="H117" s="28">
        <v>132</v>
      </c>
      <c r="I117" s="28">
        <v>141</v>
      </c>
      <c r="J117" s="28">
        <v>1</v>
      </c>
      <c r="K117" s="28">
        <v>242</v>
      </c>
      <c r="L117" s="28"/>
      <c r="M117" s="28">
        <v>517</v>
      </c>
      <c r="N117" s="30">
        <v>43.427466150870409</v>
      </c>
      <c r="O117" s="28" t="s">
        <v>234</v>
      </c>
      <c r="P117" s="28">
        <f t="shared" si="20"/>
        <v>242</v>
      </c>
      <c r="Q117" s="28">
        <f t="shared" si="21"/>
        <v>132</v>
      </c>
      <c r="R117" s="28">
        <f t="shared" si="22"/>
        <v>141</v>
      </c>
      <c r="S117" s="28">
        <f t="shared" si="23"/>
        <v>2</v>
      </c>
      <c r="T117" s="28">
        <f t="shared" si="24"/>
        <v>517</v>
      </c>
      <c r="U117" s="29">
        <f t="shared" si="25"/>
        <v>0.46808510638297873</v>
      </c>
      <c r="V117" s="29">
        <f t="shared" si="26"/>
        <v>0.25531914893617019</v>
      </c>
      <c r="W117" s="29">
        <f t="shared" si="27"/>
        <v>0.27272727272727271</v>
      </c>
      <c r="X117" s="29">
        <f t="shared" si="28"/>
        <v>3.8684719535783366E-3</v>
      </c>
      <c r="Y117" s="30">
        <f t="shared" si="29"/>
        <v>43.427466150870409</v>
      </c>
    </row>
    <row r="118" spans="1:25" x14ac:dyDescent="0.25">
      <c r="A118" s="28" t="s">
        <v>278</v>
      </c>
      <c r="B118" s="28" t="s">
        <v>279</v>
      </c>
      <c r="C118" s="28" t="s">
        <v>187</v>
      </c>
      <c r="D118" s="28">
        <v>3</v>
      </c>
      <c r="E118" s="28"/>
      <c r="F118" s="28"/>
      <c r="G118" s="28"/>
      <c r="H118" s="28">
        <v>117</v>
      </c>
      <c r="I118" s="28">
        <v>109</v>
      </c>
      <c r="J118" s="28"/>
      <c r="K118" s="28">
        <v>291</v>
      </c>
      <c r="L118" s="28"/>
      <c r="M118" s="28">
        <v>517</v>
      </c>
      <c r="N118" s="30">
        <v>27.268858800773696</v>
      </c>
      <c r="O118" s="28" t="s">
        <v>234</v>
      </c>
      <c r="P118" s="28">
        <f t="shared" si="20"/>
        <v>291</v>
      </c>
      <c r="Q118" s="28">
        <f t="shared" si="21"/>
        <v>117</v>
      </c>
      <c r="R118" s="28">
        <f t="shared" si="22"/>
        <v>109</v>
      </c>
      <c r="S118" s="28">
        <f t="shared" si="23"/>
        <v>0</v>
      </c>
      <c r="T118" s="28">
        <f t="shared" si="24"/>
        <v>517</v>
      </c>
      <c r="U118" s="29">
        <f t="shared" si="25"/>
        <v>0.56286266924564798</v>
      </c>
      <c r="V118" s="29">
        <f t="shared" si="26"/>
        <v>0.22630560928433269</v>
      </c>
      <c r="W118" s="29">
        <f t="shared" si="27"/>
        <v>0.21083172147001933</v>
      </c>
      <c r="X118" s="29">
        <f t="shared" si="28"/>
        <v>0</v>
      </c>
      <c r="Y118" s="30">
        <f t="shared" si="29"/>
        <v>27.268858800773696</v>
      </c>
    </row>
    <row r="119" spans="1:25" x14ac:dyDescent="0.25">
      <c r="A119" s="28" t="s">
        <v>280</v>
      </c>
      <c r="B119" s="28" t="s">
        <v>281</v>
      </c>
      <c r="C119" s="28" t="s">
        <v>189</v>
      </c>
      <c r="D119" s="28">
        <v>1</v>
      </c>
      <c r="E119" s="28"/>
      <c r="F119" s="28"/>
      <c r="G119" s="28"/>
      <c r="H119" s="28">
        <v>262</v>
      </c>
      <c r="I119" s="28">
        <v>14</v>
      </c>
      <c r="J119" s="28"/>
      <c r="K119" s="28">
        <v>174</v>
      </c>
      <c r="L119" s="28"/>
      <c r="M119" s="28">
        <v>450</v>
      </c>
      <c r="N119" s="30">
        <v>68.966666666666669</v>
      </c>
      <c r="O119" s="28" t="s">
        <v>234</v>
      </c>
      <c r="P119" s="28">
        <f t="shared" si="20"/>
        <v>174</v>
      </c>
      <c r="Q119" s="28">
        <f t="shared" si="21"/>
        <v>262</v>
      </c>
      <c r="R119" s="28">
        <f t="shared" si="22"/>
        <v>14</v>
      </c>
      <c r="S119" s="28">
        <f t="shared" si="23"/>
        <v>0</v>
      </c>
      <c r="T119" s="28">
        <f t="shared" si="24"/>
        <v>450</v>
      </c>
      <c r="U119" s="29">
        <f t="shared" si="25"/>
        <v>0.38666666666666666</v>
      </c>
      <c r="V119" s="29">
        <f t="shared" si="26"/>
        <v>0.5822222222222222</v>
      </c>
      <c r="W119" s="29">
        <f t="shared" si="27"/>
        <v>3.111111111111111E-2</v>
      </c>
      <c r="X119" s="29">
        <f t="shared" si="28"/>
        <v>0</v>
      </c>
      <c r="Y119" s="30">
        <f t="shared" si="29"/>
        <v>68.966666666666669</v>
      </c>
    </row>
    <row r="120" spans="1:25" x14ac:dyDescent="0.25">
      <c r="A120" s="28" t="s">
        <v>280</v>
      </c>
      <c r="B120" s="28" t="s">
        <v>281</v>
      </c>
      <c r="C120" s="28" t="s">
        <v>189</v>
      </c>
      <c r="D120" s="28">
        <v>2</v>
      </c>
      <c r="E120" s="28"/>
      <c r="F120" s="28"/>
      <c r="G120" s="28">
        <v>3</v>
      </c>
      <c r="H120" s="28">
        <v>252</v>
      </c>
      <c r="I120" s="28">
        <v>25</v>
      </c>
      <c r="J120" s="28"/>
      <c r="K120" s="28">
        <v>255</v>
      </c>
      <c r="L120" s="28"/>
      <c r="M120" s="28">
        <v>535</v>
      </c>
      <c r="N120" s="30">
        <v>49.162616822429904</v>
      </c>
      <c r="O120" s="28" t="s">
        <v>234</v>
      </c>
      <c r="P120" s="28">
        <f t="shared" si="20"/>
        <v>255</v>
      </c>
      <c r="Q120" s="28">
        <f t="shared" si="21"/>
        <v>252</v>
      </c>
      <c r="R120" s="28">
        <f t="shared" si="22"/>
        <v>25</v>
      </c>
      <c r="S120" s="28">
        <f t="shared" si="23"/>
        <v>3</v>
      </c>
      <c r="T120" s="28">
        <f t="shared" si="24"/>
        <v>535</v>
      </c>
      <c r="U120" s="29">
        <f t="shared" si="25"/>
        <v>0.47663551401869159</v>
      </c>
      <c r="V120" s="29">
        <f t="shared" si="26"/>
        <v>0.47102803738317756</v>
      </c>
      <c r="W120" s="29">
        <f t="shared" si="27"/>
        <v>4.6728971962616821E-2</v>
      </c>
      <c r="X120" s="29">
        <f t="shared" si="28"/>
        <v>5.6074766355140183E-3</v>
      </c>
      <c r="Y120" s="30">
        <f t="shared" si="29"/>
        <v>49.162616822429904</v>
      </c>
    </row>
    <row r="121" spans="1:25" x14ac:dyDescent="0.25">
      <c r="A121" s="28" t="s">
        <v>280</v>
      </c>
      <c r="B121" s="28" t="s">
        <v>281</v>
      </c>
      <c r="C121" s="28" t="s">
        <v>189</v>
      </c>
      <c r="D121" s="28">
        <v>3</v>
      </c>
      <c r="E121" s="28"/>
      <c r="F121" s="28"/>
      <c r="G121" s="28"/>
      <c r="H121" s="28">
        <v>178</v>
      </c>
      <c r="I121" s="28">
        <v>55</v>
      </c>
      <c r="J121" s="28"/>
      <c r="K121" s="28">
        <v>303</v>
      </c>
      <c r="L121" s="28"/>
      <c r="M121" s="28">
        <v>536</v>
      </c>
      <c r="N121" s="30">
        <v>29.23320895522388</v>
      </c>
      <c r="O121" s="28" t="s">
        <v>234</v>
      </c>
      <c r="P121" s="28">
        <f t="shared" si="20"/>
        <v>303</v>
      </c>
      <c r="Q121" s="28">
        <f t="shared" si="21"/>
        <v>178</v>
      </c>
      <c r="R121" s="28">
        <f t="shared" si="22"/>
        <v>55</v>
      </c>
      <c r="S121" s="28">
        <f t="shared" si="23"/>
        <v>0</v>
      </c>
      <c r="T121" s="28">
        <f t="shared" si="24"/>
        <v>536</v>
      </c>
      <c r="U121" s="29">
        <f t="shared" si="25"/>
        <v>0.56529850746268662</v>
      </c>
      <c r="V121" s="29">
        <f t="shared" si="26"/>
        <v>0.33208955223880599</v>
      </c>
      <c r="W121" s="29">
        <f t="shared" si="27"/>
        <v>0.10261194029850747</v>
      </c>
      <c r="X121" s="29">
        <f t="shared" si="28"/>
        <v>0</v>
      </c>
      <c r="Y121" s="30">
        <f t="shared" si="29"/>
        <v>29.23320895522388</v>
      </c>
    </row>
    <row r="122" spans="1:25" x14ac:dyDescent="0.25">
      <c r="A122" s="28" t="s">
        <v>282</v>
      </c>
      <c r="B122" s="28" t="s">
        <v>283</v>
      </c>
      <c r="C122" s="28" t="s">
        <v>191</v>
      </c>
      <c r="D122" s="28">
        <v>1</v>
      </c>
      <c r="E122" s="28"/>
      <c r="F122" s="28"/>
      <c r="G122" s="28"/>
      <c r="H122" s="28">
        <v>103</v>
      </c>
      <c r="I122" s="28">
        <v>239</v>
      </c>
      <c r="J122" s="28"/>
      <c r="K122" s="28">
        <v>8</v>
      </c>
      <c r="L122" s="28"/>
      <c r="M122" s="28">
        <v>350</v>
      </c>
      <c r="N122" s="30">
        <v>64.934285714285721</v>
      </c>
      <c r="O122" s="28" t="s">
        <v>234</v>
      </c>
      <c r="P122" s="28">
        <f t="shared" si="20"/>
        <v>8</v>
      </c>
      <c r="Q122" s="28">
        <f t="shared" si="21"/>
        <v>103</v>
      </c>
      <c r="R122" s="28">
        <f t="shared" si="22"/>
        <v>239</v>
      </c>
      <c r="S122" s="28">
        <f t="shared" si="23"/>
        <v>0</v>
      </c>
      <c r="T122" s="28">
        <f t="shared" si="24"/>
        <v>350</v>
      </c>
      <c r="U122" s="29">
        <f t="shared" si="25"/>
        <v>2.2857142857142857E-2</v>
      </c>
      <c r="V122" s="29">
        <f t="shared" si="26"/>
        <v>0.29428571428571426</v>
      </c>
      <c r="W122" s="29">
        <f t="shared" si="27"/>
        <v>0.68285714285714283</v>
      </c>
      <c r="X122" s="29">
        <f t="shared" si="28"/>
        <v>0</v>
      </c>
      <c r="Y122" s="30">
        <f t="shared" si="29"/>
        <v>64.934285714285721</v>
      </c>
    </row>
    <row r="123" spans="1:25" x14ac:dyDescent="0.25">
      <c r="A123" s="28" t="s">
        <v>282</v>
      </c>
      <c r="B123" s="28" t="s">
        <v>283</v>
      </c>
      <c r="C123" s="28" t="s">
        <v>191</v>
      </c>
      <c r="D123" s="28">
        <v>2</v>
      </c>
      <c r="E123" s="28"/>
      <c r="F123" s="28"/>
      <c r="G123" s="28"/>
      <c r="H123" s="28">
        <v>72</v>
      </c>
      <c r="I123" s="28">
        <v>372</v>
      </c>
      <c r="J123" s="28">
        <v>2</v>
      </c>
      <c r="K123" s="28">
        <v>53</v>
      </c>
      <c r="L123" s="28"/>
      <c r="M123" s="28">
        <v>499</v>
      </c>
      <c r="N123" s="30">
        <v>35.076152304609217</v>
      </c>
      <c r="O123" s="28" t="s">
        <v>234</v>
      </c>
      <c r="P123" s="28">
        <f t="shared" si="20"/>
        <v>53</v>
      </c>
      <c r="Q123" s="28">
        <f t="shared" si="21"/>
        <v>72</v>
      </c>
      <c r="R123" s="28">
        <f t="shared" si="22"/>
        <v>372</v>
      </c>
      <c r="S123" s="28">
        <f t="shared" si="23"/>
        <v>2</v>
      </c>
      <c r="T123" s="28">
        <f t="shared" si="24"/>
        <v>499</v>
      </c>
      <c r="U123" s="29">
        <f t="shared" si="25"/>
        <v>0.10621242484969939</v>
      </c>
      <c r="V123" s="29">
        <f t="shared" si="26"/>
        <v>0.14428857715430862</v>
      </c>
      <c r="W123" s="29">
        <f t="shared" si="27"/>
        <v>0.74549098196392782</v>
      </c>
      <c r="X123" s="29">
        <f t="shared" si="28"/>
        <v>4.0080160320641279E-3</v>
      </c>
      <c r="Y123" s="30">
        <f t="shared" si="29"/>
        <v>35.076152304609217</v>
      </c>
    </row>
    <row r="124" spans="1:25" x14ac:dyDescent="0.25">
      <c r="A124" s="28" t="s">
        <v>284</v>
      </c>
      <c r="B124" s="28" t="s">
        <v>285</v>
      </c>
      <c r="C124" s="28" t="s">
        <v>193</v>
      </c>
      <c r="D124" s="28">
        <v>1</v>
      </c>
      <c r="E124" s="28"/>
      <c r="F124" s="28"/>
      <c r="G124" s="28">
        <v>1</v>
      </c>
      <c r="H124" s="28">
        <v>37</v>
      </c>
      <c r="I124" s="28">
        <v>1</v>
      </c>
      <c r="J124" s="28">
        <v>2</v>
      </c>
      <c r="K124" s="28">
        <v>409</v>
      </c>
      <c r="L124" s="28"/>
      <c r="M124" s="28">
        <v>450</v>
      </c>
      <c r="N124" s="30">
        <v>65.084444444444443</v>
      </c>
      <c r="O124" s="28" t="s">
        <v>234</v>
      </c>
      <c r="P124" s="28">
        <f t="shared" si="20"/>
        <v>409</v>
      </c>
      <c r="Q124" s="28">
        <f t="shared" si="21"/>
        <v>37</v>
      </c>
      <c r="R124" s="28">
        <f t="shared" si="22"/>
        <v>1</v>
      </c>
      <c r="S124" s="28">
        <f t="shared" si="23"/>
        <v>3</v>
      </c>
      <c r="T124" s="28">
        <f t="shared" si="24"/>
        <v>450</v>
      </c>
      <c r="U124" s="29">
        <f t="shared" si="25"/>
        <v>0.90888888888888886</v>
      </c>
      <c r="V124" s="29">
        <f t="shared" si="26"/>
        <v>8.2222222222222224E-2</v>
      </c>
      <c r="W124" s="29">
        <f t="shared" si="27"/>
        <v>2.2222222222222222E-3</v>
      </c>
      <c r="X124" s="29">
        <f t="shared" si="28"/>
        <v>6.6666666666666671E-3</v>
      </c>
      <c r="Y124" s="30">
        <f t="shared" si="29"/>
        <v>65.084444444444443</v>
      </c>
    </row>
    <row r="125" spans="1:25" x14ac:dyDescent="0.25">
      <c r="A125" s="28" t="s">
        <v>284</v>
      </c>
      <c r="B125" s="28" t="s">
        <v>285</v>
      </c>
      <c r="C125" s="28" t="s">
        <v>193</v>
      </c>
      <c r="D125" s="28">
        <v>2</v>
      </c>
      <c r="E125" s="28"/>
      <c r="F125" s="28"/>
      <c r="G125" s="28">
        <v>1</v>
      </c>
      <c r="H125" s="28">
        <v>31</v>
      </c>
      <c r="I125" s="28">
        <v>10</v>
      </c>
      <c r="J125" s="28">
        <v>2</v>
      </c>
      <c r="K125" s="28">
        <v>529</v>
      </c>
      <c r="L125" s="28"/>
      <c r="M125" s="28">
        <v>573</v>
      </c>
      <c r="N125" s="30">
        <v>50.183246073298427</v>
      </c>
      <c r="O125" s="28" t="s">
        <v>234</v>
      </c>
      <c r="P125" s="28">
        <f t="shared" si="20"/>
        <v>529</v>
      </c>
      <c r="Q125" s="28">
        <f t="shared" si="21"/>
        <v>31</v>
      </c>
      <c r="R125" s="28">
        <f t="shared" si="22"/>
        <v>10</v>
      </c>
      <c r="S125" s="28">
        <f t="shared" si="23"/>
        <v>3</v>
      </c>
      <c r="T125" s="28">
        <f t="shared" si="24"/>
        <v>573</v>
      </c>
      <c r="U125" s="29">
        <f t="shared" si="25"/>
        <v>0.92321116928446767</v>
      </c>
      <c r="V125" s="29">
        <f t="shared" si="26"/>
        <v>5.4101221640488653E-2</v>
      </c>
      <c r="W125" s="29">
        <f t="shared" si="27"/>
        <v>1.7452006980802792E-2</v>
      </c>
      <c r="X125" s="29">
        <f t="shared" si="28"/>
        <v>5.235602094240838E-3</v>
      </c>
      <c r="Y125" s="30">
        <f t="shared" si="29"/>
        <v>50.183246073298427</v>
      </c>
    </row>
    <row r="126" spans="1:25" x14ac:dyDescent="0.25">
      <c r="A126" s="28" t="s">
        <v>284</v>
      </c>
      <c r="B126" s="28" t="s">
        <v>285</v>
      </c>
      <c r="C126" s="28" t="s">
        <v>193</v>
      </c>
      <c r="D126" s="28">
        <v>3</v>
      </c>
      <c r="E126" s="28"/>
      <c r="F126" s="28"/>
      <c r="G126" s="28"/>
      <c r="H126" s="28">
        <v>15</v>
      </c>
      <c r="I126" s="28">
        <v>19</v>
      </c>
      <c r="J126" s="28">
        <v>3</v>
      </c>
      <c r="K126" s="28">
        <v>536</v>
      </c>
      <c r="L126" s="28"/>
      <c r="M126" s="28">
        <v>573</v>
      </c>
      <c r="N126" s="30">
        <v>36.095986038394415</v>
      </c>
      <c r="O126" s="28" t="s">
        <v>234</v>
      </c>
      <c r="P126" s="28">
        <f t="shared" si="20"/>
        <v>536</v>
      </c>
      <c r="Q126" s="28">
        <f t="shared" si="21"/>
        <v>15</v>
      </c>
      <c r="R126" s="28">
        <f t="shared" si="22"/>
        <v>19</v>
      </c>
      <c r="S126" s="28">
        <f t="shared" si="23"/>
        <v>3</v>
      </c>
      <c r="T126" s="28">
        <f t="shared" si="24"/>
        <v>573</v>
      </c>
      <c r="U126" s="29">
        <f t="shared" si="25"/>
        <v>0.93542757417102962</v>
      </c>
      <c r="V126" s="29">
        <f t="shared" si="26"/>
        <v>2.6178010471204188E-2</v>
      </c>
      <c r="W126" s="29">
        <f t="shared" si="27"/>
        <v>3.3158813263525308E-2</v>
      </c>
      <c r="X126" s="29">
        <f t="shared" si="28"/>
        <v>5.235602094240838E-3</v>
      </c>
      <c r="Y126" s="30">
        <f t="shared" si="29"/>
        <v>36.095986038394415</v>
      </c>
    </row>
    <row r="127" spans="1:25" x14ac:dyDescent="0.25">
      <c r="A127" s="28" t="s">
        <v>284</v>
      </c>
      <c r="B127" s="28" t="s">
        <v>285</v>
      </c>
      <c r="C127" s="28" t="s">
        <v>193</v>
      </c>
      <c r="D127" s="28">
        <v>4</v>
      </c>
      <c r="E127" s="28"/>
      <c r="F127" s="28"/>
      <c r="G127" s="28"/>
      <c r="H127" s="28">
        <v>2</v>
      </c>
      <c r="I127" s="28">
        <v>10</v>
      </c>
      <c r="J127" s="28"/>
      <c r="K127" s="28">
        <v>562</v>
      </c>
      <c r="L127" s="28"/>
      <c r="M127" s="28">
        <v>574</v>
      </c>
      <c r="N127" s="30">
        <v>24.193379790940767</v>
      </c>
      <c r="O127" s="28" t="s">
        <v>234</v>
      </c>
      <c r="P127" s="28">
        <f t="shared" si="20"/>
        <v>562</v>
      </c>
      <c r="Q127" s="28">
        <f t="shared" si="21"/>
        <v>2</v>
      </c>
      <c r="R127" s="28">
        <f t="shared" si="22"/>
        <v>10</v>
      </c>
      <c r="S127" s="28">
        <f t="shared" si="23"/>
        <v>0</v>
      </c>
      <c r="T127" s="28">
        <f t="shared" si="24"/>
        <v>574</v>
      </c>
      <c r="U127" s="29">
        <f t="shared" si="25"/>
        <v>0.97909407665505221</v>
      </c>
      <c r="V127" s="29">
        <f t="shared" si="26"/>
        <v>3.4843205574912892E-3</v>
      </c>
      <c r="W127" s="29">
        <f t="shared" si="27"/>
        <v>1.7421602787456445E-2</v>
      </c>
      <c r="X127" s="29">
        <f t="shared" si="28"/>
        <v>0</v>
      </c>
      <c r="Y127" s="30">
        <f t="shared" si="29"/>
        <v>24.193379790940767</v>
      </c>
    </row>
    <row r="128" spans="1:25" x14ac:dyDescent="0.25">
      <c r="A128" s="28" t="s">
        <v>286</v>
      </c>
      <c r="B128" s="28" t="s">
        <v>287</v>
      </c>
      <c r="C128" s="28" t="s">
        <v>195</v>
      </c>
      <c r="D128" s="28">
        <v>1</v>
      </c>
      <c r="E128" s="28"/>
      <c r="F128" s="28"/>
      <c r="G128" s="28"/>
      <c r="H128" s="28">
        <v>232</v>
      </c>
      <c r="I128" s="28">
        <v>35</v>
      </c>
      <c r="J128" s="28"/>
      <c r="K128" s="28">
        <v>183</v>
      </c>
      <c r="L128" s="28"/>
      <c r="M128" s="28">
        <v>450</v>
      </c>
      <c r="N128" s="30">
        <v>70.293333333333337</v>
      </c>
      <c r="O128" s="28" t="s">
        <v>234</v>
      </c>
      <c r="P128" s="28">
        <f t="shared" ref="P128:P133" si="30">K128</f>
        <v>183</v>
      </c>
      <c r="Q128" s="28">
        <f t="shared" ref="Q128:R133" si="31">H128</f>
        <v>232</v>
      </c>
      <c r="R128" s="28">
        <f t="shared" si="31"/>
        <v>35</v>
      </c>
      <c r="S128" s="28">
        <f t="shared" ref="S128:S133" si="32">M128-SUM(P128:R128)</f>
        <v>0</v>
      </c>
      <c r="T128" s="28">
        <f t="shared" ref="T128:T133" si="33">SUM(P128:S128)</f>
        <v>450</v>
      </c>
      <c r="U128" s="29">
        <f t="shared" ref="U128:U133" si="34">P128/M128</f>
        <v>0.40666666666666668</v>
      </c>
      <c r="V128" s="29">
        <f t="shared" ref="V128:V133" si="35">Q128/M128</f>
        <v>0.51555555555555554</v>
      </c>
      <c r="W128" s="29">
        <f t="shared" ref="W128:W133" si="36">R128/M128</f>
        <v>7.7777777777777779E-2</v>
      </c>
      <c r="X128" s="29">
        <f t="shared" ref="X128:X133" si="37">S128/M128</f>
        <v>0</v>
      </c>
      <c r="Y128" s="30">
        <f t="shared" ref="Y128:Y133" si="38">N128</f>
        <v>70.293333333333337</v>
      </c>
    </row>
    <row r="129" spans="1:25" x14ac:dyDescent="0.25">
      <c r="A129" s="28" t="s">
        <v>286</v>
      </c>
      <c r="B129" s="28" t="s">
        <v>287</v>
      </c>
      <c r="C129" s="28" t="s">
        <v>195</v>
      </c>
      <c r="D129" s="28">
        <v>2</v>
      </c>
      <c r="E129" s="28"/>
      <c r="F129" s="28"/>
      <c r="G129" s="28"/>
      <c r="H129" s="28">
        <v>175</v>
      </c>
      <c r="I129" s="28">
        <v>43</v>
      </c>
      <c r="J129" s="28"/>
      <c r="K129" s="28">
        <v>232</v>
      </c>
      <c r="L129" s="28"/>
      <c r="M129" s="28">
        <v>450</v>
      </c>
      <c r="N129" s="30">
        <v>62.653333333333336</v>
      </c>
      <c r="O129" s="28" t="s">
        <v>234</v>
      </c>
      <c r="P129" s="28">
        <f t="shared" si="30"/>
        <v>232</v>
      </c>
      <c r="Q129" s="28">
        <f t="shared" si="31"/>
        <v>175</v>
      </c>
      <c r="R129" s="28">
        <f t="shared" si="31"/>
        <v>43</v>
      </c>
      <c r="S129" s="28">
        <f t="shared" si="32"/>
        <v>0</v>
      </c>
      <c r="T129" s="28">
        <f t="shared" si="33"/>
        <v>450</v>
      </c>
      <c r="U129" s="29">
        <f t="shared" si="34"/>
        <v>0.51555555555555554</v>
      </c>
      <c r="V129" s="29">
        <f t="shared" si="35"/>
        <v>0.3888888888888889</v>
      </c>
      <c r="W129" s="29">
        <f t="shared" si="36"/>
        <v>9.555555555555556E-2</v>
      </c>
      <c r="X129" s="29">
        <f t="shared" si="37"/>
        <v>0</v>
      </c>
      <c r="Y129" s="30">
        <f t="shared" si="38"/>
        <v>62.653333333333336</v>
      </c>
    </row>
    <row r="130" spans="1:25" x14ac:dyDescent="0.25">
      <c r="A130" s="28" t="s">
        <v>286</v>
      </c>
      <c r="B130" s="28" t="s">
        <v>287</v>
      </c>
      <c r="C130" s="28" t="s">
        <v>195</v>
      </c>
      <c r="D130" s="28">
        <v>3</v>
      </c>
      <c r="E130" s="28"/>
      <c r="F130" s="28"/>
      <c r="G130" s="28">
        <v>2</v>
      </c>
      <c r="H130" s="28">
        <v>192</v>
      </c>
      <c r="I130" s="28">
        <v>62</v>
      </c>
      <c r="J130" s="28">
        <v>2</v>
      </c>
      <c r="K130" s="28">
        <v>316</v>
      </c>
      <c r="L130" s="28"/>
      <c r="M130" s="28">
        <v>574</v>
      </c>
      <c r="N130" s="30">
        <v>49.909407665505228</v>
      </c>
      <c r="O130" s="28" t="s">
        <v>234</v>
      </c>
      <c r="P130" s="28">
        <f t="shared" si="30"/>
        <v>316</v>
      </c>
      <c r="Q130" s="28">
        <f t="shared" si="31"/>
        <v>192</v>
      </c>
      <c r="R130" s="28">
        <f t="shared" si="31"/>
        <v>62</v>
      </c>
      <c r="S130" s="28">
        <f t="shared" si="32"/>
        <v>4</v>
      </c>
      <c r="T130" s="28">
        <f t="shared" si="33"/>
        <v>574</v>
      </c>
      <c r="U130" s="29">
        <f t="shared" si="34"/>
        <v>0.55052264808362372</v>
      </c>
      <c r="V130" s="29">
        <f t="shared" si="35"/>
        <v>0.33449477351916379</v>
      </c>
      <c r="W130" s="29">
        <f t="shared" si="36"/>
        <v>0.10801393728222997</v>
      </c>
      <c r="X130" s="29">
        <f t="shared" si="37"/>
        <v>6.9686411149825784E-3</v>
      </c>
      <c r="Y130" s="30">
        <f t="shared" si="38"/>
        <v>49.909407665505228</v>
      </c>
    </row>
    <row r="131" spans="1:25" x14ac:dyDescent="0.25">
      <c r="A131" s="28" t="s">
        <v>286</v>
      </c>
      <c r="B131" s="28" t="s">
        <v>287</v>
      </c>
      <c r="C131" s="28" t="s">
        <v>195</v>
      </c>
      <c r="D131" s="28">
        <v>4</v>
      </c>
      <c r="E131" s="28"/>
      <c r="F131" s="28"/>
      <c r="G131" s="28"/>
      <c r="H131" s="28">
        <v>176</v>
      </c>
      <c r="I131" s="28">
        <v>65</v>
      </c>
      <c r="J131" s="28">
        <v>2</v>
      </c>
      <c r="K131" s="28">
        <v>330</v>
      </c>
      <c r="L131" s="28">
        <v>1</v>
      </c>
      <c r="M131" s="28">
        <v>574</v>
      </c>
      <c r="N131" s="30">
        <v>39.374564459930312</v>
      </c>
      <c r="O131" s="28" t="s">
        <v>234</v>
      </c>
      <c r="P131" s="28">
        <f t="shared" si="30"/>
        <v>330</v>
      </c>
      <c r="Q131" s="28">
        <f t="shared" si="31"/>
        <v>176</v>
      </c>
      <c r="R131" s="28">
        <f t="shared" si="31"/>
        <v>65</v>
      </c>
      <c r="S131" s="28">
        <f t="shared" si="32"/>
        <v>3</v>
      </c>
      <c r="T131" s="28">
        <f t="shared" si="33"/>
        <v>574</v>
      </c>
      <c r="U131" s="29">
        <f t="shared" si="34"/>
        <v>0.57491289198606277</v>
      </c>
      <c r="V131" s="29">
        <f t="shared" si="35"/>
        <v>0.30662020905923343</v>
      </c>
      <c r="W131" s="29">
        <f t="shared" si="36"/>
        <v>0.1132404181184669</v>
      </c>
      <c r="X131" s="29">
        <f t="shared" si="37"/>
        <v>5.2264808362369342E-3</v>
      </c>
      <c r="Y131" s="30">
        <f t="shared" si="38"/>
        <v>39.374564459930312</v>
      </c>
    </row>
    <row r="132" spans="1:25" x14ac:dyDescent="0.25">
      <c r="A132" s="28" t="s">
        <v>286</v>
      </c>
      <c r="B132" s="28" t="s">
        <v>287</v>
      </c>
      <c r="C132" s="28" t="s">
        <v>195</v>
      </c>
      <c r="D132" s="28">
        <v>5</v>
      </c>
      <c r="E132" s="28"/>
      <c r="F132" s="28"/>
      <c r="G132" s="28">
        <v>1</v>
      </c>
      <c r="H132" s="28">
        <v>141</v>
      </c>
      <c r="I132" s="28">
        <v>65</v>
      </c>
      <c r="J132" s="28"/>
      <c r="K132" s="28">
        <v>366</v>
      </c>
      <c r="L132" s="28">
        <v>1</v>
      </c>
      <c r="M132" s="28">
        <v>574</v>
      </c>
      <c r="N132" s="30">
        <v>30.71254355400697</v>
      </c>
      <c r="O132" s="28" t="s">
        <v>234</v>
      </c>
      <c r="P132" s="28">
        <f t="shared" si="30"/>
        <v>366</v>
      </c>
      <c r="Q132" s="28">
        <f t="shared" si="31"/>
        <v>141</v>
      </c>
      <c r="R132" s="28">
        <f t="shared" si="31"/>
        <v>65</v>
      </c>
      <c r="S132" s="28">
        <f t="shared" si="32"/>
        <v>2</v>
      </c>
      <c r="T132" s="28">
        <f t="shared" si="33"/>
        <v>574</v>
      </c>
      <c r="U132" s="29">
        <f t="shared" si="34"/>
        <v>0.6376306620209059</v>
      </c>
      <c r="V132" s="29">
        <f t="shared" si="35"/>
        <v>0.2456445993031359</v>
      </c>
      <c r="W132" s="29">
        <f t="shared" si="36"/>
        <v>0.1132404181184669</v>
      </c>
      <c r="X132" s="29">
        <f t="shared" si="37"/>
        <v>3.4843205574912892E-3</v>
      </c>
      <c r="Y132" s="30">
        <f t="shared" si="38"/>
        <v>30.71254355400697</v>
      </c>
    </row>
    <row r="133" spans="1:25" x14ac:dyDescent="0.25">
      <c r="A133" s="28" t="s">
        <v>286</v>
      </c>
      <c r="B133" s="28" t="s">
        <v>287</v>
      </c>
      <c r="C133" s="28" t="s">
        <v>195</v>
      </c>
      <c r="D133" s="28">
        <v>6</v>
      </c>
      <c r="E133" s="28"/>
      <c r="F133" s="28"/>
      <c r="G133" s="28"/>
      <c r="H133" s="28">
        <v>117</v>
      </c>
      <c r="I133" s="28">
        <v>84</v>
      </c>
      <c r="J133" s="28"/>
      <c r="K133" s="28">
        <v>374</v>
      </c>
      <c r="L133" s="28"/>
      <c r="M133" s="28">
        <v>575</v>
      </c>
      <c r="N133" s="30">
        <v>22.306086956521739</v>
      </c>
      <c r="O133" s="28" t="s">
        <v>234</v>
      </c>
      <c r="P133" s="28">
        <f t="shared" si="30"/>
        <v>374</v>
      </c>
      <c r="Q133" s="28">
        <f t="shared" si="31"/>
        <v>117</v>
      </c>
      <c r="R133" s="28">
        <f t="shared" si="31"/>
        <v>84</v>
      </c>
      <c r="S133" s="28">
        <f t="shared" si="32"/>
        <v>0</v>
      </c>
      <c r="T133" s="28">
        <f t="shared" si="33"/>
        <v>575</v>
      </c>
      <c r="U133" s="29">
        <f t="shared" si="34"/>
        <v>0.65043478260869569</v>
      </c>
      <c r="V133" s="29">
        <f t="shared" si="35"/>
        <v>0.20347826086956522</v>
      </c>
      <c r="W133" s="29">
        <f t="shared" si="36"/>
        <v>0.14608695652173914</v>
      </c>
      <c r="X133" s="29">
        <f t="shared" si="37"/>
        <v>0</v>
      </c>
      <c r="Y133" s="30">
        <f t="shared" si="38"/>
        <v>22.306086956521739</v>
      </c>
    </row>
    <row r="134" spans="1:25" x14ac:dyDescent="0.25">
      <c r="A134" s="28" t="s">
        <v>286</v>
      </c>
      <c r="B134" s="28" t="s">
        <v>287</v>
      </c>
      <c r="C134" s="28" t="s">
        <v>196</v>
      </c>
      <c r="D134" s="28">
        <v>1</v>
      </c>
      <c r="E134" s="28">
        <v>3</v>
      </c>
      <c r="F134" s="28"/>
      <c r="G134" s="28">
        <v>1</v>
      </c>
      <c r="H134" s="28">
        <v>25</v>
      </c>
      <c r="I134" s="28">
        <v>4</v>
      </c>
      <c r="J134" s="28">
        <v>1</v>
      </c>
      <c r="K134" s="28">
        <v>88</v>
      </c>
      <c r="L134" s="28">
        <v>141</v>
      </c>
      <c r="M134" s="28">
        <v>263</v>
      </c>
      <c r="N134" s="30">
        <v>41.988593155893533</v>
      </c>
      <c r="O134" s="28" t="s">
        <v>234</v>
      </c>
      <c r="P134" s="28">
        <f t="shared" si="20"/>
        <v>88</v>
      </c>
      <c r="Q134" s="28">
        <f t="shared" si="21"/>
        <v>25</v>
      </c>
      <c r="R134" s="28">
        <f t="shared" si="22"/>
        <v>4</v>
      </c>
      <c r="S134" s="28">
        <f t="shared" si="23"/>
        <v>146</v>
      </c>
      <c r="T134" s="28">
        <f t="shared" si="24"/>
        <v>263</v>
      </c>
      <c r="U134" s="29">
        <f t="shared" si="25"/>
        <v>0.33460076045627374</v>
      </c>
      <c r="V134" s="29">
        <f t="shared" si="26"/>
        <v>9.5057034220532313E-2</v>
      </c>
      <c r="W134" s="29">
        <f t="shared" si="27"/>
        <v>1.5209125475285171E-2</v>
      </c>
      <c r="X134" s="29">
        <f t="shared" si="28"/>
        <v>0.55513307984790872</v>
      </c>
      <c r="Y134" s="30">
        <f t="shared" si="29"/>
        <v>41.988593155893533</v>
      </c>
    </row>
    <row r="135" spans="1:25" x14ac:dyDescent="0.25">
      <c r="A135" s="28" t="s">
        <v>288</v>
      </c>
      <c r="B135" s="28" t="s">
        <v>289</v>
      </c>
      <c r="C135" s="28" t="s">
        <v>198</v>
      </c>
      <c r="D135" s="28">
        <v>1</v>
      </c>
      <c r="E135" s="28"/>
      <c r="F135" s="28"/>
      <c r="G135" s="28">
        <v>1</v>
      </c>
      <c r="H135" s="28">
        <v>17</v>
      </c>
      <c r="I135" s="28">
        <v>132</v>
      </c>
      <c r="J135" s="28">
        <v>1</v>
      </c>
      <c r="K135" s="28">
        <v>299</v>
      </c>
      <c r="L135" s="28"/>
      <c r="M135" s="28">
        <v>450</v>
      </c>
      <c r="N135" s="30">
        <v>64.597777777777779</v>
      </c>
      <c r="O135" s="28" t="s">
        <v>234</v>
      </c>
      <c r="P135" s="28">
        <f t="shared" si="20"/>
        <v>299</v>
      </c>
      <c r="Q135" s="28">
        <f t="shared" si="21"/>
        <v>17</v>
      </c>
      <c r="R135" s="28">
        <f t="shared" si="22"/>
        <v>132</v>
      </c>
      <c r="S135" s="28">
        <f t="shared" si="23"/>
        <v>2</v>
      </c>
      <c r="T135" s="28">
        <f t="shared" si="24"/>
        <v>450</v>
      </c>
      <c r="U135" s="29">
        <f t="shared" si="25"/>
        <v>0.66444444444444439</v>
      </c>
      <c r="V135" s="29">
        <f t="shared" si="26"/>
        <v>3.7777777777777778E-2</v>
      </c>
      <c r="W135" s="29">
        <f t="shared" si="27"/>
        <v>0.29333333333333333</v>
      </c>
      <c r="X135" s="29">
        <f t="shared" si="28"/>
        <v>4.4444444444444444E-3</v>
      </c>
      <c r="Y135" s="30">
        <f t="shared" si="29"/>
        <v>64.597777777777779</v>
      </c>
    </row>
    <row r="136" spans="1:25" x14ac:dyDescent="0.25">
      <c r="A136" s="28" t="s">
        <v>288</v>
      </c>
      <c r="B136" s="28" t="s">
        <v>289</v>
      </c>
      <c r="C136" s="28" t="s">
        <v>198</v>
      </c>
      <c r="D136" s="28">
        <v>2</v>
      </c>
      <c r="E136" s="28"/>
      <c r="F136" s="28"/>
      <c r="G136" s="28">
        <v>2</v>
      </c>
      <c r="H136" s="28">
        <v>32</v>
      </c>
      <c r="I136" s="28">
        <v>116</v>
      </c>
      <c r="J136" s="28">
        <v>2</v>
      </c>
      <c r="K136" s="28">
        <v>298</v>
      </c>
      <c r="L136" s="28"/>
      <c r="M136" s="28">
        <v>450</v>
      </c>
      <c r="N136" s="30">
        <v>56.13111111111111</v>
      </c>
      <c r="O136" s="28" t="s">
        <v>234</v>
      </c>
      <c r="P136" s="28">
        <f t="shared" si="20"/>
        <v>298</v>
      </c>
      <c r="Q136" s="28">
        <f t="shared" si="21"/>
        <v>32</v>
      </c>
      <c r="R136" s="28">
        <f t="shared" si="22"/>
        <v>116</v>
      </c>
      <c r="S136" s="28">
        <f t="shared" si="23"/>
        <v>4</v>
      </c>
      <c r="T136" s="28">
        <f t="shared" si="24"/>
        <v>450</v>
      </c>
      <c r="U136" s="29">
        <f t="shared" si="25"/>
        <v>0.66222222222222227</v>
      </c>
      <c r="V136" s="29">
        <f t="shared" si="26"/>
        <v>7.1111111111111111E-2</v>
      </c>
      <c r="W136" s="29">
        <f t="shared" si="27"/>
        <v>0.25777777777777777</v>
      </c>
      <c r="X136" s="29">
        <f t="shared" si="28"/>
        <v>8.8888888888888889E-3</v>
      </c>
      <c r="Y136" s="30">
        <f t="shared" si="29"/>
        <v>56.13111111111111</v>
      </c>
    </row>
    <row r="137" spans="1:25" x14ac:dyDescent="0.25">
      <c r="A137" s="28" t="s">
        <v>288</v>
      </c>
      <c r="B137" s="28" t="s">
        <v>289</v>
      </c>
      <c r="C137" s="28" t="s">
        <v>198</v>
      </c>
      <c r="D137" s="28">
        <v>3</v>
      </c>
      <c r="E137" s="28"/>
      <c r="F137" s="28">
        <v>4</v>
      </c>
      <c r="G137" s="28">
        <v>30</v>
      </c>
      <c r="H137" s="28">
        <v>34</v>
      </c>
      <c r="I137" s="28">
        <v>114</v>
      </c>
      <c r="J137" s="28">
        <v>1</v>
      </c>
      <c r="K137" s="28">
        <v>464</v>
      </c>
      <c r="L137" s="28"/>
      <c r="M137" s="28">
        <v>647</v>
      </c>
      <c r="N137" s="30">
        <v>45.707882534775891</v>
      </c>
      <c r="O137" s="28" t="s">
        <v>234</v>
      </c>
      <c r="P137" s="28">
        <f t="shared" si="20"/>
        <v>464</v>
      </c>
      <c r="Q137" s="28">
        <f t="shared" si="21"/>
        <v>34</v>
      </c>
      <c r="R137" s="28">
        <f t="shared" si="22"/>
        <v>114</v>
      </c>
      <c r="S137" s="28">
        <f t="shared" si="23"/>
        <v>35</v>
      </c>
      <c r="T137" s="28">
        <f t="shared" si="24"/>
        <v>647</v>
      </c>
      <c r="U137" s="29">
        <f t="shared" si="25"/>
        <v>0.71715610510046368</v>
      </c>
      <c r="V137" s="29">
        <f t="shared" si="26"/>
        <v>5.2550231839258117E-2</v>
      </c>
      <c r="W137" s="29">
        <f t="shared" si="27"/>
        <v>0.17619783616692428</v>
      </c>
      <c r="X137" s="29">
        <f t="shared" si="28"/>
        <v>5.4095826893353939E-2</v>
      </c>
      <c r="Y137" s="30">
        <f t="shared" si="29"/>
        <v>45.707882534775891</v>
      </c>
    </row>
    <row r="138" spans="1:25" x14ac:dyDescent="0.25">
      <c r="A138" s="28" t="s">
        <v>288</v>
      </c>
      <c r="B138" s="28" t="s">
        <v>289</v>
      </c>
      <c r="C138" s="28" t="s">
        <v>198</v>
      </c>
      <c r="D138" s="28">
        <v>4</v>
      </c>
      <c r="E138" s="28">
        <v>2</v>
      </c>
      <c r="F138" s="28">
        <v>2</v>
      </c>
      <c r="G138" s="28">
        <v>12</v>
      </c>
      <c r="H138" s="28">
        <v>22</v>
      </c>
      <c r="I138" s="28">
        <v>125</v>
      </c>
      <c r="J138" s="28"/>
      <c r="K138" s="28">
        <v>480</v>
      </c>
      <c r="L138" s="28">
        <v>4</v>
      </c>
      <c r="M138" s="28">
        <v>647</v>
      </c>
      <c r="N138" s="30">
        <v>38.766615146831533</v>
      </c>
      <c r="O138" s="28" t="s">
        <v>234</v>
      </c>
      <c r="P138" s="28">
        <f t="shared" si="20"/>
        <v>480</v>
      </c>
      <c r="Q138" s="28">
        <f t="shared" si="21"/>
        <v>22</v>
      </c>
      <c r="R138" s="28">
        <f t="shared" si="22"/>
        <v>125</v>
      </c>
      <c r="S138" s="28">
        <f t="shared" si="23"/>
        <v>20</v>
      </c>
      <c r="T138" s="28">
        <f t="shared" si="24"/>
        <v>647</v>
      </c>
      <c r="U138" s="29">
        <f t="shared" si="25"/>
        <v>0.74188562596599694</v>
      </c>
      <c r="V138" s="29">
        <f t="shared" si="26"/>
        <v>3.4003091190108192E-2</v>
      </c>
      <c r="W138" s="29">
        <f t="shared" si="27"/>
        <v>0.19319938176197837</v>
      </c>
      <c r="X138" s="29">
        <f t="shared" si="28"/>
        <v>3.0911901081916538E-2</v>
      </c>
      <c r="Y138" s="30">
        <f t="shared" si="29"/>
        <v>38.766615146831533</v>
      </c>
    </row>
    <row r="139" spans="1:25" x14ac:dyDescent="0.25">
      <c r="A139" s="28" t="s">
        <v>288</v>
      </c>
      <c r="B139" s="28" t="s">
        <v>289</v>
      </c>
      <c r="C139" s="28" t="s">
        <v>198</v>
      </c>
      <c r="D139" s="28">
        <v>5</v>
      </c>
      <c r="E139" s="28">
        <v>5</v>
      </c>
      <c r="F139" s="28"/>
      <c r="G139" s="28">
        <v>4</v>
      </c>
      <c r="H139" s="28">
        <v>27</v>
      </c>
      <c r="I139" s="28">
        <v>140</v>
      </c>
      <c r="J139" s="28">
        <v>3</v>
      </c>
      <c r="K139" s="28">
        <v>467</v>
      </c>
      <c r="L139" s="28">
        <v>1</v>
      </c>
      <c r="M139" s="28">
        <v>647</v>
      </c>
      <c r="N139" s="30">
        <v>32.885625965996908</v>
      </c>
      <c r="O139" s="28" t="s">
        <v>234</v>
      </c>
      <c r="P139" s="28">
        <f t="shared" si="20"/>
        <v>467</v>
      </c>
      <c r="Q139" s="28">
        <f t="shared" si="21"/>
        <v>27</v>
      </c>
      <c r="R139" s="28">
        <f t="shared" si="22"/>
        <v>140</v>
      </c>
      <c r="S139" s="28">
        <f t="shared" si="23"/>
        <v>13</v>
      </c>
      <c r="T139" s="28">
        <f t="shared" si="24"/>
        <v>647</v>
      </c>
      <c r="U139" s="29">
        <f t="shared" si="25"/>
        <v>0.72179289026275117</v>
      </c>
      <c r="V139" s="29">
        <f t="shared" si="26"/>
        <v>4.1731066460587329E-2</v>
      </c>
      <c r="W139" s="29">
        <f t="shared" si="27"/>
        <v>0.21638330757341576</v>
      </c>
      <c r="X139" s="29">
        <f t="shared" si="28"/>
        <v>2.009273570324575E-2</v>
      </c>
      <c r="Y139" s="30">
        <f t="shared" si="29"/>
        <v>32.885625965996908</v>
      </c>
    </row>
    <row r="140" spans="1:25" x14ac:dyDescent="0.25">
      <c r="A140" s="28" t="s">
        <v>288</v>
      </c>
      <c r="B140" s="28" t="s">
        <v>289</v>
      </c>
      <c r="C140" s="28" t="s">
        <v>198</v>
      </c>
      <c r="D140" s="28">
        <v>6</v>
      </c>
      <c r="E140" s="28"/>
      <c r="F140" s="28"/>
      <c r="G140" s="28">
        <v>2</v>
      </c>
      <c r="H140" s="28">
        <v>20</v>
      </c>
      <c r="I140" s="28">
        <v>181</v>
      </c>
      <c r="J140" s="28"/>
      <c r="K140" s="28">
        <v>445</v>
      </c>
      <c r="L140" s="28"/>
      <c r="M140" s="28">
        <v>648</v>
      </c>
      <c r="N140" s="30">
        <v>23.831790123456791</v>
      </c>
      <c r="O140" s="28" t="s">
        <v>234</v>
      </c>
      <c r="P140" s="28">
        <f t="shared" si="20"/>
        <v>445</v>
      </c>
      <c r="Q140" s="28">
        <f t="shared" si="21"/>
        <v>20</v>
      </c>
      <c r="R140" s="28">
        <f t="shared" si="22"/>
        <v>181</v>
      </c>
      <c r="S140" s="28">
        <f t="shared" si="23"/>
        <v>2</v>
      </c>
      <c r="T140" s="28">
        <f t="shared" si="24"/>
        <v>648</v>
      </c>
      <c r="U140" s="29">
        <f t="shared" si="25"/>
        <v>0.68672839506172845</v>
      </c>
      <c r="V140" s="29">
        <f t="shared" si="26"/>
        <v>3.0864197530864196E-2</v>
      </c>
      <c r="W140" s="29">
        <f t="shared" si="27"/>
        <v>0.27932098765432101</v>
      </c>
      <c r="X140" s="29">
        <f t="shared" si="28"/>
        <v>3.0864197530864196E-3</v>
      </c>
      <c r="Y140" s="30">
        <f t="shared" si="29"/>
        <v>23.831790123456791</v>
      </c>
    </row>
    <row r="141" spans="1:25" x14ac:dyDescent="0.25">
      <c r="A141" s="28" t="s">
        <v>288</v>
      </c>
      <c r="B141" s="28" t="s">
        <v>289</v>
      </c>
      <c r="C141" s="28" t="s">
        <v>199</v>
      </c>
      <c r="D141" s="28">
        <v>1</v>
      </c>
      <c r="E141" s="28"/>
      <c r="F141" s="28">
        <v>2</v>
      </c>
      <c r="G141" s="28">
        <v>1</v>
      </c>
      <c r="H141" s="28">
        <v>63</v>
      </c>
      <c r="I141" s="28">
        <v>98</v>
      </c>
      <c r="J141" s="28">
        <v>3</v>
      </c>
      <c r="K141" s="28">
        <v>276</v>
      </c>
      <c r="L141" s="28">
        <v>7</v>
      </c>
      <c r="M141" s="28">
        <v>450</v>
      </c>
      <c r="N141" s="30">
        <v>66.704444444444448</v>
      </c>
      <c r="O141" s="28" t="s">
        <v>234</v>
      </c>
      <c r="P141" s="28">
        <f t="shared" si="20"/>
        <v>276</v>
      </c>
      <c r="Q141" s="28">
        <f t="shared" si="21"/>
        <v>63</v>
      </c>
      <c r="R141" s="28">
        <f t="shared" si="22"/>
        <v>98</v>
      </c>
      <c r="S141" s="28">
        <f t="shared" si="23"/>
        <v>13</v>
      </c>
      <c r="T141" s="28">
        <f t="shared" si="24"/>
        <v>450</v>
      </c>
      <c r="U141" s="29">
        <f t="shared" si="25"/>
        <v>0.61333333333333329</v>
      </c>
      <c r="V141" s="29">
        <f t="shared" si="26"/>
        <v>0.14000000000000001</v>
      </c>
      <c r="W141" s="29">
        <f t="shared" si="27"/>
        <v>0.21777777777777776</v>
      </c>
      <c r="X141" s="29">
        <f t="shared" si="28"/>
        <v>2.8888888888888888E-2</v>
      </c>
      <c r="Y141" s="30">
        <f t="shared" si="29"/>
        <v>66.704444444444448</v>
      </c>
    </row>
    <row r="142" spans="1:25" x14ac:dyDescent="0.25">
      <c r="A142" s="28" t="s">
        <v>288</v>
      </c>
      <c r="B142" s="28" t="s">
        <v>289</v>
      </c>
      <c r="C142" s="28" t="s">
        <v>199</v>
      </c>
      <c r="D142" s="28">
        <v>2</v>
      </c>
      <c r="E142" s="28"/>
      <c r="F142" s="28">
        <v>1</v>
      </c>
      <c r="G142" s="28"/>
      <c r="H142" s="28">
        <v>87</v>
      </c>
      <c r="I142" s="28">
        <v>133</v>
      </c>
      <c r="J142" s="28"/>
      <c r="K142" s="28">
        <v>451</v>
      </c>
      <c r="L142" s="28">
        <v>10</v>
      </c>
      <c r="M142" s="28">
        <v>682</v>
      </c>
      <c r="N142" s="30">
        <v>47.502932551319645</v>
      </c>
      <c r="O142" s="28" t="s">
        <v>234</v>
      </c>
      <c r="P142" s="28">
        <f t="shared" si="20"/>
        <v>451</v>
      </c>
      <c r="Q142" s="28">
        <f t="shared" si="21"/>
        <v>87</v>
      </c>
      <c r="R142" s="28">
        <f t="shared" si="22"/>
        <v>133</v>
      </c>
      <c r="S142" s="28">
        <f t="shared" si="23"/>
        <v>11</v>
      </c>
      <c r="T142" s="28">
        <f t="shared" si="24"/>
        <v>682</v>
      </c>
      <c r="U142" s="29">
        <f t="shared" si="25"/>
        <v>0.66129032258064513</v>
      </c>
      <c r="V142" s="29">
        <f t="shared" si="26"/>
        <v>0.12756598240469208</v>
      </c>
      <c r="W142" s="29">
        <f t="shared" si="27"/>
        <v>0.19501466275659823</v>
      </c>
      <c r="X142" s="29">
        <f t="shared" si="28"/>
        <v>1.6129032258064516E-2</v>
      </c>
      <c r="Y142" s="30">
        <f t="shared" si="29"/>
        <v>47.502932551319645</v>
      </c>
    </row>
    <row r="143" spans="1:25" x14ac:dyDescent="0.25">
      <c r="A143" s="28" t="s">
        <v>288</v>
      </c>
      <c r="B143" s="28" t="s">
        <v>289</v>
      </c>
      <c r="C143" s="28" t="s">
        <v>199</v>
      </c>
      <c r="D143" s="28">
        <v>3</v>
      </c>
      <c r="E143" s="28">
        <v>1</v>
      </c>
      <c r="F143" s="28"/>
      <c r="G143" s="28"/>
      <c r="H143" s="28">
        <v>61</v>
      </c>
      <c r="I143" s="28">
        <v>96</v>
      </c>
      <c r="J143" s="28"/>
      <c r="K143" s="28">
        <v>522</v>
      </c>
      <c r="L143" s="28">
        <v>2</v>
      </c>
      <c r="M143" s="28">
        <v>682</v>
      </c>
      <c r="N143" s="30">
        <v>27.848973607038122</v>
      </c>
      <c r="O143" s="28" t="s">
        <v>234</v>
      </c>
      <c r="P143" s="28">
        <f t="shared" si="20"/>
        <v>522</v>
      </c>
      <c r="Q143" s="28">
        <f t="shared" si="21"/>
        <v>61</v>
      </c>
      <c r="R143" s="28">
        <f t="shared" si="22"/>
        <v>96</v>
      </c>
      <c r="S143" s="28">
        <f t="shared" si="23"/>
        <v>3</v>
      </c>
      <c r="T143" s="28">
        <f t="shared" si="24"/>
        <v>682</v>
      </c>
      <c r="U143" s="29">
        <f t="shared" si="25"/>
        <v>0.76539589442815248</v>
      </c>
      <c r="V143" s="29">
        <f t="shared" si="26"/>
        <v>8.9442815249266866E-2</v>
      </c>
      <c r="W143" s="29">
        <f t="shared" si="27"/>
        <v>0.14076246334310852</v>
      </c>
      <c r="X143" s="29">
        <f t="shared" si="28"/>
        <v>4.3988269794721412E-3</v>
      </c>
      <c r="Y143" s="30">
        <f t="shared" si="29"/>
        <v>27.848973607038122</v>
      </c>
    </row>
    <row r="144" spans="1:25" x14ac:dyDescent="0.25">
      <c r="A144" s="28" t="s">
        <v>290</v>
      </c>
      <c r="B144" s="28" t="s">
        <v>291</v>
      </c>
      <c r="C144" s="28" t="s">
        <v>201</v>
      </c>
      <c r="D144" s="28">
        <v>1</v>
      </c>
      <c r="E144" s="28"/>
      <c r="F144" s="28"/>
      <c r="G144" s="28"/>
      <c r="H144" s="28">
        <v>166</v>
      </c>
      <c r="I144" s="28">
        <v>82</v>
      </c>
      <c r="J144" s="28">
        <v>2</v>
      </c>
      <c r="K144" s="28">
        <v>200</v>
      </c>
      <c r="L144" s="28"/>
      <c r="M144" s="28">
        <v>450</v>
      </c>
      <c r="N144" s="30">
        <v>69.844444444444449</v>
      </c>
      <c r="O144" s="28" t="s">
        <v>234</v>
      </c>
      <c r="P144" s="28">
        <f t="shared" si="20"/>
        <v>200</v>
      </c>
      <c r="Q144" s="28">
        <f t="shared" si="21"/>
        <v>166</v>
      </c>
      <c r="R144" s="28">
        <f t="shared" si="22"/>
        <v>82</v>
      </c>
      <c r="S144" s="28">
        <f t="shared" si="23"/>
        <v>2</v>
      </c>
      <c r="T144" s="28">
        <f t="shared" si="24"/>
        <v>450</v>
      </c>
      <c r="U144" s="29">
        <f t="shared" si="25"/>
        <v>0.44444444444444442</v>
      </c>
      <c r="V144" s="29">
        <f t="shared" si="26"/>
        <v>0.36888888888888888</v>
      </c>
      <c r="W144" s="29">
        <f t="shared" si="27"/>
        <v>0.18222222222222223</v>
      </c>
      <c r="X144" s="29">
        <f t="shared" si="28"/>
        <v>4.4444444444444444E-3</v>
      </c>
      <c r="Y144" s="30">
        <f t="shared" si="29"/>
        <v>69.844444444444449</v>
      </c>
    </row>
    <row r="145" spans="1:25" x14ac:dyDescent="0.25">
      <c r="A145" s="28" t="s">
        <v>290</v>
      </c>
      <c r="B145" s="28" t="s">
        <v>291</v>
      </c>
      <c r="C145" s="28" t="s">
        <v>201</v>
      </c>
      <c r="D145" s="28">
        <v>2</v>
      </c>
      <c r="E145" s="28"/>
      <c r="F145" s="28"/>
      <c r="G145" s="28"/>
      <c r="H145" s="28">
        <v>160</v>
      </c>
      <c r="I145" s="28">
        <v>98</v>
      </c>
      <c r="J145" s="28"/>
      <c r="K145" s="28">
        <v>192</v>
      </c>
      <c r="L145" s="28"/>
      <c r="M145" s="28">
        <v>450</v>
      </c>
      <c r="N145" s="30">
        <v>64.697777777777773</v>
      </c>
      <c r="O145" s="28" t="s">
        <v>234</v>
      </c>
      <c r="P145" s="28">
        <f t="shared" si="20"/>
        <v>192</v>
      </c>
      <c r="Q145" s="28">
        <f t="shared" si="21"/>
        <v>160</v>
      </c>
      <c r="R145" s="28">
        <f t="shared" si="22"/>
        <v>98</v>
      </c>
      <c r="S145" s="28">
        <f t="shared" si="23"/>
        <v>0</v>
      </c>
      <c r="T145" s="28">
        <f t="shared" si="24"/>
        <v>450</v>
      </c>
      <c r="U145" s="29">
        <f t="shared" si="25"/>
        <v>0.42666666666666669</v>
      </c>
      <c r="V145" s="29">
        <f t="shared" si="26"/>
        <v>0.35555555555555557</v>
      </c>
      <c r="W145" s="29">
        <f t="shared" si="27"/>
        <v>0.21777777777777776</v>
      </c>
      <c r="X145" s="29">
        <f t="shared" si="28"/>
        <v>0</v>
      </c>
      <c r="Y145" s="30">
        <f t="shared" si="29"/>
        <v>64.697777777777773</v>
      </c>
    </row>
    <row r="146" spans="1:25" x14ac:dyDescent="0.25">
      <c r="A146" s="28" t="s">
        <v>290</v>
      </c>
      <c r="B146" s="28" t="s">
        <v>291</v>
      </c>
      <c r="C146" s="28" t="s">
        <v>201</v>
      </c>
      <c r="D146" s="28">
        <v>3</v>
      </c>
      <c r="E146" s="28"/>
      <c r="F146" s="28"/>
      <c r="G146" s="28">
        <v>1</v>
      </c>
      <c r="H146" s="28">
        <v>99</v>
      </c>
      <c r="I146" s="28">
        <v>89</v>
      </c>
      <c r="J146" s="28">
        <v>4</v>
      </c>
      <c r="K146" s="28">
        <v>257</v>
      </c>
      <c r="L146" s="28"/>
      <c r="M146" s="28">
        <v>450</v>
      </c>
      <c r="N146" s="30">
        <v>56.324444444444445</v>
      </c>
      <c r="O146" s="28" t="s">
        <v>234</v>
      </c>
      <c r="P146" s="28">
        <f t="shared" si="20"/>
        <v>257</v>
      </c>
      <c r="Q146" s="28">
        <f t="shared" si="21"/>
        <v>99</v>
      </c>
      <c r="R146" s="28">
        <f t="shared" si="22"/>
        <v>89</v>
      </c>
      <c r="S146" s="28">
        <f t="shared" si="23"/>
        <v>5</v>
      </c>
      <c r="T146" s="28">
        <f t="shared" si="24"/>
        <v>450</v>
      </c>
      <c r="U146" s="29">
        <f t="shared" si="25"/>
        <v>0.57111111111111112</v>
      </c>
      <c r="V146" s="29">
        <f t="shared" si="26"/>
        <v>0.22</v>
      </c>
      <c r="W146" s="29">
        <f t="shared" si="27"/>
        <v>0.19777777777777777</v>
      </c>
      <c r="X146" s="29">
        <f t="shared" si="28"/>
        <v>1.1111111111111112E-2</v>
      </c>
      <c r="Y146" s="30">
        <f t="shared" si="29"/>
        <v>56.324444444444445</v>
      </c>
    </row>
    <row r="147" spans="1:25" x14ac:dyDescent="0.25">
      <c r="A147" s="28" t="s">
        <v>290</v>
      </c>
      <c r="B147" s="28" t="s">
        <v>291</v>
      </c>
      <c r="C147" s="28" t="s">
        <v>201</v>
      </c>
      <c r="D147" s="28">
        <v>4</v>
      </c>
      <c r="E147" s="28"/>
      <c r="F147" s="28">
        <v>1</v>
      </c>
      <c r="G147" s="28">
        <v>1</v>
      </c>
      <c r="H147" s="28">
        <v>167</v>
      </c>
      <c r="I147" s="28">
        <v>122</v>
      </c>
      <c r="J147" s="28">
        <v>2</v>
      </c>
      <c r="K147" s="28">
        <v>401</v>
      </c>
      <c r="L147" s="28"/>
      <c r="M147" s="28">
        <v>694</v>
      </c>
      <c r="N147" s="30">
        <v>47.453890489913547</v>
      </c>
      <c r="O147" s="28" t="s">
        <v>234</v>
      </c>
      <c r="P147" s="28">
        <f t="shared" si="20"/>
        <v>401</v>
      </c>
      <c r="Q147" s="28">
        <f t="shared" si="21"/>
        <v>167</v>
      </c>
      <c r="R147" s="28">
        <f t="shared" si="22"/>
        <v>122</v>
      </c>
      <c r="S147" s="28">
        <f t="shared" si="23"/>
        <v>4</v>
      </c>
      <c r="T147" s="28">
        <f t="shared" si="24"/>
        <v>694</v>
      </c>
      <c r="U147" s="29">
        <f t="shared" si="25"/>
        <v>0.5778097982708934</v>
      </c>
      <c r="V147" s="29">
        <f t="shared" si="26"/>
        <v>0.24063400576368876</v>
      </c>
      <c r="W147" s="29">
        <f t="shared" si="27"/>
        <v>0.17579250720461095</v>
      </c>
      <c r="X147" s="29">
        <f t="shared" si="28"/>
        <v>5.763688760806916E-3</v>
      </c>
      <c r="Y147" s="30">
        <f t="shared" si="29"/>
        <v>47.453890489913547</v>
      </c>
    </row>
    <row r="148" spans="1:25" x14ac:dyDescent="0.25">
      <c r="A148" s="28" t="s">
        <v>290</v>
      </c>
      <c r="B148" s="28" t="s">
        <v>291</v>
      </c>
      <c r="C148" s="28" t="s">
        <v>201</v>
      </c>
      <c r="D148" s="28">
        <v>5</v>
      </c>
      <c r="E148" s="28"/>
      <c r="F148" s="28"/>
      <c r="G148" s="28"/>
      <c r="H148" s="28">
        <v>146</v>
      </c>
      <c r="I148" s="28">
        <v>88</v>
      </c>
      <c r="J148" s="28">
        <v>3</v>
      </c>
      <c r="K148" s="28">
        <v>457</v>
      </c>
      <c r="L148" s="28"/>
      <c r="M148" s="28">
        <v>694</v>
      </c>
      <c r="N148" s="30">
        <v>39.190201729106626</v>
      </c>
      <c r="O148" s="28" t="s">
        <v>234</v>
      </c>
      <c r="P148" s="28">
        <f t="shared" si="20"/>
        <v>457</v>
      </c>
      <c r="Q148" s="28">
        <f t="shared" si="21"/>
        <v>146</v>
      </c>
      <c r="R148" s="28">
        <f t="shared" si="22"/>
        <v>88</v>
      </c>
      <c r="S148" s="28">
        <f t="shared" si="23"/>
        <v>3</v>
      </c>
      <c r="T148" s="28">
        <f t="shared" si="24"/>
        <v>694</v>
      </c>
      <c r="U148" s="29">
        <f t="shared" si="25"/>
        <v>0.65850144092219021</v>
      </c>
      <c r="V148" s="29">
        <f t="shared" si="26"/>
        <v>0.21037463976945245</v>
      </c>
      <c r="W148" s="29">
        <f t="shared" si="27"/>
        <v>0.12680115273775217</v>
      </c>
      <c r="X148" s="29">
        <f t="shared" si="28"/>
        <v>4.3227665706051877E-3</v>
      </c>
      <c r="Y148" s="30">
        <f t="shared" si="29"/>
        <v>39.190201729106626</v>
      </c>
    </row>
    <row r="149" spans="1:25" x14ac:dyDescent="0.25">
      <c r="A149" s="28" t="s">
        <v>290</v>
      </c>
      <c r="B149" s="28" t="s">
        <v>291</v>
      </c>
      <c r="C149" s="28" t="s">
        <v>201</v>
      </c>
      <c r="D149" s="28">
        <v>6</v>
      </c>
      <c r="E149" s="28"/>
      <c r="F149" s="28"/>
      <c r="G149" s="28">
        <v>1</v>
      </c>
      <c r="H149" s="28">
        <v>120</v>
      </c>
      <c r="I149" s="28">
        <v>60</v>
      </c>
      <c r="J149" s="28">
        <v>1</v>
      </c>
      <c r="K149" s="28">
        <v>512</v>
      </c>
      <c r="L149" s="28"/>
      <c r="M149" s="28">
        <v>694</v>
      </c>
      <c r="N149" s="30">
        <v>30.82564841498559</v>
      </c>
      <c r="O149" s="28" t="s">
        <v>234</v>
      </c>
      <c r="P149" s="28">
        <f t="shared" si="20"/>
        <v>512</v>
      </c>
      <c r="Q149" s="28">
        <f t="shared" si="21"/>
        <v>120</v>
      </c>
      <c r="R149" s="28">
        <f t="shared" si="22"/>
        <v>60</v>
      </c>
      <c r="S149" s="28">
        <f t="shared" si="23"/>
        <v>2</v>
      </c>
      <c r="T149" s="28">
        <f t="shared" si="24"/>
        <v>694</v>
      </c>
      <c r="U149" s="29">
        <f t="shared" si="25"/>
        <v>0.73775216138328525</v>
      </c>
      <c r="V149" s="29">
        <f t="shared" si="26"/>
        <v>0.1729106628242075</v>
      </c>
      <c r="W149" s="29">
        <f t="shared" si="27"/>
        <v>8.645533141210375E-2</v>
      </c>
      <c r="X149" s="29">
        <f t="shared" si="28"/>
        <v>2.881844380403458E-3</v>
      </c>
      <c r="Y149" s="30">
        <f t="shared" si="29"/>
        <v>30.82564841498559</v>
      </c>
    </row>
    <row r="150" spans="1:25" x14ac:dyDescent="0.25">
      <c r="A150" s="28" t="s">
        <v>290</v>
      </c>
      <c r="B150" s="28" t="s">
        <v>291</v>
      </c>
      <c r="C150" s="28" t="s">
        <v>201</v>
      </c>
      <c r="D150" s="28">
        <v>7</v>
      </c>
      <c r="E150" s="28"/>
      <c r="F150" s="28"/>
      <c r="G150" s="28"/>
      <c r="H150" s="28">
        <v>90</v>
      </c>
      <c r="I150" s="28">
        <v>42</v>
      </c>
      <c r="J150" s="28"/>
      <c r="K150" s="28">
        <v>563</v>
      </c>
      <c r="L150" s="28"/>
      <c r="M150" s="28">
        <v>695</v>
      </c>
      <c r="N150" s="30">
        <v>22.211510791366905</v>
      </c>
      <c r="O150" s="28" t="s">
        <v>234</v>
      </c>
      <c r="P150" s="28">
        <f t="shared" si="20"/>
        <v>563</v>
      </c>
      <c r="Q150" s="28">
        <f t="shared" si="21"/>
        <v>90</v>
      </c>
      <c r="R150" s="28">
        <f t="shared" si="22"/>
        <v>42</v>
      </c>
      <c r="S150" s="28">
        <f t="shared" si="23"/>
        <v>0</v>
      </c>
      <c r="T150" s="28">
        <f t="shared" si="24"/>
        <v>695</v>
      </c>
      <c r="U150" s="29">
        <f t="shared" si="25"/>
        <v>0.81007194244604319</v>
      </c>
      <c r="V150" s="29">
        <f t="shared" si="26"/>
        <v>0.12949640287769784</v>
      </c>
      <c r="W150" s="29">
        <f t="shared" si="27"/>
        <v>6.0431654676258995E-2</v>
      </c>
      <c r="X150" s="29">
        <f t="shared" si="28"/>
        <v>0</v>
      </c>
      <c r="Y150" s="30">
        <f t="shared" si="29"/>
        <v>22.211510791366905</v>
      </c>
    </row>
    <row r="151" spans="1:25" x14ac:dyDescent="0.25">
      <c r="A151" s="28" t="s">
        <v>290</v>
      </c>
      <c r="B151" s="28" t="s">
        <v>291</v>
      </c>
      <c r="C151" s="28" t="s">
        <v>202</v>
      </c>
      <c r="D151" s="28">
        <v>1</v>
      </c>
      <c r="E151" s="28"/>
      <c r="F151" s="28">
        <v>1</v>
      </c>
      <c r="G151" s="28"/>
      <c r="H151" s="28">
        <v>121</v>
      </c>
      <c r="I151" s="28">
        <v>151</v>
      </c>
      <c r="J151" s="28">
        <v>1</v>
      </c>
      <c r="K151" s="28">
        <v>176</v>
      </c>
      <c r="L151" s="28"/>
      <c r="M151" s="28">
        <v>450</v>
      </c>
      <c r="N151" s="30">
        <v>64.319999999999993</v>
      </c>
      <c r="O151" s="28" t="s">
        <v>234</v>
      </c>
      <c r="P151" s="28">
        <f t="shared" si="20"/>
        <v>176</v>
      </c>
      <c r="Q151" s="28">
        <f t="shared" si="21"/>
        <v>121</v>
      </c>
      <c r="R151" s="28">
        <f t="shared" si="22"/>
        <v>151</v>
      </c>
      <c r="S151" s="28">
        <f t="shared" si="23"/>
        <v>2</v>
      </c>
      <c r="T151" s="28">
        <f t="shared" si="24"/>
        <v>450</v>
      </c>
      <c r="U151" s="29">
        <f t="shared" si="25"/>
        <v>0.39111111111111113</v>
      </c>
      <c r="V151" s="29">
        <f t="shared" si="26"/>
        <v>0.2688888888888889</v>
      </c>
      <c r="W151" s="29">
        <f t="shared" si="27"/>
        <v>0.33555555555555555</v>
      </c>
      <c r="X151" s="29">
        <f t="shared" si="28"/>
        <v>4.4444444444444444E-3</v>
      </c>
      <c r="Y151" s="30">
        <f t="shared" si="29"/>
        <v>64.319999999999993</v>
      </c>
    </row>
    <row r="152" spans="1:25" x14ac:dyDescent="0.25">
      <c r="A152" s="28" t="s">
        <v>290</v>
      </c>
      <c r="B152" s="28" t="s">
        <v>291</v>
      </c>
      <c r="C152" s="28" t="s">
        <v>202</v>
      </c>
      <c r="D152" s="28">
        <v>2</v>
      </c>
      <c r="E152" s="28"/>
      <c r="F152" s="28"/>
      <c r="G152" s="28">
        <v>1</v>
      </c>
      <c r="H152" s="28">
        <v>249</v>
      </c>
      <c r="I152" s="28">
        <v>170</v>
      </c>
      <c r="J152" s="28">
        <v>4</v>
      </c>
      <c r="K152" s="28">
        <v>203</v>
      </c>
      <c r="L152" s="28"/>
      <c r="M152" s="28">
        <v>627</v>
      </c>
      <c r="N152" s="30">
        <v>48.658692185007972</v>
      </c>
      <c r="O152" s="28" t="s">
        <v>234</v>
      </c>
      <c r="P152" s="28">
        <f t="shared" ref="P152:P178" si="39">K152</f>
        <v>203</v>
      </c>
      <c r="Q152" s="28">
        <f t="shared" ref="Q152:Q178" si="40">H152</f>
        <v>249</v>
      </c>
      <c r="R152" s="28">
        <f t="shared" ref="R152:R178" si="41">I152</f>
        <v>170</v>
      </c>
      <c r="S152" s="28">
        <f t="shared" ref="S152:S178" si="42">M152-SUM(P152:R152)</f>
        <v>5</v>
      </c>
      <c r="T152" s="28">
        <f t="shared" ref="T152:T178" si="43">SUM(P152:S152)</f>
        <v>627</v>
      </c>
      <c r="U152" s="29">
        <f t="shared" ref="U152:U178" si="44">P152/M152</f>
        <v>0.3237639553429027</v>
      </c>
      <c r="V152" s="29">
        <f t="shared" ref="V152:V178" si="45">Q152/M152</f>
        <v>0.39712918660287083</v>
      </c>
      <c r="W152" s="29">
        <f t="shared" ref="W152:W178" si="46">R152/M152</f>
        <v>0.27113237639553428</v>
      </c>
      <c r="X152" s="29">
        <f t="shared" ref="X152:X178" si="47">S152/M152</f>
        <v>7.9744816586921844E-3</v>
      </c>
      <c r="Y152" s="30">
        <f t="shared" ref="Y152:Y178" si="48">N152</f>
        <v>48.658692185007972</v>
      </c>
    </row>
    <row r="153" spans="1:25" x14ac:dyDescent="0.25">
      <c r="A153" s="28" t="s">
        <v>290</v>
      </c>
      <c r="B153" s="28" t="s">
        <v>291</v>
      </c>
      <c r="C153" s="28" t="s">
        <v>202</v>
      </c>
      <c r="D153" s="28">
        <v>3</v>
      </c>
      <c r="E153" s="28"/>
      <c r="F153" s="28"/>
      <c r="G153" s="28">
        <v>1</v>
      </c>
      <c r="H153" s="28">
        <v>299</v>
      </c>
      <c r="I153" s="28">
        <v>108</v>
      </c>
      <c r="J153" s="28"/>
      <c r="K153" s="28">
        <v>219</v>
      </c>
      <c r="L153" s="28"/>
      <c r="M153" s="28">
        <v>627</v>
      </c>
      <c r="N153" s="30">
        <v>34.696969696969695</v>
      </c>
      <c r="O153" s="28" t="s">
        <v>234</v>
      </c>
      <c r="P153" s="28">
        <f t="shared" si="39"/>
        <v>219</v>
      </c>
      <c r="Q153" s="28">
        <f t="shared" si="40"/>
        <v>299</v>
      </c>
      <c r="R153" s="28">
        <f t="shared" si="41"/>
        <v>108</v>
      </c>
      <c r="S153" s="28">
        <f t="shared" si="42"/>
        <v>1</v>
      </c>
      <c r="T153" s="28">
        <f t="shared" si="43"/>
        <v>627</v>
      </c>
      <c r="U153" s="29">
        <f t="shared" si="44"/>
        <v>0.34928229665071769</v>
      </c>
      <c r="V153" s="29">
        <f t="shared" si="45"/>
        <v>0.47687400318979267</v>
      </c>
      <c r="W153" s="29">
        <f t="shared" si="46"/>
        <v>0.17224880382775121</v>
      </c>
      <c r="X153" s="29">
        <f t="shared" si="47"/>
        <v>1.594896331738437E-3</v>
      </c>
      <c r="Y153" s="30">
        <f t="shared" si="48"/>
        <v>34.696969696969695</v>
      </c>
    </row>
    <row r="154" spans="1:25" x14ac:dyDescent="0.25">
      <c r="A154" s="28" t="s">
        <v>290</v>
      </c>
      <c r="B154" s="28" t="s">
        <v>291</v>
      </c>
      <c r="C154" s="28" t="s">
        <v>202</v>
      </c>
      <c r="D154" s="28">
        <v>4</v>
      </c>
      <c r="E154" s="28"/>
      <c r="F154" s="28"/>
      <c r="G154" s="28"/>
      <c r="H154" s="28">
        <v>281</v>
      </c>
      <c r="I154" s="28">
        <v>103</v>
      </c>
      <c r="J154" s="28">
        <v>2</v>
      </c>
      <c r="K154" s="28">
        <v>241</v>
      </c>
      <c r="L154" s="28"/>
      <c r="M154" s="28">
        <v>627</v>
      </c>
      <c r="N154" s="30">
        <v>27.130781499202552</v>
      </c>
      <c r="O154" s="28" t="s">
        <v>234</v>
      </c>
      <c r="P154" s="28">
        <f t="shared" si="39"/>
        <v>241</v>
      </c>
      <c r="Q154" s="28">
        <f t="shared" si="40"/>
        <v>281</v>
      </c>
      <c r="R154" s="28">
        <f t="shared" si="41"/>
        <v>103</v>
      </c>
      <c r="S154" s="28">
        <f t="shared" si="42"/>
        <v>2</v>
      </c>
      <c r="T154" s="28">
        <f t="shared" si="43"/>
        <v>627</v>
      </c>
      <c r="U154" s="29">
        <f t="shared" si="44"/>
        <v>0.38437001594896331</v>
      </c>
      <c r="V154" s="29">
        <f t="shared" si="45"/>
        <v>0.44816586921850082</v>
      </c>
      <c r="W154" s="29">
        <f t="shared" si="46"/>
        <v>0.16427432216905902</v>
      </c>
      <c r="X154" s="29">
        <f t="shared" si="47"/>
        <v>3.189792663476874E-3</v>
      </c>
      <c r="Y154" s="30">
        <f t="shared" si="48"/>
        <v>27.130781499202552</v>
      </c>
    </row>
    <row r="155" spans="1:25" x14ac:dyDescent="0.25">
      <c r="A155" s="28" t="s">
        <v>290</v>
      </c>
      <c r="B155" s="28" t="s">
        <v>291</v>
      </c>
      <c r="C155" s="28" t="s">
        <v>202</v>
      </c>
      <c r="D155" s="28">
        <v>5</v>
      </c>
      <c r="E155" s="28"/>
      <c r="F155" s="28"/>
      <c r="G155" s="28"/>
      <c r="H155" s="28">
        <v>272</v>
      </c>
      <c r="I155" s="28">
        <v>97</v>
      </c>
      <c r="J155" s="28">
        <v>1</v>
      </c>
      <c r="K155" s="28">
        <v>258</v>
      </c>
      <c r="L155" s="28"/>
      <c r="M155" s="28">
        <v>628</v>
      </c>
      <c r="N155" s="30">
        <v>20.936305732484076</v>
      </c>
      <c r="O155" s="28" t="s">
        <v>234</v>
      </c>
      <c r="P155" s="28">
        <f t="shared" si="39"/>
        <v>258</v>
      </c>
      <c r="Q155" s="28">
        <f t="shared" si="40"/>
        <v>272</v>
      </c>
      <c r="R155" s="28">
        <f t="shared" si="41"/>
        <v>97</v>
      </c>
      <c r="S155" s="28">
        <f t="shared" si="42"/>
        <v>1</v>
      </c>
      <c r="T155" s="28">
        <f t="shared" si="43"/>
        <v>628</v>
      </c>
      <c r="U155" s="29">
        <f t="shared" si="44"/>
        <v>0.41082802547770703</v>
      </c>
      <c r="V155" s="29">
        <f t="shared" si="45"/>
        <v>0.43312101910828027</v>
      </c>
      <c r="W155" s="29">
        <f t="shared" si="46"/>
        <v>0.15445859872611464</v>
      </c>
      <c r="X155" s="29">
        <f t="shared" si="47"/>
        <v>1.5923566878980893E-3</v>
      </c>
      <c r="Y155" s="30">
        <f t="shared" si="48"/>
        <v>20.936305732484076</v>
      </c>
    </row>
    <row r="156" spans="1:25" x14ac:dyDescent="0.25">
      <c r="A156" s="28" t="s">
        <v>292</v>
      </c>
      <c r="B156" s="28" t="s">
        <v>293</v>
      </c>
      <c r="C156" s="28" t="s">
        <v>204</v>
      </c>
      <c r="D156" s="28">
        <v>1</v>
      </c>
      <c r="E156" s="28"/>
      <c r="F156" s="28">
        <v>1</v>
      </c>
      <c r="G156" s="28"/>
      <c r="H156" s="28">
        <v>219</v>
      </c>
      <c r="I156" s="28">
        <v>139</v>
      </c>
      <c r="J156" s="28">
        <v>2</v>
      </c>
      <c r="K156" s="28">
        <v>89</v>
      </c>
      <c r="L156" s="28"/>
      <c r="M156" s="28">
        <v>450</v>
      </c>
      <c r="N156" s="30">
        <v>70.444444444444443</v>
      </c>
      <c r="O156" s="28" t="s">
        <v>234</v>
      </c>
      <c r="P156" s="28">
        <f t="shared" si="39"/>
        <v>89</v>
      </c>
      <c r="Q156" s="28">
        <f t="shared" si="40"/>
        <v>219</v>
      </c>
      <c r="R156" s="28">
        <f t="shared" si="41"/>
        <v>139</v>
      </c>
      <c r="S156" s="28">
        <f t="shared" si="42"/>
        <v>3</v>
      </c>
      <c r="T156" s="28">
        <f t="shared" si="43"/>
        <v>450</v>
      </c>
      <c r="U156" s="29">
        <f t="shared" si="44"/>
        <v>0.19777777777777777</v>
      </c>
      <c r="V156" s="29">
        <f t="shared" si="45"/>
        <v>0.48666666666666669</v>
      </c>
      <c r="W156" s="29">
        <f t="shared" si="46"/>
        <v>0.30888888888888888</v>
      </c>
      <c r="X156" s="29">
        <f t="shared" si="47"/>
        <v>6.6666666666666671E-3</v>
      </c>
      <c r="Y156" s="30">
        <f t="shared" si="48"/>
        <v>70.444444444444443</v>
      </c>
    </row>
    <row r="157" spans="1:25" x14ac:dyDescent="0.25">
      <c r="A157" s="28" t="s">
        <v>292</v>
      </c>
      <c r="B157" s="28" t="s">
        <v>293</v>
      </c>
      <c r="C157" s="28" t="s">
        <v>204</v>
      </c>
      <c r="D157" s="28">
        <v>2</v>
      </c>
      <c r="E157" s="28"/>
      <c r="F157" s="28">
        <v>4</v>
      </c>
      <c r="G157" s="28">
        <v>2</v>
      </c>
      <c r="H157" s="28">
        <v>174</v>
      </c>
      <c r="I157" s="28">
        <v>178</v>
      </c>
      <c r="J157" s="28">
        <v>5</v>
      </c>
      <c r="K157" s="28">
        <v>87</v>
      </c>
      <c r="L157" s="28"/>
      <c r="M157" s="28">
        <v>450</v>
      </c>
      <c r="N157" s="30">
        <v>59.715555555555554</v>
      </c>
      <c r="O157" s="28" t="s">
        <v>234</v>
      </c>
      <c r="P157" s="28">
        <f t="shared" si="39"/>
        <v>87</v>
      </c>
      <c r="Q157" s="28">
        <f t="shared" si="40"/>
        <v>174</v>
      </c>
      <c r="R157" s="28">
        <f t="shared" si="41"/>
        <v>178</v>
      </c>
      <c r="S157" s="28">
        <f t="shared" si="42"/>
        <v>11</v>
      </c>
      <c r="T157" s="28">
        <f t="shared" si="43"/>
        <v>450</v>
      </c>
      <c r="U157" s="29">
        <f t="shared" si="44"/>
        <v>0.19333333333333333</v>
      </c>
      <c r="V157" s="29">
        <f t="shared" si="45"/>
        <v>0.38666666666666666</v>
      </c>
      <c r="W157" s="29">
        <f t="shared" si="46"/>
        <v>0.39555555555555555</v>
      </c>
      <c r="X157" s="29">
        <f t="shared" si="47"/>
        <v>2.4444444444444446E-2</v>
      </c>
      <c r="Y157" s="30">
        <f t="shared" si="48"/>
        <v>59.715555555555554</v>
      </c>
    </row>
    <row r="158" spans="1:25" x14ac:dyDescent="0.25">
      <c r="A158" s="28" t="s">
        <v>292</v>
      </c>
      <c r="B158" s="28" t="s">
        <v>293</v>
      </c>
      <c r="C158" s="28" t="s">
        <v>204</v>
      </c>
      <c r="D158" s="28">
        <v>3</v>
      </c>
      <c r="E158" s="28"/>
      <c r="F158" s="28"/>
      <c r="G158" s="28">
        <v>1</v>
      </c>
      <c r="H158" s="28">
        <v>207</v>
      </c>
      <c r="I158" s="28">
        <v>186</v>
      </c>
      <c r="J158" s="28">
        <v>3</v>
      </c>
      <c r="K158" s="28">
        <v>100</v>
      </c>
      <c r="L158" s="28"/>
      <c r="M158" s="28">
        <v>497</v>
      </c>
      <c r="N158" s="30">
        <v>47.052313883299796</v>
      </c>
      <c r="O158" s="28" t="s">
        <v>234</v>
      </c>
      <c r="P158" s="28">
        <f t="shared" si="39"/>
        <v>100</v>
      </c>
      <c r="Q158" s="28">
        <f t="shared" si="40"/>
        <v>207</v>
      </c>
      <c r="R158" s="28">
        <f t="shared" si="41"/>
        <v>186</v>
      </c>
      <c r="S158" s="28">
        <f t="shared" si="42"/>
        <v>4</v>
      </c>
      <c r="T158" s="28">
        <f t="shared" si="43"/>
        <v>497</v>
      </c>
      <c r="U158" s="29">
        <f t="shared" si="44"/>
        <v>0.2012072434607646</v>
      </c>
      <c r="V158" s="29">
        <f t="shared" si="45"/>
        <v>0.4164989939637827</v>
      </c>
      <c r="W158" s="29">
        <f t="shared" si="46"/>
        <v>0.37424547283702214</v>
      </c>
      <c r="X158" s="29">
        <f t="shared" si="47"/>
        <v>8.0482897384305842E-3</v>
      </c>
      <c r="Y158" s="30">
        <f t="shared" si="48"/>
        <v>47.052313883299796</v>
      </c>
    </row>
    <row r="159" spans="1:25" x14ac:dyDescent="0.25">
      <c r="A159" s="28" t="s">
        <v>292</v>
      </c>
      <c r="B159" s="28" t="s">
        <v>293</v>
      </c>
      <c r="C159" s="28" t="s">
        <v>204</v>
      </c>
      <c r="D159" s="28">
        <v>4</v>
      </c>
      <c r="E159" s="28">
        <v>2</v>
      </c>
      <c r="F159" s="28"/>
      <c r="G159" s="28">
        <v>3</v>
      </c>
      <c r="H159" s="28">
        <v>219</v>
      </c>
      <c r="I159" s="28">
        <v>134</v>
      </c>
      <c r="J159" s="28">
        <v>3</v>
      </c>
      <c r="K159" s="28">
        <v>136</v>
      </c>
      <c r="L159" s="28"/>
      <c r="M159" s="28">
        <v>497</v>
      </c>
      <c r="N159" s="30">
        <v>35.366197183098592</v>
      </c>
      <c r="O159" s="28" t="s">
        <v>234</v>
      </c>
      <c r="P159" s="28">
        <f t="shared" si="39"/>
        <v>136</v>
      </c>
      <c r="Q159" s="28">
        <f t="shared" si="40"/>
        <v>219</v>
      </c>
      <c r="R159" s="28">
        <f t="shared" si="41"/>
        <v>134</v>
      </c>
      <c r="S159" s="28">
        <f t="shared" si="42"/>
        <v>8</v>
      </c>
      <c r="T159" s="28">
        <f t="shared" si="43"/>
        <v>497</v>
      </c>
      <c r="U159" s="29">
        <f t="shared" si="44"/>
        <v>0.27364185110663986</v>
      </c>
      <c r="V159" s="29">
        <f t="shared" si="45"/>
        <v>0.44064386317907445</v>
      </c>
      <c r="W159" s="29">
        <f t="shared" si="46"/>
        <v>0.26961770623742454</v>
      </c>
      <c r="X159" s="29">
        <f t="shared" si="47"/>
        <v>1.6096579476861168E-2</v>
      </c>
      <c r="Y159" s="30">
        <f t="shared" si="48"/>
        <v>35.366197183098592</v>
      </c>
    </row>
    <row r="160" spans="1:25" x14ac:dyDescent="0.25">
      <c r="A160" s="28" t="s">
        <v>292</v>
      </c>
      <c r="B160" s="28" t="s">
        <v>293</v>
      </c>
      <c r="C160" s="28" t="s">
        <v>204</v>
      </c>
      <c r="D160" s="28">
        <v>5</v>
      </c>
      <c r="E160" s="28"/>
      <c r="F160" s="28"/>
      <c r="G160" s="28">
        <v>1</v>
      </c>
      <c r="H160" s="28">
        <v>207</v>
      </c>
      <c r="I160" s="28">
        <v>135</v>
      </c>
      <c r="J160" s="28">
        <v>1</v>
      </c>
      <c r="K160" s="28">
        <v>154</v>
      </c>
      <c r="L160" s="28"/>
      <c r="M160" s="28">
        <v>498</v>
      </c>
      <c r="N160" s="30">
        <v>24.477911646586346</v>
      </c>
      <c r="O160" s="28" t="s">
        <v>234</v>
      </c>
      <c r="P160" s="28">
        <f t="shared" si="39"/>
        <v>154</v>
      </c>
      <c r="Q160" s="28">
        <f t="shared" si="40"/>
        <v>207</v>
      </c>
      <c r="R160" s="28">
        <f t="shared" si="41"/>
        <v>135</v>
      </c>
      <c r="S160" s="28">
        <f t="shared" si="42"/>
        <v>2</v>
      </c>
      <c r="T160" s="28">
        <f t="shared" si="43"/>
        <v>498</v>
      </c>
      <c r="U160" s="29">
        <f t="shared" si="44"/>
        <v>0.30923694779116467</v>
      </c>
      <c r="V160" s="29">
        <f t="shared" si="45"/>
        <v>0.41566265060240964</v>
      </c>
      <c r="W160" s="29">
        <f t="shared" si="46"/>
        <v>0.27108433734939757</v>
      </c>
      <c r="X160" s="29">
        <f t="shared" si="47"/>
        <v>4.0160642570281121E-3</v>
      </c>
      <c r="Y160" s="30">
        <f t="shared" si="48"/>
        <v>24.477911646586346</v>
      </c>
    </row>
    <row r="161" spans="1:25" x14ac:dyDescent="0.25">
      <c r="A161" s="28" t="s">
        <v>294</v>
      </c>
      <c r="B161" s="28" t="s">
        <v>295</v>
      </c>
      <c r="C161" s="28" t="s">
        <v>206</v>
      </c>
      <c r="D161" s="28">
        <v>1</v>
      </c>
      <c r="E161" s="28"/>
      <c r="F161" s="28"/>
      <c r="G161" s="28">
        <v>1</v>
      </c>
      <c r="H161" s="28">
        <v>171</v>
      </c>
      <c r="I161" s="28">
        <v>214</v>
      </c>
      <c r="J161" s="28">
        <v>3</v>
      </c>
      <c r="K161" s="28">
        <v>61</v>
      </c>
      <c r="L161" s="28"/>
      <c r="M161" s="28">
        <v>450</v>
      </c>
      <c r="N161" s="30">
        <v>72.084444444444443</v>
      </c>
      <c r="O161" s="28" t="s">
        <v>234</v>
      </c>
      <c r="P161" s="28">
        <f t="shared" si="39"/>
        <v>61</v>
      </c>
      <c r="Q161" s="28">
        <f t="shared" si="40"/>
        <v>171</v>
      </c>
      <c r="R161" s="28">
        <f t="shared" si="41"/>
        <v>214</v>
      </c>
      <c r="S161" s="28">
        <f t="shared" si="42"/>
        <v>4</v>
      </c>
      <c r="T161" s="28">
        <f t="shared" si="43"/>
        <v>450</v>
      </c>
      <c r="U161" s="29">
        <f t="shared" si="44"/>
        <v>0.13555555555555557</v>
      </c>
      <c r="V161" s="29">
        <f t="shared" si="45"/>
        <v>0.38</v>
      </c>
      <c r="W161" s="29">
        <f t="shared" si="46"/>
        <v>0.47555555555555556</v>
      </c>
      <c r="X161" s="29">
        <f t="shared" si="47"/>
        <v>8.8888888888888889E-3</v>
      </c>
      <c r="Y161" s="30">
        <f t="shared" si="48"/>
        <v>72.084444444444443</v>
      </c>
    </row>
    <row r="162" spans="1:25" x14ac:dyDescent="0.25">
      <c r="A162" s="28" t="s">
        <v>294</v>
      </c>
      <c r="B162" s="28" t="s">
        <v>295</v>
      </c>
      <c r="C162" s="28" t="s">
        <v>206</v>
      </c>
      <c r="D162" s="28">
        <v>2</v>
      </c>
      <c r="E162" s="28"/>
      <c r="F162" s="28"/>
      <c r="G162" s="28">
        <v>1</v>
      </c>
      <c r="H162" s="28">
        <v>152</v>
      </c>
      <c r="I162" s="28">
        <v>220</v>
      </c>
      <c r="J162" s="28">
        <v>6</v>
      </c>
      <c r="K162" s="28">
        <v>71</v>
      </c>
      <c r="L162" s="28"/>
      <c r="M162" s="28">
        <v>450</v>
      </c>
      <c r="N162" s="30">
        <v>68.675555555555562</v>
      </c>
      <c r="O162" s="28" t="s">
        <v>234</v>
      </c>
      <c r="P162" s="28">
        <f t="shared" si="39"/>
        <v>71</v>
      </c>
      <c r="Q162" s="28">
        <f t="shared" si="40"/>
        <v>152</v>
      </c>
      <c r="R162" s="28">
        <f t="shared" si="41"/>
        <v>220</v>
      </c>
      <c r="S162" s="28">
        <f t="shared" si="42"/>
        <v>7</v>
      </c>
      <c r="T162" s="28">
        <f t="shared" si="43"/>
        <v>450</v>
      </c>
      <c r="U162" s="29">
        <f t="shared" si="44"/>
        <v>0.15777777777777777</v>
      </c>
      <c r="V162" s="29">
        <f t="shared" si="45"/>
        <v>0.33777777777777779</v>
      </c>
      <c r="W162" s="29">
        <f t="shared" si="46"/>
        <v>0.48888888888888887</v>
      </c>
      <c r="X162" s="29">
        <f t="shared" si="47"/>
        <v>1.5555555555555555E-2</v>
      </c>
      <c r="Y162" s="30">
        <f t="shared" si="48"/>
        <v>68.675555555555562</v>
      </c>
    </row>
    <row r="163" spans="1:25" x14ac:dyDescent="0.25">
      <c r="A163" s="28" t="s">
        <v>294</v>
      </c>
      <c r="B163" s="28" t="s">
        <v>295</v>
      </c>
      <c r="C163" s="28" t="s">
        <v>206</v>
      </c>
      <c r="D163" s="28">
        <v>3</v>
      </c>
      <c r="E163" s="28"/>
      <c r="F163" s="28">
        <v>1</v>
      </c>
      <c r="G163" s="28"/>
      <c r="H163" s="28">
        <v>124</v>
      </c>
      <c r="I163" s="28">
        <v>194</v>
      </c>
      <c r="J163" s="28">
        <v>3</v>
      </c>
      <c r="K163" s="28">
        <v>128</v>
      </c>
      <c r="L163" s="28"/>
      <c r="M163" s="28">
        <v>450</v>
      </c>
      <c r="N163" s="30">
        <v>62.053333333333335</v>
      </c>
      <c r="O163" s="28" t="s">
        <v>234</v>
      </c>
      <c r="P163" s="28">
        <f t="shared" si="39"/>
        <v>128</v>
      </c>
      <c r="Q163" s="28">
        <f t="shared" si="40"/>
        <v>124</v>
      </c>
      <c r="R163" s="28">
        <f t="shared" si="41"/>
        <v>194</v>
      </c>
      <c r="S163" s="28">
        <f t="shared" si="42"/>
        <v>4</v>
      </c>
      <c r="T163" s="28">
        <f t="shared" si="43"/>
        <v>450</v>
      </c>
      <c r="U163" s="29">
        <f t="shared" si="44"/>
        <v>0.28444444444444444</v>
      </c>
      <c r="V163" s="29">
        <f t="shared" si="45"/>
        <v>0.27555555555555555</v>
      </c>
      <c r="W163" s="29">
        <f t="shared" si="46"/>
        <v>0.43111111111111111</v>
      </c>
      <c r="X163" s="29">
        <f t="shared" si="47"/>
        <v>8.8888888888888889E-3</v>
      </c>
      <c r="Y163" s="30">
        <f t="shared" si="48"/>
        <v>62.053333333333335</v>
      </c>
    </row>
    <row r="164" spans="1:25" x14ac:dyDescent="0.25">
      <c r="A164" s="28" t="s">
        <v>294</v>
      </c>
      <c r="B164" s="28" t="s">
        <v>295</v>
      </c>
      <c r="C164" s="28" t="s">
        <v>206</v>
      </c>
      <c r="D164" s="28">
        <v>4</v>
      </c>
      <c r="E164" s="28"/>
      <c r="F164" s="28">
        <v>4</v>
      </c>
      <c r="G164" s="28">
        <v>2</v>
      </c>
      <c r="H164" s="28">
        <v>210</v>
      </c>
      <c r="I164" s="28">
        <v>257</v>
      </c>
      <c r="J164" s="28">
        <v>3</v>
      </c>
      <c r="K164" s="28">
        <v>124</v>
      </c>
      <c r="L164" s="28"/>
      <c r="M164" s="28">
        <v>600</v>
      </c>
      <c r="N164" s="30">
        <v>53.953333333333333</v>
      </c>
      <c r="O164" s="28" t="s">
        <v>234</v>
      </c>
      <c r="P164" s="28">
        <f t="shared" si="39"/>
        <v>124</v>
      </c>
      <c r="Q164" s="28">
        <f t="shared" si="40"/>
        <v>210</v>
      </c>
      <c r="R164" s="28">
        <f t="shared" si="41"/>
        <v>257</v>
      </c>
      <c r="S164" s="28">
        <f t="shared" si="42"/>
        <v>9</v>
      </c>
      <c r="T164" s="28">
        <f t="shared" si="43"/>
        <v>600</v>
      </c>
      <c r="U164" s="29">
        <f t="shared" si="44"/>
        <v>0.20666666666666667</v>
      </c>
      <c r="V164" s="29">
        <f t="shared" si="45"/>
        <v>0.35</v>
      </c>
      <c r="W164" s="29">
        <f t="shared" si="46"/>
        <v>0.42833333333333334</v>
      </c>
      <c r="X164" s="29">
        <f t="shared" si="47"/>
        <v>1.4999999999999999E-2</v>
      </c>
      <c r="Y164" s="30">
        <f t="shared" si="48"/>
        <v>53.953333333333333</v>
      </c>
    </row>
    <row r="165" spans="1:25" x14ac:dyDescent="0.25">
      <c r="A165" s="28" t="s">
        <v>294</v>
      </c>
      <c r="B165" s="28" t="s">
        <v>295</v>
      </c>
      <c r="C165" s="28" t="s">
        <v>206</v>
      </c>
      <c r="D165" s="28">
        <v>5</v>
      </c>
      <c r="E165" s="28">
        <v>1</v>
      </c>
      <c r="F165" s="28">
        <v>3</v>
      </c>
      <c r="G165" s="28">
        <v>4</v>
      </c>
      <c r="H165" s="28">
        <v>248</v>
      </c>
      <c r="I165" s="28">
        <v>232</v>
      </c>
      <c r="J165" s="28">
        <v>6</v>
      </c>
      <c r="K165" s="28">
        <v>106</v>
      </c>
      <c r="L165" s="28"/>
      <c r="M165" s="28">
        <v>600</v>
      </c>
      <c r="N165" s="30">
        <v>42.883333333333333</v>
      </c>
      <c r="O165" s="28" t="s">
        <v>234</v>
      </c>
      <c r="P165" s="28">
        <f t="shared" si="39"/>
        <v>106</v>
      </c>
      <c r="Q165" s="28">
        <f t="shared" si="40"/>
        <v>248</v>
      </c>
      <c r="R165" s="28">
        <f t="shared" si="41"/>
        <v>232</v>
      </c>
      <c r="S165" s="28">
        <f t="shared" si="42"/>
        <v>14</v>
      </c>
      <c r="T165" s="28">
        <f t="shared" si="43"/>
        <v>600</v>
      </c>
      <c r="U165" s="29">
        <f t="shared" si="44"/>
        <v>0.17666666666666667</v>
      </c>
      <c r="V165" s="29">
        <f t="shared" si="45"/>
        <v>0.41333333333333333</v>
      </c>
      <c r="W165" s="29">
        <f t="shared" si="46"/>
        <v>0.38666666666666666</v>
      </c>
      <c r="X165" s="29">
        <f t="shared" si="47"/>
        <v>2.3333333333333334E-2</v>
      </c>
      <c r="Y165" s="30">
        <f t="shared" si="48"/>
        <v>42.883333333333333</v>
      </c>
    </row>
    <row r="166" spans="1:25" x14ac:dyDescent="0.25">
      <c r="A166" s="28" t="s">
        <v>294</v>
      </c>
      <c r="B166" s="28" t="s">
        <v>295</v>
      </c>
      <c r="C166" s="28" t="s">
        <v>206</v>
      </c>
      <c r="D166" s="28">
        <v>6</v>
      </c>
      <c r="E166" s="28">
        <v>3</v>
      </c>
      <c r="F166" s="28"/>
      <c r="G166" s="28">
        <v>6</v>
      </c>
      <c r="H166" s="28">
        <v>247</v>
      </c>
      <c r="I166" s="28">
        <v>182</v>
      </c>
      <c r="J166" s="28">
        <v>1</v>
      </c>
      <c r="K166" s="28">
        <v>161</v>
      </c>
      <c r="L166" s="28"/>
      <c r="M166" s="28">
        <v>600</v>
      </c>
      <c r="N166" s="30">
        <v>33.383333333333333</v>
      </c>
      <c r="O166" s="28" t="s">
        <v>234</v>
      </c>
      <c r="P166" s="28">
        <f t="shared" si="39"/>
        <v>161</v>
      </c>
      <c r="Q166" s="28">
        <f t="shared" si="40"/>
        <v>247</v>
      </c>
      <c r="R166" s="28">
        <f t="shared" si="41"/>
        <v>182</v>
      </c>
      <c r="S166" s="28">
        <f t="shared" si="42"/>
        <v>10</v>
      </c>
      <c r="T166" s="28">
        <f t="shared" si="43"/>
        <v>600</v>
      </c>
      <c r="U166" s="29">
        <f t="shared" si="44"/>
        <v>0.26833333333333331</v>
      </c>
      <c r="V166" s="29">
        <f t="shared" si="45"/>
        <v>0.41166666666666668</v>
      </c>
      <c r="W166" s="29">
        <f t="shared" si="46"/>
        <v>0.30333333333333334</v>
      </c>
      <c r="X166" s="29">
        <f t="shared" si="47"/>
        <v>1.6666666666666666E-2</v>
      </c>
      <c r="Y166" s="30">
        <f t="shared" si="48"/>
        <v>33.383333333333333</v>
      </c>
    </row>
    <row r="167" spans="1:25" x14ac:dyDescent="0.25">
      <c r="A167" s="28" t="s">
        <v>294</v>
      </c>
      <c r="B167" s="28" t="s">
        <v>295</v>
      </c>
      <c r="C167" s="28" t="s">
        <v>206</v>
      </c>
      <c r="D167" s="28">
        <v>7</v>
      </c>
      <c r="E167" s="28">
        <v>2</v>
      </c>
      <c r="F167" s="28"/>
      <c r="G167" s="28">
        <v>6</v>
      </c>
      <c r="H167" s="28">
        <v>239</v>
      </c>
      <c r="I167" s="28">
        <v>155</v>
      </c>
      <c r="J167" s="28"/>
      <c r="K167" s="28">
        <v>200</v>
      </c>
      <c r="L167" s="28"/>
      <c r="M167" s="28">
        <v>602</v>
      </c>
      <c r="N167" s="30">
        <v>23.880398671096344</v>
      </c>
      <c r="O167" s="28" t="s">
        <v>234</v>
      </c>
      <c r="P167" s="28">
        <f t="shared" si="39"/>
        <v>200</v>
      </c>
      <c r="Q167" s="28">
        <f t="shared" si="40"/>
        <v>239</v>
      </c>
      <c r="R167" s="28">
        <f t="shared" si="41"/>
        <v>155</v>
      </c>
      <c r="S167" s="28">
        <f t="shared" si="42"/>
        <v>8</v>
      </c>
      <c r="T167" s="28">
        <f t="shared" si="43"/>
        <v>602</v>
      </c>
      <c r="U167" s="29">
        <f t="shared" si="44"/>
        <v>0.33222591362126247</v>
      </c>
      <c r="V167" s="29">
        <f t="shared" si="45"/>
        <v>0.39700996677740863</v>
      </c>
      <c r="W167" s="29">
        <f t="shared" si="46"/>
        <v>0.25747508305647843</v>
      </c>
      <c r="X167" s="29">
        <f t="shared" si="47"/>
        <v>1.3289036544850499E-2</v>
      </c>
      <c r="Y167" s="30">
        <f t="shared" si="48"/>
        <v>23.880398671096344</v>
      </c>
    </row>
    <row r="168" spans="1:25" x14ac:dyDescent="0.25">
      <c r="A168" s="28" t="s">
        <v>296</v>
      </c>
      <c r="B168" s="28" t="s">
        <v>297</v>
      </c>
      <c r="C168" s="28" t="s">
        <v>208</v>
      </c>
      <c r="D168" s="28">
        <v>1</v>
      </c>
      <c r="E168" s="28"/>
      <c r="F168" s="28">
        <v>1</v>
      </c>
      <c r="G168" s="28"/>
      <c r="H168" s="28">
        <v>258</v>
      </c>
      <c r="I168" s="28">
        <v>117</v>
      </c>
      <c r="J168" s="28">
        <v>11</v>
      </c>
      <c r="K168" s="28">
        <v>63</v>
      </c>
      <c r="L168" s="28"/>
      <c r="M168" s="28">
        <v>450</v>
      </c>
      <c r="N168" s="30">
        <v>77.346666666666664</v>
      </c>
      <c r="O168" s="28" t="s">
        <v>234</v>
      </c>
      <c r="P168" s="28">
        <f t="shared" si="39"/>
        <v>63</v>
      </c>
      <c r="Q168" s="28">
        <f t="shared" si="40"/>
        <v>258</v>
      </c>
      <c r="R168" s="28">
        <f t="shared" si="41"/>
        <v>117</v>
      </c>
      <c r="S168" s="28">
        <f t="shared" si="42"/>
        <v>12</v>
      </c>
      <c r="T168" s="28">
        <f t="shared" si="43"/>
        <v>450</v>
      </c>
      <c r="U168" s="29">
        <f t="shared" si="44"/>
        <v>0.14000000000000001</v>
      </c>
      <c r="V168" s="29">
        <f t="shared" si="45"/>
        <v>0.57333333333333336</v>
      </c>
      <c r="W168" s="29">
        <f t="shared" si="46"/>
        <v>0.26</v>
      </c>
      <c r="X168" s="29">
        <f t="shared" si="47"/>
        <v>2.6666666666666668E-2</v>
      </c>
      <c r="Y168" s="30">
        <f t="shared" si="48"/>
        <v>77.346666666666664</v>
      </c>
    </row>
    <row r="169" spans="1:25" x14ac:dyDescent="0.25">
      <c r="A169" s="28" t="s">
        <v>296</v>
      </c>
      <c r="B169" s="28" t="s">
        <v>297</v>
      </c>
      <c r="C169" s="28" t="s">
        <v>208</v>
      </c>
      <c r="D169" s="28">
        <v>2</v>
      </c>
      <c r="E169" s="28"/>
      <c r="F169" s="28">
        <v>1</v>
      </c>
      <c r="G169" s="28"/>
      <c r="H169" s="28">
        <v>229</v>
      </c>
      <c r="I169" s="28">
        <v>105</v>
      </c>
      <c r="J169" s="28">
        <v>8</v>
      </c>
      <c r="K169" s="28">
        <v>107</v>
      </c>
      <c r="L169" s="28"/>
      <c r="M169" s="28">
        <v>450</v>
      </c>
      <c r="N169" s="30">
        <v>68.24444444444444</v>
      </c>
      <c r="O169" s="28" t="s">
        <v>234</v>
      </c>
      <c r="P169" s="28">
        <f t="shared" si="39"/>
        <v>107</v>
      </c>
      <c r="Q169" s="28">
        <f t="shared" si="40"/>
        <v>229</v>
      </c>
      <c r="R169" s="28">
        <f t="shared" si="41"/>
        <v>105</v>
      </c>
      <c r="S169" s="28">
        <f t="shared" si="42"/>
        <v>9</v>
      </c>
      <c r="T169" s="28">
        <f t="shared" si="43"/>
        <v>450</v>
      </c>
      <c r="U169" s="29">
        <f t="shared" si="44"/>
        <v>0.23777777777777778</v>
      </c>
      <c r="V169" s="29">
        <f t="shared" si="45"/>
        <v>0.50888888888888884</v>
      </c>
      <c r="W169" s="29">
        <f t="shared" si="46"/>
        <v>0.23333333333333334</v>
      </c>
      <c r="X169" s="29">
        <f t="shared" si="47"/>
        <v>0.02</v>
      </c>
      <c r="Y169" s="30">
        <f t="shared" si="48"/>
        <v>68.24444444444444</v>
      </c>
    </row>
    <row r="170" spans="1:25" x14ac:dyDescent="0.25">
      <c r="A170" s="28" t="s">
        <v>296</v>
      </c>
      <c r="B170" s="28" t="s">
        <v>297</v>
      </c>
      <c r="C170" s="28" t="s">
        <v>208</v>
      </c>
      <c r="D170" s="28">
        <v>3</v>
      </c>
      <c r="E170" s="28"/>
      <c r="F170" s="28"/>
      <c r="G170" s="28">
        <v>1</v>
      </c>
      <c r="H170" s="28">
        <v>198</v>
      </c>
      <c r="I170" s="28">
        <v>112</v>
      </c>
      <c r="J170" s="28">
        <v>1</v>
      </c>
      <c r="K170" s="28">
        <v>138</v>
      </c>
      <c r="L170" s="28"/>
      <c r="M170" s="28">
        <v>450</v>
      </c>
      <c r="N170" s="30">
        <v>60.077777777777776</v>
      </c>
      <c r="O170" s="28" t="s">
        <v>234</v>
      </c>
      <c r="P170" s="28">
        <f t="shared" si="39"/>
        <v>138</v>
      </c>
      <c r="Q170" s="28">
        <f t="shared" si="40"/>
        <v>198</v>
      </c>
      <c r="R170" s="28">
        <f t="shared" si="41"/>
        <v>112</v>
      </c>
      <c r="S170" s="28">
        <f t="shared" si="42"/>
        <v>2</v>
      </c>
      <c r="T170" s="28">
        <f t="shared" si="43"/>
        <v>450</v>
      </c>
      <c r="U170" s="29">
        <f t="shared" si="44"/>
        <v>0.30666666666666664</v>
      </c>
      <c r="V170" s="29">
        <f t="shared" si="45"/>
        <v>0.44</v>
      </c>
      <c r="W170" s="29">
        <f t="shared" si="46"/>
        <v>0.24888888888888888</v>
      </c>
      <c r="X170" s="29">
        <f t="shared" si="47"/>
        <v>4.4444444444444444E-3</v>
      </c>
      <c r="Y170" s="30">
        <f t="shared" si="48"/>
        <v>60.077777777777776</v>
      </c>
    </row>
    <row r="171" spans="1:25" x14ac:dyDescent="0.25">
      <c r="A171" s="28" t="s">
        <v>296</v>
      </c>
      <c r="B171" s="28" t="s">
        <v>297</v>
      </c>
      <c r="C171" s="28" t="s">
        <v>208</v>
      </c>
      <c r="D171" s="28">
        <v>4</v>
      </c>
      <c r="E171" s="28"/>
      <c r="F171" s="28"/>
      <c r="G171" s="28">
        <v>1</v>
      </c>
      <c r="H171" s="28">
        <v>205</v>
      </c>
      <c r="I171" s="28">
        <v>110</v>
      </c>
      <c r="J171" s="28">
        <v>2</v>
      </c>
      <c r="K171" s="28">
        <v>171</v>
      </c>
      <c r="L171" s="28"/>
      <c r="M171" s="28">
        <v>489</v>
      </c>
      <c r="N171" s="30">
        <v>51.310838445807768</v>
      </c>
      <c r="O171" s="28" t="s">
        <v>234</v>
      </c>
      <c r="P171" s="28">
        <f t="shared" si="39"/>
        <v>171</v>
      </c>
      <c r="Q171" s="28">
        <f t="shared" si="40"/>
        <v>205</v>
      </c>
      <c r="R171" s="28">
        <f t="shared" si="41"/>
        <v>110</v>
      </c>
      <c r="S171" s="28">
        <f t="shared" si="42"/>
        <v>3</v>
      </c>
      <c r="T171" s="28">
        <f t="shared" si="43"/>
        <v>489</v>
      </c>
      <c r="U171" s="29">
        <f t="shared" si="44"/>
        <v>0.34969325153374231</v>
      </c>
      <c r="V171" s="29">
        <f t="shared" si="45"/>
        <v>0.41922290388548056</v>
      </c>
      <c r="W171" s="29">
        <f t="shared" si="46"/>
        <v>0.22494887525562371</v>
      </c>
      <c r="X171" s="29">
        <f t="shared" si="47"/>
        <v>6.1349693251533744E-3</v>
      </c>
      <c r="Y171" s="30">
        <f t="shared" si="48"/>
        <v>51.310838445807768</v>
      </c>
    </row>
    <row r="172" spans="1:25" x14ac:dyDescent="0.25">
      <c r="A172" s="28" t="s">
        <v>296</v>
      </c>
      <c r="B172" s="28" t="s">
        <v>297</v>
      </c>
      <c r="C172" s="28" t="s">
        <v>208</v>
      </c>
      <c r="D172" s="28">
        <v>5</v>
      </c>
      <c r="E172" s="28"/>
      <c r="F172" s="28"/>
      <c r="G172" s="28">
        <v>1</v>
      </c>
      <c r="H172" s="28">
        <v>206</v>
      </c>
      <c r="I172" s="28">
        <v>111</v>
      </c>
      <c r="J172" s="28"/>
      <c r="K172" s="28">
        <v>171</v>
      </c>
      <c r="L172" s="28"/>
      <c r="M172" s="28">
        <v>489</v>
      </c>
      <c r="N172" s="30">
        <v>41.942740286298566</v>
      </c>
      <c r="O172" s="28" t="s">
        <v>234</v>
      </c>
      <c r="P172" s="28">
        <f t="shared" si="39"/>
        <v>171</v>
      </c>
      <c r="Q172" s="28">
        <f t="shared" si="40"/>
        <v>206</v>
      </c>
      <c r="R172" s="28">
        <f t="shared" si="41"/>
        <v>111</v>
      </c>
      <c r="S172" s="28">
        <f t="shared" si="42"/>
        <v>1</v>
      </c>
      <c r="T172" s="28">
        <f t="shared" si="43"/>
        <v>489</v>
      </c>
      <c r="U172" s="29">
        <f t="shared" si="44"/>
        <v>0.34969325153374231</v>
      </c>
      <c r="V172" s="29">
        <f t="shared" si="45"/>
        <v>0.42126789366053169</v>
      </c>
      <c r="W172" s="29">
        <f t="shared" si="46"/>
        <v>0.22699386503067484</v>
      </c>
      <c r="X172" s="29">
        <f t="shared" si="47"/>
        <v>2.0449897750511249E-3</v>
      </c>
      <c r="Y172" s="30">
        <f t="shared" si="48"/>
        <v>41.942740286298566</v>
      </c>
    </row>
    <row r="173" spans="1:25" x14ac:dyDescent="0.25">
      <c r="A173" s="28" t="s">
        <v>296</v>
      </c>
      <c r="B173" s="28" t="s">
        <v>297</v>
      </c>
      <c r="C173" s="28" t="s">
        <v>208</v>
      </c>
      <c r="D173" s="28">
        <v>6</v>
      </c>
      <c r="E173" s="28"/>
      <c r="F173" s="28"/>
      <c r="G173" s="28">
        <v>2</v>
      </c>
      <c r="H173" s="28">
        <v>154</v>
      </c>
      <c r="I173" s="28">
        <v>100</v>
      </c>
      <c r="J173" s="28">
        <v>3</v>
      </c>
      <c r="K173" s="28">
        <v>231</v>
      </c>
      <c r="L173" s="28"/>
      <c r="M173" s="28">
        <v>490</v>
      </c>
      <c r="N173" s="30">
        <v>28.126530612244899</v>
      </c>
      <c r="O173" s="28" t="s">
        <v>234</v>
      </c>
      <c r="P173" s="28">
        <f t="shared" si="39"/>
        <v>231</v>
      </c>
      <c r="Q173" s="28">
        <f t="shared" si="40"/>
        <v>154</v>
      </c>
      <c r="R173" s="28">
        <f t="shared" si="41"/>
        <v>100</v>
      </c>
      <c r="S173" s="28">
        <f t="shared" si="42"/>
        <v>5</v>
      </c>
      <c r="T173" s="28">
        <f t="shared" si="43"/>
        <v>490</v>
      </c>
      <c r="U173" s="29">
        <f t="shared" si="44"/>
        <v>0.47142857142857142</v>
      </c>
      <c r="V173" s="29">
        <f t="shared" si="45"/>
        <v>0.31428571428571428</v>
      </c>
      <c r="W173" s="29">
        <f t="shared" si="46"/>
        <v>0.20408163265306123</v>
      </c>
      <c r="X173" s="29">
        <f t="shared" si="47"/>
        <v>1.020408163265306E-2</v>
      </c>
      <c r="Y173" s="30">
        <f t="shared" si="48"/>
        <v>28.126530612244899</v>
      </c>
    </row>
    <row r="174" spans="1:25" x14ac:dyDescent="0.25">
      <c r="A174" s="28" t="s">
        <v>296</v>
      </c>
      <c r="B174" s="28" t="s">
        <v>297</v>
      </c>
      <c r="C174" s="28" t="s">
        <v>209</v>
      </c>
      <c r="D174" s="28">
        <v>1</v>
      </c>
      <c r="E174" s="28">
        <v>1</v>
      </c>
      <c r="F174" s="28">
        <v>6</v>
      </c>
      <c r="G174" s="28">
        <v>1</v>
      </c>
      <c r="H174" s="28">
        <v>40</v>
      </c>
      <c r="I174" s="28">
        <v>210</v>
      </c>
      <c r="J174" s="28">
        <v>3</v>
      </c>
      <c r="K174" s="28">
        <v>189</v>
      </c>
      <c r="L174" s="28"/>
      <c r="M174" s="28">
        <v>450</v>
      </c>
      <c r="N174" s="30">
        <v>63.866666666666667</v>
      </c>
      <c r="O174" s="28" t="s">
        <v>234</v>
      </c>
      <c r="P174" s="28">
        <f t="shared" si="39"/>
        <v>189</v>
      </c>
      <c r="Q174" s="28">
        <f t="shared" si="40"/>
        <v>40</v>
      </c>
      <c r="R174" s="28">
        <f t="shared" si="41"/>
        <v>210</v>
      </c>
      <c r="S174" s="28">
        <f t="shared" si="42"/>
        <v>11</v>
      </c>
      <c r="T174" s="28">
        <f t="shared" si="43"/>
        <v>450</v>
      </c>
      <c r="U174" s="29">
        <f t="shared" si="44"/>
        <v>0.42</v>
      </c>
      <c r="V174" s="29">
        <f t="shared" si="45"/>
        <v>8.8888888888888892E-2</v>
      </c>
      <c r="W174" s="29">
        <f t="shared" si="46"/>
        <v>0.46666666666666667</v>
      </c>
      <c r="X174" s="29">
        <f t="shared" si="47"/>
        <v>2.4444444444444446E-2</v>
      </c>
      <c r="Y174" s="30">
        <f t="shared" si="48"/>
        <v>63.866666666666667</v>
      </c>
    </row>
    <row r="175" spans="1:25" x14ac:dyDescent="0.25">
      <c r="A175" s="28" t="s">
        <v>296</v>
      </c>
      <c r="B175" s="28" t="s">
        <v>297</v>
      </c>
      <c r="C175" s="28" t="s">
        <v>209</v>
      </c>
      <c r="D175" s="28">
        <v>2</v>
      </c>
      <c r="E175" s="28"/>
      <c r="F175" s="28">
        <v>9</v>
      </c>
      <c r="G175" s="28">
        <v>2</v>
      </c>
      <c r="H175" s="28">
        <v>45</v>
      </c>
      <c r="I175" s="28">
        <v>215</v>
      </c>
      <c r="J175" s="28">
        <v>7</v>
      </c>
      <c r="K175" s="28">
        <v>172</v>
      </c>
      <c r="L175" s="28"/>
      <c r="M175" s="28">
        <v>450</v>
      </c>
      <c r="N175" s="30">
        <v>54.568888888888885</v>
      </c>
      <c r="O175" s="28" t="s">
        <v>234</v>
      </c>
      <c r="P175" s="28">
        <f t="shared" si="39"/>
        <v>172</v>
      </c>
      <c r="Q175" s="28">
        <f t="shared" si="40"/>
        <v>45</v>
      </c>
      <c r="R175" s="28">
        <f t="shared" si="41"/>
        <v>215</v>
      </c>
      <c r="S175" s="28">
        <f t="shared" si="42"/>
        <v>18</v>
      </c>
      <c r="T175" s="28">
        <f t="shared" si="43"/>
        <v>450</v>
      </c>
      <c r="U175" s="29">
        <f t="shared" si="44"/>
        <v>0.38222222222222224</v>
      </c>
      <c r="V175" s="29">
        <f t="shared" si="45"/>
        <v>0.1</v>
      </c>
      <c r="W175" s="29">
        <f t="shared" si="46"/>
        <v>0.4777777777777778</v>
      </c>
      <c r="X175" s="29">
        <f t="shared" si="47"/>
        <v>0.04</v>
      </c>
      <c r="Y175" s="30">
        <f t="shared" si="48"/>
        <v>54.568888888888885</v>
      </c>
    </row>
    <row r="176" spans="1:25" x14ac:dyDescent="0.25">
      <c r="A176" s="28" t="s">
        <v>296</v>
      </c>
      <c r="B176" s="28" t="s">
        <v>297</v>
      </c>
      <c r="C176" s="28" t="s">
        <v>209</v>
      </c>
      <c r="D176" s="28">
        <v>3</v>
      </c>
      <c r="E176" s="28"/>
      <c r="F176" s="28">
        <v>13</v>
      </c>
      <c r="G176" s="28">
        <v>2</v>
      </c>
      <c r="H176" s="28">
        <v>86</v>
      </c>
      <c r="I176" s="28">
        <v>307</v>
      </c>
      <c r="J176" s="28">
        <v>1</v>
      </c>
      <c r="K176" s="28">
        <v>274</v>
      </c>
      <c r="L176" s="28"/>
      <c r="M176" s="28">
        <v>683</v>
      </c>
      <c r="N176" s="30">
        <v>41.30893118594436</v>
      </c>
      <c r="O176" s="28" t="s">
        <v>234</v>
      </c>
      <c r="P176" s="28">
        <f t="shared" si="39"/>
        <v>274</v>
      </c>
      <c r="Q176" s="28">
        <f t="shared" si="40"/>
        <v>86</v>
      </c>
      <c r="R176" s="28">
        <f t="shared" si="41"/>
        <v>307</v>
      </c>
      <c r="S176" s="28">
        <f t="shared" si="42"/>
        <v>16</v>
      </c>
      <c r="T176" s="28">
        <f t="shared" si="43"/>
        <v>683</v>
      </c>
      <c r="U176" s="29">
        <f t="shared" si="44"/>
        <v>0.40117130307467058</v>
      </c>
      <c r="V176" s="29">
        <f t="shared" si="45"/>
        <v>0.12591508052708639</v>
      </c>
      <c r="W176" s="29">
        <f t="shared" si="46"/>
        <v>0.44948755490483161</v>
      </c>
      <c r="X176" s="29">
        <f t="shared" si="47"/>
        <v>2.3426061493411421E-2</v>
      </c>
      <c r="Y176" s="30">
        <f t="shared" si="48"/>
        <v>41.30893118594436</v>
      </c>
    </row>
    <row r="177" spans="1:25" x14ac:dyDescent="0.25">
      <c r="A177" s="28" t="s">
        <v>296</v>
      </c>
      <c r="B177" s="28" t="s">
        <v>297</v>
      </c>
      <c r="C177" s="28" t="s">
        <v>209</v>
      </c>
      <c r="D177" s="28">
        <v>4</v>
      </c>
      <c r="E177" s="28"/>
      <c r="F177" s="28"/>
      <c r="G177" s="28"/>
      <c r="H177" s="28">
        <v>56</v>
      </c>
      <c r="I177" s="28">
        <v>252</v>
      </c>
      <c r="J177" s="28">
        <v>2</v>
      </c>
      <c r="K177" s="28">
        <v>373</v>
      </c>
      <c r="L177" s="28"/>
      <c r="M177" s="28">
        <v>683</v>
      </c>
      <c r="N177" s="30">
        <v>31.187408491947291</v>
      </c>
      <c r="O177" s="28" t="s">
        <v>234</v>
      </c>
      <c r="P177" s="28">
        <f t="shared" si="39"/>
        <v>373</v>
      </c>
      <c r="Q177" s="28">
        <f t="shared" si="40"/>
        <v>56</v>
      </c>
      <c r="R177" s="28">
        <f t="shared" si="41"/>
        <v>252</v>
      </c>
      <c r="S177" s="28">
        <f t="shared" si="42"/>
        <v>2</v>
      </c>
      <c r="T177" s="28">
        <f t="shared" si="43"/>
        <v>683</v>
      </c>
      <c r="U177" s="29">
        <f t="shared" si="44"/>
        <v>0.54612005856515378</v>
      </c>
      <c r="V177" s="29">
        <f t="shared" si="45"/>
        <v>8.1991215226939973E-2</v>
      </c>
      <c r="W177" s="29">
        <f t="shared" si="46"/>
        <v>0.36896046852122988</v>
      </c>
      <c r="X177" s="29">
        <f t="shared" si="47"/>
        <v>2.9282576866764276E-3</v>
      </c>
      <c r="Y177" s="30">
        <f t="shared" si="48"/>
        <v>31.187408491947291</v>
      </c>
    </row>
    <row r="178" spans="1:25" x14ac:dyDescent="0.25">
      <c r="A178" s="28" t="s">
        <v>296</v>
      </c>
      <c r="B178" s="28" t="s">
        <v>297</v>
      </c>
      <c r="C178" s="28" t="s">
        <v>209</v>
      </c>
      <c r="D178" s="28">
        <v>5</v>
      </c>
      <c r="E178" s="28">
        <v>1</v>
      </c>
      <c r="F178" s="28"/>
      <c r="G178" s="28">
        <v>1</v>
      </c>
      <c r="H178" s="28">
        <v>48</v>
      </c>
      <c r="I178" s="28">
        <v>238</v>
      </c>
      <c r="J178" s="28">
        <v>3</v>
      </c>
      <c r="K178" s="28">
        <v>394</v>
      </c>
      <c r="L178" s="28"/>
      <c r="M178" s="28">
        <v>685</v>
      </c>
      <c r="N178" s="30">
        <v>23</v>
      </c>
      <c r="O178" s="28" t="s">
        <v>234</v>
      </c>
      <c r="P178" s="28">
        <f t="shared" si="39"/>
        <v>394</v>
      </c>
      <c r="Q178" s="28">
        <f t="shared" si="40"/>
        <v>48</v>
      </c>
      <c r="R178" s="28">
        <f t="shared" si="41"/>
        <v>238</v>
      </c>
      <c r="S178" s="28">
        <f t="shared" si="42"/>
        <v>5</v>
      </c>
      <c r="T178" s="28">
        <f t="shared" si="43"/>
        <v>685</v>
      </c>
      <c r="U178" s="29">
        <f t="shared" si="44"/>
        <v>0.57518248175182485</v>
      </c>
      <c r="V178" s="29">
        <f t="shared" si="45"/>
        <v>7.0072992700729933E-2</v>
      </c>
      <c r="W178" s="29">
        <f t="shared" si="46"/>
        <v>0.34744525547445254</v>
      </c>
      <c r="X178" s="29">
        <f t="shared" si="47"/>
        <v>7.2992700729927005E-3</v>
      </c>
      <c r="Y178" s="30">
        <f t="shared" si="48"/>
        <v>23</v>
      </c>
    </row>
    <row r="179" spans="1:25" x14ac:dyDescent="0.25">
      <c r="A179" s="26"/>
      <c r="B179" s="26"/>
      <c r="C179" s="26"/>
      <c r="D179" s="26"/>
      <c r="E179" s="26">
        <v>97</v>
      </c>
      <c r="F179" s="26">
        <v>229</v>
      </c>
      <c r="G179" s="26">
        <v>645</v>
      </c>
      <c r="H179" s="26">
        <v>32919</v>
      </c>
      <c r="I179" s="26">
        <v>21727</v>
      </c>
      <c r="J179" s="26">
        <v>256</v>
      </c>
      <c r="K179" s="26">
        <v>48388</v>
      </c>
      <c r="L179" s="26">
        <v>189</v>
      </c>
      <c r="M179" s="26">
        <v>104450</v>
      </c>
      <c r="N179" s="32">
        <v>43.599585588925734</v>
      </c>
      <c r="O179" s="26"/>
      <c r="P179" s="28">
        <v>48388</v>
      </c>
      <c r="Q179" s="28">
        <v>32919</v>
      </c>
      <c r="R179" s="28">
        <v>21727</v>
      </c>
      <c r="S179" s="28">
        <v>1416</v>
      </c>
      <c r="T179" s="28">
        <v>104450</v>
      </c>
      <c r="U179" s="29">
        <v>0.46326471996170415</v>
      </c>
      <c r="V179" s="29">
        <v>0.31516515078985158</v>
      </c>
      <c r="W179" s="29">
        <v>0.20801340354236478</v>
      </c>
      <c r="X179" s="29">
        <v>1.3556725706079464E-2</v>
      </c>
      <c r="Y179" s="30">
        <v>43.599585588925734</v>
      </c>
    </row>
    <row r="181" spans="1:25" x14ac:dyDescent="0.25">
      <c r="A181" s="28" t="s">
        <v>232</v>
      </c>
      <c r="B181" s="28" t="s">
        <v>233</v>
      </c>
      <c r="C181" s="28" t="s">
        <v>235</v>
      </c>
      <c r="D181" s="28"/>
      <c r="E181" s="28"/>
      <c r="F181" s="28"/>
      <c r="G181" s="28"/>
      <c r="H181" s="28"/>
      <c r="I181" s="28">
        <v>1</v>
      </c>
      <c r="J181" s="28"/>
      <c r="K181" s="28"/>
      <c r="L181" s="28"/>
      <c r="M181" s="28">
        <v>1</v>
      </c>
      <c r="N181" s="30">
        <v>34</v>
      </c>
      <c r="O181" s="28" t="s">
        <v>234</v>
      </c>
      <c r="P181" s="28">
        <f t="shared" ref="P181:P191" si="49">K181</f>
        <v>0</v>
      </c>
      <c r="Q181" s="28">
        <f t="shared" ref="Q181:Q191" si="50">H181</f>
        <v>0</v>
      </c>
      <c r="R181" s="28">
        <f t="shared" ref="R181:R191" si="51">I181</f>
        <v>1</v>
      </c>
      <c r="S181" s="28">
        <f t="shared" ref="S181:S191" si="52">M181-SUM(P181:R181)</f>
        <v>0</v>
      </c>
      <c r="T181" s="28">
        <f t="shared" ref="T181:T191" si="53">SUM(P181:S181)</f>
        <v>1</v>
      </c>
      <c r="U181" s="29">
        <f t="shared" ref="U181:U191" si="54">P181/M181</f>
        <v>0</v>
      </c>
      <c r="V181" s="29">
        <f t="shared" ref="V181:V191" si="55">Q181/M181</f>
        <v>0</v>
      </c>
      <c r="W181" s="29">
        <f t="shared" ref="W181:W191" si="56">R181/M181</f>
        <v>1</v>
      </c>
      <c r="X181" s="29">
        <f t="shared" ref="X181:X191" si="57">S181/M181</f>
        <v>0</v>
      </c>
      <c r="Y181" s="30">
        <f t="shared" ref="Y181:Y191" si="58">N181</f>
        <v>34</v>
      </c>
    </row>
    <row r="182" spans="1:25" x14ac:dyDescent="0.25">
      <c r="A182" s="28" t="s">
        <v>236</v>
      </c>
      <c r="B182" s="28" t="s">
        <v>237</v>
      </c>
      <c r="C182" s="28" t="s">
        <v>235</v>
      </c>
      <c r="D182" s="28"/>
      <c r="E182" s="28"/>
      <c r="F182" s="28"/>
      <c r="G182" s="28"/>
      <c r="H182" s="28"/>
      <c r="I182" s="28"/>
      <c r="J182" s="28"/>
      <c r="K182" s="28">
        <v>1</v>
      </c>
      <c r="L182" s="28"/>
      <c r="M182" s="28">
        <v>1</v>
      </c>
      <c r="N182" s="30">
        <v>25</v>
      </c>
      <c r="O182" s="28" t="s">
        <v>234</v>
      </c>
      <c r="P182" s="28">
        <f t="shared" si="49"/>
        <v>1</v>
      </c>
      <c r="Q182" s="28">
        <f t="shared" si="50"/>
        <v>0</v>
      </c>
      <c r="R182" s="28">
        <f t="shared" si="51"/>
        <v>0</v>
      </c>
      <c r="S182" s="28">
        <f t="shared" si="52"/>
        <v>0</v>
      </c>
      <c r="T182" s="28">
        <f t="shared" si="53"/>
        <v>1</v>
      </c>
      <c r="U182" s="29">
        <f t="shared" si="54"/>
        <v>1</v>
      </c>
      <c r="V182" s="29">
        <f t="shared" si="55"/>
        <v>0</v>
      </c>
      <c r="W182" s="29">
        <f t="shared" si="56"/>
        <v>0</v>
      </c>
      <c r="X182" s="29">
        <f t="shared" si="57"/>
        <v>0</v>
      </c>
      <c r="Y182" s="30">
        <f t="shared" si="58"/>
        <v>25</v>
      </c>
    </row>
    <row r="183" spans="1:25" x14ac:dyDescent="0.25">
      <c r="A183" s="28" t="s">
        <v>242</v>
      </c>
      <c r="B183" s="28" t="s">
        <v>243</v>
      </c>
      <c r="C183" s="28" t="s">
        <v>235</v>
      </c>
      <c r="D183" s="28"/>
      <c r="E183" s="28"/>
      <c r="F183" s="28"/>
      <c r="G183" s="28"/>
      <c r="H183" s="28">
        <v>1</v>
      </c>
      <c r="I183" s="28"/>
      <c r="J183" s="28"/>
      <c r="K183" s="28"/>
      <c r="L183" s="28"/>
      <c r="M183" s="28">
        <v>1</v>
      </c>
      <c r="N183" s="30">
        <v>33</v>
      </c>
      <c r="O183" s="28" t="s">
        <v>234</v>
      </c>
      <c r="P183" s="28">
        <f t="shared" si="49"/>
        <v>0</v>
      </c>
      <c r="Q183" s="28">
        <f t="shared" si="50"/>
        <v>1</v>
      </c>
      <c r="R183" s="28">
        <f t="shared" si="51"/>
        <v>0</v>
      </c>
      <c r="S183" s="28">
        <f t="shared" si="52"/>
        <v>0</v>
      </c>
      <c r="T183" s="28">
        <f t="shared" si="53"/>
        <v>1</v>
      </c>
      <c r="U183" s="29">
        <f t="shared" si="54"/>
        <v>0</v>
      </c>
      <c r="V183" s="29">
        <f t="shared" si="55"/>
        <v>1</v>
      </c>
      <c r="W183" s="29">
        <f t="shared" si="56"/>
        <v>0</v>
      </c>
      <c r="X183" s="29">
        <f t="shared" si="57"/>
        <v>0</v>
      </c>
      <c r="Y183" s="30">
        <f t="shared" si="58"/>
        <v>33</v>
      </c>
    </row>
    <row r="184" spans="1:25" x14ac:dyDescent="0.25">
      <c r="A184" s="28" t="s">
        <v>248</v>
      </c>
      <c r="B184" s="28" t="s">
        <v>249</v>
      </c>
      <c r="C184" s="28" t="s">
        <v>235</v>
      </c>
      <c r="D184" s="28"/>
      <c r="E184" s="28"/>
      <c r="F184" s="28"/>
      <c r="G184" s="28"/>
      <c r="H184" s="28">
        <v>1</v>
      </c>
      <c r="I184" s="28"/>
      <c r="J184" s="28"/>
      <c r="K184" s="28"/>
      <c r="L184" s="28"/>
      <c r="M184" s="28">
        <v>1</v>
      </c>
      <c r="N184" s="30">
        <v>34</v>
      </c>
      <c r="O184" s="28" t="s">
        <v>234</v>
      </c>
      <c r="P184" s="28">
        <f t="shared" si="49"/>
        <v>0</v>
      </c>
      <c r="Q184" s="28">
        <f t="shared" si="50"/>
        <v>1</v>
      </c>
      <c r="R184" s="28">
        <f t="shared" si="51"/>
        <v>0</v>
      </c>
      <c r="S184" s="28">
        <f t="shared" si="52"/>
        <v>0</v>
      </c>
      <c r="T184" s="28">
        <f t="shared" si="53"/>
        <v>1</v>
      </c>
      <c r="U184" s="29">
        <f t="shared" si="54"/>
        <v>0</v>
      </c>
      <c r="V184" s="29">
        <f t="shared" si="55"/>
        <v>1</v>
      </c>
      <c r="W184" s="29">
        <f t="shared" si="56"/>
        <v>0</v>
      </c>
      <c r="X184" s="29">
        <f t="shared" si="57"/>
        <v>0</v>
      </c>
      <c r="Y184" s="30">
        <f t="shared" si="58"/>
        <v>34</v>
      </c>
    </row>
    <row r="185" spans="1:25" x14ac:dyDescent="0.25">
      <c r="A185" s="28" t="s">
        <v>252</v>
      </c>
      <c r="B185" s="28" t="s">
        <v>253</v>
      </c>
      <c r="C185" s="28" t="s">
        <v>235</v>
      </c>
      <c r="D185" s="28"/>
      <c r="E185" s="28"/>
      <c r="F185" s="28"/>
      <c r="G185" s="28"/>
      <c r="H185" s="28">
        <v>1</v>
      </c>
      <c r="I185" s="28"/>
      <c r="J185" s="28"/>
      <c r="K185" s="28"/>
      <c r="L185" s="28"/>
      <c r="M185" s="28">
        <v>1</v>
      </c>
      <c r="N185" s="30">
        <v>31</v>
      </c>
      <c r="O185" s="28" t="s">
        <v>234</v>
      </c>
      <c r="P185" s="28">
        <f t="shared" si="49"/>
        <v>0</v>
      </c>
      <c r="Q185" s="28">
        <f t="shared" si="50"/>
        <v>1</v>
      </c>
      <c r="R185" s="28">
        <f t="shared" si="51"/>
        <v>0</v>
      </c>
      <c r="S185" s="28">
        <f t="shared" si="52"/>
        <v>0</v>
      </c>
      <c r="T185" s="28">
        <f t="shared" si="53"/>
        <v>1</v>
      </c>
      <c r="U185" s="29">
        <f t="shared" si="54"/>
        <v>0</v>
      </c>
      <c r="V185" s="29">
        <f t="shared" si="55"/>
        <v>1</v>
      </c>
      <c r="W185" s="29">
        <f t="shared" si="56"/>
        <v>0</v>
      </c>
      <c r="X185" s="29">
        <f t="shared" si="57"/>
        <v>0</v>
      </c>
      <c r="Y185" s="30">
        <f t="shared" si="58"/>
        <v>31</v>
      </c>
    </row>
    <row r="186" spans="1:25" x14ac:dyDescent="0.25">
      <c r="A186" s="28" t="s">
        <v>272</v>
      </c>
      <c r="B186" s="28" t="s">
        <v>273</v>
      </c>
      <c r="C186" s="28" t="s">
        <v>235</v>
      </c>
      <c r="D186" s="28"/>
      <c r="E186" s="28"/>
      <c r="F186" s="28"/>
      <c r="G186" s="28"/>
      <c r="H186" s="28"/>
      <c r="I186" s="28"/>
      <c r="J186" s="28"/>
      <c r="K186" s="28">
        <v>1</v>
      </c>
      <c r="L186" s="28"/>
      <c r="M186" s="28">
        <v>1</v>
      </c>
      <c r="N186" s="30">
        <v>62</v>
      </c>
      <c r="O186" s="28" t="s">
        <v>234</v>
      </c>
      <c r="P186" s="28">
        <f t="shared" si="49"/>
        <v>1</v>
      </c>
      <c r="Q186" s="28">
        <f t="shared" si="50"/>
        <v>0</v>
      </c>
      <c r="R186" s="28">
        <f t="shared" si="51"/>
        <v>0</v>
      </c>
      <c r="S186" s="28">
        <f t="shared" si="52"/>
        <v>0</v>
      </c>
      <c r="T186" s="28">
        <f t="shared" si="53"/>
        <v>1</v>
      </c>
      <c r="U186" s="29">
        <f t="shared" si="54"/>
        <v>1</v>
      </c>
      <c r="V186" s="29">
        <f t="shared" si="55"/>
        <v>0</v>
      </c>
      <c r="W186" s="29">
        <f t="shared" si="56"/>
        <v>0</v>
      </c>
      <c r="X186" s="29">
        <f t="shared" si="57"/>
        <v>0</v>
      </c>
      <c r="Y186" s="30">
        <f t="shared" si="58"/>
        <v>62</v>
      </c>
    </row>
    <row r="187" spans="1:25" x14ac:dyDescent="0.25">
      <c r="A187" s="28" t="s">
        <v>278</v>
      </c>
      <c r="B187" s="28" t="s">
        <v>279</v>
      </c>
      <c r="C187" s="28" t="s">
        <v>235</v>
      </c>
      <c r="D187" s="28"/>
      <c r="E187" s="28"/>
      <c r="F187" s="28"/>
      <c r="G187" s="28"/>
      <c r="H187" s="28"/>
      <c r="I187" s="28"/>
      <c r="J187" s="28"/>
      <c r="K187" s="28">
        <v>1</v>
      </c>
      <c r="L187" s="28"/>
      <c r="M187" s="28">
        <v>1</v>
      </c>
      <c r="N187" s="30">
        <v>34</v>
      </c>
      <c r="O187" s="28" t="s">
        <v>234</v>
      </c>
      <c r="P187" s="28">
        <f t="shared" si="49"/>
        <v>1</v>
      </c>
      <c r="Q187" s="28">
        <f t="shared" si="50"/>
        <v>0</v>
      </c>
      <c r="R187" s="28">
        <f t="shared" si="51"/>
        <v>0</v>
      </c>
      <c r="S187" s="28">
        <f t="shared" si="52"/>
        <v>0</v>
      </c>
      <c r="T187" s="28">
        <f t="shared" si="53"/>
        <v>1</v>
      </c>
      <c r="U187" s="29">
        <f t="shared" si="54"/>
        <v>1</v>
      </c>
      <c r="V187" s="29">
        <f t="shared" si="55"/>
        <v>0</v>
      </c>
      <c r="W187" s="29">
        <f t="shared" si="56"/>
        <v>0</v>
      </c>
      <c r="X187" s="29">
        <f t="shared" si="57"/>
        <v>0</v>
      </c>
      <c r="Y187" s="30">
        <f t="shared" si="58"/>
        <v>34</v>
      </c>
    </row>
    <row r="188" spans="1:25" x14ac:dyDescent="0.25">
      <c r="A188" s="28" t="s">
        <v>286</v>
      </c>
      <c r="B188" s="28" t="s">
        <v>287</v>
      </c>
      <c r="C188" s="28" t="s">
        <v>235</v>
      </c>
      <c r="D188" s="28"/>
      <c r="E188" s="28"/>
      <c r="F188" s="28"/>
      <c r="G188" s="28"/>
      <c r="H188" s="28"/>
      <c r="I188" s="28"/>
      <c r="J188" s="28"/>
      <c r="K188" s="28">
        <v>1</v>
      </c>
      <c r="L188" s="28"/>
      <c r="M188" s="28">
        <v>1</v>
      </c>
      <c r="N188" s="30">
        <v>66</v>
      </c>
      <c r="O188" s="28" t="s">
        <v>234</v>
      </c>
      <c r="P188" s="28">
        <f t="shared" si="49"/>
        <v>1</v>
      </c>
      <c r="Q188" s="28">
        <f t="shared" si="50"/>
        <v>0</v>
      </c>
      <c r="R188" s="28">
        <f t="shared" si="51"/>
        <v>0</v>
      </c>
      <c r="S188" s="28">
        <f t="shared" si="52"/>
        <v>0</v>
      </c>
      <c r="T188" s="28">
        <f t="shared" si="53"/>
        <v>1</v>
      </c>
      <c r="U188" s="29">
        <f t="shared" si="54"/>
        <v>1</v>
      </c>
      <c r="V188" s="29">
        <f t="shared" si="55"/>
        <v>0</v>
      </c>
      <c r="W188" s="29">
        <f t="shared" si="56"/>
        <v>0</v>
      </c>
      <c r="X188" s="29">
        <f t="shared" si="57"/>
        <v>0</v>
      </c>
      <c r="Y188" s="30">
        <f t="shared" si="58"/>
        <v>66</v>
      </c>
    </row>
    <row r="189" spans="1:25" x14ac:dyDescent="0.25">
      <c r="A189" s="28" t="s">
        <v>290</v>
      </c>
      <c r="B189" s="28" t="s">
        <v>291</v>
      </c>
      <c r="C189" s="28" t="s">
        <v>235</v>
      </c>
      <c r="D189" s="28"/>
      <c r="E189" s="28"/>
      <c r="F189" s="28"/>
      <c r="G189" s="28"/>
      <c r="H189" s="28"/>
      <c r="I189" s="28"/>
      <c r="J189" s="28"/>
      <c r="K189" s="28">
        <v>2</v>
      </c>
      <c r="L189" s="28"/>
      <c r="M189" s="28">
        <v>2</v>
      </c>
      <c r="N189" s="30">
        <v>45</v>
      </c>
      <c r="O189" s="28" t="s">
        <v>234</v>
      </c>
      <c r="P189" s="28">
        <f t="shared" si="49"/>
        <v>2</v>
      </c>
      <c r="Q189" s="28">
        <f t="shared" si="50"/>
        <v>0</v>
      </c>
      <c r="R189" s="28">
        <f t="shared" si="51"/>
        <v>0</v>
      </c>
      <c r="S189" s="28">
        <f t="shared" si="52"/>
        <v>0</v>
      </c>
      <c r="T189" s="28">
        <f t="shared" si="53"/>
        <v>2</v>
      </c>
      <c r="U189" s="29">
        <f t="shared" si="54"/>
        <v>1</v>
      </c>
      <c r="V189" s="29">
        <f t="shared" si="55"/>
        <v>0</v>
      </c>
      <c r="W189" s="29">
        <f t="shared" si="56"/>
        <v>0</v>
      </c>
      <c r="X189" s="29">
        <f t="shared" si="57"/>
        <v>0</v>
      </c>
      <c r="Y189" s="30">
        <f t="shared" si="58"/>
        <v>45</v>
      </c>
    </row>
    <row r="190" spans="1:25" x14ac:dyDescent="0.25">
      <c r="A190" s="28" t="s">
        <v>296</v>
      </c>
      <c r="B190" s="28" t="s">
        <v>297</v>
      </c>
      <c r="C190" s="28" t="s">
        <v>235</v>
      </c>
      <c r="D190" s="28"/>
      <c r="E190" s="28"/>
      <c r="F190" s="28"/>
      <c r="G190" s="28">
        <v>1</v>
      </c>
      <c r="H190" s="28"/>
      <c r="I190" s="28"/>
      <c r="J190" s="28"/>
      <c r="K190" s="28">
        <v>2</v>
      </c>
      <c r="L190" s="28"/>
      <c r="M190" s="28">
        <v>3</v>
      </c>
      <c r="N190" s="30">
        <v>52.666666666666664</v>
      </c>
      <c r="O190" s="28" t="s">
        <v>234</v>
      </c>
      <c r="P190" s="28">
        <f t="shared" si="49"/>
        <v>2</v>
      </c>
      <c r="Q190" s="28">
        <f t="shared" si="50"/>
        <v>0</v>
      </c>
      <c r="R190" s="28">
        <f t="shared" si="51"/>
        <v>0</v>
      </c>
      <c r="S190" s="28">
        <f t="shared" si="52"/>
        <v>1</v>
      </c>
      <c r="T190" s="28">
        <f t="shared" si="53"/>
        <v>3</v>
      </c>
      <c r="U190" s="29">
        <f t="shared" si="54"/>
        <v>0.66666666666666663</v>
      </c>
      <c r="V190" s="29">
        <f t="shared" si="55"/>
        <v>0</v>
      </c>
      <c r="W190" s="29">
        <f t="shared" si="56"/>
        <v>0</v>
      </c>
      <c r="X190" s="29">
        <f t="shared" si="57"/>
        <v>0.33333333333333331</v>
      </c>
      <c r="Y190" s="30">
        <f t="shared" si="58"/>
        <v>52.666666666666664</v>
      </c>
    </row>
    <row r="191" spans="1:25" x14ac:dyDescent="0.25">
      <c r="A191" s="26"/>
      <c r="B191" s="26"/>
      <c r="C191" s="34" t="s">
        <v>308</v>
      </c>
      <c r="D191" s="26"/>
      <c r="E191" s="26">
        <f>SUM(E181:E190)</f>
        <v>0</v>
      </c>
      <c r="F191" s="26">
        <f t="shared" ref="F191:M191" si="59">SUM(F181:F190)</f>
        <v>0</v>
      </c>
      <c r="G191" s="26">
        <f t="shared" si="59"/>
        <v>1</v>
      </c>
      <c r="H191" s="26">
        <f t="shared" si="59"/>
        <v>3</v>
      </c>
      <c r="I191" s="26">
        <f t="shared" si="59"/>
        <v>1</v>
      </c>
      <c r="J191" s="26">
        <f t="shared" si="59"/>
        <v>0</v>
      </c>
      <c r="K191" s="26">
        <f t="shared" si="59"/>
        <v>8</v>
      </c>
      <c r="L191" s="26">
        <f t="shared" si="59"/>
        <v>0</v>
      </c>
      <c r="M191" s="26">
        <f t="shared" si="59"/>
        <v>13</v>
      </c>
      <c r="N191" s="32">
        <f>AVERAGE(N181:N190)</f>
        <v>41.666666666666671</v>
      </c>
      <c r="O191" s="26"/>
      <c r="P191" s="28">
        <f t="shared" si="49"/>
        <v>8</v>
      </c>
      <c r="Q191" s="28">
        <f t="shared" si="50"/>
        <v>3</v>
      </c>
      <c r="R191" s="28">
        <f t="shared" si="51"/>
        <v>1</v>
      </c>
      <c r="S191" s="28">
        <f t="shared" si="52"/>
        <v>1</v>
      </c>
      <c r="T191" s="28">
        <f t="shared" si="53"/>
        <v>13</v>
      </c>
      <c r="U191" s="29">
        <f t="shared" si="54"/>
        <v>0.61538461538461542</v>
      </c>
      <c r="V191" s="29">
        <f t="shared" si="55"/>
        <v>0.23076923076923078</v>
      </c>
      <c r="W191" s="29">
        <f t="shared" si="56"/>
        <v>7.6923076923076927E-2</v>
      </c>
      <c r="X191" s="29">
        <f t="shared" si="57"/>
        <v>7.6923076923076927E-2</v>
      </c>
      <c r="Y191" s="30">
        <f t="shared" si="58"/>
        <v>41.666666666666671</v>
      </c>
    </row>
    <row r="193" spans="1:25" x14ac:dyDescent="0.25">
      <c r="A193" s="28" t="s">
        <v>232</v>
      </c>
      <c r="B193" s="28" t="s">
        <v>233</v>
      </c>
      <c r="C193" s="28" t="s">
        <v>124</v>
      </c>
      <c r="D193" s="28">
        <v>1</v>
      </c>
      <c r="E193" s="28"/>
      <c r="F193" s="28"/>
      <c r="G193" s="28"/>
      <c r="H193" s="28"/>
      <c r="I193" s="28"/>
      <c r="J193" s="28"/>
      <c r="K193" s="28">
        <v>9</v>
      </c>
      <c r="L193" s="28"/>
      <c r="M193" s="28">
        <v>9</v>
      </c>
      <c r="N193" s="30">
        <v>34</v>
      </c>
      <c r="O193" s="28" t="s">
        <v>234</v>
      </c>
      <c r="P193" s="28">
        <f t="shared" ref="P193" si="60">K193</f>
        <v>9</v>
      </c>
      <c r="Q193" s="28">
        <f t="shared" ref="Q193:R193" si="61">H193</f>
        <v>0</v>
      </c>
      <c r="R193" s="28">
        <f t="shared" si="61"/>
        <v>0</v>
      </c>
      <c r="S193" s="28">
        <f t="shared" ref="S193" si="62">M193-SUM(P193:R193)</f>
        <v>0</v>
      </c>
      <c r="T193" s="28">
        <f t="shared" ref="T193" si="63">SUM(P193:S193)</f>
        <v>9</v>
      </c>
      <c r="U193" s="29">
        <f t="shared" ref="U193" si="64">P193/M193</f>
        <v>1</v>
      </c>
      <c r="V193" s="29">
        <f t="shared" ref="V193" si="65">Q193/M193</f>
        <v>0</v>
      </c>
      <c r="W193" s="29">
        <f t="shared" ref="W193" si="66">R193/M193</f>
        <v>0</v>
      </c>
      <c r="X193" s="29">
        <f t="shared" ref="X193" si="67">S193/M193</f>
        <v>0</v>
      </c>
      <c r="Y193" s="30">
        <f t="shared" ref="Y193" si="68">N193</f>
        <v>34</v>
      </c>
    </row>
    <row r="194" spans="1:25" x14ac:dyDescent="0.25">
      <c r="A194" s="28" t="s">
        <v>238</v>
      </c>
      <c r="B194" s="28" t="s">
        <v>239</v>
      </c>
      <c r="C194" s="28" t="s">
        <v>124</v>
      </c>
      <c r="D194" s="28">
        <v>1</v>
      </c>
      <c r="E194" s="28"/>
      <c r="F194" s="28"/>
      <c r="G194" s="28">
        <v>1</v>
      </c>
      <c r="H194" s="28"/>
      <c r="I194" s="28"/>
      <c r="J194" s="28"/>
      <c r="K194" s="28">
        <v>8</v>
      </c>
      <c r="L194" s="28"/>
      <c r="M194" s="28">
        <v>9</v>
      </c>
      <c r="N194" s="30">
        <v>33.888888888888886</v>
      </c>
      <c r="O194" s="28" t="s">
        <v>234</v>
      </c>
      <c r="P194" s="28">
        <f t="shared" ref="P194:P220" si="69">K194</f>
        <v>8</v>
      </c>
      <c r="Q194" s="28">
        <f t="shared" ref="Q194:Q220" si="70">H194</f>
        <v>0</v>
      </c>
      <c r="R194" s="28">
        <f t="shared" ref="R194:R220" si="71">I194</f>
        <v>0</v>
      </c>
      <c r="S194" s="28">
        <f t="shared" ref="S194:S220" si="72">M194-SUM(P194:R194)</f>
        <v>1</v>
      </c>
      <c r="T194" s="28">
        <f t="shared" ref="T194:T220" si="73">SUM(P194:S194)</f>
        <v>9</v>
      </c>
      <c r="U194" s="29">
        <f t="shared" ref="U194:U220" si="74">P194/M194</f>
        <v>0.88888888888888884</v>
      </c>
      <c r="V194" s="29">
        <f t="shared" ref="V194:V220" si="75">Q194/M194</f>
        <v>0</v>
      </c>
      <c r="W194" s="29">
        <f t="shared" ref="W194:W220" si="76">R194/M194</f>
        <v>0</v>
      </c>
      <c r="X194" s="29">
        <f t="shared" ref="X194:X220" si="77">S194/M194</f>
        <v>0.1111111111111111</v>
      </c>
      <c r="Y194" s="30">
        <f t="shared" ref="Y194:Y220" si="78">N194</f>
        <v>33.888888888888886</v>
      </c>
    </row>
    <row r="195" spans="1:25" x14ac:dyDescent="0.25">
      <c r="A195" s="28" t="s">
        <v>242</v>
      </c>
      <c r="B195" s="28" t="s">
        <v>243</v>
      </c>
      <c r="C195" s="28" t="s">
        <v>124</v>
      </c>
      <c r="D195" s="28">
        <v>1</v>
      </c>
      <c r="E195" s="28"/>
      <c r="F195" s="28"/>
      <c r="G195" s="28">
        <v>1</v>
      </c>
      <c r="H195" s="28"/>
      <c r="I195" s="28">
        <v>1</v>
      </c>
      <c r="J195" s="28"/>
      <c r="K195" s="28">
        <v>9</v>
      </c>
      <c r="L195" s="28"/>
      <c r="M195" s="28">
        <v>11</v>
      </c>
      <c r="N195" s="30">
        <v>39.454545454545453</v>
      </c>
      <c r="O195" s="28" t="s">
        <v>234</v>
      </c>
      <c r="P195" s="28">
        <f t="shared" si="69"/>
        <v>9</v>
      </c>
      <c r="Q195" s="28">
        <f t="shared" si="70"/>
        <v>0</v>
      </c>
      <c r="R195" s="28">
        <f t="shared" si="71"/>
        <v>1</v>
      </c>
      <c r="S195" s="28">
        <f t="shared" si="72"/>
        <v>1</v>
      </c>
      <c r="T195" s="28">
        <f t="shared" si="73"/>
        <v>11</v>
      </c>
      <c r="U195" s="29">
        <f t="shared" si="74"/>
        <v>0.81818181818181823</v>
      </c>
      <c r="V195" s="29">
        <f t="shared" si="75"/>
        <v>0</v>
      </c>
      <c r="W195" s="29">
        <f t="shared" si="76"/>
        <v>9.0909090909090912E-2</v>
      </c>
      <c r="X195" s="29">
        <f t="shared" si="77"/>
        <v>9.0909090909090912E-2</v>
      </c>
      <c r="Y195" s="30">
        <f t="shared" si="78"/>
        <v>39.454545454545453</v>
      </c>
    </row>
    <row r="196" spans="1:25" x14ac:dyDescent="0.25">
      <c r="A196" s="26"/>
      <c r="B196" s="26"/>
      <c r="C196" s="26" t="str">
        <f>C195</f>
        <v>BILIK MAKLUMAT, BALAI POLIS PORT DICKSON (DUN CHUAH)</v>
      </c>
      <c r="D196" s="26">
        <f>D195</f>
        <v>1</v>
      </c>
      <c r="E196" s="26">
        <f>SUM(E193:E195)</f>
        <v>0</v>
      </c>
      <c r="F196" s="26">
        <f t="shared" ref="F196:M196" si="79">SUM(F193:F195)</f>
        <v>0</v>
      </c>
      <c r="G196" s="26">
        <f t="shared" si="79"/>
        <v>2</v>
      </c>
      <c r="H196" s="26">
        <f t="shared" si="79"/>
        <v>0</v>
      </c>
      <c r="I196" s="26">
        <f t="shared" si="79"/>
        <v>1</v>
      </c>
      <c r="J196" s="26">
        <f t="shared" si="79"/>
        <v>0</v>
      </c>
      <c r="K196" s="26">
        <f t="shared" si="79"/>
        <v>26</v>
      </c>
      <c r="L196" s="26">
        <f t="shared" si="79"/>
        <v>0</v>
      </c>
      <c r="M196" s="26">
        <f t="shared" si="79"/>
        <v>29</v>
      </c>
      <c r="N196" s="32">
        <f>AVERAGE(N193:N195)</f>
        <v>35.781144781144782</v>
      </c>
      <c r="O196" s="26"/>
      <c r="P196" s="28">
        <f t="shared" si="69"/>
        <v>26</v>
      </c>
      <c r="Q196" s="28">
        <f t="shared" si="70"/>
        <v>0</v>
      </c>
      <c r="R196" s="28">
        <f t="shared" si="71"/>
        <v>1</v>
      </c>
      <c r="S196" s="28">
        <f t="shared" si="72"/>
        <v>2</v>
      </c>
      <c r="T196" s="28">
        <f t="shared" si="73"/>
        <v>29</v>
      </c>
      <c r="U196" s="29">
        <f t="shared" si="74"/>
        <v>0.89655172413793105</v>
      </c>
      <c r="V196" s="29">
        <f t="shared" si="75"/>
        <v>0</v>
      </c>
      <c r="W196" s="29">
        <f t="shared" si="76"/>
        <v>3.4482758620689655E-2</v>
      </c>
      <c r="X196" s="29">
        <f t="shared" si="77"/>
        <v>6.8965517241379309E-2</v>
      </c>
      <c r="Y196" s="30">
        <f t="shared" si="78"/>
        <v>35.781144781144782</v>
      </c>
    </row>
    <row r="197" spans="1:25" x14ac:dyDescent="0.25">
      <c r="A197" s="28" t="s">
        <v>252</v>
      </c>
      <c r="B197" s="28" t="s">
        <v>253</v>
      </c>
      <c r="C197" s="28" t="s">
        <v>126</v>
      </c>
      <c r="D197" s="28">
        <v>1</v>
      </c>
      <c r="E197" s="28"/>
      <c r="F197" s="28"/>
      <c r="G197" s="28"/>
      <c r="H197" s="28"/>
      <c r="I197" s="28"/>
      <c r="J197" s="28"/>
      <c r="K197" s="28">
        <v>25</v>
      </c>
      <c r="L197" s="28"/>
      <c r="M197" s="28">
        <v>25</v>
      </c>
      <c r="N197" s="30">
        <v>34.68</v>
      </c>
      <c r="O197" s="28" t="s">
        <v>234</v>
      </c>
      <c r="P197" s="28">
        <f t="shared" si="69"/>
        <v>25</v>
      </c>
      <c r="Q197" s="28">
        <f t="shared" si="70"/>
        <v>0</v>
      </c>
      <c r="R197" s="28">
        <f t="shared" si="71"/>
        <v>0</v>
      </c>
      <c r="S197" s="28">
        <f t="shared" si="72"/>
        <v>0</v>
      </c>
      <c r="T197" s="28">
        <f t="shared" si="73"/>
        <v>25</v>
      </c>
      <c r="U197" s="29">
        <f t="shared" si="74"/>
        <v>1</v>
      </c>
      <c r="V197" s="29">
        <f t="shared" si="75"/>
        <v>0</v>
      </c>
      <c r="W197" s="29">
        <f t="shared" si="76"/>
        <v>0</v>
      </c>
      <c r="X197" s="29">
        <f t="shared" si="77"/>
        <v>0</v>
      </c>
      <c r="Y197" s="30">
        <f t="shared" si="78"/>
        <v>34.68</v>
      </c>
    </row>
    <row r="198" spans="1:25" x14ac:dyDescent="0.25">
      <c r="A198" s="28" t="s">
        <v>270</v>
      </c>
      <c r="B198" s="28" t="s">
        <v>271</v>
      </c>
      <c r="C198" s="28" t="s">
        <v>128</v>
      </c>
      <c r="D198" s="28">
        <v>1</v>
      </c>
      <c r="E198" s="28"/>
      <c r="F198" s="28"/>
      <c r="G198" s="28">
        <v>2</v>
      </c>
      <c r="H198" s="28"/>
      <c r="I198" s="28">
        <v>1</v>
      </c>
      <c r="J198" s="28"/>
      <c r="K198" s="28">
        <v>29</v>
      </c>
      <c r="L198" s="28"/>
      <c r="M198" s="28">
        <v>32</v>
      </c>
      <c r="N198" s="30">
        <v>35.15625</v>
      </c>
      <c r="O198" s="28" t="s">
        <v>234</v>
      </c>
      <c r="P198" s="28">
        <f t="shared" si="69"/>
        <v>29</v>
      </c>
      <c r="Q198" s="28">
        <f t="shared" si="70"/>
        <v>0</v>
      </c>
      <c r="R198" s="28">
        <f t="shared" si="71"/>
        <v>1</v>
      </c>
      <c r="S198" s="28">
        <f t="shared" si="72"/>
        <v>2</v>
      </c>
      <c r="T198" s="28">
        <f t="shared" si="73"/>
        <v>32</v>
      </c>
      <c r="U198" s="29">
        <f t="shared" si="74"/>
        <v>0.90625</v>
      </c>
      <c r="V198" s="29">
        <f t="shared" si="75"/>
        <v>0</v>
      </c>
      <c r="W198" s="29">
        <f t="shared" si="76"/>
        <v>3.125E-2</v>
      </c>
      <c r="X198" s="29">
        <f t="shared" si="77"/>
        <v>6.25E-2</v>
      </c>
      <c r="Y198" s="30">
        <f t="shared" si="78"/>
        <v>35.15625</v>
      </c>
    </row>
    <row r="199" spans="1:25" x14ac:dyDescent="0.25">
      <c r="A199" s="28" t="s">
        <v>272</v>
      </c>
      <c r="B199" s="28" t="s">
        <v>273</v>
      </c>
      <c r="C199" s="28" t="s">
        <v>128</v>
      </c>
      <c r="D199" s="28">
        <v>1</v>
      </c>
      <c r="E199" s="28"/>
      <c r="F199" s="28">
        <v>1</v>
      </c>
      <c r="G199" s="28"/>
      <c r="H199" s="28">
        <v>1</v>
      </c>
      <c r="I199" s="28">
        <v>1</v>
      </c>
      <c r="J199" s="28"/>
      <c r="K199" s="28">
        <v>18</v>
      </c>
      <c r="L199" s="28"/>
      <c r="M199" s="28">
        <v>21</v>
      </c>
      <c r="N199" s="30">
        <v>34.761904761904759</v>
      </c>
      <c r="O199" s="28" t="s">
        <v>234</v>
      </c>
      <c r="P199" s="28">
        <f t="shared" si="69"/>
        <v>18</v>
      </c>
      <c r="Q199" s="28">
        <f t="shared" si="70"/>
        <v>1</v>
      </c>
      <c r="R199" s="28">
        <f t="shared" si="71"/>
        <v>1</v>
      </c>
      <c r="S199" s="28">
        <f t="shared" si="72"/>
        <v>1</v>
      </c>
      <c r="T199" s="28">
        <f t="shared" si="73"/>
        <v>21</v>
      </c>
      <c r="U199" s="29">
        <f t="shared" si="74"/>
        <v>0.8571428571428571</v>
      </c>
      <c r="V199" s="29">
        <f t="shared" si="75"/>
        <v>4.7619047619047616E-2</v>
      </c>
      <c r="W199" s="29">
        <f t="shared" si="76"/>
        <v>4.7619047619047616E-2</v>
      </c>
      <c r="X199" s="29">
        <f t="shared" si="77"/>
        <v>4.7619047619047616E-2</v>
      </c>
      <c r="Y199" s="30">
        <f t="shared" si="78"/>
        <v>34.761904761904759</v>
      </c>
    </row>
    <row r="200" spans="1:25" x14ac:dyDescent="0.25">
      <c r="A200" s="26"/>
      <c r="B200" s="26"/>
      <c r="C200" s="26" t="str">
        <f>C199</f>
        <v>KHEMAH A, IBU PEJABAT POLIS DAERAH PORT DICKSON (DUN BAGAN PINANG)</v>
      </c>
      <c r="D200" s="26">
        <f>D199</f>
        <v>1</v>
      </c>
      <c r="E200" s="26">
        <f>SUM(E198:E199)</f>
        <v>0</v>
      </c>
      <c r="F200" s="26">
        <f t="shared" ref="F200:M200" si="80">SUM(F198:F199)</f>
        <v>1</v>
      </c>
      <c r="G200" s="26">
        <f t="shared" si="80"/>
        <v>2</v>
      </c>
      <c r="H200" s="26">
        <f t="shared" si="80"/>
        <v>1</v>
      </c>
      <c r="I200" s="26">
        <f t="shared" si="80"/>
        <v>2</v>
      </c>
      <c r="J200" s="26">
        <f t="shared" si="80"/>
        <v>0</v>
      </c>
      <c r="K200" s="26">
        <f t="shared" si="80"/>
        <v>47</v>
      </c>
      <c r="L200" s="26">
        <f t="shared" si="80"/>
        <v>0</v>
      </c>
      <c r="M200" s="26">
        <f t="shared" si="80"/>
        <v>53</v>
      </c>
      <c r="N200" s="32">
        <f>AVERAGE(N198:N199)</f>
        <v>34.95907738095238</v>
      </c>
      <c r="O200" s="26"/>
      <c r="P200" s="28">
        <f t="shared" si="69"/>
        <v>47</v>
      </c>
      <c r="Q200" s="28">
        <f t="shared" si="70"/>
        <v>1</v>
      </c>
      <c r="R200" s="28">
        <f t="shared" si="71"/>
        <v>2</v>
      </c>
      <c r="S200" s="28">
        <f t="shared" si="72"/>
        <v>3</v>
      </c>
      <c r="T200" s="28">
        <f t="shared" si="73"/>
        <v>53</v>
      </c>
      <c r="U200" s="29">
        <f t="shared" si="74"/>
        <v>0.8867924528301887</v>
      </c>
      <c r="V200" s="29">
        <f t="shared" si="75"/>
        <v>1.8867924528301886E-2</v>
      </c>
      <c r="W200" s="29">
        <f t="shared" si="76"/>
        <v>3.7735849056603772E-2</v>
      </c>
      <c r="X200" s="29">
        <f t="shared" si="77"/>
        <v>5.6603773584905662E-2</v>
      </c>
      <c r="Y200" s="30">
        <f t="shared" si="78"/>
        <v>34.95907738095238</v>
      </c>
    </row>
    <row r="201" spans="1:25" x14ac:dyDescent="0.25">
      <c r="A201" s="28" t="s">
        <v>266</v>
      </c>
      <c r="B201" s="28" t="s">
        <v>267</v>
      </c>
      <c r="C201" s="28" t="s">
        <v>129</v>
      </c>
      <c r="D201" s="28">
        <v>1</v>
      </c>
      <c r="E201" s="28">
        <v>5</v>
      </c>
      <c r="F201" s="28">
        <v>6</v>
      </c>
      <c r="G201" s="28">
        <v>60</v>
      </c>
      <c r="H201" s="28">
        <v>13</v>
      </c>
      <c r="I201" s="28">
        <v>42</v>
      </c>
      <c r="J201" s="28"/>
      <c r="K201" s="28">
        <v>280</v>
      </c>
      <c r="L201" s="28">
        <v>1</v>
      </c>
      <c r="M201" s="28">
        <v>407</v>
      </c>
      <c r="N201" s="30">
        <v>27.307125307125308</v>
      </c>
      <c r="O201" s="28" t="s">
        <v>234</v>
      </c>
      <c r="P201" s="28">
        <f t="shared" si="69"/>
        <v>280</v>
      </c>
      <c r="Q201" s="28">
        <f t="shared" si="70"/>
        <v>13</v>
      </c>
      <c r="R201" s="28">
        <f t="shared" si="71"/>
        <v>42</v>
      </c>
      <c r="S201" s="28">
        <f t="shared" si="72"/>
        <v>72</v>
      </c>
      <c r="T201" s="28">
        <f t="shared" si="73"/>
        <v>407</v>
      </c>
      <c r="U201" s="29">
        <f t="shared" si="74"/>
        <v>0.68796068796068799</v>
      </c>
      <c r="V201" s="29">
        <f t="shared" si="75"/>
        <v>3.1941031941031942E-2</v>
      </c>
      <c r="W201" s="29">
        <f t="shared" si="76"/>
        <v>0.10319410319410319</v>
      </c>
      <c r="X201" s="29">
        <f t="shared" si="77"/>
        <v>0.1769041769041769</v>
      </c>
      <c r="Y201" s="30">
        <f t="shared" si="78"/>
        <v>27.307125307125308</v>
      </c>
    </row>
    <row r="202" spans="1:25" x14ac:dyDescent="0.25">
      <c r="A202" s="28" t="s">
        <v>266</v>
      </c>
      <c r="B202" s="28" t="s">
        <v>267</v>
      </c>
      <c r="C202" s="28" t="s">
        <v>129</v>
      </c>
      <c r="D202" s="28">
        <v>2</v>
      </c>
      <c r="E202" s="28">
        <v>7</v>
      </c>
      <c r="F202" s="28">
        <v>30</v>
      </c>
      <c r="G202" s="28">
        <v>74</v>
      </c>
      <c r="H202" s="28">
        <v>19</v>
      </c>
      <c r="I202" s="28">
        <v>48</v>
      </c>
      <c r="J202" s="28">
        <v>3</v>
      </c>
      <c r="K202" s="28">
        <v>222</v>
      </c>
      <c r="L202" s="28"/>
      <c r="M202" s="28">
        <v>403</v>
      </c>
      <c r="N202" s="30">
        <v>28.622828784119108</v>
      </c>
      <c r="O202" s="28" t="s">
        <v>234</v>
      </c>
      <c r="P202" s="28">
        <f t="shared" si="69"/>
        <v>222</v>
      </c>
      <c r="Q202" s="28">
        <f t="shared" si="70"/>
        <v>19</v>
      </c>
      <c r="R202" s="28">
        <f t="shared" si="71"/>
        <v>48</v>
      </c>
      <c r="S202" s="28">
        <f t="shared" si="72"/>
        <v>114</v>
      </c>
      <c r="T202" s="28">
        <f t="shared" si="73"/>
        <v>403</v>
      </c>
      <c r="U202" s="29">
        <f t="shared" si="74"/>
        <v>0.5508684863523573</v>
      </c>
      <c r="V202" s="29">
        <f t="shared" si="75"/>
        <v>4.7146401985111663E-2</v>
      </c>
      <c r="W202" s="29">
        <f t="shared" si="76"/>
        <v>0.11910669975186104</v>
      </c>
      <c r="X202" s="29">
        <f t="shared" si="77"/>
        <v>0.28287841191066998</v>
      </c>
      <c r="Y202" s="30">
        <f t="shared" si="78"/>
        <v>28.622828784119108</v>
      </c>
    </row>
    <row r="203" spans="1:25" x14ac:dyDescent="0.25">
      <c r="A203" s="28" t="s">
        <v>266</v>
      </c>
      <c r="B203" s="28" t="s">
        <v>267</v>
      </c>
      <c r="C203" s="28" t="s">
        <v>129</v>
      </c>
      <c r="D203" s="28">
        <v>3</v>
      </c>
      <c r="E203" s="28">
        <v>2</v>
      </c>
      <c r="F203" s="28">
        <v>1</v>
      </c>
      <c r="G203" s="28">
        <v>12</v>
      </c>
      <c r="H203" s="28">
        <v>2</v>
      </c>
      <c r="I203" s="28">
        <v>3</v>
      </c>
      <c r="J203" s="28"/>
      <c r="K203" s="28">
        <v>401</v>
      </c>
      <c r="L203" s="28"/>
      <c r="M203" s="28">
        <v>421</v>
      </c>
      <c r="N203" s="30">
        <v>26.73871733966746</v>
      </c>
      <c r="O203" s="28" t="s">
        <v>234</v>
      </c>
      <c r="P203" s="28">
        <f t="shared" si="69"/>
        <v>401</v>
      </c>
      <c r="Q203" s="28">
        <f t="shared" si="70"/>
        <v>2</v>
      </c>
      <c r="R203" s="28">
        <f t="shared" si="71"/>
        <v>3</v>
      </c>
      <c r="S203" s="28">
        <f t="shared" si="72"/>
        <v>15</v>
      </c>
      <c r="T203" s="28">
        <f t="shared" si="73"/>
        <v>421</v>
      </c>
      <c r="U203" s="29">
        <f t="shared" si="74"/>
        <v>0.95249406175771967</v>
      </c>
      <c r="V203" s="29">
        <f t="shared" si="75"/>
        <v>4.7505938242280287E-3</v>
      </c>
      <c r="W203" s="29">
        <f t="shared" si="76"/>
        <v>7.1258907363420431E-3</v>
      </c>
      <c r="X203" s="29">
        <f t="shared" si="77"/>
        <v>3.5629453681710214E-2</v>
      </c>
      <c r="Y203" s="30">
        <f t="shared" si="78"/>
        <v>26.73871733966746</v>
      </c>
    </row>
    <row r="204" spans="1:25" x14ac:dyDescent="0.25">
      <c r="A204" s="28" t="s">
        <v>266</v>
      </c>
      <c r="B204" s="28" t="s">
        <v>267</v>
      </c>
      <c r="C204" s="28" t="s">
        <v>129</v>
      </c>
      <c r="D204" s="28">
        <v>4</v>
      </c>
      <c r="E204" s="28">
        <v>2</v>
      </c>
      <c r="F204" s="28">
        <v>1</v>
      </c>
      <c r="G204" s="28">
        <v>1</v>
      </c>
      <c r="H204" s="28"/>
      <c r="I204" s="28">
        <v>1</v>
      </c>
      <c r="J204" s="28">
        <v>1</v>
      </c>
      <c r="K204" s="28">
        <v>390</v>
      </c>
      <c r="L204" s="28"/>
      <c r="M204" s="28">
        <v>396</v>
      </c>
      <c r="N204" s="30">
        <v>32.98989898989899</v>
      </c>
      <c r="O204" s="28" t="s">
        <v>234</v>
      </c>
      <c r="P204" s="28">
        <f t="shared" si="69"/>
        <v>390</v>
      </c>
      <c r="Q204" s="28">
        <f t="shared" si="70"/>
        <v>0</v>
      </c>
      <c r="R204" s="28">
        <f t="shared" si="71"/>
        <v>1</v>
      </c>
      <c r="S204" s="28">
        <f t="shared" si="72"/>
        <v>5</v>
      </c>
      <c r="T204" s="28">
        <f t="shared" si="73"/>
        <v>396</v>
      </c>
      <c r="U204" s="29">
        <f t="shared" si="74"/>
        <v>0.98484848484848486</v>
      </c>
      <c r="V204" s="29">
        <f t="shared" si="75"/>
        <v>0</v>
      </c>
      <c r="W204" s="29">
        <f t="shared" si="76"/>
        <v>2.5252525252525255E-3</v>
      </c>
      <c r="X204" s="29">
        <f t="shared" si="77"/>
        <v>1.2626262626262626E-2</v>
      </c>
      <c r="Y204" s="30">
        <f t="shared" si="78"/>
        <v>32.98989898989899</v>
      </c>
    </row>
    <row r="205" spans="1:25" x14ac:dyDescent="0.25">
      <c r="A205" s="28" t="s">
        <v>266</v>
      </c>
      <c r="B205" s="28" t="s">
        <v>267</v>
      </c>
      <c r="C205" s="28" t="s">
        <v>129</v>
      </c>
      <c r="D205" s="28">
        <v>5</v>
      </c>
      <c r="E205" s="28">
        <v>1</v>
      </c>
      <c r="F205" s="28">
        <v>1</v>
      </c>
      <c r="G205" s="28">
        <v>1</v>
      </c>
      <c r="H205" s="28"/>
      <c r="I205" s="28">
        <v>1</v>
      </c>
      <c r="J205" s="28"/>
      <c r="K205" s="28">
        <v>405</v>
      </c>
      <c r="L205" s="28"/>
      <c r="M205" s="28">
        <v>409</v>
      </c>
      <c r="N205" s="30">
        <v>25.408312958435207</v>
      </c>
      <c r="O205" s="28" t="s">
        <v>234</v>
      </c>
      <c r="P205" s="28">
        <f t="shared" si="69"/>
        <v>405</v>
      </c>
      <c r="Q205" s="28">
        <f t="shared" si="70"/>
        <v>0</v>
      </c>
      <c r="R205" s="28">
        <f t="shared" si="71"/>
        <v>1</v>
      </c>
      <c r="S205" s="28">
        <f t="shared" si="72"/>
        <v>3</v>
      </c>
      <c r="T205" s="28">
        <f t="shared" si="73"/>
        <v>409</v>
      </c>
      <c r="U205" s="29">
        <f t="shared" si="74"/>
        <v>0.99022004889975546</v>
      </c>
      <c r="V205" s="29">
        <f t="shared" si="75"/>
        <v>0</v>
      </c>
      <c r="W205" s="29">
        <f t="shared" si="76"/>
        <v>2.4449877750611247E-3</v>
      </c>
      <c r="X205" s="29">
        <f t="shared" si="77"/>
        <v>7.3349633251833741E-3</v>
      </c>
      <c r="Y205" s="30">
        <f t="shared" si="78"/>
        <v>25.408312958435207</v>
      </c>
    </row>
    <row r="206" spans="1:25" x14ac:dyDescent="0.25">
      <c r="A206" s="28" t="s">
        <v>266</v>
      </c>
      <c r="B206" s="28" t="s">
        <v>267</v>
      </c>
      <c r="C206" s="28" t="s">
        <v>129</v>
      </c>
      <c r="D206" s="28">
        <v>6</v>
      </c>
      <c r="E206" s="28"/>
      <c r="F206" s="28"/>
      <c r="G206" s="28">
        <v>2</v>
      </c>
      <c r="H206" s="28"/>
      <c r="I206" s="28"/>
      <c r="J206" s="28"/>
      <c r="K206" s="28">
        <v>424</v>
      </c>
      <c r="L206" s="28"/>
      <c r="M206" s="28">
        <v>426</v>
      </c>
      <c r="N206" s="30">
        <v>23.561032863849764</v>
      </c>
      <c r="O206" s="28" t="s">
        <v>234</v>
      </c>
      <c r="P206" s="28">
        <f t="shared" si="69"/>
        <v>424</v>
      </c>
      <c r="Q206" s="28">
        <f t="shared" si="70"/>
        <v>0</v>
      </c>
      <c r="R206" s="28">
        <f t="shared" si="71"/>
        <v>0</v>
      </c>
      <c r="S206" s="28">
        <f t="shared" si="72"/>
        <v>2</v>
      </c>
      <c r="T206" s="28">
        <f t="shared" si="73"/>
        <v>426</v>
      </c>
      <c r="U206" s="29">
        <f t="shared" si="74"/>
        <v>0.99530516431924887</v>
      </c>
      <c r="V206" s="29">
        <f t="shared" si="75"/>
        <v>0</v>
      </c>
      <c r="W206" s="29">
        <f t="shared" si="76"/>
        <v>0</v>
      </c>
      <c r="X206" s="29">
        <f t="shared" si="77"/>
        <v>4.6948356807511738E-3</v>
      </c>
      <c r="Y206" s="30">
        <f t="shared" si="78"/>
        <v>23.561032863849764</v>
      </c>
    </row>
    <row r="207" spans="1:25" x14ac:dyDescent="0.25">
      <c r="A207" s="28" t="s">
        <v>266</v>
      </c>
      <c r="B207" s="28" t="s">
        <v>267</v>
      </c>
      <c r="C207" s="28" t="s">
        <v>129</v>
      </c>
      <c r="D207" s="28">
        <v>7</v>
      </c>
      <c r="E207" s="28"/>
      <c r="F207" s="28"/>
      <c r="G207" s="28">
        <v>8</v>
      </c>
      <c r="H207" s="28">
        <v>4</v>
      </c>
      <c r="I207" s="28">
        <v>5</v>
      </c>
      <c r="J207" s="28">
        <v>2</v>
      </c>
      <c r="K207" s="28">
        <v>387</v>
      </c>
      <c r="L207" s="28"/>
      <c r="M207" s="28">
        <v>406</v>
      </c>
      <c r="N207" s="30">
        <v>26.125615763546797</v>
      </c>
      <c r="O207" s="28" t="s">
        <v>234</v>
      </c>
      <c r="P207" s="28">
        <f t="shared" si="69"/>
        <v>387</v>
      </c>
      <c r="Q207" s="28">
        <f t="shared" si="70"/>
        <v>4</v>
      </c>
      <c r="R207" s="28">
        <f t="shared" si="71"/>
        <v>5</v>
      </c>
      <c r="S207" s="28">
        <f t="shared" si="72"/>
        <v>10</v>
      </c>
      <c r="T207" s="28">
        <f t="shared" si="73"/>
        <v>406</v>
      </c>
      <c r="U207" s="29">
        <f t="shared" si="74"/>
        <v>0.95320197044334976</v>
      </c>
      <c r="V207" s="29">
        <f t="shared" si="75"/>
        <v>9.852216748768473E-3</v>
      </c>
      <c r="W207" s="29">
        <f t="shared" si="76"/>
        <v>1.2315270935960592E-2</v>
      </c>
      <c r="X207" s="29">
        <f t="shared" si="77"/>
        <v>2.4630541871921183E-2</v>
      </c>
      <c r="Y207" s="30">
        <f t="shared" si="78"/>
        <v>26.125615763546797</v>
      </c>
    </row>
    <row r="208" spans="1:25" x14ac:dyDescent="0.25">
      <c r="A208" s="28" t="s">
        <v>266</v>
      </c>
      <c r="B208" s="28" t="s">
        <v>267</v>
      </c>
      <c r="C208" s="28" t="s">
        <v>129</v>
      </c>
      <c r="D208" s="28">
        <v>8</v>
      </c>
      <c r="E208" s="28">
        <v>4</v>
      </c>
      <c r="F208" s="28">
        <v>10</v>
      </c>
      <c r="G208" s="28">
        <v>57</v>
      </c>
      <c r="H208" s="28">
        <v>14</v>
      </c>
      <c r="I208" s="28">
        <v>42</v>
      </c>
      <c r="J208" s="28">
        <v>2</v>
      </c>
      <c r="K208" s="28">
        <v>274</v>
      </c>
      <c r="L208" s="28">
        <v>2</v>
      </c>
      <c r="M208" s="28">
        <v>405</v>
      </c>
      <c r="N208" s="30">
        <v>28.08395061728395</v>
      </c>
      <c r="O208" s="28" t="s">
        <v>234</v>
      </c>
      <c r="P208" s="28">
        <f t="shared" si="69"/>
        <v>274</v>
      </c>
      <c r="Q208" s="28">
        <f t="shared" si="70"/>
        <v>14</v>
      </c>
      <c r="R208" s="28">
        <f t="shared" si="71"/>
        <v>42</v>
      </c>
      <c r="S208" s="28">
        <f t="shared" si="72"/>
        <v>75</v>
      </c>
      <c r="T208" s="28">
        <f t="shared" si="73"/>
        <v>405</v>
      </c>
      <c r="U208" s="29">
        <f t="shared" si="74"/>
        <v>0.67654320987654326</v>
      </c>
      <c r="V208" s="29">
        <f t="shared" si="75"/>
        <v>3.4567901234567898E-2</v>
      </c>
      <c r="W208" s="29">
        <f t="shared" si="76"/>
        <v>0.1037037037037037</v>
      </c>
      <c r="X208" s="29">
        <f t="shared" si="77"/>
        <v>0.18518518518518517</v>
      </c>
      <c r="Y208" s="30">
        <f t="shared" si="78"/>
        <v>28.08395061728395</v>
      </c>
    </row>
    <row r="209" spans="1:25" x14ac:dyDescent="0.25">
      <c r="A209" s="28" t="s">
        <v>266</v>
      </c>
      <c r="B209" s="28" t="s">
        <v>267</v>
      </c>
      <c r="C209" s="28" t="s">
        <v>129</v>
      </c>
      <c r="D209" s="28">
        <v>9</v>
      </c>
      <c r="E209" s="28">
        <v>7</v>
      </c>
      <c r="F209" s="28">
        <v>8</v>
      </c>
      <c r="G209" s="28">
        <v>19</v>
      </c>
      <c r="H209" s="28">
        <v>1</v>
      </c>
      <c r="I209" s="28">
        <v>6</v>
      </c>
      <c r="J209" s="28">
        <v>1</v>
      </c>
      <c r="K209" s="28">
        <v>302</v>
      </c>
      <c r="L209" s="28"/>
      <c r="M209" s="28">
        <v>344</v>
      </c>
      <c r="N209" s="30">
        <v>34.799418604651166</v>
      </c>
      <c r="O209" s="28" t="s">
        <v>234</v>
      </c>
      <c r="P209" s="28">
        <f t="shared" si="69"/>
        <v>302</v>
      </c>
      <c r="Q209" s="28">
        <f t="shared" si="70"/>
        <v>1</v>
      </c>
      <c r="R209" s="28">
        <f t="shared" si="71"/>
        <v>6</v>
      </c>
      <c r="S209" s="28">
        <f t="shared" si="72"/>
        <v>35</v>
      </c>
      <c r="T209" s="28">
        <f t="shared" si="73"/>
        <v>344</v>
      </c>
      <c r="U209" s="29">
        <f t="shared" si="74"/>
        <v>0.87790697674418605</v>
      </c>
      <c r="V209" s="29">
        <f t="shared" si="75"/>
        <v>2.9069767441860465E-3</v>
      </c>
      <c r="W209" s="29">
        <f t="shared" si="76"/>
        <v>1.7441860465116279E-2</v>
      </c>
      <c r="X209" s="29">
        <f t="shared" si="77"/>
        <v>0.10174418604651163</v>
      </c>
      <c r="Y209" s="30">
        <f t="shared" si="78"/>
        <v>34.799418604651166</v>
      </c>
    </row>
    <row r="210" spans="1:25" x14ac:dyDescent="0.25">
      <c r="A210" s="28" t="s">
        <v>266</v>
      </c>
      <c r="B210" s="28" t="s">
        <v>267</v>
      </c>
      <c r="C210" s="28" t="s">
        <v>129</v>
      </c>
      <c r="D210" s="28">
        <v>10</v>
      </c>
      <c r="E210" s="28">
        <v>1</v>
      </c>
      <c r="F210" s="28">
        <v>8</v>
      </c>
      <c r="G210" s="28">
        <v>14</v>
      </c>
      <c r="H210" s="28"/>
      <c r="I210" s="28">
        <v>5</v>
      </c>
      <c r="J210" s="28">
        <v>1</v>
      </c>
      <c r="K210" s="28">
        <v>335</v>
      </c>
      <c r="L210" s="28"/>
      <c r="M210" s="28">
        <v>364</v>
      </c>
      <c r="N210" s="30">
        <v>33.274725274725277</v>
      </c>
      <c r="O210" s="28" t="s">
        <v>234</v>
      </c>
      <c r="P210" s="28">
        <f t="shared" si="69"/>
        <v>335</v>
      </c>
      <c r="Q210" s="28">
        <f t="shared" si="70"/>
        <v>0</v>
      </c>
      <c r="R210" s="28">
        <f t="shared" si="71"/>
        <v>5</v>
      </c>
      <c r="S210" s="28">
        <f t="shared" si="72"/>
        <v>24</v>
      </c>
      <c r="T210" s="28">
        <f t="shared" si="73"/>
        <v>364</v>
      </c>
      <c r="U210" s="29">
        <f t="shared" si="74"/>
        <v>0.92032967032967028</v>
      </c>
      <c r="V210" s="29">
        <f t="shared" si="75"/>
        <v>0</v>
      </c>
      <c r="W210" s="29">
        <f t="shared" si="76"/>
        <v>1.3736263736263736E-2</v>
      </c>
      <c r="X210" s="29">
        <f t="shared" si="77"/>
        <v>6.5934065934065936E-2</v>
      </c>
      <c r="Y210" s="30">
        <f t="shared" si="78"/>
        <v>33.274725274725277</v>
      </c>
    </row>
    <row r="211" spans="1:25" x14ac:dyDescent="0.25">
      <c r="A211" s="28" t="s">
        <v>270</v>
      </c>
      <c r="B211" s="28" t="s">
        <v>271</v>
      </c>
      <c r="C211" s="28" t="s">
        <v>129</v>
      </c>
      <c r="D211" s="28">
        <v>1</v>
      </c>
      <c r="E211" s="28">
        <v>1</v>
      </c>
      <c r="F211" s="28">
        <v>2</v>
      </c>
      <c r="G211" s="28"/>
      <c r="H211" s="28"/>
      <c r="I211" s="28">
        <v>1</v>
      </c>
      <c r="J211" s="28"/>
      <c r="K211" s="28">
        <v>41</v>
      </c>
      <c r="L211" s="28"/>
      <c r="M211" s="28">
        <v>45</v>
      </c>
      <c r="N211" s="30">
        <v>34.044444444444444</v>
      </c>
      <c r="O211" s="28" t="s">
        <v>234</v>
      </c>
      <c r="P211" s="28">
        <f t="shared" si="69"/>
        <v>41</v>
      </c>
      <c r="Q211" s="28">
        <f t="shared" si="70"/>
        <v>0</v>
      </c>
      <c r="R211" s="28">
        <f t="shared" si="71"/>
        <v>1</v>
      </c>
      <c r="S211" s="28">
        <f t="shared" si="72"/>
        <v>3</v>
      </c>
      <c r="T211" s="28">
        <f t="shared" si="73"/>
        <v>45</v>
      </c>
      <c r="U211" s="29">
        <f t="shared" si="74"/>
        <v>0.91111111111111109</v>
      </c>
      <c r="V211" s="29">
        <f t="shared" si="75"/>
        <v>0</v>
      </c>
      <c r="W211" s="29">
        <f t="shared" si="76"/>
        <v>2.2222222222222223E-2</v>
      </c>
      <c r="X211" s="29">
        <f t="shared" si="77"/>
        <v>6.6666666666666666E-2</v>
      </c>
      <c r="Y211" s="30">
        <f t="shared" si="78"/>
        <v>34.044444444444444</v>
      </c>
    </row>
    <row r="212" spans="1:25" x14ac:dyDescent="0.25">
      <c r="A212" s="28" t="s">
        <v>270</v>
      </c>
      <c r="B212" s="28" t="s">
        <v>271</v>
      </c>
      <c r="C212" s="28" t="s">
        <v>129</v>
      </c>
      <c r="D212" s="28">
        <v>2</v>
      </c>
      <c r="E212" s="28">
        <v>2</v>
      </c>
      <c r="F212" s="28"/>
      <c r="G212" s="28">
        <v>2</v>
      </c>
      <c r="H212" s="28">
        <v>1</v>
      </c>
      <c r="I212" s="28">
        <v>6</v>
      </c>
      <c r="J212" s="28"/>
      <c r="K212" s="28">
        <v>38</v>
      </c>
      <c r="L212" s="28"/>
      <c r="M212" s="28">
        <v>49</v>
      </c>
      <c r="N212" s="30">
        <v>37.061224489795919</v>
      </c>
      <c r="O212" s="28" t="s">
        <v>234</v>
      </c>
      <c r="P212" s="28">
        <f t="shared" si="69"/>
        <v>38</v>
      </c>
      <c r="Q212" s="28">
        <f t="shared" si="70"/>
        <v>1</v>
      </c>
      <c r="R212" s="28">
        <f t="shared" si="71"/>
        <v>6</v>
      </c>
      <c r="S212" s="28">
        <f t="shared" si="72"/>
        <v>4</v>
      </c>
      <c r="T212" s="28">
        <f t="shared" si="73"/>
        <v>49</v>
      </c>
      <c r="U212" s="29">
        <f t="shared" si="74"/>
        <v>0.77551020408163263</v>
      </c>
      <c r="V212" s="29">
        <f t="shared" si="75"/>
        <v>2.0408163265306121E-2</v>
      </c>
      <c r="W212" s="29">
        <f t="shared" si="76"/>
        <v>0.12244897959183673</v>
      </c>
      <c r="X212" s="29">
        <f t="shared" si="77"/>
        <v>8.1632653061224483E-2</v>
      </c>
      <c r="Y212" s="30">
        <f t="shared" si="78"/>
        <v>37.061224489795919</v>
      </c>
    </row>
    <row r="213" spans="1:25" x14ac:dyDescent="0.25">
      <c r="A213" s="28" t="s">
        <v>270</v>
      </c>
      <c r="B213" s="28" t="s">
        <v>271</v>
      </c>
      <c r="C213" s="28" t="s">
        <v>129</v>
      </c>
      <c r="D213" s="28">
        <v>3</v>
      </c>
      <c r="E213" s="28"/>
      <c r="F213" s="28"/>
      <c r="G213" s="28"/>
      <c r="H213" s="28"/>
      <c r="I213" s="28"/>
      <c r="J213" s="28"/>
      <c r="K213" s="28">
        <v>31</v>
      </c>
      <c r="L213" s="28"/>
      <c r="M213" s="28">
        <v>31</v>
      </c>
      <c r="N213" s="30">
        <v>30.70967741935484</v>
      </c>
      <c r="O213" s="28" t="s">
        <v>234</v>
      </c>
      <c r="P213" s="28">
        <f t="shared" si="69"/>
        <v>31</v>
      </c>
      <c r="Q213" s="28">
        <f t="shared" si="70"/>
        <v>0</v>
      </c>
      <c r="R213" s="28">
        <f t="shared" si="71"/>
        <v>0</v>
      </c>
      <c r="S213" s="28">
        <f t="shared" si="72"/>
        <v>0</v>
      </c>
      <c r="T213" s="28">
        <f t="shared" si="73"/>
        <v>31</v>
      </c>
      <c r="U213" s="29">
        <f t="shared" si="74"/>
        <v>1</v>
      </c>
      <c r="V213" s="29">
        <f t="shared" si="75"/>
        <v>0</v>
      </c>
      <c r="W213" s="29">
        <f t="shared" si="76"/>
        <v>0</v>
      </c>
      <c r="X213" s="29">
        <f t="shared" si="77"/>
        <v>0</v>
      </c>
      <c r="Y213" s="30">
        <f t="shared" si="78"/>
        <v>30.70967741935484</v>
      </c>
    </row>
    <row r="214" spans="1:25" x14ac:dyDescent="0.25">
      <c r="A214" s="28" t="s">
        <v>270</v>
      </c>
      <c r="B214" s="28" t="s">
        <v>271</v>
      </c>
      <c r="C214" s="28" t="s">
        <v>129</v>
      </c>
      <c r="D214" s="28">
        <v>4</v>
      </c>
      <c r="E214" s="28"/>
      <c r="F214" s="28">
        <v>1</v>
      </c>
      <c r="G214" s="28"/>
      <c r="H214" s="28"/>
      <c r="I214" s="28"/>
      <c r="J214" s="28"/>
      <c r="K214" s="28">
        <v>55</v>
      </c>
      <c r="L214" s="28"/>
      <c r="M214" s="28">
        <v>56</v>
      </c>
      <c r="N214" s="30">
        <v>36.214285714285715</v>
      </c>
      <c r="O214" s="28" t="s">
        <v>234</v>
      </c>
      <c r="P214" s="28">
        <f t="shared" si="69"/>
        <v>55</v>
      </c>
      <c r="Q214" s="28">
        <f t="shared" si="70"/>
        <v>0</v>
      </c>
      <c r="R214" s="28">
        <f t="shared" si="71"/>
        <v>0</v>
      </c>
      <c r="S214" s="28">
        <f t="shared" si="72"/>
        <v>1</v>
      </c>
      <c r="T214" s="28">
        <f t="shared" si="73"/>
        <v>56</v>
      </c>
      <c r="U214" s="29">
        <f t="shared" si="74"/>
        <v>0.9821428571428571</v>
      </c>
      <c r="V214" s="29">
        <f t="shared" si="75"/>
        <v>0</v>
      </c>
      <c r="W214" s="29">
        <f t="shared" si="76"/>
        <v>0</v>
      </c>
      <c r="X214" s="29">
        <f t="shared" si="77"/>
        <v>1.7857142857142856E-2</v>
      </c>
      <c r="Y214" s="30">
        <f t="shared" si="78"/>
        <v>36.214285714285715</v>
      </c>
    </row>
    <row r="215" spans="1:25" x14ac:dyDescent="0.25">
      <c r="A215" s="28" t="s">
        <v>270</v>
      </c>
      <c r="B215" s="28" t="s">
        <v>271</v>
      </c>
      <c r="C215" s="28" t="s">
        <v>129</v>
      </c>
      <c r="D215" s="28">
        <v>5</v>
      </c>
      <c r="E215" s="28"/>
      <c r="F215" s="28"/>
      <c r="G215" s="28">
        <v>1</v>
      </c>
      <c r="H215" s="28"/>
      <c r="I215" s="28"/>
      <c r="J215" s="28"/>
      <c r="K215" s="28">
        <v>42</v>
      </c>
      <c r="L215" s="28"/>
      <c r="M215" s="28">
        <v>43</v>
      </c>
      <c r="N215" s="30">
        <v>34.162790697674417</v>
      </c>
      <c r="O215" s="28" t="s">
        <v>234</v>
      </c>
      <c r="P215" s="28">
        <f t="shared" si="69"/>
        <v>42</v>
      </c>
      <c r="Q215" s="28">
        <f t="shared" si="70"/>
        <v>0</v>
      </c>
      <c r="R215" s="28">
        <f t="shared" si="71"/>
        <v>0</v>
      </c>
      <c r="S215" s="28">
        <f t="shared" si="72"/>
        <v>1</v>
      </c>
      <c r="T215" s="28">
        <f t="shared" si="73"/>
        <v>43</v>
      </c>
      <c r="U215" s="29">
        <f t="shared" si="74"/>
        <v>0.97674418604651159</v>
      </c>
      <c r="V215" s="29">
        <f t="shared" si="75"/>
        <v>0</v>
      </c>
      <c r="W215" s="29">
        <f t="shared" si="76"/>
        <v>0</v>
      </c>
      <c r="X215" s="29">
        <f t="shared" si="77"/>
        <v>2.3255813953488372E-2</v>
      </c>
      <c r="Y215" s="30">
        <f t="shared" si="78"/>
        <v>34.162790697674417</v>
      </c>
    </row>
    <row r="216" spans="1:25" x14ac:dyDescent="0.25">
      <c r="A216" s="28" t="s">
        <v>270</v>
      </c>
      <c r="B216" s="28" t="s">
        <v>271</v>
      </c>
      <c r="C216" s="28" t="s">
        <v>129</v>
      </c>
      <c r="D216" s="28">
        <v>6</v>
      </c>
      <c r="E216" s="28"/>
      <c r="F216" s="28"/>
      <c r="G216" s="28">
        <v>3</v>
      </c>
      <c r="H216" s="28"/>
      <c r="I216" s="28"/>
      <c r="J216" s="28"/>
      <c r="K216" s="28">
        <v>23</v>
      </c>
      <c r="L216" s="28"/>
      <c r="M216" s="28">
        <v>26</v>
      </c>
      <c r="N216" s="30">
        <v>29.615384615384617</v>
      </c>
      <c r="O216" s="28" t="s">
        <v>234</v>
      </c>
      <c r="P216" s="28">
        <f t="shared" si="69"/>
        <v>23</v>
      </c>
      <c r="Q216" s="28">
        <f t="shared" si="70"/>
        <v>0</v>
      </c>
      <c r="R216" s="28">
        <f t="shared" si="71"/>
        <v>0</v>
      </c>
      <c r="S216" s="28">
        <f t="shared" si="72"/>
        <v>3</v>
      </c>
      <c r="T216" s="28">
        <f t="shared" si="73"/>
        <v>26</v>
      </c>
      <c r="U216" s="29">
        <f t="shared" si="74"/>
        <v>0.88461538461538458</v>
      </c>
      <c r="V216" s="29">
        <f t="shared" si="75"/>
        <v>0</v>
      </c>
      <c r="W216" s="29">
        <f t="shared" si="76"/>
        <v>0</v>
      </c>
      <c r="X216" s="29">
        <f t="shared" si="77"/>
        <v>0.11538461538461539</v>
      </c>
      <c r="Y216" s="30">
        <f t="shared" si="78"/>
        <v>29.615384615384617</v>
      </c>
    </row>
    <row r="217" spans="1:25" x14ac:dyDescent="0.25">
      <c r="A217" s="28" t="s">
        <v>270</v>
      </c>
      <c r="B217" s="28" t="s">
        <v>271</v>
      </c>
      <c r="C217" s="28" t="s">
        <v>129</v>
      </c>
      <c r="D217" s="28">
        <v>7</v>
      </c>
      <c r="E217" s="28"/>
      <c r="F217" s="28"/>
      <c r="G217" s="28"/>
      <c r="H217" s="28"/>
      <c r="I217" s="28"/>
      <c r="J217" s="28"/>
      <c r="K217" s="28">
        <v>46</v>
      </c>
      <c r="L217" s="28"/>
      <c r="M217" s="28">
        <v>46</v>
      </c>
      <c r="N217" s="30">
        <v>33.913043478260867</v>
      </c>
      <c r="O217" s="28" t="s">
        <v>234</v>
      </c>
      <c r="P217" s="28">
        <f t="shared" si="69"/>
        <v>46</v>
      </c>
      <c r="Q217" s="28">
        <f t="shared" si="70"/>
        <v>0</v>
      </c>
      <c r="R217" s="28">
        <f t="shared" si="71"/>
        <v>0</v>
      </c>
      <c r="S217" s="28">
        <f t="shared" si="72"/>
        <v>0</v>
      </c>
      <c r="T217" s="28">
        <f t="shared" si="73"/>
        <v>46</v>
      </c>
      <c r="U217" s="29">
        <f t="shared" si="74"/>
        <v>1</v>
      </c>
      <c r="V217" s="29">
        <f t="shared" si="75"/>
        <v>0</v>
      </c>
      <c r="W217" s="29">
        <f t="shared" si="76"/>
        <v>0</v>
      </c>
      <c r="X217" s="29">
        <f t="shared" si="77"/>
        <v>0</v>
      </c>
      <c r="Y217" s="30">
        <f t="shared" si="78"/>
        <v>33.913043478260867</v>
      </c>
    </row>
    <row r="218" spans="1:25" x14ac:dyDescent="0.25">
      <c r="A218" s="28" t="s">
        <v>270</v>
      </c>
      <c r="B218" s="28" t="s">
        <v>271</v>
      </c>
      <c r="C218" s="28" t="s">
        <v>129</v>
      </c>
      <c r="D218" s="28">
        <v>8</v>
      </c>
      <c r="E218" s="28"/>
      <c r="F218" s="28">
        <v>1</v>
      </c>
      <c r="G218" s="28">
        <v>1</v>
      </c>
      <c r="H218" s="28"/>
      <c r="I218" s="28">
        <v>2</v>
      </c>
      <c r="J218" s="28"/>
      <c r="K218" s="28">
        <v>42</v>
      </c>
      <c r="L218" s="28">
        <v>1</v>
      </c>
      <c r="M218" s="28">
        <v>47</v>
      </c>
      <c r="N218" s="30">
        <v>35.936170212765958</v>
      </c>
      <c r="O218" s="28" t="s">
        <v>234</v>
      </c>
      <c r="P218" s="28">
        <f t="shared" si="69"/>
        <v>42</v>
      </c>
      <c r="Q218" s="28">
        <f t="shared" si="70"/>
        <v>0</v>
      </c>
      <c r="R218" s="28">
        <f t="shared" si="71"/>
        <v>2</v>
      </c>
      <c r="S218" s="28">
        <f t="shared" si="72"/>
        <v>3</v>
      </c>
      <c r="T218" s="28">
        <f t="shared" si="73"/>
        <v>47</v>
      </c>
      <c r="U218" s="29">
        <f t="shared" si="74"/>
        <v>0.8936170212765957</v>
      </c>
      <c r="V218" s="29">
        <f t="shared" si="75"/>
        <v>0</v>
      </c>
      <c r="W218" s="29">
        <f t="shared" si="76"/>
        <v>4.2553191489361701E-2</v>
      </c>
      <c r="X218" s="29">
        <f t="shared" si="77"/>
        <v>6.3829787234042548E-2</v>
      </c>
      <c r="Y218" s="30">
        <f t="shared" si="78"/>
        <v>35.936170212765958</v>
      </c>
    </row>
    <row r="219" spans="1:25" x14ac:dyDescent="0.25">
      <c r="A219" s="28" t="s">
        <v>270</v>
      </c>
      <c r="B219" s="28" t="s">
        <v>271</v>
      </c>
      <c r="C219" s="28" t="s">
        <v>129</v>
      </c>
      <c r="D219" s="28">
        <v>9</v>
      </c>
      <c r="E219" s="28">
        <v>1</v>
      </c>
      <c r="F219" s="28">
        <v>2</v>
      </c>
      <c r="G219" s="28">
        <v>1</v>
      </c>
      <c r="H219" s="28"/>
      <c r="I219" s="28">
        <v>4</v>
      </c>
      <c r="J219" s="28"/>
      <c r="K219" s="28">
        <v>102</v>
      </c>
      <c r="L219" s="28">
        <v>1</v>
      </c>
      <c r="M219" s="28">
        <v>111</v>
      </c>
      <c r="N219" s="30">
        <v>35.918918918918919</v>
      </c>
      <c r="O219" s="28" t="s">
        <v>234</v>
      </c>
      <c r="P219" s="28">
        <f t="shared" si="69"/>
        <v>102</v>
      </c>
      <c r="Q219" s="28">
        <f t="shared" si="70"/>
        <v>0</v>
      </c>
      <c r="R219" s="28">
        <f t="shared" si="71"/>
        <v>4</v>
      </c>
      <c r="S219" s="28">
        <f t="shared" si="72"/>
        <v>5</v>
      </c>
      <c r="T219" s="28">
        <f t="shared" si="73"/>
        <v>111</v>
      </c>
      <c r="U219" s="29">
        <f t="shared" si="74"/>
        <v>0.91891891891891897</v>
      </c>
      <c r="V219" s="29">
        <f t="shared" si="75"/>
        <v>0</v>
      </c>
      <c r="W219" s="29">
        <f t="shared" si="76"/>
        <v>3.6036036036036036E-2</v>
      </c>
      <c r="X219" s="29">
        <f t="shared" si="77"/>
        <v>4.5045045045045043E-2</v>
      </c>
      <c r="Y219" s="30">
        <f t="shared" si="78"/>
        <v>35.918918918918919</v>
      </c>
    </row>
    <row r="220" spans="1:25" x14ac:dyDescent="0.25">
      <c r="A220" s="28" t="s">
        <v>270</v>
      </c>
      <c r="B220" s="28" t="s">
        <v>271</v>
      </c>
      <c r="C220" s="28" t="s">
        <v>129</v>
      </c>
      <c r="D220" s="28">
        <v>10</v>
      </c>
      <c r="E220" s="28">
        <v>1</v>
      </c>
      <c r="F220" s="28">
        <v>1</v>
      </c>
      <c r="G220" s="28">
        <v>1</v>
      </c>
      <c r="H220" s="28"/>
      <c r="I220" s="28">
        <v>1</v>
      </c>
      <c r="J220" s="28"/>
      <c r="K220" s="28">
        <v>87</v>
      </c>
      <c r="L220" s="28"/>
      <c r="M220" s="28">
        <v>91</v>
      </c>
      <c r="N220" s="30">
        <v>33.659340659340657</v>
      </c>
      <c r="O220" s="28" t="s">
        <v>234</v>
      </c>
      <c r="P220" s="28">
        <f t="shared" si="69"/>
        <v>87</v>
      </c>
      <c r="Q220" s="28">
        <f t="shared" si="70"/>
        <v>0</v>
      </c>
      <c r="R220" s="28">
        <f t="shared" si="71"/>
        <v>1</v>
      </c>
      <c r="S220" s="28">
        <f t="shared" si="72"/>
        <v>3</v>
      </c>
      <c r="T220" s="28">
        <f t="shared" si="73"/>
        <v>91</v>
      </c>
      <c r="U220" s="29">
        <f t="shared" si="74"/>
        <v>0.95604395604395609</v>
      </c>
      <c r="V220" s="29">
        <f t="shared" si="75"/>
        <v>0</v>
      </c>
      <c r="W220" s="29">
        <f t="shared" si="76"/>
        <v>1.098901098901099E-2</v>
      </c>
      <c r="X220" s="29">
        <f t="shared" si="77"/>
        <v>3.2967032967032968E-2</v>
      </c>
      <c r="Y220" s="30">
        <f t="shared" si="78"/>
        <v>33.659340659340657</v>
      </c>
    </row>
    <row r="221" spans="1:25" x14ac:dyDescent="0.25">
      <c r="A221" s="26"/>
      <c r="B221" s="26"/>
      <c r="C221" s="28" t="s">
        <v>129</v>
      </c>
      <c r="D221" s="28">
        <v>1</v>
      </c>
      <c r="E221" s="26">
        <f>E211+E201</f>
        <v>6</v>
      </c>
      <c r="F221" s="26">
        <f t="shared" ref="F221:M221" si="81">F211+F201</f>
        <v>8</v>
      </c>
      <c r="G221" s="26">
        <f t="shared" si="81"/>
        <v>60</v>
      </c>
      <c r="H221" s="26">
        <f t="shared" si="81"/>
        <v>13</v>
      </c>
      <c r="I221" s="26">
        <f t="shared" si="81"/>
        <v>43</v>
      </c>
      <c r="J221" s="26">
        <f t="shared" si="81"/>
        <v>0</v>
      </c>
      <c r="K221" s="26">
        <f t="shared" si="81"/>
        <v>321</v>
      </c>
      <c r="L221" s="26">
        <f t="shared" si="81"/>
        <v>1</v>
      </c>
      <c r="M221" s="26">
        <f t="shared" si="81"/>
        <v>452</v>
      </c>
      <c r="N221" s="32">
        <f>AVERAGE(N211,N201)</f>
        <v>30.675784875784878</v>
      </c>
      <c r="O221" s="26"/>
      <c r="P221" s="28">
        <f t="shared" ref="P221:P230" si="82">K221</f>
        <v>321</v>
      </c>
      <c r="Q221" s="28">
        <f t="shared" ref="Q221:Q230" si="83">H221</f>
        <v>13</v>
      </c>
      <c r="R221" s="28">
        <f t="shared" ref="R221:R230" si="84">I221</f>
        <v>43</v>
      </c>
      <c r="S221" s="28">
        <f t="shared" ref="S221:S230" si="85">M221-SUM(P221:R221)</f>
        <v>75</v>
      </c>
      <c r="T221" s="28">
        <f t="shared" ref="T221:T230" si="86">SUM(P221:S221)</f>
        <v>452</v>
      </c>
      <c r="U221" s="29">
        <f t="shared" ref="U221:U230" si="87">P221/M221</f>
        <v>0.71017699115044253</v>
      </c>
      <c r="V221" s="29">
        <f t="shared" ref="V221:V230" si="88">Q221/M221</f>
        <v>2.8761061946902654E-2</v>
      </c>
      <c r="W221" s="29">
        <f t="shared" ref="W221:W230" si="89">R221/M221</f>
        <v>9.5132743362831854E-2</v>
      </c>
      <c r="X221" s="29">
        <f t="shared" ref="X221:X230" si="90">S221/M221</f>
        <v>0.16592920353982302</v>
      </c>
      <c r="Y221" s="30">
        <f t="shared" ref="Y221:Y230" si="91">N221</f>
        <v>30.675784875784878</v>
      </c>
    </row>
    <row r="222" spans="1:25" x14ac:dyDescent="0.25">
      <c r="A222" s="26"/>
      <c r="B222" s="26"/>
      <c r="C222" s="28" t="s">
        <v>129</v>
      </c>
      <c r="D222" s="28">
        <v>2</v>
      </c>
      <c r="E222" s="26">
        <f t="shared" ref="E222:M222" si="92">E212+E202</f>
        <v>9</v>
      </c>
      <c r="F222" s="26">
        <f t="shared" si="92"/>
        <v>30</v>
      </c>
      <c r="G222" s="26">
        <f t="shared" si="92"/>
        <v>76</v>
      </c>
      <c r="H222" s="26">
        <f t="shared" si="92"/>
        <v>20</v>
      </c>
      <c r="I222" s="26">
        <f t="shared" si="92"/>
        <v>54</v>
      </c>
      <c r="J222" s="26">
        <f t="shared" si="92"/>
        <v>3</v>
      </c>
      <c r="K222" s="26">
        <f t="shared" si="92"/>
        <v>260</v>
      </c>
      <c r="L222" s="26">
        <f t="shared" si="92"/>
        <v>0</v>
      </c>
      <c r="M222" s="26">
        <f t="shared" si="92"/>
        <v>452</v>
      </c>
      <c r="N222" s="32">
        <f t="shared" ref="N222:N230" si="93">AVERAGE(N212,N202)</f>
        <v>32.842026636957513</v>
      </c>
      <c r="O222" s="26"/>
      <c r="P222" s="28">
        <f t="shared" si="82"/>
        <v>260</v>
      </c>
      <c r="Q222" s="28">
        <f t="shared" si="83"/>
        <v>20</v>
      </c>
      <c r="R222" s="28">
        <f t="shared" si="84"/>
        <v>54</v>
      </c>
      <c r="S222" s="28">
        <f t="shared" si="85"/>
        <v>118</v>
      </c>
      <c r="T222" s="28">
        <f t="shared" si="86"/>
        <v>452</v>
      </c>
      <c r="U222" s="29">
        <f t="shared" si="87"/>
        <v>0.5752212389380531</v>
      </c>
      <c r="V222" s="29">
        <f t="shared" si="88"/>
        <v>4.4247787610619468E-2</v>
      </c>
      <c r="W222" s="29">
        <f t="shared" si="89"/>
        <v>0.11946902654867257</v>
      </c>
      <c r="X222" s="29">
        <f t="shared" si="90"/>
        <v>0.26106194690265488</v>
      </c>
      <c r="Y222" s="30">
        <f t="shared" si="91"/>
        <v>32.842026636957513</v>
      </c>
    </row>
    <row r="223" spans="1:25" x14ac:dyDescent="0.25">
      <c r="A223" s="26"/>
      <c r="B223" s="26"/>
      <c r="C223" s="28" t="s">
        <v>129</v>
      </c>
      <c r="D223" s="28">
        <v>3</v>
      </c>
      <c r="E223" s="26">
        <f t="shared" ref="E223:M223" si="94">E213+E203</f>
        <v>2</v>
      </c>
      <c r="F223" s="26">
        <f t="shared" si="94"/>
        <v>1</v>
      </c>
      <c r="G223" s="26">
        <f t="shared" si="94"/>
        <v>12</v>
      </c>
      <c r="H223" s="26">
        <f t="shared" si="94"/>
        <v>2</v>
      </c>
      <c r="I223" s="26">
        <f t="shared" si="94"/>
        <v>3</v>
      </c>
      <c r="J223" s="26">
        <f t="shared" si="94"/>
        <v>0</v>
      </c>
      <c r="K223" s="26">
        <f t="shared" si="94"/>
        <v>432</v>
      </c>
      <c r="L223" s="26">
        <f t="shared" si="94"/>
        <v>0</v>
      </c>
      <c r="M223" s="26">
        <f t="shared" si="94"/>
        <v>452</v>
      </c>
      <c r="N223" s="32">
        <f t="shared" si="93"/>
        <v>28.72419737951115</v>
      </c>
      <c r="O223" s="26"/>
      <c r="P223" s="28">
        <f t="shared" si="82"/>
        <v>432</v>
      </c>
      <c r="Q223" s="28">
        <f t="shared" si="83"/>
        <v>2</v>
      </c>
      <c r="R223" s="28">
        <f t="shared" si="84"/>
        <v>3</v>
      </c>
      <c r="S223" s="28">
        <f t="shared" si="85"/>
        <v>15</v>
      </c>
      <c r="T223" s="28">
        <f t="shared" si="86"/>
        <v>452</v>
      </c>
      <c r="U223" s="29">
        <f t="shared" si="87"/>
        <v>0.95575221238938057</v>
      </c>
      <c r="V223" s="29">
        <f t="shared" si="88"/>
        <v>4.4247787610619468E-3</v>
      </c>
      <c r="W223" s="29">
        <f t="shared" si="89"/>
        <v>6.6371681415929203E-3</v>
      </c>
      <c r="X223" s="29">
        <f t="shared" si="90"/>
        <v>3.3185840707964605E-2</v>
      </c>
      <c r="Y223" s="30">
        <f t="shared" si="91"/>
        <v>28.72419737951115</v>
      </c>
    </row>
    <row r="224" spans="1:25" x14ac:dyDescent="0.25">
      <c r="A224" s="26"/>
      <c r="B224" s="26"/>
      <c r="C224" s="28" t="s">
        <v>129</v>
      </c>
      <c r="D224" s="28">
        <v>4</v>
      </c>
      <c r="E224" s="26">
        <f t="shared" ref="E224:M224" si="95">E214+E204</f>
        <v>2</v>
      </c>
      <c r="F224" s="26">
        <f t="shared" si="95"/>
        <v>2</v>
      </c>
      <c r="G224" s="26">
        <f t="shared" si="95"/>
        <v>1</v>
      </c>
      <c r="H224" s="26">
        <f t="shared" si="95"/>
        <v>0</v>
      </c>
      <c r="I224" s="26">
        <f t="shared" si="95"/>
        <v>1</v>
      </c>
      <c r="J224" s="26">
        <f t="shared" si="95"/>
        <v>1</v>
      </c>
      <c r="K224" s="26">
        <f t="shared" si="95"/>
        <v>445</v>
      </c>
      <c r="L224" s="26">
        <f t="shared" si="95"/>
        <v>0</v>
      </c>
      <c r="M224" s="26">
        <f t="shared" si="95"/>
        <v>452</v>
      </c>
      <c r="N224" s="32">
        <f t="shared" si="93"/>
        <v>34.602092352092356</v>
      </c>
      <c r="O224" s="26"/>
      <c r="P224" s="28">
        <f t="shared" si="82"/>
        <v>445</v>
      </c>
      <c r="Q224" s="28">
        <f t="shared" si="83"/>
        <v>0</v>
      </c>
      <c r="R224" s="28">
        <f t="shared" si="84"/>
        <v>1</v>
      </c>
      <c r="S224" s="28">
        <f t="shared" si="85"/>
        <v>6</v>
      </c>
      <c r="T224" s="28">
        <f t="shared" si="86"/>
        <v>452</v>
      </c>
      <c r="U224" s="29">
        <f t="shared" si="87"/>
        <v>0.98451327433628322</v>
      </c>
      <c r="V224" s="29">
        <f t="shared" si="88"/>
        <v>0</v>
      </c>
      <c r="W224" s="29">
        <f t="shared" si="89"/>
        <v>2.2123893805309734E-3</v>
      </c>
      <c r="X224" s="29">
        <f t="shared" si="90"/>
        <v>1.3274336283185841E-2</v>
      </c>
      <c r="Y224" s="30">
        <f t="shared" si="91"/>
        <v>34.602092352092356</v>
      </c>
    </row>
    <row r="225" spans="1:25" x14ac:dyDescent="0.25">
      <c r="A225" s="26"/>
      <c r="B225" s="26"/>
      <c r="C225" s="28" t="s">
        <v>129</v>
      </c>
      <c r="D225" s="28">
        <v>5</v>
      </c>
      <c r="E225" s="26">
        <f t="shared" ref="E225:M225" si="96">E215+E205</f>
        <v>1</v>
      </c>
      <c r="F225" s="26">
        <f t="shared" si="96"/>
        <v>1</v>
      </c>
      <c r="G225" s="26">
        <f t="shared" si="96"/>
        <v>2</v>
      </c>
      <c r="H225" s="26">
        <f t="shared" si="96"/>
        <v>0</v>
      </c>
      <c r="I225" s="26">
        <f t="shared" si="96"/>
        <v>1</v>
      </c>
      <c r="J225" s="26">
        <f t="shared" si="96"/>
        <v>0</v>
      </c>
      <c r="K225" s="26">
        <f t="shared" si="96"/>
        <v>447</v>
      </c>
      <c r="L225" s="26">
        <f t="shared" si="96"/>
        <v>0</v>
      </c>
      <c r="M225" s="26">
        <f t="shared" si="96"/>
        <v>452</v>
      </c>
      <c r="N225" s="32">
        <f t="shared" si="93"/>
        <v>29.785551828054814</v>
      </c>
      <c r="O225" s="26"/>
      <c r="P225" s="28">
        <f t="shared" si="82"/>
        <v>447</v>
      </c>
      <c r="Q225" s="28">
        <f t="shared" si="83"/>
        <v>0</v>
      </c>
      <c r="R225" s="28">
        <f t="shared" si="84"/>
        <v>1</v>
      </c>
      <c r="S225" s="28">
        <f t="shared" si="85"/>
        <v>4</v>
      </c>
      <c r="T225" s="28">
        <f t="shared" si="86"/>
        <v>452</v>
      </c>
      <c r="U225" s="29">
        <f t="shared" si="87"/>
        <v>0.98893805309734517</v>
      </c>
      <c r="V225" s="29">
        <f t="shared" si="88"/>
        <v>0</v>
      </c>
      <c r="W225" s="29">
        <f t="shared" si="89"/>
        <v>2.2123893805309734E-3</v>
      </c>
      <c r="X225" s="29">
        <f t="shared" si="90"/>
        <v>8.8495575221238937E-3</v>
      </c>
      <c r="Y225" s="30">
        <f t="shared" si="91"/>
        <v>29.785551828054814</v>
      </c>
    </row>
    <row r="226" spans="1:25" x14ac:dyDescent="0.25">
      <c r="A226" s="26"/>
      <c r="B226" s="26"/>
      <c r="C226" s="28" t="s">
        <v>129</v>
      </c>
      <c r="D226" s="28">
        <v>6</v>
      </c>
      <c r="E226" s="26">
        <f t="shared" ref="E226:M226" si="97">E216+E206</f>
        <v>0</v>
      </c>
      <c r="F226" s="26">
        <f t="shared" si="97"/>
        <v>0</v>
      </c>
      <c r="G226" s="26">
        <f t="shared" si="97"/>
        <v>5</v>
      </c>
      <c r="H226" s="26">
        <f t="shared" si="97"/>
        <v>0</v>
      </c>
      <c r="I226" s="26">
        <f t="shared" si="97"/>
        <v>0</v>
      </c>
      <c r="J226" s="26">
        <f t="shared" si="97"/>
        <v>0</v>
      </c>
      <c r="K226" s="26">
        <f t="shared" si="97"/>
        <v>447</v>
      </c>
      <c r="L226" s="26">
        <f t="shared" si="97"/>
        <v>0</v>
      </c>
      <c r="M226" s="26">
        <f t="shared" si="97"/>
        <v>452</v>
      </c>
      <c r="N226" s="32">
        <f t="shared" si="93"/>
        <v>26.58820873961719</v>
      </c>
      <c r="O226" s="26"/>
      <c r="P226" s="28">
        <f t="shared" si="82"/>
        <v>447</v>
      </c>
      <c r="Q226" s="28">
        <f t="shared" si="83"/>
        <v>0</v>
      </c>
      <c r="R226" s="28">
        <f t="shared" si="84"/>
        <v>0</v>
      </c>
      <c r="S226" s="28">
        <f t="shared" si="85"/>
        <v>5</v>
      </c>
      <c r="T226" s="28">
        <f t="shared" si="86"/>
        <v>452</v>
      </c>
      <c r="U226" s="29">
        <f t="shared" si="87"/>
        <v>0.98893805309734517</v>
      </c>
      <c r="V226" s="29">
        <f t="shared" si="88"/>
        <v>0</v>
      </c>
      <c r="W226" s="29">
        <f t="shared" si="89"/>
        <v>0</v>
      </c>
      <c r="X226" s="29">
        <f t="shared" si="90"/>
        <v>1.1061946902654867E-2</v>
      </c>
      <c r="Y226" s="30">
        <f t="shared" si="91"/>
        <v>26.58820873961719</v>
      </c>
    </row>
    <row r="227" spans="1:25" x14ac:dyDescent="0.25">
      <c r="A227" s="26"/>
      <c r="B227" s="26"/>
      <c r="C227" s="28" t="s">
        <v>129</v>
      </c>
      <c r="D227" s="28">
        <v>7</v>
      </c>
      <c r="E227" s="26">
        <f t="shared" ref="E227:M227" si="98">E217+E207</f>
        <v>0</v>
      </c>
      <c r="F227" s="26">
        <f t="shared" si="98"/>
        <v>0</v>
      </c>
      <c r="G227" s="26">
        <f t="shared" si="98"/>
        <v>8</v>
      </c>
      <c r="H227" s="26">
        <f t="shared" si="98"/>
        <v>4</v>
      </c>
      <c r="I227" s="26">
        <f t="shared" si="98"/>
        <v>5</v>
      </c>
      <c r="J227" s="26">
        <f t="shared" si="98"/>
        <v>2</v>
      </c>
      <c r="K227" s="26">
        <f t="shared" si="98"/>
        <v>433</v>
      </c>
      <c r="L227" s="26">
        <f t="shared" si="98"/>
        <v>0</v>
      </c>
      <c r="M227" s="26">
        <f t="shared" si="98"/>
        <v>452</v>
      </c>
      <c r="N227" s="32">
        <f t="shared" si="93"/>
        <v>30.019329620903832</v>
      </c>
      <c r="O227" s="26"/>
      <c r="P227" s="28">
        <f t="shared" si="82"/>
        <v>433</v>
      </c>
      <c r="Q227" s="28">
        <f t="shared" si="83"/>
        <v>4</v>
      </c>
      <c r="R227" s="28">
        <f t="shared" si="84"/>
        <v>5</v>
      </c>
      <c r="S227" s="28">
        <f t="shared" si="85"/>
        <v>10</v>
      </c>
      <c r="T227" s="28">
        <f t="shared" si="86"/>
        <v>452</v>
      </c>
      <c r="U227" s="29">
        <f t="shared" si="87"/>
        <v>0.95796460176991149</v>
      </c>
      <c r="V227" s="29">
        <f t="shared" si="88"/>
        <v>8.8495575221238937E-3</v>
      </c>
      <c r="W227" s="29">
        <f t="shared" si="89"/>
        <v>1.1061946902654867E-2</v>
      </c>
      <c r="X227" s="29">
        <f t="shared" si="90"/>
        <v>2.2123893805309734E-2</v>
      </c>
      <c r="Y227" s="30">
        <f t="shared" si="91"/>
        <v>30.019329620903832</v>
      </c>
    </row>
    <row r="228" spans="1:25" x14ac:dyDescent="0.25">
      <c r="A228" s="26"/>
      <c r="B228" s="26"/>
      <c r="C228" s="28" t="s">
        <v>129</v>
      </c>
      <c r="D228" s="28">
        <v>8</v>
      </c>
      <c r="E228" s="26">
        <f t="shared" ref="E228:M228" si="99">E218+E208</f>
        <v>4</v>
      </c>
      <c r="F228" s="26">
        <f t="shared" si="99"/>
        <v>11</v>
      </c>
      <c r="G228" s="26">
        <f t="shared" si="99"/>
        <v>58</v>
      </c>
      <c r="H228" s="26">
        <f t="shared" si="99"/>
        <v>14</v>
      </c>
      <c r="I228" s="26">
        <f t="shared" si="99"/>
        <v>44</v>
      </c>
      <c r="J228" s="26">
        <f t="shared" si="99"/>
        <v>2</v>
      </c>
      <c r="K228" s="26">
        <f t="shared" si="99"/>
        <v>316</v>
      </c>
      <c r="L228" s="26">
        <f t="shared" si="99"/>
        <v>3</v>
      </c>
      <c r="M228" s="26">
        <f t="shared" si="99"/>
        <v>452</v>
      </c>
      <c r="N228" s="32">
        <f t="shared" si="93"/>
        <v>32.010060415024952</v>
      </c>
      <c r="O228" s="26"/>
      <c r="P228" s="28">
        <f t="shared" si="82"/>
        <v>316</v>
      </c>
      <c r="Q228" s="28">
        <f t="shared" si="83"/>
        <v>14</v>
      </c>
      <c r="R228" s="28">
        <f t="shared" si="84"/>
        <v>44</v>
      </c>
      <c r="S228" s="28">
        <f t="shared" si="85"/>
        <v>78</v>
      </c>
      <c r="T228" s="28">
        <f t="shared" si="86"/>
        <v>452</v>
      </c>
      <c r="U228" s="29">
        <f t="shared" si="87"/>
        <v>0.69911504424778759</v>
      </c>
      <c r="V228" s="29">
        <f t="shared" si="88"/>
        <v>3.0973451327433628E-2</v>
      </c>
      <c r="W228" s="29">
        <f t="shared" si="89"/>
        <v>9.7345132743362831E-2</v>
      </c>
      <c r="X228" s="29">
        <f t="shared" si="90"/>
        <v>0.17256637168141592</v>
      </c>
      <c r="Y228" s="30">
        <f t="shared" si="91"/>
        <v>32.010060415024952</v>
      </c>
    </row>
    <row r="229" spans="1:25" x14ac:dyDescent="0.25">
      <c r="A229" s="26"/>
      <c r="B229" s="26"/>
      <c r="C229" s="28" t="s">
        <v>129</v>
      </c>
      <c r="D229" s="28">
        <v>9</v>
      </c>
      <c r="E229" s="26">
        <f t="shared" ref="E229:M229" si="100">E219+E209</f>
        <v>8</v>
      </c>
      <c r="F229" s="26">
        <f t="shared" si="100"/>
        <v>10</v>
      </c>
      <c r="G229" s="26">
        <f t="shared" si="100"/>
        <v>20</v>
      </c>
      <c r="H229" s="26">
        <f t="shared" si="100"/>
        <v>1</v>
      </c>
      <c r="I229" s="26">
        <f t="shared" si="100"/>
        <v>10</v>
      </c>
      <c r="J229" s="26">
        <f t="shared" si="100"/>
        <v>1</v>
      </c>
      <c r="K229" s="26">
        <f t="shared" si="100"/>
        <v>404</v>
      </c>
      <c r="L229" s="26">
        <f t="shared" si="100"/>
        <v>1</v>
      </c>
      <c r="M229" s="26">
        <f t="shared" si="100"/>
        <v>455</v>
      </c>
      <c r="N229" s="32">
        <f t="shared" si="93"/>
        <v>35.359168761785043</v>
      </c>
      <c r="O229" s="26"/>
      <c r="P229" s="28">
        <f t="shared" si="82"/>
        <v>404</v>
      </c>
      <c r="Q229" s="28">
        <f t="shared" si="83"/>
        <v>1</v>
      </c>
      <c r="R229" s="28">
        <f t="shared" si="84"/>
        <v>10</v>
      </c>
      <c r="S229" s="28">
        <f t="shared" si="85"/>
        <v>40</v>
      </c>
      <c r="T229" s="28">
        <f t="shared" si="86"/>
        <v>455</v>
      </c>
      <c r="U229" s="29">
        <f t="shared" si="87"/>
        <v>0.88791208791208787</v>
      </c>
      <c r="V229" s="29">
        <f t="shared" si="88"/>
        <v>2.1978021978021978E-3</v>
      </c>
      <c r="W229" s="29">
        <f t="shared" si="89"/>
        <v>2.197802197802198E-2</v>
      </c>
      <c r="X229" s="29">
        <f t="shared" si="90"/>
        <v>8.7912087912087919E-2</v>
      </c>
      <c r="Y229" s="30">
        <f t="shared" si="91"/>
        <v>35.359168761785043</v>
      </c>
    </row>
    <row r="230" spans="1:25" x14ac:dyDescent="0.25">
      <c r="A230" s="26"/>
      <c r="B230" s="26"/>
      <c r="C230" s="28" t="s">
        <v>129</v>
      </c>
      <c r="D230" s="28">
        <v>10</v>
      </c>
      <c r="E230" s="26">
        <f t="shared" ref="E230:M230" si="101">E220+E210</f>
        <v>2</v>
      </c>
      <c r="F230" s="26">
        <f t="shared" si="101"/>
        <v>9</v>
      </c>
      <c r="G230" s="26">
        <f t="shared" si="101"/>
        <v>15</v>
      </c>
      <c r="H230" s="26">
        <f t="shared" si="101"/>
        <v>0</v>
      </c>
      <c r="I230" s="26">
        <f t="shared" si="101"/>
        <v>6</v>
      </c>
      <c r="J230" s="26">
        <f t="shared" si="101"/>
        <v>1</v>
      </c>
      <c r="K230" s="26">
        <f t="shared" si="101"/>
        <v>422</v>
      </c>
      <c r="L230" s="26">
        <f t="shared" si="101"/>
        <v>0</v>
      </c>
      <c r="M230" s="26">
        <f t="shared" si="101"/>
        <v>455</v>
      </c>
      <c r="N230" s="32">
        <f t="shared" si="93"/>
        <v>33.467032967032964</v>
      </c>
      <c r="O230" s="26"/>
      <c r="P230" s="28">
        <f t="shared" si="82"/>
        <v>422</v>
      </c>
      <c r="Q230" s="28">
        <f t="shared" si="83"/>
        <v>0</v>
      </c>
      <c r="R230" s="28">
        <f t="shared" si="84"/>
        <v>6</v>
      </c>
      <c r="S230" s="28">
        <f t="shared" si="85"/>
        <v>27</v>
      </c>
      <c r="T230" s="28">
        <f t="shared" si="86"/>
        <v>455</v>
      </c>
      <c r="U230" s="29">
        <f t="shared" si="87"/>
        <v>0.92747252747252751</v>
      </c>
      <c r="V230" s="29">
        <f t="shared" si="88"/>
        <v>0</v>
      </c>
      <c r="W230" s="29">
        <f t="shared" si="89"/>
        <v>1.3186813186813187E-2</v>
      </c>
      <c r="X230" s="29">
        <f t="shared" si="90"/>
        <v>5.9340659340659338E-2</v>
      </c>
      <c r="Y230" s="30">
        <f t="shared" si="91"/>
        <v>33.467032967032964</v>
      </c>
    </row>
    <row r="231" spans="1:25" x14ac:dyDescent="0.25">
      <c r="A231" s="28" t="s">
        <v>276</v>
      </c>
      <c r="B231" s="28" t="s">
        <v>277</v>
      </c>
      <c r="C231" s="28" t="s">
        <v>135</v>
      </c>
      <c r="D231" s="28">
        <v>1</v>
      </c>
      <c r="E231" s="28"/>
      <c r="F231" s="28"/>
      <c r="G231" s="28"/>
      <c r="H231" s="28"/>
      <c r="I231" s="28"/>
      <c r="J231" s="28"/>
      <c r="K231" s="28">
        <v>16</v>
      </c>
      <c r="L231" s="28"/>
      <c r="M231" s="28">
        <v>16</v>
      </c>
      <c r="N231" s="30">
        <v>32.8125</v>
      </c>
      <c r="O231" s="28" t="s">
        <v>234</v>
      </c>
      <c r="P231" s="28">
        <f t="shared" ref="P231:P240" si="102">K231</f>
        <v>16</v>
      </c>
      <c r="Q231" s="28">
        <f t="shared" ref="Q231:Q240" si="103">H231</f>
        <v>0</v>
      </c>
      <c r="R231" s="28">
        <f t="shared" ref="R231:R240" si="104">I231</f>
        <v>0</v>
      </c>
      <c r="S231" s="28">
        <f t="shared" ref="S231:S240" si="105">M231-SUM(P231:R231)</f>
        <v>0</v>
      </c>
      <c r="T231" s="28">
        <f t="shared" ref="T231:T240" si="106">SUM(P231:S231)</f>
        <v>16</v>
      </c>
      <c r="U231" s="29">
        <f t="shared" ref="U231:U240" si="107">P231/M231</f>
        <v>1</v>
      </c>
      <c r="V231" s="29">
        <f t="shared" ref="V231:V240" si="108">Q231/M231</f>
        <v>0</v>
      </c>
      <c r="W231" s="29">
        <f t="shared" ref="W231:W240" si="109">R231/M231</f>
        <v>0</v>
      </c>
      <c r="X231" s="29">
        <f t="shared" ref="X231:X240" si="110">S231/M231</f>
        <v>0</v>
      </c>
      <c r="Y231" s="30">
        <f t="shared" ref="Y231:Y240" si="111">N231</f>
        <v>32.8125</v>
      </c>
    </row>
    <row r="232" spans="1:25" x14ac:dyDescent="0.25">
      <c r="A232" s="28" t="s">
        <v>286</v>
      </c>
      <c r="B232" s="28" t="s">
        <v>287</v>
      </c>
      <c r="C232" s="28" t="s">
        <v>135</v>
      </c>
      <c r="D232" s="28">
        <v>1</v>
      </c>
      <c r="E232" s="28"/>
      <c r="F232" s="28"/>
      <c r="G232" s="28"/>
      <c r="H232" s="28">
        <v>1</v>
      </c>
      <c r="I232" s="28"/>
      <c r="J232" s="28"/>
      <c r="K232" s="28">
        <v>11</v>
      </c>
      <c r="L232" s="28"/>
      <c r="M232" s="28">
        <v>12</v>
      </c>
      <c r="N232" s="30">
        <v>39.666666666666664</v>
      </c>
      <c r="O232" s="28" t="s">
        <v>234</v>
      </c>
      <c r="P232" s="28">
        <f t="shared" si="102"/>
        <v>11</v>
      </c>
      <c r="Q232" s="28">
        <f t="shared" si="103"/>
        <v>1</v>
      </c>
      <c r="R232" s="28">
        <f t="shared" si="104"/>
        <v>0</v>
      </c>
      <c r="S232" s="28">
        <f t="shared" si="105"/>
        <v>0</v>
      </c>
      <c r="T232" s="28">
        <f t="shared" si="106"/>
        <v>12</v>
      </c>
      <c r="U232" s="29">
        <f t="shared" si="107"/>
        <v>0.91666666666666663</v>
      </c>
      <c r="V232" s="29">
        <f t="shared" si="108"/>
        <v>8.3333333333333329E-2</v>
      </c>
      <c r="W232" s="29">
        <f t="shared" si="109"/>
        <v>0</v>
      </c>
      <c r="X232" s="29">
        <f t="shared" si="110"/>
        <v>0</v>
      </c>
      <c r="Y232" s="30">
        <f t="shared" si="111"/>
        <v>39.666666666666664</v>
      </c>
    </row>
    <row r="233" spans="1:25" x14ac:dyDescent="0.25">
      <c r="A233" s="28" t="s">
        <v>288</v>
      </c>
      <c r="B233" s="28" t="s">
        <v>289</v>
      </c>
      <c r="C233" s="28" t="s">
        <v>135</v>
      </c>
      <c r="D233" s="28">
        <v>1</v>
      </c>
      <c r="E233" s="28"/>
      <c r="F233" s="28"/>
      <c r="G233" s="28"/>
      <c r="H233" s="28"/>
      <c r="I233" s="28">
        <v>1</v>
      </c>
      <c r="J233" s="28"/>
      <c r="K233" s="28">
        <v>14</v>
      </c>
      <c r="L233" s="28"/>
      <c r="M233" s="28">
        <v>15</v>
      </c>
      <c r="N233" s="30">
        <v>42.93333333333333</v>
      </c>
      <c r="O233" s="28" t="s">
        <v>234</v>
      </c>
      <c r="P233" s="28">
        <f t="shared" si="102"/>
        <v>14</v>
      </c>
      <c r="Q233" s="28">
        <f t="shared" si="103"/>
        <v>0</v>
      </c>
      <c r="R233" s="28">
        <f t="shared" si="104"/>
        <v>1</v>
      </c>
      <c r="S233" s="28">
        <f t="shared" si="105"/>
        <v>0</v>
      </c>
      <c r="T233" s="28">
        <f t="shared" si="106"/>
        <v>15</v>
      </c>
      <c r="U233" s="29">
        <f t="shared" si="107"/>
        <v>0.93333333333333335</v>
      </c>
      <c r="V233" s="29">
        <f t="shared" si="108"/>
        <v>0</v>
      </c>
      <c r="W233" s="29">
        <f t="shared" si="109"/>
        <v>6.6666666666666666E-2</v>
      </c>
      <c r="X233" s="29">
        <f t="shared" si="110"/>
        <v>0</v>
      </c>
      <c r="Y233" s="30">
        <f t="shared" si="111"/>
        <v>42.93333333333333</v>
      </c>
    </row>
    <row r="234" spans="1:25" x14ac:dyDescent="0.25">
      <c r="A234" s="26"/>
      <c r="B234" s="26"/>
      <c r="C234" s="26" t="str">
        <f>C233</f>
        <v>KHEMAH B, IBU PEJABAT POLIS DAERAH PORT DICKSON (DUN LINGGI)</v>
      </c>
      <c r="D234" s="26">
        <f>D233</f>
        <v>1</v>
      </c>
      <c r="E234" s="26">
        <f>SUM(E231:E233)</f>
        <v>0</v>
      </c>
      <c r="F234" s="26">
        <f t="shared" ref="F234:M234" si="112">SUM(F231:F233)</f>
        <v>0</v>
      </c>
      <c r="G234" s="26">
        <f t="shared" si="112"/>
        <v>0</v>
      </c>
      <c r="H234" s="26">
        <f t="shared" si="112"/>
        <v>1</v>
      </c>
      <c r="I234" s="26">
        <f t="shared" si="112"/>
        <v>1</v>
      </c>
      <c r="J234" s="26">
        <f t="shared" si="112"/>
        <v>0</v>
      </c>
      <c r="K234" s="26">
        <f t="shared" si="112"/>
        <v>41</v>
      </c>
      <c r="L234" s="26">
        <f t="shared" si="112"/>
        <v>0</v>
      </c>
      <c r="M234" s="26">
        <f t="shared" si="112"/>
        <v>43</v>
      </c>
      <c r="N234" s="32">
        <f>AVERAGE(N231:N233)</f>
        <v>38.470833333333331</v>
      </c>
      <c r="O234" s="26"/>
      <c r="P234" s="28">
        <f t="shared" si="102"/>
        <v>41</v>
      </c>
      <c r="Q234" s="28">
        <f t="shared" si="103"/>
        <v>1</v>
      </c>
      <c r="R234" s="28">
        <f t="shared" si="104"/>
        <v>1</v>
      </c>
      <c r="S234" s="28">
        <f t="shared" si="105"/>
        <v>0</v>
      </c>
      <c r="T234" s="28">
        <f t="shared" si="106"/>
        <v>43</v>
      </c>
      <c r="U234" s="29">
        <f t="shared" si="107"/>
        <v>0.95348837209302328</v>
      </c>
      <c r="V234" s="29">
        <f t="shared" si="108"/>
        <v>2.3255813953488372E-2</v>
      </c>
      <c r="W234" s="29">
        <f t="shared" si="109"/>
        <v>2.3255813953488372E-2</v>
      </c>
      <c r="X234" s="29">
        <f t="shared" si="110"/>
        <v>0</v>
      </c>
      <c r="Y234" s="30">
        <f t="shared" si="111"/>
        <v>38.470833333333331</v>
      </c>
    </row>
    <row r="235" spans="1:25" x14ac:dyDescent="0.25">
      <c r="A235" s="28" t="s">
        <v>288</v>
      </c>
      <c r="B235" s="28" t="s">
        <v>289</v>
      </c>
      <c r="C235" s="28" t="s">
        <v>136</v>
      </c>
      <c r="D235" s="28">
        <v>1</v>
      </c>
      <c r="E235" s="28">
        <v>4</v>
      </c>
      <c r="F235" s="28">
        <v>13</v>
      </c>
      <c r="G235" s="28">
        <v>35</v>
      </c>
      <c r="H235" s="28">
        <v>5</v>
      </c>
      <c r="I235" s="28">
        <v>26</v>
      </c>
      <c r="J235" s="28">
        <v>3</v>
      </c>
      <c r="K235" s="28">
        <v>375</v>
      </c>
      <c r="L235" s="28">
        <v>4</v>
      </c>
      <c r="M235" s="28">
        <v>465</v>
      </c>
      <c r="N235" s="30">
        <v>33.032258064516128</v>
      </c>
      <c r="O235" s="28" t="s">
        <v>234</v>
      </c>
      <c r="P235" s="28">
        <f t="shared" si="102"/>
        <v>375</v>
      </c>
      <c r="Q235" s="28">
        <f t="shared" si="103"/>
        <v>5</v>
      </c>
      <c r="R235" s="28">
        <f t="shared" si="104"/>
        <v>26</v>
      </c>
      <c r="S235" s="28">
        <f t="shared" si="105"/>
        <v>59</v>
      </c>
      <c r="T235" s="28">
        <f t="shared" si="106"/>
        <v>465</v>
      </c>
      <c r="U235" s="29">
        <f t="shared" si="107"/>
        <v>0.80645161290322576</v>
      </c>
      <c r="V235" s="29">
        <f t="shared" si="108"/>
        <v>1.0752688172043012E-2</v>
      </c>
      <c r="W235" s="29">
        <f t="shared" si="109"/>
        <v>5.5913978494623658E-2</v>
      </c>
      <c r="X235" s="29">
        <f t="shared" si="110"/>
        <v>0.12688172043010754</v>
      </c>
      <c r="Y235" s="30">
        <f t="shared" si="111"/>
        <v>33.032258064516128</v>
      </c>
    </row>
    <row r="236" spans="1:25" x14ac:dyDescent="0.25">
      <c r="A236" s="28" t="s">
        <v>288</v>
      </c>
      <c r="B236" s="28" t="s">
        <v>289</v>
      </c>
      <c r="C236" s="28" t="s">
        <v>136</v>
      </c>
      <c r="D236" s="28">
        <v>2</v>
      </c>
      <c r="E236" s="28">
        <v>2</v>
      </c>
      <c r="F236" s="28">
        <v>2</v>
      </c>
      <c r="G236" s="28"/>
      <c r="H236" s="28"/>
      <c r="I236" s="28">
        <v>1</v>
      </c>
      <c r="J236" s="28">
        <v>1</v>
      </c>
      <c r="K236" s="28">
        <v>459</v>
      </c>
      <c r="L236" s="28"/>
      <c r="M236" s="28">
        <v>465</v>
      </c>
      <c r="N236" s="30">
        <v>34.21290322580645</v>
      </c>
      <c r="O236" s="28" t="s">
        <v>234</v>
      </c>
      <c r="P236" s="28">
        <f t="shared" si="102"/>
        <v>459</v>
      </c>
      <c r="Q236" s="28">
        <f t="shared" si="103"/>
        <v>0</v>
      </c>
      <c r="R236" s="28">
        <f t="shared" si="104"/>
        <v>1</v>
      </c>
      <c r="S236" s="28">
        <f t="shared" si="105"/>
        <v>5</v>
      </c>
      <c r="T236" s="28">
        <f t="shared" si="106"/>
        <v>465</v>
      </c>
      <c r="U236" s="29">
        <f t="shared" si="107"/>
        <v>0.98709677419354835</v>
      </c>
      <c r="V236" s="29">
        <f t="shared" si="108"/>
        <v>0</v>
      </c>
      <c r="W236" s="29">
        <f t="shared" si="109"/>
        <v>2.1505376344086021E-3</v>
      </c>
      <c r="X236" s="29">
        <f t="shared" si="110"/>
        <v>1.0752688172043012E-2</v>
      </c>
      <c r="Y236" s="30">
        <f t="shared" si="111"/>
        <v>34.21290322580645</v>
      </c>
    </row>
    <row r="237" spans="1:25" x14ac:dyDescent="0.25">
      <c r="A237" s="28" t="s">
        <v>288</v>
      </c>
      <c r="B237" s="28" t="s">
        <v>289</v>
      </c>
      <c r="C237" s="28" t="s">
        <v>136</v>
      </c>
      <c r="D237" s="28">
        <v>3</v>
      </c>
      <c r="E237" s="28">
        <v>5</v>
      </c>
      <c r="F237" s="28">
        <v>5</v>
      </c>
      <c r="G237" s="28">
        <v>11</v>
      </c>
      <c r="H237" s="28">
        <v>3</v>
      </c>
      <c r="I237" s="28">
        <v>12</v>
      </c>
      <c r="J237" s="28">
        <v>1</v>
      </c>
      <c r="K237" s="28">
        <v>427</v>
      </c>
      <c r="L237" s="28">
        <v>1</v>
      </c>
      <c r="M237" s="28">
        <v>465</v>
      </c>
      <c r="N237" s="30">
        <v>31.765591397849462</v>
      </c>
      <c r="O237" s="28" t="s">
        <v>234</v>
      </c>
      <c r="P237" s="28">
        <f t="shared" si="102"/>
        <v>427</v>
      </c>
      <c r="Q237" s="28">
        <f t="shared" si="103"/>
        <v>3</v>
      </c>
      <c r="R237" s="28">
        <f t="shared" si="104"/>
        <v>12</v>
      </c>
      <c r="S237" s="28">
        <f t="shared" si="105"/>
        <v>23</v>
      </c>
      <c r="T237" s="28">
        <f t="shared" si="106"/>
        <v>465</v>
      </c>
      <c r="U237" s="29">
        <f t="shared" si="107"/>
        <v>0.91827956989247317</v>
      </c>
      <c r="V237" s="29">
        <f t="shared" si="108"/>
        <v>6.4516129032258064E-3</v>
      </c>
      <c r="W237" s="29">
        <f t="shared" si="109"/>
        <v>2.5806451612903226E-2</v>
      </c>
      <c r="X237" s="29">
        <f t="shared" si="110"/>
        <v>4.9462365591397849E-2</v>
      </c>
      <c r="Y237" s="30">
        <f t="shared" si="111"/>
        <v>31.765591397849462</v>
      </c>
    </row>
    <row r="238" spans="1:25" x14ac:dyDescent="0.25">
      <c r="A238" s="28" t="s">
        <v>288</v>
      </c>
      <c r="B238" s="28" t="s">
        <v>289</v>
      </c>
      <c r="C238" s="28" t="s">
        <v>136</v>
      </c>
      <c r="D238" s="28">
        <v>4</v>
      </c>
      <c r="E238" s="28">
        <v>5</v>
      </c>
      <c r="F238" s="28">
        <v>10</v>
      </c>
      <c r="G238" s="28">
        <v>30</v>
      </c>
      <c r="H238" s="28">
        <v>5</v>
      </c>
      <c r="I238" s="28">
        <v>17</v>
      </c>
      <c r="J238" s="28">
        <v>1</v>
      </c>
      <c r="K238" s="28">
        <v>396</v>
      </c>
      <c r="L238" s="28">
        <v>1</v>
      </c>
      <c r="M238" s="28">
        <v>465</v>
      </c>
      <c r="N238" s="30">
        <v>35.253763440860212</v>
      </c>
      <c r="O238" s="28" t="s">
        <v>234</v>
      </c>
      <c r="P238" s="28">
        <f t="shared" si="102"/>
        <v>396</v>
      </c>
      <c r="Q238" s="28">
        <f t="shared" si="103"/>
        <v>5</v>
      </c>
      <c r="R238" s="28">
        <f t="shared" si="104"/>
        <v>17</v>
      </c>
      <c r="S238" s="28">
        <f t="shared" si="105"/>
        <v>47</v>
      </c>
      <c r="T238" s="28">
        <f t="shared" si="106"/>
        <v>465</v>
      </c>
      <c r="U238" s="29">
        <f t="shared" si="107"/>
        <v>0.85161290322580641</v>
      </c>
      <c r="V238" s="29">
        <f t="shared" si="108"/>
        <v>1.0752688172043012E-2</v>
      </c>
      <c r="W238" s="29">
        <f t="shared" si="109"/>
        <v>3.6559139784946237E-2</v>
      </c>
      <c r="X238" s="29">
        <f t="shared" si="110"/>
        <v>0.1010752688172043</v>
      </c>
      <c r="Y238" s="30">
        <f t="shared" si="111"/>
        <v>35.253763440860212</v>
      </c>
    </row>
    <row r="239" spans="1:25" x14ac:dyDescent="0.25">
      <c r="A239" s="28" t="s">
        <v>288</v>
      </c>
      <c r="B239" s="28" t="s">
        <v>289</v>
      </c>
      <c r="C239" s="28" t="s">
        <v>136</v>
      </c>
      <c r="D239" s="28">
        <v>5</v>
      </c>
      <c r="E239" s="28">
        <v>6</v>
      </c>
      <c r="F239" s="28">
        <v>6</v>
      </c>
      <c r="G239" s="28">
        <v>10</v>
      </c>
      <c r="H239" s="28">
        <v>3</v>
      </c>
      <c r="I239" s="28">
        <v>5</v>
      </c>
      <c r="J239" s="28"/>
      <c r="K239" s="28">
        <v>441</v>
      </c>
      <c r="L239" s="28">
        <v>2</v>
      </c>
      <c r="M239" s="28">
        <v>473</v>
      </c>
      <c r="N239" s="30">
        <v>34.103594080338269</v>
      </c>
      <c r="O239" s="28" t="s">
        <v>234</v>
      </c>
      <c r="P239" s="28">
        <f t="shared" si="102"/>
        <v>441</v>
      </c>
      <c r="Q239" s="28">
        <f t="shared" si="103"/>
        <v>3</v>
      </c>
      <c r="R239" s="28">
        <f t="shared" si="104"/>
        <v>5</v>
      </c>
      <c r="S239" s="28">
        <f t="shared" si="105"/>
        <v>24</v>
      </c>
      <c r="T239" s="28">
        <f t="shared" si="106"/>
        <v>473</v>
      </c>
      <c r="U239" s="29">
        <f t="shared" si="107"/>
        <v>0.93234672304439747</v>
      </c>
      <c r="V239" s="29">
        <f t="shared" si="108"/>
        <v>6.3424947145877377E-3</v>
      </c>
      <c r="W239" s="29">
        <f t="shared" si="109"/>
        <v>1.0570824524312896E-2</v>
      </c>
      <c r="X239" s="29">
        <f t="shared" si="110"/>
        <v>5.0739957716701901E-2</v>
      </c>
      <c r="Y239" s="30">
        <f t="shared" si="111"/>
        <v>34.103594080338269</v>
      </c>
    </row>
    <row r="240" spans="1:25" x14ac:dyDescent="0.25">
      <c r="A240" s="28" t="s">
        <v>294</v>
      </c>
      <c r="B240" s="28" t="s">
        <v>295</v>
      </c>
      <c r="C240" s="28" t="s">
        <v>138</v>
      </c>
      <c r="D240" s="28">
        <v>1</v>
      </c>
      <c r="E240" s="28">
        <v>1</v>
      </c>
      <c r="F240" s="28">
        <v>4</v>
      </c>
      <c r="G240" s="28">
        <v>4</v>
      </c>
      <c r="H240" s="28">
        <v>2</v>
      </c>
      <c r="I240" s="28">
        <v>17</v>
      </c>
      <c r="J240" s="28">
        <v>1</v>
      </c>
      <c r="K240" s="28">
        <v>341</v>
      </c>
      <c r="L240" s="28"/>
      <c r="M240" s="28">
        <v>370</v>
      </c>
      <c r="N240" s="30">
        <v>36.662162162162161</v>
      </c>
      <c r="O240" s="28" t="s">
        <v>234</v>
      </c>
      <c r="P240" s="28">
        <f t="shared" si="102"/>
        <v>341</v>
      </c>
      <c r="Q240" s="28">
        <f t="shared" si="103"/>
        <v>2</v>
      </c>
      <c r="R240" s="28">
        <f t="shared" si="104"/>
        <v>17</v>
      </c>
      <c r="S240" s="28">
        <f t="shared" si="105"/>
        <v>10</v>
      </c>
      <c r="T240" s="28">
        <f t="shared" si="106"/>
        <v>370</v>
      </c>
      <c r="U240" s="29">
        <f t="shared" si="107"/>
        <v>0.92162162162162165</v>
      </c>
      <c r="V240" s="29">
        <f t="shared" si="108"/>
        <v>5.4054054054054057E-3</v>
      </c>
      <c r="W240" s="29">
        <f t="shared" si="109"/>
        <v>4.5945945945945948E-2</v>
      </c>
      <c r="X240" s="29">
        <f t="shared" si="110"/>
        <v>2.7027027027027029E-2</v>
      </c>
      <c r="Y240" s="30">
        <f t="shared" si="111"/>
        <v>36.662162162162161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>
      <selection activeCell="A2" sqref="A2:M19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7" width="14" customWidth="1"/>
    <col min="8" max="8" width="14.21875" customWidth="1"/>
    <col min="9" max="10" width="14" customWidth="1"/>
    <col min="11" max="13" width="11.77734375" customWidth="1"/>
  </cols>
  <sheetData>
    <row r="1" spans="1:13" ht="34.799999999999997" customHeight="1" x14ac:dyDescent="0.2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5" customHeight="1" x14ac:dyDescent="0.25">
      <c r="A4" s="49"/>
      <c r="B4" s="49"/>
      <c r="C4" s="49"/>
      <c r="D4" s="52"/>
      <c r="E4" s="55"/>
      <c r="F4" s="4" t="s">
        <v>113</v>
      </c>
      <c r="G4" s="4" t="s">
        <v>114</v>
      </c>
      <c r="H4" s="4" t="s">
        <v>115</v>
      </c>
      <c r="I4" s="4" t="s">
        <v>116</v>
      </c>
      <c r="J4" s="4" t="s">
        <v>117</v>
      </c>
      <c r="K4" s="60"/>
      <c r="L4" s="52"/>
      <c r="M4" s="55"/>
    </row>
    <row r="5" spans="1:13" ht="19.05" customHeight="1" x14ac:dyDescent="0.25">
      <c r="A5" s="5">
        <v>1</v>
      </c>
      <c r="B5" s="61" t="s">
        <v>15</v>
      </c>
      <c r="C5" s="62"/>
      <c r="D5" s="4"/>
      <c r="E5" s="7">
        <v>3246</v>
      </c>
      <c r="F5" s="7">
        <v>1212</v>
      </c>
      <c r="G5" s="8">
        <v>939</v>
      </c>
      <c r="H5" s="8">
        <v>62</v>
      </c>
      <c r="I5" s="8">
        <v>30</v>
      </c>
      <c r="J5" s="8">
        <v>539</v>
      </c>
      <c r="K5" s="9">
        <v>2782</v>
      </c>
      <c r="L5" s="8">
        <v>309</v>
      </c>
      <c r="M5" s="10">
        <v>155</v>
      </c>
    </row>
    <row r="6" spans="1:13" ht="19.05" customHeight="1" x14ac:dyDescent="0.25">
      <c r="A6" s="63" t="s">
        <v>16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5"/>
    </row>
    <row r="7" spans="1:13" ht="32.700000000000003" customHeight="1" x14ac:dyDescent="0.25">
      <c r="A7" s="11">
        <v>2</v>
      </c>
      <c r="B7" s="12" t="s">
        <v>17</v>
      </c>
      <c r="C7" s="6" t="s">
        <v>18</v>
      </c>
      <c r="D7" s="8">
        <v>1</v>
      </c>
      <c r="E7" s="8">
        <v>26</v>
      </c>
      <c r="F7" s="8">
        <v>7</v>
      </c>
      <c r="G7" s="8">
        <v>16</v>
      </c>
      <c r="H7" s="8">
        <v>0</v>
      </c>
      <c r="I7" s="8">
        <v>1</v>
      </c>
      <c r="J7" s="8">
        <v>2</v>
      </c>
      <c r="K7" s="10">
        <v>26</v>
      </c>
      <c r="L7" s="8">
        <v>0</v>
      </c>
      <c r="M7" s="10">
        <v>0</v>
      </c>
    </row>
    <row r="8" spans="1:13" ht="41.7" customHeight="1" x14ac:dyDescent="0.25">
      <c r="A8" s="5">
        <v>3</v>
      </c>
      <c r="B8" s="13" t="s">
        <v>19</v>
      </c>
      <c r="C8" s="6" t="s">
        <v>20</v>
      </c>
      <c r="D8" s="14">
        <v>1</v>
      </c>
      <c r="E8" s="14">
        <v>20</v>
      </c>
      <c r="F8" s="14">
        <v>9</v>
      </c>
      <c r="G8" s="14">
        <v>11</v>
      </c>
      <c r="H8" s="14">
        <v>0</v>
      </c>
      <c r="I8" s="14">
        <v>0</v>
      </c>
      <c r="J8" s="14">
        <v>0</v>
      </c>
      <c r="K8" s="15">
        <v>20</v>
      </c>
      <c r="L8" s="14">
        <v>0</v>
      </c>
      <c r="M8" s="15">
        <v>0</v>
      </c>
    </row>
    <row r="9" spans="1:13" ht="41.7" customHeight="1" x14ac:dyDescent="0.25">
      <c r="A9" s="66">
        <v>4</v>
      </c>
      <c r="B9" s="69" t="s">
        <v>21</v>
      </c>
      <c r="C9" s="6" t="s">
        <v>22</v>
      </c>
      <c r="D9" s="14">
        <v>1</v>
      </c>
      <c r="E9" s="14">
        <v>28</v>
      </c>
      <c r="F9" s="14">
        <v>12</v>
      </c>
      <c r="G9" s="14">
        <v>13</v>
      </c>
      <c r="H9" s="14">
        <v>1</v>
      </c>
      <c r="I9" s="14">
        <v>0</v>
      </c>
      <c r="J9" s="14">
        <v>2</v>
      </c>
      <c r="K9" s="15">
        <v>28</v>
      </c>
      <c r="L9" s="14">
        <v>0</v>
      </c>
      <c r="M9" s="15">
        <v>0</v>
      </c>
    </row>
    <row r="10" spans="1:13" ht="17.25" customHeight="1" x14ac:dyDescent="0.25">
      <c r="A10" s="67"/>
      <c r="B10" s="70"/>
      <c r="C10" s="72" t="s">
        <v>23</v>
      </c>
      <c r="D10" s="8">
        <v>1</v>
      </c>
      <c r="E10" s="8">
        <v>233</v>
      </c>
      <c r="F10" s="8">
        <v>131</v>
      </c>
      <c r="G10" s="8">
        <v>60</v>
      </c>
      <c r="H10" s="8">
        <v>6</v>
      </c>
      <c r="I10" s="8">
        <v>4</v>
      </c>
      <c r="J10" s="8">
        <v>31</v>
      </c>
      <c r="K10" s="10">
        <v>232</v>
      </c>
      <c r="L10" s="8">
        <v>1</v>
      </c>
      <c r="M10" s="10">
        <v>0</v>
      </c>
    </row>
    <row r="11" spans="1:13" ht="17.25" customHeight="1" x14ac:dyDescent="0.25">
      <c r="A11" s="67"/>
      <c r="B11" s="70"/>
      <c r="C11" s="73"/>
      <c r="D11" s="8">
        <v>2</v>
      </c>
      <c r="E11" s="8">
        <v>266</v>
      </c>
      <c r="F11" s="8">
        <v>117</v>
      </c>
      <c r="G11" s="8">
        <v>90</v>
      </c>
      <c r="H11" s="8">
        <v>13</v>
      </c>
      <c r="I11" s="8">
        <v>5</v>
      </c>
      <c r="J11" s="8">
        <v>38</v>
      </c>
      <c r="K11" s="10">
        <v>263</v>
      </c>
      <c r="L11" s="8">
        <v>3</v>
      </c>
      <c r="M11" s="10">
        <v>0</v>
      </c>
    </row>
    <row r="12" spans="1:13" ht="17.25" customHeight="1" x14ac:dyDescent="0.25">
      <c r="A12" s="67"/>
      <c r="B12" s="70"/>
      <c r="C12" s="73"/>
      <c r="D12" s="8">
        <v>3</v>
      </c>
      <c r="E12" s="8">
        <v>254</v>
      </c>
      <c r="F12" s="8">
        <v>165</v>
      </c>
      <c r="G12" s="8">
        <v>49</v>
      </c>
      <c r="H12" s="8">
        <v>6</v>
      </c>
      <c r="I12" s="8">
        <v>3</v>
      </c>
      <c r="J12" s="8">
        <v>25</v>
      </c>
      <c r="K12" s="10">
        <v>248</v>
      </c>
      <c r="L12" s="8">
        <v>6</v>
      </c>
      <c r="M12" s="10">
        <v>0</v>
      </c>
    </row>
    <row r="13" spans="1:13" ht="17.25" customHeight="1" x14ac:dyDescent="0.25">
      <c r="A13" s="67"/>
      <c r="B13" s="70"/>
      <c r="C13" s="73"/>
      <c r="D13" s="8">
        <v>4</v>
      </c>
      <c r="E13" s="8">
        <v>364</v>
      </c>
      <c r="F13" s="8">
        <v>256</v>
      </c>
      <c r="G13" s="8">
        <v>63</v>
      </c>
      <c r="H13" s="8">
        <v>11</v>
      </c>
      <c r="I13" s="8">
        <v>4</v>
      </c>
      <c r="J13" s="8">
        <v>26</v>
      </c>
      <c r="K13" s="10">
        <v>360</v>
      </c>
      <c r="L13" s="8">
        <v>4</v>
      </c>
      <c r="M13" s="10">
        <v>0</v>
      </c>
    </row>
    <row r="14" spans="1:13" ht="17.25" customHeight="1" x14ac:dyDescent="0.25">
      <c r="A14" s="67"/>
      <c r="B14" s="70"/>
      <c r="C14" s="73"/>
      <c r="D14" s="8">
        <v>5</v>
      </c>
      <c r="E14" s="8">
        <v>222</v>
      </c>
      <c r="F14" s="8">
        <v>142</v>
      </c>
      <c r="G14" s="8">
        <v>50</v>
      </c>
      <c r="H14" s="8">
        <v>9</v>
      </c>
      <c r="I14" s="8">
        <v>3</v>
      </c>
      <c r="J14" s="8">
        <v>15</v>
      </c>
      <c r="K14" s="10">
        <v>219</v>
      </c>
      <c r="L14" s="8">
        <v>3</v>
      </c>
      <c r="M14" s="10">
        <v>0</v>
      </c>
    </row>
    <row r="15" spans="1:13" ht="17.25" customHeight="1" x14ac:dyDescent="0.25">
      <c r="A15" s="67"/>
      <c r="B15" s="70"/>
      <c r="C15" s="73"/>
      <c r="D15" s="8">
        <v>6</v>
      </c>
      <c r="E15" s="8">
        <v>192</v>
      </c>
      <c r="F15" s="8">
        <v>126</v>
      </c>
      <c r="G15" s="8">
        <v>48</v>
      </c>
      <c r="H15" s="8">
        <v>2</v>
      </c>
      <c r="I15" s="8">
        <v>1</v>
      </c>
      <c r="J15" s="8">
        <v>11</v>
      </c>
      <c r="K15" s="10">
        <v>188</v>
      </c>
      <c r="L15" s="8">
        <v>4</v>
      </c>
      <c r="M15" s="10">
        <v>0</v>
      </c>
    </row>
    <row r="16" spans="1:13" ht="17.25" customHeight="1" x14ac:dyDescent="0.25">
      <c r="A16" s="67"/>
      <c r="B16" s="70"/>
      <c r="C16" s="73"/>
      <c r="D16" s="8">
        <v>7</v>
      </c>
      <c r="E16" s="8">
        <v>223</v>
      </c>
      <c r="F16" s="8">
        <v>135</v>
      </c>
      <c r="G16" s="8">
        <v>59</v>
      </c>
      <c r="H16" s="8">
        <v>4</v>
      </c>
      <c r="I16" s="8">
        <v>1</v>
      </c>
      <c r="J16" s="8">
        <v>19</v>
      </c>
      <c r="K16" s="10">
        <v>218</v>
      </c>
      <c r="L16" s="8">
        <v>5</v>
      </c>
      <c r="M16" s="10">
        <v>0</v>
      </c>
    </row>
    <row r="17" spans="1:13" ht="17.25" customHeight="1" x14ac:dyDescent="0.25">
      <c r="A17" s="67"/>
      <c r="B17" s="70"/>
      <c r="C17" s="73"/>
      <c r="D17" s="8">
        <v>8</v>
      </c>
      <c r="E17" s="8">
        <v>252</v>
      </c>
      <c r="F17" s="8">
        <v>147</v>
      </c>
      <c r="G17" s="8">
        <v>63</v>
      </c>
      <c r="H17" s="8">
        <v>5</v>
      </c>
      <c r="I17" s="8">
        <v>3</v>
      </c>
      <c r="J17" s="8">
        <v>31</v>
      </c>
      <c r="K17" s="10">
        <v>249</v>
      </c>
      <c r="L17" s="8">
        <v>3</v>
      </c>
      <c r="M17" s="10">
        <v>0</v>
      </c>
    </row>
    <row r="18" spans="1:13" ht="17.25" customHeight="1" x14ac:dyDescent="0.25">
      <c r="A18" s="67"/>
      <c r="B18" s="70"/>
      <c r="C18" s="73"/>
      <c r="D18" s="8">
        <v>9</v>
      </c>
      <c r="E18" s="8">
        <v>416</v>
      </c>
      <c r="F18" s="8">
        <v>244</v>
      </c>
      <c r="G18" s="8">
        <v>115</v>
      </c>
      <c r="H18" s="8">
        <v>7</v>
      </c>
      <c r="I18" s="8">
        <v>7</v>
      </c>
      <c r="J18" s="8">
        <v>39</v>
      </c>
      <c r="K18" s="10">
        <v>412</v>
      </c>
      <c r="L18" s="8">
        <v>4</v>
      </c>
      <c r="M18" s="10">
        <v>0</v>
      </c>
    </row>
    <row r="19" spans="1:13" ht="17.25" customHeight="1" x14ac:dyDescent="0.25">
      <c r="A19" s="68"/>
      <c r="B19" s="71"/>
      <c r="C19" s="74"/>
      <c r="D19" s="8">
        <v>10</v>
      </c>
      <c r="E19" s="8">
        <v>419</v>
      </c>
      <c r="F19" s="8">
        <v>264</v>
      </c>
      <c r="G19" s="8">
        <v>109</v>
      </c>
      <c r="H19" s="8">
        <v>3</v>
      </c>
      <c r="I19" s="8">
        <v>6</v>
      </c>
      <c r="J19" s="8">
        <v>32</v>
      </c>
      <c r="K19" s="10">
        <v>414</v>
      </c>
      <c r="L19" s="8">
        <v>5</v>
      </c>
      <c r="M19" s="10">
        <v>0</v>
      </c>
    </row>
    <row r="20" spans="1:13" ht="37.950000000000003" customHeight="1" x14ac:dyDescent="0.25"/>
    <row r="21" spans="1:13" ht="19.05" customHeight="1" x14ac:dyDescent="0.25"/>
    <row r="22" spans="1:13" ht="279" customHeight="1" x14ac:dyDescent="0.25"/>
    <row r="23" spans="1:13" ht="279" customHeight="1" x14ac:dyDescent="0.25"/>
  </sheetData>
  <mergeCells count="15">
    <mergeCell ref="B5:C5"/>
    <mergeCell ref="A6:M6"/>
    <mergeCell ref="A9:A19"/>
    <mergeCell ref="B9:B19"/>
    <mergeCell ref="C10:C19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topLeftCell="A5" workbookViewId="0">
      <selection activeCell="A5" sqref="A5:M18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41.7" customHeight="1" x14ac:dyDescent="0.25">
      <c r="A5" s="66">
        <v>5</v>
      </c>
      <c r="B5" s="69" t="s">
        <v>25</v>
      </c>
      <c r="C5" s="6" t="s">
        <v>26</v>
      </c>
      <c r="D5" s="16">
        <v>1</v>
      </c>
      <c r="E5" s="14">
        <v>40</v>
      </c>
      <c r="F5" s="14">
        <v>14</v>
      </c>
      <c r="G5" s="14">
        <v>22</v>
      </c>
      <c r="H5" s="14">
        <v>0</v>
      </c>
      <c r="I5" s="14">
        <v>0</v>
      </c>
      <c r="J5" s="14">
        <v>4</v>
      </c>
      <c r="K5" s="17">
        <v>40</v>
      </c>
      <c r="L5" s="18">
        <v>0</v>
      </c>
      <c r="M5" s="15">
        <v>0</v>
      </c>
    </row>
    <row r="6" spans="1:13" ht="17.25" customHeight="1" x14ac:dyDescent="0.25">
      <c r="A6" s="67"/>
      <c r="B6" s="70"/>
      <c r="C6" s="75" t="s">
        <v>27</v>
      </c>
      <c r="D6" s="19">
        <v>1</v>
      </c>
      <c r="E6" s="8">
        <v>336</v>
      </c>
      <c r="F6" s="8">
        <v>193</v>
      </c>
      <c r="G6" s="8">
        <v>89</v>
      </c>
      <c r="H6" s="8">
        <v>13</v>
      </c>
      <c r="I6" s="8">
        <v>2</v>
      </c>
      <c r="J6" s="8">
        <v>32</v>
      </c>
      <c r="K6" s="20">
        <v>329</v>
      </c>
      <c r="L6" s="21">
        <v>7</v>
      </c>
      <c r="M6" s="10">
        <v>0</v>
      </c>
    </row>
    <row r="7" spans="1:13" ht="17.25" customHeight="1" x14ac:dyDescent="0.25">
      <c r="A7" s="67"/>
      <c r="B7" s="70"/>
      <c r="C7" s="76"/>
      <c r="D7" s="19">
        <v>2</v>
      </c>
      <c r="E7" s="8">
        <v>360</v>
      </c>
      <c r="F7" s="8">
        <v>235</v>
      </c>
      <c r="G7" s="8">
        <v>79</v>
      </c>
      <c r="H7" s="8">
        <v>10</v>
      </c>
      <c r="I7" s="8">
        <v>10</v>
      </c>
      <c r="J7" s="8">
        <v>22</v>
      </c>
      <c r="K7" s="20">
        <v>356</v>
      </c>
      <c r="L7" s="21">
        <v>4</v>
      </c>
      <c r="M7" s="10">
        <v>0</v>
      </c>
    </row>
    <row r="8" spans="1:13" ht="17.25" customHeight="1" x14ac:dyDescent="0.25">
      <c r="A8" s="67"/>
      <c r="B8" s="70"/>
      <c r="C8" s="76"/>
      <c r="D8" s="19">
        <v>3</v>
      </c>
      <c r="E8" s="8">
        <v>308</v>
      </c>
      <c r="F8" s="8">
        <v>194</v>
      </c>
      <c r="G8" s="8">
        <v>62</v>
      </c>
      <c r="H8" s="8">
        <v>14</v>
      </c>
      <c r="I8" s="8">
        <v>11</v>
      </c>
      <c r="J8" s="8">
        <v>23</v>
      </c>
      <c r="K8" s="20">
        <v>304</v>
      </c>
      <c r="L8" s="21">
        <v>4</v>
      </c>
      <c r="M8" s="10">
        <v>0</v>
      </c>
    </row>
    <row r="9" spans="1:13" ht="17.25" customHeight="1" x14ac:dyDescent="0.25">
      <c r="A9" s="67"/>
      <c r="B9" s="70"/>
      <c r="C9" s="76"/>
      <c r="D9" s="19">
        <v>4</v>
      </c>
      <c r="E9" s="8">
        <v>384</v>
      </c>
      <c r="F9" s="8">
        <v>217</v>
      </c>
      <c r="G9" s="8">
        <v>97</v>
      </c>
      <c r="H9" s="8">
        <v>11</v>
      </c>
      <c r="I9" s="8">
        <v>5</v>
      </c>
      <c r="J9" s="8">
        <v>48</v>
      </c>
      <c r="K9" s="20">
        <v>378</v>
      </c>
      <c r="L9" s="21">
        <v>6</v>
      </c>
      <c r="M9" s="10">
        <v>0</v>
      </c>
    </row>
    <row r="10" spans="1:13" ht="17.25" customHeight="1" x14ac:dyDescent="0.25">
      <c r="A10" s="68"/>
      <c r="B10" s="71"/>
      <c r="C10" s="77"/>
      <c r="D10" s="19">
        <v>5</v>
      </c>
      <c r="E10" s="8">
        <v>396</v>
      </c>
      <c r="F10" s="8">
        <v>260</v>
      </c>
      <c r="G10" s="8">
        <v>87</v>
      </c>
      <c r="H10" s="8">
        <v>4</v>
      </c>
      <c r="I10" s="8">
        <v>13</v>
      </c>
      <c r="J10" s="8">
        <v>28</v>
      </c>
      <c r="K10" s="20">
        <v>392</v>
      </c>
      <c r="L10" s="21">
        <v>4</v>
      </c>
      <c r="M10" s="10">
        <v>0</v>
      </c>
    </row>
    <row r="11" spans="1:13" ht="41.7" customHeight="1" x14ac:dyDescent="0.25">
      <c r="A11" s="22">
        <v>6</v>
      </c>
      <c r="B11" s="13" t="s">
        <v>28</v>
      </c>
      <c r="C11" s="6" t="s">
        <v>29</v>
      </c>
      <c r="D11" s="16">
        <v>1</v>
      </c>
      <c r="E11" s="14">
        <v>330</v>
      </c>
      <c r="F11" s="14">
        <v>134</v>
      </c>
      <c r="G11" s="14">
        <v>175</v>
      </c>
      <c r="H11" s="14">
        <v>0</v>
      </c>
      <c r="I11" s="14">
        <v>1</v>
      </c>
      <c r="J11" s="14">
        <v>18</v>
      </c>
      <c r="K11" s="17">
        <v>328</v>
      </c>
      <c r="L11" s="18">
        <v>2</v>
      </c>
      <c r="M11" s="15">
        <v>0</v>
      </c>
    </row>
    <row r="12" spans="1:13" ht="19.05" customHeight="1" x14ac:dyDescent="0.25">
      <c r="A12" s="63" t="s">
        <v>30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5"/>
    </row>
    <row r="13" spans="1:13" ht="17.25" customHeight="1" x14ac:dyDescent="0.25">
      <c r="A13" s="66">
        <v>7</v>
      </c>
      <c r="B13" s="78" t="s">
        <v>31</v>
      </c>
      <c r="C13" s="75" t="s">
        <v>32</v>
      </c>
      <c r="D13" s="19">
        <v>1</v>
      </c>
      <c r="E13" s="8">
        <v>235</v>
      </c>
      <c r="F13" s="8">
        <v>7</v>
      </c>
      <c r="G13" s="8">
        <v>57</v>
      </c>
      <c r="H13" s="8">
        <v>5</v>
      </c>
      <c r="I13" s="8">
        <v>6</v>
      </c>
      <c r="J13" s="8">
        <v>153</v>
      </c>
      <c r="K13" s="20">
        <v>228</v>
      </c>
      <c r="L13" s="21">
        <v>7</v>
      </c>
      <c r="M13" s="10">
        <v>0</v>
      </c>
    </row>
    <row r="14" spans="1:13" ht="17.25" customHeight="1" x14ac:dyDescent="0.25">
      <c r="A14" s="67"/>
      <c r="B14" s="79"/>
      <c r="C14" s="76"/>
      <c r="D14" s="19">
        <v>2</v>
      </c>
      <c r="E14" s="8">
        <v>284</v>
      </c>
      <c r="F14" s="8">
        <v>3</v>
      </c>
      <c r="G14" s="8">
        <v>71</v>
      </c>
      <c r="H14" s="8">
        <v>3</v>
      </c>
      <c r="I14" s="8">
        <v>1</v>
      </c>
      <c r="J14" s="8">
        <v>197</v>
      </c>
      <c r="K14" s="20">
        <v>275</v>
      </c>
      <c r="L14" s="21">
        <v>9</v>
      </c>
      <c r="M14" s="10">
        <v>0</v>
      </c>
    </row>
    <row r="15" spans="1:13" ht="17.25" customHeight="1" x14ac:dyDescent="0.25">
      <c r="A15" s="67"/>
      <c r="B15" s="79"/>
      <c r="C15" s="76"/>
      <c r="D15" s="19">
        <v>3</v>
      </c>
      <c r="E15" s="8">
        <v>342</v>
      </c>
      <c r="F15" s="8">
        <v>8</v>
      </c>
      <c r="G15" s="8">
        <v>75</v>
      </c>
      <c r="H15" s="8">
        <v>0</v>
      </c>
      <c r="I15" s="8">
        <v>2</v>
      </c>
      <c r="J15" s="8">
        <v>243</v>
      </c>
      <c r="K15" s="20">
        <v>328</v>
      </c>
      <c r="L15" s="19">
        <v>14</v>
      </c>
      <c r="M15" s="10">
        <v>0</v>
      </c>
    </row>
    <row r="16" spans="1:13" ht="17.25" customHeight="1" x14ac:dyDescent="0.25">
      <c r="A16" s="67"/>
      <c r="B16" s="79"/>
      <c r="C16" s="76"/>
      <c r="D16" s="19">
        <v>4</v>
      </c>
      <c r="E16" s="8">
        <v>396</v>
      </c>
      <c r="F16" s="8">
        <v>20</v>
      </c>
      <c r="G16" s="8">
        <v>86</v>
      </c>
      <c r="H16" s="8">
        <v>0</v>
      </c>
      <c r="I16" s="8">
        <v>2</v>
      </c>
      <c r="J16" s="8">
        <v>280</v>
      </c>
      <c r="K16" s="20">
        <v>388</v>
      </c>
      <c r="L16" s="21">
        <v>8</v>
      </c>
      <c r="M16" s="10">
        <v>0</v>
      </c>
    </row>
    <row r="17" spans="1:13" ht="17.25" customHeight="1" x14ac:dyDescent="0.25">
      <c r="A17" s="67"/>
      <c r="B17" s="79"/>
      <c r="C17" s="77"/>
      <c r="D17" s="19">
        <v>5</v>
      </c>
      <c r="E17" s="8">
        <v>386</v>
      </c>
      <c r="F17" s="8">
        <v>43</v>
      </c>
      <c r="G17" s="8">
        <v>92</v>
      </c>
      <c r="H17" s="8">
        <v>0</v>
      </c>
      <c r="I17" s="8">
        <v>2</v>
      </c>
      <c r="J17" s="8">
        <v>242</v>
      </c>
      <c r="K17" s="20">
        <v>379</v>
      </c>
      <c r="L17" s="21">
        <v>7</v>
      </c>
      <c r="M17" s="10">
        <v>0</v>
      </c>
    </row>
    <row r="18" spans="1:13" ht="41.55" customHeight="1" x14ac:dyDescent="0.25">
      <c r="A18" s="68"/>
      <c r="B18" s="80"/>
      <c r="C18" s="6" t="s">
        <v>33</v>
      </c>
      <c r="D18" s="16">
        <v>1</v>
      </c>
      <c r="E18" s="14">
        <v>471</v>
      </c>
      <c r="F18" s="14">
        <v>4</v>
      </c>
      <c r="G18" s="14">
        <v>78</v>
      </c>
      <c r="H18" s="14">
        <v>0</v>
      </c>
      <c r="I18" s="14">
        <v>0</v>
      </c>
      <c r="J18" s="14">
        <v>387</v>
      </c>
      <c r="K18" s="17">
        <v>469</v>
      </c>
      <c r="L18" s="18">
        <v>2</v>
      </c>
      <c r="M18" s="15">
        <v>0</v>
      </c>
    </row>
    <row r="19" spans="1:13" ht="37.950000000000003" customHeight="1" x14ac:dyDescent="0.25"/>
    <row r="20" spans="1:13" ht="165" customHeight="1" x14ac:dyDescent="0.25"/>
    <row r="21" spans="1:13" ht="165" customHeight="1" x14ac:dyDescent="0.25"/>
    <row r="22" spans="1:13" ht="123" customHeight="1" x14ac:dyDescent="0.25"/>
    <row r="23" spans="1:13" ht="123" customHeight="1" x14ac:dyDescent="0.25"/>
  </sheetData>
  <mergeCells count="17">
    <mergeCell ref="A5:A10"/>
    <mergeCell ref="B5:B10"/>
    <mergeCell ref="C6:C10"/>
    <mergeCell ref="A12:M12"/>
    <mergeCell ref="A13:A18"/>
    <mergeCell ref="B13:B18"/>
    <mergeCell ref="C13:C17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topLeftCell="A5" workbookViewId="0">
      <selection activeCell="A5" sqref="A5:M2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66">
        <v>7</v>
      </c>
      <c r="B5" s="78" t="s">
        <v>31</v>
      </c>
      <c r="C5" s="75" t="s">
        <v>35</v>
      </c>
      <c r="D5" s="19">
        <v>1</v>
      </c>
      <c r="E5" s="8">
        <v>342</v>
      </c>
      <c r="F5" s="8">
        <v>27</v>
      </c>
      <c r="G5" s="8">
        <v>69</v>
      </c>
      <c r="H5" s="8">
        <v>1</v>
      </c>
      <c r="I5" s="8">
        <v>2</v>
      </c>
      <c r="J5" s="8">
        <v>237</v>
      </c>
      <c r="K5" s="10">
        <v>336</v>
      </c>
      <c r="L5" s="21">
        <v>6</v>
      </c>
      <c r="M5" s="10">
        <v>0</v>
      </c>
    </row>
    <row r="6" spans="1:13" ht="17.25" customHeight="1" x14ac:dyDescent="0.25">
      <c r="A6" s="67"/>
      <c r="B6" s="79"/>
      <c r="C6" s="76"/>
      <c r="D6" s="19">
        <v>2</v>
      </c>
      <c r="E6" s="8">
        <v>478</v>
      </c>
      <c r="F6" s="8">
        <v>27</v>
      </c>
      <c r="G6" s="8">
        <v>71</v>
      </c>
      <c r="H6" s="8">
        <v>0</v>
      </c>
      <c r="I6" s="8">
        <v>1</v>
      </c>
      <c r="J6" s="8">
        <v>377</v>
      </c>
      <c r="K6" s="10">
        <v>476</v>
      </c>
      <c r="L6" s="21">
        <v>2</v>
      </c>
      <c r="M6" s="10">
        <v>0</v>
      </c>
    </row>
    <row r="7" spans="1:13" ht="17.25" customHeight="1" x14ac:dyDescent="0.25">
      <c r="A7" s="68"/>
      <c r="B7" s="80"/>
      <c r="C7" s="77"/>
      <c r="D7" s="19">
        <v>3</v>
      </c>
      <c r="E7" s="8">
        <v>480</v>
      </c>
      <c r="F7" s="8">
        <v>64</v>
      </c>
      <c r="G7" s="8">
        <v>57</v>
      </c>
      <c r="H7" s="8">
        <v>1</v>
      </c>
      <c r="I7" s="8">
        <v>2</v>
      </c>
      <c r="J7" s="8">
        <v>353</v>
      </c>
      <c r="K7" s="10">
        <v>477</v>
      </c>
      <c r="L7" s="21">
        <v>3</v>
      </c>
      <c r="M7" s="10">
        <v>0</v>
      </c>
    </row>
    <row r="8" spans="1:13" ht="17.25" customHeight="1" x14ac:dyDescent="0.25">
      <c r="A8" s="66">
        <v>8</v>
      </c>
      <c r="B8" s="81" t="s">
        <v>36</v>
      </c>
      <c r="C8" s="84" t="s">
        <v>37</v>
      </c>
      <c r="D8" s="19">
        <v>1</v>
      </c>
      <c r="E8" s="8">
        <v>311</v>
      </c>
      <c r="F8" s="8">
        <v>8</v>
      </c>
      <c r="G8" s="8">
        <v>95</v>
      </c>
      <c r="H8" s="8">
        <v>0</v>
      </c>
      <c r="I8" s="8">
        <v>4</v>
      </c>
      <c r="J8" s="8">
        <v>200</v>
      </c>
      <c r="K8" s="10">
        <v>307</v>
      </c>
      <c r="L8" s="21">
        <v>4</v>
      </c>
      <c r="M8" s="10">
        <v>0</v>
      </c>
    </row>
    <row r="9" spans="1:13" ht="17.25" customHeight="1" x14ac:dyDescent="0.25">
      <c r="A9" s="67"/>
      <c r="B9" s="82"/>
      <c r="C9" s="85"/>
      <c r="D9" s="19">
        <v>2</v>
      </c>
      <c r="E9" s="8">
        <v>371</v>
      </c>
      <c r="F9" s="8">
        <v>18</v>
      </c>
      <c r="G9" s="8">
        <v>124</v>
      </c>
      <c r="H9" s="8">
        <v>1</v>
      </c>
      <c r="I9" s="8">
        <v>2</v>
      </c>
      <c r="J9" s="8">
        <v>216</v>
      </c>
      <c r="K9" s="10">
        <v>361</v>
      </c>
      <c r="L9" s="19">
        <v>10</v>
      </c>
      <c r="M9" s="10">
        <v>0</v>
      </c>
    </row>
    <row r="10" spans="1:13" ht="17.25" customHeight="1" x14ac:dyDescent="0.25">
      <c r="A10" s="67"/>
      <c r="B10" s="82"/>
      <c r="C10" s="85"/>
      <c r="D10" s="19">
        <v>3</v>
      </c>
      <c r="E10" s="8">
        <v>445</v>
      </c>
      <c r="F10" s="8">
        <v>48</v>
      </c>
      <c r="G10" s="8">
        <v>98</v>
      </c>
      <c r="H10" s="8">
        <v>1</v>
      </c>
      <c r="I10" s="8">
        <v>0</v>
      </c>
      <c r="J10" s="8">
        <v>290</v>
      </c>
      <c r="K10" s="10">
        <v>437</v>
      </c>
      <c r="L10" s="21">
        <v>8</v>
      </c>
      <c r="M10" s="10">
        <v>0</v>
      </c>
    </row>
    <row r="11" spans="1:13" ht="17.25" customHeight="1" x14ac:dyDescent="0.25">
      <c r="A11" s="67"/>
      <c r="B11" s="82"/>
      <c r="C11" s="85"/>
      <c r="D11" s="19">
        <v>4</v>
      </c>
      <c r="E11" s="8">
        <v>471</v>
      </c>
      <c r="F11" s="8">
        <v>54</v>
      </c>
      <c r="G11" s="8">
        <v>114</v>
      </c>
      <c r="H11" s="8">
        <v>1</v>
      </c>
      <c r="I11" s="8">
        <v>3</v>
      </c>
      <c r="J11" s="8">
        <v>295</v>
      </c>
      <c r="K11" s="10">
        <v>467</v>
      </c>
      <c r="L11" s="21">
        <v>4</v>
      </c>
      <c r="M11" s="10">
        <v>0</v>
      </c>
    </row>
    <row r="12" spans="1:13" ht="17.25" customHeight="1" x14ac:dyDescent="0.25">
      <c r="A12" s="68"/>
      <c r="B12" s="83"/>
      <c r="C12" s="86"/>
      <c r="D12" s="19">
        <v>5</v>
      </c>
      <c r="E12" s="8">
        <v>520</v>
      </c>
      <c r="F12" s="8">
        <v>104</v>
      </c>
      <c r="G12" s="8">
        <v>125</v>
      </c>
      <c r="H12" s="8">
        <v>0</v>
      </c>
      <c r="I12" s="8">
        <v>2</v>
      </c>
      <c r="J12" s="8">
        <v>286</v>
      </c>
      <c r="K12" s="10">
        <v>517</v>
      </c>
      <c r="L12" s="21">
        <v>3</v>
      </c>
      <c r="M12" s="10">
        <v>0</v>
      </c>
    </row>
    <row r="13" spans="1:13" ht="17.25" customHeight="1" x14ac:dyDescent="0.25">
      <c r="A13" s="66">
        <v>9</v>
      </c>
      <c r="B13" s="84" t="s">
        <v>38</v>
      </c>
      <c r="C13" s="72" t="s">
        <v>39</v>
      </c>
      <c r="D13" s="19">
        <v>1</v>
      </c>
      <c r="E13" s="8">
        <v>304</v>
      </c>
      <c r="F13" s="8">
        <v>10</v>
      </c>
      <c r="G13" s="8">
        <v>57</v>
      </c>
      <c r="H13" s="8">
        <v>1</v>
      </c>
      <c r="I13" s="8">
        <v>0</v>
      </c>
      <c r="J13" s="8">
        <v>229</v>
      </c>
      <c r="K13" s="10">
        <v>297</v>
      </c>
      <c r="L13" s="21">
        <v>7</v>
      </c>
      <c r="M13" s="10">
        <v>0</v>
      </c>
    </row>
    <row r="14" spans="1:13" ht="17.25" customHeight="1" x14ac:dyDescent="0.25">
      <c r="A14" s="67"/>
      <c r="B14" s="85"/>
      <c r="C14" s="73"/>
      <c r="D14" s="19">
        <v>2</v>
      </c>
      <c r="E14" s="8">
        <v>361</v>
      </c>
      <c r="F14" s="8">
        <v>6</v>
      </c>
      <c r="G14" s="8">
        <v>49</v>
      </c>
      <c r="H14" s="8">
        <v>1</v>
      </c>
      <c r="I14" s="8">
        <v>0</v>
      </c>
      <c r="J14" s="8">
        <v>302</v>
      </c>
      <c r="K14" s="10">
        <v>358</v>
      </c>
      <c r="L14" s="21">
        <v>3</v>
      </c>
      <c r="M14" s="10">
        <v>0</v>
      </c>
    </row>
    <row r="15" spans="1:13" ht="17.25" customHeight="1" x14ac:dyDescent="0.25">
      <c r="A15" s="67"/>
      <c r="B15" s="85"/>
      <c r="C15" s="73"/>
      <c r="D15" s="19">
        <v>3</v>
      </c>
      <c r="E15" s="8">
        <v>480</v>
      </c>
      <c r="F15" s="8">
        <v>18</v>
      </c>
      <c r="G15" s="8">
        <v>70</v>
      </c>
      <c r="H15" s="8">
        <v>1</v>
      </c>
      <c r="I15" s="8">
        <v>3</v>
      </c>
      <c r="J15" s="8">
        <v>384</v>
      </c>
      <c r="K15" s="10">
        <v>476</v>
      </c>
      <c r="L15" s="21">
        <v>4</v>
      </c>
      <c r="M15" s="10">
        <v>0</v>
      </c>
    </row>
    <row r="16" spans="1:13" ht="17.25" customHeight="1" x14ac:dyDescent="0.25">
      <c r="A16" s="67"/>
      <c r="B16" s="85"/>
      <c r="C16" s="73"/>
      <c r="D16" s="19">
        <v>4</v>
      </c>
      <c r="E16" s="8">
        <v>446</v>
      </c>
      <c r="F16" s="8">
        <v>13</v>
      </c>
      <c r="G16" s="8">
        <v>37</v>
      </c>
      <c r="H16" s="8">
        <v>0</v>
      </c>
      <c r="I16" s="8">
        <v>2</v>
      </c>
      <c r="J16" s="8">
        <v>392</v>
      </c>
      <c r="K16" s="10">
        <v>444</v>
      </c>
      <c r="L16" s="21">
        <v>2</v>
      </c>
      <c r="M16" s="10">
        <v>0</v>
      </c>
    </row>
    <row r="17" spans="1:13" ht="17.25" customHeight="1" x14ac:dyDescent="0.25">
      <c r="A17" s="67"/>
      <c r="B17" s="85"/>
      <c r="C17" s="73"/>
      <c r="D17" s="19">
        <v>5</v>
      </c>
      <c r="E17" s="8">
        <v>446</v>
      </c>
      <c r="F17" s="8">
        <v>17</v>
      </c>
      <c r="G17" s="8">
        <v>45</v>
      </c>
      <c r="H17" s="8">
        <v>0</v>
      </c>
      <c r="I17" s="8">
        <v>1</v>
      </c>
      <c r="J17" s="8">
        <v>383</v>
      </c>
      <c r="K17" s="10">
        <v>446</v>
      </c>
      <c r="L17" s="21">
        <v>0</v>
      </c>
      <c r="M17" s="10">
        <v>0</v>
      </c>
    </row>
    <row r="18" spans="1:13" ht="17.25" customHeight="1" x14ac:dyDescent="0.25">
      <c r="A18" s="68"/>
      <c r="B18" s="86"/>
      <c r="C18" s="74"/>
      <c r="D18" s="19">
        <v>6</v>
      </c>
      <c r="E18" s="8">
        <v>475</v>
      </c>
      <c r="F18" s="8">
        <v>10</v>
      </c>
      <c r="G18" s="8">
        <v>62</v>
      </c>
      <c r="H18" s="8">
        <v>0</v>
      </c>
      <c r="I18" s="8">
        <v>0</v>
      </c>
      <c r="J18" s="8">
        <v>401</v>
      </c>
      <c r="K18" s="10">
        <v>473</v>
      </c>
      <c r="L18" s="21">
        <v>2</v>
      </c>
      <c r="M18" s="10">
        <v>0</v>
      </c>
    </row>
    <row r="19" spans="1:13" ht="17.25" customHeight="1" x14ac:dyDescent="0.25">
      <c r="A19" s="87">
        <v>10</v>
      </c>
      <c r="B19" s="78" t="s">
        <v>40</v>
      </c>
      <c r="C19" s="75" t="s">
        <v>41</v>
      </c>
      <c r="D19" s="19">
        <v>1</v>
      </c>
      <c r="E19" s="8">
        <v>343</v>
      </c>
      <c r="F19" s="8">
        <v>8</v>
      </c>
      <c r="G19" s="8">
        <v>76</v>
      </c>
      <c r="H19" s="8">
        <v>0</v>
      </c>
      <c r="I19" s="8">
        <v>0</v>
      </c>
      <c r="J19" s="8">
        <v>250</v>
      </c>
      <c r="K19" s="10">
        <v>334</v>
      </c>
      <c r="L19" s="21">
        <v>9</v>
      </c>
      <c r="M19" s="10">
        <v>0</v>
      </c>
    </row>
    <row r="20" spans="1:13" ht="25.2" customHeight="1" x14ac:dyDescent="0.25">
      <c r="A20" s="88"/>
      <c r="B20" s="80"/>
      <c r="C20" s="77"/>
      <c r="D20" s="19">
        <v>2</v>
      </c>
      <c r="E20" s="8">
        <v>536</v>
      </c>
      <c r="F20" s="8">
        <v>11</v>
      </c>
      <c r="G20" s="8">
        <v>73</v>
      </c>
      <c r="H20" s="8">
        <v>0</v>
      </c>
      <c r="I20" s="8">
        <v>5</v>
      </c>
      <c r="J20" s="8">
        <v>447</v>
      </c>
      <c r="K20" s="10">
        <v>536</v>
      </c>
      <c r="L20" s="21">
        <v>0</v>
      </c>
      <c r="M20" s="10">
        <v>0</v>
      </c>
    </row>
    <row r="21" spans="1:13" ht="37.950000000000003" customHeight="1" x14ac:dyDescent="0.25"/>
    <row r="22" spans="1:13" ht="270" customHeight="1" x14ac:dyDescent="0.25"/>
    <row r="23" spans="1:13" ht="270" customHeight="1" x14ac:dyDescent="0.25"/>
  </sheetData>
  <mergeCells count="22">
    <mergeCell ref="A13:A18"/>
    <mergeCell ref="B13:B18"/>
    <mergeCell ref="C13:C18"/>
    <mergeCell ref="A19:A20"/>
    <mergeCell ref="B19:B20"/>
    <mergeCell ref="C19:C20"/>
    <mergeCell ref="A5:A7"/>
    <mergeCell ref="B5:B7"/>
    <mergeCell ref="C5:C7"/>
    <mergeCell ref="A8:A12"/>
    <mergeCell ref="B8:B12"/>
    <mergeCell ref="C8:C12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workbookViewId="0">
      <selection activeCell="A5" sqref="A5:M25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42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11</v>
      </c>
      <c r="B5" s="69" t="s">
        <v>43</v>
      </c>
      <c r="C5" s="78" t="s">
        <v>44</v>
      </c>
      <c r="D5" s="19">
        <v>1</v>
      </c>
      <c r="E5" s="8">
        <v>320</v>
      </c>
      <c r="F5" s="8">
        <v>19</v>
      </c>
      <c r="G5" s="8">
        <v>125</v>
      </c>
      <c r="H5" s="8">
        <v>4</v>
      </c>
      <c r="I5" s="8">
        <v>3</v>
      </c>
      <c r="J5" s="8">
        <v>164</v>
      </c>
      <c r="K5" s="10">
        <v>315</v>
      </c>
      <c r="L5" s="21">
        <v>5</v>
      </c>
      <c r="M5" s="10">
        <v>0</v>
      </c>
    </row>
    <row r="6" spans="1:13" ht="17.25" customHeight="1" x14ac:dyDescent="0.25">
      <c r="A6" s="90"/>
      <c r="B6" s="70"/>
      <c r="C6" s="79"/>
      <c r="D6" s="19">
        <v>2</v>
      </c>
      <c r="E6" s="8">
        <v>375</v>
      </c>
      <c r="F6" s="8">
        <v>16</v>
      </c>
      <c r="G6" s="8">
        <v>143</v>
      </c>
      <c r="H6" s="8">
        <v>0</v>
      </c>
      <c r="I6" s="8">
        <v>6</v>
      </c>
      <c r="J6" s="8">
        <v>206</v>
      </c>
      <c r="K6" s="10">
        <v>371</v>
      </c>
      <c r="L6" s="21">
        <v>4</v>
      </c>
      <c r="M6" s="10">
        <v>0</v>
      </c>
    </row>
    <row r="7" spans="1:13" ht="17.25" customHeight="1" x14ac:dyDescent="0.25">
      <c r="A7" s="90"/>
      <c r="B7" s="70"/>
      <c r="C7" s="79"/>
      <c r="D7" s="19">
        <v>3</v>
      </c>
      <c r="E7" s="8">
        <v>462</v>
      </c>
      <c r="F7" s="8">
        <v>51</v>
      </c>
      <c r="G7" s="8">
        <v>135</v>
      </c>
      <c r="H7" s="8">
        <v>1</v>
      </c>
      <c r="I7" s="8">
        <v>4</v>
      </c>
      <c r="J7" s="8">
        <v>268</v>
      </c>
      <c r="K7" s="10">
        <v>459</v>
      </c>
      <c r="L7" s="21">
        <v>3</v>
      </c>
      <c r="M7" s="10">
        <v>0</v>
      </c>
    </row>
    <row r="8" spans="1:13" ht="17.25" customHeight="1" x14ac:dyDescent="0.25">
      <c r="A8" s="90"/>
      <c r="B8" s="70"/>
      <c r="C8" s="79"/>
      <c r="D8" s="19">
        <v>4</v>
      </c>
      <c r="E8" s="8">
        <v>477</v>
      </c>
      <c r="F8" s="8">
        <v>76</v>
      </c>
      <c r="G8" s="8">
        <v>129</v>
      </c>
      <c r="H8" s="8">
        <v>0</v>
      </c>
      <c r="I8" s="8">
        <v>2</v>
      </c>
      <c r="J8" s="8">
        <v>267</v>
      </c>
      <c r="K8" s="10">
        <v>474</v>
      </c>
      <c r="L8" s="21">
        <v>3</v>
      </c>
      <c r="M8" s="10">
        <v>0</v>
      </c>
    </row>
    <row r="9" spans="1:13" ht="17.25" customHeight="1" x14ac:dyDescent="0.25">
      <c r="A9" s="90"/>
      <c r="B9" s="70"/>
      <c r="C9" s="79"/>
      <c r="D9" s="19">
        <v>5</v>
      </c>
      <c r="E9" s="8">
        <v>440</v>
      </c>
      <c r="F9" s="8">
        <v>69</v>
      </c>
      <c r="G9" s="8">
        <v>85</v>
      </c>
      <c r="H9" s="8">
        <v>0</v>
      </c>
      <c r="I9" s="8">
        <v>3</v>
      </c>
      <c r="J9" s="8">
        <v>283</v>
      </c>
      <c r="K9" s="10">
        <v>440</v>
      </c>
      <c r="L9" s="21">
        <v>0</v>
      </c>
      <c r="M9" s="10">
        <v>0</v>
      </c>
    </row>
    <row r="10" spans="1:13" ht="17.25" customHeight="1" x14ac:dyDescent="0.25">
      <c r="A10" s="91"/>
      <c r="B10" s="71"/>
      <c r="C10" s="80"/>
      <c r="D10" s="19">
        <v>6</v>
      </c>
      <c r="E10" s="8">
        <v>460</v>
      </c>
      <c r="F10" s="8">
        <v>119</v>
      </c>
      <c r="G10" s="8">
        <v>110</v>
      </c>
      <c r="H10" s="8">
        <v>0</v>
      </c>
      <c r="I10" s="8">
        <v>6</v>
      </c>
      <c r="J10" s="8">
        <v>224</v>
      </c>
      <c r="K10" s="10">
        <v>459</v>
      </c>
      <c r="L10" s="21">
        <v>1</v>
      </c>
      <c r="M10" s="10">
        <v>0</v>
      </c>
    </row>
    <row r="11" spans="1:13" ht="17.25" customHeight="1" x14ac:dyDescent="0.25">
      <c r="A11" s="89">
        <v>12</v>
      </c>
      <c r="B11" s="92" t="s">
        <v>45</v>
      </c>
      <c r="C11" s="84" t="s">
        <v>46</v>
      </c>
      <c r="D11" s="19">
        <v>1</v>
      </c>
      <c r="E11" s="8">
        <v>352</v>
      </c>
      <c r="F11" s="8">
        <v>52</v>
      </c>
      <c r="G11" s="8">
        <v>191</v>
      </c>
      <c r="H11" s="8">
        <v>1</v>
      </c>
      <c r="I11" s="8">
        <v>3</v>
      </c>
      <c r="J11" s="8">
        <v>99</v>
      </c>
      <c r="K11" s="10">
        <v>346</v>
      </c>
      <c r="L11" s="21">
        <v>6</v>
      </c>
      <c r="M11" s="10">
        <v>0</v>
      </c>
    </row>
    <row r="12" spans="1:13" ht="17.25" customHeight="1" x14ac:dyDescent="0.25">
      <c r="A12" s="90"/>
      <c r="B12" s="93"/>
      <c r="C12" s="85"/>
      <c r="D12" s="19">
        <v>2</v>
      </c>
      <c r="E12" s="8">
        <v>316</v>
      </c>
      <c r="F12" s="8">
        <v>75</v>
      </c>
      <c r="G12" s="8">
        <v>122</v>
      </c>
      <c r="H12" s="8">
        <v>0</v>
      </c>
      <c r="I12" s="8">
        <v>7</v>
      </c>
      <c r="J12" s="8">
        <v>110</v>
      </c>
      <c r="K12" s="10">
        <v>314</v>
      </c>
      <c r="L12" s="21">
        <v>2</v>
      </c>
      <c r="M12" s="10">
        <v>0</v>
      </c>
    </row>
    <row r="13" spans="1:13" ht="17.25" customHeight="1" x14ac:dyDescent="0.25">
      <c r="A13" s="91"/>
      <c r="B13" s="94"/>
      <c r="C13" s="86"/>
      <c r="D13" s="19">
        <v>3</v>
      </c>
      <c r="E13" s="8">
        <v>344</v>
      </c>
      <c r="F13" s="8">
        <v>147</v>
      </c>
      <c r="G13" s="8">
        <v>109</v>
      </c>
      <c r="H13" s="8">
        <v>1</v>
      </c>
      <c r="I13" s="8">
        <v>0</v>
      </c>
      <c r="J13" s="8">
        <v>86</v>
      </c>
      <c r="K13" s="10">
        <v>343</v>
      </c>
      <c r="L13" s="21">
        <v>1</v>
      </c>
      <c r="M13" s="10">
        <v>0</v>
      </c>
    </row>
    <row r="14" spans="1:13" ht="17.25" customHeight="1" x14ac:dyDescent="0.25">
      <c r="A14" s="89">
        <v>13</v>
      </c>
      <c r="B14" s="95" t="s">
        <v>47</v>
      </c>
      <c r="C14" s="72" t="s">
        <v>48</v>
      </c>
      <c r="D14" s="19">
        <v>1</v>
      </c>
      <c r="E14" s="8">
        <v>317</v>
      </c>
      <c r="F14" s="8">
        <v>26</v>
      </c>
      <c r="G14" s="8">
        <v>71</v>
      </c>
      <c r="H14" s="8">
        <v>5</v>
      </c>
      <c r="I14" s="8">
        <v>3</v>
      </c>
      <c r="J14" s="8">
        <v>200</v>
      </c>
      <c r="K14" s="10">
        <v>305</v>
      </c>
      <c r="L14" s="19">
        <v>12</v>
      </c>
      <c r="M14" s="10">
        <v>0</v>
      </c>
    </row>
    <row r="15" spans="1:13" ht="17.25" customHeight="1" x14ac:dyDescent="0.25">
      <c r="A15" s="90"/>
      <c r="B15" s="96"/>
      <c r="C15" s="73"/>
      <c r="D15" s="19">
        <v>2</v>
      </c>
      <c r="E15" s="8">
        <v>378</v>
      </c>
      <c r="F15" s="8">
        <v>63</v>
      </c>
      <c r="G15" s="8">
        <v>85</v>
      </c>
      <c r="H15" s="8">
        <v>3</v>
      </c>
      <c r="I15" s="8">
        <v>3</v>
      </c>
      <c r="J15" s="8">
        <v>214</v>
      </c>
      <c r="K15" s="10">
        <v>368</v>
      </c>
      <c r="L15" s="19">
        <v>10</v>
      </c>
      <c r="M15" s="10">
        <v>0</v>
      </c>
    </row>
    <row r="16" spans="1:13" ht="17.25" customHeight="1" x14ac:dyDescent="0.25">
      <c r="A16" s="90"/>
      <c r="B16" s="96"/>
      <c r="C16" s="73"/>
      <c r="D16" s="19">
        <v>3</v>
      </c>
      <c r="E16" s="8">
        <v>572</v>
      </c>
      <c r="F16" s="8">
        <v>92</v>
      </c>
      <c r="G16" s="8">
        <v>84</v>
      </c>
      <c r="H16" s="8">
        <v>3</v>
      </c>
      <c r="I16" s="8">
        <v>3</v>
      </c>
      <c r="J16" s="8">
        <v>383</v>
      </c>
      <c r="K16" s="10">
        <v>565</v>
      </c>
      <c r="L16" s="21">
        <v>7</v>
      </c>
      <c r="M16" s="10">
        <v>0</v>
      </c>
    </row>
    <row r="17" spans="1:13" ht="17.25" customHeight="1" x14ac:dyDescent="0.25">
      <c r="A17" s="90"/>
      <c r="B17" s="96"/>
      <c r="C17" s="73"/>
      <c r="D17" s="19">
        <v>4</v>
      </c>
      <c r="E17" s="8">
        <v>541</v>
      </c>
      <c r="F17" s="8">
        <v>83</v>
      </c>
      <c r="G17" s="8">
        <v>68</v>
      </c>
      <c r="H17" s="8">
        <v>0</v>
      </c>
      <c r="I17" s="8">
        <v>6</v>
      </c>
      <c r="J17" s="8">
        <v>381</v>
      </c>
      <c r="K17" s="10">
        <v>538</v>
      </c>
      <c r="L17" s="21">
        <v>3</v>
      </c>
      <c r="M17" s="10">
        <v>0</v>
      </c>
    </row>
    <row r="18" spans="1:13" ht="17.25" customHeight="1" x14ac:dyDescent="0.25">
      <c r="A18" s="90"/>
      <c r="B18" s="96"/>
      <c r="C18" s="73"/>
      <c r="D18" s="19">
        <v>5</v>
      </c>
      <c r="E18" s="8">
        <v>509</v>
      </c>
      <c r="F18" s="8">
        <v>101</v>
      </c>
      <c r="G18" s="8">
        <v>84</v>
      </c>
      <c r="H18" s="8">
        <v>2</v>
      </c>
      <c r="I18" s="8">
        <v>7</v>
      </c>
      <c r="J18" s="8">
        <v>314</v>
      </c>
      <c r="K18" s="10">
        <v>508</v>
      </c>
      <c r="L18" s="21">
        <v>1</v>
      </c>
      <c r="M18" s="10">
        <v>0</v>
      </c>
    </row>
    <row r="19" spans="1:13" ht="17.25" customHeight="1" x14ac:dyDescent="0.25">
      <c r="A19" s="90"/>
      <c r="B19" s="96"/>
      <c r="C19" s="73"/>
      <c r="D19" s="19">
        <v>6</v>
      </c>
      <c r="E19" s="8">
        <v>551</v>
      </c>
      <c r="F19" s="8">
        <v>136</v>
      </c>
      <c r="G19" s="8">
        <v>66</v>
      </c>
      <c r="H19" s="8">
        <v>3</v>
      </c>
      <c r="I19" s="8">
        <v>3</v>
      </c>
      <c r="J19" s="8">
        <v>342</v>
      </c>
      <c r="K19" s="10">
        <v>550</v>
      </c>
      <c r="L19" s="21">
        <v>1</v>
      </c>
      <c r="M19" s="10">
        <v>0</v>
      </c>
    </row>
    <row r="20" spans="1:13" ht="17.25" customHeight="1" x14ac:dyDescent="0.25">
      <c r="A20" s="91"/>
      <c r="B20" s="97"/>
      <c r="C20" s="74"/>
      <c r="D20" s="19">
        <v>7</v>
      </c>
      <c r="E20" s="8">
        <v>579</v>
      </c>
      <c r="F20" s="8">
        <v>177</v>
      </c>
      <c r="G20" s="8">
        <v>65</v>
      </c>
      <c r="H20" s="8">
        <v>1</v>
      </c>
      <c r="I20" s="8">
        <v>3</v>
      </c>
      <c r="J20" s="8">
        <v>330</v>
      </c>
      <c r="K20" s="10">
        <v>576</v>
      </c>
      <c r="L20" s="21">
        <v>3</v>
      </c>
      <c r="M20" s="10">
        <v>0</v>
      </c>
    </row>
    <row r="21" spans="1:13" ht="17.25" customHeight="1" x14ac:dyDescent="0.25">
      <c r="A21" s="89">
        <v>14</v>
      </c>
      <c r="B21" s="75" t="s">
        <v>49</v>
      </c>
      <c r="C21" s="84" t="s">
        <v>50</v>
      </c>
      <c r="D21" s="19">
        <v>1</v>
      </c>
      <c r="E21" s="8">
        <v>338</v>
      </c>
      <c r="F21" s="8">
        <v>9</v>
      </c>
      <c r="G21" s="8">
        <v>56</v>
      </c>
      <c r="H21" s="8">
        <v>2</v>
      </c>
      <c r="I21" s="8">
        <v>1</v>
      </c>
      <c r="J21" s="8">
        <v>254</v>
      </c>
      <c r="K21" s="10">
        <v>322</v>
      </c>
      <c r="L21" s="19">
        <v>16</v>
      </c>
      <c r="M21" s="10">
        <v>0</v>
      </c>
    </row>
    <row r="22" spans="1:13" ht="17.25" customHeight="1" x14ac:dyDescent="0.25">
      <c r="A22" s="90"/>
      <c r="B22" s="76"/>
      <c r="C22" s="85"/>
      <c r="D22" s="19">
        <v>2</v>
      </c>
      <c r="E22" s="8">
        <v>376</v>
      </c>
      <c r="F22" s="8">
        <v>27</v>
      </c>
      <c r="G22" s="8">
        <v>67</v>
      </c>
      <c r="H22" s="8">
        <v>1</v>
      </c>
      <c r="I22" s="8">
        <v>6</v>
      </c>
      <c r="J22" s="8">
        <v>268</v>
      </c>
      <c r="K22" s="10">
        <v>369</v>
      </c>
      <c r="L22" s="21">
        <v>7</v>
      </c>
      <c r="M22" s="10">
        <v>0</v>
      </c>
    </row>
    <row r="23" spans="1:13" ht="17.25" customHeight="1" x14ac:dyDescent="0.25">
      <c r="A23" s="90"/>
      <c r="B23" s="76"/>
      <c r="C23" s="85"/>
      <c r="D23" s="19">
        <v>3</v>
      </c>
      <c r="E23" s="8">
        <v>543</v>
      </c>
      <c r="F23" s="8">
        <v>51</v>
      </c>
      <c r="G23" s="8">
        <v>67</v>
      </c>
      <c r="H23" s="8">
        <v>0</v>
      </c>
      <c r="I23" s="8">
        <v>2</v>
      </c>
      <c r="J23" s="8">
        <v>419</v>
      </c>
      <c r="K23" s="10">
        <v>539</v>
      </c>
      <c r="L23" s="21">
        <v>4</v>
      </c>
      <c r="M23" s="10">
        <v>0</v>
      </c>
    </row>
    <row r="24" spans="1:13" ht="17.25" customHeight="1" x14ac:dyDescent="0.25">
      <c r="A24" s="90"/>
      <c r="B24" s="76"/>
      <c r="C24" s="85"/>
      <c r="D24" s="19">
        <v>4</v>
      </c>
      <c r="E24" s="8">
        <v>536</v>
      </c>
      <c r="F24" s="8">
        <v>71</v>
      </c>
      <c r="G24" s="8">
        <v>48</v>
      </c>
      <c r="H24" s="8">
        <v>1</v>
      </c>
      <c r="I24" s="8">
        <v>2</v>
      </c>
      <c r="J24" s="8">
        <v>413</v>
      </c>
      <c r="K24" s="10">
        <v>535</v>
      </c>
      <c r="L24" s="21">
        <v>1</v>
      </c>
      <c r="M24" s="10">
        <v>0</v>
      </c>
    </row>
    <row r="25" spans="1:13" ht="17.25" customHeight="1" x14ac:dyDescent="0.25">
      <c r="A25" s="91"/>
      <c r="B25" s="77"/>
      <c r="C25" s="86"/>
      <c r="D25" s="19">
        <v>5</v>
      </c>
      <c r="E25" s="8">
        <v>557</v>
      </c>
      <c r="F25" s="8">
        <v>80</v>
      </c>
      <c r="G25" s="8">
        <v>76</v>
      </c>
      <c r="H25" s="8">
        <v>0</v>
      </c>
      <c r="I25" s="8">
        <v>2</v>
      </c>
      <c r="J25" s="8">
        <v>399</v>
      </c>
      <c r="K25" s="10">
        <v>557</v>
      </c>
      <c r="L25" s="21">
        <v>0</v>
      </c>
      <c r="M25" s="10">
        <v>0</v>
      </c>
    </row>
    <row r="26" spans="1:13" ht="37.950000000000003" customHeight="1" x14ac:dyDescent="0.25"/>
    <row r="27" spans="1:13" ht="342" customHeight="1" x14ac:dyDescent="0.25"/>
    <row r="28" spans="1:13" ht="342" customHeight="1" x14ac:dyDescent="0.25"/>
  </sheetData>
  <mergeCells count="22">
    <mergeCell ref="A14:A20"/>
    <mergeCell ref="B14:B20"/>
    <mergeCell ref="C14:C20"/>
    <mergeCell ref="A21:A25"/>
    <mergeCell ref="B21:B25"/>
    <mergeCell ref="C21:C25"/>
    <mergeCell ref="A5:A10"/>
    <mergeCell ref="B5:B10"/>
    <mergeCell ref="C5:C10"/>
    <mergeCell ref="A11:A13"/>
    <mergeCell ref="B11:B13"/>
    <mergeCell ref="C11:C13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selection activeCell="A5" sqref="A5:M2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51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15</v>
      </c>
      <c r="B5" s="78" t="s">
        <v>52</v>
      </c>
      <c r="C5" s="72" t="s">
        <v>53</v>
      </c>
      <c r="D5" s="19">
        <v>1</v>
      </c>
      <c r="E5" s="8">
        <v>307</v>
      </c>
      <c r="F5" s="8">
        <v>10</v>
      </c>
      <c r="G5" s="8">
        <v>47</v>
      </c>
      <c r="H5" s="8">
        <v>4</v>
      </c>
      <c r="I5" s="8">
        <v>3</v>
      </c>
      <c r="J5" s="8">
        <v>236</v>
      </c>
      <c r="K5" s="10">
        <v>300</v>
      </c>
      <c r="L5" s="23">
        <v>7</v>
      </c>
      <c r="M5" s="10">
        <v>0</v>
      </c>
    </row>
    <row r="6" spans="1:13" ht="17.25" customHeight="1" x14ac:dyDescent="0.25">
      <c r="A6" s="90"/>
      <c r="B6" s="79"/>
      <c r="C6" s="73"/>
      <c r="D6" s="19">
        <v>2</v>
      </c>
      <c r="E6" s="8">
        <v>366</v>
      </c>
      <c r="F6" s="8">
        <v>14</v>
      </c>
      <c r="G6" s="8">
        <v>50</v>
      </c>
      <c r="H6" s="8">
        <v>1</v>
      </c>
      <c r="I6" s="8">
        <v>3</v>
      </c>
      <c r="J6" s="8">
        <v>290</v>
      </c>
      <c r="K6" s="10">
        <v>358</v>
      </c>
      <c r="L6" s="23">
        <v>8</v>
      </c>
      <c r="M6" s="10">
        <v>0</v>
      </c>
    </row>
    <row r="7" spans="1:13" ht="17.25" customHeight="1" x14ac:dyDescent="0.25">
      <c r="A7" s="90"/>
      <c r="B7" s="79"/>
      <c r="C7" s="73"/>
      <c r="D7" s="19">
        <v>3</v>
      </c>
      <c r="E7" s="8">
        <v>374</v>
      </c>
      <c r="F7" s="8">
        <v>16</v>
      </c>
      <c r="G7" s="8">
        <v>41</v>
      </c>
      <c r="H7" s="8">
        <v>0</v>
      </c>
      <c r="I7" s="8">
        <v>2</v>
      </c>
      <c r="J7" s="8">
        <v>309</v>
      </c>
      <c r="K7" s="10">
        <v>368</v>
      </c>
      <c r="L7" s="23">
        <v>6</v>
      </c>
      <c r="M7" s="10">
        <v>0</v>
      </c>
    </row>
    <row r="8" spans="1:13" ht="17.25" customHeight="1" x14ac:dyDescent="0.25">
      <c r="A8" s="90"/>
      <c r="B8" s="79"/>
      <c r="C8" s="73"/>
      <c r="D8" s="19">
        <v>4</v>
      </c>
      <c r="E8" s="8">
        <v>529</v>
      </c>
      <c r="F8" s="8">
        <v>38</v>
      </c>
      <c r="G8" s="8">
        <v>51</v>
      </c>
      <c r="H8" s="8">
        <v>0</v>
      </c>
      <c r="I8" s="8">
        <v>4</v>
      </c>
      <c r="J8" s="8">
        <v>430</v>
      </c>
      <c r="K8" s="10">
        <v>523</v>
      </c>
      <c r="L8" s="23">
        <v>6</v>
      </c>
      <c r="M8" s="10">
        <v>0</v>
      </c>
    </row>
    <row r="9" spans="1:13" ht="17.25" customHeight="1" x14ac:dyDescent="0.25">
      <c r="A9" s="90"/>
      <c r="B9" s="79"/>
      <c r="C9" s="73"/>
      <c r="D9" s="19">
        <v>5</v>
      </c>
      <c r="E9" s="8">
        <v>493</v>
      </c>
      <c r="F9" s="8">
        <v>25</v>
      </c>
      <c r="G9" s="8">
        <v>35</v>
      </c>
      <c r="H9" s="8">
        <v>0</v>
      </c>
      <c r="I9" s="8">
        <v>1</v>
      </c>
      <c r="J9" s="8">
        <v>427</v>
      </c>
      <c r="K9" s="10">
        <v>488</v>
      </c>
      <c r="L9" s="23">
        <v>5</v>
      </c>
      <c r="M9" s="10">
        <v>0</v>
      </c>
    </row>
    <row r="10" spans="1:13" ht="17.25" customHeight="1" x14ac:dyDescent="0.25">
      <c r="A10" s="90"/>
      <c r="B10" s="79"/>
      <c r="C10" s="73"/>
      <c r="D10" s="19">
        <v>6</v>
      </c>
      <c r="E10" s="8">
        <v>484</v>
      </c>
      <c r="F10" s="8">
        <v>30</v>
      </c>
      <c r="G10" s="8">
        <v>29</v>
      </c>
      <c r="H10" s="8">
        <v>0</v>
      </c>
      <c r="I10" s="8">
        <v>0</v>
      </c>
      <c r="J10" s="8">
        <v>423</v>
      </c>
      <c r="K10" s="10">
        <v>482</v>
      </c>
      <c r="L10" s="23">
        <v>2</v>
      </c>
      <c r="M10" s="10">
        <v>0</v>
      </c>
    </row>
    <row r="11" spans="1:13" ht="17.25" customHeight="1" x14ac:dyDescent="0.25">
      <c r="A11" s="90"/>
      <c r="B11" s="79"/>
      <c r="C11" s="73"/>
      <c r="D11" s="19">
        <v>7</v>
      </c>
      <c r="E11" s="8">
        <v>468</v>
      </c>
      <c r="F11" s="8">
        <v>46</v>
      </c>
      <c r="G11" s="8">
        <v>38</v>
      </c>
      <c r="H11" s="8">
        <v>0</v>
      </c>
      <c r="I11" s="8">
        <v>1</v>
      </c>
      <c r="J11" s="8">
        <v>379</v>
      </c>
      <c r="K11" s="10">
        <v>464</v>
      </c>
      <c r="L11" s="23">
        <v>4</v>
      </c>
      <c r="M11" s="10">
        <v>0</v>
      </c>
    </row>
    <row r="12" spans="1:13" ht="17.25" customHeight="1" x14ac:dyDescent="0.25">
      <c r="A12" s="90"/>
      <c r="B12" s="79"/>
      <c r="C12" s="73"/>
      <c r="D12" s="19">
        <v>8</v>
      </c>
      <c r="E12" s="8">
        <v>468</v>
      </c>
      <c r="F12" s="8">
        <v>67</v>
      </c>
      <c r="G12" s="8">
        <v>26</v>
      </c>
      <c r="H12" s="8">
        <v>4</v>
      </c>
      <c r="I12" s="8">
        <v>3</v>
      </c>
      <c r="J12" s="8">
        <v>367</v>
      </c>
      <c r="K12" s="10">
        <v>467</v>
      </c>
      <c r="L12" s="23">
        <v>1</v>
      </c>
      <c r="M12" s="10">
        <v>0</v>
      </c>
    </row>
    <row r="13" spans="1:13" ht="17.25" customHeight="1" x14ac:dyDescent="0.25">
      <c r="A13" s="91"/>
      <c r="B13" s="80"/>
      <c r="C13" s="74"/>
      <c r="D13" s="19">
        <v>9</v>
      </c>
      <c r="E13" s="8">
        <v>519</v>
      </c>
      <c r="F13" s="8">
        <v>62</v>
      </c>
      <c r="G13" s="8">
        <v>42</v>
      </c>
      <c r="H13" s="8">
        <v>2</v>
      </c>
      <c r="I13" s="8">
        <v>5</v>
      </c>
      <c r="J13" s="8">
        <v>404</v>
      </c>
      <c r="K13" s="10">
        <v>515</v>
      </c>
      <c r="L13" s="23">
        <v>4</v>
      </c>
      <c r="M13" s="10">
        <v>0</v>
      </c>
    </row>
    <row r="14" spans="1:13" ht="17.25" customHeight="1" x14ac:dyDescent="0.25">
      <c r="A14" s="89">
        <v>16</v>
      </c>
      <c r="B14" s="69" t="s">
        <v>54</v>
      </c>
      <c r="C14" s="72" t="s">
        <v>55</v>
      </c>
      <c r="D14" s="19">
        <v>1</v>
      </c>
      <c r="E14" s="8">
        <v>303</v>
      </c>
      <c r="F14" s="8">
        <v>13</v>
      </c>
      <c r="G14" s="8">
        <v>35</v>
      </c>
      <c r="H14" s="8">
        <v>2</v>
      </c>
      <c r="I14" s="8">
        <v>1</v>
      </c>
      <c r="J14" s="8">
        <v>244</v>
      </c>
      <c r="K14" s="10">
        <v>295</v>
      </c>
      <c r="L14" s="23">
        <v>8</v>
      </c>
      <c r="M14" s="10">
        <v>0</v>
      </c>
    </row>
    <row r="15" spans="1:13" ht="17.25" customHeight="1" x14ac:dyDescent="0.25">
      <c r="A15" s="90"/>
      <c r="B15" s="70"/>
      <c r="C15" s="73"/>
      <c r="D15" s="19">
        <v>2</v>
      </c>
      <c r="E15" s="8">
        <v>378</v>
      </c>
      <c r="F15" s="8">
        <v>23</v>
      </c>
      <c r="G15" s="8">
        <v>44</v>
      </c>
      <c r="H15" s="8">
        <v>1</v>
      </c>
      <c r="I15" s="8">
        <v>2</v>
      </c>
      <c r="J15" s="8">
        <v>303</v>
      </c>
      <c r="K15" s="10">
        <v>373</v>
      </c>
      <c r="L15" s="23">
        <v>5</v>
      </c>
      <c r="M15" s="10">
        <v>0</v>
      </c>
    </row>
    <row r="16" spans="1:13" ht="17.25" customHeight="1" x14ac:dyDescent="0.25">
      <c r="A16" s="90"/>
      <c r="B16" s="70"/>
      <c r="C16" s="73"/>
      <c r="D16" s="19">
        <v>3</v>
      </c>
      <c r="E16" s="8">
        <v>378</v>
      </c>
      <c r="F16" s="8">
        <v>28</v>
      </c>
      <c r="G16" s="8">
        <v>43</v>
      </c>
      <c r="H16" s="8">
        <v>1</v>
      </c>
      <c r="I16" s="8">
        <v>3</v>
      </c>
      <c r="J16" s="8">
        <v>301</v>
      </c>
      <c r="K16" s="10">
        <v>376</v>
      </c>
      <c r="L16" s="23">
        <v>2</v>
      </c>
      <c r="M16" s="10">
        <v>0</v>
      </c>
    </row>
    <row r="17" spans="1:13" ht="17.25" customHeight="1" x14ac:dyDescent="0.25">
      <c r="A17" s="90"/>
      <c r="B17" s="70"/>
      <c r="C17" s="73"/>
      <c r="D17" s="19">
        <v>4</v>
      </c>
      <c r="E17" s="8">
        <v>468</v>
      </c>
      <c r="F17" s="8">
        <v>34</v>
      </c>
      <c r="G17" s="8">
        <v>71</v>
      </c>
      <c r="H17" s="8">
        <v>0</v>
      </c>
      <c r="I17" s="8">
        <v>3</v>
      </c>
      <c r="J17" s="8">
        <v>355</v>
      </c>
      <c r="K17" s="10">
        <v>463</v>
      </c>
      <c r="L17" s="23">
        <v>5</v>
      </c>
      <c r="M17" s="10">
        <v>0</v>
      </c>
    </row>
    <row r="18" spans="1:13" ht="17.25" customHeight="1" x14ac:dyDescent="0.25">
      <c r="A18" s="90"/>
      <c r="B18" s="70"/>
      <c r="C18" s="73"/>
      <c r="D18" s="19">
        <v>5</v>
      </c>
      <c r="E18" s="8">
        <v>439</v>
      </c>
      <c r="F18" s="8">
        <v>55</v>
      </c>
      <c r="G18" s="8">
        <v>80</v>
      </c>
      <c r="H18" s="8">
        <v>0</v>
      </c>
      <c r="I18" s="8">
        <v>0</v>
      </c>
      <c r="J18" s="8">
        <v>301</v>
      </c>
      <c r="K18" s="10">
        <v>436</v>
      </c>
      <c r="L18" s="23">
        <v>3</v>
      </c>
      <c r="M18" s="10">
        <v>0</v>
      </c>
    </row>
    <row r="19" spans="1:13" ht="17.25" customHeight="1" x14ac:dyDescent="0.25">
      <c r="A19" s="90"/>
      <c r="B19" s="70"/>
      <c r="C19" s="73"/>
      <c r="D19" s="19">
        <v>6</v>
      </c>
      <c r="E19" s="8">
        <v>432</v>
      </c>
      <c r="F19" s="8">
        <v>67</v>
      </c>
      <c r="G19" s="8">
        <v>57</v>
      </c>
      <c r="H19" s="8">
        <v>1</v>
      </c>
      <c r="I19" s="8">
        <v>4</v>
      </c>
      <c r="J19" s="8">
        <v>301</v>
      </c>
      <c r="K19" s="10">
        <v>430</v>
      </c>
      <c r="L19" s="23">
        <v>2</v>
      </c>
      <c r="M19" s="10">
        <v>0</v>
      </c>
    </row>
    <row r="20" spans="1:13" ht="17.25" customHeight="1" x14ac:dyDescent="0.25">
      <c r="A20" s="91"/>
      <c r="B20" s="71"/>
      <c r="C20" s="74"/>
      <c r="D20" s="19">
        <v>7</v>
      </c>
      <c r="E20" s="8">
        <v>439</v>
      </c>
      <c r="F20" s="8">
        <v>75</v>
      </c>
      <c r="G20" s="8">
        <v>61</v>
      </c>
      <c r="H20" s="8">
        <v>1</v>
      </c>
      <c r="I20" s="8">
        <v>2</v>
      </c>
      <c r="J20" s="8">
        <v>297</v>
      </c>
      <c r="K20" s="10">
        <v>436</v>
      </c>
      <c r="L20" s="23">
        <v>3</v>
      </c>
      <c r="M20" s="10">
        <v>0</v>
      </c>
    </row>
    <row r="21" spans="1:13" ht="37.950000000000003" customHeight="1" x14ac:dyDescent="0.25"/>
    <row r="22" spans="1:13" ht="261" customHeight="1" x14ac:dyDescent="0.25"/>
    <row r="23" spans="1:13" ht="261" customHeight="1" x14ac:dyDescent="0.25"/>
  </sheetData>
  <mergeCells count="16">
    <mergeCell ref="A5:A13"/>
    <mergeCell ref="B5:B13"/>
    <mergeCell ref="C5:C13"/>
    <mergeCell ref="A14:A20"/>
    <mergeCell ref="B14:B20"/>
    <mergeCell ref="C14:C20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topLeftCell="A5"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17</v>
      </c>
      <c r="B5" s="69" t="s">
        <v>57</v>
      </c>
      <c r="C5" s="72" t="s">
        <v>58</v>
      </c>
      <c r="D5" s="19">
        <v>1</v>
      </c>
      <c r="E5" s="8">
        <v>306</v>
      </c>
      <c r="F5" s="8">
        <v>19</v>
      </c>
      <c r="G5" s="8">
        <v>34</v>
      </c>
      <c r="H5" s="8">
        <v>6</v>
      </c>
      <c r="I5" s="8">
        <v>2</v>
      </c>
      <c r="J5" s="8">
        <v>242</v>
      </c>
      <c r="K5" s="10">
        <v>303</v>
      </c>
      <c r="L5" s="21">
        <v>3</v>
      </c>
      <c r="M5" s="10">
        <v>0</v>
      </c>
    </row>
    <row r="6" spans="1:13" ht="17.25" customHeight="1" x14ac:dyDescent="0.25">
      <c r="A6" s="90"/>
      <c r="B6" s="70"/>
      <c r="C6" s="73"/>
      <c r="D6" s="19">
        <v>2</v>
      </c>
      <c r="E6" s="8">
        <v>382</v>
      </c>
      <c r="F6" s="8">
        <v>7</v>
      </c>
      <c r="G6" s="8">
        <v>29</v>
      </c>
      <c r="H6" s="8">
        <v>1</v>
      </c>
      <c r="I6" s="8">
        <v>1</v>
      </c>
      <c r="J6" s="8">
        <v>342</v>
      </c>
      <c r="K6" s="10">
        <v>380</v>
      </c>
      <c r="L6" s="21">
        <v>2</v>
      </c>
      <c r="M6" s="10">
        <v>0</v>
      </c>
    </row>
    <row r="7" spans="1:13" ht="17.25" customHeight="1" x14ac:dyDescent="0.25">
      <c r="A7" s="90"/>
      <c r="B7" s="70"/>
      <c r="C7" s="73"/>
      <c r="D7" s="19">
        <v>3</v>
      </c>
      <c r="E7" s="8">
        <v>506</v>
      </c>
      <c r="F7" s="8">
        <v>12</v>
      </c>
      <c r="G7" s="8">
        <v>30</v>
      </c>
      <c r="H7" s="8">
        <v>1</v>
      </c>
      <c r="I7" s="8">
        <v>2</v>
      </c>
      <c r="J7" s="8">
        <v>451</v>
      </c>
      <c r="K7" s="10">
        <v>496</v>
      </c>
      <c r="L7" s="19">
        <v>10</v>
      </c>
      <c r="M7" s="10">
        <v>0</v>
      </c>
    </row>
    <row r="8" spans="1:13" ht="17.25" customHeight="1" x14ac:dyDescent="0.25">
      <c r="A8" s="90"/>
      <c r="B8" s="70"/>
      <c r="C8" s="73"/>
      <c r="D8" s="19">
        <v>4</v>
      </c>
      <c r="E8" s="8">
        <v>473</v>
      </c>
      <c r="F8" s="8">
        <v>24</v>
      </c>
      <c r="G8" s="8">
        <v>42</v>
      </c>
      <c r="H8" s="8">
        <v>0</v>
      </c>
      <c r="I8" s="8">
        <v>0</v>
      </c>
      <c r="J8" s="8">
        <v>406</v>
      </c>
      <c r="K8" s="10">
        <v>472</v>
      </c>
      <c r="L8" s="21">
        <v>1</v>
      </c>
      <c r="M8" s="10">
        <v>0</v>
      </c>
    </row>
    <row r="9" spans="1:13" ht="17.25" customHeight="1" x14ac:dyDescent="0.25">
      <c r="A9" s="90"/>
      <c r="B9" s="70"/>
      <c r="C9" s="73"/>
      <c r="D9" s="19">
        <v>5</v>
      </c>
      <c r="E9" s="8">
        <v>464</v>
      </c>
      <c r="F9" s="8">
        <v>33</v>
      </c>
      <c r="G9" s="8">
        <v>34</v>
      </c>
      <c r="H9" s="8">
        <v>1</v>
      </c>
      <c r="I9" s="8">
        <v>1</v>
      </c>
      <c r="J9" s="8">
        <v>394</v>
      </c>
      <c r="K9" s="10">
        <v>463</v>
      </c>
      <c r="L9" s="21">
        <v>1</v>
      </c>
      <c r="M9" s="10">
        <v>0</v>
      </c>
    </row>
    <row r="10" spans="1:13" ht="17.25" customHeight="1" x14ac:dyDescent="0.25">
      <c r="A10" s="90"/>
      <c r="B10" s="70"/>
      <c r="C10" s="73"/>
      <c r="D10" s="19">
        <v>6</v>
      </c>
      <c r="E10" s="8">
        <v>456</v>
      </c>
      <c r="F10" s="8">
        <v>37</v>
      </c>
      <c r="G10" s="8">
        <v>29</v>
      </c>
      <c r="H10" s="8">
        <v>2</v>
      </c>
      <c r="I10" s="8">
        <v>1</v>
      </c>
      <c r="J10" s="8">
        <v>387</v>
      </c>
      <c r="K10" s="10">
        <v>456</v>
      </c>
      <c r="L10" s="21">
        <v>0</v>
      </c>
      <c r="M10" s="10">
        <v>0</v>
      </c>
    </row>
    <row r="11" spans="1:13" ht="17.25" customHeight="1" x14ac:dyDescent="0.25">
      <c r="A11" s="90"/>
      <c r="B11" s="70"/>
      <c r="C11" s="73"/>
      <c r="D11" s="19">
        <v>7</v>
      </c>
      <c r="E11" s="8">
        <v>451</v>
      </c>
      <c r="F11" s="8">
        <v>31</v>
      </c>
      <c r="G11" s="8">
        <v>29</v>
      </c>
      <c r="H11" s="8">
        <v>1</v>
      </c>
      <c r="I11" s="8">
        <v>2</v>
      </c>
      <c r="J11" s="8">
        <v>387</v>
      </c>
      <c r="K11" s="10">
        <v>450</v>
      </c>
      <c r="L11" s="21">
        <v>1</v>
      </c>
      <c r="M11" s="10">
        <v>0</v>
      </c>
    </row>
    <row r="12" spans="1:13" ht="17.25" customHeight="1" x14ac:dyDescent="0.25">
      <c r="A12" s="91"/>
      <c r="B12" s="71"/>
      <c r="C12" s="74"/>
      <c r="D12" s="19">
        <v>8</v>
      </c>
      <c r="E12" s="8">
        <v>488</v>
      </c>
      <c r="F12" s="8">
        <v>42</v>
      </c>
      <c r="G12" s="8">
        <v>29</v>
      </c>
      <c r="H12" s="8">
        <v>0</v>
      </c>
      <c r="I12" s="8">
        <v>0</v>
      </c>
      <c r="J12" s="8">
        <v>413</v>
      </c>
      <c r="K12" s="10">
        <v>484</v>
      </c>
      <c r="L12" s="21">
        <v>4</v>
      </c>
      <c r="M12" s="10">
        <v>0</v>
      </c>
    </row>
    <row r="13" spans="1:13" ht="17.25" customHeight="1" x14ac:dyDescent="0.25">
      <c r="A13" s="89">
        <v>18</v>
      </c>
      <c r="B13" s="84" t="s">
        <v>59</v>
      </c>
      <c r="C13" s="72" t="s">
        <v>60</v>
      </c>
      <c r="D13" s="19">
        <v>1</v>
      </c>
      <c r="E13" s="8">
        <v>317</v>
      </c>
      <c r="F13" s="8">
        <v>21</v>
      </c>
      <c r="G13" s="8">
        <v>66</v>
      </c>
      <c r="H13" s="8">
        <v>1</v>
      </c>
      <c r="I13" s="8">
        <v>0</v>
      </c>
      <c r="J13" s="8">
        <v>225</v>
      </c>
      <c r="K13" s="10">
        <v>313</v>
      </c>
      <c r="L13" s="21">
        <v>4</v>
      </c>
      <c r="M13" s="10">
        <v>0</v>
      </c>
    </row>
    <row r="14" spans="1:13" ht="17.25" customHeight="1" x14ac:dyDescent="0.25">
      <c r="A14" s="90"/>
      <c r="B14" s="85"/>
      <c r="C14" s="73"/>
      <c r="D14" s="19">
        <v>2</v>
      </c>
      <c r="E14" s="8">
        <v>366</v>
      </c>
      <c r="F14" s="8">
        <v>29</v>
      </c>
      <c r="G14" s="8">
        <v>48</v>
      </c>
      <c r="H14" s="8">
        <v>0</v>
      </c>
      <c r="I14" s="8">
        <v>5</v>
      </c>
      <c r="J14" s="8">
        <v>282</v>
      </c>
      <c r="K14" s="10">
        <v>364</v>
      </c>
      <c r="L14" s="21">
        <v>2</v>
      </c>
      <c r="M14" s="10">
        <v>0</v>
      </c>
    </row>
    <row r="15" spans="1:13" ht="17.25" customHeight="1" x14ac:dyDescent="0.25">
      <c r="A15" s="90"/>
      <c r="B15" s="85"/>
      <c r="C15" s="73"/>
      <c r="D15" s="19">
        <v>3</v>
      </c>
      <c r="E15" s="8">
        <v>488</v>
      </c>
      <c r="F15" s="8">
        <v>28</v>
      </c>
      <c r="G15" s="8">
        <v>61</v>
      </c>
      <c r="H15" s="8">
        <v>2</v>
      </c>
      <c r="I15" s="8">
        <v>1</v>
      </c>
      <c r="J15" s="8">
        <v>392</v>
      </c>
      <c r="K15" s="10">
        <v>484</v>
      </c>
      <c r="L15" s="21">
        <v>4</v>
      </c>
      <c r="M15" s="10">
        <v>0</v>
      </c>
    </row>
    <row r="16" spans="1:13" ht="17.25" customHeight="1" x14ac:dyDescent="0.25">
      <c r="A16" s="90"/>
      <c r="B16" s="85"/>
      <c r="C16" s="73"/>
      <c r="D16" s="19">
        <v>4</v>
      </c>
      <c r="E16" s="8">
        <v>469</v>
      </c>
      <c r="F16" s="8">
        <v>32</v>
      </c>
      <c r="G16" s="8">
        <v>58</v>
      </c>
      <c r="H16" s="8">
        <v>2</v>
      </c>
      <c r="I16" s="8">
        <v>6</v>
      </c>
      <c r="J16" s="8">
        <v>369</v>
      </c>
      <c r="K16" s="10">
        <v>467</v>
      </c>
      <c r="L16" s="21">
        <v>2</v>
      </c>
      <c r="M16" s="10">
        <v>0</v>
      </c>
    </row>
    <row r="17" spans="1:13" ht="17.25" customHeight="1" x14ac:dyDescent="0.25">
      <c r="A17" s="90"/>
      <c r="B17" s="85"/>
      <c r="C17" s="73"/>
      <c r="D17" s="19">
        <v>5</v>
      </c>
      <c r="E17" s="8">
        <v>473</v>
      </c>
      <c r="F17" s="8">
        <v>59</v>
      </c>
      <c r="G17" s="8">
        <v>43</v>
      </c>
      <c r="H17" s="8">
        <v>3</v>
      </c>
      <c r="I17" s="8">
        <v>2</v>
      </c>
      <c r="J17" s="8">
        <v>363</v>
      </c>
      <c r="K17" s="10">
        <v>470</v>
      </c>
      <c r="L17" s="21">
        <v>3</v>
      </c>
      <c r="M17" s="10">
        <v>0</v>
      </c>
    </row>
    <row r="18" spans="1:13" ht="17.25" customHeight="1" x14ac:dyDescent="0.25">
      <c r="A18" s="90"/>
      <c r="B18" s="85"/>
      <c r="C18" s="73"/>
      <c r="D18" s="19">
        <v>6</v>
      </c>
      <c r="E18" s="8">
        <v>439</v>
      </c>
      <c r="F18" s="8">
        <v>53</v>
      </c>
      <c r="G18" s="8">
        <v>33</v>
      </c>
      <c r="H18" s="8">
        <v>4</v>
      </c>
      <c r="I18" s="8">
        <v>2</v>
      </c>
      <c r="J18" s="8">
        <v>338</v>
      </c>
      <c r="K18" s="10">
        <v>430</v>
      </c>
      <c r="L18" s="21">
        <v>9</v>
      </c>
      <c r="M18" s="10">
        <v>0</v>
      </c>
    </row>
    <row r="19" spans="1:13" ht="17.25" customHeight="1" x14ac:dyDescent="0.25">
      <c r="A19" s="91"/>
      <c r="B19" s="86"/>
      <c r="C19" s="74"/>
      <c r="D19" s="19">
        <v>7</v>
      </c>
      <c r="E19" s="8">
        <v>525</v>
      </c>
      <c r="F19" s="8">
        <v>48</v>
      </c>
      <c r="G19" s="8">
        <v>61</v>
      </c>
      <c r="H19" s="8">
        <v>2</v>
      </c>
      <c r="I19" s="8">
        <v>1</v>
      </c>
      <c r="J19" s="8">
        <v>412</v>
      </c>
      <c r="K19" s="10">
        <v>524</v>
      </c>
      <c r="L19" s="21">
        <v>1</v>
      </c>
      <c r="M19" s="10">
        <v>0</v>
      </c>
    </row>
    <row r="20" spans="1:13" ht="32.700000000000003" customHeight="1" x14ac:dyDescent="0.25">
      <c r="A20" s="11">
        <v>19</v>
      </c>
      <c r="B20" s="6" t="s">
        <v>61</v>
      </c>
      <c r="C20" s="6" t="s">
        <v>62</v>
      </c>
      <c r="D20" s="19">
        <v>1</v>
      </c>
      <c r="E20" s="8">
        <v>264</v>
      </c>
      <c r="F20" s="8">
        <v>13</v>
      </c>
      <c r="G20" s="8">
        <v>57</v>
      </c>
      <c r="H20" s="8">
        <v>6</v>
      </c>
      <c r="I20" s="8">
        <v>3</v>
      </c>
      <c r="J20" s="8">
        <v>180</v>
      </c>
      <c r="K20" s="10">
        <v>259</v>
      </c>
      <c r="L20" s="21">
        <v>5</v>
      </c>
      <c r="M20" s="10">
        <v>0</v>
      </c>
    </row>
    <row r="21" spans="1:13" ht="17.25" customHeight="1" x14ac:dyDescent="0.25">
      <c r="A21" s="89">
        <v>20</v>
      </c>
      <c r="B21" s="98" t="s">
        <v>63</v>
      </c>
      <c r="C21" s="75" t="s">
        <v>64</v>
      </c>
      <c r="D21" s="19">
        <v>1</v>
      </c>
      <c r="E21" s="8">
        <v>169</v>
      </c>
      <c r="F21" s="8">
        <v>5</v>
      </c>
      <c r="G21" s="8">
        <v>54</v>
      </c>
      <c r="H21" s="8">
        <v>5</v>
      </c>
      <c r="I21" s="8">
        <v>2</v>
      </c>
      <c r="J21" s="8">
        <v>98</v>
      </c>
      <c r="K21" s="10">
        <v>164</v>
      </c>
      <c r="L21" s="21">
        <v>5</v>
      </c>
      <c r="M21" s="10">
        <v>0</v>
      </c>
    </row>
    <row r="22" spans="1:13" ht="17.25" customHeight="1" x14ac:dyDescent="0.25">
      <c r="A22" s="91"/>
      <c r="B22" s="99"/>
      <c r="C22" s="77"/>
      <c r="D22" s="19">
        <v>2</v>
      </c>
      <c r="E22" s="8">
        <v>281</v>
      </c>
      <c r="F22" s="8">
        <v>20</v>
      </c>
      <c r="G22" s="8">
        <v>69</v>
      </c>
      <c r="H22" s="8">
        <v>1</v>
      </c>
      <c r="I22" s="8">
        <v>1</v>
      </c>
      <c r="J22" s="8">
        <v>187</v>
      </c>
      <c r="K22" s="10">
        <v>278</v>
      </c>
      <c r="L22" s="21">
        <v>3</v>
      </c>
      <c r="M22" s="10">
        <v>0</v>
      </c>
    </row>
    <row r="23" spans="1:13" ht="37.950000000000003" customHeight="1" x14ac:dyDescent="0.25"/>
    <row r="24" spans="1:13" ht="310.05" customHeight="1" x14ac:dyDescent="0.25"/>
    <row r="25" spans="1:13" ht="310.05" customHeight="1" x14ac:dyDescent="0.25"/>
  </sheetData>
  <mergeCells count="19">
    <mergeCell ref="A21:A22"/>
    <mergeCell ref="B21:B22"/>
    <mergeCell ref="C21:C22"/>
    <mergeCell ref="A5:A12"/>
    <mergeCell ref="B5:B12"/>
    <mergeCell ref="C5:C12"/>
    <mergeCell ref="A13:A19"/>
    <mergeCell ref="B13:B19"/>
    <mergeCell ref="C13:C19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topLeftCell="A3"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65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32.700000000000003" customHeight="1" x14ac:dyDescent="0.25">
      <c r="A5" s="11">
        <v>21</v>
      </c>
      <c r="B5" s="6" t="s">
        <v>66</v>
      </c>
      <c r="C5" s="6" t="s">
        <v>67</v>
      </c>
      <c r="D5" s="19">
        <v>1</v>
      </c>
      <c r="E5" s="8">
        <v>266</v>
      </c>
      <c r="F5" s="8">
        <v>6</v>
      </c>
      <c r="G5" s="8">
        <v>96</v>
      </c>
      <c r="H5" s="8">
        <v>4</v>
      </c>
      <c r="I5" s="8">
        <v>2</v>
      </c>
      <c r="J5" s="8">
        <v>153</v>
      </c>
      <c r="K5" s="10">
        <v>261</v>
      </c>
      <c r="L5" s="23">
        <v>5</v>
      </c>
      <c r="M5" s="10">
        <v>0</v>
      </c>
    </row>
    <row r="6" spans="1:13" ht="17.25" customHeight="1" x14ac:dyDescent="0.25">
      <c r="A6" s="89">
        <v>22</v>
      </c>
      <c r="B6" s="98" t="s">
        <v>68</v>
      </c>
      <c r="C6" s="98" t="s">
        <v>69</v>
      </c>
      <c r="D6" s="19">
        <v>1</v>
      </c>
      <c r="E6" s="8">
        <v>214</v>
      </c>
      <c r="F6" s="8">
        <v>13</v>
      </c>
      <c r="G6" s="8">
        <v>57</v>
      </c>
      <c r="H6" s="8">
        <v>2</v>
      </c>
      <c r="I6" s="8">
        <v>5</v>
      </c>
      <c r="J6" s="8">
        <v>130</v>
      </c>
      <c r="K6" s="10">
        <v>207</v>
      </c>
      <c r="L6" s="23">
        <v>7</v>
      </c>
      <c r="M6" s="10">
        <v>0</v>
      </c>
    </row>
    <row r="7" spans="1:13" ht="17.25" customHeight="1" x14ac:dyDescent="0.25">
      <c r="A7" s="91"/>
      <c r="B7" s="99"/>
      <c r="C7" s="99"/>
      <c r="D7" s="19">
        <v>2</v>
      </c>
      <c r="E7" s="8">
        <v>322</v>
      </c>
      <c r="F7" s="8">
        <v>52</v>
      </c>
      <c r="G7" s="8">
        <v>65</v>
      </c>
      <c r="H7" s="8">
        <v>2</v>
      </c>
      <c r="I7" s="8">
        <v>3</v>
      </c>
      <c r="J7" s="8">
        <v>195</v>
      </c>
      <c r="K7" s="10">
        <v>317</v>
      </c>
      <c r="L7" s="23">
        <v>5</v>
      </c>
      <c r="M7" s="10">
        <v>0</v>
      </c>
    </row>
    <row r="8" spans="1:13" ht="17.25" customHeight="1" x14ac:dyDescent="0.25">
      <c r="A8" s="89">
        <v>23</v>
      </c>
      <c r="B8" s="69" t="s">
        <v>70</v>
      </c>
      <c r="C8" s="84" t="s">
        <v>71</v>
      </c>
      <c r="D8" s="19">
        <v>1</v>
      </c>
      <c r="E8" s="8">
        <v>244</v>
      </c>
      <c r="F8" s="8">
        <v>85</v>
      </c>
      <c r="G8" s="8">
        <v>77</v>
      </c>
      <c r="H8" s="8">
        <v>7</v>
      </c>
      <c r="I8" s="8">
        <v>0</v>
      </c>
      <c r="J8" s="8">
        <v>74</v>
      </c>
      <c r="K8" s="10">
        <v>243</v>
      </c>
      <c r="L8" s="23">
        <v>1</v>
      </c>
      <c r="M8" s="10">
        <v>0</v>
      </c>
    </row>
    <row r="9" spans="1:13" ht="17.25" customHeight="1" x14ac:dyDescent="0.25">
      <c r="A9" s="90"/>
      <c r="B9" s="70"/>
      <c r="C9" s="85"/>
      <c r="D9" s="19">
        <v>2</v>
      </c>
      <c r="E9" s="8">
        <v>189</v>
      </c>
      <c r="F9" s="8">
        <v>106</v>
      </c>
      <c r="G9" s="8">
        <v>53</v>
      </c>
      <c r="H9" s="8">
        <v>2</v>
      </c>
      <c r="I9" s="8">
        <v>0</v>
      </c>
      <c r="J9" s="8">
        <v>26</v>
      </c>
      <c r="K9" s="10">
        <v>187</v>
      </c>
      <c r="L9" s="23">
        <v>2</v>
      </c>
      <c r="M9" s="10">
        <v>0</v>
      </c>
    </row>
    <row r="10" spans="1:13" ht="17.25" customHeight="1" x14ac:dyDescent="0.25">
      <c r="A10" s="91"/>
      <c r="B10" s="71"/>
      <c r="C10" s="86"/>
      <c r="D10" s="19">
        <v>3</v>
      </c>
      <c r="E10" s="8">
        <v>179</v>
      </c>
      <c r="F10" s="8">
        <v>93</v>
      </c>
      <c r="G10" s="8">
        <v>33</v>
      </c>
      <c r="H10" s="8">
        <v>0</v>
      </c>
      <c r="I10" s="8">
        <v>1</v>
      </c>
      <c r="J10" s="8">
        <v>50</v>
      </c>
      <c r="K10" s="10">
        <v>177</v>
      </c>
      <c r="L10" s="23">
        <v>2</v>
      </c>
      <c r="M10" s="10">
        <v>0</v>
      </c>
    </row>
    <row r="11" spans="1:13" ht="17.25" customHeight="1" x14ac:dyDescent="0.25">
      <c r="A11" s="89">
        <v>24</v>
      </c>
      <c r="B11" s="84" t="s">
        <v>72</v>
      </c>
      <c r="C11" s="84" t="s">
        <v>73</v>
      </c>
      <c r="D11" s="19">
        <v>1</v>
      </c>
      <c r="E11" s="8">
        <v>339</v>
      </c>
      <c r="F11" s="8">
        <v>86</v>
      </c>
      <c r="G11" s="8">
        <v>168</v>
      </c>
      <c r="H11" s="8">
        <v>0</v>
      </c>
      <c r="I11" s="8">
        <v>7</v>
      </c>
      <c r="J11" s="8">
        <v>74</v>
      </c>
      <c r="K11" s="10">
        <v>335</v>
      </c>
      <c r="L11" s="23">
        <v>4</v>
      </c>
      <c r="M11" s="10">
        <v>0</v>
      </c>
    </row>
    <row r="12" spans="1:13" ht="17.25" customHeight="1" x14ac:dyDescent="0.25">
      <c r="A12" s="90"/>
      <c r="B12" s="85"/>
      <c r="C12" s="85"/>
      <c r="D12" s="19">
        <v>2</v>
      </c>
      <c r="E12" s="8">
        <v>381</v>
      </c>
      <c r="F12" s="8">
        <v>111</v>
      </c>
      <c r="G12" s="8">
        <v>166</v>
      </c>
      <c r="H12" s="8">
        <v>2</v>
      </c>
      <c r="I12" s="8">
        <v>4</v>
      </c>
      <c r="J12" s="8">
        <v>97</v>
      </c>
      <c r="K12" s="10">
        <v>380</v>
      </c>
      <c r="L12" s="23">
        <v>1</v>
      </c>
      <c r="M12" s="10">
        <v>0</v>
      </c>
    </row>
    <row r="13" spans="1:13" ht="17.25" customHeight="1" x14ac:dyDescent="0.25">
      <c r="A13" s="90"/>
      <c r="B13" s="85"/>
      <c r="C13" s="85"/>
      <c r="D13" s="19">
        <v>3</v>
      </c>
      <c r="E13" s="8">
        <v>550</v>
      </c>
      <c r="F13" s="8">
        <v>216</v>
      </c>
      <c r="G13" s="8">
        <v>169</v>
      </c>
      <c r="H13" s="8">
        <v>7</v>
      </c>
      <c r="I13" s="8">
        <v>10</v>
      </c>
      <c r="J13" s="8">
        <v>141</v>
      </c>
      <c r="K13" s="10">
        <v>543</v>
      </c>
      <c r="L13" s="23">
        <v>7</v>
      </c>
      <c r="M13" s="10">
        <v>0</v>
      </c>
    </row>
    <row r="14" spans="1:13" ht="17.25" customHeight="1" x14ac:dyDescent="0.25">
      <c r="A14" s="90"/>
      <c r="B14" s="85"/>
      <c r="C14" s="85"/>
      <c r="D14" s="19">
        <v>4</v>
      </c>
      <c r="E14" s="8">
        <v>504</v>
      </c>
      <c r="F14" s="8">
        <v>218</v>
      </c>
      <c r="G14" s="8">
        <v>143</v>
      </c>
      <c r="H14" s="8">
        <v>5</v>
      </c>
      <c r="I14" s="8">
        <v>9</v>
      </c>
      <c r="J14" s="8">
        <v>129</v>
      </c>
      <c r="K14" s="10">
        <v>504</v>
      </c>
      <c r="L14" s="23">
        <v>0</v>
      </c>
      <c r="M14" s="10">
        <v>0</v>
      </c>
    </row>
    <row r="15" spans="1:13" ht="17.25" customHeight="1" x14ac:dyDescent="0.25">
      <c r="A15" s="90"/>
      <c r="B15" s="85"/>
      <c r="C15" s="85"/>
      <c r="D15" s="19">
        <v>5</v>
      </c>
      <c r="E15" s="8">
        <v>529</v>
      </c>
      <c r="F15" s="8">
        <v>214</v>
      </c>
      <c r="G15" s="8">
        <v>141</v>
      </c>
      <c r="H15" s="8">
        <v>3</v>
      </c>
      <c r="I15" s="8">
        <v>11</v>
      </c>
      <c r="J15" s="8">
        <v>160</v>
      </c>
      <c r="K15" s="10">
        <v>529</v>
      </c>
      <c r="L15" s="23">
        <v>0</v>
      </c>
      <c r="M15" s="10">
        <v>0</v>
      </c>
    </row>
    <row r="16" spans="1:13" ht="17.25" customHeight="1" x14ac:dyDescent="0.25">
      <c r="A16" s="91"/>
      <c r="B16" s="86"/>
      <c r="C16" s="86"/>
      <c r="D16" s="19">
        <v>6</v>
      </c>
      <c r="E16" s="8">
        <v>552</v>
      </c>
      <c r="F16" s="8">
        <v>265</v>
      </c>
      <c r="G16" s="8">
        <v>121</v>
      </c>
      <c r="H16" s="8">
        <v>5</v>
      </c>
      <c r="I16" s="8">
        <v>12</v>
      </c>
      <c r="J16" s="8">
        <v>147</v>
      </c>
      <c r="K16" s="10">
        <v>550</v>
      </c>
      <c r="L16" s="23">
        <v>2</v>
      </c>
      <c r="M16" s="10">
        <v>0</v>
      </c>
    </row>
    <row r="17" spans="1:13" ht="17.25" customHeight="1" x14ac:dyDescent="0.25">
      <c r="A17" s="89">
        <v>25</v>
      </c>
      <c r="B17" s="69" t="s">
        <v>74</v>
      </c>
      <c r="C17" s="84" t="s">
        <v>75</v>
      </c>
      <c r="D17" s="19">
        <v>1</v>
      </c>
      <c r="E17" s="8">
        <v>312</v>
      </c>
      <c r="F17" s="8">
        <v>63</v>
      </c>
      <c r="G17" s="8">
        <v>157</v>
      </c>
      <c r="H17" s="8">
        <v>4</v>
      </c>
      <c r="I17" s="8">
        <v>7</v>
      </c>
      <c r="J17" s="8">
        <v>78</v>
      </c>
      <c r="K17" s="10">
        <v>309</v>
      </c>
      <c r="L17" s="23">
        <v>3</v>
      </c>
      <c r="M17" s="10">
        <v>0</v>
      </c>
    </row>
    <row r="18" spans="1:13" ht="17.25" customHeight="1" x14ac:dyDescent="0.25">
      <c r="A18" s="90"/>
      <c r="B18" s="70"/>
      <c r="C18" s="85"/>
      <c r="D18" s="19">
        <v>2</v>
      </c>
      <c r="E18" s="8">
        <v>369</v>
      </c>
      <c r="F18" s="8">
        <v>116</v>
      </c>
      <c r="G18" s="8">
        <v>160</v>
      </c>
      <c r="H18" s="8">
        <v>2</v>
      </c>
      <c r="I18" s="8">
        <v>4</v>
      </c>
      <c r="J18" s="8">
        <v>80</v>
      </c>
      <c r="K18" s="10">
        <v>362</v>
      </c>
      <c r="L18" s="23">
        <v>7</v>
      </c>
      <c r="M18" s="10">
        <v>0</v>
      </c>
    </row>
    <row r="19" spans="1:13" ht="17.25" customHeight="1" x14ac:dyDescent="0.25">
      <c r="A19" s="90"/>
      <c r="B19" s="70"/>
      <c r="C19" s="85"/>
      <c r="D19" s="19">
        <v>3</v>
      </c>
      <c r="E19" s="8">
        <v>449</v>
      </c>
      <c r="F19" s="8">
        <v>203</v>
      </c>
      <c r="G19" s="8">
        <v>141</v>
      </c>
      <c r="H19" s="8">
        <v>0</v>
      </c>
      <c r="I19" s="8">
        <v>3</v>
      </c>
      <c r="J19" s="8">
        <v>102</v>
      </c>
      <c r="K19" s="10">
        <v>449</v>
      </c>
      <c r="L19" s="23">
        <v>0</v>
      </c>
      <c r="M19" s="10">
        <v>0</v>
      </c>
    </row>
    <row r="20" spans="1:13" ht="17.25" customHeight="1" x14ac:dyDescent="0.25">
      <c r="A20" s="90"/>
      <c r="B20" s="70"/>
      <c r="C20" s="85"/>
      <c r="D20" s="19">
        <v>4</v>
      </c>
      <c r="E20" s="8">
        <v>449</v>
      </c>
      <c r="F20" s="8">
        <v>188</v>
      </c>
      <c r="G20" s="8">
        <v>124</v>
      </c>
      <c r="H20" s="8">
        <v>1</v>
      </c>
      <c r="I20" s="8">
        <v>9</v>
      </c>
      <c r="J20" s="8">
        <v>122</v>
      </c>
      <c r="K20" s="10">
        <v>444</v>
      </c>
      <c r="L20" s="23">
        <v>5</v>
      </c>
      <c r="M20" s="10">
        <v>0</v>
      </c>
    </row>
    <row r="21" spans="1:13" ht="17.25" customHeight="1" x14ac:dyDescent="0.25">
      <c r="A21" s="90"/>
      <c r="B21" s="70"/>
      <c r="C21" s="85"/>
      <c r="D21" s="19">
        <v>5</v>
      </c>
      <c r="E21" s="8">
        <v>486</v>
      </c>
      <c r="F21" s="8">
        <v>224</v>
      </c>
      <c r="G21" s="8">
        <v>118</v>
      </c>
      <c r="H21" s="8">
        <v>1</v>
      </c>
      <c r="I21" s="8">
        <v>4</v>
      </c>
      <c r="J21" s="8">
        <v>138</v>
      </c>
      <c r="K21" s="10">
        <v>485</v>
      </c>
      <c r="L21" s="23">
        <v>1</v>
      </c>
      <c r="M21" s="10">
        <v>0</v>
      </c>
    </row>
    <row r="22" spans="1:13" ht="17.25" customHeight="1" x14ac:dyDescent="0.25">
      <c r="A22" s="91"/>
      <c r="B22" s="71"/>
      <c r="C22" s="86"/>
      <c r="D22" s="19">
        <v>6</v>
      </c>
      <c r="E22" s="8">
        <v>441</v>
      </c>
      <c r="F22" s="8">
        <v>208</v>
      </c>
      <c r="G22" s="8">
        <v>101</v>
      </c>
      <c r="H22" s="8">
        <v>4</v>
      </c>
      <c r="I22" s="8">
        <v>2</v>
      </c>
      <c r="J22" s="8">
        <v>124</v>
      </c>
      <c r="K22" s="10">
        <v>439</v>
      </c>
      <c r="L22" s="23">
        <v>2</v>
      </c>
      <c r="M22" s="10">
        <v>0</v>
      </c>
    </row>
    <row r="23" spans="1:13" ht="37.950000000000003" customHeight="1" x14ac:dyDescent="0.25"/>
    <row r="24" spans="1:13" ht="310.05" customHeight="1" x14ac:dyDescent="0.25"/>
    <row r="25" spans="1:13" ht="310.05" customHeight="1" x14ac:dyDescent="0.25"/>
  </sheetData>
  <mergeCells count="22">
    <mergeCell ref="A11:A16"/>
    <mergeCell ref="B11:B16"/>
    <mergeCell ref="C11:C16"/>
    <mergeCell ref="A17:A22"/>
    <mergeCell ref="B17:B22"/>
    <mergeCell ref="C17:C22"/>
    <mergeCell ref="A6:A7"/>
    <mergeCell ref="B6:B7"/>
    <mergeCell ref="C6:C7"/>
    <mergeCell ref="A8:A10"/>
    <mergeCell ref="B8:B10"/>
    <mergeCell ref="C8:C10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6"/>
  <sheetViews>
    <sheetView topLeftCell="A5" workbookViewId="0">
      <selection activeCell="A5" sqref="A5:M23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76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26</v>
      </c>
      <c r="B5" s="84" t="s">
        <v>77</v>
      </c>
      <c r="C5" s="84" t="s">
        <v>78</v>
      </c>
      <c r="D5" s="19">
        <v>1</v>
      </c>
      <c r="E5" s="8">
        <v>271</v>
      </c>
      <c r="F5" s="8">
        <v>34</v>
      </c>
      <c r="G5" s="8">
        <v>97</v>
      </c>
      <c r="H5" s="8">
        <v>1</v>
      </c>
      <c r="I5" s="8">
        <v>6</v>
      </c>
      <c r="J5" s="8">
        <v>128</v>
      </c>
      <c r="K5" s="10">
        <v>266</v>
      </c>
      <c r="L5" s="21">
        <v>5</v>
      </c>
      <c r="M5" s="10">
        <v>0</v>
      </c>
    </row>
    <row r="6" spans="1:13" ht="17.25" customHeight="1" x14ac:dyDescent="0.25">
      <c r="A6" s="90"/>
      <c r="B6" s="85"/>
      <c r="C6" s="85"/>
      <c r="D6" s="19">
        <v>2</v>
      </c>
      <c r="E6" s="8">
        <v>343</v>
      </c>
      <c r="F6" s="8">
        <v>61</v>
      </c>
      <c r="G6" s="8">
        <v>116</v>
      </c>
      <c r="H6" s="8">
        <v>0</v>
      </c>
      <c r="I6" s="8">
        <v>6</v>
      </c>
      <c r="J6" s="8">
        <v>157</v>
      </c>
      <c r="K6" s="10">
        <v>340</v>
      </c>
      <c r="L6" s="21">
        <v>3</v>
      </c>
      <c r="M6" s="10">
        <v>0</v>
      </c>
    </row>
    <row r="7" spans="1:13" ht="17.25" customHeight="1" x14ac:dyDescent="0.25">
      <c r="A7" s="90"/>
      <c r="B7" s="85"/>
      <c r="C7" s="85"/>
      <c r="D7" s="19">
        <v>3</v>
      </c>
      <c r="E7" s="8">
        <v>367</v>
      </c>
      <c r="F7" s="8">
        <v>75</v>
      </c>
      <c r="G7" s="8">
        <v>124</v>
      </c>
      <c r="H7" s="8">
        <v>0</v>
      </c>
      <c r="I7" s="8">
        <v>5</v>
      </c>
      <c r="J7" s="8">
        <v>162</v>
      </c>
      <c r="K7" s="10">
        <v>366</v>
      </c>
      <c r="L7" s="21">
        <v>1</v>
      </c>
      <c r="M7" s="10">
        <v>0</v>
      </c>
    </row>
    <row r="8" spans="1:13" ht="17.25" customHeight="1" x14ac:dyDescent="0.25">
      <c r="A8" s="90"/>
      <c r="B8" s="85"/>
      <c r="C8" s="85"/>
      <c r="D8" s="19">
        <v>4</v>
      </c>
      <c r="E8" s="8">
        <v>521</v>
      </c>
      <c r="F8" s="8">
        <v>167</v>
      </c>
      <c r="G8" s="8">
        <v>111</v>
      </c>
      <c r="H8" s="8">
        <v>2</v>
      </c>
      <c r="I8" s="8">
        <v>9</v>
      </c>
      <c r="J8" s="8">
        <v>231</v>
      </c>
      <c r="K8" s="10">
        <v>520</v>
      </c>
      <c r="L8" s="21">
        <v>1</v>
      </c>
      <c r="M8" s="10">
        <v>0</v>
      </c>
    </row>
    <row r="9" spans="1:13" ht="17.25" customHeight="1" x14ac:dyDescent="0.25">
      <c r="A9" s="90"/>
      <c r="B9" s="85"/>
      <c r="C9" s="85"/>
      <c r="D9" s="19">
        <v>5</v>
      </c>
      <c r="E9" s="8">
        <v>479</v>
      </c>
      <c r="F9" s="8">
        <v>164</v>
      </c>
      <c r="G9" s="8">
        <v>112</v>
      </c>
      <c r="H9" s="8">
        <v>1</v>
      </c>
      <c r="I9" s="8">
        <v>8</v>
      </c>
      <c r="J9" s="8">
        <v>193</v>
      </c>
      <c r="K9" s="10">
        <v>478</v>
      </c>
      <c r="L9" s="21">
        <v>1</v>
      </c>
      <c r="M9" s="10">
        <v>0</v>
      </c>
    </row>
    <row r="10" spans="1:13" ht="17.25" customHeight="1" x14ac:dyDescent="0.25">
      <c r="A10" s="90"/>
      <c r="B10" s="85"/>
      <c r="C10" s="85"/>
      <c r="D10" s="19">
        <v>6</v>
      </c>
      <c r="E10" s="8">
        <v>476</v>
      </c>
      <c r="F10" s="8">
        <v>196</v>
      </c>
      <c r="G10" s="8">
        <v>86</v>
      </c>
      <c r="H10" s="8">
        <v>2</v>
      </c>
      <c r="I10" s="8">
        <v>4</v>
      </c>
      <c r="J10" s="8">
        <v>186</v>
      </c>
      <c r="K10" s="10">
        <v>474</v>
      </c>
      <c r="L10" s="21">
        <v>2</v>
      </c>
      <c r="M10" s="10">
        <v>0</v>
      </c>
    </row>
    <row r="11" spans="1:13" ht="17.25" customHeight="1" x14ac:dyDescent="0.25">
      <c r="A11" s="90"/>
      <c r="B11" s="85"/>
      <c r="C11" s="86"/>
      <c r="D11" s="19">
        <v>7</v>
      </c>
      <c r="E11" s="8">
        <v>548</v>
      </c>
      <c r="F11" s="8">
        <v>233</v>
      </c>
      <c r="G11" s="8">
        <v>91</v>
      </c>
      <c r="H11" s="8">
        <v>0</v>
      </c>
      <c r="I11" s="8">
        <v>5</v>
      </c>
      <c r="J11" s="8">
        <v>217</v>
      </c>
      <c r="K11" s="10">
        <v>546</v>
      </c>
      <c r="L11" s="21">
        <v>2</v>
      </c>
      <c r="M11" s="10">
        <v>0</v>
      </c>
    </row>
    <row r="12" spans="1:13" ht="17.25" customHeight="1" x14ac:dyDescent="0.25">
      <c r="A12" s="90"/>
      <c r="B12" s="85"/>
      <c r="C12" s="84" t="s">
        <v>79</v>
      </c>
      <c r="D12" s="19">
        <v>1</v>
      </c>
      <c r="E12" s="8">
        <v>369</v>
      </c>
      <c r="F12" s="8">
        <v>120</v>
      </c>
      <c r="G12" s="8">
        <v>188</v>
      </c>
      <c r="H12" s="8">
        <v>3</v>
      </c>
      <c r="I12" s="8">
        <v>5</v>
      </c>
      <c r="J12" s="8">
        <v>47</v>
      </c>
      <c r="K12" s="10">
        <v>363</v>
      </c>
      <c r="L12" s="21">
        <v>6</v>
      </c>
      <c r="M12" s="10">
        <v>0</v>
      </c>
    </row>
    <row r="13" spans="1:13" ht="17.25" customHeight="1" x14ac:dyDescent="0.25">
      <c r="A13" s="90"/>
      <c r="B13" s="85"/>
      <c r="C13" s="85"/>
      <c r="D13" s="19">
        <v>2</v>
      </c>
      <c r="E13" s="8">
        <v>580</v>
      </c>
      <c r="F13" s="8">
        <v>277</v>
      </c>
      <c r="G13" s="8">
        <v>216</v>
      </c>
      <c r="H13" s="8">
        <v>2</v>
      </c>
      <c r="I13" s="8">
        <v>10</v>
      </c>
      <c r="J13" s="8">
        <v>74</v>
      </c>
      <c r="K13" s="10">
        <v>579</v>
      </c>
      <c r="L13" s="21">
        <v>1</v>
      </c>
      <c r="M13" s="10">
        <v>0</v>
      </c>
    </row>
    <row r="14" spans="1:13" ht="17.25" customHeight="1" x14ac:dyDescent="0.25">
      <c r="A14" s="90"/>
      <c r="B14" s="85"/>
      <c r="C14" s="85"/>
      <c r="D14" s="19">
        <v>3</v>
      </c>
      <c r="E14" s="8">
        <v>497</v>
      </c>
      <c r="F14" s="8">
        <v>248</v>
      </c>
      <c r="G14" s="8">
        <v>126</v>
      </c>
      <c r="H14" s="8">
        <v>5</v>
      </c>
      <c r="I14" s="8">
        <v>11</v>
      </c>
      <c r="J14" s="8">
        <v>106</v>
      </c>
      <c r="K14" s="10">
        <v>496</v>
      </c>
      <c r="L14" s="21">
        <v>1</v>
      </c>
      <c r="M14" s="10">
        <v>0</v>
      </c>
    </row>
    <row r="15" spans="1:13" ht="17.25" customHeight="1" x14ac:dyDescent="0.25">
      <c r="A15" s="90"/>
      <c r="B15" s="85"/>
      <c r="C15" s="85"/>
      <c r="D15" s="19">
        <v>4</v>
      </c>
      <c r="E15" s="8">
        <v>498</v>
      </c>
      <c r="F15" s="8">
        <v>253</v>
      </c>
      <c r="G15" s="8">
        <v>114</v>
      </c>
      <c r="H15" s="8">
        <v>4</v>
      </c>
      <c r="I15" s="8">
        <v>10</v>
      </c>
      <c r="J15" s="8">
        <v>113</v>
      </c>
      <c r="K15" s="10">
        <v>494</v>
      </c>
      <c r="L15" s="21">
        <v>4</v>
      </c>
      <c r="M15" s="10">
        <v>0</v>
      </c>
    </row>
    <row r="16" spans="1:13" ht="17.25" customHeight="1" x14ac:dyDescent="0.25">
      <c r="A16" s="90"/>
      <c r="B16" s="85"/>
      <c r="C16" s="85"/>
      <c r="D16" s="19">
        <v>5</v>
      </c>
      <c r="E16" s="8">
        <v>539</v>
      </c>
      <c r="F16" s="8">
        <v>307</v>
      </c>
      <c r="G16" s="8">
        <v>115</v>
      </c>
      <c r="H16" s="8">
        <v>3</v>
      </c>
      <c r="I16" s="8">
        <v>6</v>
      </c>
      <c r="J16" s="8">
        <v>106</v>
      </c>
      <c r="K16" s="10">
        <v>537</v>
      </c>
      <c r="L16" s="21">
        <v>2</v>
      </c>
      <c r="M16" s="10">
        <v>0</v>
      </c>
    </row>
    <row r="17" spans="1:13" ht="17.25" customHeight="1" x14ac:dyDescent="0.25">
      <c r="A17" s="91"/>
      <c r="B17" s="86"/>
      <c r="C17" s="86"/>
      <c r="D17" s="19">
        <v>6</v>
      </c>
      <c r="E17" s="8">
        <v>534</v>
      </c>
      <c r="F17" s="8">
        <v>315</v>
      </c>
      <c r="G17" s="8">
        <v>116</v>
      </c>
      <c r="H17" s="8">
        <v>1</v>
      </c>
      <c r="I17" s="8">
        <v>3</v>
      </c>
      <c r="J17" s="8">
        <v>82</v>
      </c>
      <c r="K17" s="10">
        <v>517</v>
      </c>
      <c r="L17" s="19">
        <v>17</v>
      </c>
      <c r="M17" s="10">
        <v>0</v>
      </c>
    </row>
    <row r="18" spans="1:13" ht="17.25" customHeight="1" x14ac:dyDescent="0.25">
      <c r="A18" s="89">
        <v>27</v>
      </c>
      <c r="B18" s="98" t="s">
        <v>80</v>
      </c>
      <c r="C18" s="98" t="s">
        <v>81</v>
      </c>
      <c r="D18" s="19">
        <v>1</v>
      </c>
      <c r="E18" s="8">
        <v>328</v>
      </c>
      <c r="F18" s="8">
        <v>9</v>
      </c>
      <c r="G18" s="8">
        <v>98</v>
      </c>
      <c r="H18" s="8">
        <v>1</v>
      </c>
      <c r="I18" s="8">
        <v>2</v>
      </c>
      <c r="J18" s="8">
        <v>212</v>
      </c>
      <c r="K18" s="10">
        <v>322</v>
      </c>
      <c r="L18" s="21">
        <v>6</v>
      </c>
      <c r="M18" s="10">
        <v>0</v>
      </c>
    </row>
    <row r="19" spans="1:13" ht="17.25" customHeight="1" x14ac:dyDescent="0.25">
      <c r="A19" s="91"/>
      <c r="B19" s="99"/>
      <c r="C19" s="99"/>
      <c r="D19" s="19">
        <v>2</v>
      </c>
      <c r="E19" s="8">
        <v>465</v>
      </c>
      <c r="F19" s="8">
        <v>51</v>
      </c>
      <c r="G19" s="8">
        <v>96</v>
      </c>
      <c r="H19" s="8">
        <v>0</v>
      </c>
      <c r="I19" s="8">
        <v>0</v>
      </c>
      <c r="J19" s="8">
        <v>315</v>
      </c>
      <c r="K19" s="10">
        <v>462</v>
      </c>
      <c r="L19" s="21">
        <v>3</v>
      </c>
      <c r="M19" s="10">
        <v>0</v>
      </c>
    </row>
    <row r="20" spans="1:13" ht="17.25" customHeight="1" x14ac:dyDescent="0.25">
      <c r="A20" s="89">
        <v>28</v>
      </c>
      <c r="B20" s="69" t="s">
        <v>82</v>
      </c>
      <c r="C20" s="84" t="s">
        <v>83</v>
      </c>
      <c r="D20" s="19">
        <v>1</v>
      </c>
      <c r="E20" s="8">
        <v>298</v>
      </c>
      <c r="F20" s="8">
        <v>25</v>
      </c>
      <c r="G20" s="8">
        <v>129</v>
      </c>
      <c r="H20" s="8">
        <v>3</v>
      </c>
      <c r="I20" s="8">
        <v>5</v>
      </c>
      <c r="J20" s="8">
        <v>102</v>
      </c>
      <c r="K20" s="10">
        <v>264</v>
      </c>
      <c r="L20" s="19">
        <v>34</v>
      </c>
      <c r="M20" s="10">
        <v>0</v>
      </c>
    </row>
    <row r="21" spans="1:13" ht="17.25" customHeight="1" x14ac:dyDescent="0.25">
      <c r="A21" s="90"/>
      <c r="B21" s="70"/>
      <c r="C21" s="85"/>
      <c r="D21" s="19">
        <v>2</v>
      </c>
      <c r="E21" s="8">
        <v>351</v>
      </c>
      <c r="F21" s="8">
        <v>47</v>
      </c>
      <c r="G21" s="8">
        <v>143</v>
      </c>
      <c r="H21" s="8">
        <v>2</v>
      </c>
      <c r="I21" s="8">
        <v>3</v>
      </c>
      <c r="J21" s="8">
        <v>149</v>
      </c>
      <c r="K21" s="10">
        <v>344</v>
      </c>
      <c r="L21" s="21">
        <v>7</v>
      </c>
      <c r="M21" s="10">
        <v>0</v>
      </c>
    </row>
    <row r="22" spans="1:13" ht="17.25" customHeight="1" x14ac:dyDescent="0.25">
      <c r="A22" s="90"/>
      <c r="B22" s="70"/>
      <c r="C22" s="85"/>
      <c r="D22" s="19">
        <v>3</v>
      </c>
      <c r="E22" s="8">
        <v>504</v>
      </c>
      <c r="F22" s="8">
        <v>101</v>
      </c>
      <c r="G22" s="8">
        <v>208</v>
      </c>
      <c r="H22" s="8">
        <v>1</v>
      </c>
      <c r="I22" s="8">
        <v>7</v>
      </c>
      <c r="J22" s="8">
        <v>180</v>
      </c>
      <c r="K22" s="10">
        <v>497</v>
      </c>
      <c r="L22" s="21">
        <v>7</v>
      </c>
      <c r="M22" s="10">
        <v>0</v>
      </c>
    </row>
    <row r="23" spans="1:13" ht="17.25" customHeight="1" x14ac:dyDescent="0.25">
      <c r="A23" s="91"/>
      <c r="B23" s="71"/>
      <c r="C23" s="86"/>
      <c r="D23" s="19">
        <v>4</v>
      </c>
      <c r="E23" s="8">
        <v>490</v>
      </c>
      <c r="F23" s="8">
        <v>131</v>
      </c>
      <c r="G23" s="8">
        <v>158</v>
      </c>
      <c r="H23" s="8">
        <v>2</v>
      </c>
      <c r="I23" s="8">
        <v>8</v>
      </c>
      <c r="J23" s="8">
        <v>190</v>
      </c>
      <c r="K23" s="10">
        <v>489</v>
      </c>
      <c r="L23" s="21">
        <v>1</v>
      </c>
      <c r="M23" s="10">
        <v>0</v>
      </c>
    </row>
    <row r="24" spans="1:13" ht="37.950000000000003" customHeight="1" x14ac:dyDescent="0.25"/>
    <row r="25" spans="1:13" ht="310.05" customHeight="1" x14ac:dyDescent="0.25"/>
    <row r="26" spans="1:13" ht="310.05" customHeight="1" x14ac:dyDescent="0.25"/>
  </sheetData>
  <mergeCells count="20">
    <mergeCell ref="A20:A23"/>
    <mergeCell ref="B20:B23"/>
    <mergeCell ref="C20:C23"/>
    <mergeCell ref="A5:A17"/>
    <mergeCell ref="B5:B17"/>
    <mergeCell ref="C5:C11"/>
    <mergeCell ref="C12:C17"/>
    <mergeCell ref="A18:A19"/>
    <mergeCell ref="B18:B19"/>
    <mergeCell ref="C18:C19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workbookViewId="0">
      <selection activeCell="A5" sqref="A5:M23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84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29</v>
      </c>
      <c r="B5" s="75" t="s">
        <v>85</v>
      </c>
      <c r="C5" s="75" t="s">
        <v>86</v>
      </c>
      <c r="D5" s="19">
        <v>1</v>
      </c>
      <c r="E5" s="8">
        <v>350</v>
      </c>
      <c r="F5" s="8">
        <v>44</v>
      </c>
      <c r="G5" s="8">
        <v>127</v>
      </c>
      <c r="H5" s="8">
        <v>1</v>
      </c>
      <c r="I5" s="8">
        <v>1</v>
      </c>
      <c r="J5" s="8">
        <v>175</v>
      </c>
      <c r="K5" s="10">
        <v>348</v>
      </c>
      <c r="L5" s="23">
        <v>2</v>
      </c>
      <c r="M5" s="10">
        <v>0</v>
      </c>
    </row>
    <row r="6" spans="1:13" ht="17.25" customHeight="1" x14ac:dyDescent="0.25">
      <c r="A6" s="90"/>
      <c r="B6" s="76"/>
      <c r="C6" s="76"/>
      <c r="D6" s="19">
        <v>2</v>
      </c>
      <c r="E6" s="8">
        <v>417</v>
      </c>
      <c r="F6" s="8">
        <v>72</v>
      </c>
      <c r="G6" s="8">
        <v>97</v>
      </c>
      <c r="H6" s="8">
        <v>1</v>
      </c>
      <c r="I6" s="8">
        <v>2</v>
      </c>
      <c r="J6" s="8">
        <v>242</v>
      </c>
      <c r="K6" s="10">
        <v>414</v>
      </c>
      <c r="L6" s="23">
        <v>3</v>
      </c>
      <c r="M6" s="10">
        <v>0</v>
      </c>
    </row>
    <row r="7" spans="1:13" ht="17.25" customHeight="1" x14ac:dyDescent="0.25">
      <c r="A7" s="91"/>
      <c r="B7" s="77"/>
      <c r="C7" s="77"/>
      <c r="D7" s="19">
        <v>3</v>
      </c>
      <c r="E7" s="8">
        <v>411</v>
      </c>
      <c r="F7" s="8">
        <v>103</v>
      </c>
      <c r="G7" s="8">
        <v>113</v>
      </c>
      <c r="H7" s="8">
        <v>2</v>
      </c>
      <c r="I7" s="8">
        <v>0</v>
      </c>
      <c r="J7" s="8">
        <v>192</v>
      </c>
      <c r="K7" s="10">
        <v>410</v>
      </c>
      <c r="L7" s="23">
        <v>1</v>
      </c>
      <c r="M7" s="10">
        <v>0</v>
      </c>
    </row>
    <row r="8" spans="1:13" ht="17.25" customHeight="1" x14ac:dyDescent="0.25">
      <c r="A8" s="89">
        <v>30</v>
      </c>
      <c r="B8" s="75" t="s">
        <v>87</v>
      </c>
      <c r="C8" s="75" t="s">
        <v>88</v>
      </c>
      <c r="D8" s="19">
        <v>1</v>
      </c>
      <c r="E8" s="8">
        <v>315</v>
      </c>
      <c r="F8" s="8">
        <v>31</v>
      </c>
      <c r="G8" s="8">
        <v>85</v>
      </c>
      <c r="H8" s="8">
        <v>0</v>
      </c>
      <c r="I8" s="8">
        <v>8</v>
      </c>
      <c r="J8" s="8">
        <v>188</v>
      </c>
      <c r="K8" s="10">
        <v>312</v>
      </c>
      <c r="L8" s="23">
        <v>3</v>
      </c>
      <c r="M8" s="10">
        <v>0</v>
      </c>
    </row>
    <row r="9" spans="1:13" ht="17.25" customHeight="1" x14ac:dyDescent="0.25">
      <c r="A9" s="90"/>
      <c r="B9" s="76"/>
      <c r="C9" s="76"/>
      <c r="D9" s="19">
        <v>2</v>
      </c>
      <c r="E9" s="8">
        <v>421</v>
      </c>
      <c r="F9" s="8">
        <v>64</v>
      </c>
      <c r="G9" s="8">
        <v>106</v>
      </c>
      <c r="H9" s="8">
        <v>0</v>
      </c>
      <c r="I9" s="8">
        <v>0</v>
      </c>
      <c r="J9" s="8">
        <v>248</v>
      </c>
      <c r="K9" s="10">
        <v>418</v>
      </c>
      <c r="L9" s="23">
        <v>3</v>
      </c>
      <c r="M9" s="10">
        <v>0</v>
      </c>
    </row>
    <row r="10" spans="1:13" ht="17.25" customHeight="1" x14ac:dyDescent="0.25">
      <c r="A10" s="91"/>
      <c r="B10" s="77"/>
      <c r="C10" s="77"/>
      <c r="D10" s="19">
        <v>3</v>
      </c>
      <c r="E10" s="8">
        <v>414</v>
      </c>
      <c r="F10" s="8">
        <v>101</v>
      </c>
      <c r="G10" s="8">
        <v>112</v>
      </c>
      <c r="H10" s="8">
        <v>0</v>
      </c>
      <c r="I10" s="8">
        <v>1</v>
      </c>
      <c r="J10" s="8">
        <v>198</v>
      </c>
      <c r="K10" s="10">
        <v>412</v>
      </c>
      <c r="L10" s="23">
        <v>2</v>
      </c>
      <c r="M10" s="10">
        <v>0</v>
      </c>
    </row>
    <row r="11" spans="1:13" ht="17.25" customHeight="1" x14ac:dyDescent="0.25">
      <c r="A11" s="89">
        <v>31</v>
      </c>
      <c r="B11" s="75" t="s">
        <v>89</v>
      </c>
      <c r="C11" s="75" t="s">
        <v>90</v>
      </c>
      <c r="D11" s="19">
        <v>1</v>
      </c>
      <c r="E11" s="8">
        <v>263</v>
      </c>
      <c r="F11" s="8">
        <v>8</v>
      </c>
      <c r="G11" s="8">
        <v>90</v>
      </c>
      <c r="H11" s="8">
        <v>4</v>
      </c>
      <c r="I11" s="8">
        <v>3</v>
      </c>
      <c r="J11" s="8">
        <v>152</v>
      </c>
      <c r="K11" s="10">
        <v>257</v>
      </c>
      <c r="L11" s="23">
        <v>6</v>
      </c>
      <c r="M11" s="10">
        <v>0</v>
      </c>
    </row>
    <row r="12" spans="1:13" ht="17.25" customHeight="1" x14ac:dyDescent="0.25">
      <c r="A12" s="91"/>
      <c r="B12" s="77"/>
      <c r="C12" s="77"/>
      <c r="D12" s="19">
        <v>2</v>
      </c>
      <c r="E12" s="8">
        <v>394</v>
      </c>
      <c r="F12" s="8">
        <v>18</v>
      </c>
      <c r="G12" s="8">
        <v>105</v>
      </c>
      <c r="H12" s="8">
        <v>0</v>
      </c>
      <c r="I12" s="8">
        <v>2</v>
      </c>
      <c r="J12" s="8">
        <v>262</v>
      </c>
      <c r="K12" s="10">
        <v>387</v>
      </c>
      <c r="L12" s="23">
        <v>7</v>
      </c>
      <c r="M12" s="10">
        <v>0</v>
      </c>
    </row>
    <row r="13" spans="1:13" ht="17.25" customHeight="1" x14ac:dyDescent="0.25">
      <c r="A13" s="89">
        <v>32</v>
      </c>
      <c r="B13" s="75" t="s">
        <v>91</v>
      </c>
      <c r="C13" s="84" t="s">
        <v>92</v>
      </c>
      <c r="D13" s="19">
        <v>1</v>
      </c>
      <c r="E13" s="8">
        <v>357</v>
      </c>
      <c r="F13" s="8">
        <v>69</v>
      </c>
      <c r="G13" s="8">
        <v>213</v>
      </c>
      <c r="H13" s="8">
        <v>0</v>
      </c>
      <c r="I13" s="8">
        <v>2</v>
      </c>
      <c r="J13" s="8">
        <v>69</v>
      </c>
      <c r="K13" s="10">
        <v>353</v>
      </c>
      <c r="L13" s="23">
        <v>4</v>
      </c>
      <c r="M13" s="10">
        <v>0</v>
      </c>
    </row>
    <row r="14" spans="1:13" ht="17.25" customHeight="1" x14ac:dyDescent="0.25">
      <c r="A14" s="90"/>
      <c r="B14" s="76"/>
      <c r="C14" s="85"/>
      <c r="D14" s="19">
        <v>2</v>
      </c>
      <c r="E14" s="8">
        <v>486</v>
      </c>
      <c r="F14" s="8">
        <v>176</v>
      </c>
      <c r="G14" s="8">
        <v>199</v>
      </c>
      <c r="H14" s="8">
        <v>1</v>
      </c>
      <c r="I14" s="8">
        <v>9</v>
      </c>
      <c r="J14" s="8">
        <v>95</v>
      </c>
      <c r="K14" s="10">
        <v>480</v>
      </c>
      <c r="L14" s="23">
        <v>6</v>
      </c>
      <c r="M14" s="10">
        <v>0</v>
      </c>
    </row>
    <row r="15" spans="1:13" ht="17.25" customHeight="1" x14ac:dyDescent="0.25">
      <c r="A15" s="90"/>
      <c r="B15" s="76"/>
      <c r="C15" s="85"/>
      <c r="D15" s="19">
        <v>3</v>
      </c>
      <c r="E15" s="8">
        <v>441</v>
      </c>
      <c r="F15" s="8">
        <v>231</v>
      </c>
      <c r="G15" s="8">
        <v>146</v>
      </c>
      <c r="H15" s="8">
        <v>0</v>
      </c>
      <c r="I15" s="8">
        <v>4</v>
      </c>
      <c r="J15" s="8">
        <v>58</v>
      </c>
      <c r="K15" s="10">
        <v>439</v>
      </c>
      <c r="L15" s="23">
        <v>2</v>
      </c>
      <c r="M15" s="10">
        <v>0</v>
      </c>
    </row>
    <row r="16" spans="1:13" ht="17.25" customHeight="1" x14ac:dyDescent="0.25">
      <c r="A16" s="91"/>
      <c r="B16" s="77"/>
      <c r="C16" s="86"/>
      <c r="D16" s="19">
        <v>4</v>
      </c>
      <c r="E16" s="8">
        <v>460</v>
      </c>
      <c r="F16" s="8">
        <v>244</v>
      </c>
      <c r="G16" s="8">
        <v>161</v>
      </c>
      <c r="H16" s="8">
        <v>0</v>
      </c>
      <c r="I16" s="8">
        <v>5</v>
      </c>
      <c r="J16" s="8">
        <v>49</v>
      </c>
      <c r="K16" s="10">
        <v>459</v>
      </c>
      <c r="L16" s="23">
        <v>1</v>
      </c>
      <c r="M16" s="10">
        <v>0</v>
      </c>
    </row>
    <row r="17" spans="1:13" ht="17.25" customHeight="1" x14ac:dyDescent="0.25">
      <c r="A17" s="89">
        <v>33</v>
      </c>
      <c r="B17" s="78" t="s">
        <v>93</v>
      </c>
      <c r="C17" s="72" t="s">
        <v>94</v>
      </c>
      <c r="D17" s="19">
        <v>1</v>
      </c>
      <c r="E17" s="8">
        <v>292</v>
      </c>
      <c r="F17" s="8">
        <v>42</v>
      </c>
      <c r="G17" s="8">
        <v>97</v>
      </c>
      <c r="H17" s="8">
        <v>1</v>
      </c>
      <c r="I17" s="8">
        <v>6</v>
      </c>
      <c r="J17" s="8">
        <v>139</v>
      </c>
      <c r="K17" s="10">
        <v>285</v>
      </c>
      <c r="L17" s="23">
        <v>7</v>
      </c>
      <c r="M17" s="10">
        <v>0</v>
      </c>
    </row>
    <row r="18" spans="1:13" ht="17.25" customHeight="1" x14ac:dyDescent="0.25">
      <c r="A18" s="90"/>
      <c r="B18" s="79"/>
      <c r="C18" s="73"/>
      <c r="D18" s="19">
        <v>2</v>
      </c>
      <c r="E18" s="8">
        <v>356</v>
      </c>
      <c r="F18" s="8">
        <v>35</v>
      </c>
      <c r="G18" s="8">
        <v>162</v>
      </c>
      <c r="H18" s="8">
        <v>1</v>
      </c>
      <c r="I18" s="8">
        <v>1</v>
      </c>
      <c r="J18" s="8">
        <v>149</v>
      </c>
      <c r="K18" s="10">
        <v>348</v>
      </c>
      <c r="L18" s="23">
        <v>8</v>
      </c>
      <c r="M18" s="10">
        <v>0</v>
      </c>
    </row>
    <row r="19" spans="1:13" ht="17.25" customHeight="1" x14ac:dyDescent="0.25">
      <c r="A19" s="90"/>
      <c r="B19" s="79"/>
      <c r="C19" s="73"/>
      <c r="D19" s="19">
        <v>3</v>
      </c>
      <c r="E19" s="8">
        <v>463</v>
      </c>
      <c r="F19" s="8">
        <v>87</v>
      </c>
      <c r="G19" s="8">
        <v>165</v>
      </c>
      <c r="H19" s="8">
        <v>0</v>
      </c>
      <c r="I19" s="8">
        <v>1</v>
      </c>
      <c r="J19" s="8">
        <v>207</v>
      </c>
      <c r="K19" s="10">
        <v>460</v>
      </c>
      <c r="L19" s="23">
        <v>3</v>
      </c>
      <c r="M19" s="10">
        <v>0</v>
      </c>
    </row>
    <row r="20" spans="1:13" ht="17.25" customHeight="1" x14ac:dyDescent="0.25">
      <c r="A20" s="90"/>
      <c r="B20" s="79"/>
      <c r="C20" s="73"/>
      <c r="D20" s="19">
        <v>4</v>
      </c>
      <c r="E20" s="8">
        <v>430</v>
      </c>
      <c r="F20" s="8">
        <v>120</v>
      </c>
      <c r="G20" s="8">
        <v>100</v>
      </c>
      <c r="H20" s="8">
        <v>0</v>
      </c>
      <c r="I20" s="8">
        <v>8</v>
      </c>
      <c r="J20" s="8">
        <v>200</v>
      </c>
      <c r="K20" s="10">
        <v>428</v>
      </c>
      <c r="L20" s="23">
        <v>2</v>
      </c>
      <c r="M20" s="10">
        <v>0</v>
      </c>
    </row>
    <row r="21" spans="1:13" ht="17.25" customHeight="1" x14ac:dyDescent="0.25">
      <c r="A21" s="90"/>
      <c r="B21" s="79"/>
      <c r="C21" s="73"/>
      <c r="D21" s="19">
        <v>5</v>
      </c>
      <c r="E21" s="8">
        <v>414</v>
      </c>
      <c r="F21" s="8">
        <v>129</v>
      </c>
      <c r="G21" s="8">
        <v>121</v>
      </c>
      <c r="H21" s="8">
        <v>0</v>
      </c>
      <c r="I21" s="8">
        <v>4</v>
      </c>
      <c r="J21" s="8">
        <v>157</v>
      </c>
      <c r="K21" s="10">
        <v>411</v>
      </c>
      <c r="L21" s="23">
        <v>3</v>
      </c>
      <c r="M21" s="10">
        <v>0</v>
      </c>
    </row>
    <row r="22" spans="1:13" ht="17.25" customHeight="1" x14ac:dyDescent="0.25">
      <c r="A22" s="90"/>
      <c r="B22" s="79"/>
      <c r="C22" s="74"/>
      <c r="D22" s="19">
        <v>6</v>
      </c>
      <c r="E22" s="8">
        <v>463</v>
      </c>
      <c r="F22" s="8">
        <v>149</v>
      </c>
      <c r="G22" s="8">
        <v>138</v>
      </c>
      <c r="H22" s="8">
        <v>0</v>
      </c>
      <c r="I22" s="8">
        <v>2</v>
      </c>
      <c r="J22" s="8">
        <v>167</v>
      </c>
      <c r="K22" s="10">
        <v>456</v>
      </c>
      <c r="L22" s="23">
        <v>7</v>
      </c>
      <c r="M22" s="10">
        <v>0</v>
      </c>
    </row>
    <row r="23" spans="1:13" ht="32.700000000000003" customHeight="1" x14ac:dyDescent="0.25">
      <c r="A23" s="91"/>
      <c r="B23" s="80"/>
      <c r="C23" s="6" t="s">
        <v>95</v>
      </c>
      <c r="D23" s="19">
        <v>1</v>
      </c>
      <c r="E23" s="8">
        <v>210</v>
      </c>
      <c r="F23" s="8">
        <v>20</v>
      </c>
      <c r="G23" s="8">
        <v>134</v>
      </c>
      <c r="H23" s="8">
        <v>0</v>
      </c>
      <c r="I23" s="8">
        <v>1</v>
      </c>
      <c r="J23" s="8">
        <v>48</v>
      </c>
      <c r="K23" s="10">
        <v>203</v>
      </c>
      <c r="L23" s="23">
        <v>7</v>
      </c>
      <c r="M23" s="10">
        <v>0</v>
      </c>
    </row>
    <row r="24" spans="1:13" ht="37.950000000000003" customHeight="1" x14ac:dyDescent="0.25"/>
    <row r="25" spans="1:13" ht="325.95" customHeight="1" x14ac:dyDescent="0.25"/>
    <row r="26" spans="1:13" ht="325.95" customHeight="1" x14ac:dyDescent="0.25"/>
  </sheetData>
  <mergeCells count="25">
    <mergeCell ref="A17:A23"/>
    <mergeCell ref="B17:B23"/>
    <mergeCell ref="C17:C22"/>
    <mergeCell ref="A11:A12"/>
    <mergeCell ref="B11:B12"/>
    <mergeCell ref="C11:C12"/>
    <mergeCell ref="A13:A16"/>
    <mergeCell ref="B13:B16"/>
    <mergeCell ref="C13:C16"/>
    <mergeCell ref="A5:A7"/>
    <mergeCell ref="B5:B7"/>
    <mergeCell ref="C5:C7"/>
    <mergeCell ref="A8:A10"/>
    <mergeCell ref="B8:B10"/>
    <mergeCell ref="C8:C10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"/>
  <sheetViews>
    <sheetView workbookViewId="0">
      <selection activeCell="A5" sqref="A5:M25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96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34</v>
      </c>
      <c r="B5" s="72" t="s">
        <v>97</v>
      </c>
      <c r="C5" s="84" t="s">
        <v>98</v>
      </c>
      <c r="D5" s="19">
        <v>1</v>
      </c>
      <c r="E5" s="8">
        <v>344</v>
      </c>
      <c r="F5" s="8">
        <v>57</v>
      </c>
      <c r="G5" s="8">
        <v>193</v>
      </c>
      <c r="H5" s="8">
        <v>1</v>
      </c>
      <c r="I5" s="8">
        <v>2</v>
      </c>
      <c r="J5" s="8">
        <v>86</v>
      </c>
      <c r="K5" s="10">
        <v>339</v>
      </c>
      <c r="L5" s="23">
        <v>5</v>
      </c>
      <c r="M5" s="10">
        <v>0</v>
      </c>
    </row>
    <row r="6" spans="1:13" ht="17.25" customHeight="1" x14ac:dyDescent="0.25">
      <c r="A6" s="90"/>
      <c r="B6" s="73"/>
      <c r="C6" s="85"/>
      <c r="D6" s="19">
        <v>2</v>
      </c>
      <c r="E6" s="8">
        <v>344</v>
      </c>
      <c r="F6" s="8">
        <v>73</v>
      </c>
      <c r="G6" s="8">
        <v>125</v>
      </c>
      <c r="H6" s="8">
        <v>1</v>
      </c>
      <c r="I6" s="8">
        <v>5</v>
      </c>
      <c r="J6" s="8">
        <v>134</v>
      </c>
      <c r="K6" s="10">
        <v>338</v>
      </c>
      <c r="L6" s="23">
        <v>6</v>
      </c>
      <c r="M6" s="10">
        <v>0</v>
      </c>
    </row>
    <row r="7" spans="1:13" ht="17.25" customHeight="1" x14ac:dyDescent="0.25">
      <c r="A7" s="90"/>
      <c r="B7" s="73"/>
      <c r="C7" s="85"/>
      <c r="D7" s="19">
        <v>3</v>
      </c>
      <c r="E7" s="8">
        <v>406</v>
      </c>
      <c r="F7" s="8">
        <v>158</v>
      </c>
      <c r="G7" s="8">
        <v>114</v>
      </c>
      <c r="H7" s="8">
        <v>7</v>
      </c>
      <c r="I7" s="8">
        <v>8</v>
      </c>
      <c r="J7" s="8">
        <v>116</v>
      </c>
      <c r="K7" s="10">
        <v>403</v>
      </c>
      <c r="L7" s="23">
        <v>3</v>
      </c>
      <c r="M7" s="10">
        <v>0</v>
      </c>
    </row>
    <row r="8" spans="1:13" ht="17.25" customHeight="1" x14ac:dyDescent="0.25">
      <c r="A8" s="90"/>
      <c r="B8" s="73"/>
      <c r="C8" s="85"/>
      <c r="D8" s="19">
        <v>4</v>
      </c>
      <c r="E8" s="8">
        <v>415</v>
      </c>
      <c r="F8" s="8">
        <v>168</v>
      </c>
      <c r="G8" s="8">
        <v>115</v>
      </c>
      <c r="H8" s="8">
        <v>0</v>
      </c>
      <c r="I8" s="8">
        <v>5</v>
      </c>
      <c r="J8" s="8">
        <v>125</v>
      </c>
      <c r="K8" s="10">
        <v>413</v>
      </c>
      <c r="L8" s="23">
        <v>2</v>
      </c>
      <c r="M8" s="10">
        <v>0</v>
      </c>
    </row>
    <row r="9" spans="1:13" ht="17.25" customHeight="1" x14ac:dyDescent="0.25">
      <c r="A9" s="90"/>
      <c r="B9" s="73"/>
      <c r="C9" s="85"/>
      <c r="D9" s="19">
        <v>5</v>
      </c>
      <c r="E9" s="8">
        <v>440</v>
      </c>
      <c r="F9" s="8">
        <v>182</v>
      </c>
      <c r="G9" s="8">
        <v>100</v>
      </c>
      <c r="H9" s="8">
        <v>1</v>
      </c>
      <c r="I9" s="8">
        <v>7</v>
      </c>
      <c r="J9" s="8">
        <v>150</v>
      </c>
      <c r="K9" s="10">
        <v>440</v>
      </c>
      <c r="L9" s="23">
        <v>0</v>
      </c>
      <c r="M9" s="10">
        <v>0</v>
      </c>
    </row>
    <row r="10" spans="1:13" ht="17.25" customHeight="1" x14ac:dyDescent="0.25">
      <c r="A10" s="90"/>
      <c r="B10" s="73"/>
      <c r="C10" s="86"/>
      <c r="D10" s="19">
        <v>6</v>
      </c>
      <c r="E10" s="8">
        <v>492</v>
      </c>
      <c r="F10" s="8">
        <v>189</v>
      </c>
      <c r="G10" s="8">
        <v>116</v>
      </c>
      <c r="H10" s="8">
        <v>1</v>
      </c>
      <c r="I10" s="8">
        <v>1</v>
      </c>
      <c r="J10" s="8">
        <v>184</v>
      </c>
      <c r="K10" s="10">
        <v>491</v>
      </c>
      <c r="L10" s="23">
        <v>1</v>
      </c>
      <c r="M10" s="10">
        <v>0</v>
      </c>
    </row>
    <row r="11" spans="1:13" ht="17.25" customHeight="1" x14ac:dyDescent="0.25">
      <c r="A11" s="90"/>
      <c r="B11" s="73"/>
      <c r="C11" s="75" t="s">
        <v>99</v>
      </c>
      <c r="D11" s="19">
        <v>1</v>
      </c>
      <c r="E11" s="8">
        <v>351</v>
      </c>
      <c r="F11" s="8">
        <v>49</v>
      </c>
      <c r="G11" s="8">
        <v>183</v>
      </c>
      <c r="H11" s="8">
        <v>4</v>
      </c>
      <c r="I11" s="8">
        <v>2</v>
      </c>
      <c r="J11" s="8">
        <v>110</v>
      </c>
      <c r="K11" s="10">
        <v>348</v>
      </c>
      <c r="L11" s="23">
        <v>3</v>
      </c>
      <c r="M11" s="10">
        <v>0</v>
      </c>
    </row>
    <row r="12" spans="1:13" ht="17.25" customHeight="1" x14ac:dyDescent="0.25">
      <c r="A12" s="90"/>
      <c r="B12" s="73"/>
      <c r="C12" s="76"/>
      <c r="D12" s="19">
        <v>2</v>
      </c>
      <c r="E12" s="8">
        <v>535</v>
      </c>
      <c r="F12" s="8">
        <v>166</v>
      </c>
      <c r="G12" s="8">
        <v>170</v>
      </c>
      <c r="H12" s="8">
        <v>2</v>
      </c>
      <c r="I12" s="8">
        <v>8</v>
      </c>
      <c r="J12" s="8">
        <v>184</v>
      </c>
      <c r="K12" s="10">
        <v>530</v>
      </c>
      <c r="L12" s="23">
        <v>5</v>
      </c>
      <c r="M12" s="10">
        <v>0</v>
      </c>
    </row>
    <row r="13" spans="1:13" ht="17.25" customHeight="1" x14ac:dyDescent="0.25">
      <c r="A13" s="91"/>
      <c r="B13" s="74"/>
      <c r="C13" s="77"/>
      <c r="D13" s="19">
        <v>3</v>
      </c>
      <c r="E13" s="8">
        <v>492</v>
      </c>
      <c r="F13" s="8">
        <v>207</v>
      </c>
      <c r="G13" s="8">
        <v>128</v>
      </c>
      <c r="H13" s="8">
        <v>1</v>
      </c>
      <c r="I13" s="8">
        <v>3</v>
      </c>
      <c r="J13" s="8">
        <v>153</v>
      </c>
      <c r="K13" s="10">
        <v>492</v>
      </c>
      <c r="L13" s="23">
        <v>0</v>
      </c>
      <c r="M13" s="10">
        <v>0</v>
      </c>
    </row>
    <row r="14" spans="1:13" ht="17.25" customHeight="1" x14ac:dyDescent="0.25">
      <c r="A14" s="89">
        <v>35</v>
      </c>
      <c r="B14" s="78" t="s">
        <v>100</v>
      </c>
      <c r="C14" s="78" t="s">
        <v>101</v>
      </c>
      <c r="D14" s="19">
        <v>1</v>
      </c>
      <c r="E14" s="8">
        <v>284</v>
      </c>
      <c r="F14" s="8">
        <v>38</v>
      </c>
      <c r="G14" s="8">
        <v>98</v>
      </c>
      <c r="H14" s="8">
        <v>1</v>
      </c>
      <c r="I14" s="8">
        <v>5</v>
      </c>
      <c r="J14" s="8">
        <v>137</v>
      </c>
      <c r="K14" s="10">
        <v>279</v>
      </c>
      <c r="L14" s="23">
        <v>5</v>
      </c>
      <c r="M14" s="10">
        <v>0</v>
      </c>
    </row>
    <row r="15" spans="1:13" ht="17.25" customHeight="1" x14ac:dyDescent="0.25">
      <c r="A15" s="90"/>
      <c r="B15" s="79"/>
      <c r="C15" s="79"/>
      <c r="D15" s="19">
        <v>2</v>
      </c>
      <c r="E15" s="8">
        <v>364</v>
      </c>
      <c r="F15" s="8">
        <v>47</v>
      </c>
      <c r="G15" s="8">
        <v>94</v>
      </c>
      <c r="H15" s="8">
        <v>0</v>
      </c>
      <c r="I15" s="8">
        <v>5</v>
      </c>
      <c r="J15" s="8">
        <v>216</v>
      </c>
      <c r="K15" s="10">
        <v>362</v>
      </c>
      <c r="L15" s="23">
        <v>2</v>
      </c>
      <c r="M15" s="10">
        <v>0</v>
      </c>
    </row>
    <row r="16" spans="1:13" ht="17.25" customHeight="1" x14ac:dyDescent="0.25">
      <c r="A16" s="90"/>
      <c r="B16" s="79"/>
      <c r="C16" s="79"/>
      <c r="D16" s="19">
        <v>3</v>
      </c>
      <c r="E16" s="8">
        <v>386</v>
      </c>
      <c r="F16" s="8">
        <v>95</v>
      </c>
      <c r="G16" s="8">
        <v>95</v>
      </c>
      <c r="H16" s="8">
        <v>0</v>
      </c>
      <c r="I16" s="8">
        <v>5</v>
      </c>
      <c r="J16" s="8">
        <v>188</v>
      </c>
      <c r="K16" s="10">
        <v>383</v>
      </c>
      <c r="L16" s="23">
        <v>3</v>
      </c>
      <c r="M16" s="10">
        <v>0</v>
      </c>
    </row>
    <row r="17" spans="1:13" ht="17.25" customHeight="1" x14ac:dyDescent="0.25">
      <c r="A17" s="90"/>
      <c r="B17" s="79"/>
      <c r="C17" s="79"/>
      <c r="D17" s="19">
        <v>4</v>
      </c>
      <c r="E17" s="8">
        <v>561</v>
      </c>
      <c r="F17" s="8">
        <v>158</v>
      </c>
      <c r="G17" s="8">
        <v>129</v>
      </c>
      <c r="H17" s="8">
        <v>1</v>
      </c>
      <c r="I17" s="8">
        <v>10</v>
      </c>
      <c r="J17" s="8">
        <v>260</v>
      </c>
      <c r="K17" s="10">
        <v>558</v>
      </c>
      <c r="L17" s="23">
        <v>3</v>
      </c>
      <c r="M17" s="10">
        <v>0</v>
      </c>
    </row>
    <row r="18" spans="1:13" ht="17.25" customHeight="1" x14ac:dyDescent="0.25">
      <c r="A18" s="90"/>
      <c r="B18" s="79"/>
      <c r="C18" s="79"/>
      <c r="D18" s="19">
        <v>5</v>
      </c>
      <c r="E18" s="8">
        <v>541</v>
      </c>
      <c r="F18" s="8">
        <v>159</v>
      </c>
      <c r="G18" s="8">
        <v>114</v>
      </c>
      <c r="H18" s="8">
        <v>3</v>
      </c>
      <c r="I18" s="8">
        <v>9</v>
      </c>
      <c r="J18" s="8">
        <v>254</v>
      </c>
      <c r="K18" s="10">
        <v>539</v>
      </c>
      <c r="L18" s="23">
        <v>2</v>
      </c>
      <c r="M18" s="10">
        <v>0</v>
      </c>
    </row>
    <row r="19" spans="1:13" ht="17.25" customHeight="1" x14ac:dyDescent="0.25">
      <c r="A19" s="90"/>
      <c r="B19" s="79"/>
      <c r="C19" s="79"/>
      <c r="D19" s="19">
        <v>6</v>
      </c>
      <c r="E19" s="8">
        <v>517</v>
      </c>
      <c r="F19" s="8">
        <v>200</v>
      </c>
      <c r="G19" s="8">
        <v>92</v>
      </c>
      <c r="H19" s="8">
        <v>2</v>
      </c>
      <c r="I19" s="8">
        <v>8</v>
      </c>
      <c r="J19" s="8">
        <v>214</v>
      </c>
      <c r="K19" s="10">
        <v>516</v>
      </c>
      <c r="L19" s="23">
        <v>1</v>
      </c>
      <c r="M19" s="10">
        <v>0</v>
      </c>
    </row>
    <row r="20" spans="1:13" ht="17.25" customHeight="1" x14ac:dyDescent="0.25">
      <c r="A20" s="90"/>
      <c r="B20" s="79"/>
      <c r="C20" s="80"/>
      <c r="D20" s="19">
        <v>7</v>
      </c>
      <c r="E20" s="8">
        <v>568</v>
      </c>
      <c r="F20" s="8">
        <v>258</v>
      </c>
      <c r="G20" s="8">
        <v>92</v>
      </c>
      <c r="H20" s="8">
        <v>1</v>
      </c>
      <c r="I20" s="8">
        <v>3</v>
      </c>
      <c r="J20" s="8">
        <v>211</v>
      </c>
      <c r="K20" s="10">
        <v>565</v>
      </c>
      <c r="L20" s="23">
        <v>3</v>
      </c>
      <c r="M20" s="10">
        <v>0</v>
      </c>
    </row>
    <row r="21" spans="1:13" ht="17.25" customHeight="1" x14ac:dyDescent="0.25">
      <c r="A21" s="90"/>
      <c r="B21" s="79"/>
      <c r="C21" s="75" t="s">
        <v>102</v>
      </c>
      <c r="D21" s="19">
        <v>1</v>
      </c>
      <c r="E21" s="8">
        <v>328</v>
      </c>
      <c r="F21" s="8">
        <v>54</v>
      </c>
      <c r="G21" s="8">
        <v>84</v>
      </c>
      <c r="H21" s="8">
        <v>1</v>
      </c>
      <c r="I21" s="8">
        <v>6</v>
      </c>
      <c r="J21" s="8">
        <v>180</v>
      </c>
      <c r="K21" s="10">
        <v>325</v>
      </c>
      <c r="L21" s="23">
        <v>3</v>
      </c>
      <c r="M21" s="10">
        <v>0</v>
      </c>
    </row>
    <row r="22" spans="1:13" ht="17.25" customHeight="1" x14ac:dyDescent="0.25">
      <c r="A22" s="90"/>
      <c r="B22" s="79"/>
      <c r="C22" s="76"/>
      <c r="D22" s="19">
        <v>2</v>
      </c>
      <c r="E22" s="8">
        <v>500</v>
      </c>
      <c r="F22" s="8">
        <v>76</v>
      </c>
      <c r="G22" s="8">
        <v>73</v>
      </c>
      <c r="H22" s="8">
        <v>2</v>
      </c>
      <c r="I22" s="8">
        <v>6</v>
      </c>
      <c r="J22" s="8">
        <v>342</v>
      </c>
      <c r="K22" s="10">
        <v>499</v>
      </c>
      <c r="L22" s="23">
        <v>1</v>
      </c>
      <c r="M22" s="10">
        <v>0</v>
      </c>
    </row>
    <row r="23" spans="1:13" ht="17.25" customHeight="1" x14ac:dyDescent="0.25">
      <c r="A23" s="90"/>
      <c r="B23" s="79"/>
      <c r="C23" s="76"/>
      <c r="D23" s="19">
        <v>3</v>
      </c>
      <c r="E23" s="8">
        <v>427</v>
      </c>
      <c r="F23" s="8">
        <v>78</v>
      </c>
      <c r="G23" s="8">
        <v>49</v>
      </c>
      <c r="H23" s="8">
        <v>2</v>
      </c>
      <c r="I23" s="8">
        <v>5</v>
      </c>
      <c r="J23" s="8">
        <v>291</v>
      </c>
      <c r="K23" s="10">
        <v>425</v>
      </c>
      <c r="L23" s="23">
        <v>2</v>
      </c>
      <c r="M23" s="10">
        <v>0</v>
      </c>
    </row>
    <row r="24" spans="1:13" ht="17.25" customHeight="1" x14ac:dyDescent="0.25">
      <c r="A24" s="90"/>
      <c r="B24" s="79"/>
      <c r="C24" s="76"/>
      <c r="D24" s="19">
        <v>4</v>
      </c>
      <c r="E24" s="8">
        <v>459</v>
      </c>
      <c r="F24" s="8">
        <v>94</v>
      </c>
      <c r="G24" s="8">
        <v>50</v>
      </c>
      <c r="H24" s="8">
        <v>1</v>
      </c>
      <c r="I24" s="8">
        <v>4</v>
      </c>
      <c r="J24" s="8">
        <v>310</v>
      </c>
      <c r="K24" s="10">
        <v>459</v>
      </c>
      <c r="L24" s="23">
        <v>0</v>
      </c>
      <c r="M24" s="10">
        <v>0</v>
      </c>
    </row>
    <row r="25" spans="1:13" ht="17.25" customHeight="1" x14ac:dyDescent="0.25">
      <c r="A25" s="91"/>
      <c r="B25" s="80"/>
      <c r="C25" s="77"/>
      <c r="D25" s="19">
        <v>5</v>
      </c>
      <c r="E25" s="8">
        <v>497</v>
      </c>
      <c r="F25" s="8">
        <v>118</v>
      </c>
      <c r="G25" s="8">
        <v>51</v>
      </c>
      <c r="H25" s="8">
        <v>0</v>
      </c>
      <c r="I25" s="8">
        <v>2</v>
      </c>
      <c r="J25" s="8">
        <v>324</v>
      </c>
      <c r="K25" s="10">
        <v>495</v>
      </c>
      <c r="L25" s="23">
        <v>2</v>
      </c>
      <c r="M25" s="10">
        <v>0</v>
      </c>
    </row>
    <row r="26" spans="1:13" ht="37.950000000000003" customHeight="1" x14ac:dyDescent="0.25"/>
    <row r="27" spans="1:13" ht="342" customHeight="1" x14ac:dyDescent="0.25"/>
    <row r="28" spans="1:13" ht="342" customHeight="1" x14ac:dyDescent="0.25"/>
  </sheetData>
  <mergeCells count="18">
    <mergeCell ref="A5:A13"/>
    <mergeCell ref="B5:B13"/>
    <mergeCell ref="C5:C10"/>
    <mergeCell ref="C11:C13"/>
    <mergeCell ref="A14:A25"/>
    <mergeCell ref="B14:B25"/>
    <mergeCell ref="C14:C20"/>
    <mergeCell ref="C21:C25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5"/>
  <sheetViews>
    <sheetView topLeftCell="A5"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103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36</v>
      </c>
      <c r="B5" s="84" t="s">
        <v>104</v>
      </c>
      <c r="C5" s="84" t="s">
        <v>105</v>
      </c>
      <c r="D5" s="19">
        <v>1</v>
      </c>
      <c r="E5" s="8">
        <v>299</v>
      </c>
      <c r="F5" s="8">
        <v>12</v>
      </c>
      <c r="G5" s="8">
        <v>70</v>
      </c>
      <c r="H5" s="8">
        <v>1</v>
      </c>
      <c r="I5" s="8">
        <v>2</v>
      </c>
      <c r="J5" s="8">
        <v>197</v>
      </c>
      <c r="K5" s="10">
        <v>282</v>
      </c>
      <c r="L5" s="19">
        <v>17</v>
      </c>
      <c r="M5" s="10">
        <v>0</v>
      </c>
    </row>
    <row r="6" spans="1:13" ht="17.25" customHeight="1" x14ac:dyDescent="0.25">
      <c r="A6" s="90"/>
      <c r="B6" s="85"/>
      <c r="C6" s="85"/>
      <c r="D6" s="19">
        <v>2</v>
      </c>
      <c r="E6" s="8">
        <v>364</v>
      </c>
      <c r="F6" s="8">
        <v>19</v>
      </c>
      <c r="G6" s="8">
        <v>71</v>
      </c>
      <c r="H6" s="8">
        <v>1</v>
      </c>
      <c r="I6" s="8">
        <v>3</v>
      </c>
      <c r="J6" s="8">
        <v>267</v>
      </c>
      <c r="K6" s="10">
        <v>361</v>
      </c>
      <c r="L6" s="21">
        <v>3</v>
      </c>
      <c r="M6" s="10">
        <v>0</v>
      </c>
    </row>
    <row r="7" spans="1:13" ht="17.25" customHeight="1" x14ac:dyDescent="0.25">
      <c r="A7" s="90"/>
      <c r="B7" s="85"/>
      <c r="C7" s="85"/>
      <c r="D7" s="19">
        <v>3</v>
      </c>
      <c r="E7" s="8">
        <v>394</v>
      </c>
      <c r="F7" s="8">
        <v>38</v>
      </c>
      <c r="G7" s="8">
        <v>59</v>
      </c>
      <c r="H7" s="8">
        <v>0</v>
      </c>
      <c r="I7" s="8">
        <v>2</v>
      </c>
      <c r="J7" s="8">
        <v>293</v>
      </c>
      <c r="K7" s="10">
        <v>392</v>
      </c>
      <c r="L7" s="21">
        <v>2</v>
      </c>
      <c r="M7" s="10">
        <v>0</v>
      </c>
    </row>
    <row r="8" spans="1:13" ht="17.25" customHeight="1" x14ac:dyDescent="0.25">
      <c r="A8" s="90"/>
      <c r="B8" s="85"/>
      <c r="C8" s="85"/>
      <c r="D8" s="19">
        <v>4</v>
      </c>
      <c r="E8" s="8">
        <v>358</v>
      </c>
      <c r="F8" s="8">
        <v>44</v>
      </c>
      <c r="G8" s="8">
        <v>47</v>
      </c>
      <c r="H8" s="8">
        <v>0</v>
      </c>
      <c r="I8" s="8">
        <v>2</v>
      </c>
      <c r="J8" s="8">
        <v>264</v>
      </c>
      <c r="K8" s="10">
        <v>357</v>
      </c>
      <c r="L8" s="21">
        <v>1</v>
      </c>
      <c r="M8" s="10">
        <v>0</v>
      </c>
    </row>
    <row r="9" spans="1:13" ht="17.25" customHeight="1" x14ac:dyDescent="0.25">
      <c r="A9" s="91"/>
      <c r="B9" s="86"/>
      <c r="C9" s="86"/>
      <c r="D9" s="19">
        <v>5</v>
      </c>
      <c r="E9" s="8">
        <v>400</v>
      </c>
      <c r="F9" s="8">
        <v>60</v>
      </c>
      <c r="G9" s="8">
        <v>54</v>
      </c>
      <c r="H9" s="8">
        <v>1</v>
      </c>
      <c r="I9" s="8">
        <v>2</v>
      </c>
      <c r="J9" s="8">
        <v>282</v>
      </c>
      <c r="K9" s="10">
        <v>399</v>
      </c>
      <c r="L9" s="21">
        <v>1</v>
      </c>
      <c r="M9" s="10">
        <v>0</v>
      </c>
    </row>
    <row r="10" spans="1:13" ht="17.25" customHeight="1" x14ac:dyDescent="0.25">
      <c r="A10" s="89">
        <v>37</v>
      </c>
      <c r="B10" s="69" t="s">
        <v>106</v>
      </c>
      <c r="C10" s="72" t="s">
        <v>107</v>
      </c>
      <c r="D10" s="19">
        <v>1</v>
      </c>
      <c r="E10" s="8">
        <v>263</v>
      </c>
      <c r="F10" s="8">
        <v>11</v>
      </c>
      <c r="G10" s="8">
        <v>57</v>
      </c>
      <c r="H10" s="8">
        <v>0</v>
      </c>
      <c r="I10" s="8">
        <v>1</v>
      </c>
      <c r="J10" s="8">
        <v>180</v>
      </c>
      <c r="K10" s="10">
        <v>249</v>
      </c>
      <c r="L10" s="19">
        <v>14</v>
      </c>
      <c r="M10" s="10">
        <v>0</v>
      </c>
    </row>
    <row r="11" spans="1:13" ht="17.25" customHeight="1" x14ac:dyDescent="0.25">
      <c r="A11" s="90"/>
      <c r="B11" s="70"/>
      <c r="C11" s="73"/>
      <c r="D11" s="19">
        <v>2</v>
      </c>
      <c r="E11" s="8">
        <v>335</v>
      </c>
      <c r="F11" s="8">
        <v>17</v>
      </c>
      <c r="G11" s="8">
        <v>75</v>
      </c>
      <c r="H11" s="8">
        <v>0</v>
      </c>
      <c r="I11" s="8">
        <v>4</v>
      </c>
      <c r="J11" s="8">
        <v>229</v>
      </c>
      <c r="K11" s="10">
        <v>325</v>
      </c>
      <c r="L11" s="19">
        <v>10</v>
      </c>
      <c r="M11" s="10">
        <v>0</v>
      </c>
    </row>
    <row r="12" spans="1:13" ht="17.25" customHeight="1" x14ac:dyDescent="0.25">
      <c r="A12" s="90"/>
      <c r="B12" s="70"/>
      <c r="C12" s="73"/>
      <c r="D12" s="19">
        <v>3</v>
      </c>
      <c r="E12" s="8">
        <v>350</v>
      </c>
      <c r="F12" s="8">
        <v>26</v>
      </c>
      <c r="G12" s="8">
        <v>99</v>
      </c>
      <c r="H12" s="8">
        <v>2</v>
      </c>
      <c r="I12" s="8">
        <v>5</v>
      </c>
      <c r="J12" s="8">
        <v>212</v>
      </c>
      <c r="K12" s="10">
        <v>344</v>
      </c>
      <c r="L12" s="21">
        <v>6</v>
      </c>
      <c r="M12" s="10">
        <v>0</v>
      </c>
    </row>
    <row r="13" spans="1:13" ht="17.25" customHeight="1" x14ac:dyDescent="0.25">
      <c r="A13" s="90"/>
      <c r="B13" s="70"/>
      <c r="C13" s="73"/>
      <c r="D13" s="19">
        <v>4</v>
      </c>
      <c r="E13" s="8">
        <v>470</v>
      </c>
      <c r="F13" s="8">
        <v>28</v>
      </c>
      <c r="G13" s="8">
        <v>109</v>
      </c>
      <c r="H13" s="8">
        <v>3</v>
      </c>
      <c r="I13" s="8">
        <v>5</v>
      </c>
      <c r="J13" s="8">
        <v>322</v>
      </c>
      <c r="K13" s="10">
        <v>467</v>
      </c>
      <c r="L13" s="21">
        <v>3</v>
      </c>
      <c r="M13" s="10">
        <v>0</v>
      </c>
    </row>
    <row r="14" spans="1:13" ht="17.25" customHeight="1" x14ac:dyDescent="0.25">
      <c r="A14" s="90"/>
      <c r="B14" s="70"/>
      <c r="C14" s="73"/>
      <c r="D14" s="19">
        <v>5</v>
      </c>
      <c r="E14" s="8">
        <v>441</v>
      </c>
      <c r="F14" s="8">
        <v>39</v>
      </c>
      <c r="G14" s="8">
        <v>55</v>
      </c>
      <c r="H14" s="8">
        <v>4</v>
      </c>
      <c r="I14" s="8">
        <v>2</v>
      </c>
      <c r="J14" s="8">
        <v>339</v>
      </c>
      <c r="K14" s="10">
        <v>439</v>
      </c>
      <c r="L14" s="21">
        <v>2</v>
      </c>
      <c r="M14" s="10">
        <v>0</v>
      </c>
    </row>
    <row r="15" spans="1:13" ht="17.25" customHeight="1" x14ac:dyDescent="0.25">
      <c r="A15" s="90"/>
      <c r="B15" s="70"/>
      <c r="C15" s="73"/>
      <c r="D15" s="19">
        <v>6</v>
      </c>
      <c r="E15" s="8">
        <v>407</v>
      </c>
      <c r="F15" s="8">
        <v>51</v>
      </c>
      <c r="G15" s="8">
        <v>42</v>
      </c>
      <c r="H15" s="8">
        <v>1</v>
      </c>
      <c r="I15" s="8">
        <v>1</v>
      </c>
      <c r="J15" s="8">
        <v>312</v>
      </c>
      <c r="K15" s="10">
        <v>407</v>
      </c>
      <c r="L15" s="21">
        <v>0</v>
      </c>
      <c r="M15" s="10">
        <v>0</v>
      </c>
    </row>
    <row r="16" spans="1:13" ht="17.25" customHeight="1" x14ac:dyDescent="0.25">
      <c r="A16" s="91"/>
      <c r="B16" s="71"/>
      <c r="C16" s="74"/>
      <c r="D16" s="19">
        <v>7</v>
      </c>
      <c r="E16" s="8">
        <v>440</v>
      </c>
      <c r="F16" s="8">
        <v>75</v>
      </c>
      <c r="G16" s="8">
        <v>59</v>
      </c>
      <c r="H16" s="8">
        <v>1</v>
      </c>
      <c r="I16" s="8">
        <v>2</v>
      </c>
      <c r="J16" s="8">
        <v>303</v>
      </c>
      <c r="K16" s="10">
        <v>440</v>
      </c>
      <c r="L16" s="21">
        <v>0</v>
      </c>
      <c r="M16" s="10">
        <v>0</v>
      </c>
    </row>
    <row r="17" spans="1:13" ht="17.25" customHeight="1" x14ac:dyDescent="0.25">
      <c r="A17" s="89">
        <v>38</v>
      </c>
      <c r="B17" s="78" t="s">
        <v>108</v>
      </c>
      <c r="C17" s="84" t="s">
        <v>109</v>
      </c>
      <c r="D17" s="19">
        <v>1</v>
      </c>
      <c r="E17" s="8">
        <v>230</v>
      </c>
      <c r="F17" s="8">
        <v>8</v>
      </c>
      <c r="G17" s="8">
        <v>28</v>
      </c>
      <c r="H17" s="8">
        <v>1</v>
      </c>
      <c r="I17" s="8">
        <v>2</v>
      </c>
      <c r="J17" s="8">
        <v>189</v>
      </c>
      <c r="K17" s="10">
        <v>228</v>
      </c>
      <c r="L17" s="21">
        <v>2</v>
      </c>
      <c r="M17" s="10">
        <v>0</v>
      </c>
    </row>
    <row r="18" spans="1:13" ht="17.25" customHeight="1" x14ac:dyDescent="0.25">
      <c r="A18" s="90"/>
      <c r="B18" s="79"/>
      <c r="C18" s="85"/>
      <c r="D18" s="19">
        <v>2</v>
      </c>
      <c r="E18" s="8">
        <v>367</v>
      </c>
      <c r="F18" s="8">
        <v>70</v>
      </c>
      <c r="G18" s="8">
        <v>48</v>
      </c>
      <c r="H18" s="8">
        <v>1</v>
      </c>
      <c r="I18" s="8">
        <v>2</v>
      </c>
      <c r="J18" s="8">
        <v>244</v>
      </c>
      <c r="K18" s="10">
        <v>365</v>
      </c>
      <c r="L18" s="21">
        <v>2</v>
      </c>
      <c r="M18" s="10">
        <v>0</v>
      </c>
    </row>
    <row r="19" spans="1:13" ht="17.25" customHeight="1" x14ac:dyDescent="0.25">
      <c r="A19" s="90"/>
      <c r="B19" s="79"/>
      <c r="C19" s="85"/>
      <c r="D19" s="19">
        <v>3</v>
      </c>
      <c r="E19" s="8">
        <v>343</v>
      </c>
      <c r="F19" s="8">
        <v>47</v>
      </c>
      <c r="G19" s="8">
        <v>49</v>
      </c>
      <c r="H19" s="8">
        <v>1</v>
      </c>
      <c r="I19" s="8">
        <v>4</v>
      </c>
      <c r="J19" s="8">
        <v>241</v>
      </c>
      <c r="K19" s="10">
        <v>342</v>
      </c>
      <c r="L19" s="21">
        <v>1</v>
      </c>
      <c r="M19" s="10">
        <v>0</v>
      </c>
    </row>
    <row r="20" spans="1:13" ht="17.25" customHeight="1" x14ac:dyDescent="0.25">
      <c r="A20" s="90"/>
      <c r="B20" s="79"/>
      <c r="C20" s="85"/>
      <c r="D20" s="19">
        <v>4</v>
      </c>
      <c r="E20" s="8">
        <v>357</v>
      </c>
      <c r="F20" s="8">
        <v>45</v>
      </c>
      <c r="G20" s="8">
        <v>65</v>
      </c>
      <c r="H20" s="8">
        <v>1</v>
      </c>
      <c r="I20" s="8">
        <v>3</v>
      </c>
      <c r="J20" s="8">
        <v>237</v>
      </c>
      <c r="K20" s="10">
        <v>351</v>
      </c>
      <c r="L20" s="21">
        <v>6</v>
      </c>
      <c r="M20" s="10">
        <v>0</v>
      </c>
    </row>
    <row r="21" spans="1:13" ht="17.25" customHeight="1" x14ac:dyDescent="0.25">
      <c r="A21" s="90"/>
      <c r="B21" s="79"/>
      <c r="C21" s="85"/>
      <c r="D21" s="19">
        <v>5</v>
      </c>
      <c r="E21" s="8">
        <v>441</v>
      </c>
      <c r="F21" s="8">
        <v>39</v>
      </c>
      <c r="G21" s="8">
        <v>55</v>
      </c>
      <c r="H21" s="8">
        <v>4</v>
      </c>
      <c r="I21" s="8">
        <v>2</v>
      </c>
      <c r="J21" s="8">
        <v>339</v>
      </c>
      <c r="K21" s="10">
        <v>439</v>
      </c>
      <c r="L21" s="21">
        <v>2</v>
      </c>
      <c r="M21" s="10">
        <v>0</v>
      </c>
    </row>
    <row r="22" spans="1:13" ht="17.25" customHeight="1" x14ac:dyDescent="0.25">
      <c r="A22" s="91"/>
      <c r="B22" s="80"/>
      <c r="C22" s="86"/>
      <c r="D22" s="19">
        <v>6</v>
      </c>
      <c r="E22" s="8">
        <v>333</v>
      </c>
      <c r="F22" s="8">
        <v>84</v>
      </c>
      <c r="G22" s="8">
        <v>45</v>
      </c>
      <c r="H22" s="8">
        <v>0</v>
      </c>
      <c r="I22" s="8">
        <v>2</v>
      </c>
      <c r="J22" s="8">
        <v>200</v>
      </c>
      <c r="K22" s="10">
        <v>331</v>
      </c>
      <c r="L22" s="21">
        <v>2</v>
      </c>
      <c r="M22" s="10">
        <v>0</v>
      </c>
    </row>
    <row r="23" spans="1:13" ht="37.950000000000003" customHeight="1" x14ac:dyDescent="0.25"/>
    <row r="24" spans="1:13" ht="294" customHeight="1" x14ac:dyDescent="0.25"/>
    <row r="25" spans="1:13" ht="294" customHeight="1" x14ac:dyDescent="0.25"/>
  </sheetData>
  <mergeCells count="19">
    <mergeCell ref="A17:A22"/>
    <mergeCell ref="B17:B22"/>
    <mergeCell ref="C17:C22"/>
    <mergeCell ref="A5:A9"/>
    <mergeCell ref="B5:B9"/>
    <mergeCell ref="C5:C9"/>
    <mergeCell ref="A10:A16"/>
    <mergeCell ref="B10:B16"/>
    <mergeCell ref="C10:C16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3"/>
  <sheetViews>
    <sheetView workbookViewId="0">
      <selection activeCell="A5" sqref="A5:M1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4" t="s">
        <v>110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8" customHeight="1" x14ac:dyDescent="0.25">
      <c r="A2" s="47" t="s">
        <v>1</v>
      </c>
      <c r="B2" s="47" t="s">
        <v>2</v>
      </c>
      <c r="C2" s="47" t="s">
        <v>3</v>
      </c>
      <c r="D2" s="50" t="s">
        <v>4</v>
      </c>
      <c r="E2" s="53" t="s">
        <v>5</v>
      </c>
      <c r="F2" s="56" t="s">
        <v>6</v>
      </c>
      <c r="G2" s="57"/>
      <c r="H2" s="57"/>
      <c r="I2" s="57"/>
      <c r="J2" s="57"/>
      <c r="K2" s="58"/>
      <c r="L2" s="50" t="s">
        <v>7</v>
      </c>
      <c r="M2" s="53" t="s">
        <v>8</v>
      </c>
    </row>
    <row r="3" spans="1:13" ht="37.950000000000003" customHeight="1" x14ac:dyDescent="0.25">
      <c r="A3" s="48"/>
      <c r="B3" s="48"/>
      <c r="C3" s="48"/>
      <c r="D3" s="51"/>
      <c r="E3" s="54"/>
      <c r="F3" s="1" t="s">
        <v>9</v>
      </c>
      <c r="G3" s="1" t="s">
        <v>10</v>
      </c>
      <c r="H3" s="2" t="s">
        <v>11</v>
      </c>
      <c r="I3" s="1" t="s">
        <v>12</v>
      </c>
      <c r="J3" s="3" t="s">
        <v>13</v>
      </c>
      <c r="K3" s="59" t="s">
        <v>14</v>
      </c>
      <c r="L3" s="51"/>
      <c r="M3" s="54"/>
    </row>
    <row r="4" spans="1:13" ht="28.2" customHeight="1" x14ac:dyDescent="0.25">
      <c r="A4" s="49"/>
      <c r="B4" s="49"/>
      <c r="C4" s="49"/>
      <c r="D4" s="52"/>
      <c r="E4" s="55"/>
      <c r="F4" s="4"/>
      <c r="G4" s="4"/>
      <c r="H4" s="4"/>
      <c r="I4" s="4"/>
      <c r="J4" s="4"/>
      <c r="K4" s="60"/>
      <c r="L4" s="52"/>
      <c r="M4" s="55"/>
    </row>
    <row r="5" spans="1:13" ht="17.25" customHeight="1" x14ac:dyDescent="0.25">
      <c r="A5" s="89">
        <v>38</v>
      </c>
      <c r="B5" s="98" t="s">
        <v>108</v>
      </c>
      <c r="C5" s="98" t="s">
        <v>111</v>
      </c>
      <c r="D5" s="8">
        <v>1</v>
      </c>
      <c r="E5" s="8">
        <v>334</v>
      </c>
      <c r="F5" s="8">
        <v>47</v>
      </c>
      <c r="G5" s="8">
        <v>141</v>
      </c>
      <c r="H5" s="8">
        <v>1</v>
      </c>
      <c r="I5" s="8">
        <v>5</v>
      </c>
      <c r="J5" s="8">
        <v>130</v>
      </c>
      <c r="K5" s="10">
        <v>324</v>
      </c>
      <c r="L5" s="8">
        <v>10</v>
      </c>
      <c r="M5" s="10">
        <v>0</v>
      </c>
    </row>
    <row r="6" spans="1:13" ht="17.25" customHeight="1" x14ac:dyDescent="0.25">
      <c r="A6" s="90"/>
      <c r="B6" s="100"/>
      <c r="C6" s="100"/>
      <c r="D6" s="8">
        <v>2</v>
      </c>
      <c r="E6" s="8">
        <v>379</v>
      </c>
      <c r="F6" s="8">
        <v>44</v>
      </c>
      <c r="G6" s="8">
        <v>103</v>
      </c>
      <c r="H6" s="8">
        <v>0</v>
      </c>
      <c r="I6" s="8">
        <v>5</v>
      </c>
      <c r="J6" s="8">
        <v>225</v>
      </c>
      <c r="K6" s="10">
        <v>377</v>
      </c>
      <c r="L6" s="8">
        <v>2</v>
      </c>
      <c r="M6" s="10">
        <v>0</v>
      </c>
    </row>
    <row r="7" spans="1:13" ht="17.25" customHeight="1" x14ac:dyDescent="0.25">
      <c r="A7" s="90"/>
      <c r="B7" s="100"/>
      <c r="C7" s="100"/>
      <c r="D7" s="8">
        <v>3</v>
      </c>
      <c r="E7" s="8">
        <v>513</v>
      </c>
      <c r="F7" s="8">
        <v>94</v>
      </c>
      <c r="G7" s="8">
        <v>109</v>
      </c>
      <c r="H7" s="8">
        <v>4</v>
      </c>
      <c r="I7" s="8">
        <v>9</v>
      </c>
      <c r="J7" s="8">
        <v>290</v>
      </c>
      <c r="K7" s="10">
        <v>506</v>
      </c>
      <c r="L7" s="8">
        <v>7</v>
      </c>
      <c r="M7" s="10">
        <v>0</v>
      </c>
    </row>
    <row r="8" spans="1:13" ht="17.25" customHeight="1" x14ac:dyDescent="0.25">
      <c r="A8" s="90"/>
      <c r="B8" s="100"/>
      <c r="C8" s="100"/>
      <c r="D8" s="8">
        <v>4</v>
      </c>
      <c r="E8" s="8">
        <v>487</v>
      </c>
      <c r="F8" s="8">
        <v>129</v>
      </c>
      <c r="G8" s="8">
        <v>90</v>
      </c>
      <c r="H8" s="8">
        <v>3</v>
      </c>
      <c r="I8" s="8">
        <v>5</v>
      </c>
      <c r="J8" s="8">
        <v>256</v>
      </c>
      <c r="K8" s="10">
        <v>483</v>
      </c>
      <c r="L8" s="8">
        <v>4</v>
      </c>
      <c r="M8" s="10">
        <v>0</v>
      </c>
    </row>
    <row r="9" spans="1:13" ht="17.25" customHeight="1" x14ac:dyDescent="0.25">
      <c r="A9" s="91"/>
      <c r="B9" s="99"/>
      <c r="C9" s="99"/>
      <c r="D9" s="8">
        <v>5</v>
      </c>
      <c r="E9" s="8">
        <v>547</v>
      </c>
      <c r="F9" s="8">
        <v>162</v>
      </c>
      <c r="G9" s="8">
        <v>93</v>
      </c>
      <c r="H9" s="8">
        <v>4</v>
      </c>
      <c r="I9" s="8">
        <v>9</v>
      </c>
      <c r="J9" s="8">
        <v>276</v>
      </c>
      <c r="K9" s="10">
        <v>544</v>
      </c>
      <c r="L9" s="8">
        <v>3</v>
      </c>
      <c r="M9" s="10">
        <v>0</v>
      </c>
    </row>
    <row r="10" spans="1:13" ht="19.2" customHeight="1" x14ac:dyDescent="0.25">
      <c r="A10" s="101" t="s">
        <v>112</v>
      </c>
      <c r="B10" s="102"/>
      <c r="C10" s="103"/>
      <c r="D10" s="24">
        <v>198</v>
      </c>
      <c r="E10" s="25">
        <v>81436</v>
      </c>
      <c r="F10" s="25">
        <v>18235</v>
      </c>
      <c r="G10" s="25">
        <v>18412</v>
      </c>
      <c r="H10" s="24">
        <v>441</v>
      </c>
      <c r="I10" s="24">
        <v>748</v>
      </c>
      <c r="J10" s="25">
        <v>42349</v>
      </c>
      <c r="K10" s="25">
        <v>80185</v>
      </c>
      <c r="L10" s="25">
        <v>1096</v>
      </c>
      <c r="M10" s="24">
        <v>155</v>
      </c>
    </row>
    <row r="11" spans="1:13" ht="37.950000000000003" customHeight="1" x14ac:dyDescent="0.25"/>
    <row r="12" spans="1:13" ht="82.05" customHeight="1" x14ac:dyDescent="0.25"/>
    <row r="13" spans="1:13" ht="82.05" customHeight="1" x14ac:dyDescent="0.25"/>
  </sheetData>
  <mergeCells count="14">
    <mergeCell ref="A5:A9"/>
    <mergeCell ref="B5:B9"/>
    <mergeCell ref="C5:C9"/>
    <mergeCell ref="A10:C10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RaceWorksheet</vt:lpstr>
      <vt:lpstr>P132PortDickson</vt:lpstr>
      <vt:lpstr>N30Lukut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 Ming Ong</cp:lastModifiedBy>
  <dcterms:created xsi:type="dcterms:W3CDTF">2023-01-24T06:47:10Z</dcterms:created>
  <dcterms:modified xsi:type="dcterms:W3CDTF">2023-11-30T02:59:39Z</dcterms:modified>
</cp:coreProperties>
</file>