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KM\Malaysian Elections\GE15 (National)\GE15 Results\SCORE SHEET PRU 15 (2022)\11. NEGERI SEMBILAN\"/>
    </mc:Choice>
  </mc:AlternateContent>
  <xr:revisionPtr revIDLastSave="0" documentId="13_ncr:1_{CC47CBF3-70D5-4462-AAD1-51742F9023B7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RaceWorksheet" sheetId="10" r:id="rId1"/>
    <sheet name="P126Jelebu" sheetId="8" r:id="rId2"/>
    <sheet name="N1Chennah" sheetId="11" r:id="rId3"/>
    <sheet name="Race&amp;Age" sheetId="9" r:id="rId4"/>
    <sheet name="Table 1" sheetId="1" r:id="rId5"/>
    <sheet name="Table 2" sheetId="2" r:id="rId6"/>
    <sheet name="Table 3" sheetId="3" r:id="rId7"/>
    <sheet name="Table 4" sheetId="4" r:id="rId8"/>
    <sheet name="Table 5" sheetId="5" r:id="rId9"/>
    <sheet name="Table 6" sheetId="6" r:id="rId10"/>
    <sheet name="Table 7" sheetId="7" r:id="rId11"/>
  </sheets>
  <definedNames>
    <definedName name="_xlnm._FilterDatabase" localSheetId="1" hidden="1">P126Jelebu!$A$1:$AB$121</definedName>
    <definedName name="_xlnm._FilterDatabase" localSheetId="3" hidden="1">'Race&amp;Age'!$A$1:$Y$115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6" i="11" l="1"/>
  <c r="AB7" i="11"/>
  <c r="S26" i="11"/>
  <c r="S7" i="11"/>
  <c r="AB128" i="8"/>
  <c r="Z128" i="8"/>
  <c r="Y128" i="8"/>
  <c r="X128" i="8"/>
  <c r="W128" i="8"/>
  <c r="AB127" i="8"/>
  <c r="Z127" i="8"/>
  <c r="Y127" i="8"/>
  <c r="X127" i="8"/>
  <c r="W127" i="8"/>
  <c r="AB126" i="8"/>
  <c r="Z126" i="8"/>
  <c r="Y126" i="8"/>
  <c r="X126" i="8"/>
  <c r="W126" i="8"/>
  <c r="AB125" i="8"/>
  <c r="Z125" i="8"/>
  <c r="Y125" i="8"/>
  <c r="X125" i="8"/>
  <c r="W125" i="8"/>
  <c r="Q128" i="8"/>
  <c r="P128" i="8"/>
  <c r="O128" i="8"/>
  <c r="N128" i="8"/>
  <c r="Q127" i="8"/>
  <c r="P127" i="8"/>
  <c r="O127" i="8"/>
  <c r="N127" i="8"/>
  <c r="Q126" i="8"/>
  <c r="P126" i="8"/>
  <c r="O126" i="8"/>
  <c r="N126" i="8"/>
  <c r="Q125" i="8"/>
  <c r="P125" i="8"/>
  <c r="O125" i="8"/>
  <c r="N125" i="8"/>
  <c r="V128" i="8"/>
  <c r="U128" i="8"/>
  <c r="T128" i="8"/>
  <c r="S128" i="8"/>
  <c r="R128" i="8"/>
  <c r="V127" i="8"/>
  <c r="U127" i="8"/>
  <c r="T127" i="8"/>
  <c r="S127" i="8"/>
  <c r="R127" i="8"/>
  <c r="V126" i="8"/>
  <c r="U126" i="8"/>
  <c r="T126" i="8"/>
  <c r="S126" i="8"/>
  <c r="R126" i="8"/>
  <c r="V125" i="8"/>
  <c r="U125" i="8"/>
  <c r="T125" i="8"/>
  <c r="S125" i="8"/>
  <c r="R125" i="8"/>
  <c r="M128" i="8"/>
  <c r="L128" i="8"/>
  <c r="K128" i="8"/>
  <c r="J128" i="8"/>
  <c r="I128" i="8"/>
  <c r="H128" i="8"/>
  <c r="G128" i="8"/>
  <c r="F128" i="8"/>
  <c r="M127" i="8"/>
  <c r="L127" i="8"/>
  <c r="K127" i="8"/>
  <c r="J127" i="8"/>
  <c r="I127" i="8"/>
  <c r="H127" i="8"/>
  <c r="G127" i="8"/>
  <c r="F127" i="8"/>
  <c r="M126" i="8"/>
  <c r="L126" i="8"/>
  <c r="K126" i="8"/>
  <c r="J126" i="8"/>
  <c r="I126" i="8"/>
  <c r="H126" i="8"/>
  <c r="G126" i="8"/>
  <c r="F126" i="8"/>
  <c r="M125" i="8"/>
  <c r="L125" i="8"/>
  <c r="K125" i="8"/>
  <c r="J125" i="8"/>
  <c r="I125" i="8"/>
  <c r="H125" i="8"/>
  <c r="G125" i="8"/>
  <c r="F125" i="8"/>
  <c r="E128" i="8"/>
  <c r="E127" i="8"/>
  <c r="E126" i="8"/>
  <c r="E125" i="8"/>
  <c r="Q123" i="8"/>
  <c r="Q121" i="8"/>
  <c r="Q120" i="8"/>
  <c r="Q119" i="8"/>
  <c r="Q118" i="8"/>
  <c r="Q117" i="8"/>
  <c r="Q116" i="8"/>
  <c r="Q115" i="8"/>
  <c r="Q114" i="8"/>
  <c r="Q113" i="8"/>
  <c r="Q112" i="8"/>
  <c r="Q111" i="8"/>
  <c r="Q110" i="8"/>
  <c r="Q109" i="8"/>
  <c r="Q108" i="8"/>
  <c r="Q107" i="8"/>
  <c r="Q106" i="8"/>
  <c r="Q105" i="8"/>
  <c r="Q104" i="8"/>
  <c r="Q103" i="8"/>
  <c r="Q102" i="8"/>
  <c r="Q101" i="8"/>
  <c r="Q100" i="8"/>
  <c r="Q99" i="8"/>
  <c r="Q98" i="8"/>
  <c r="Q97" i="8"/>
  <c r="Q96" i="8"/>
  <c r="Q95" i="8"/>
  <c r="Q94" i="8"/>
  <c r="Q93" i="8"/>
  <c r="Q92" i="8"/>
  <c r="Q91" i="8"/>
  <c r="Q90" i="8"/>
  <c r="Q89" i="8"/>
  <c r="Q88" i="8"/>
  <c r="Q87" i="8"/>
  <c r="Q86" i="8"/>
  <c r="Q85" i="8"/>
  <c r="Q84" i="8"/>
  <c r="Q83" i="8"/>
  <c r="Q82" i="8"/>
  <c r="Q81" i="8"/>
  <c r="Q80" i="8"/>
  <c r="Q79" i="8"/>
  <c r="Q78" i="8"/>
  <c r="Q77" i="8"/>
  <c r="Q76" i="8"/>
  <c r="Q75" i="8"/>
  <c r="Q74" i="8"/>
  <c r="Q73" i="8"/>
  <c r="Q72" i="8"/>
  <c r="Q71" i="8"/>
  <c r="Q70" i="8"/>
  <c r="Q69" i="8"/>
  <c r="Q68" i="8"/>
  <c r="Q67" i="8"/>
  <c r="Q66" i="8"/>
  <c r="Q65" i="8"/>
  <c r="Q64" i="8"/>
  <c r="Q63" i="8"/>
  <c r="Q62" i="8"/>
  <c r="Q61" i="8"/>
  <c r="Q60" i="8"/>
  <c r="Q59" i="8"/>
  <c r="Q58" i="8"/>
  <c r="Q57" i="8"/>
  <c r="Q56" i="8"/>
  <c r="Q55" i="8"/>
  <c r="Q54" i="8"/>
  <c r="Q53" i="8"/>
  <c r="Q52" i="8"/>
  <c r="Q51" i="8"/>
  <c r="Q50" i="8"/>
  <c r="Q49" i="8"/>
  <c r="Q48" i="8"/>
  <c r="Q47" i="8"/>
  <c r="Q46" i="8"/>
  <c r="Q45" i="8"/>
  <c r="Q44" i="8"/>
  <c r="Q43" i="8"/>
  <c r="Q42" i="8"/>
  <c r="Q41" i="8"/>
  <c r="Q40" i="8"/>
  <c r="Q39" i="8"/>
  <c r="Q38" i="8"/>
  <c r="Q37" i="8"/>
  <c r="Q36" i="8"/>
  <c r="Q35" i="8"/>
  <c r="Q34" i="8"/>
  <c r="Q33" i="8"/>
  <c r="Q32" i="8"/>
  <c r="Q31" i="8"/>
  <c r="Q30" i="8"/>
  <c r="Q29" i="8"/>
  <c r="Q28" i="8"/>
  <c r="Q27" i="8"/>
  <c r="Q26" i="8"/>
  <c r="Q25" i="8"/>
  <c r="Q24" i="8"/>
  <c r="Q23" i="8"/>
  <c r="Q22" i="8"/>
  <c r="Q21" i="8"/>
  <c r="Q20" i="8"/>
  <c r="Q19" i="8"/>
  <c r="Q18" i="8"/>
  <c r="Q17" i="8"/>
  <c r="Q16" i="8"/>
  <c r="Q15" i="8"/>
  <c r="Q14" i="8"/>
  <c r="Q13" i="8"/>
  <c r="Q12" i="8"/>
  <c r="Q11" i="8"/>
  <c r="Q10" i="8"/>
  <c r="Q9" i="8"/>
  <c r="Q8" i="8"/>
  <c r="Q7" i="8"/>
  <c r="Q6" i="8"/>
  <c r="Q5" i="8"/>
  <c r="Q4" i="8"/>
  <c r="Q3" i="8"/>
  <c r="Q2" i="8"/>
  <c r="AA123" i="8"/>
  <c r="V123" i="8"/>
  <c r="U123" i="8"/>
  <c r="Z123" i="8" s="1"/>
  <c r="T123" i="8"/>
  <c r="Y123" i="8" s="1"/>
  <c r="S123" i="8"/>
  <c r="X123" i="8" s="1"/>
  <c r="R123" i="8"/>
  <c r="W123" i="8" s="1"/>
  <c r="M123" i="8"/>
  <c r="K123" i="8"/>
  <c r="J123" i="8"/>
  <c r="AB123" i="8" s="1"/>
  <c r="I123" i="8"/>
  <c r="H123" i="8"/>
  <c r="G123" i="8"/>
  <c r="F123" i="8"/>
  <c r="E123" i="8"/>
  <c r="AF47" i="10"/>
  <c r="AF6" i="10"/>
  <c r="W47" i="10"/>
  <c r="W27" i="10"/>
  <c r="W6" i="10"/>
  <c r="N136" i="9"/>
  <c r="Y136" i="9" s="1"/>
  <c r="N135" i="9"/>
  <c r="Y135" i="9" s="1"/>
  <c r="M136" i="9"/>
  <c r="L136" i="9"/>
  <c r="K136" i="9"/>
  <c r="P136" i="9" s="1"/>
  <c r="U136" i="9" s="1"/>
  <c r="J136" i="9"/>
  <c r="I136" i="9"/>
  <c r="R136" i="9" s="1"/>
  <c r="W136" i="9" s="1"/>
  <c r="H136" i="9"/>
  <c r="Q136" i="9" s="1"/>
  <c r="V136" i="9" s="1"/>
  <c r="G136" i="9"/>
  <c r="F136" i="9"/>
  <c r="E136" i="9"/>
  <c r="M135" i="9"/>
  <c r="L135" i="9"/>
  <c r="K135" i="9"/>
  <c r="P135" i="9" s="1"/>
  <c r="U135" i="9" s="1"/>
  <c r="J135" i="9"/>
  <c r="I135" i="9"/>
  <c r="R135" i="9" s="1"/>
  <c r="H135" i="9"/>
  <c r="Q135" i="9" s="1"/>
  <c r="G135" i="9"/>
  <c r="F135" i="9"/>
  <c r="E135" i="9"/>
  <c r="N128" i="9"/>
  <c r="Y128" i="9" s="1"/>
  <c r="M128" i="9"/>
  <c r="L128" i="9"/>
  <c r="K128" i="9"/>
  <c r="P128" i="9" s="1"/>
  <c r="U128" i="9" s="1"/>
  <c r="J128" i="9"/>
  <c r="I128" i="9"/>
  <c r="R128" i="9" s="1"/>
  <c r="W128" i="9" s="1"/>
  <c r="H128" i="9"/>
  <c r="Q128" i="9" s="1"/>
  <c r="V128" i="9" s="1"/>
  <c r="G128" i="9"/>
  <c r="F128" i="9"/>
  <c r="E128" i="9"/>
  <c r="N125" i="9"/>
  <c r="Y125" i="9" s="1"/>
  <c r="M125" i="9"/>
  <c r="L125" i="9"/>
  <c r="K125" i="9"/>
  <c r="P125" i="9" s="1"/>
  <c r="J125" i="9"/>
  <c r="I125" i="9"/>
  <c r="R125" i="9" s="1"/>
  <c r="H125" i="9"/>
  <c r="Q125" i="9" s="1"/>
  <c r="G125" i="9"/>
  <c r="F125" i="9"/>
  <c r="E125" i="9"/>
  <c r="N120" i="9"/>
  <c r="Y120" i="9" s="1"/>
  <c r="M120" i="9"/>
  <c r="L120" i="9"/>
  <c r="K120" i="9"/>
  <c r="P120" i="9" s="1"/>
  <c r="J120" i="9"/>
  <c r="I120" i="9"/>
  <c r="R120" i="9" s="1"/>
  <c r="H120" i="9"/>
  <c r="Q120" i="9" s="1"/>
  <c r="G120" i="9"/>
  <c r="F120" i="9"/>
  <c r="E120" i="9"/>
  <c r="Y114" i="9"/>
  <c r="R114" i="9"/>
  <c r="W114" i="9" s="1"/>
  <c r="Q114" i="9"/>
  <c r="V114" i="9" s="1"/>
  <c r="P114" i="9"/>
  <c r="U114" i="9" s="1"/>
  <c r="Y113" i="9"/>
  <c r="R113" i="9"/>
  <c r="W113" i="9" s="1"/>
  <c r="Q113" i="9"/>
  <c r="V113" i="9" s="1"/>
  <c r="P113" i="9"/>
  <c r="U113" i="9" s="1"/>
  <c r="Y112" i="9"/>
  <c r="R112" i="9"/>
  <c r="W112" i="9" s="1"/>
  <c r="Q112" i="9"/>
  <c r="P112" i="9"/>
  <c r="U112" i="9" s="1"/>
  <c r="Y111" i="9"/>
  <c r="R111" i="9"/>
  <c r="W111" i="9" s="1"/>
  <c r="Q111" i="9"/>
  <c r="V111" i="9" s="1"/>
  <c r="P111" i="9"/>
  <c r="Y110" i="9"/>
  <c r="R110" i="9"/>
  <c r="W110" i="9" s="1"/>
  <c r="Q110" i="9"/>
  <c r="V110" i="9" s="1"/>
  <c r="P110" i="9"/>
  <c r="U110" i="9" s="1"/>
  <c r="Y109" i="9"/>
  <c r="R109" i="9"/>
  <c r="W109" i="9" s="1"/>
  <c r="Q109" i="9"/>
  <c r="V109" i="9" s="1"/>
  <c r="P109" i="9"/>
  <c r="U109" i="9" s="1"/>
  <c r="Y108" i="9"/>
  <c r="R108" i="9"/>
  <c r="W108" i="9" s="1"/>
  <c r="Q108" i="9"/>
  <c r="V108" i="9" s="1"/>
  <c r="P108" i="9"/>
  <c r="U108" i="9" s="1"/>
  <c r="Y107" i="9"/>
  <c r="R107" i="9"/>
  <c r="W107" i="9" s="1"/>
  <c r="Q107" i="9"/>
  <c r="V107" i="9" s="1"/>
  <c r="P107" i="9"/>
  <c r="U107" i="9" s="1"/>
  <c r="Y106" i="9"/>
  <c r="R106" i="9"/>
  <c r="W106" i="9" s="1"/>
  <c r="Q106" i="9"/>
  <c r="V106" i="9" s="1"/>
  <c r="P106" i="9"/>
  <c r="U106" i="9" s="1"/>
  <c r="Y137" i="9"/>
  <c r="R137" i="9"/>
  <c r="W137" i="9" s="1"/>
  <c r="Q137" i="9"/>
  <c r="V137" i="9" s="1"/>
  <c r="P137" i="9"/>
  <c r="Y119" i="9"/>
  <c r="R119" i="9"/>
  <c r="W119" i="9" s="1"/>
  <c r="Q119" i="9"/>
  <c r="V119" i="9" s="1"/>
  <c r="P119" i="9"/>
  <c r="U119" i="9" s="1"/>
  <c r="Y105" i="9"/>
  <c r="R105" i="9"/>
  <c r="W105" i="9" s="1"/>
  <c r="Q105" i="9"/>
  <c r="V105" i="9" s="1"/>
  <c r="P105" i="9"/>
  <c r="Y104" i="9"/>
  <c r="R104" i="9"/>
  <c r="W104" i="9" s="1"/>
  <c r="Q104" i="9"/>
  <c r="V104" i="9" s="1"/>
  <c r="P104" i="9"/>
  <c r="U104" i="9" s="1"/>
  <c r="Y103" i="9"/>
  <c r="R103" i="9"/>
  <c r="W103" i="9" s="1"/>
  <c r="Q103" i="9"/>
  <c r="V103" i="9" s="1"/>
  <c r="P103" i="9"/>
  <c r="U103" i="9" s="1"/>
  <c r="Y102" i="9"/>
  <c r="R102" i="9"/>
  <c r="W102" i="9" s="1"/>
  <c r="Q102" i="9"/>
  <c r="P102" i="9"/>
  <c r="U102" i="9" s="1"/>
  <c r="Y101" i="9"/>
  <c r="R101" i="9"/>
  <c r="W101" i="9" s="1"/>
  <c r="Q101" i="9"/>
  <c r="P101" i="9"/>
  <c r="U101" i="9" s="1"/>
  <c r="Y100" i="9"/>
  <c r="R100" i="9"/>
  <c r="W100" i="9" s="1"/>
  <c r="Q100" i="9"/>
  <c r="V100" i="9" s="1"/>
  <c r="P100" i="9"/>
  <c r="U100" i="9" s="1"/>
  <c r="Y99" i="9"/>
  <c r="R99" i="9"/>
  <c r="W99" i="9" s="1"/>
  <c r="Q99" i="9"/>
  <c r="V99" i="9" s="1"/>
  <c r="P99" i="9"/>
  <c r="Y98" i="9"/>
  <c r="R98" i="9"/>
  <c r="W98" i="9" s="1"/>
  <c r="Q98" i="9"/>
  <c r="V98" i="9" s="1"/>
  <c r="P98" i="9"/>
  <c r="U98" i="9" s="1"/>
  <c r="Y97" i="9"/>
  <c r="R97" i="9"/>
  <c r="W97" i="9" s="1"/>
  <c r="Q97" i="9"/>
  <c r="V97" i="9" s="1"/>
  <c r="P97" i="9"/>
  <c r="U97" i="9" s="1"/>
  <c r="Y96" i="9"/>
  <c r="R96" i="9"/>
  <c r="W96" i="9" s="1"/>
  <c r="Q96" i="9"/>
  <c r="P96" i="9"/>
  <c r="U96" i="9" s="1"/>
  <c r="Y95" i="9"/>
  <c r="R95" i="9"/>
  <c r="W95" i="9" s="1"/>
  <c r="Q95" i="9"/>
  <c r="V95" i="9" s="1"/>
  <c r="P95" i="9"/>
  <c r="Y94" i="9"/>
  <c r="R94" i="9"/>
  <c r="W94" i="9" s="1"/>
  <c r="Q94" i="9"/>
  <c r="V94" i="9" s="1"/>
  <c r="P94" i="9"/>
  <c r="U94" i="9" s="1"/>
  <c r="Y93" i="9"/>
  <c r="R93" i="9"/>
  <c r="W93" i="9" s="1"/>
  <c r="Q93" i="9"/>
  <c r="V93" i="9" s="1"/>
  <c r="P93" i="9"/>
  <c r="Y92" i="9"/>
  <c r="R92" i="9"/>
  <c r="W92" i="9" s="1"/>
  <c r="Q92" i="9"/>
  <c r="V92" i="9" s="1"/>
  <c r="P92" i="9"/>
  <c r="U92" i="9" s="1"/>
  <c r="Y91" i="9"/>
  <c r="R91" i="9"/>
  <c r="W91" i="9" s="1"/>
  <c r="Q91" i="9"/>
  <c r="V91" i="9" s="1"/>
  <c r="P91" i="9"/>
  <c r="U91" i="9" s="1"/>
  <c r="Y90" i="9"/>
  <c r="R90" i="9"/>
  <c r="W90" i="9" s="1"/>
  <c r="Q90" i="9"/>
  <c r="P90" i="9"/>
  <c r="U90" i="9" s="1"/>
  <c r="Y89" i="9"/>
  <c r="R89" i="9"/>
  <c r="W89" i="9" s="1"/>
  <c r="Q89" i="9"/>
  <c r="V89" i="9" s="1"/>
  <c r="P89" i="9"/>
  <c r="U89" i="9" s="1"/>
  <c r="Y88" i="9"/>
  <c r="R88" i="9"/>
  <c r="W88" i="9" s="1"/>
  <c r="Q88" i="9"/>
  <c r="V88" i="9" s="1"/>
  <c r="P88" i="9"/>
  <c r="U88" i="9" s="1"/>
  <c r="Y87" i="9"/>
  <c r="R87" i="9"/>
  <c r="W87" i="9" s="1"/>
  <c r="Q87" i="9"/>
  <c r="V87" i="9" s="1"/>
  <c r="P87" i="9"/>
  <c r="Y86" i="9"/>
  <c r="R86" i="9"/>
  <c r="W86" i="9" s="1"/>
  <c r="Q86" i="9"/>
  <c r="V86" i="9" s="1"/>
  <c r="P86" i="9"/>
  <c r="U86" i="9" s="1"/>
  <c r="Y85" i="9"/>
  <c r="R85" i="9"/>
  <c r="W85" i="9" s="1"/>
  <c r="Q85" i="9"/>
  <c r="V85" i="9" s="1"/>
  <c r="P85" i="9"/>
  <c r="U85" i="9" s="1"/>
  <c r="Y84" i="9"/>
  <c r="R84" i="9"/>
  <c r="W84" i="9" s="1"/>
  <c r="Q84" i="9"/>
  <c r="P84" i="9"/>
  <c r="U84" i="9" s="1"/>
  <c r="Y83" i="9"/>
  <c r="R83" i="9"/>
  <c r="W83" i="9" s="1"/>
  <c r="Q83" i="9"/>
  <c r="V83" i="9" s="1"/>
  <c r="P83" i="9"/>
  <c r="U83" i="9" s="1"/>
  <c r="Y82" i="9"/>
  <c r="R82" i="9"/>
  <c r="W82" i="9" s="1"/>
  <c r="Q82" i="9"/>
  <c r="V82" i="9" s="1"/>
  <c r="P82" i="9"/>
  <c r="U82" i="9" s="1"/>
  <c r="Y81" i="9"/>
  <c r="R81" i="9"/>
  <c r="W81" i="9" s="1"/>
  <c r="Q81" i="9"/>
  <c r="V81" i="9" s="1"/>
  <c r="P81" i="9"/>
  <c r="Y80" i="9"/>
  <c r="R80" i="9"/>
  <c r="W80" i="9" s="1"/>
  <c r="Q80" i="9"/>
  <c r="V80" i="9" s="1"/>
  <c r="P80" i="9"/>
  <c r="U80" i="9" s="1"/>
  <c r="Y79" i="9"/>
  <c r="R79" i="9"/>
  <c r="W79" i="9" s="1"/>
  <c r="Q79" i="9"/>
  <c r="V79" i="9" s="1"/>
  <c r="P79" i="9"/>
  <c r="U79" i="9" s="1"/>
  <c r="Y78" i="9"/>
  <c r="R78" i="9"/>
  <c r="W78" i="9" s="1"/>
  <c r="Q78" i="9"/>
  <c r="P78" i="9"/>
  <c r="Y77" i="9"/>
  <c r="R77" i="9"/>
  <c r="W77" i="9" s="1"/>
  <c r="Q77" i="9"/>
  <c r="V77" i="9" s="1"/>
  <c r="P77" i="9"/>
  <c r="Y76" i="9"/>
  <c r="R76" i="9"/>
  <c r="Q76" i="9"/>
  <c r="V76" i="9" s="1"/>
  <c r="P76" i="9"/>
  <c r="U76" i="9" s="1"/>
  <c r="Y75" i="9"/>
  <c r="R75" i="9"/>
  <c r="W75" i="9" s="1"/>
  <c r="Q75" i="9"/>
  <c r="V75" i="9" s="1"/>
  <c r="P75" i="9"/>
  <c r="Y74" i="9"/>
  <c r="R74" i="9"/>
  <c r="W74" i="9" s="1"/>
  <c r="Q74" i="9"/>
  <c r="V74" i="9" s="1"/>
  <c r="P74" i="9"/>
  <c r="U74" i="9" s="1"/>
  <c r="Y73" i="9"/>
  <c r="R73" i="9"/>
  <c r="W73" i="9" s="1"/>
  <c r="Q73" i="9"/>
  <c r="V73" i="9" s="1"/>
  <c r="P73" i="9"/>
  <c r="U73" i="9" s="1"/>
  <c r="Y72" i="9"/>
  <c r="R72" i="9"/>
  <c r="W72" i="9" s="1"/>
  <c r="Q72" i="9"/>
  <c r="V72" i="9" s="1"/>
  <c r="P72" i="9"/>
  <c r="Y134" i="9"/>
  <c r="R134" i="9"/>
  <c r="W134" i="9" s="1"/>
  <c r="Q134" i="9"/>
  <c r="V134" i="9" s="1"/>
  <c r="P134" i="9"/>
  <c r="Y133" i="9"/>
  <c r="R133" i="9"/>
  <c r="Q133" i="9"/>
  <c r="V133" i="9" s="1"/>
  <c r="P133" i="9"/>
  <c r="U133" i="9" s="1"/>
  <c r="Y71" i="9"/>
  <c r="R71" i="9"/>
  <c r="W71" i="9" s="1"/>
  <c r="Q71" i="9"/>
  <c r="V71" i="9" s="1"/>
  <c r="P71" i="9"/>
  <c r="Y70" i="9"/>
  <c r="R70" i="9"/>
  <c r="W70" i="9" s="1"/>
  <c r="Q70" i="9"/>
  <c r="V70" i="9" s="1"/>
  <c r="P70" i="9"/>
  <c r="U70" i="9" s="1"/>
  <c r="Y132" i="9"/>
  <c r="R132" i="9"/>
  <c r="W132" i="9" s="1"/>
  <c r="Q132" i="9"/>
  <c r="V132" i="9" s="1"/>
  <c r="P132" i="9"/>
  <c r="U132" i="9" s="1"/>
  <c r="Y131" i="9"/>
  <c r="R131" i="9"/>
  <c r="W131" i="9" s="1"/>
  <c r="Q131" i="9"/>
  <c r="V131" i="9" s="1"/>
  <c r="P131" i="9"/>
  <c r="U131" i="9" s="1"/>
  <c r="Y69" i="9"/>
  <c r="R69" i="9"/>
  <c r="W69" i="9" s="1"/>
  <c r="Q69" i="9"/>
  <c r="V69" i="9" s="1"/>
  <c r="P69" i="9"/>
  <c r="Y68" i="9"/>
  <c r="R68" i="9"/>
  <c r="Q68" i="9"/>
  <c r="V68" i="9" s="1"/>
  <c r="P68" i="9"/>
  <c r="U68" i="9" s="1"/>
  <c r="Y67" i="9"/>
  <c r="R67" i="9"/>
  <c r="W67" i="9" s="1"/>
  <c r="Q67" i="9"/>
  <c r="V67" i="9" s="1"/>
  <c r="P67" i="9"/>
  <c r="Y66" i="9"/>
  <c r="R66" i="9"/>
  <c r="W66" i="9" s="1"/>
  <c r="Q66" i="9"/>
  <c r="V66" i="9" s="1"/>
  <c r="P66" i="9"/>
  <c r="U66" i="9" s="1"/>
  <c r="Y65" i="9"/>
  <c r="R65" i="9"/>
  <c r="W65" i="9" s="1"/>
  <c r="Q65" i="9"/>
  <c r="V65" i="9" s="1"/>
  <c r="P65" i="9"/>
  <c r="U65" i="9" s="1"/>
  <c r="Y118" i="9"/>
  <c r="R118" i="9"/>
  <c r="W118" i="9" s="1"/>
  <c r="Q118" i="9"/>
  <c r="P118" i="9"/>
  <c r="U118" i="9" s="1"/>
  <c r="Y64" i="9"/>
  <c r="R64" i="9"/>
  <c r="W64" i="9" s="1"/>
  <c r="Q64" i="9"/>
  <c r="V64" i="9" s="1"/>
  <c r="P64" i="9"/>
  <c r="Y63" i="9"/>
  <c r="R63" i="9"/>
  <c r="Q63" i="9"/>
  <c r="V63" i="9" s="1"/>
  <c r="P63" i="9"/>
  <c r="U63" i="9" s="1"/>
  <c r="Y62" i="9"/>
  <c r="R62" i="9"/>
  <c r="W62" i="9" s="1"/>
  <c r="Q62" i="9"/>
  <c r="V62" i="9" s="1"/>
  <c r="P62" i="9"/>
  <c r="Y61" i="9"/>
  <c r="R61" i="9"/>
  <c r="W61" i="9" s="1"/>
  <c r="Q61" i="9"/>
  <c r="V61" i="9" s="1"/>
  <c r="P61" i="9"/>
  <c r="U61" i="9" s="1"/>
  <c r="Y60" i="9"/>
  <c r="R60" i="9"/>
  <c r="W60" i="9" s="1"/>
  <c r="Q60" i="9"/>
  <c r="V60" i="9" s="1"/>
  <c r="P60" i="9"/>
  <c r="U60" i="9" s="1"/>
  <c r="Y59" i="9"/>
  <c r="R59" i="9"/>
  <c r="W59" i="9" s="1"/>
  <c r="Q59" i="9"/>
  <c r="P59" i="9"/>
  <c r="U59" i="9" s="1"/>
  <c r="Y58" i="9"/>
  <c r="R58" i="9"/>
  <c r="W58" i="9" s="1"/>
  <c r="Q58" i="9"/>
  <c r="V58" i="9" s="1"/>
  <c r="P58" i="9"/>
  <c r="Y57" i="9"/>
  <c r="R57" i="9"/>
  <c r="Q57" i="9"/>
  <c r="V57" i="9" s="1"/>
  <c r="P57" i="9"/>
  <c r="U57" i="9" s="1"/>
  <c r="Y56" i="9"/>
  <c r="R56" i="9"/>
  <c r="W56" i="9" s="1"/>
  <c r="Q56" i="9"/>
  <c r="V56" i="9" s="1"/>
  <c r="P56" i="9"/>
  <c r="Y55" i="9"/>
  <c r="R55" i="9"/>
  <c r="W55" i="9" s="1"/>
  <c r="Q55" i="9"/>
  <c r="V55" i="9" s="1"/>
  <c r="P55" i="9"/>
  <c r="U55" i="9" s="1"/>
  <c r="Y130" i="9"/>
  <c r="R130" i="9"/>
  <c r="W130" i="9" s="1"/>
  <c r="Q130" i="9"/>
  <c r="V130" i="9" s="1"/>
  <c r="P130" i="9"/>
  <c r="U130" i="9" s="1"/>
  <c r="Y129" i="9"/>
  <c r="R129" i="9"/>
  <c r="W129" i="9" s="1"/>
  <c r="Q129" i="9"/>
  <c r="P129" i="9"/>
  <c r="U129" i="9" s="1"/>
  <c r="Y54" i="9"/>
  <c r="R54" i="9"/>
  <c r="W54" i="9" s="1"/>
  <c r="Q54" i="9"/>
  <c r="V54" i="9" s="1"/>
  <c r="P54" i="9"/>
  <c r="Y53" i="9"/>
  <c r="R53" i="9"/>
  <c r="Q53" i="9"/>
  <c r="V53" i="9" s="1"/>
  <c r="P53" i="9"/>
  <c r="U53" i="9" s="1"/>
  <c r="Y52" i="9"/>
  <c r="R52" i="9"/>
  <c r="W52" i="9" s="1"/>
  <c r="Q52" i="9"/>
  <c r="V52" i="9" s="1"/>
  <c r="P52" i="9"/>
  <c r="Y51" i="9"/>
  <c r="R51" i="9"/>
  <c r="W51" i="9" s="1"/>
  <c r="Q51" i="9"/>
  <c r="V51" i="9" s="1"/>
  <c r="P51" i="9"/>
  <c r="U51" i="9" s="1"/>
  <c r="Y50" i="9"/>
  <c r="R50" i="9"/>
  <c r="W50" i="9" s="1"/>
  <c r="Q50" i="9"/>
  <c r="V50" i="9" s="1"/>
  <c r="P50" i="9"/>
  <c r="U50" i="9" s="1"/>
  <c r="Y49" i="9"/>
  <c r="R49" i="9"/>
  <c r="W49" i="9" s="1"/>
  <c r="Q49" i="9"/>
  <c r="P49" i="9"/>
  <c r="U49" i="9" s="1"/>
  <c r="Y127" i="9"/>
  <c r="R127" i="9"/>
  <c r="W127" i="9" s="1"/>
  <c r="Q127" i="9"/>
  <c r="V127" i="9" s="1"/>
  <c r="P127" i="9"/>
  <c r="Y48" i="9"/>
  <c r="R48" i="9"/>
  <c r="Q48" i="9"/>
  <c r="V48" i="9" s="1"/>
  <c r="P48" i="9"/>
  <c r="U48" i="9" s="1"/>
  <c r="Y47" i="9"/>
  <c r="R47" i="9"/>
  <c r="W47" i="9" s="1"/>
  <c r="Q47" i="9"/>
  <c r="V47" i="9" s="1"/>
  <c r="P47" i="9"/>
  <c r="Y46" i="9"/>
  <c r="R46" i="9"/>
  <c r="W46" i="9" s="1"/>
  <c r="Q46" i="9"/>
  <c r="V46" i="9" s="1"/>
  <c r="P46" i="9"/>
  <c r="U46" i="9" s="1"/>
  <c r="Y45" i="9"/>
  <c r="R45" i="9"/>
  <c r="W45" i="9" s="1"/>
  <c r="Q45" i="9"/>
  <c r="V45" i="9" s="1"/>
  <c r="P45" i="9"/>
  <c r="U45" i="9" s="1"/>
  <c r="Y44" i="9"/>
  <c r="R44" i="9"/>
  <c r="W44" i="9" s="1"/>
  <c r="Q44" i="9"/>
  <c r="V44" i="9" s="1"/>
  <c r="P44" i="9"/>
  <c r="Y43" i="9"/>
  <c r="R43" i="9"/>
  <c r="W43" i="9" s="1"/>
  <c r="Q43" i="9"/>
  <c r="V43" i="9" s="1"/>
  <c r="P43" i="9"/>
  <c r="Y42" i="9"/>
  <c r="R42" i="9"/>
  <c r="Q42" i="9"/>
  <c r="V42" i="9" s="1"/>
  <c r="P42" i="9"/>
  <c r="U42" i="9" s="1"/>
  <c r="Y126" i="9"/>
  <c r="R126" i="9"/>
  <c r="W126" i="9" s="1"/>
  <c r="Q126" i="9"/>
  <c r="V126" i="9" s="1"/>
  <c r="P126" i="9"/>
  <c r="Y41" i="9"/>
  <c r="R41" i="9"/>
  <c r="W41" i="9" s="1"/>
  <c r="Q41" i="9"/>
  <c r="V41" i="9" s="1"/>
  <c r="P41" i="9"/>
  <c r="U41" i="9" s="1"/>
  <c r="Y40" i="9"/>
  <c r="R40" i="9"/>
  <c r="W40" i="9" s="1"/>
  <c r="Q40" i="9"/>
  <c r="V40" i="9" s="1"/>
  <c r="P40" i="9"/>
  <c r="U40" i="9" s="1"/>
  <c r="Y39" i="9"/>
  <c r="R39" i="9"/>
  <c r="W39" i="9" s="1"/>
  <c r="Q39" i="9"/>
  <c r="V39" i="9" s="1"/>
  <c r="P39" i="9"/>
  <c r="Y38" i="9"/>
  <c r="R38" i="9"/>
  <c r="W38" i="9" s="1"/>
  <c r="Q38" i="9"/>
  <c r="V38" i="9" s="1"/>
  <c r="P38" i="9"/>
  <c r="Y37" i="9"/>
  <c r="R37" i="9"/>
  <c r="Q37" i="9"/>
  <c r="V37" i="9" s="1"/>
  <c r="P37" i="9"/>
  <c r="U37" i="9" s="1"/>
  <c r="Y117" i="9"/>
  <c r="R117" i="9"/>
  <c r="W117" i="9" s="1"/>
  <c r="Q117" i="9"/>
  <c r="V117" i="9" s="1"/>
  <c r="P117" i="9"/>
  <c r="Y36" i="9"/>
  <c r="R36" i="9"/>
  <c r="W36" i="9" s="1"/>
  <c r="Q36" i="9"/>
  <c r="V36" i="9" s="1"/>
  <c r="P36" i="9"/>
  <c r="U36" i="9" s="1"/>
  <c r="Y35" i="9"/>
  <c r="R35" i="9"/>
  <c r="W35" i="9" s="1"/>
  <c r="Q35" i="9"/>
  <c r="V35" i="9" s="1"/>
  <c r="P35" i="9"/>
  <c r="U35" i="9" s="1"/>
  <c r="Y34" i="9"/>
  <c r="R34" i="9"/>
  <c r="W34" i="9" s="1"/>
  <c r="Q34" i="9"/>
  <c r="V34" i="9" s="1"/>
  <c r="P34" i="9"/>
  <c r="Y33" i="9"/>
  <c r="R33" i="9"/>
  <c r="W33" i="9" s="1"/>
  <c r="Q33" i="9"/>
  <c r="V33" i="9" s="1"/>
  <c r="P33" i="9"/>
  <c r="Y32" i="9"/>
  <c r="R32" i="9"/>
  <c r="Q32" i="9"/>
  <c r="V32" i="9" s="1"/>
  <c r="P32" i="9"/>
  <c r="U32" i="9" s="1"/>
  <c r="Y31" i="9"/>
  <c r="R31" i="9"/>
  <c r="W31" i="9" s="1"/>
  <c r="Q31" i="9"/>
  <c r="V31" i="9" s="1"/>
  <c r="P31" i="9"/>
  <c r="Y30" i="9"/>
  <c r="R30" i="9"/>
  <c r="W30" i="9" s="1"/>
  <c r="Q30" i="9"/>
  <c r="V30" i="9" s="1"/>
  <c r="P30" i="9"/>
  <c r="U30" i="9" s="1"/>
  <c r="Y29" i="9"/>
  <c r="R29" i="9"/>
  <c r="W29" i="9" s="1"/>
  <c r="Q29" i="9"/>
  <c r="V29" i="9" s="1"/>
  <c r="P29" i="9"/>
  <c r="U29" i="9" s="1"/>
  <c r="Y28" i="9"/>
  <c r="R28" i="9"/>
  <c r="W28" i="9" s="1"/>
  <c r="Q28" i="9"/>
  <c r="V28" i="9" s="1"/>
  <c r="P28" i="9"/>
  <c r="U28" i="9" s="1"/>
  <c r="Y27" i="9"/>
  <c r="R27" i="9"/>
  <c r="W27" i="9" s="1"/>
  <c r="Q27" i="9"/>
  <c r="V27" i="9" s="1"/>
  <c r="P27" i="9"/>
  <c r="U27" i="9" s="1"/>
  <c r="Y26" i="9"/>
  <c r="R26" i="9"/>
  <c r="Q26" i="9"/>
  <c r="V26" i="9" s="1"/>
  <c r="P26" i="9"/>
  <c r="U26" i="9" s="1"/>
  <c r="Y25" i="9"/>
  <c r="R25" i="9"/>
  <c r="W25" i="9" s="1"/>
  <c r="Q25" i="9"/>
  <c r="V25" i="9" s="1"/>
  <c r="P25" i="9"/>
  <c r="Y24" i="9"/>
  <c r="R24" i="9"/>
  <c r="W24" i="9" s="1"/>
  <c r="Q24" i="9"/>
  <c r="V24" i="9" s="1"/>
  <c r="P24" i="9"/>
  <c r="U24" i="9" s="1"/>
  <c r="Y23" i="9"/>
  <c r="R23" i="9"/>
  <c r="W23" i="9" s="1"/>
  <c r="Q23" i="9"/>
  <c r="V23" i="9" s="1"/>
  <c r="P23" i="9"/>
  <c r="U23" i="9" s="1"/>
  <c r="Y22" i="9"/>
  <c r="R22" i="9"/>
  <c r="W22" i="9" s="1"/>
  <c r="Q22" i="9"/>
  <c r="P22" i="9"/>
  <c r="Y21" i="9"/>
  <c r="R21" i="9"/>
  <c r="W21" i="9" s="1"/>
  <c r="Q21" i="9"/>
  <c r="V21" i="9" s="1"/>
  <c r="P21" i="9"/>
  <c r="U21" i="9" s="1"/>
  <c r="Y20" i="9"/>
  <c r="R20" i="9"/>
  <c r="Q20" i="9"/>
  <c r="V20" i="9" s="1"/>
  <c r="P20" i="9"/>
  <c r="U20" i="9" s="1"/>
  <c r="Y19" i="9"/>
  <c r="R19" i="9"/>
  <c r="W19" i="9" s="1"/>
  <c r="Q19" i="9"/>
  <c r="V19" i="9" s="1"/>
  <c r="P19" i="9"/>
  <c r="Y18" i="9"/>
  <c r="R18" i="9"/>
  <c r="W18" i="9" s="1"/>
  <c r="Q18" i="9"/>
  <c r="V18" i="9" s="1"/>
  <c r="P18" i="9"/>
  <c r="U18" i="9" s="1"/>
  <c r="Y17" i="9"/>
  <c r="R17" i="9"/>
  <c r="W17" i="9" s="1"/>
  <c r="Q17" i="9"/>
  <c r="V17" i="9" s="1"/>
  <c r="P17" i="9"/>
  <c r="U17" i="9" s="1"/>
  <c r="Y16" i="9"/>
  <c r="R16" i="9"/>
  <c r="W16" i="9" s="1"/>
  <c r="Q16" i="9"/>
  <c r="V16" i="9" s="1"/>
  <c r="P16" i="9"/>
  <c r="U16" i="9" s="1"/>
  <c r="Y15" i="9"/>
  <c r="R15" i="9"/>
  <c r="W15" i="9" s="1"/>
  <c r="Q15" i="9"/>
  <c r="V15" i="9" s="1"/>
  <c r="P15" i="9"/>
  <c r="Y14" i="9"/>
  <c r="R14" i="9"/>
  <c r="Q14" i="9"/>
  <c r="V14" i="9" s="1"/>
  <c r="P14" i="9"/>
  <c r="U14" i="9" s="1"/>
  <c r="Y13" i="9"/>
  <c r="R13" i="9"/>
  <c r="W13" i="9" s="1"/>
  <c r="Q13" i="9"/>
  <c r="V13" i="9" s="1"/>
  <c r="P13" i="9"/>
  <c r="Y124" i="9"/>
  <c r="R124" i="9"/>
  <c r="W124" i="9" s="1"/>
  <c r="Q124" i="9"/>
  <c r="V124" i="9" s="1"/>
  <c r="P124" i="9"/>
  <c r="U124" i="9" s="1"/>
  <c r="Y12" i="9"/>
  <c r="R12" i="9"/>
  <c r="W12" i="9" s="1"/>
  <c r="Q12" i="9"/>
  <c r="V12" i="9" s="1"/>
  <c r="P12" i="9"/>
  <c r="Y11" i="9"/>
  <c r="R11" i="9"/>
  <c r="W11" i="9" s="1"/>
  <c r="Q11" i="9"/>
  <c r="P11" i="9"/>
  <c r="U11" i="9" s="1"/>
  <c r="Y10" i="9"/>
  <c r="R10" i="9"/>
  <c r="W10" i="9" s="1"/>
  <c r="Q10" i="9"/>
  <c r="V10" i="9" s="1"/>
  <c r="P10" i="9"/>
  <c r="Y123" i="9"/>
  <c r="R123" i="9"/>
  <c r="Q123" i="9"/>
  <c r="V123" i="9" s="1"/>
  <c r="P123" i="9"/>
  <c r="U123" i="9" s="1"/>
  <c r="Y9" i="9"/>
  <c r="R9" i="9"/>
  <c r="W9" i="9" s="1"/>
  <c r="Q9" i="9"/>
  <c r="V9" i="9" s="1"/>
  <c r="P9" i="9"/>
  <c r="Y8" i="9"/>
  <c r="R8" i="9"/>
  <c r="W8" i="9" s="1"/>
  <c r="Q8" i="9"/>
  <c r="V8" i="9" s="1"/>
  <c r="P8" i="9"/>
  <c r="U8" i="9" s="1"/>
  <c r="Y7" i="9"/>
  <c r="R7" i="9"/>
  <c r="W7" i="9" s="1"/>
  <c r="Q7" i="9"/>
  <c r="V7" i="9" s="1"/>
  <c r="P7" i="9"/>
  <c r="U7" i="9" s="1"/>
  <c r="Y6" i="9"/>
  <c r="R6" i="9"/>
  <c r="W6" i="9" s="1"/>
  <c r="Q6" i="9"/>
  <c r="P6" i="9"/>
  <c r="U6" i="9" s="1"/>
  <c r="Y122" i="9"/>
  <c r="R122" i="9"/>
  <c r="W122" i="9" s="1"/>
  <c r="Q122" i="9"/>
  <c r="V122" i="9" s="1"/>
  <c r="P122" i="9"/>
  <c r="U122" i="9" s="1"/>
  <c r="Y5" i="9"/>
  <c r="R5" i="9"/>
  <c r="Q5" i="9"/>
  <c r="V5" i="9" s="1"/>
  <c r="P5" i="9"/>
  <c r="U5" i="9" s="1"/>
  <c r="Y4" i="9"/>
  <c r="R4" i="9"/>
  <c r="W4" i="9" s="1"/>
  <c r="Q4" i="9"/>
  <c r="V4" i="9" s="1"/>
  <c r="P4" i="9"/>
  <c r="Y3" i="9"/>
  <c r="R3" i="9"/>
  <c r="W3" i="9" s="1"/>
  <c r="Q3" i="9"/>
  <c r="V3" i="9" s="1"/>
  <c r="P3" i="9"/>
  <c r="U3" i="9" s="1"/>
  <c r="Y2" i="9"/>
  <c r="R2" i="9"/>
  <c r="W2" i="9" s="1"/>
  <c r="Q2" i="9"/>
  <c r="P2" i="9"/>
  <c r="U2" i="9" s="1"/>
  <c r="O30" i="8"/>
  <c r="N10" i="8"/>
  <c r="L121" i="8"/>
  <c r="P121" i="8" s="1"/>
  <c r="L120" i="8"/>
  <c r="AB120" i="8" s="1"/>
  <c r="L119" i="8"/>
  <c r="AB119" i="8" s="1"/>
  <c r="L118" i="8"/>
  <c r="AB118" i="8" s="1"/>
  <c r="L117" i="8"/>
  <c r="P117" i="8" s="1"/>
  <c r="L116" i="8"/>
  <c r="AB116" i="8" s="1"/>
  <c r="L115" i="8"/>
  <c r="AB115" i="8" s="1"/>
  <c r="L114" i="8"/>
  <c r="AB114" i="8" s="1"/>
  <c r="L113" i="8"/>
  <c r="P113" i="8" s="1"/>
  <c r="L112" i="8"/>
  <c r="P112" i="8" s="1"/>
  <c r="L111" i="8"/>
  <c r="P111" i="8" s="1"/>
  <c r="L110" i="8"/>
  <c r="N110" i="8" s="1"/>
  <c r="L109" i="8"/>
  <c r="P109" i="8" s="1"/>
  <c r="L108" i="8"/>
  <c r="AB108" i="8" s="1"/>
  <c r="L107" i="8"/>
  <c r="AB107" i="8" s="1"/>
  <c r="L106" i="8"/>
  <c r="AB106" i="8" s="1"/>
  <c r="L105" i="8"/>
  <c r="P105" i="8" s="1"/>
  <c r="L104" i="8"/>
  <c r="AB104" i="8" s="1"/>
  <c r="L103" i="8"/>
  <c r="AB103" i="8" s="1"/>
  <c r="L102" i="8"/>
  <c r="AB102" i="8" s="1"/>
  <c r="L101" i="8"/>
  <c r="P101" i="8" s="1"/>
  <c r="L100" i="8"/>
  <c r="P100" i="8" s="1"/>
  <c r="L99" i="8"/>
  <c r="P99" i="8" s="1"/>
  <c r="L98" i="8"/>
  <c r="N98" i="8" s="1"/>
  <c r="L97" i="8"/>
  <c r="P97" i="8" s="1"/>
  <c r="L96" i="8"/>
  <c r="AB96" i="8" s="1"/>
  <c r="L95" i="8"/>
  <c r="AB95" i="8" s="1"/>
  <c r="L94" i="8"/>
  <c r="AB94" i="8" s="1"/>
  <c r="L93" i="8"/>
  <c r="P93" i="8" s="1"/>
  <c r="L92" i="8"/>
  <c r="AB92" i="8" s="1"/>
  <c r="L91" i="8"/>
  <c r="AB91" i="8" s="1"/>
  <c r="L90" i="8"/>
  <c r="AB90" i="8" s="1"/>
  <c r="L89" i="8"/>
  <c r="P89" i="8" s="1"/>
  <c r="L88" i="8"/>
  <c r="P88" i="8" s="1"/>
  <c r="L87" i="8"/>
  <c r="P87" i="8" s="1"/>
  <c r="L86" i="8"/>
  <c r="O86" i="8" s="1"/>
  <c r="L85" i="8"/>
  <c r="P85" i="8" s="1"/>
  <c r="L84" i="8"/>
  <c r="AB84" i="8" s="1"/>
  <c r="L83" i="8"/>
  <c r="AB83" i="8" s="1"/>
  <c r="L82" i="8"/>
  <c r="AB82" i="8" s="1"/>
  <c r="L81" i="8"/>
  <c r="P81" i="8" s="1"/>
  <c r="L80" i="8"/>
  <c r="AB80" i="8" s="1"/>
  <c r="L79" i="8"/>
  <c r="AB79" i="8" s="1"/>
  <c r="L78" i="8"/>
  <c r="AB78" i="8" s="1"/>
  <c r="L77" i="8"/>
  <c r="P77" i="8" s="1"/>
  <c r="L76" i="8"/>
  <c r="P76" i="8" s="1"/>
  <c r="L75" i="8"/>
  <c r="P75" i="8" s="1"/>
  <c r="L74" i="8"/>
  <c r="N74" i="8" s="1"/>
  <c r="L73" i="8"/>
  <c r="P73" i="8" s="1"/>
  <c r="L72" i="8"/>
  <c r="AB72" i="8" s="1"/>
  <c r="L71" i="8"/>
  <c r="AB71" i="8" s="1"/>
  <c r="L70" i="8"/>
  <c r="AB70" i="8" s="1"/>
  <c r="L69" i="8"/>
  <c r="P69" i="8" s="1"/>
  <c r="L68" i="8"/>
  <c r="AB68" i="8" s="1"/>
  <c r="L67" i="8"/>
  <c r="AB67" i="8" s="1"/>
  <c r="L66" i="8"/>
  <c r="AB66" i="8" s="1"/>
  <c r="L65" i="8"/>
  <c r="P65" i="8" s="1"/>
  <c r="L64" i="8"/>
  <c r="P64" i="8" s="1"/>
  <c r="L63" i="8"/>
  <c r="P63" i="8" s="1"/>
  <c r="L62" i="8"/>
  <c r="N62" i="8" s="1"/>
  <c r="L61" i="8"/>
  <c r="P61" i="8" s="1"/>
  <c r="L60" i="8"/>
  <c r="AB60" i="8" s="1"/>
  <c r="L59" i="8"/>
  <c r="AB59" i="8" s="1"/>
  <c r="L58" i="8"/>
  <c r="AB58" i="8" s="1"/>
  <c r="L57" i="8"/>
  <c r="P57" i="8" s="1"/>
  <c r="L56" i="8"/>
  <c r="AB56" i="8" s="1"/>
  <c r="L55" i="8"/>
  <c r="AB55" i="8" s="1"/>
  <c r="L54" i="8"/>
  <c r="AB54" i="8" s="1"/>
  <c r="L53" i="8"/>
  <c r="P53" i="8" s="1"/>
  <c r="L52" i="8"/>
  <c r="P52" i="8" s="1"/>
  <c r="L51" i="8"/>
  <c r="P51" i="8" s="1"/>
  <c r="L50" i="8"/>
  <c r="N50" i="8" s="1"/>
  <c r="L49" i="8"/>
  <c r="P49" i="8" s="1"/>
  <c r="L48" i="8"/>
  <c r="AB48" i="8" s="1"/>
  <c r="L47" i="8"/>
  <c r="AB47" i="8" s="1"/>
  <c r="L46" i="8"/>
  <c r="AB46" i="8" s="1"/>
  <c r="L45" i="8"/>
  <c r="P45" i="8" s="1"/>
  <c r="L44" i="8"/>
  <c r="AB44" i="8" s="1"/>
  <c r="L43" i="8"/>
  <c r="AB43" i="8" s="1"/>
  <c r="L42" i="8"/>
  <c r="AB42" i="8" s="1"/>
  <c r="L41" i="8"/>
  <c r="P41" i="8" s="1"/>
  <c r="L40" i="8"/>
  <c r="P40" i="8" s="1"/>
  <c r="L39" i="8"/>
  <c r="P39" i="8" s="1"/>
  <c r="L38" i="8"/>
  <c r="N38" i="8" s="1"/>
  <c r="L37" i="8"/>
  <c r="P37" i="8" s="1"/>
  <c r="L36" i="8"/>
  <c r="AB36" i="8" s="1"/>
  <c r="L35" i="8"/>
  <c r="AB35" i="8" s="1"/>
  <c r="L34" i="8"/>
  <c r="AB34" i="8" s="1"/>
  <c r="L33" i="8"/>
  <c r="P33" i="8" s="1"/>
  <c r="L32" i="8"/>
  <c r="AB32" i="8" s="1"/>
  <c r="L31" i="8"/>
  <c r="AB31" i="8" s="1"/>
  <c r="L30" i="8"/>
  <c r="AB30" i="8" s="1"/>
  <c r="L29" i="8"/>
  <c r="P29" i="8" s="1"/>
  <c r="L28" i="8"/>
  <c r="P28" i="8" s="1"/>
  <c r="L27" i="8"/>
  <c r="P27" i="8" s="1"/>
  <c r="L26" i="8"/>
  <c r="O26" i="8" s="1"/>
  <c r="L25" i="8"/>
  <c r="P25" i="8" s="1"/>
  <c r="L24" i="8"/>
  <c r="AB24" i="8" s="1"/>
  <c r="L23" i="8"/>
  <c r="AB23" i="8" s="1"/>
  <c r="L22" i="8"/>
  <c r="AB22" i="8" s="1"/>
  <c r="L21" i="8"/>
  <c r="P21" i="8" s="1"/>
  <c r="L20" i="8"/>
  <c r="AB20" i="8" s="1"/>
  <c r="L19" i="8"/>
  <c r="AB19" i="8" s="1"/>
  <c r="L18" i="8"/>
  <c r="AB18" i="8" s="1"/>
  <c r="L17" i="8"/>
  <c r="P17" i="8" s="1"/>
  <c r="L16" i="8"/>
  <c r="P16" i="8" s="1"/>
  <c r="L15" i="8"/>
  <c r="P15" i="8" s="1"/>
  <c r="L14" i="8"/>
  <c r="N14" i="8" s="1"/>
  <c r="L13" i="8"/>
  <c r="P13" i="8" s="1"/>
  <c r="L12" i="8"/>
  <c r="AB12" i="8" s="1"/>
  <c r="L11" i="8"/>
  <c r="AB11" i="8" s="1"/>
  <c r="L10" i="8"/>
  <c r="AB10" i="8" s="1"/>
  <c r="L9" i="8"/>
  <c r="P9" i="8" s="1"/>
  <c r="L8" i="8"/>
  <c r="AB8" i="8" s="1"/>
  <c r="L7" i="8"/>
  <c r="AB7" i="8" s="1"/>
  <c r="L6" i="8"/>
  <c r="AB6" i="8" s="1"/>
  <c r="L5" i="8"/>
  <c r="P5" i="8" s="1"/>
  <c r="L4" i="8"/>
  <c r="O4" i="8" s="1"/>
  <c r="L3" i="8"/>
  <c r="L2" i="8"/>
  <c r="O2" i="8" s="1"/>
  <c r="O70" i="8" l="1"/>
  <c r="O92" i="8"/>
  <c r="N114" i="8"/>
  <c r="O52" i="8"/>
  <c r="O8" i="8"/>
  <c r="N30" i="8"/>
  <c r="O48" i="8"/>
  <c r="N70" i="8"/>
  <c r="O90" i="8"/>
  <c r="O112" i="8"/>
  <c r="O10" i="8"/>
  <c r="O32" i="8"/>
  <c r="N54" i="8"/>
  <c r="O72" i="8"/>
  <c r="N94" i="8"/>
  <c r="O114" i="8"/>
  <c r="O12" i="8"/>
  <c r="N34" i="8"/>
  <c r="O54" i="8"/>
  <c r="O76" i="8"/>
  <c r="O94" i="8"/>
  <c r="O116" i="8"/>
  <c r="O16" i="8"/>
  <c r="O34" i="8"/>
  <c r="O56" i="8"/>
  <c r="N78" i="8"/>
  <c r="O96" i="8"/>
  <c r="N118" i="8"/>
  <c r="N18" i="8"/>
  <c r="O36" i="8"/>
  <c r="N58" i="8"/>
  <c r="O78" i="8"/>
  <c r="O100" i="8"/>
  <c r="O118" i="8"/>
  <c r="O18" i="8"/>
  <c r="O40" i="8"/>
  <c r="O58" i="8"/>
  <c r="O80" i="8"/>
  <c r="N102" i="8"/>
  <c r="O120" i="8"/>
  <c r="O20" i="8"/>
  <c r="N42" i="8"/>
  <c r="O60" i="8"/>
  <c r="N82" i="8"/>
  <c r="O102" i="8"/>
  <c r="N22" i="8"/>
  <c r="O42" i="8"/>
  <c r="O64" i="8"/>
  <c r="O82" i="8"/>
  <c r="O104" i="8"/>
  <c r="O22" i="8"/>
  <c r="O44" i="8"/>
  <c r="N66" i="8"/>
  <c r="O84" i="8"/>
  <c r="N106" i="8"/>
  <c r="N6" i="8"/>
  <c r="O24" i="8"/>
  <c r="N46" i="8"/>
  <c r="O66" i="8"/>
  <c r="O88" i="8"/>
  <c r="O106" i="8"/>
  <c r="L123" i="8"/>
  <c r="O123" i="8" s="1"/>
  <c r="O6" i="8"/>
  <c r="O28" i="8"/>
  <c r="O46" i="8"/>
  <c r="O68" i="8"/>
  <c r="N90" i="8"/>
  <c r="O108" i="8"/>
  <c r="N2" i="8"/>
  <c r="N26" i="8"/>
  <c r="N86" i="8"/>
  <c r="O98" i="8"/>
  <c r="O110" i="8"/>
  <c r="P2" i="8"/>
  <c r="P6" i="8"/>
  <c r="P10" i="8"/>
  <c r="P14" i="8"/>
  <c r="P18" i="8"/>
  <c r="P22" i="8"/>
  <c r="P26" i="8"/>
  <c r="P30" i="8"/>
  <c r="P34" i="8"/>
  <c r="P38" i="8"/>
  <c r="P42" i="8"/>
  <c r="P46" i="8"/>
  <c r="P50" i="8"/>
  <c r="P54" i="8"/>
  <c r="P58" i="8"/>
  <c r="P62" i="8"/>
  <c r="P66" i="8"/>
  <c r="P70" i="8"/>
  <c r="P74" i="8"/>
  <c r="P78" i="8"/>
  <c r="P82" i="8"/>
  <c r="P86" i="8"/>
  <c r="P90" i="8"/>
  <c r="P94" i="8"/>
  <c r="P98" i="8"/>
  <c r="P102" i="8"/>
  <c r="P106" i="8"/>
  <c r="P110" i="8"/>
  <c r="P114" i="8"/>
  <c r="P118" i="8"/>
  <c r="AB13" i="8"/>
  <c r="AB25" i="8"/>
  <c r="AB37" i="8"/>
  <c r="AB49" i="8"/>
  <c r="AB61" i="8"/>
  <c r="AB73" i="8"/>
  <c r="AB85" i="8"/>
  <c r="AB97" i="8"/>
  <c r="AB109" i="8"/>
  <c r="AB121" i="8"/>
  <c r="O50" i="8"/>
  <c r="N3" i="8"/>
  <c r="N7" i="8"/>
  <c r="N11" i="8"/>
  <c r="N15" i="8"/>
  <c r="N19" i="8"/>
  <c r="N23" i="8"/>
  <c r="N27" i="8"/>
  <c r="N31" i="8"/>
  <c r="N35" i="8"/>
  <c r="N39" i="8"/>
  <c r="N43" i="8"/>
  <c r="N47" i="8"/>
  <c r="N51" i="8"/>
  <c r="N55" i="8"/>
  <c r="N59" i="8"/>
  <c r="N63" i="8"/>
  <c r="N67" i="8"/>
  <c r="N71" i="8"/>
  <c r="N75" i="8"/>
  <c r="N79" i="8"/>
  <c r="N83" i="8"/>
  <c r="N87" i="8"/>
  <c r="N91" i="8"/>
  <c r="N95" i="8"/>
  <c r="N99" i="8"/>
  <c r="N103" i="8"/>
  <c r="N107" i="8"/>
  <c r="N111" i="8"/>
  <c r="N115" i="8"/>
  <c r="N119" i="8"/>
  <c r="AB2" i="8"/>
  <c r="AB14" i="8"/>
  <c r="AB26" i="8"/>
  <c r="AB38" i="8"/>
  <c r="AB50" i="8"/>
  <c r="AB62" i="8"/>
  <c r="AB74" i="8"/>
  <c r="AB86" i="8"/>
  <c r="AB98" i="8"/>
  <c r="AB110" i="8"/>
  <c r="O3" i="8"/>
  <c r="O7" i="8"/>
  <c r="O11" i="8"/>
  <c r="O15" i="8"/>
  <c r="O19" i="8"/>
  <c r="O23" i="8"/>
  <c r="O27" i="8"/>
  <c r="O31" i="8"/>
  <c r="O35" i="8"/>
  <c r="O39" i="8"/>
  <c r="O43" i="8"/>
  <c r="O47" i="8"/>
  <c r="O51" i="8"/>
  <c r="O55" i="8"/>
  <c r="O59" i="8"/>
  <c r="O63" i="8"/>
  <c r="O67" i="8"/>
  <c r="O71" i="8"/>
  <c r="O75" i="8"/>
  <c r="O79" i="8"/>
  <c r="O83" i="8"/>
  <c r="O87" i="8"/>
  <c r="O91" i="8"/>
  <c r="O95" i="8"/>
  <c r="O99" i="8"/>
  <c r="O103" i="8"/>
  <c r="O107" i="8"/>
  <c r="O111" i="8"/>
  <c r="O115" i="8"/>
  <c r="O119" i="8"/>
  <c r="AB3" i="8"/>
  <c r="AB15" i="8"/>
  <c r="AB27" i="8"/>
  <c r="AB39" i="8"/>
  <c r="AB51" i="8"/>
  <c r="AB63" i="8"/>
  <c r="AB75" i="8"/>
  <c r="AB87" i="8"/>
  <c r="AB99" i="8"/>
  <c r="AB111" i="8"/>
  <c r="O62" i="8"/>
  <c r="O74" i="8"/>
  <c r="P3" i="8"/>
  <c r="P7" i="8"/>
  <c r="P11" i="8"/>
  <c r="P19" i="8"/>
  <c r="P23" i="8"/>
  <c r="P31" i="8"/>
  <c r="P35" i="8"/>
  <c r="P43" i="8"/>
  <c r="P47" i="8"/>
  <c r="P55" i="8"/>
  <c r="P59" i="8"/>
  <c r="P67" i="8"/>
  <c r="P71" i="8"/>
  <c r="P79" i="8"/>
  <c r="P83" i="8"/>
  <c r="P91" i="8"/>
  <c r="P95" i="8"/>
  <c r="P103" i="8"/>
  <c r="P107" i="8"/>
  <c r="P115" i="8"/>
  <c r="P119" i="8"/>
  <c r="AB4" i="8"/>
  <c r="AB16" i="8"/>
  <c r="AB28" i="8"/>
  <c r="AB40" i="8"/>
  <c r="AB52" i="8"/>
  <c r="AB64" i="8"/>
  <c r="AB76" i="8"/>
  <c r="AB88" i="8"/>
  <c r="AB100" i="8"/>
  <c r="AB112" i="8"/>
  <c r="O14" i="8"/>
  <c r="O38" i="8"/>
  <c r="N4" i="8"/>
  <c r="N8" i="8"/>
  <c r="N12" i="8"/>
  <c r="N16" i="8"/>
  <c r="N20" i="8"/>
  <c r="N24" i="8"/>
  <c r="N28" i="8"/>
  <c r="N32" i="8"/>
  <c r="N36" i="8"/>
  <c r="N40" i="8"/>
  <c r="N44" i="8"/>
  <c r="N48" i="8"/>
  <c r="N52" i="8"/>
  <c r="N56" i="8"/>
  <c r="N60" i="8"/>
  <c r="N64" i="8"/>
  <c r="N68" i="8"/>
  <c r="N72" i="8"/>
  <c r="N76" i="8"/>
  <c r="N80" i="8"/>
  <c r="N84" i="8"/>
  <c r="N88" i="8"/>
  <c r="N92" i="8"/>
  <c r="N96" i="8"/>
  <c r="N100" i="8"/>
  <c r="N104" i="8"/>
  <c r="N108" i="8"/>
  <c r="N112" i="8"/>
  <c r="N116" i="8"/>
  <c r="N120" i="8"/>
  <c r="AB5" i="8"/>
  <c r="AB17" i="8"/>
  <c r="AB29" i="8"/>
  <c r="AB41" i="8"/>
  <c r="AB53" i="8"/>
  <c r="AB65" i="8"/>
  <c r="AB77" i="8"/>
  <c r="AB89" i="8"/>
  <c r="AB101" i="8"/>
  <c r="AB113" i="8"/>
  <c r="P4" i="8"/>
  <c r="P8" i="8"/>
  <c r="P12" i="8"/>
  <c r="P20" i="8"/>
  <c r="P24" i="8"/>
  <c r="P32" i="8"/>
  <c r="P36" i="8"/>
  <c r="P44" i="8"/>
  <c r="P48" i="8"/>
  <c r="P56" i="8"/>
  <c r="P60" i="8"/>
  <c r="P68" i="8"/>
  <c r="P72" i="8"/>
  <c r="P80" i="8"/>
  <c r="P84" i="8"/>
  <c r="P92" i="8"/>
  <c r="P96" i="8"/>
  <c r="P104" i="8"/>
  <c r="P108" i="8"/>
  <c r="P116" i="8"/>
  <c r="P120" i="8"/>
  <c r="N5" i="8"/>
  <c r="N9" i="8"/>
  <c r="N13" i="8"/>
  <c r="N17" i="8"/>
  <c r="N21" i="8"/>
  <c r="N25" i="8"/>
  <c r="N29" i="8"/>
  <c r="N33" i="8"/>
  <c r="N37" i="8"/>
  <c r="N41" i="8"/>
  <c r="N45" i="8"/>
  <c r="N49" i="8"/>
  <c r="N53" i="8"/>
  <c r="N57" i="8"/>
  <c r="N61" i="8"/>
  <c r="N65" i="8"/>
  <c r="N69" i="8"/>
  <c r="N73" i="8"/>
  <c r="N77" i="8"/>
  <c r="N81" i="8"/>
  <c r="N85" i="8"/>
  <c r="N89" i="8"/>
  <c r="N93" i="8"/>
  <c r="N97" i="8"/>
  <c r="N101" i="8"/>
  <c r="N105" i="8"/>
  <c r="N109" i="8"/>
  <c r="N113" i="8"/>
  <c r="N117" i="8"/>
  <c r="N121" i="8"/>
  <c r="O5" i="8"/>
  <c r="O9" i="8"/>
  <c r="O13" i="8"/>
  <c r="O17" i="8"/>
  <c r="O21" i="8"/>
  <c r="O25" i="8"/>
  <c r="O29" i="8"/>
  <c r="O33" i="8"/>
  <c r="O37" i="8"/>
  <c r="O41" i="8"/>
  <c r="O45" i="8"/>
  <c r="O49" i="8"/>
  <c r="O53" i="8"/>
  <c r="O57" i="8"/>
  <c r="O61" i="8"/>
  <c r="O65" i="8"/>
  <c r="O69" i="8"/>
  <c r="O73" i="8"/>
  <c r="O77" i="8"/>
  <c r="O81" i="8"/>
  <c r="O85" i="8"/>
  <c r="O89" i="8"/>
  <c r="O93" i="8"/>
  <c r="O97" i="8"/>
  <c r="O101" i="8"/>
  <c r="O105" i="8"/>
  <c r="O109" i="8"/>
  <c r="O113" i="8"/>
  <c r="O117" i="8"/>
  <c r="O121" i="8"/>
  <c r="AB9" i="8"/>
  <c r="AB21" i="8"/>
  <c r="AB33" i="8"/>
  <c r="AB45" i="8"/>
  <c r="AB57" i="8"/>
  <c r="AB69" i="8"/>
  <c r="AB81" i="8"/>
  <c r="AB93" i="8"/>
  <c r="AB105" i="8"/>
  <c r="AB117" i="8"/>
  <c r="V135" i="9"/>
  <c r="W135" i="9"/>
  <c r="S136" i="9"/>
  <c r="X136" i="9" s="1"/>
  <c r="S135" i="9"/>
  <c r="X135" i="9" s="1"/>
  <c r="V125" i="9"/>
  <c r="W125" i="9"/>
  <c r="U125" i="9"/>
  <c r="S128" i="9"/>
  <c r="X128" i="9" s="1"/>
  <c r="V120" i="9"/>
  <c r="W120" i="9"/>
  <c r="U120" i="9"/>
  <c r="S125" i="9"/>
  <c r="X125" i="9" s="1"/>
  <c r="S38" i="9"/>
  <c r="X38" i="9" s="1"/>
  <c r="S43" i="9"/>
  <c r="X43" i="9" s="1"/>
  <c r="S137" i="9"/>
  <c r="T137" i="9" s="1"/>
  <c r="S120" i="9"/>
  <c r="X120" i="9" s="1"/>
  <c r="S64" i="9"/>
  <c r="X64" i="9" s="1"/>
  <c r="S2" i="9"/>
  <c r="T2" i="9" s="1"/>
  <c r="S49" i="9"/>
  <c r="X49" i="9" s="1"/>
  <c r="S15" i="9"/>
  <c r="X15" i="9" s="1"/>
  <c r="S12" i="9"/>
  <c r="X12" i="9" s="1"/>
  <c r="S78" i="9"/>
  <c r="X78" i="9" s="1"/>
  <c r="S16" i="9"/>
  <c r="X16" i="9" s="1"/>
  <c r="S33" i="9"/>
  <c r="X33" i="9" s="1"/>
  <c r="S77" i="9"/>
  <c r="X77" i="9" s="1"/>
  <c r="S105" i="9"/>
  <c r="X105" i="9" s="1"/>
  <c r="S127" i="9"/>
  <c r="X127" i="9" s="1"/>
  <c r="S72" i="9"/>
  <c r="X72" i="9" s="1"/>
  <c r="U38" i="9"/>
  <c r="S54" i="9"/>
  <c r="X54" i="9" s="1"/>
  <c r="S58" i="9"/>
  <c r="X58" i="9" s="1"/>
  <c r="S101" i="9"/>
  <c r="T101" i="9" s="1"/>
  <c r="S96" i="9"/>
  <c r="X96" i="9" s="1"/>
  <c r="S99" i="9"/>
  <c r="X99" i="9" s="1"/>
  <c r="S59" i="9"/>
  <c r="X59" i="9" s="1"/>
  <c r="S102" i="9"/>
  <c r="X102" i="9" s="1"/>
  <c r="S27" i="9"/>
  <c r="X27" i="9" s="1"/>
  <c r="S22" i="9"/>
  <c r="X22" i="9" s="1"/>
  <c r="S81" i="9"/>
  <c r="X81" i="9" s="1"/>
  <c r="S84" i="9"/>
  <c r="X84" i="9" s="1"/>
  <c r="S6" i="9"/>
  <c r="X6" i="9" s="1"/>
  <c r="V6" i="9"/>
  <c r="U33" i="9"/>
  <c r="S90" i="9"/>
  <c r="X90" i="9" s="1"/>
  <c r="V78" i="9"/>
  <c r="S69" i="9"/>
  <c r="X69" i="9" s="1"/>
  <c r="U72" i="9"/>
  <c r="S118" i="9"/>
  <c r="X118" i="9" s="1"/>
  <c r="S83" i="9"/>
  <c r="X83" i="9" s="1"/>
  <c r="S11" i="9"/>
  <c r="X11" i="9" s="1"/>
  <c r="S129" i="9"/>
  <c r="X129" i="9" s="1"/>
  <c r="S134" i="9"/>
  <c r="X134" i="9" s="1"/>
  <c r="S75" i="9"/>
  <c r="X75" i="9" s="1"/>
  <c r="S111" i="9"/>
  <c r="X111" i="9" s="1"/>
  <c r="V11" i="9"/>
  <c r="V59" i="9"/>
  <c r="V102" i="9"/>
  <c r="S39" i="9"/>
  <c r="X39" i="9" s="1"/>
  <c r="S44" i="9"/>
  <c r="X44" i="9" s="1"/>
  <c r="V129" i="9"/>
  <c r="U77" i="9"/>
  <c r="U111" i="9"/>
  <c r="S10" i="9"/>
  <c r="X10" i="9" s="1"/>
  <c r="U15" i="9"/>
  <c r="S28" i="9"/>
  <c r="X28" i="9" s="1"/>
  <c r="S34" i="9"/>
  <c r="X34" i="9" s="1"/>
  <c r="U39" i="9"/>
  <c r="U44" i="9"/>
  <c r="V49" i="9"/>
  <c r="U134" i="9"/>
  <c r="V96" i="9"/>
  <c r="U34" i="9"/>
  <c r="U69" i="9"/>
  <c r="U137" i="9"/>
  <c r="U22" i="9"/>
  <c r="U64" i="9"/>
  <c r="V90" i="9"/>
  <c r="S95" i="9"/>
  <c r="X95" i="9" s="1"/>
  <c r="V22" i="9"/>
  <c r="U58" i="9"/>
  <c r="S93" i="9"/>
  <c r="X93" i="9" s="1"/>
  <c r="S112" i="9"/>
  <c r="X112" i="9" s="1"/>
  <c r="V118" i="9"/>
  <c r="S122" i="9"/>
  <c r="X122" i="9" s="1"/>
  <c r="U10" i="9"/>
  <c r="U54" i="9"/>
  <c r="V84" i="9"/>
  <c r="S89" i="9"/>
  <c r="T89" i="9" s="1"/>
  <c r="V2" i="9"/>
  <c r="S21" i="9"/>
  <c r="X21" i="9" s="1"/>
  <c r="U43" i="9"/>
  <c r="U127" i="9"/>
  <c r="S131" i="9"/>
  <c r="X131" i="9" s="1"/>
  <c r="U78" i="9"/>
  <c r="S87" i="9"/>
  <c r="X87" i="9" s="1"/>
  <c r="U95" i="9"/>
  <c r="S106" i="9"/>
  <c r="X106" i="9" s="1"/>
  <c r="V112" i="9"/>
  <c r="S13" i="9"/>
  <c r="X13" i="9" s="1"/>
  <c r="U13" i="9"/>
  <c r="S117" i="9"/>
  <c r="X117" i="9" s="1"/>
  <c r="U117" i="9"/>
  <c r="S31" i="9"/>
  <c r="X31" i="9" s="1"/>
  <c r="U31" i="9"/>
  <c r="S126" i="9"/>
  <c r="X126" i="9" s="1"/>
  <c r="U126" i="9"/>
  <c r="W5" i="9"/>
  <c r="S5" i="9"/>
  <c r="X5" i="9" s="1"/>
  <c r="S9" i="9"/>
  <c r="X9" i="9" s="1"/>
  <c r="U9" i="9"/>
  <c r="S47" i="9"/>
  <c r="X47" i="9" s="1"/>
  <c r="U47" i="9"/>
  <c r="S52" i="9"/>
  <c r="X52" i="9" s="1"/>
  <c r="U52" i="9"/>
  <c r="S56" i="9"/>
  <c r="X56" i="9" s="1"/>
  <c r="U56" i="9"/>
  <c r="S62" i="9"/>
  <c r="X62" i="9" s="1"/>
  <c r="U62" i="9"/>
  <c r="S67" i="9"/>
  <c r="X67" i="9" s="1"/>
  <c r="U67" i="9"/>
  <c r="S71" i="9"/>
  <c r="X71" i="9" s="1"/>
  <c r="U71" i="9"/>
  <c r="S4" i="9"/>
  <c r="X4" i="9" s="1"/>
  <c r="U4" i="9"/>
  <c r="S26" i="9"/>
  <c r="X26" i="9" s="1"/>
  <c r="W26" i="9"/>
  <c r="S32" i="9"/>
  <c r="X32" i="9" s="1"/>
  <c r="W32" i="9"/>
  <c r="S14" i="9"/>
  <c r="X14" i="9" s="1"/>
  <c r="W14" i="9"/>
  <c r="W37" i="9"/>
  <c r="S37" i="9"/>
  <c r="X37" i="9" s="1"/>
  <c r="W42" i="9"/>
  <c r="S42" i="9"/>
  <c r="X42" i="9" s="1"/>
  <c r="W76" i="9"/>
  <c r="S76" i="9"/>
  <c r="X76" i="9" s="1"/>
  <c r="W123" i="9"/>
  <c r="S123" i="9"/>
  <c r="X123" i="9" s="1"/>
  <c r="S48" i="9"/>
  <c r="X48" i="9" s="1"/>
  <c r="W48" i="9"/>
  <c r="S53" i="9"/>
  <c r="X53" i="9" s="1"/>
  <c r="W53" i="9"/>
  <c r="S57" i="9"/>
  <c r="X57" i="9" s="1"/>
  <c r="W57" i="9"/>
  <c r="S63" i="9"/>
  <c r="X63" i="9" s="1"/>
  <c r="W63" i="9"/>
  <c r="W68" i="9"/>
  <c r="S68" i="9"/>
  <c r="X68" i="9" s="1"/>
  <c r="W133" i="9"/>
  <c r="S133" i="9"/>
  <c r="X133" i="9" s="1"/>
  <c r="S20" i="9"/>
  <c r="X20" i="9" s="1"/>
  <c r="W20" i="9"/>
  <c r="S19" i="9"/>
  <c r="X19" i="9" s="1"/>
  <c r="U19" i="9"/>
  <c r="S25" i="9"/>
  <c r="X25" i="9" s="1"/>
  <c r="U25" i="9"/>
  <c r="S82" i="9"/>
  <c r="X82" i="9" s="1"/>
  <c r="S88" i="9"/>
  <c r="X88" i="9" s="1"/>
  <c r="S94" i="9"/>
  <c r="X94" i="9" s="1"/>
  <c r="S100" i="9"/>
  <c r="X100" i="9" s="1"/>
  <c r="S119" i="9"/>
  <c r="X119" i="9" s="1"/>
  <c r="S110" i="9"/>
  <c r="X110" i="9" s="1"/>
  <c r="V101" i="9"/>
  <c r="S109" i="9"/>
  <c r="X109" i="9" s="1"/>
  <c r="S3" i="9"/>
  <c r="X3" i="9" s="1"/>
  <c r="S8" i="9"/>
  <c r="X8" i="9" s="1"/>
  <c r="S124" i="9"/>
  <c r="X124" i="9" s="1"/>
  <c r="S18" i="9"/>
  <c r="X18" i="9" s="1"/>
  <c r="S24" i="9"/>
  <c r="X24" i="9" s="1"/>
  <c r="S30" i="9"/>
  <c r="X30" i="9" s="1"/>
  <c r="S36" i="9"/>
  <c r="X36" i="9" s="1"/>
  <c r="S41" i="9"/>
  <c r="X41" i="9" s="1"/>
  <c r="S46" i="9"/>
  <c r="X46" i="9" s="1"/>
  <c r="S51" i="9"/>
  <c r="X51" i="9" s="1"/>
  <c r="S55" i="9"/>
  <c r="X55" i="9" s="1"/>
  <c r="S61" i="9"/>
  <c r="X61" i="9" s="1"/>
  <c r="S66" i="9"/>
  <c r="X66" i="9" s="1"/>
  <c r="S70" i="9"/>
  <c r="X70" i="9" s="1"/>
  <c r="S74" i="9"/>
  <c r="X74" i="9" s="1"/>
  <c r="U75" i="9"/>
  <c r="S80" i="9"/>
  <c r="X80" i="9" s="1"/>
  <c r="U81" i="9"/>
  <c r="S86" i="9"/>
  <c r="X86" i="9" s="1"/>
  <c r="U87" i="9"/>
  <c r="S92" i="9"/>
  <c r="X92" i="9" s="1"/>
  <c r="U93" i="9"/>
  <c r="S98" i="9"/>
  <c r="X98" i="9" s="1"/>
  <c r="U99" i="9"/>
  <c r="S104" i="9"/>
  <c r="X104" i="9" s="1"/>
  <c r="U105" i="9"/>
  <c r="S108" i="9"/>
  <c r="X108" i="9" s="1"/>
  <c r="S114" i="9"/>
  <c r="X114" i="9" s="1"/>
  <c r="S23" i="9"/>
  <c r="X23" i="9" s="1"/>
  <c r="S29" i="9"/>
  <c r="X29" i="9" s="1"/>
  <c r="S35" i="9"/>
  <c r="X35" i="9" s="1"/>
  <c r="S40" i="9"/>
  <c r="X40" i="9" s="1"/>
  <c r="S45" i="9"/>
  <c r="X45" i="9" s="1"/>
  <c r="S50" i="9"/>
  <c r="X50" i="9" s="1"/>
  <c r="S130" i="9"/>
  <c r="X130" i="9" s="1"/>
  <c r="S60" i="9"/>
  <c r="X60" i="9" s="1"/>
  <c r="S65" i="9"/>
  <c r="X65" i="9" s="1"/>
  <c r="S132" i="9"/>
  <c r="X132" i="9" s="1"/>
  <c r="S73" i="9"/>
  <c r="X73" i="9" s="1"/>
  <c r="S79" i="9"/>
  <c r="X79" i="9" s="1"/>
  <c r="S85" i="9"/>
  <c r="X85" i="9" s="1"/>
  <c r="S91" i="9"/>
  <c r="X91" i="9" s="1"/>
  <c r="S97" i="9"/>
  <c r="X97" i="9" s="1"/>
  <c r="S103" i="9"/>
  <c r="X103" i="9" s="1"/>
  <c r="S107" i="9"/>
  <c r="X107" i="9" s="1"/>
  <c r="S113" i="9"/>
  <c r="X113" i="9" s="1"/>
  <c r="S7" i="9"/>
  <c r="X7" i="9" s="1"/>
  <c r="S17" i="9"/>
  <c r="X17" i="9" s="1"/>
  <c r="U12" i="9"/>
  <c r="P123" i="8" l="1"/>
  <c r="N123" i="8"/>
  <c r="T135" i="9"/>
  <c r="T136" i="9"/>
  <c r="T38" i="9"/>
  <c r="T128" i="9"/>
  <c r="X137" i="9"/>
  <c r="T43" i="9"/>
  <c r="T99" i="9"/>
  <c r="T69" i="9"/>
  <c r="T64" i="9"/>
  <c r="T125" i="9"/>
  <c r="T12" i="9"/>
  <c r="T15" i="9"/>
  <c r="X101" i="9"/>
  <c r="T16" i="9"/>
  <c r="T78" i="9"/>
  <c r="T21" i="9"/>
  <c r="X2" i="9"/>
  <c r="T59" i="9"/>
  <c r="T49" i="9"/>
  <c r="T33" i="9"/>
  <c r="T60" i="9"/>
  <c r="T120" i="9"/>
  <c r="T102" i="9"/>
  <c r="T77" i="9"/>
  <c r="T27" i="9"/>
  <c r="T93" i="9"/>
  <c r="T112" i="9"/>
  <c r="T11" i="9"/>
  <c r="T105" i="9"/>
  <c r="T81" i="9"/>
  <c r="T127" i="9"/>
  <c r="T83" i="9"/>
  <c r="T84" i="9"/>
  <c r="T6" i="9"/>
  <c r="T129" i="9"/>
  <c r="T54" i="9"/>
  <c r="T22" i="9"/>
  <c r="T85" i="9"/>
  <c r="T96" i="9"/>
  <c r="T73" i="9"/>
  <c r="T72" i="9"/>
  <c r="T126" i="9"/>
  <c r="T90" i="9"/>
  <c r="T58" i="9"/>
  <c r="T57" i="9"/>
  <c r="T28" i="9"/>
  <c r="T122" i="9"/>
  <c r="T79" i="9"/>
  <c r="T110" i="9"/>
  <c r="T34" i="9"/>
  <c r="T130" i="9"/>
  <c r="T5" i="9"/>
  <c r="T131" i="9"/>
  <c r="T50" i="9"/>
  <c r="T23" i="9"/>
  <c r="T32" i="9"/>
  <c r="T118" i="9"/>
  <c r="T75" i="9"/>
  <c r="X89" i="9"/>
  <c r="T86" i="9"/>
  <c r="T106" i="9"/>
  <c r="T87" i="9"/>
  <c r="T25" i="9"/>
  <c r="T26" i="9"/>
  <c r="T4" i="9"/>
  <c r="T56" i="9"/>
  <c r="T31" i="9"/>
  <c r="T134" i="9"/>
  <c r="T18" i="9"/>
  <c r="T35" i="9"/>
  <c r="T124" i="9"/>
  <c r="T66" i="9"/>
  <c r="T88" i="9"/>
  <c r="T44" i="9"/>
  <c r="T70" i="9"/>
  <c r="T9" i="9"/>
  <c r="T95" i="9"/>
  <c r="T113" i="9"/>
  <c r="T39" i="9"/>
  <c r="T53" i="9"/>
  <c r="T10" i="9"/>
  <c r="T82" i="9"/>
  <c r="T111" i="9"/>
  <c r="T7" i="9"/>
  <c r="T61" i="9"/>
  <c r="T68" i="9"/>
  <c r="T76" i="9"/>
  <c r="T71" i="9"/>
  <c r="T3" i="9"/>
  <c r="T14" i="9"/>
  <c r="T42" i="9"/>
  <c r="T97" i="9"/>
  <c r="T47" i="9"/>
  <c r="T51" i="9"/>
  <c r="T65" i="9"/>
  <c r="T63" i="9"/>
  <c r="T52" i="9"/>
  <c r="T19" i="9"/>
  <c r="T46" i="9"/>
  <c r="T80" i="9"/>
  <c r="T114" i="9"/>
  <c r="T100" i="9"/>
  <c r="T132" i="9"/>
  <c r="T67" i="9"/>
  <c r="T98" i="9"/>
  <c r="T117" i="9"/>
  <c r="T45" i="9"/>
  <c r="T103" i="9"/>
  <c r="T40" i="9"/>
  <c r="T108" i="9"/>
  <c r="T24" i="9"/>
  <c r="T37" i="9"/>
  <c r="T62" i="9"/>
  <c r="T48" i="9"/>
  <c r="T36" i="9"/>
  <c r="T92" i="9"/>
  <c r="T107" i="9"/>
  <c r="T91" i="9"/>
  <c r="T29" i="9"/>
  <c r="T119" i="9"/>
  <c r="T55" i="9"/>
  <c r="T104" i="9"/>
  <c r="T109" i="9"/>
  <c r="T74" i="9"/>
  <c r="T30" i="9"/>
  <c r="T20" i="9"/>
  <c r="T17" i="9"/>
  <c r="T8" i="9"/>
  <c r="T133" i="9"/>
  <c r="T41" i="9"/>
  <c r="T123" i="9"/>
  <c r="T94" i="9"/>
  <c r="T13" i="9"/>
</calcChain>
</file>

<file path=xl/sharedStrings.xml><?xml version="1.0" encoding="utf-8"?>
<sst xmlns="http://schemas.openxmlformats.org/spreadsheetml/2006/main" count="877" uniqueCount="315">
  <si>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P.126 JELEBU
</t>
    </r>
    <r>
      <rPr>
        <b/>
        <sz val="10"/>
        <rFont val="Arial"/>
        <family val="2"/>
      </rPr>
      <t>JUMLAH PEMILIH: 59,561                                                                                                                                                                                                 MUKASURAT: 1/7</t>
    </r>
  </si>
  <si>
    <r>
      <rPr>
        <b/>
        <sz val="7"/>
        <rFont val="Arial"/>
        <family val="2"/>
      </rPr>
      <t>Bil</t>
    </r>
  </si>
  <si>
    <r>
      <rPr>
        <b/>
        <sz val="7"/>
        <rFont val="Arial"/>
        <family val="2"/>
      </rPr>
      <t>No. Kod Daerah Mengundi</t>
    </r>
  </si>
  <si>
    <r>
      <rPr>
        <b/>
        <sz val="7"/>
        <rFont val="Arial"/>
        <family val="2"/>
      </rPr>
      <t>Nama Pusat Mengundi</t>
    </r>
  </si>
  <si>
    <r>
      <rPr>
        <b/>
        <sz val="7"/>
        <rFont val="Arial"/>
        <family val="2"/>
      </rPr>
      <t>Nombor Tempat Mengundi (saluran)</t>
    </r>
  </si>
  <si>
    <r>
      <rPr>
        <b/>
        <sz val="7"/>
        <rFont val="Arial"/>
        <family val="2"/>
      </rPr>
      <t>Jumlah kertas undi yang patut berada di dalam peti undi (A)</t>
    </r>
  </si>
  <si>
    <r>
      <rPr>
        <b/>
        <sz val="7"/>
        <rFont val="Arial"/>
        <family val="2"/>
      </rPr>
      <t xml:space="preserve">Bilangan undian oleh pemilih bagi setiap orang calon yang bertanding
</t>
    </r>
    <r>
      <rPr>
        <b/>
        <sz val="7"/>
        <rFont val="Arial"/>
        <family val="2"/>
      </rPr>
      <t>(B)</t>
    </r>
  </si>
  <si>
    <r>
      <rPr>
        <b/>
        <sz val="7"/>
        <rFont val="Arial"/>
        <family val="2"/>
      </rPr>
      <t xml:space="preserve">Bilangan kertas undi yang ditolak
</t>
    </r>
    <r>
      <rPr>
        <b/>
        <sz val="7"/>
        <rFont val="Arial"/>
        <family val="2"/>
      </rPr>
      <t>(C)</t>
    </r>
  </si>
  <si>
    <r>
      <rPr>
        <b/>
        <sz val="7"/>
        <rFont val="Arial"/>
        <family val="2"/>
      </rPr>
      <t xml:space="preserve">Jumlah kertas undi yang dikeluarkan kepada pengundi tetapi tidak dimasukkan ke dalam peti undi
</t>
    </r>
    <r>
      <rPr>
        <b/>
        <sz val="7"/>
        <rFont val="Arial"/>
        <family val="2"/>
      </rPr>
      <t>(D)</t>
    </r>
  </si>
  <si>
    <r>
      <rPr>
        <sz val="6"/>
        <rFont val="Arial"/>
        <family val="2"/>
      </rPr>
      <t>AHMAD FAKHRI</t>
    </r>
  </si>
  <si>
    <r>
      <rPr>
        <sz val="6"/>
        <rFont val="Arial"/>
        <family val="2"/>
      </rPr>
      <t>JALALUDDIN BIN ALIAS</t>
    </r>
  </si>
  <si>
    <r>
      <rPr>
        <sz val="6"/>
        <rFont val="Arial"/>
        <family val="2"/>
      </rPr>
      <t>DATO' ZULKEFLY OMAR</t>
    </r>
  </si>
  <si>
    <r>
      <rPr>
        <sz val="6"/>
        <rFont val="Arial"/>
        <family val="2"/>
      </rPr>
      <t>ZAHARUDDIN BABA SAMION</t>
    </r>
  </si>
  <si>
    <r>
      <rPr>
        <b/>
        <sz val="7"/>
        <rFont val="Arial"/>
        <family val="2"/>
      </rPr>
      <t>Jumlah undian oleh pemilih</t>
    </r>
  </si>
  <si>
    <r>
      <rPr>
        <sz val="8"/>
        <rFont val="Arial"/>
        <family val="2"/>
      </rPr>
      <t>UNDI POS</t>
    </r>
  </si>
  <si>
    <r>
      <rPr>
        <sz val="12"/>
        <rFont val="Arial"/>
        <family val="2"/>
      </rPr>
      <t>UNDI AWAL</t>
    </r>
  </si>
  <si>
    <r>
      <rPr>
        <sz val="8"/>
        <rFont val="Arial"/>
        <family val="2"/>
      </rPr>
      <t>UNDI AWAL 126/01/00</t>
    </r>
  </si>
  <si>
    <r>
      <rPr>
        <sz val="8"/>
        <rFont val="Arial"/>
        <family val="2"/>
      </rPr>
      <t>KHEMAH A, IPD JELEBU (DUN CHENNAH)</t>
    </r>
  </si>
  <si>
    <r>
      <rPr>
        <sz val="8"/>
        <rFont val="Arial"/>
        <family val="2"/>
      </rPr>
      <t>UNDI AWAL 126/02/00</t>
    </r>
  </si>
  <si>
    <r>
      <rPr>
        <sz val="8"/>
        <rFont val="Arial"/>
        <family val="2"/>
      </rPr>
      <t>KHEMAH B, IPD JELEBU (DUN PERTANG)</t>
    </r>
  </si>
  <si>
    <r>
      <rPr>
        <sz val="8"/>
        <rFont val="Arial"/>
        <family val="2"/>
      </rPr>
      <t>UNDI AWAL 126/03/00</t>
    </r>
  </si>
  <si>
    <r>
      <rPr>
        <sz val="8"/>
        <rFont val="Arial"/>
        <family val="2"/>
      </rPr>
      <t>DEWAN PERDANA PULAPOL AIR HITAM</t>
    </r>
  </si>
  <si>
    <r>
      <rPr>
        <sz val="8"/>
        <rFont val="Arial"/>
        <family val="2"/>
      </rPr>
      <t>UNDI AWAL 126/04/00</t>
    </r>
  </si>
  <si>
    <r>
      <rPr>
        <sz val="8"/>
        <rFont val="Arial"/>
        <family val="2"/>
      </rPr>
      <t>RUMAH KELAB IPD JELEBU (DUN KLAWANG)</t>
    </r>
  </si>
  <si>
    <r>
      <rPr>
        <sz val="12"/>
        <rFont val="Arial"/>
        <family val="2"/>
      </rPr>
      <t>UNDI BIASA</t>
    </r>
  </si>
  <si>
    <r>
      <rPr>
        <sz val="8"/>
        <rFont val="Arial"/>
        <family val="2"/>
      </rPr>
      <t>KAMPONG SUNGAI BULOH 126/01/01</t>
    </r>
  </si>
  <si>
    <r>
      <rPr>
        <sz val="8"/>
        <rFont val="Arial"/>
        <family val="2"/>
      </rPr>
      <t>SEKOLAH KEBANGSAAN SUNGAI BULOH</t>
    </r>
  </si>
  <si>
    <r>
      <rPr>
        <sz val="8"/>
        <rFont val="Arial"/>
        <family val="2"/>
      </rPr>
      <t>DURIAN TIPUS 126/01/02</t>
    </r>
  </si>
  <si>
    <r>
      <rPr>
        <sz val="8"/>
        <rFont val="Arial"/>
        <family val="2"/>
      </rPr>
      <t>SEKOLAH KEBANGSAAN DURIAN TIPUS</t>
    </r>
  </si>
  <si>
    <r>
      <rPr>
        <sz val="8"/>
        <rFont val="Arial"/>
        <family val="2"/>
      </rPr>
      <t>SIMPANG DURIAN 126/01/03</t>
    </r>
  </si>
  <si>
    <r>
      <rPr>
        <sz val="8"/>
        <rFont val="Arial"/>
        <family val="2"/>
      </rPr>
      <t>SEKOLAH MENENGAH KEBANGSAAN TERIANG HILIR</t>
    </r>
  </si>
  <si>
    <r>
      <rPr>
        <sz val="8"/>
        <rFont val="Arial"/>
        <family val="2"/>
      </rPr>
      <t>KAMPONG CHENNAH 126/01/04</t>
    </r>
  </si>
  <si>
    <r>
      <rPr>
        <sz val="8"/>
        <rFont val="Arial"/>
        <family val="2"/>
      </rPr>
      <t>SEKOLAH KEBANGSAAN DATUK UNDANG ABDULLAH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</si>
  <si>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P.126 JELEBU
</t>
    </r>
    <r>
      <rPr>
        <b/>
        <sz val="10"/>
        <rFont val="Arial"/>
        <family val="2"/>
      </rPr>
      <t>JUMLAH PEMILIH: 59,561                                                                                                                                                                                                 MUKASURAT: 2/7</t>
    </r>
  </si>
  <si>
    <r>
      <rPr>
        <sz val="8"/>
        <rFont val="Arial"/>
        <family val="2"/>
      </rPr>
      <t>PEKAN TITI 126/01/05</t>
    </r>
  </si>
  <si>
    <r>
      <rPr>
        <sz val="8"/>
        <rFont val="Arial"/>
        <family val="2"/>
      </rPr>
      <t>SEKOLAH JENIS KEBANGSAAN (CINA) CHUN YIN</t>
    </r>
  </si>
  <si>
    <r>
      <rPr>
        <sz val="8"/>
        <rFont val="Arial"/>
        <family val="2"/>
      </rPr>
      <t>SUNGAI MUNTOH 126/01/06</t>
    </r>
  </si>
  <si>
    <r>
      <rPr>
        <sz val="8"/>
        <rFont val="Arial"/>
        <family val="2"/>
      </rPr>
      <t>SEKOLAH JENIS KEBANGSAAN (CINA) KG. BARU SUNGAI MUNTOH</t>
    </r>
  </si>
  <si>
    <r>
      <rPr>
        <sz val="8"/>
        <rFont val="Arial"/>
        <family val="2"/>
      </rPr>
      <t>KAMPONG SEPERI 126/01/07</t>
    </r>
  </si>
  <si>
    <r>
      <rPr>
        <sz val="8"/>
        <rFont val="Arial"/>
        <family val="2"/>
      </rPr>
      <t>BALAI RAYA KAMPUNG SEPERI JELEBU</t>
    </r>
  </si>
  <si>
    <r>
      <rPr>
        <sz val="8"/>
        <rFont val="Arial"/>
        <family val="2"/>
      </rPr>
      <t>PETALING 126/01/08</t>
    </r>
  </si>
  <si>
    <r>
      <rPr>
        <sz val="8"/>
        <rFont val="Arial"/>
        <family val="2"/>
      </rPr>
      <t>SEKOLAH JENIS KEBANGSAAN (CINA) KG. BARU PETALING</t>
    </r>
  </si>
  <si>
    <r>
      <rPr>
        <sz val="8"/>
        <rFont val="Arial"/>
        <family val="2"/>
      </rPr>
      <t>KAMPONG GAGU 126/01/09</t>
    </r>
  </si>
  <si>
    <r>
      <rPr>
        <sz val="8"/>
        <rFont val="Arial"/>
        <family val="2"/>
      </rPr>
      <t>BALAI RAYA KAMPUNG GAGU</t>
    </r>
  </si>
  <si>
    <r>
      <rPr>
        <sz val="8"/>
        <rFont val="Arial"/>
        <family val="2"/>
      </rPr>
      <t>JERANG 126/02/01</t>
    </r>
  </si>
  <si>
    <r>
      <rPr>
        <sz val="8"/>
        <rFont val="Arial"/>
        <family val="2"/>
      </rPr>
      <t>BALAI RAYA KAMPUNG JERANG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</si>
  <si>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P.126 JELEBU
</t>
    </r>
    <r>
      <rPr>
        <b/>
        <sz val="10"/>
        <rFont val="Arial"/>
        <family val="2"/>
      </rPr>
      <t>JUMLAH PEMILIH: 59,561                                                                                                                                                                                                 MUKASURAT: 3/7</t>
    </r>
  </si>
  <si>
    <r>
      <rPr>
        <sz val="8"/>
        <rFont val="Arial"/>
        <family val="2"/>
      </rPr>
      <t>KAMPONG LAKAI 126/02/02</t>
    </r>
  </si>
  <si>
    <r>
      <rPr>
        <sz val="8"/>
        <rFont val="Arial"/>
        <family val="2"/>
      </rPr>
      <t>SEKOLAH KEBANGSAAN PUTRA</t>
    </r>
  </si>
  <si>
    <r>
      <rPr>
        <sz val="8"/>
        <rFont val="Arial"/>
        <family val="2"/>
      </rPr>
      <t>PASOH 4 126/02/03</t>
    </r>
  </si>
  <si>
    <r>
      <rPr>
        <sz val="8"/>
        <rFont val="Arial"/>
        <family val="2"/>
      </rPr>
      <t>SEKOLAH KEBANGSAAN (FELDA) PASOH 4</t>
    </r>
  </si>
  <si>
    <r>
      <rPr>
        <sz val="8"/>
        <rFont val="Arial"/>
        <family val="2"/>
      </rPr>
      <t>PASOH 1 126/02/04</t>
    </r>
  </si>
  <si>
    <r>
      <rPr>
        <sz val="8"/>
        <rFont val="Arial"/>
        <family val="2"/>
      </rPr>
      <t>SEKOLAH KEBANGSAAN PASOH SATU</t>
    </r>
  </si>
  <si>
    <r>
      <rPr>
        <sz val="8"/>
        <rFont val="Arial"/>
        <family val="2"/>
      </rPr>
      <t>SIMPANG PERTANG 126/02/05</t>
    </r>
  </si>
  <si>
    <r>
      <rPr>
        <sz val="8"/>
        <rFont val="Arial"/>
        <family val="2"/>
      </rPr>
      <t>SEKOLAH JENIS KEBANGSAAN (CINA) SIMPANG PERTANG</t>
    </r>
  </si>
  <si>
    <r>
      <rPr>
        <sz val="8"/>
        <rFont val="Arial"/>
        <family val="2"/>
      </rPr>
      <t>KAMPONG PETASEH 126/02/06</t>
    </r>
  </si>
  <si>
    <r>
      <rPr>
        <sz val="8"/>
        <rFont val="Arial"/>
        <family val="2"/>
      </rPr>
      <t>SEKOLAH KEBANGSAAN PETASEH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</si>
  <si>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P.126 JELEBU
</t>
    </r>
    <r>
      <rPr>
        <b/>
        <sz val="10"/>
        <rFont val="Arial"/>
        <family val="2"/>
      </rPr>
      <t>JUMLAH PEMILIH: 59,561                                                                                                                                                                                                 MUKASURAT: 4/7</t>
    </r>
  </si>
  <si>
    <r>
      <rPr>
        <sz val="8"/>
        <rFont val="Arial"/>
        <family val="2"/>
      </rPr>
      <t>PERTANG 126/02/07</t>
    </r>
  </si>
  <si>
    <r>
      <rPr>
        <sz val="8"/>
        <rFont val="Arial"/>
        <family val="2"/>
      </rPr>
      <t>SEKOLAH JENIS KEBANGSAAN (CINA) KG. BARU PERTANG</t>
    </r>
  </si>
  <si>
    <r>
      <rPr>
        <sz val="8"/>
        <rFont val="Arial"/>
        <family val="2"/>
      </rPr>
      <t>KAMPONG GELANG 126/02/08</t>
    </r>
  </si>
  <si>
    <r>
      <rPr>
        <sz val="8"/>
        <rFont val="Arial"/>
        <family val="2"/>
      </rPr>
      <t>SEKOLAH KEBANGSAAN GELANG TERUSAN</t>
    </r>
  </si>
  <si>
    <r>
      <rPr>
        <sz val="8"/>
        <rFont val="Arial"/>
        <family val="2"/>
      </rPr>
      <t>SUNGAI LUI 126/03/01</t>
    </r>
  </si>
  <si>
    <r>
      <rPr>
        <sz val="8"/>
        <rFont val="Arial"/>
        <family val="2"/>
      </rPr>
      <t>SEKOLAH KEBANGSAAN SUNGAI LUI</t>
    </r>
  </si>
  <si>
    <r>
      <rPr>
        <sz val="8"/>
        <rFont val="Arial"/>
        <family val="2"/>
      </rPr>
      <t>LUI TIMUR 126/03/02</t>
    </r>
  </si>
  <si>
    <r>
      <rPr>
        <sz val="8"/>
        <rFont val="Arial"/>
        <family val="2"/>
      </rPr>
      <t>SEKOLAH KEBANGSAAN LUI TIMOR</t>
    </r>
  </si>
  <si>
    <r>
      <rPr>
        <sz val="8"/>
        <rFont val="Arial"/>
        <family val="2"/>
      </rPr>
      <t>LUI MUDA 126/03/03</t>
    </r>
  </si>
  <si>
    <r>
      <rPr>
        <sz val="8"/>
        <rFont val="Arial"/>
        <family val="2"/>
      </rPr>
      <t>SEKOLAH KEBANGSAAN (FELDA) LUI MUDA</t>
    </r>
  </si>
  <si>
    <r>
      <rPr>
        <sz val="8"/>
        <rFont val="Arial"/>
        <family val="2"/>
      </rPr>
      <t>LUI SELATAN 126/03/04</t>
    </r>
  </si>
  <si>
    <r>
      <rPr>
        <sz val="8"/>
        <rFont val="Arial"/>
        <family val="2"/>
      </rPr>
      <t>SEKOLAH KEBANGSAAN (FELDA) LUI SELATAN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</si>
  <si>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P.126 JELEBU
</t>
    </r>
    <r>
      <rPr>
        <b/>
        <sz val="10"/>
        <rFont val="Arial"/>
        <family val="2"/>
      </rPr>
      <t>JUMLAH PEMILIH: 59,561                                                                                                                                                                                                 MUKASURAT: 5/7</t>
    </r>
  </si>
  <si>
    <r>
      <rPr>
        <sz val="8"/>
        <rFont val="Arial"/>
        <family val="2"/>
      </rPr>
      <t>PULAPOL AYER HITAM 126/03/05</t>
    </r>
  </si>
  <si>
    <r>
      <rPr>
        <sz val="8"/>
        <rFont val="Arial"/>
        <family val="2"/>
      </rPr>
      <t>SEKOLAH KEBANGSAAN PULAPAH</t>
    </r>
  </si>
  <si>
    <r>
      <rPr>
        <sz val="8"/>
        <rFont val="Arial"/>
        <family val="2"/>
      </rPr>
      <t>LADANG AYER HITAM 126/03/06</t>
    </r>
  </si>
  <si>
    <r>
      <rPr>
        <sz val="8"/>
        <rFont val="Arial"/>
        <family val="2"/>
      </rPr>
      <t>SEKOLAH JENIS KEBANGSAAN (TAMIL) LADANG AIR HITAM</t>
    </r>
  </si>
  <si>
    <r>
      <rPr>
        <sz val="8"/>
        <rFont val="Arial"/>
        <family val="2"/>
      </rPr>
      <t>KAMPONG BAHRU AYER HITAM 126/03/07</t>
    </r>
  </si>
  <si>
    <r>
      <rPr>
        <sz val="8"/>
        <rFont val="Arial"/>
        <family val="2"/>
      </rPr>
      <t>SEKOLAH KEBANGSAAN AYER HITAM</t>
    </r>
  </si>
  <si>
    <r>
      <rPr>
        <sz val="8"/>
        <rFont val="Arial"/>
        <family val="2"/>
      </rPr>
      <t>LUI BARAT 126/03/08</t>
    </r>
  </si>
  <si>
    <r>
      <rPr>
        <sz val="8"/>
        <rFont val="Arial"/>
        <family val="2"/>
      </rPr>
      <t>SEKOLAH MENENGAH KEBANGSAAN (FELDA) LUI BARAT</t>
    </r>
  </si>
  <si>
    <r>
      <rPr>
        <sz val="8"/>
        <rFont val="Arial"/>
        <family val="2"/>
      </rPr>
      <t>PASOH 3 126/03/09</t>
    </r>
  </si>
  <si>
    <r>
      <rPr>
        <sz val="8"/>
        <rFont val="Arial"/>
        <family val="2"/>
      </rPr>
      <t>SEKOLAH KEBANGSAAN (FELDA) PASOH 3</t>
    </r>
  </si>
  <si>
    <r>
      <rPr>
        <sz val="8"/>
        <rFont val="Arial"/>
        <family val="2"/>
      </rPr>
      <t>PASOH 2 126/03/10</t>
    </r>
  </si>
  <si>
    <r>
      <rPr>
        <sz val="8"/>
        <rFont val="Arial"/>
        <family val="2"/>
      </rPr>
      <t>SEKOLAH KEBANGSAAN (FELDA) PASOH 2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</si>
  <si>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P.126 JELEBU
</t>
    </r>
    <r>
      <rPr>
        <b/>
        <sz val="10"/>
        <rFont val="Arial"/>
        <family val="2"/>
      </rPr>
      <t>JUMLAH PEMILIH: 59,561                                                                                                                                                                                                 MUKASURAT: 6/7</t>
    </r>
  </si>
  <si>
    <r>
      <rPr>
        <sz val="8"/>
        <rFont val="Arial"/>
        <family val="2"/>
      </rPr>
      <t>KAMPUNG SERAMPANG INDAH 126/03/11</t>
    </r>
  </si>
  <si>
    <r>
      <rPr>
        <sz val="8"/>
        <rFont val="Arial"/>
        <family val="2"/>
      </rPr>
      <t>SEKOLAH KEBANGSAAN SUNGAI SAMPO</t>
    </r>
  </si>
  <si>
    <r>
      <rPr>
        <sz val="8"/>
        <rFont val="Arial"/>
        <family val="2"/>
      </rPr>
      <t>PERADONG 126/04/01</t>
    </r>
  </si>
  <si>
    <r>
      <rPr>
        <sz val="8"/>
        <rFont val="Arial"/>
        <family val="2"/>
      </rPr>
      <t>SEKOLAH KEBANGSAAN PERADONG</t>
    </r>
  </si>
  <si>
    <r>
      <rPr>
        <sz val="8"/>
        <rFont val="Arial"/>
        <family val="2"/>
      </rPr>
      <t>LADANG JELEBU 126/04/02</t>
    </r>
  </si>
  <si>
    <r>
      <rPr>
        <sz val="8"/>
        <rFont val="Arial"/>
        <family val="2"/>
      </rPr>
      <t>MAKTAB RENDAH SAINS MARA KUALA KLAWANG</t>
    </r>
  </si>
  <si>
    <r>
      <rPr>
        <sz val="8"/>
        <rFont val="Arial"/>
        <family val="2"/>
      </rPr>
      <t>KAMPONG KAMPAI 126/04/03</t>
    </r>
  </si>
  <si>
    <r>
      <rPr>
        <sz val="8"/>
        <rFont val="Arial"/>
        <family val="2"/>
      </rPr>
      <t>SEKOLAH KEBANGSAAN KAMPAI</t>
    </r>
  </si>
  <si>
    <r>
      <rPr>
        <sz val="8"/>
        <rFont val="Arial"/>
        <family val="2"/>
      </rPr>
      <t>KAMPUNG KUALA KLAWANG 126/04/04</t>
    </r>
  </si>
  <si>
    <r>
      <rPr>
        <sz val="8"/>
        <rFont val="Arial"/>
        <family val="2"/>
      </rPr>
      <t>SEKOLAH KEBANGSAAN KUALA KLAWANG</t>
    </r>
  </si>
  <si>
    <r>
      <rPr>
        <b/>
        <sz val="10"/>
        <rFont val="Arial"/>
        <family val="2"/>
      </rPr>
      <t xml:space="preserve">HELAIAN MATA (SCORE SHEET)                                                        (BORANG SPR 760 Pin. 1/99) BAHAGIAN PILIHAN RAYA NEGERI: P.126 JELEBU
</t>
    </r>
    <r>
      <rPr>
        <b/>
        <sz val="10"/>
        <rFont val="Arial"/>
        <family val="2"/>
      </rPr>
      <t>JUMLAH PEMILIH: 59,561                                                                                                                                                                                                 MUKASURAT: 7/7</t>
    </r>
  </si>
  <si>
    <r>
      <rPr>
        <sz val="8"/>
        <rFont val="Arial"/>
        <family val="2"/>
      </rPr>
      <t>PEKAN KUALA KLAWANG 126/04/05</t>
    </r>
  </si>
  <si>
    <r>
      <rPr>
        <sz val="8"/>
        <rFont val="Arial"/>
        <family val="2"/>
      </rPr>
      <t>SEKOLAH KEBANGSAAN UNDANG JELEBU</t>
    </r>
  </si>
  <si>
    <r>
      <rPr>
        <sz val="8"/>
        <rFont val="Arial"/>
        <family val="2"/>
      </rPr>
      <t>KAMPONG KEMIN 126/04/06</t>
    </r>
  </si>
  <si>
    <r>
      <rPr>
        <sz val="8"/>
        <rFont val="Arial"/>
        <family val="2"/>
      </rPr>
      <t>DEWAN ORANG RAMAI KAMPUNG BATU SERAMBAI</t>
    </r>
  </si>
  <si>
    <r>
      <rPr>
        <sz val="8"/>
        <rFont val="Arial"/>
        <family val="2"/>
      </rPr>
      <t>KAMPUNG AMAR PENGHULU 126/04/07</t>
    </r>
  </si>
  <si>
    <r>
      <rPr>
        <sz val="8"/>
        <rFont val="Arial"/>
        <family val="2"/>
      </rPr>
      <t>SEKOLAH KEBANGSAAN AMAR PENGHULU</t>
    </r>
  </si>
  <si>
    <r>
      <rPr>
        <b/>
        <sz val="12"/>
        <rFont val="Arial"/>
        <family val="2"/>
      </rPr>
      <t>JUMLAH</t>
    </r>
  </si>
  <si>
    <t>PEJUANG</t>
  </si>
  <si>
    <t>BN</t>
  </si>
  <si>
    <t>PH</t>
  </si>
  <si>
    <t>PN</t>
  </si>
  <si>
    <t>Bil</t>
  </si>
  <si>
    <t>Nama Pusat Mengundi</t>
  </si>
  <si>
    <t>Jumlah undian oleh pemilih</t>
  </si>
  <si>
    <t>UNDI POS</t>
  </si>
  <si>
    <t>UNDI AWAL 126/01/00</t>
  </si>
  <si>
    <t>KHEMAH A, IPD JELEBU (DUN CHENNAH)</t>
  </si>
  <si>
    <t>UNDI AWAL 126/02/00</t>
  </si>
  <si>
    <t>KHEMAH B, IPD JELEBU (DUN PERTANG)</t>
  </si>
  <si>
    <t>UNDI AWAL 126/03/00</t>
  </si>
  <si>
    <t>DEWAN PERDANA PULAPOL AIR HITAM</t>
  </si>
  <si>
    <t>UNDI AWAL 126/04/00</t>
  </si>
  <si>
    <t>RUMAH KELAB IPD JELEBU (DUN KLAWANG)</t>
  </si>
  <si>
    <t>KAMPONG SUNGAI BULOH 126/01/01</t>
  </si>
  <si>
    <t>SEKOLAH KEBANGSAAN SUNGAI BULOH</t>
  </si>
  <si>
    <t>DURIAN TIPUS 126/01/02</t>
  </si>
  <si>
    <t>SEKOLAH KEBANGSAAN DURIAN TIPUS</t>
  </si>
  <si>
    <t>SIMPANG DURIAN 126/01/03</t>
  </si>
  <si>
    <t>SEKOLAH MENENGAH KEBANGSAAN TERIANG HILIR</t>
  </si>
  <si>
    <t>KAMPONG CHENNAH 126/01/04</t>
  </si>
  <si>
    <t>SEKOLAH KEBANGSAAN DATUK UNDANG ABDULLAH</t>
  </si>
  <si>
    <t>Bilangan kertas undi yang ditolak (C)</t>
  </si>
  <si>
    <t>Undi Tidak Dimasukkan</t>
  </si>
  <si>
    <t>Nama &amp; Kod DM</t>
  </si>
  <si>
    <t>Saluran</t>
  </si>
  <si>
    <t>Jumlah kertas undi dikeluarkan</t>
  </si>
  <si>
    <t>PEKAN TITI 126/01/05</t>
  </si>
  <si>
    <t>SEKOLAH JENIS KEBANGSAAN (CINA) CHUN YIN</t>
  </si>
  <si>
    <t>SUNGAI MUNTOH 126/01/06</t>
  </si>
  <si>
    <t>SEKOLAH JENIS KEBANGSAAN (CINA) KG. BARU SUNGAI MUNTOH</t>
  </si>
  <si>
    <t>KAMPONG SEPERI 126/01/07</t>
  </si>
  <si>
    <t>BALAI RAYA KAMPUNG SEPERI JELEBU</t>
  </si>
  <si>
    <t>PETALING 126/01/08</t>
  </si>
  <si>
    <t>SEKOLAH JENIS KEBANGSAAN (CINA) KG. BARU PETALING</t>
  </si>
  <si>
    <t>KAMPONG GAGU 126/01/09</t>
  </si>
  <si>
    <t>BALAI RAYA KAMPUNG GAGU</t>
  </si>
  <si>
    <t>JERANG 126/02/01</t>
  </si>
  <si>
    <t>BALAI RAYA KAMPUNG JERANG</t>
  </si>
  <si>
    <t>KAMPONG LAKAI 126/02/02</t>
  </si>
  <si>
    <t>SEKOLAH KEBANGSAAN PUTRA</t>
  </si>
  <si>
    <t>PASOH 4 126/02/03</t>
  </si>
  <si>
    <t>SEKOLAH KEBANGSAAN (FELDA) PASOH 4</t>
  </si>
  <si>
    <t>PASOH 1 126/02/04</t>
  </si>
  <si>
    <t>SEKOLAH KEBANGSAAN PASOH SATU</t>
  </si>
  <si>
    <t>SIMPANG PERTANG 126/02/05</t>
  </si>
  <si>
    <t>SEKOLAH JENIS KEBANGSAAN (CINA) SIMPANG PERTANG</t>
  </si>
  <si>
    <t>KAMPONG PETASEH 126/02/06</t>
  </si>
  <si>
    <t>SEKOLAH KEBANGSAAN PETASEH</t>
  </si>
  <si>
    <t>PERTANG 126/02/07</t>
  </si>
  <si>
    <t>SEKOLAH JENIS KEBANGSAAN (CINA) KG. BARU PERTANG</t>
  </si>
  <si>
    <t>KAMPONG GELANG 126/02/08</t>
  </si>
  <si>
    <t>SEKOLAH KEBANGSAAN GELANG TERUSAN</t>
  </si>
  <si>
    <t>SUNGAI LUI 126/03/01</t>
  </si>
  <si>
    <t>SEKOLAH KEBANGSAAN SUNGAI LUI</t>
  </si>
  <si>
    <t>LUI TIMUR 126/03/02</t>
  </si>
  <si>
    <t>SEKOLAH KEBANGSAAN LUI TIMOR</t>
  </si>
  <si>
    <t>LUI MUDA 126/03/03</t>
  </si>
  <si>
    <t>SEKOLAH KEBANGSAAN (FELDA) LUI MUDA</t>
  </si>
  <si>
    <t>LUI SELATAN 126/03/04</t>
  </si>
  <si>
    <t>SEKOLAH KEBANGSAAN (FELDA) LUI SELATAN</t>
  </si>
  <si>
    <t>PULAPOL AYER HITAM 126/03/05</t>
  </si>
  <si>
    <t>SEKOLAH KEBANGSAAN PULAPAH</t>
  </si>
  <si>
    <t>LADANG AYER HITAM 126/03/06</t>
  </si>
  <si>
    <t>SEKOLAH JENIS KEBANGSAAN (TAMIL) LADANG AIR HITAM</t>
  </si>
  <si>
    <t>KAMPONG BAHRU AYER HITAM 126/03/07</t>
  </si>
  <si>
    <t>SEKOLAH KEBANGSAAN AYER HITAM</t>
  </si>
  <si>
    <t>LUI BARAT 126/03/08</t>
  </si>
  <si>
    <t>SEKOLAH MENENGAH KEBANGSAAN (FELDA) LUI BARAT</t>
  </si>
  <si>
    <t>PASOH 3 126/03/09</t>
  </si>
  <si>
    <t>SEKOLAH KEBANGSAAN (FELDA) PASOH 3</t>
  </si>
  <si>
    <t>PASOH 2 126/03/10</t>
  </si>
  <si>
    <t>SEKOLAH KEBANGSAAN (FELDA) PASOH 2</t>
  </si>
  <si>
    <t>KAMPUNG SERAMPANG INDAH 126/03/11</t>
  </si>
  <si>
    <t>SEKOLAH KEBANGSAAN SUNGAI SAMPO</t>
  </si>
  <si>
    <t>PERADONG 126/04/01</t>
  </si>
  <si>
    <t>SEKOLAH KEBANGSAAN PERADONG</t>
  </si>
  <si>
    <t>LADANG JELEBU 126/04/02</t>
  </si>
  <si>
    <t>MAKTAB RENDAH SAINS MARA KUALA KLAWANG</t>
  </si>
  <si>
    <t>KAMPONG KAMPAI 126/04/03</t>
  </si>
  <si>
    <t>SEKOLAH KEBANGSAAN KAMPAI</t>
  </si>
  <si>
    <t>KAMPUNG KUALA KLAWANG 126/04/04</t>
  </si>
  <si>
    <t>SEKOLAH KEBANGSAAN KUALA KLAWANG</t>
  </si>
  <si>
    <t>PEKAN KUALA KLAWANG 126/04/05</t>
  </si>
  <si>
    <t>SEKOLAH KEBANGSAAN UNDANG JELEBU</t>
  </si>
  <si>
    <t>KAMPONG KEMIN 126/04/06</t>
  </si>
  <si>
    <t>DEWAN ORANG RAMAI KAMPUNG BATU SERAMBAI</t>
  </si>
  <si>
    <t>KAMPUNG AMAR PENGHULU 126/04/07</t>
  </si>
  <si>
    <t>SEKOLAH KEBANGSAAN AMAR PENGHULU</t>
  </si>
  <si>
    <t>JUMLAH</t>
  </si>
  <si>
    <t>Jumlah Undi</t>
  </si>
  <si>
    <t>PH%</t>
  </si>
  <si>
    <t>PN%</t>
  </si>
  <si>
    <t>BN%</t>
  </si>
  <si>
    <t>koddm</t>
  </si>
  <si>
    <t>namadm</t>
  </si>
  <si>
    <t>namapusatmengundi</t>
  </si>
  <si>
    <t>nosaluran</t>
  </si>
  <si>
    <t>bumiputra</t>
  </si>
  <si>
    <t>bumiputra_sabah</t>
  </si>
  <si>
    <t>bumiputra_sarawak</t>
  </si>
  <si>
    <t>cina</t>
  </si>
  <si>
    <t>india</t>
  </si>
  <si>
    <t>lain_lain</t>
  </si>
  <si>
    <t>melayu</t>
  </si>
  <si>
    <t>orang_asli</t>
  </si>
  <si>
    <t>filename</t>
  </si>
  <si>
    <t>avg_age</t>
  </si>
  <si>
    <t>parliament_name</t>
  </si>
  <si>
    <t>1260101</t>
  </si>
  <si>
    <t>KAMPONG SUNGAI BULOH</t>
  </si>
  <si>
    <t>126_JELEBU</t>
  </si>
  <si>
    <t>1260102</t>
  </si>
  <si>
    <t>DURIAN TIPUS</t>
  </si>
  <si>
    <t>1260103</t>
  </si>
  <si>
    <t>SIMPANG DURIAN</t>
  </si>
  <si>
    <t>1260104</t>
  </si>
  <si>
    <t>KAMPONG CHENNAH</t>
  </si>
  <si>
    <t>1260105</t>
  </si>
  <si>
    <t>PEKAN TITI</t>
  </si>
  <si>
    <t>1260106</t>
  </si>
  <si>
    <t>SUNGAI MUNTOH</t>
  </si>
  <si>
    <t>1260107</t>
  </si>
  <si>
    <t>KAMPONG SEPERI</t>
  </si>
  <si>
    <t>1260108</t>
  </si>
  <si>
    <t>PETALING</t>
  </si>
  <si>
    <t>1260109</t>
  </si>
  <si>
    <t>KAMPONG GAGU</t>
  </si>
  <si>
    <t>1260201</t>
  </si>
  <si>
    <t>JERANG</t>
  </si>
  <si>
    <t>1260202</t>
  </si>
  <si>
    <t>KAMPONG LAKAI</t>
  </si>
  <si>
    <t>1260203</t>
  </si>
  <si>
    <t>PASOH 4</t>
  </si>
  <si>
    <t>1260204</t>
  </si>
  <si>
    <t>PASOH 1</t>
  </si>
  <si>
    <t>POS</t>
  </si>
  <si>
    <t>1260205</t>
  </si>
  <si>
    <t>SIMPANG PERTANG</t>
  </si>
  <si>
    <t>1260206</t>
  </si>
  <si>
    <t>KAMPONG PETASEH</t>
  </si>
  <si>
    <t>1260207</t>
  </si>
  <si>
    <t>PERTANG</t>
  </si>
  <si>
    <t>1260208</t>
  </si>
  <si>
    <t>KAMPONG GELANG</t>
  </si>
  <si>
    <t>1260301</t>
  </si>
  <si>
    <t>SUNGAI LUI</t>
  </si>
  <si>
    <t>1260302</t>
  </si>
  <si>
    <t>LUI TIMUR</t>
  </si>
  <si>
    <t>1260303</t>
  </si>
  <si>
    <t>LUI MUDA</t>
  </si>
  <si>
    <t>1260304</t>
  </si>
  <si>
    <t>LUI SELATAN</t>
  </si>
  <si>
    <t>1260305</t>
  </si>
  <si>
    <t>PULAPOL AYER HITAM</t>
  </si>
  <si>
    <t>1260306</t>
  </si>
  <si>
    <t>LADANG AYER HITAM</t>
  </si>
  <si>
    <t>1260307</t>
  </si>
  <si>
    <t>KAMPONG BAHRU AYER HITAM</t>
  </si>
  <si>
    <t>1260308</t>
  </si>
  <si>
    <t>LUI BARAT</t>
  </si>
  <si>
    <t>1260309</t>
  </si>
  <si>
    <t>PASOH 3</t>
  </si>
  <si>
    <t>1260310</t>
  </si>
  <si>
    <t>PASOH 2</t>
  </si>
  <si>
    <t>1260311</t>
  </si>
  <si>
    <t>KAMPUNG SERAMPANG INDAH</t>
  </si>
  <si>
    <t>1260401</t>
  </si>
  <si>
    <t>PERADONG</t>
  </si>
  <si>
    <t>1260402</t>
  </si>
  <si>
    <t>LADANG JELEBU</t>
  </si>
  <si>
    <t>1260403</t>
  </si>
  <si>
    <t>KAMPONG KAMPAI</t>
  </si>
  <si>
    <t>1260404</t>
  </si>
  <si>
    <t>KAMPUNG KUALA KLAWANG</t>
  </si>
  <si>
    <t>1260405</t>
  </si>
  <si>
    <t>PEKAN KUALA KLAWANG</t>
  </si>
  <si>
    <t>1260406</t>
  </si>
  <si>
    <t>KAMPONG KEMIN</t>
  </si>
  <si>
    <t>1260407</t>
  </si>
  <si>
    <t>KAMPUNG AMAR PENGHULU</t>
  </si>
  <si>
    <t>M</t>
  </si>
  <si>
    <t>C</t>
  </si>
  <si>
    <t>I</t>
  </si>
  <si>
    <t>O</t>
  </si>
  <si>
    <t>#</t>
  </si>
  <si>
    <t>M%</t>
  </si>
  <si>
    <t>C%</t>
  </si>
  <si>
    <t>I%</t>
  </si>
  <si>
    <t>O%</t>
  </si>
  <si>
    <t>Avg Age</t>
  </si>
  <si>
    <t>JUMLAH POS</t>
  </si>
  <si>
    <t>PN Malay</t>
  </si>
  <si>
    <t>BN Malay</t>
  </si>
  <si>
    <t>PH Malay</t>
  </si>
  <si>
    <t>PH Chinese</t>
  </si>
  <si>
    <t>BN Chinese</t>
  </si>
  <si>
    <t>Turnout%</t>
  </si>
  <si>
    <t>UNDI AWAL</t>
  </si>
  <si>
    <t>N1</t>
  </si>
  <si>
    <t>Chennah</t>
  </si>
  <si>
    <t>N2</t>
  </si>
  <si>
    <t>Pertang</t>
  </si>
  <si>
    <t>N3</t>
  </si>
  <si>
    <t>Sungai Lui</t>
  </si>
  <si>
    <t>N4</t>
  </si>
  <si>
    <t>Klawang</t>
  </si>
  <si>
    <t>Turnout Malay%</t>
  </si>
  <si>
    <t>Turnout Chinese%</t>
  </si>
  <si>
    <t>PH Malay%</t>
  </si>
  <si>
    <t>PH Chinese%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</si>
</sst>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2" x14ac:knownFonts="1">
    <font>
      <sz val="10"/>
      <color rgb="FF000000"/>
      <name val="Times New Roman"/>
      <charset val="204"/>
    </font>
    <font>
      <b/>
      <sz val="7"/>
      <name val="Arial"/>
      <family val="2"/>
    </font>
    <font>
      <sz val="6"/>
      <name val="Arial"/>
      <family val="2"/>
    </font>
    <font>
      <sz val="8"/>
      <color rgb="FF000000"/>
      <name val="Arial"/>
      <family val="2"/>
    </font>
    <font>
      <sz val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Times New Roman"/>
      <family val="1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EEEEE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114"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center" vertical="top" shrinkToFit="1"/>
    </xf>
    <xf numFmtId="1" fontId="5" fillId="0" borderId="1" xfId="0" applyNumberFormat="1" applyFont="1" applyBorder="1" applyAlignment="1">
      <alignment horizontal="right" vertical="top" indent="3" shrinkToFit="1"/>
    </xf>
    <xf numFmtId="3" fontId="5" fillId="2" borderId="1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1"/>
    </xf>
    <xf numFmtId="1" fontId="5" fillId="0" borderId="1" xfId="0" applyNumberFormat="1" applyFont="1" applyBorder="1" applyAlignment="1">
      <alignment horizontal="left" vertical="top" indent="2" shrinkToFi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left" vertical="top" indent="2" shrinkToFit="1"/>
    </xf>
    <xf numFmtId="1" fontId="5" fillId="2" borderId="1" xfId="0" applyNumberFormat="1" applyFont="1" applyFill="1" applyBorder="1" applyAlignment="1">
      <alignment horizontal="right" vertical="top" indent="3" shrinkToFit="1"/>
    </xf>
    <xf numFmtId="1" fontId="5" fillId="0" borderId="1" xfId="0" applyNumberFormat="1" applyFont="1" applyBorder="1" applyAlignment="1">
      <alignment horizontal="left" vertical="top" indent="3" shrinkToFit="1"/>
    </xf>
    <xf numFmtId="1" fontId="8" fillId="2" borderId="1" xfId="0" applyNumberFormat="1" applyFont="1" applyFill="1" applyBorder="1" applyAlignment="1">
      <alignment horizontal="center" vertical="top" shrinkToFit="1"/>
    </xf>
    <xf numFmtId="3" fontId="8" fillId="2" borderId="1" xfId="0" applyNumberFormat="1" applyFont="1" applyFill="1" applyBorder="1" applyAlignment="1">
      <alignment horizontal="center" vertical="top" shrinkToFit="1"/>
    </xf>
    <xf numFmtId="0" fontId="0" fillId="0" borderId="8" xfId="0" applyBorder="1" applyAlignment="1">
      <alignment horizontal="left" vertical="top"/>
    </xf>
    <xf numFmtId="164" fontId="0" fillId="0" borderId="8" xfId="1" applyNumberFormat="1" applyFont="1" applyBorder="1" applyAlignment="1">
      <alignment horizontal="left" vertical="top"/>
    </xf>
    <xf numFmtId="0" fontId="0" fillId="0" borderId="8" xfId="0" applyBorder="1"/>
    <xf numFmtId="165" fontId="0" fillId="0" borderId="8" xfId="0" applyNumberFormat="1" applyBorder="1"/>
    <xf numFmtId="165" fontId="0" fillId="0" borderId="0" xfId="0" applyNumberFormat="1" applyAlignment="1">
      <alignment horizontal="left" vertical="top"/>
    </xf>
    <xf numFmtId="164" fontId="0" fillId="0" borderId="8" xfId="1" applyNumberFormat="1" applyFont="1" applyBorder="1"/>
    <xf numFmtId="165" fontId="0" fillId="0" borderId="8" xfId="0" applyNumberForma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164" fontId="0" fillId="0" borderId="0" xfId="1" applyNumberFormat="1" applyFont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164" fontId="0" fillId="3" borderId="8" xfId="1" applyNumberFormat="1" applyFont="1" applyFill="1" applyBorder="1" applyAlignment="1">
      <alignment horizontal="left" vertical="top"/>
    </xf>
    <xf numFmtId="0" fontId="0" fillId="3" borderId="8" xfId="0" applyFill="1" applyBorder="1"/>
    <xf numFmtId="164" fontId="0" fillId="3" borderId="8" xfId="1" applyNumberFormat="1" applyFont="1" applyFill="1" applyBorder="1"/>
    <xf numFmtId="165" fontId="0" fillId="3" borderId="8" xfId="0" applyNumberFormat="1" applyFill="1" applyBorder="1"/>
    <xf numFmtId="0" fontId="0" fillId="3" borderId="0" xfId="0" applyFill="1" applyAlignment="1">
      <alignment horizontal="left" vertical="top"/>
    </xf>
    <xf numFmtId="0" fontId="11" fillId="0" borderId="8" xfId="0" applyFont="1" applyBorder="1"/>
    <xf numFmtId="0" fontId="0" fillId="4" borderId="8" xfId="0" applyFill="1" applyBorder="1" applyAlignment="1">
      <alignment horizontal="left" vertical="top"/>
    </xf>
    <xf numFmtId="164" fontId="0" fillId="4" borderId="8" xfId="1" applyNumberFormat="1" applyFont="1" applyFill="1" applyBorder="1" applyAlignment="1">
      <alignment horizontal="left" vertical="top"/>
    </xf>
    <xf numFmtId="0" fontId="0" fillId="4" borderId="8" xfId="0" applyFill="1" applyBorder="1"/>
    <xf numFmtId="164" fontId="0" fillId="4" borderId="8" xfId="1" applyNumberFormat="1" applyFont="1" applyFill="1" applyBorder="1"/>
    <xf numFmtId="165" fontId="0" fillId="4" borderId="8" xfId="0" applyNumberFormat="1" applyFill="1" applyBorder="1"/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 indent="1"/>
    </xf>
    <xf numFmtId="0" fontId="1" fillId="2" borderId="6" xfId="0" applyFont="1" applyFill="1" applyBorder="1" applyAlignment="1">
      <alignment horizontal="left" vertical="center" wrapText="1" indent="1"/>
    </xf>
    <xf numFmtId="0" fontId="1" fillId="2" borderId="7" xfId="0" applyFont="1" applyFill="1" applyBorder="1" applyAlignment="1">
      <alignment horizontal="left" vertical="center" wrapText="1" indent="1"/>
    </xf>
    <xf numFmtId="0" fontId="1" fillId="2" borderId="5" xfId="0" applyFont="1" applyFill="1" applyBorder="1" applyAlignment="1">
      <alignment horizontal="left" vertical="center" wrapText="1" indent="2"/>
    </xf>
    <xf numFmtId="0" fontId="1" fillId="2" borderId="6" xfId="0" applyFont="1" applyFill="1" applyBorder="1" applyAlignment="1">
      <alignment horizontal="left" vertical="center" wrapText="1" indent="2"/>
    </xf>
    <xf numFmtId="0" fontId="1" fillId="2" borderId="7" xfId="0" applyFont="1" applyFill="1" applyBorder="1" applyAlignment="1">
      <alignment horizontal="left" vertical="center" wrapText="1" indent="2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6" fillId="2" borderId="2" xfId="0" applyFont="1" applyFill="1" applyBorder="1" applyAlignment="1">
      <alignment horizontal="left" vertical="top" wrapText="1" indent="12"/>
    </xf>
    <xf numFmtId="0" fontId="6" fillId="2" borderId="3" xfId="0" applyFont="1" applyFill="1" applyBorder="1" applyAlignment="1">
      <alignment horizontal="left" vertical="top" wrapText="1" indent="12"/>
    </xf>
    <xf numFmtId="0" fontId="6" fillId="2" borderId="4" xfId="0" applyFont="1" applyFill="1" applyBorder="1" applyAlignment="1">
      <alignment horizontal="left" vertical="top" wrapText="1" indent="12"/>
    </xf>
    <xf numFmtId="1" fontId="3" fillId="0" borderId="5" xfId="0" applyNumberFormat="1" applyFont="1" applyBorder="1" applyAlignment="1">
      <alignment horizontal="center" vertical="center" shrinkToFit="1"/>
    </xf>
    <xf numFmtId="1" fontId="3" fillId="0" borderId="7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top" wrapText="1" indent="2"/>
    </xf>
    <xf numFmtId="0" fontId="4" fillId="0" borderId="7" xfId="0" applyFont="1" applyBorder="1" applyAlignment="1">
      <alignment horizontal="left" vertical="top" wrapText="1" indent="2"/>
    </xf>
    <xf numFmtId="0" fontId="6" fillId="2" borderId="2" xfId="0" applyFont="1" applyFill="1" applyBorder="1" applyAlignment="1">
      <alignment horizontal="left" vertical="top" wrapText="1" indent="11"/>
    </xf>
    <xf numFmtId="0" fontId="6" fillId="2" borderId="3" xfId="0" applyFont="1" applyFill="1" applyBorder="1" applyAlignment="1">
      <alignment horizontal="left" vertical="top" wrapText="1" indent="11"/>
    </xf>
    <xf numFmtId="0" fontId="6" fillId="2" borderId="4" xfId="0" applyFont="1" applyFill="1" applyBorder="1" applyAlignment="1">
      <alignment horizontal="left" vertical="top" wrapText="1" indent="11"/>
    </xf>
    <xf numFmtId="0" fontId="4" fillId="0" borderId="5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 indent="1"/>
    </xf>
    <xf numFmtId="0" fontId="4" fillId="0" borderId="7" xfId="0" applyFont="1" applyBorder="1" applyAlignment="1">
      <alignment horizontal="left" vertical="top" wrapText="1" indent="1"/>
    </xf>
    <xf numFmtId="1" fontId="3" fillId="0" borderId="6" xfId="0" applyNumberFormat="1" applyFont="1" applyBorder="1" applyAlignment="1">
      <alignment horizontal="center" vertical="center" shrinkToFit="1"/>
    </xf>
    <xf numFmtId="0" fontId="4" fillId="0" borderId="5" xfId="0" applyFont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wrapText="1" indent="1"/>
    </xf>
    <xf numFmtId="0" fontId="4" fillId="0" borderId="7" xfId="0" applyFont="1" applyBorder="1" applyAlignment="1">
      <alignment horizontal="left" vertical="center" wrapText="1" inden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left" vertical="top" wrapText="1" indent="2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1" fontId="3" fillId="0" borderId="5" xfId="0" applyNumberFormat="1" applyFont="1" applyBorder="1" applyAlignment="1">
      <alignment horizontal="left" vertical="center" indent="1" shrinkToFit="1"/>
    </xf>
    <xf numFmtId="1" fontId="3" fillId="0" borderId="6" xfId="0" applyNumberFormat="1" applyFont="1" applyBorder="1" applyAlignment="1">
      <alignment horizontal="left" vertical="center" indent="1" shrinkToFit="1"/>
    </xf>
    <xf numFmtId="1" fontId="3" fillId="0" borderId="7" xfId="0" applyNumberFormat="1" applyFont="1" applyBorder="1" applyAlignment="1">
      <alignment horizontal="left" vertical="center" indent="1" shrinkToFit="1"/>
    </xf>
    <xf numFmtId="0" fontId="4" fillId="0" borderId="5" xfId="0" applyFont="1" applyBorder="1" applyAlignment="1">
      <alignment horizontal="left" vertical="center" wrapText="1" indent="2"/>
    </xf>
    <xf numFmtId="0" fontId="4" fillId="0" borderId="6" xfId="0" applyFont="1" applyBorder="1" applyAlignment="1">
      <alignment horizontal="left" vertical="center" wrapText="1" indent="2"/>
    </xf>
    <xf numFmtId="0" fontId="4" fillId="0" borderId="7" xfId="0" applyFont="1" applyBorder="1" applyAlignment="1">
      <alignment horizontal="left" vertical="center" wrapText="1" indent="2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 wrapText="1" indent="3"/>
    </xf>
    <xf numFmtId="0" fontId="4" fillId="0" borderId="6" xfId="0" applyFont="1" applyBorder="1" applyAlignment="1">
      <alignment horizontal="left" vertical="center" wrapText="1" indent="3"/>
    </xf>
    <xf numFmtId="0" fontId="4" fillId="0" borderId="7" xfId="0" applyFont="1" applyBorder="1" applyAlignment="1">
      <alignment horizontal="left" vertical="center" wrapText="1" indent="3"/>
    </xf>
    <xf numFmtId="0" fontId="4" fillId="0" borderId="5" xfId="0" applyFont="1" applyBorder="1" applyAlignment="1">
      <alignment horizontal="left" vertical="top" wrapText="1" indent="3"/>
    </xf>
    <xf numFmtId="0" fontId="4" fillId="0" borderId="7" xfId="0" applyFont="1" applyBorder="1" applyAlignment="1">
      <alignment horizontal="left" vertical="top" wrapText="1" indent="3"/>
    </xf>
    <xf numFmtId="0" fontId="7" fillId="2" borderId="2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P126 Jelebu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9326334208223972E-2"/>
                  <c:y val="-0.48459135316418783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RaceWorksheet!$I$2:$I$114</c:f>
              <c:numCache>
                <c:formatCode>0.0%</c:formatCode>
                <c:ptCount val="113"/>
                <c:pt idx="0">
                  <c:v>0.99777777777777776</c:v>
                </c:pt>
                <c:pt idx="1">
                  <c:v>1</c:v>
                </c:pt>
                <c:pt idx="2">
                  <c:v>0.32233502538071068</c:v>
                </c:pt>
                <c:pt idx="3">
                  <c:v>0.47848101265822784</c:v>
                </c:pt>
                <c:pt idx="4">
                  <c:v>0.70222222222222219</c:v>
                </c:pt>
                <c:pt idx="5">
                  <c:v>0.58906525573192237</c:v>
                </c:pt>
                <c:pt idx="6">
                  <c:v>0.63315696649029984</c:v>
                </c:pt>
                <c:pt idx="7">
                  <c:v>0.76014109347442682</c:v>
                </c:pt>
                <c:pt idx="8">
                  <c:v>0.48444444444444446</c:v>
                </c:pt>
                <c:pt idx="9">
                  <c:v>0.54660347551342814</c:v>
                </c:pt>
                <c:pt idx="10">
                  <c:v>0.57030015797788314</c:v>
                </c:pt>
                <c:pt idx="11">
                  <c:v>9.1111111111111115E-2</c:v>
                </c:pt>
                <c:pt idx="12">
                  <c:v>7.5555555555555556E-2</c:v>
                </c:pt>
                <c:pt idx="13">
                  <c:v>0.10222222222222223</c:v>
                </c:pt>
                <c:pt idx="14">
                  <c:v>0.11030478955007257</c:v>
                </c:pt>
                <c:pt idx="15">
                  <c:v>0.19158200290275762</c:v>
                </c:pt>
                <c:pt idx="16">
                  <c:v>0.26705370101596515</c:v>
                </c:pt>
                <c:pt idx="17">
                  <c:v>0.2</c:v>
                </c:pt>
                <c:pt idx="18">
                  <c:v>0.37111111111111111</c:v>
                </c:pt>
                <c:pt idx="19">
                  <c:v>0.47531992687385738</c:v>
                </c:pt>
                <c:pt idx="20">
                  <c:v>0.76599634369287017</c:v>
                </c:pt>
                <c:pt idx="21">
                  <c:v>0.98987341772151893</c:v>
                </c:pt>
                <c:pt idx="22">
                  <c:v>0.26666666666666666</c:v>
                </c:pt>
                <c:pt idx="23">
                  <c:v>0.34444444444444444</c:v>
                </c:pt>
                <c:pt idx="24">
                  <c:v>0.42595204513399154</c:v>
                </c:pt>
                <c:pt idx="25">
                  <c:v>0.59154929577464788</c:v>
                </c:pt>
                <c:pt idx="26">
                  <c:v>0.98671726755218214</c:v>
                </c:pt>
                <c:pt idx="27">
                  <c:v>0.99700598802395213</c:v>
                </c:pt>
                <c:pt idx="28">
                  <c:v>1</c:v>
                </c:pt>
                <c:pt idx="29">
                  <c:v>0.68888888888888888</c:v>
                </c:pt>
                <c:pt idx="30">
                  <c:v>0.67729083665338641</c:v>
                </c:pt>
                <c:pt idx="31">
                  <c:v>0.83266932270916338</c:v>
                </c:pt>
                <c:pt idx="32">
                  <c:v>0.98888888888888893</c:v>
                </c:pt>
                <c:pt idx="33">
                  <c:v>0.98867313915857602</c:v>
                </c:pt>
                <c:pt idx="34">
                  <c:v>1</c:v>
                </c:pt>
                <c:pt idx="35">
                  <c:v>0.97777777777777775</c:v>
                </c:pt>
                <c:pt idx="36">
                  <c:v>0.98444444444444446</c:v>
                </c:pt>
                <c:pt idx="37">
                  <c:v>1</c:v>
                </c:pt>
                <c:pt idx="38">
                  <c:v>0.98945518453427062</c:v>
                </c:pt>
                <c:pt idx="39">
                  <c:v>0.95964912280701753</c:v>
                </c:pt>
                <c:pt idx="40">
                  <c:v>0.11777777777777777</c:v>
                </c:pt>
                <c:pt idx="41">
                  <c:v>0.17333333333333334</c:v>
                </c:pt>
                <c:pt idx="42">
                  <c:v>0.18050541516245489</c:v>
                </c:pt>
                <c:pt idx="43">
                  <c:v>0.25451263537906138</c:v>
                </c:pt>
                <c:pt idx="44">
                  <c:v>0.3555956678700361</c:v>
                </c:pt>
                <c:pt idx="45">
                  <c:v>0.99777777777777776</c:v>
                </c:pt>
                <c:pt idx="46">
                  <c:v>0.99635701275045541</c:v>
                </c:pt>
                <c:pt idx="47">
                  <c:v>0.11333333333333333</c:v>
                </c:pt>
                <c:pt idx="48">
                  <c:v>0.14888888888888888</c:v>
                </c:pt>
                <c:pt idx="49">
                  <c:v>0.22391304347826088</c:v>
                </c:pt>
                <c:pt idx="50">
                  <c:v>0.29565217391304349</c:v>
                </c:pt>
                <c:pt idx="51">
                  <c:v>0.73777777777777775</c:v>
                </c:pt>
                <c:pt idx="52">
                  <c:v>0.71235194585448391</c:v>
                </c:pt>
                <c:pt idx="53">
                  <c:v>0.4942528735632184</c:v>
                </c:pt>
                <c:pt idx="54">
                  <c:v>0.41513761467889909</c:v>
                </c:pt>
                <c:pt idx="55">
                  <c:v>0.59862385321100919</c:v>
                </c:pt>
                <c:pt idx="56">
                  <c:v>0.82666666666666666</c:v>
                </c:pt>
                <c:pt idx="57">
                  <c:v>0.81111111111111112</c:v>
                </c:pt>
                <c:pt idx="58">
                  <c:v>0.89490445859872614</c:v>
                </c:pt>
                <c:pt idx="59">
                  <c:v>0.92209856915739263</c:v>
                </c:pt>
                <c:pt idx="60">
                  <c:v>0.85214626391096981</c:v>
                </c:pt>
                <c:pt idx="61">
                  <c:v>0.9044444444444445</c:v>
                </c:pt>
                <c:pt idx="62">
                  <c:v>0.94285714285714284</c:v>
                </c:pt>
                <c:pt idx="63">
                  <c:v>0.97333333333333338</c:v>
                </c:pt>
                <c:pt idx="64">
                  <c:v>0.96888888888888891</c:v>
                </c:pt>
                <c:pt idx="65">
                  <c:v>0.97484276729559749</c:v>
                </c:pt>
                <c:pt idx="66">
                  <c:v>0.9952904238618524</c:v>
                </c:pt>
                <c:pt idx="67">
                  <c:v>0.97802197802197799</c:v>
                </c:pt>
                <c:pt idx="68">
                  <c:v>0.93333333333333335</c:v>
                </c:pt>
                <c:pt idx="69">
                  <c:v>0.30503978779840851</c:v>
                </c:pt>
                <c:pt idx="70">
                  <c:v>0.48</c:v>
                </c:pt>
                <c:pt idx="71">
                  <c:v>0.56000000000000005</c:v>
                </c:pt>
                <c:pt idx="72">
                  <c:v>0.5396174863387978</c:v>
                </c:pt>
                <c:pt idx="73">
                  <c:v>0.66302864938608463</c:v>
                </c:pt>
                <c:pt idx="74">
                  <c:v>0.99333333333333329</c:v>
                </c:pt>
                <c:pt idx="75">
                  <c:v>0.99709724238026121</c:v>
                </c:pt>
                <c:pt idx="76">
                  <c:v>0.99333333333333329</c:v>
                </c:pt>
                <c:pt idx="77">
                  <c:v>0.99555555555555553</c:v>
                </c:pt>
                <c:pt idx="78">
                  <c:v>0.99677419354838714</c:v>
                </c:pt>
                <c:pt idx="79">
                  <c:v>1</c:v>
                </c:pt>
                <c:pt idx="80">
                  <c:v>1</c:v>
                </c:pt>
                <c:pt idx="81">
                  <c:v>0.99777777777777776</c:v>
                </c:pt>
                <c:pt idx="82">
                  <c:v>0.99333333333333329</c:v>
                </c:pt>
                <c:pt idx="83">
                  <c:v>1</c:v>
                </c:pt>
                <c:pt idx="84">
                  <c:v>1</c:v>
                </c:pt>
                <c:pt idx="85">
                  <c:v>0.24</c:v>
                </c:pt>
                <c:pt idx="86">
                  <c:v>0.19521178637200737</c:v>
                </c:pt>
                <c:pt idx="87">
                  <c:v>0.56169429097605894</c:v>
                </c:pt>
                <c:pt idx="88">
                  <c:v>0.97555555555555551</c:v>
                </c:pt>
                <c:pt idx="89">
                  <c:v>0.9967793880837359</c:v>
                </c:pt>
                <c:pt idx="90">
                  <c:v>0.10222222222222223</c:v>
                </c:pt>
                <c:pt idx="91">
                  <c:v>0.19555555555555557</c:v>
                </c:pt>
                <c:pt idx="92">
                  <c:v>0.17656765676567657</c:v>
                </c:pt>
                <c:pt idx="93">
                  <c:v>0.24092409240924093</c:v>
                </c:pt>
                <c:pt idx="94">
                  <c:v>0.38385502471169686</c:v>
                </c:pt>
                <c:pt idx="95">
                  <c:v>0.44645799011532128</c:v>
                </c:pt>
                <c:pt idx="96">
                  <c:v>0.59637561779242176</c:v>
                </c:pt>
                <c:pt idx="97">
                  <c:v>0.99539170506912444</c:v>
                </c:pt>
                <c:pt idx="98">
                  <c:v>1</c:v>
                </c:pt>
                <c:pt idx="99">
                  <c:v>0.88</c:v>
                </c:pt>
                <c:pt idx="100">
                  <c:v>0.81555555555555559</c:v>
                </c:pt>
                <c:pt idx="101">
                  <c:v>0.74532374100719423</c:v>
                </c:pt>
                <c:pt idx="102">
                  <c:v>0.81582733812949637</c:v>
                </c:pt>
                <c:pt idx="103">
                  <c:v>0.81151079136690651</c:v>
                </c:pt>
                <c:pt idx="104">
                  <c:v>0.29333333333333333</c:v>
                </c:pt>
                <c:pt idx="105">
                  <c:v>0.47111111111111109</c:v>
                </c:pt>
                <c:pt idx="106">
                  <c:v>0.49892008639308855</c:v>
                </c:pt>
                <c:pt idx="107">
                  <c:v>0.62850971922246224</c:v>
                </c:pt>
                <c:pt idx="108">
                  <c:v>0.9678899082568807</c:v>
                </c:pt>
                <c:pt idx="109">
                  <c:v>0.96330275229357798</c:v>
                </c:pt>
                <c:pt idx="110">
                  <c:v>0.96796338672768878</c:v>
                </c:pt>
                <c:pt idx="111">
                  <c:v>0.93062200956937802</c:v>
                </c:pt>
                <c:pt idx="112">
                  <c:v>0.86124401913875603</c:v>
                </c:pt>
              </c:numCache>
            </c:numRef>
          </c:xVal>
          <c:yVal>
            <c:numRef>
              <c:f>RaceWorksheet!$A$2:$A$114</c:f>
              <c:numCache>
                <c:formatCode>0.0%</c:formatCode>
                <c:ptCount val="113"/>
                <c:pt idx="0">
                  <c:v>0.17711171662125341</c:v>
                </c:pt>
                <c:pt idx="1">
                  <c:v>0.15366430260047281</c:v>
                </c:pt>
                <c:pt idx="2">
                  <c:v>0.43795620437956206</c:v>
                </c:pt>
                <c:pt idx="3">
                  <c:v>0.23102310231023102</c:v>
                </c:pt>
                <c:pt idx="4">
                  <c:v>0.24649859943977592</c:v>
                </c:pt>
                <c:pt idx="5">
                  <c:v>0.39285714285714285</c:v>
                </c:pt>
                <c:pt idx="6">
                  <c:v>0.34108527131782945</c:v>
                </c:pt>
                <c:pt idx="7">
                  <c:v>0.3154034229828851</c:v>
                </c:pt>
                <c:pt idx="8">
                  <c:v>0.2880886426592798</c:v>
                </c:pt>
                <c:pt idx="9">
                  <c:v>0.109375</c:v>
                </c:pt>
                <c:pt idx="10">
                  <c:v>7.370517928286853E-2</c:v>
                </c:pt>
                <c:pt idx="11">
                  <c:v>0.68831168831168832</c:v>
                </c:pt>
                <c:pt idx="12">
                  <c:v>0.74853801169590639</c:v>
                </c:pt>
                <c:pt idx="13">
                  <c:v>0.77298850574712641</c:v>
                </c:pt>
                <c:pt idx="14">
                  <c:v>0.77079107505070998</c:v>
                </c:pt>
                <c:pt idx="15">
                  <c:v>0.74593495934959353</c:v>
                </c:pt>
                <c:pt idx="16">
                  <c:v>0.67334669338677355</c:v>
                </c:pt>
                <c:pt idx="17">
                  <c:v>0.7258382642998028</c:v>
                </c:pt>
                <c:pt idx="18">
                  <c:v>0.49856733524355301</c:v>
                </c:pt>
                <c:pt idx="19">
                  <c:v>0.53904282115869018</c:v>
                </c:pt>
                <c:pt idx="20">
                  <c:v>0.27225130890052357</c:v>
                </c:pt>
                <c:pt idx="21">
                  <c:v>7.6923076923076927E-2</c:v>
                </c:pt>
                <c:pt idx="22">
                  <c:v>0.59021406727828751</c:v>
                </c:pt>
                <c:pt idx="23">
                  <c:v>0.57493188010899188</c:v>
                </c:pt>
                <c:pt idx="24">
                  <c:v>0.56505576208178443</c:v>
                </c:pt>
                <c:pt idx="25">
                  <c:v>0.43478260869565216</c:v>
                </c:pt>
                <c:pt idx="26">
                  <c:v>0.11627906976744186</c:v>
                </c:pt>
                <c:pt idx="27">
                  <c:v>0.28368794326241137</c:v>
                </c:pt>
                <c:pt idx="28">
                  <c:v>0.22348484848484848</c:v>
                </c:pt>
                <c:pt idx="29">
                  <c:v>0.18279569892473119</c:v>
                </c:pt>
                <c:pt idx="30">
                  <c:v>0.13471502590673576</c:v>
                </c:pt>
                <c:pt idx="31">
                  <c:v>0.13896457765667575</c:v>
                </c:pt>
                <c:pt idx="32">
                  <c:v>0.13031914893617022</c:v>
                </c:pt>
                <c:pt idx="33">
                  <c:v>0.11064718162839249</c:v>
                </c:pt>
                <c:pt idx="34">
                  <c:v>9.4650205761316872E-2</c:v>
                </c:pt>
                <c:pt idx="35">
                  <c:v>7.8212290502793297E-2</c:v>
                </c:pt>
                <c:pt idx="36">
                  <c:v>0.11797752808988764</c:v>
                </c:pt>
                <c:pt idx="37">
                  <c:v>7.5650118203309691E-2</c:v>
                </c:pt>
                <c:pt idx="38">
                  <c:v>6.0532687651331719E-2</c:v>
                </c:pt>
                <c:pt idx="39">
                  <c:v>0.10208816705336426</c:v>
                </c:pt>
                <c:pt idx="40">
                  <c:v>0.58188153310104529</c:v>
                </c:pt>
                <c:pt idx="41">
                  <c:v>0.62352941176470589</c:v>
                </c:pt>
                <c:pt idx="42">
                  <c:v>0.63157894736842102</c:v>
                </c:pt>
                <c:pt idx="43">
                  <c:v>0.56657223796033995</c:v>
                </c:pt>
                <c:pt idx="44">
                  <c:v>0.50131926121372028</c:v>
                </c:pt>
                <c:pt idx="45">
                  <c:v>0.17127071823204421</c:v>
                </c:pt>
                <c:pt idx="46">
                  <c:v>0.20913461538461539</c:v>
                </c:pt>
                <c:pt idx="47">
                  <c:v>0.7682539682539683</c:v>
                </c:pt>
                <c:pt idx="48">
                  <c:v>0.7801857585139319</c:v>
                </c:pt>
                <c:pt idx="49">
                  <c:v>0.67142857142857137</c:v>
                </c:pt>
                <c:pt idx="50">
                  <c:v>0.61774744027303752</c:v>
                </c:pt>
                <c:pt idx="51">
                  <c:v>0.17447916666666666</c:v>
                </c:pt>
                <c:pt idx="52">
                  <c:v>0.1575492341356674</c:v>
                </c:pt>
                <c:pt idx="53">
                  <c:v>0.28660436137071649</c:v>
                </c:pt>
                <c:pt idx="54">
                  <c:v>0.27491408934707906</c:v>
                </c:pt>
                <c:pt idx="55">
                  <c:v>0.25475285171102663</c:v>
                </c:pt>
                <c:pt idx="56">
                  <c:v>0.1392757660167131</c:v>
                </c:pt>
                <c:pt idx="57">
                  <c:v>0.16758241758241757</c:v>
                </c:pt>
                <c:pt idx="58">
                  <c:v>0.13422818791946309</c:v>
                </c:pt>
                <c:pt idx="59">
                  <c:v>0.1050228310502283</c:v>
                </c:pt>
                <c:pt idx="60">
                  <c:v>0.1348314606741573</c:v>
                </c:pt>
                <c:pt idx="61">
                  <c:v>0.11221945137157108</c:v>
                </c:pt>
                <c:pt idx="62">
                  <c:v>0.10133843212237094</c:v>
                </c:pt>
                <c:pt idx="63">
                  <c:v>5.0761421319796954E-2</c:v>
                </c:pt>
                <c:pt idx="64">
                  <c:v>7.3791348600508899E-2</c:v>
                </c:pt>
                <c:pt idx="65">
                  <c:v>9.2077087794432549E-2</c:v>
                </c:pt>
                <c:pt idx="66">
                  <c:v>4.7722342733188719E-2</c:v>
                </c:pt>
                <c:pt idx="67">
                  <c:v>6.9958847736625515E-2</c:v>
                </c:pt>
                <c:pt idx="68">
                  <c:v>6.7796610169491525E-2</c:v>
                </c:pt>
                <c:pt idx="69">
                  <c:v>0.45344129554655871</c:v>
                </c:pt>
                <c:pt idx="70">
                  <c:v>0.3987730061349693</c:v>
                </c:pt>
                <c:pt idx="71">
                  <c:v>0.41340782122905029</c:v>
                </c:pt>
                <c:pt idx="72">
                  <c:v>0.46</c:v>
                </c:pt>
                <c:pt idx="73">
                  <c:v>0.33394495412844039</c:v>
                </c:pt>
                <c:pt idx="74">
                  <c:v>7.2423398328690811E-2</c:v>
                </c:pt>
                <c:pt idx="75">
                  <c:v>9.5684803001876179E-2</c:v>
                </c:pt>
                <c:pt idx="76">
                  <c:v>6.2663185378590072E-2</c:v>
                </c:pt>
                <c:pt idx="77">
                  <c:v>0.14168937329700274</c:v>
                </c:pt>
                <c:pt idx="78">
                  <c:v>6.6810344827586202E-2</c:v>
                </c:pt>
                <c:pt idx="79">
                  <c:v>7.415730337078652E-2</c:v>
                </c:pt>
                <c:pt idx="80">
                  <c:v>7.4152542372881353E-2</c:v>
                </c:pt>
                <c:pt idx="81">
                  <c:v>0.1002710027100271</c:v>
                </c:pt>
                <c:pt idx="82">
                  <c:v>9.9415204678362568E-2</c:v>
                </c:pt>
                <c:pt idx="83">
                  <c:v>6.2068965517241378E-2</c:v>
                </c:pt>
                <c:pt idx="84">
                  <c:v>0.10440835266821345</c:v>
                </c:pt>
                <c:pt idx="85">
                  <c:v>0.35174418604651164</c:v>
                </c:pt>
                <c:pt idx="86">
                  <c:v>0.39037433155080214</c:v>
                </c:pt>
                <c:pt idx="87">
                  <c:v>0.35128205128205126</c:v>
                </c:pt>
                <c:pt idx="88">
                  <c:v>0.17847025495750707</c:v>
                </c:pt>
                <c:pt idx="89">
                  <c:v>0.17043121149897331</c:v>
                </c:pt>
                <c:pt idx="90">
                  <c:v>0.74509803921568629</c:v>
                </c:pt>
                <c:pt idx="91">
                  <c:v>0.70903954802259883</c:v>
                </c:pt>
                <c:pt idx="92">
                  <c:v>0.73829787234042554</c:v>
                </c:pt>
                <c:pt idx="93">
                  <c:v>0.69856459330143539</c:v>
                </c:pt>
                <c:pt idx="94">
                  <c:v>0.61009174311926606</c:v>
                </c:pt>
                <c:pt idx="95">
                  <c:v>0.5665137614678899</c:v>
                </c:pt>
                <c:pt idx="96">
                  <c:v>0.39059304703476483</c:v>
                </c:pt>
                <c:pt idx="97">
                  <c:v>0.1424731182795699</c:v>
                </c:pt>
                <c:pt idx="98">
                  <c:v>0.12747875354107649</c:v>
                </c:pt>
                <c:pt idx="99">
                  <c:v>0.19003115264797507</c:v>
                </c:pt>
                <c:pt idx="100">
                  <c:v>0.25065274151436029</c:v>
                </c:pt>
                <c:pt idx="101">
                  <c:v>0.3170289855072464</c:v>
                </c:pt>
                <c:pt idx="102">
                  <c:v>0.25563909774436089</c:v>
                </c:pt>
                <c:pt idx="103">
                  <c:v>0.26335174953959484</c:v>
                </c:pt>
                <c:pt idx="104">
                  <c:v>0.51418439716312059</c:v>
                </c:pt>
                <c:pt idx="105">
                  <c:v>0.51327433628318586</c:v>
                </c:pt>
                <c:pt idx="106">
                  <c:v>0.51461988304093564</c:v>
                </c:pt>
                <c:pt idx="107">
                  <c:v>0.4599406528189911</c:v>
                </c:pt>
                <c:pt idx="108">
                  <c:v>0.19526627218934911</c:v>
                </c:pt>
                <c:pt idx="109">
                  <c:v>0.16374269005847952</c:v>
                </c:pt>
                <c:pt idx="110">
                  <c:v>0.18786127167630057</c:v>
                </c:pt>
                <c:pt idx="111">
                  <c:v>0.1246376811594203</c:v>
                </c:pt>
                <c:pt idx="112">
                  <c:v>9.5238095238095233E-2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6E-4A59-8A04-5C802382E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291472"/>
        <c:axId val="1632305424"/>
      </c:scatterChart>
      <c:valAx>
        <c:axId val="5942914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05424"/>
        <c:crosses val="autoZero"/>
        <c:crossBetween val="midCat"/>
      </c:valAx>
      <c:valAx>
        <c:axId val="163230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9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Malay% P126 Jelebu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9790026246719"/>
                  <c:y val="-0.15476596675415574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RaceWorksheet!$I$2:$I$114</c:f>
              <c:numCache>
                <c:formatCode>0.0%</c:formatCode>
                <c:ptCount val="113"/>
                <c:pt idx="0">
                  <c:v>0.99777777777777776</c:v>
                </c:pt>
                <c:pt idx="1">
                  <c:v>1</c:v>
                </c:pt>
                <c:pt idx="2">
                  <c:v>0.32233502538071068</c:v>
                </c:pt>
                <c:pt idx="3">
                  <c:v>0.47848101265822784</c:v>
                </c:pt>
                <c:pt idx="4">
                  <c:v>0.70222222222222219</c:v>
                </c:pt>
                <c:pt idx="5">
                  <c:v>0.58906525573192237</c:v>
                </c:pt>
                <c:pt idx="6">
                  <c:v>0.63315696649029984</c:v>
                </c:pt>
                <c:pt idx="7">
                  <c:v>0.76014109347442682</c:v>
                </c:pt>
                <c:pt idx="8">
                  <c:v>0.48444444444444446</c:v>
                </c:pt>
                <c:pt idx="9">
                  <c:v>0.54660347551342814</c:v>
                </c:pt>
                <c:pt idx="10">
                  <c:v>0.57030015797788314</c:v>
                </c:pt>
                <c:pt idx="11">
                  <c:v>9.1111111111111115E-2</c:v>
                </c:pt>
                <c:pt idx="12">
                  <c:v>7.5555555555555556E-2</c:v>
                </c:pt>
                <c:pt idx="13">
                  <c:v>0.10222222222222223</c:v>
                </c:pt>
                <c:pt idx="14">
                  <c:v>0.11030478955007257</c:v>
                </c:pt>
                <c:pt idx="15">
                  <c:v>0.19158200290275762</c:v>
                </c:pt>
                <c:pt idx="16">
                  <c:v>0.26705370101596515</c:v>
                </c:pt>
                <c:pt idx="17">
                  <c:v>0.2</c:v>
                </c:pt>
                <c:pt idx="18">
                  <c:v>0.37111111111111111</c:v>
                </c:pt>
                <c:pt idx="19">
                  <c:v>0.47531992687385738</c:v>
                </c:pt>
                <c:pt idx="20">
                  <c:v>0.76599634369287017</c:v>
                </c:pt>
                <c:pt idx="21">
                  <c:v>0.98987341772151893</c:v>
                </c:pt>
                <c:pt idx="22">
                  <c:v>0.26666666666666666</c:v>
                </c:pt>
                <c:pt idx="23">
                  <c:v>0.34444444444444444</c:v>
                </c:pt>
                <c:pt idx="24">
                  <c:v>0.42595204513399154</c:v>
                </c:pt>
                <c:pt idx="25">
                  <c:v>0.59154929577464788</c:v>
                </c:pt>
                <c:pt idx="26">
                  <c:v>0.98671726755218214</c:v>
                </c:pt>
                <c:pt idx="27">
                  <c:v>0.99700598802395213</c:v>
                </c:pt>
                <c:pt idx="28">
                  <c:v>1</c:v>
                </c:pt>
                <c:pt idx="29">
                  <c:v>0.68888888888888888</c:v>
                </c:pt>
                <c:pt idx="30">
                  <c:v>0.67729083665338641</c:v>
                </c:pt>
                <c:pt idx="31">
                  <c:v>0.83266932270916338</c:v>
                </c:pt>
                <c:pt idx="32">
                  <c:v>0.98888888888888893</c:v>
                </c:pt>
                <c:pt idx="33">
                  <c:v>0.98867313915857602</c:v>
                </c:pt>
                <c:pt idx="34">
                  <c:v>1</c:v>
                </c:pt>
                <c:pt idx="35">
                  <c:v>0.97777777777777775</c:v>
                </c:pt>
                <c:pt idx="36">
                  <c:v>0.98444444444444446</c:v>
                </c:pt>
                <c:pt idx="37">
                  <c:v>1</c:v>
                </c:pt>
                <c:pt idx="38">
                  <c:v>0.98945518453427062</c:v>
                </c:pt>
                <c:pt idx="39">
                  <c:v>0.95964912280701753</c:v>
                </c:pt>
                <c:pt idx="40">
                  <c:v>0.11777777777777777</c:v>
                </c:pt>
                <c:pt idx="41">
                  <c:v>0.17333333333333334</c:v>
                </c:pt>
                <c:pt idx="42">
                  <c:v>0.18050541516245489</c:v>
                </c:pt>
                <c:pt idx="43">
                  <c:v>0.25451263537906138</c:v>
                </c:pt>
                <c:pt idx="44">
                  <c:v>0.3555956678700361</c:v>
                </c:pt>
                <c:pt idx="45">
                  <c:v>0.99777777777777776</c:v>
                </c:pt>
                <c:pt idx="46">
                  <c:v>0.99635701275045541</c:v>
                </c:pt>
                <c:pt idx="47">
                  <c:v>0.11333333333333333</c:v>
                </c:pt>
                <c:pt idx="48">
                  <c:v>0.14888888888888888</c:v>
                </c:pt>
                <c:pt idx="49">
                  <c:v>0.22391304347826088</c:v>
                </c:pt>
                <c:pt idx="50">
                  <c:v>0.29565217391304349</c:v>
                </c:pt>
                <c:pt idx="51">
                  <c:v>0.73777777777777775</c:v>
                </c:pt>
                <c:pt idx="52">
                  <c:v>0.71235194585448391</c:v>
                </c:pt>
                <c:pt idx="53">
                  <c:v>0.4942528735632184</c:v>
                </c:pt>
                <c:pt idx="54">
                  <c:v>0.41513761467889909</c:v>
                </c:pt>
                <c:pt idx="55">
                  <c:v>0.59862385321100919</c:v>
                </c:pt>
                <c:pt idx="56">
                  <c:v>0.82666666666666666</c:v>
                </c:pt>
                <c:pt idx="57">
                  <c:v>0.81111111111111112</c:v>
                </c:pt>
                <c:pt idx="58">
                  <c:v>0.89490445859872614</c:v>
                </c:pt>
                <c:pt idx="59">
                  <c:v>0.92209856915739263</c:v>
                </c:pt>
                <c:pt idx="60">
                  <c:v>0.85214626391096981</c:v>
                </c:pt>
                <c:pt idx="61">
                  <c:v>0.9044444444444445</c:v>
                </c:pt>
                <c:pt idx="62">
                  <c:v>0.94285714285714284</c:v>
                </c:pt>
                <c:pt idx="63">
                  <c:v>0.97333333333333338</c:v>
                </c:pt>
                <c:pt idx="64">
                  <c:v>0.96888888888888891</c:v>
                </c:pt>
                <c:pt idx="65">
                  <c:v>0.97484276729559749</c:v>
                </c:pt>
                <c:pt idx="66">
                  <c:v>0.9952904238618524</c:v>
                </c:pt>
                <c:pt idx="67">
                  <c:v>0.97802197802197799</c:v>
                </c:pt>
                <c:pt idx="68">
                  <c:v>0.93333333333333335</c:v>
                </c:pt>
                <c:pt idx="69">
                  <c:v>0.30503978779840851</c:v>
                </c:pt>
                <c:pt idx="70">
                  <c:v>0.48</c:v>
                </c:pt>
                <c:pt idx="71">
                  <c:v>0.56000000000000005</c:v>
                </c:pt>
                <c:pt idx="72">
                  <c:v>0.5396174863387978</c:v>
                </c:pt>
                <c:pt idx="73">
                  <c:v>0.66302864938608463</c:v>
                </c:pt>
                <c:pt idx="74">
                  <c:v>0.99333333333333329</c:v>
                </c:pt>
                <c:pt idx="75">
                  <c:v>0.99709724238026121</c:v>
                </c:pt>
                <c:pt idx="76">
                  <c:v>0.99333333333333329</c:v>
                </c:pt>
                <c:pt idx="77">
                  <c:v>0.99555555555555553</c:v>
                </c:pt>
                <c:pt idx="78">
                  <c:v>0.99677419354838714</c:v>
                </c:pt>
                <c:pt idx="79">
                  <c:v>1</c:v>
                </c:pt>
                <c:pt idx="80">
                  <c:v>1</c:v>
                </c:pt>
                <c:pt idx="81">
                  <c:v>0.99777777777777776</c:v>
                </c:pt>
                <c:pt idx="82">
                  <c:v>0.99333333333333329</c:v>
                </c:pt>
                <c:pt idx="83">
                  <c:v>1</c:v>
                </c:pt>
                <c:pt idx="84">
                  <c:v>1</c:v>
                </c:pt>
                <c:pt idx="85">
                  <c:v>0.24</c:v>
                </c:pt>
                <c:pt idx="86">
                  <c:v>0.19521178637200737</c:v>
                </c:pt>
                <c:pt idx="87">
                  <c:v>0.56169429097605894</c:v>
                </c:pt>
                <c:pt idx="88">
                  <c:v>0.97555555555555551</c:v>
                </c:pt>
                <c:pt idx="89">
                  <c:v>0.9967793880837359</c:v>
                </c:pt>
                <c:pt idx="90">
                  <c:v>0.10222222222222223</c:v>
                </c:pt>
                <c:pt idx="91">
                  <c:v>0.19555555555555557</c:v>
                </c:pt>
                <c:pt idx="92">
                  <c:v>0.17656765676567657</c:v>
                </c:pt>
                <c:pt idx="93">
                  <c:v>0.24092409240924093</c:v>
                </c:pt>
                <c:pt idx="94">
                  <c:v>0.38385502471169686</c:v>
                </c:pt>
                <c:pt idx="95">
                  <c:v>0.44645799011532128</c:v>
                </c:pt>
                <c:pt idx="96">
                  <c:v>0.59637561779242176</c:v>
                </c:pt>
                <c:pt idx="97">
                  <c:v>0.99539170506912444</c:v>
                </c:pt>
                <c:pt idx="98">
                  <c:v>1</c:v>
                </c:pt>
                <c:pt idx="99">
                  <c:v>0.88</c:v>
                </c:pt>
                <c:pt idx="100">
                  <c:v>0.81555555555555559</c:v>
                </c:pt>
                <c:pt idx="101">
                  <c:v>0.74532374100719423</c:v>
                </c:pt>
                <c:pt idx="102">
                  <c:v>0.81582733812949637</c:v>
                </c:pt>
                <c:pt idx="103">
                  <c:v>0.81151079136690651</c:v>
                </c:pt>
                <c:pt idx="104">
                  <c:v>0.29333333333333333</c:v>
                </c:pt>
                <c:pt idx="105">
                  <c:v>0.47111111111111109</c:v>
                </c:pt>
                <c:pt idx="106">
                  <c:v>0.49892008639308855</c:v>
                </c:pt>
                <c:pt idx="107">
                  <c:v>0.62850971922246224</c:v>
                </c:pt>
                <c:pt idx="108">
                  <c:v>0.9678899082568807</c:v>
                </c:pt>
                <c:pt idx="109">
                  <c:v>0.96330275229357798</c:v>
                </c:pt>
                <c:pt idx="110">
                  <c:v>0.96796338672768878</c:v>
                </c:pt>
                <c:pt idx="111">
                  <c:v>0.93062200956937802</c:v>
                </c:pt>
                <c:pt idx="112">
                  <c:v>0.86124401913875603</c:v>
                </c:pt>
              </c:numCache>
            </c:numRef>
          </c:xVal>
          <c:yVal>
            <c:numRef>
              <c:f>RaceWorksheet!$B$2:$B$114</c:f>
              <c:numCache>
                <c:formatCode>0.0%</c:formatCode>
                <c:ptCount val="113"/>
                <c:pt idx="0">
                  <c:v>0.26430517711171664</c:v>
                </c:pt>
                <c:pt idx="1">
                  <c:v>0.38297872340425532</c:v>
                </c:pt>
                <c:pt idx="2">
                  <c:v>0.10583941605839416</c:v>
                </c:pt>
                <c:pt idx="3">
                  <c:v>0.13861386138613863</c:v>
                </c:pt>
                <c:pt idx="4">
                  <c:v>9.8039215686274508E-2</c:v>
                </c:pt>
                <c:pt idx="5">
                  <c:v>0.19047619047619047</c:v>
                </c:pt>
                <c:pt idx="6">
                  <c:v>0.26098191214470284</c:v>
                </c:pt>
                <c:pt idx="7">
                  <c:v>0.27383863080684595</c:v>
                </c:pt>
                <c:pt idx="8">
                  <c:v>5.5401662049861494E-2</c:v>
                </c:pt>
                <c:pt idx="9">
                  <c:v>0.11607142857142858</c:v>
                </c:pt>
                <c:pt idx="10">
                  <c:v>9.5617529880478086E-2</c:v>
                </c:pt>
                <c:pt idx="11">
                  <c:v>3.2467532467532464E-2</c:v>
                </c:pt>
                <c:pt idx="12">
                  <c:v>1.7543859649122806E-2</c:v>
                </c:pt>
                <c:pt idx="13">
                  <c:v>1.4367816091954023E-2</c:v>
                </c:pt>
                <c:pt idx="14">
                  <c:v>4.665314401622718E-2</c:v>
                </c:pt>
                <c:pt idx="15">
                  <c:v>8.1300813008130079E-2</c:v>
                </c:pt>
                <c:pt idx="16">
                  <c:v>0.11222444889779559</c:v>
                </c:pt>
                <c:pt idx="17">
                  <c:v>8.0867850098619326E-2</c:v>
                </c:pt>
                <c:pt idx="18">
                  <c:v>4.0114613180515762E-2</c:v>
                </c:pt>
                <c:pt idx="19">
                  <c:v>0.13098236775818639</c:v>
                </c:pt>
                <c:pt idx="20">
                  <c:v>0.2486910994764398</c:v>
                </c:pt>
                <c:pt idx="21">
                  <c:v>0.16923076923076924</c:v>
                </c:pt>
                <c:pt idx="22">
                  <c:v>4.2813455657492352E-2</c:v>
                </c:pt>
                <c:pt idx="23">
                  <c:v>8.7193460490463212E-2</c:v>
                </c:pt>
                <c:pt idx="24">
                  <c:v>0.14869888475836432</c:v>
                </c:pt>
                <c:pt idx="25">
                  <c:v>0.24869565217391304</c:v>
                </c:pt>
                <c:pt idx="26">
                  <c:v>0.38837209302325582</c:v>
                </c:pt>
                <c:pt idx="27">
                  <c:v>0.23049645390070922</c:v>
                </c:pt>
                <c:pt idx="28">
                  <c:v>0.42045454545454547</c:v>
                </c:pt>
                <c:pt idx="29">
                  <c:v>7.5268817204301078E-2</c:v>
                </c:pt>
                <c:pt idx="30">
                  <c:v>0.20466321243523317</c:v>
                </c:pt>
                <c:pt idx="31">
                  <c:v>0.18801089918256131</c:v>
                </c:pt>
                <c:pt idx="32">
                  <c:v>0.12234042553191489</c:v>
                </c:pt>
                <c:pt idx="33">
                  <c:v>0.34237995824634654</c:v>
                </c:pt>
                <c:pt idx="34">
                  <c:v>0.36213991769547327</c:v>
                </c:pt>
                <c:pt idx="35">
                  <c:v>0.10335195530726257</c:v>
                </c:pt>
                <c:pt idx="36">
                  <c:v>0.26685393258426965</c:v>
                </c:pt>
                <c:pt idx="37">
                  <c:v>0.36406619385342792</c:v>
                </c:pt>
                <c:pt idx="38">
                  <c:v>0.36561743341404357</c:v>
                </c:pt>
                <c:pt idx="39">
                  <c:v>0.38283062645011601</c:v>
                </c:pt>
                <c:pt idx="40">
                  <c:v>4.1811846689895474E-2</c:v>
                </c:pt>
                <c:pt idx="41">
                  <c:v>4.1176470588235294E-2</c:v>
                </c:pt>
                <c:pt idx="42">
                  <c:v>6.8421052631578952E-2</c:v>
                </c:pt>
                <c:pt idx="43">
                  <c:v>0.11614730878186968</c:v>
                </c:pt>
                <c:pt idx="44">
                  <c:v>0.14511873350923482</c:v>
                </c:pt>
                <c:pt idx="45">
                  <c:v>0.17127071823204421</c:v>
                </c:pt>
                <c:pt idx="46">
                  <c:v>0.29326923076923078</c:v>
                </c:pt>
                <c:pt idx="47">
                  <c:v>4.1269841269841269E-2</c:v>
                </c:pt>
                <c:pt idx="48">
                  <c:v>4.6439628482972138E-2</c:v>
                </c:pt>
                <c:pt idx="49">
                  <c:v>9.6428571428571433E-2</c:v>
                </c:pt>
                <c:pt idx="50">
                  <c:v>0.15358361774744028</c:v>
                </c:pt>
                <c:pt idx="51">
                  <c:v>0.1796875</c:v>
                </c:pt>
                <c:pt idx="52">
                  <c:v>0.23413566739606126</c:v>
                </c:pt>
                <c:pt idx="53">
                  <c:v>8.7227414330218064E-2</c:v>
                </c:pt>
                <c:pt idx="54">
                  <c:v>0.14089347079037801</c:v>
                </c:pt>
                <c:pt idx="55">
                  <c:v>0.13688212927756654</c:v>
                </c:pt>
                <c:pt idx="56">
                  <c:v>0.11699164345403899</c:v>
                </c:pt>
                <c:pt idx="57">
                  <c:v>0.16758241758241757</c:v>
                </c:pt>
                <c:pt idx="58">
                  <c:v>0.36912751677852351</c:v>
                </c:pt>
                <c:pt idx="59">
                  <c:v>0.4269406392694064</c:v>
                </c:pt>
                <c:pt idx="60">
                  <c:v>0.38651685393258428</c:v>
                </c:pt>
                <c:pt idx="61">
                  <c:v>0.16708229426433915</c:v>
                </c:pt>
                <c:pt idx="62">
                  <c:v>0.384321223709369</c:v>
                </c:pt>
                <c:pt idx="63">
                  <c:v>0.1548223350253807</c:v>
                </c:pt>
                <c:pt idx="64">
                  <c:v>0.17302798982188294</c:v>
                </c:pt>
                <c:pt idx="65">
                  <c:v>0.32119914346895073</c:v>
                </c:pt>
                <c:pt idx="66">
                  <c:v>0.40780911062906722</c:v>
                </c:pt>
                <c:pt idx="67">
                  <c:v>0.35185185185185186</c:v>
                </c:pt>
                <c:pt idx="68">
                  <c:v>0.4519774011299435</c:v>
                </c:pt>
                <c:pt idx="69">
                  <c:v>0.10931174089068826</c:v>
                </c:pt>
                <c:pt idx="70">
                  <c:v>7.0552147239263799E-2</c:v>
                </c:pt>
                <c:pt idx="71">
                  <c:v>0.12569832402234637</c:v>
                </c:pt>
                <c:pt idx="72">
                  <c:v>0.19800000000000001</c:v>
                </c:pt>
                <c:pt idx="73">
                  <c:v>0.28623853211009176</c:v>
                </c:pt>
                <c:pt idx="74">
                  <c:v>0.2116991643454039</c:v>
                </c:pt>
                <c:pt idx="75">
                  <c:v>0.38461538461538464</c:v>
                </c:pt>
                <c:pt idx="76">
                  <c:v>0.13577023498694518</c:v>
                </c:pt>
                <c:pt idx="77">
                  <c:v>0.17983651226158037</c:v>
                </c:pt>
                <c:pt idx="78">
                  <c:v>0.36637931034482757</c:v>
                </c:pt>
                <c:pt idx="79">
                  <c:v>0.38876404494382022</c:v>
                </c:pt>
                <c:pt idx="80">
                  <c:v>0.41101694915254239</c:v>
                </c:pt>
                <c:pt idx="81">
                  <c:v>0.13550135501355012</c:v>
                </c:pt>
                <c:pt idx="82">
                  <c:v>0.34795321637426901</c:v>
                </c:pt>
                <c:pt idx="83">
                  <c:v>0.38620689655172413</c:v>
                </c:pt>
                <c:pt idx="84">
                  <c:v>0.43155452436194897</c:v>
                </c:pt>
                <c:pt idx="85">
                  <c:v>8.1395348837209308E-2</c:v>
                </c:pt>
                <c:pt idx="86">
                  <c:v>9.8930481283422467E-2</c:v>
                </c:pt>
                <c:pt idx="87">
                  <c:v>0.23333333333333334</c:v>
                </c:pt>
                <c:pt idx="88">
                  <c:v>0.17280453257790368</c:v>
                </c:pt>
                <c:pt idx="89">
                  <c:v>0.39835728952772076</c:v>
                </c:pt>
                <c:pt idx="90">
                  <c:v>1.3071895424836602E-2</c:v>
                </c:pt>
                <c:pt idx="91">
                  <c:v>4.519774011299435E-2</c:v>
                </c:pt>
                <c:pt idx="92">
                  <c:v>4.4680851063829789E-2</c:v>
                </c:pt>
                <c:pt idx="93">
                  <c:v>8.1339712918660281E-2</c:v>
                </c:pt>
                <c:pt idx="94">
                  <c:v>0.13302752293577982</c:v>
                </c:pt>
                <c:pt idx="95">
                  <c:v>0.17889908256880735</c:v>
                </c:pt>
                <c:pt idx="96">
                  <c:v>0.23312883435582821</c:v>
                </c:pt>
                <c:pt idx="97">
                  <c:v>0.16935483870967741</c:v>
                </c:pt>
                <c:pt idx="98">
                  <c:v>0.32011331444759206</c:v>
                </c:pt>
                <c:pt idx="99">
                  <c:v>0.11214953271028037</c:v>
                </c:pt>
                <c:pt idx="100">
                  <c:v>0.17493472584856398</c:v>
                </c:pt>
                <c:pt idx="101">
                  <c:v>0.23007246376811594</c:v>
                </c:pt>
                <c:pt idx="102">
                  <c:v>0.2857142857142857</c:v>
                </c:pt>
                <c:pt idx="103">
                  <c:v>0.26703499079189685</c:v>
                </c:pt>
                <c:pt idx="104">
                  <c:v>6.3829787234042548E-2</c:v>
                </c:pt>
                <c:pt idx="105">
                  <c:v>0.12094395280235988</c:v>
                </c:pt>
                <c:pt idx="106">
                  <c:v>0.13742690058479531</c:v>
                </c:pt>
                <c:pt idx="107">
                  <c:v>0.18694362017804153</c:v>
                </c:pt>
                <c:pt idx="108">
                  <c:v>0.12721893491124261</c:v>
                </c:pt>
                <c:pt idx="109">
                  <c:v>0.33625730994152048</c:v>
                </c:pt>
                <c:pt idx="110">
                  <c:v>0.3554913294797688</c:v>
                </c:pt>
                <c:pt idx="111">
                  <c:v>0.18260869565217391</c:v>
                </c:pt>
                <c:pt idx="112">
                  <c:v>0.2767857142857143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F3-407A-9961-214630C69C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291472"/>
        <c:axId val="1632305424"/>
      </c:scatterChart>
      <c:valAx>
        <c:axId val="5942914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05424"/>
        <c:crosses val="autoZero"/>
        <c:crossBetween val="midCat"/>
      </c:valAx>
      <c:valAx>
        <c:axId val="163230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9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Malay% P126 Jelebu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2031233595800523"/>
                  <c:y val="-0.10110527850685332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RaceWorksheet!$I$2:$I$114</c:f>
              <c:numCache>
                <c:formatCode>0.0%</c:formatCode>
                <c:ptCount val="113"/>
                <c:pt idx="0">
                  <c:v>0.99777777777777776</c:v>
                </c:pt>
                <c:pt idx="1">
                  <c:v>1</c:v>
                </c:pt>
                <c:pt idx="2">
                  <c:v>0.32233502538071068</c:v>
                </c:pt>
                <c:pt idx="3">
                  <c:v>0.47848101265822784</c:v>
                </c:pt>
                <c:pt idx="4">
                  <c:v>0.70222222222222219</c:v>
                </c:pt>
                <c:pt idx="5">
                  <c:v>0.58906525573192237</c:v>
                </c:pt>
                <c:pt idx="6">
                  <c:v>0.63315696649029984</c:v>
                </c:pt>
                <c:pt idx="7">
                  <c:v>0.76014109347442682</c:v>
                </c:pt>
                <c:pt idx="8">
                  <c:v>0.48444444444444446</c:v>
                </c:pt>
                <c:pt idx="9">
                  <c:v>0.54660347551342814</c:v>
                </c:pt>
                <c:pt idx="10">
                  <c:v>0.57030015797788314</c:v>
                </c:pt>
                <c:pt idx="11">
                  <c:v>9.1111111111111115E-2</c:v>
                </c:pt>
                <c:pt idx="12">
                  <c:v>7.5555555555555556E-2</c:v>
                </c:pt>
                <c:pt idx="13">
                  <c:v>0.10222222222222223</c:v>
                </c:pt>
                <c:pt idx="14">
                  <c:v>0.11030478955007257</c:v>
                </c:pt>
                <c:pt idx="15">
                  <c:v>0.19158200290275762</c:v>
                </c:pt>
                <c:pt idx="16">
                  <c:v>0.26705370101596515</c:v>
                </c:pt>
                <c:pt idx="17">
                  <c:v>0.2</c:v>
                </c:pt>
                <c:pt idx="18">
                  <c:v>0.37111111111111111</c:v>
                </c:pt>
                <c:pt idx="19">
                  <c:v>0.47531992687385738</c:v>
                </c:pt>
                <c:pt idx="20">
                  <c:v>0.76599634369287017</c:v>
                </c:pt>
                <c:pt idx="21">
                  <c:v>0.98987341772151893</c:v>
                </c:pt>
                <c:pt idx="22">
                  <c:v>0.26666666666666666</c:v>
                </c:pt>
                <c:pt idx="23">
                  <c:v>0.34444444444444444</c:v>
                </c:pt>
                <c:pt idx="24">
                  <c:v>0.42595204513399154</c:v>
                </c:pt>
                <c:pt idx="25">
                  <c:v>0.59154929577464788</c:v>
                </c:pt>
                <c:pt idx="26">
                  <c:v>0.98671726755218214</c:v>
                </c:pt>
                <c:pt idx="27">
                  <c:v>0.99700598802395213</c:v>
                </c:pt>
                <c:pt idx="28">
                  <c:v>1</c:v>
                </c:pt>
                <c:pt idx="29">
                  <c:v>0.68888888888888888</c:v>
                </c:pt>
                <c:pt idx="30">
                  <c:v>0.67729083665338641</c:v>
                </c:pt>
                <c:pt idx="31">
                  <c:v>0.83266932270916338</c:v>
                </c:pt>
                <c:pt idx="32">
                  <c:v>0.98888888888888893</c:v>
                </c:pt>
                <c:pt idx="33">
                  <c:v>0.98867313915857602</c:v>
                </c:pt>
                <c:pt idx="34">
                  <c:v>1</c:v>
                </c:pt>
                <c:pt idx="35">
                  <c:v>0.97777777777777775</c:v>
                </c:pt>
                <c:pt idx="36">
                  <c:v>0.98444444444444446</c:v>
                </c:pt>
                <c:pt idx="37">
                  <c:v>1</c:v>
                </c:pt>
                <c:pt idx="38">
                  <c:v>0.98945518453427062</c:v>
                </c:pt>
                <c:pt idx="39">
                  <c:v>0.95964912280701753</c:v>
                </c:pt>
                <c:pt idx="40">
                  <c:v>0.11777777777777777</c:v>
                </c:pt>
                <c:pt idx="41">
                  <c:v>0.17333333333333334</c:v>
                </c:pt>
                <c:pt idx="42">
                  <c:v>0.18050541516245489</c:v>
                </c:pt>
                <c:pt idx="43">
                  <c:v>0.25451263537906138</c:v>
                </c:pt>
                <c:pt idx="44">
                  <c:v>0.3555956678700361</c:v>
                </c:pt>
                <c:pt idx="45">
                  <c:v>0.99777777777777776</c:v>
                </c:pt>
                <c:pt idx="46">
                  <c:v>0.99635701275045541</c:v>
                </c:pt>
                <c:pt idx="47">
                  <c:v>0.11333333333333333</c:v>
                </c:pt>
                <c:pt idx="48">
                  <c:v>0.14888888888888888</c:v>
                </c:pt>
                <c:pt idx="49">
                  <c:v>0.22391304347826088</c:v>
                </c:pt>
                <c:pt idx="50">
                  <c:v>0.29565217391304349</c:v>
                </c:pt>
                <c:pt idx="51">
                  <c:v>0.73777777777777775</c:v>
                </c:pt>
                <c:pt idx="52">
                  <c:v>0.71235194585448391</c:v>
                </c:pt>
                <c:pt idx="53">
                  <c:v>0.4942528735632184</c:v>
                </c:pt>
                <c:pt idx="54">
                  <c:v>0.41513761467889909</c:v>
                </c:pt>
                <c:pt idx="55">
                  <c:v>0.59862385321100919</c:v>
                </c:pt>
                <c:pt idx="56">
                  <c:v>0.82666666666666666</c:v>
                </c:pt>
                <c:pt idx="57">
                  <c:v>0.81111111111111112</c:v>
                </c:pt>
                <c:pt idx="58">
                  <c:v>0.89490445859872614</c:v>
                </c:pt>
                <c:pt idx="59">
                  <c:v>0.92209856915739263</c:v>
                </c:pt>
                <c:pt idx="60">
                  <c:v>0.85214626391096981</c:v>
                </c:pt>
                <c:pt idx="61">
                  <c:v>0.9044444444444445</c:v>
                </c:pt>
                <c:pt idx="62">
                  <c:v>0.94285714285714284</c:v>
                </c:pt>
                <c:pt idx="63">
                  <c:v>0.97333333333333338</c:v>
                </c:pt>
                <c:pt idx="64">
                  <c:v>0.96888888888888891</c:v>
                </c:pt>
                <c:pt idx="65">
                  <c:v>0.97484276729559749</c:v>
                </c:pt>
                <c:pt idx="66">
                  <c:v>0.9952904238618524</c:v>
                </c:pt>
                <c:pt idx="67">
                  <c:v>0.97802197802197799</c:v>
                </c:pt>
                <c:pt idx="68">
                  <c:v>0.93333333333333335</c:v>
                </c:pt>
                <c:pt idx="69">
                  <c:v>0.30503978779840851</c:v>
                </c:pt>
                <c:pt idx="70">
                  <c:v>0.48</c:v>
                </c:pt>
                <c:pt idx="71">
                  <c:v>0.56000000000000005</c:v>
                </c:pt>
                <c:pt idx="72">
                  <c:v>0.5396174863387978</c:v>
                </c:pt>
                <c:pt idx="73">
                  <c:v>0.66302864938608463</c:v>
                </c:pt>
                <c:pt idx="74">
                  <c:v>0.99333333333333329</c:v>
                </c:pt>
                <c:pt idx="75">
                  <c:v>0.99709724238026121</c:v>
                </c:pt>
                <c:pt idx="76">
                  <c:v>0.99333333333333329</c:v>
                </c:pt>
                <c:pt idx="77">
                  <c:v>0.99555555555555553</c:v>
                </c:pt>
                <c:pt idx="78">
                  <c:v>0.99677419354838714</c:v>
                </c:pt>
                <c:pt idx="79">
                  <c:v>1</c:v>
                </c:pt>
                <c:pt idx="80">
                  <c:v>1</c:v>
                </c:pt>
                <c:pt idx="81">
                  <c:v>0.99777777777777776</c:v>
                </c:pt>
                <c:pt idx="82">
                  <c:v>0.99333333333333329</c:v>
                </c:pt>
                <c:pt idx="83">
                  <c:v>1</c:v>
                </c:pt>
                <c:pt idx="84">
                  <c:v>1</c:v>
                </c:pt>
                <c:pt idx="85">
                  <c:v>0.24</c:v>
                </c:pt>
                <c:pt idx="86">
                  <c:v>0.19521178637200737</c:v>
                </c:pt>
                <c:pt idx="87">
                  <c:v>0.56169429097605894</c:v>
                </c:pt>
                <c:pt idx="88">
                  <c:v>0.97555555555555551</c:v>
                </c:pt>
                <c:pt idx="89">
                  <c:v>0.9967793880837359</c:v>
                </c:pt>
                <c:pt idx="90">
                  <c:v>0.10222222222222223</c:v>
                </c:pt>
                <c:pt idx="91">
                  <c:v>0.19555555555555557</c:v>
                </c:pt>
                <c:pt idx="92">
                  <c:v>0.17656765676567657</c:v>
                </c:pt>
                <c:pt idx="93">
                  <c:v>0.24092409240924093</c:v>
                </c:pt>
                <c:pt idx="94">
                  <c:v>0.38385502471169686</c:v>
                </c:pt>
                <c:pt idx="95">
                  <c:v>0.44645799011532128</c:v>
                </c:pt>
                <c:pt idx="96">
                  <c:v>0.59637561779242176</c:v>
                </c:pt>
                <c:pt idx="97">
                  <c:v>0.99539170506912444</c:v>
                </c:pt>
                <c:pt idx="98">
                  <c:v>1</c:v>
                </c:pt>
                <c:pt idx="99">
                  <c:v>0.88</c:v>
                </c:pt>
                <c:pt idx="100">
                  <c:v>0.81555555555555559</c:v>
                </c:pt>
                <c:pt idx="101">
                  <c:v>0.74532374100719423</c:v>
                </c:pt>
                <c:pt idx="102">
                  <c:v>0.81582733812949637</c:v>
                </c:pt>
                <c:pt idx="103">
                  <c:v>0.81151079136690651</c:v>
                </c:pt>
                <c:pt idx="104">
                  <c:v>0.29333333333333333</c:v>
                </c:pt>
                <c:pt idx="105">
                  <c:v>0.47111111111111109</c:v>
                </c:pt>
                <c:pt idx="106">
                  <c:v>0.49892008639308855</c:v>
                </c:pt>
                <c:pt idx="107">
                  <c:v>0.62850971922246224</c:v>
                </c:pt>
                <c:pt idx="108">
                  <c:v>0.9678899082568807</c:v>
                </c:pt>
                <c:pt idx="109">
                  <c:v>0.96330275229357798</c:v>
                </c:pt>
                <c:pt idx="110">
                  <c:v>0.96796338672768878</c:v>
                </c:pt>
                <c:pt idx="111">
                  <c:v>0.93062200956937802</c:v>
                </c:pt>
                <c:pt idx="112">
                  <c:v>0.86124401913875603</c:v>
                </c:pt>
              </c:numCache>
            </c:numRef>
          </c:xVal>
          <c:yVal>
            <c:numRef>
              <c:f>RaceWorksheet!$C$2:$C$114</c:f>
              <c:numCache>
                <c:formatCode>0.0%</c:formatCode>
                <c:ptCount val="113"/>
                <c:pt idx="0">
                  <c:v>0.55040871934604907</c:v>
                </c:pt>
                <c:pt idx="1">
                  <c:v>0.45153664302600471</c:v>
                </c:pt>
                <c:pt idx="2">
                  <c:v>0.41970802919708028</c:v>
                </c:pt>
                <c:pt idx="3">
                  <c:v>0.59405940594059403</c:v>
                </c:pt>
                <c:pt idx="4">
                  <c:v>0.63585434173669464</c:v>
                </c:pt>
                <c:pt idx="5">
                  <c:v>0.39761904761904759</c:v>
                </c:pt>
                <c:pt idx="6">
                  <c:v>0.37984496124031009</c:v>
                </c:pt>
                <c:pt idx="7">
                  <c:v>0.40831295843520782</c:v>
                </c:pt>
                <c:pt idx="8">
                  <c:v>0.61772853185595566</c:v>
                </c:pt>
                <c:pt idx="9">
                  <c:v>0.7544642857142857</c:v>
                </c:pt>
                <c:pt idx="10">
                  <c:v>0.81474103585657376</c:v>
                </c:pt>
                <c:pt idx="11">
                  <c:v>0.2564935064935065</c:v>
                </c:pt>
                <c:pt idx="12">
                  <c:v>0.21929824561403508</c:v>
                </c:pt>
                <c:pt idx="13">
                  <c:v>0.20402298850574713</c:v>
                </c:pt>
                <c:pt idx="14">
                  <c:v>0.17241379310344829</c:v>
                </c:pt>
                <c:pt idx="15">
                  <c:v>0.16463414634146342</c:v>
                </c:pt>
                <c:pt idx="16">
                  <c:v>0.20841683366733466</c:v>
                </c:pt>
                <c:pt idx="17">
                  <c:v>0.1893491124260355</c:v>
                </c:pt>
                <c:pt idx="18">
                  <c:v>0.44412607449856734</c:v>
                </c:pt>
                <c:pt idx="19">
                  <c:v>0.32493702770780858</c:v>
                </c:pt>
                <c:pt idx="20">
                  <c:v>0.47643979057591623</c:v>
                </c:pt>
                <c:pt idx="21">
                  <c:v>0.72</c:v>
                </c:pt>
                <c:pt idx="22">
                  <c:v>0.34250764525993882</c:v>
                </c:pt>
                <c:pt idx="23">
                  <c:v>0.32152588555858308</c:v>
                </c:pt>
                <c:pt idx="24">
                  <c:v>0.27137546468401486</c:v>
                </c:pt>
                <c:pt idx="25">
                  <c:v>0.30434782608695654</c:v>
                </c:pt>
                <c:pt idx="26">
                  <c:v>0.47209302325581393</c:v>
                </c:pt>
                <c:pt idx="27">
                  <c:v>0.46453900709219859</c:v>
                </c:pt>
                <c:pt idx="28">
                  <c:v>0.34848484848484851</c:v>
                </c:pt>
                <c:pt idx="29">
                  <c:v>0.71505376344086025</c:v>
                </c:pt>
                <c:pt idx="30">
                  <c:v>0.63989637305699487</c:v>
                </c:pt>
                <c:pt idx="31">
                  <c:v>0.66212534059945505</c:v>
                </c:pt>
                <c:pt idx="32">
                  <c:v>0.71542553191489366</c:v>
                </c:pt>
                <c:pt idx="33">
                  <c:v>0.5365344467640919</c:v>
                </c:pt>
                <c:pt idx="34">
                  <c:v>0.53292181069958844</c:v>
                </c:pt>
                <c:pt idx="35">
                  <c:v>0.78491620111731841</c:v>
                </c:pt>
                <c:pt idx="36">
                  <c:v>0.5870786516853933</c:v>
                </c:pt>
                <c:pt idx="37">
                  <c:v>0.55082742316784872</c:v>
                </c:pt>
                <c:pt idx="38">
                  <c:v>0.55932203389830504</c:v>
                </c:pt>
                <c:pt idx="39">
                  <c:v>0.51044083526682138</c:v>
                </c:pt>
                <c:pt idx="40">
                  <c:v>0.35540069686411152</c:v>
                </c:pt>
                <c:pt idx="41">
                  <c:v>0.29411764705882354</c:v>
                </c:pt>
                <c:pt idx="42">
                  <c:v>0.28157894736842104</c:v>
                </c:pt>
                <c:pt idx="43">
                  <c:v>0.30594900849858359</c:v>
                </c:pt>
                <c:pt idx="44">
                  <c:v>0.35356200527704484</c:v>
                </c:pt>
                <c:pt idx="45">
                  <c:v>0.65193370165745856</c:v>
                </c:pt>
                <c:pt idx="46">
                  <c:v>0.49278846153846156</c:v>
                </c:pt>
                <c:pt idx="47">
                  <c:v>0.17460317460317459</c:v>
                </c:pt>
                <c:pt idx="48">
                  <c:v>0.15479876160990713</c:v>
                </c:pt>
                <c:pt idx="49">
                  <c:v>0.21785714285714286</c:v>
                </c:pt>
                <c:pt idx="50">
                  <c:v>0.22525597269624573</c:v>
                </c:pt>
                <c:pt idx="51">
                  <c:v>0.63802083333333337</c:v>
                </c:pt>
                <c:pt idx="52">
                  <c:v>0.5908096280087527</c:v>
                </c:pt>
                <c:pt idx="53">
                  <c:v>0.59190031152647971</c:v>
                </c:pt>
                <c:pt idx="54">
                  <c:v>0.55670103092783507</c:v>
                </c:pt>
                <c:pt idx="55">
                  <c:v>0.56273764258555137</c:v>
                </c:pt>
                <c:pt idx="56">
                  <c:v>0.69637883008356549</c:v>
                </c:pt>
                <c:pt idx="57">
                  <c:v>0.64560439560439564</c:v>
                </c:pt>
                <c:pt idx="58">
                  <c:v>0.48769574944071586</c:v>
                </c:pt>
                <c:pt idx="59">
                  <c:v>0.45205479452054792</c:v>
                </c:pt>
                <c:pt idx="60">
                  <c:v>0.46966292134831461</c:v>
                </c:pt>
                <c:pt idx="61">
                  <c:v>0.69825436408977559</c:v>
                </c:pt>
                <c:pt idx="62">
                  <c:v>0.50286806883365198</c:v>
                </c:pt>
                <c:pt idx="63">
                  <c:v>0.76395939086294418</c:v>
                </c:pt>
                <c:pt idx="64">
                  <c:v>0.70737913486005088</c:v>
                </c:pt>
                <c:pt idx="65">
                  <c:v>0.57173447537473232</c:v>
                </c:pt>
                <c:pt idx="66">
                  <c:v>0.53362255965292837</c:v>
                </c:pt>
                <c:pt idx="67">
                  <c:v>0.57818930041152261</c:v>
                </c:pt>
                <c:pt idx="68">
                  <c:v>0.47457627118644069</c:v>
                </c:pt>
                <c:pt idx="69">
                  <c:v>0.42105263157894735</c:v>
                </c:pt>
                <c:pt idx="70">
                  <c:v>0.49079754601226994</c:v>
                </c:pt>
                <c:pt idx="71">
                  <c:v>0.44413407821229051</c:v>
                </c:pt>
                <c:pt idx="72">
                  <c:v>0.33</c:v>
                </c:pt>
                <c:pt idx="73">
                  <c:v>0.37431192660550461</c:v>
                </c:pt>
                <c:pt idx="74">
                  <c:v>0.70473537604456826</c:v>
                </c:pt>
                <c:pt idx="75">
                  <c:v>0.51782363977485923</c:v>
                </c:pt>
                <c:pt idx="76">
                  <c:v>0.76762402088772841</c:v>
                </c:pt>
                <c:pt idx="77">
                  <c:v>0.66485013623978206</c:v>
                </c:pt>
                <c:pt idx="78">
                  <c:v>0.55172413793103448</c:v>
                </c:pt>
                <c:pt idx="79">
                  <c:v>0.53258426966292138</c:v>
                </c:pt>
                <c:pt idx="80">
                  <c:v>0.51271186440677963</c:v>
                </c:pt>
                <c:pt idx="81">
                  <c:v>0.72628726287262868</c:v>
                </c:pt>
                <c:pt idx="82">
                  <c:v>0.52631578947368418</c:v>
                </c:pt>
                <c:pt idx="83">
                  <c:v>0.54252873563218396</c:v>
                </c:pt>
                <c:pt idx="84">
                  <c:v>0.46403712296983757</c:v>
                </c:pt>
                <c:pt idx="85">
                  <c:v>0.50872093023255816</c:v>
                </c:pt>
                <c:pt idx="86">
                  <c:v>0.47860962566844922</c:v>
                </c:pt>
                <c:pt idx="87">
                  <c:v>0.3923076923076923</c:v>
                </c:pt>
                <c:pt idx="88">
                  <c:v>0.63172804532577909</c:v>
                </c:pt>
                <c:pt idx="89">
                  <c:v>0.41889117043121149</c:v>
                </c:pt>
                <c:pt idx="90">
                  <c:v>0.21241830065359477</c:v>
                </c:pt>
                <c:pt idx="91">
                  <c:v>0.2288135593220339</c:v>
                </c:pt>
                <c:pt idx="92">
                  <c:v>0.19787234042553192</c:v>
                </c:pt>
                <c:pt idx="93">
                  <c:v>0.21291866028708134</c:v>
                </c:pt>
                <c:pt idx="94">
                  <c:v>0.25229357798165136</c:v>
                </c:pt>
                <c:pt idx="95">
                  <c:v>0.24770642201834864</c:v>
                </c:pt>
                <c:pt idx="96">
                  <c:v>0.35378323108384457</c:v>
                </c:pt>
                <c:pt idx="97">
                  <c:v>0.67204301075268813</c:v>
                </c:pt>
                <c:pt idx="98">
                  <c:v>0.5439093484419264</c:v>
                </c:pt>
                <c:pt idx="99">
                  <c:v>0.66666666666666663</c:v>
                </c:pt>
                <c:pt idx="100">
                  <c:v>0.56135770234986948</c:v>
                </c:pt>
                <c:pt idx="101">
                  <c:v>0.44021739130434784</c:v>
                </c:pt>
                <c:pt idx="102">
                  <c:v>0.45112781954887216</c:v>
                </c:pt>
                <c:pt idx="103">
                  <c:v>0.4567219152854512</c:v>
                </c:pt>
                <c:pt idx="104">
                  <c:v>0.39361702127659576</c:v>
                </c:pt>
                <c:pt idx="105">
                  <c:v>0.34513274336283184</c:v>
                </c:pt>
                <c:pt idx="106">
                  <c:v>0.33625730994152048</c:v>
                </c:pt>
                <c:pt idx="107">
                  <c:v>0.33827893175074186</c:v>
                </c:pt>
                <c:pt idx="108">
                  <c:v>0.64792899408284022</c:v>
                </c:pt>
                <c:pt idx="109">
                  <c:v>0.47953216374269003</c:v>
                </c:pt>
                <c:pt idx="110">
                  <c:v>0.42485549132947975</c:v>
                </c:pt>
                <c:pt idx="111">
                  <c:v>0.66666666666666663</c:v>
                </c:pt>
                <c:pt idx="112">
                  <c:v>0.61904761904761907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F9-49F4-9A96-4D1365220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291472"/>
        <c:axId val="1632305424"/>
      </c:scatterChart>
      <c:valAx>
        <c:axId val="5942914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05424"/>
        <c:crosses val="autoZero"/>
        <c:crossBetween val="midCat"/>
      </c:valAx>
      <c:valAx>
        <c:axId val="163230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9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P126 Jelebu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4213254593175854E-2"/>
                  <c:y val="0.28199074074074076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RaceWorksheet!$J$2:$J$114</c:f>
              <c:numCache>
                <c:formatCode>0.0%</c:formatCode>
                <c:ptCount val="113"/>
                <c:pt idx="0">
                  <c:v>2.2222222222222222E-3</c:v>
                </c:pt>
                <c:pt idx="1">
                  <c:v>0</c:v>
                </c:pt>
                <c:pt idx="2">
                  <c:v>0.57614213197969544</c:v>
                </c:pt>
                <c:pt idx="3">
                  <c:v>0.20253164556962025</c:v>
                </c:pt>
                <c:pt idx="4">
                  <c:v>0.24888888888888888</c:v>
                </c:pt>
                <c:pt idx="5">
                  <c:v>0.32627865961199293</c:v>
                </c:pt>
                <c:pt idx="6">
                  <c:v>0.29276895943562609</c:v>
                </c:pt>
                <c:pt idx="7">
                  <c:v>0.17813051146384479</c:v>
                </c:pt>
                <c:pt idx="8">
                  <c:v>0.31333333333333335</c:v>
                </c:pt>
                <c:pt idx="9">
                  <c:v>0.11532385466034756</c:v>
                </c:pt>
                <c:pt idx="10">
                  <c:v>7.1090047393364927E-2</c:v>
                </c:pt>
                <c:pt idx="11">
                  <c:v>0.89555555555555555</c:v>
                </c:pt>
                <c:pt idx="12">
                  <c:v>0.91555555555555557</c:v>
                </c:pt>
                <c:pt idx="13">
                  <c:v>0.88888888888888884</c:v>
                </c:pt>
                <c:pt idx="14">
                  <c:v>0.8737300435413643</c:v>
                </c:pt>
                <c:pt idx="15">
                  <c:v>0.78229317851959357</c:v>
                </c:pt>
                <c:pt idx="16">
                  <c:v>0.71117561683599417</c:v>
                </c:pt>
                <c:pt idx="17">
                  <c:v>0.77971014492753621</c:v>
                </c:pt>
                <c:pt idx="18">
                  <c:v>0.61777777777777776</c:v>
                </c:pt>
                <c:pt idx="19">
                  <c:v>0.51371115173674586</c:v>
                </c:pt>
                <c:pt idx="20">
                  <c:v>0.22486288848263253</c:v>
                </c:pt>
                <c:pt idx="21">
                  <c:v>2.5316455696202532E-3</c:v>
                </c:pt>
                <c:pt idx="22">
                  <c:v>0.69777777777777783</c:v>
                </c:pt>
                <c:pt idx="23">
                  <c:v>0.62444444444444447</c:v>
                </c:pt>
                <c:pt idx="24">
                  <c:v>0.5514809590973202</c:v>
                </c:pt>
                <c:pt idx="25">
                  <c:v>0.39295774647887322</c:v>
                </c:pt>
                <c:pt idx="26">
                  <c:v>0</c:v>
                </c:pt>
                <c:pt idx="27">
                  <c:v>2.9940119760479044E-3</c:v>
                </c:pt>
                <c:pt idx="28">
                  <c:v>0</c:v>
                </c:pt>
                <c:pt idx="29">
                  <c:v>4.2222222222222223E-2</c:v>
                </c:pt>
                <c:pt idx="30">
                  <c:v>1.3944223107569721E-2</c:v>
                </c:pt>
                <c:pt idx="31">
                  <c:v>2.7888446215139442E-2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4.4444444444444444E-3</c:v>
                </c:pt>
                <c:pt idx="36">
                  <c:v>2.2222222222222222E-3</c:v>
                </c:pt>
                <c:pt idx="37">
                  <c:v>0</c:v>
                </c:pt>
                <c:pt idx="38">
                  <c:v>3.5149384885764497E-3</c:v>
                </c:pt>
                <c:pt idx="39">
                  <c:v>0</c:v>
                </c:pt>
                <c:pt idx="40">
                  <c:v>0.62</c:v>
                </c:pt>
                <c:pt idx="41">
                  <c:v>0.51333333333333331</c:v>
                </c:pt>
                <c:pt idx="42">
                  <c:v>0.5126353790613718</c:v>
                </c:pt>
                <c:pt idx="43">
                  <c:v>0.39350180505415161</c:v>
                </c:pt>
                <c:pt idx="44">
                  <c:v>0.3267148014440433</c:v>
                </c:pt>
                <c:pt idx="45">
                  <c:v>0</c:v>
                </c:pt>
                <c:pt idx="46">
                  <c:v>1.8214936247723133E-3</c:v>
                </c:pt>
                <c:pt idx="47">
                  <c:v>0.83333333333333337</c:v>
                </c:pt>
                <c:pt idx="48">
                  <c:v>0.81111111111111112</c:v>
                </c:pt>
                <c:pt idx="49">
                  <c:v>0.68913043478260871</c:v>
                </c:pt>
                <c:pt idx="50">
                  <c:v>0.64565217391304353</c:v>
                </c:pt>
                <c:pt idx="51">
                  <c:v>4.4444444444444444E-3</c:v>
                </c:pt>
                <c:pt idx="52">
                  <c:v>1.6920473773265651E-3</c:v>
                </c:pt>
                <c:pt idx="53">
                  <c:v>0.34252873563218389</c:v>
                </c:pt>
                <c:pt idx="54">
                  <c:v>0.22706422018348624</c:v>
                </c:pt>
                <c:pt idx="55">
                  <c:v>0.20412844036697247</c:v>
                </c:pt>
                <c:pt idx="56">
                  <c:v>5.7777777777777775E-2</c:v>
                </c:pt>
                <c:pt idx="57">
                  <c:v>4.6666666666666669E-2</c:v>
                </c:pt>
                <c:pt idx="58">
                  <c:v>3.8216560509554139E-2</c:v>
                </c:pt>
                <c:pt idx="59">
                  <c:v>2.7027027027027029E-2</c:v>
                </c:pt>
                <c:pt idx="60">
                  <c:v>3.1796502384737677E-2</c:v>
                </c:pt>
                <c:pt idx="61">
                  <c:v>2.6666666666666668E-2</c:v>
                </c:pt>
                <c:pt idx="62">
                  <c:v>2.7142857142857142E-2</c:v>
                </c:pt>
                <c:pt idx="63">
                  <c:v>0</c:v>
                </c:pt>
                <c:pt idx="64">
                  <c:v>2.2222222222222222E-3</c:v>
                </c:pt>
                <c:pt idx="65">
                  <c:v>0</c:v>
                </c:pt>
                <c:pt idx="66">
                  <c:v>1.5698587127158557E-3</c:v>
                </c:pt>
                <c:pt idx="67">
                  <c:v>0</c:v>
                </c:pt>
                <c:pt idx="68">
                  <c:v>0</c:v>
                </c:pt>
                <c:pt idx="69">
                  <c:v>5.3050397877984087E-2</c:v>
                </c:pt>
                <c:pt idx="70">
                  <c:v>0.39333333333333331</c:v>
                </c:pt>
                <c:pt idx="71">
                  <c:v>0.24222222222222223</c:v>
                </c:pt>
                <c:pt idx="72">
                  <c:v>0.31010928961748635</c:v>
                </c:pt>
                <c:pt idx="73">
                  <c:v>0.18144611186903137</c:v>
                </c:pt>
                <c:pt idx="74">
                  <c:v>0</c:v>
                </c:pt>
                <c:pt idx="75">
                  <c:v>0</c:v>
                </c:pt>
                <c:pt idx="76">
                  <c:v>2.2222222222222222E-3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1.3333333333333334E-2</c:v>
                </c:pt>
                <c:pt idx="86">
                  <c:v>1.841620626151013E-3</c:v>
                </c:pt>
                <c:pt idx="87">
                  <c:v>9.2081031307550652E-3</c:v>
                </c:pt>
                <c:pt idx="88">
                  <c:v>0.02</c:v>
                </c:pt>
                <c:pt idx="89">
                  <c:v>1.6103059581320451E-3</c:v>
                </c:pt>
                <c:pt idx="90">
                  <c:v>0.82222222222222219</c:v>
                </c:pt>
                <c:pt idx="91">
                  <c:v>0.74222222222222223</c:v>
                </c:pt>
                <c:pt idx="92">
                  <c:v>0.77887788778877887</c:v>
                </c:pt>
                <c:pt idx="93">
                  <c:v>0.68646864686468645</c:v>
                </c:pt>
                <c:pt idx="94">
                  <c:v>0.55683690280065901</c:v>
                </c:pt>
                <c:pt idx="95">
                  <c:v>0.5074135090609555</c:v>
                </c:pt>
                <c:pt idx="96">
                  <c:v>0.35914332784184516</c:v>
                </c:pt>
                <c:pt idx="97">
                  <c:v>0</c:v>
                </c:pt>
                <c:pt idx="98">
                  <c:v>0</c:v>
                </c:pt>
                <c:pt idx="99">
                  <c:v>7.7777777777777779E-2</c:v>
                </c:pt>
                <c:pt idx="100">
                  <c:v>0.11777777777777777</c:v>
                </c:pt>
                <c:pt idx="101">
                  <c:v>0.18129496402877698</c:v>
                </c:pt>
                <c:pt idx="102">
                  <c:v>0.14244604316546763</c:v>
                </c:pt>
                <c:pt idx="103">
                  <c:v>0.1251798561151079</c:v>
                </c:pt>
                <c:pt idx="104">
                  <c:v>0.56000000000000005</c:v>
                </c:pt>
                <c:pt idx="105">
                  <c:v>0.41333333333333333</c:v>
                </c:pt>
                <c:pt idx="106">
                  <c:v>0.47084233261339092</c:v>
                </c:pt>
                <c:pt idx="107">
                  <c:v>0.33693304535637147</c:v>
                </c:pt>
                <c:pt idx="108">
                  <c:v>6.8807339449541288E-3</c:v>
                </c:pt>
                <c:pt idx="109">
                  <c:v>2.2935779816513763E-3</c:v>
                </c:pt>
                <c:pt idx="110">
                  <c:v>0</c:v>
                </c:pt>
                <c:pt idx="111">
                  <c:v>0</c:v>
                </c:pt>
                <c:pt idx="112">
                  <c:v>4.7846889952153108E-3</c:v>
                </c:pt>
              </c:numCache>
            </c:numRef>
          </c:xVal>
          <c:yVal>
            <c:numRef>
              <c:f>RaceWorksheet!$A$2:$A$114</c:f>
              <c:numCache>
                <c:formatCode>0.0%</c:formatCode>
                <c:ptCount val="113"/>
                <c:pt idx="0">
                  <c:v>0.17711171662125341</c:v>
                </c:pt>
                <c:pt idx="1">
                  <c:v>0.15366430260047281</c:v>
                </c:pt>
                <c:pt idx="2">
                  <c:v>0.43795620437956206</c:v>
                </c:pt>
                <c:pt idx="3">
                  <c:v>0.23102310231023102</c:v>
                </c:pt>
                <c:pt idx="4">
                  <c:v>0.24649859943977592</c:v>
                </c:pt>
                <c:pt idx="5">
                  <c:v>0.39285714285714285</c:v>
                </c:pt>
                <c:pt idx="6">
                  <c:v>0.34108527131782945</c:v>
                </c:pt>
                <c:pt idx="7">
                  <c:v>0.3154034229828851</c:v>
                </c:pt>
                <c:pt idx="8">
                  <c:v>0.2880886426592798</c:v>
                </c:pt>
                <c:pt idx="9">
                  <c:v>0.109375</c:v>
                </c:pt>
                <c:pt idx="10">
                  <c:v>7.370517928286853E-2</c:v>
                </c:pt>
                <c:pt idx="11">
                  <c:v>0.68831168831168832</c:v>
                </c:pt>
                <c:pt idx="12">
                  <c:v>0.74853801169590639</c:v>
                </c:pt>
                <c:pt idx="13">
                  <c:v>0.77298850574712641</c:v>
                </c:pt>
                <c:pt idx="14">
                  <c:v>0.77079107505070998</c:v>
                </c:pt>
                <c:pt idx="15">
                  <c:v>0.74593495934959353</c:v>
                </c:pt>
                <c:pt idx="16">
                  <c:v>0.67334669338677355</c:v>
                </c:pt>
                <c:pt idx="17">
                  <c:v>0.7258382642998028</c:v>
                </c:pt>
                <c:pt idx="18">
                  <c:v>0.49856733524355301</c:v>
                </c:pt>
                <c:pt idx="19">
                  <c:v>0.53904282115869018</c:v>
                </c:pt>
                <c:pt idx="20">
                  <c:v>0.27225130890052357</c:v>
                </c:pt>
                <c:pt idx="21">
                  <c:v>7.6923076923076927E-2</c:v>
                </c:pt>
                <c:pt idx="22">
                  <c:v>0.59021406727828751</c:v>
                </c:pt>
                <c:pt idx="23">
                  <c:v>0.57493188010899188</c:v>
                </c:pt>
                <c:pt idx="24">
                  <c:v>0.56505576208178443</c:v>
                </c:pt>
                <c:pt idx="25">
                  <c:v>0.43478260869565216</c:v>
                </c:pt>
                <c:pt idx="26">
                  <c:v>0.11627906976744186</c:v>
                </c:pt>
                <c:pt idx="27">
                  <c:v>0.28368794326241137</c:v>
                </c:pt>
                <c:pt idx="28">
                  <c:v>0.22348484848484848</c:v>
                </c:pt>
                <c:pt idx="29">
                  <c:v>0.18279569892473119</c:v>
                </c:pt>
                <c:pt idx="30">
                  <c:v>0.13471502590673576</c:v>
                </c:pt>
                <c:pt idx="31">
                  <c:v>0.13896457765667575</c:v>
                </c:pt>
                <c:pt idx="32">
                  <c:v>0.13031914893617022</c:v>
                </c:pt>
                <c:pt idx="33">
                  <c:v>0.11064718162839249</c:v>
                </c:pt>
                <c:pt idx="34">
                  <c:v>9.4650205761316872E-2</c:v>
                </c:pt>
                <c:pt idx="35">
                  <c:v>7.8212290502793297E-2</c:v>
                </c:pt>
                <c:pt idx="36">
                  <c:v>0.11797752808988764</c:v>
                </c:pt>
                <c:pt idx="37">
                  <c:v>7.5650118203309691E-2</c:v>
                </c:pt>
                <c:pt idx="38">
                  <c:v>6.0532687651331719E-2</c:v>
                </c:pt>
                <c:pt idx="39">
                  <c:v>0.10208816705336426</c:v>
                </c:pt>
                <c:pt idx="40">
                  <c:v>0.58188153310104529</c:v>
                </c:pt>
                <c:pt idx="41">
                  <c:v>0.62352941176470589</c:v>
                </c:pt>
                <c:pt idx="42">
                  <c:v>0.63157894736842102</c:v>
                </c:pt>
                <c:pt idx="43">
                  <c:v>0.56657223796033995</c:v>
                </c:pt>
                <c:pt idx="44">
                  <c:v>0.50131926121372028</c:v>
                </c:pt>
                <c:pt idx="45">
                  <c:v>0.17127071823204421</c:v>
                </c:pt>
                <c:pt idx="46">
                  <c:v>0.20913461538461539</c:v>
                </c:pt>
                <c:pt idx="47">
                  <c:v>0.7682539682539683</c:v>
                </c:pt>
                <c:pt idx="48">
                  <c:v>0.7801857585139319</c:v>
                </c:pt>
                <c:pt idx="49">
                  <c:v>0.67142857142857137</c:v>
                </c:pt>
                <c:pt idx="50">
                  <c:v>0.61774744027303752</c:v>
                </c:pt>
                <c:pt idx="51">
                  <c:v>0.17447916666666666</c:v>
                </c:pt>
                <c:pt idx="52">
                  <c:v>0.1575492341356674</c:v>
                </c:pt>
                <c:pt idx="53">
                  <c:v>0.28660436137071649</c:v>
                </c:pt>
                <c:pt idx="54">
                  <c:v>0.27491408934707906</c:v>
                </c:pt>
                <c:pt idx="55">
                  <c:v>0.25475285171102663</c:v>
                </c:pt>
                <c:pt idx="56">
                  <c:v>0.1392757660167131</c:v>
                </c:pt>
                <c:pt idx="57">
                  <c:v>0.16758241758241757</c:v>
                </c:pt>
                <c:pt idx="58">
                  <c:v>0.13422818791946309</c:v>
                </c:pt>
                <c:pt idx="59">
                  <c:v>0.1050228310502283</c:v>
                </c:pt>
                <c:pt idx="60">
                  <c:v>0.1348314606741573</c:v>
                </c:pt>
                <c:pt idx="61">
                  <c:v>0.11221945137157108</c:v>
                </c:pt>
                <c:pt idx="62">
                  <c:v>0.10133843212237094</c:v>
                </c:pt>
                <c:pt idx="63">
                  <c:v>5.0761421319796954E-2</c:v>
                </c:pt>
                <c:pt idx="64">
                  <c:v>7.3791348600508899E-2</c:v>
                </c:pt>
                <c:pt idx="65">
                  <c:v>9.2077087794432549E-2</c:v>
                </c:pt>
                <c:pt idx="66">
                  <c:v>4.7722342733188719E-2</c:v>
                </c:pt>
                <c:pt idx="67">
                  <c:v>6.9958847736625515E-2</c:v>
                </c:pt>
                <c:pt idx="68">
                  <c:v>6.7796610169491525E-2</c:v>
                </c:pt>
                <c:pt idx="69">
                  <c:v>0.45344129554655871</c:v>
                </c:pt>
                <c:pt idx="70">
                  <c:v>0.3987730061349693</c:v>
                </c:pt>
                <c:pt idx="71">
                  <c:v>0.41340782122905029</c:v>
                </c:pt>
                <c:pt idx="72">
                  <c:v>0.46</c:v>
                </c:pt>
                <c:pt idx="73">
                  <c:v>0.33394495412844039</c:v>
                </c:pt>
                <c:pt idx="74">
                  <c:v>7.2423398328690811E-2</c:v>
                </c:pt>
                <c:pt idx="75">
                  <c:v>9.5684803001876179E-2</c:v>
                </c:pt>
                <c:pt idx="76">
                  <c:v>6.2663185378590072E-2</c:v>
                </c:pt>
                <c:pt idx="77">
                  <c:v>0.14168937329700274</c:v>
                </c:pt>
                <c:pt idx="78">
                  <c:v>6.6810344827586202E-2</c:v>
                </c:pt>
                <c:pt idx="79">
                  <c:v>7.415730337078652E-2</c:v>
                </c:pt>
                <c:pt idx="80">
                  <c:v>7.4152542372881353E-2</c:v>
                </c:pt>
                <c:pt idx="81">
                  <c:v>0.1002710027100271</c:v>
                </c:pt>
                <c:pt idx="82">
                  <c:v>9.9415204678362568E-2</c:v>
                </c:pt>
                <c:pt idx="83">
                  <c:v>6.2068965517241378E-2</c:v>
                </c:pt>
                <c:pt idx="84">
                  <c:v>0.10440835266821345</c:v>
                </c:pt>
                <c:pt idx="85">
                  <c:v>0.35174418604651164</c:v>
                </c:pt>
                <c:pt idx="86">
                  <c:v>0.39037433155080214</c:v>
                </c:pt>
                <c:pt idx="87">
                  <c:v>0.35128205128205126</c:v>
                </c:pt>
                <c:pt idx="88">
                  <c:v>0.17847025495750707</c:v>
                </c:pt>
                <c:pt idx="89">
                  <c:v>0.17043121149897331</c:v>
                </c:pt>
                <c:pt idx="90">
                  <c:v>0.74509803921568629</c:v>
                </c:pt>
                <c:pt idx="91">
                  <c:v>0.70903954802259883</c:v>
                </c:pt>
                <c:pt idx="92">
                  <c:v>0.73829787234042554</c:v>
                </c:pt>
                <c:pt idx="93">
                  <c:v>0.69856459330143539</c:v>
                </c:pt>
                <c:pt idx="94">
                  <c:v>0.61009174311926606</c:v>
                </c:pt>
                <c:pt idx="95">
                  <c:v>0.5665137614678899</c:v>
                </c:pt>
                <c:pt idx="96">
                  <c:v>0.39059304703476483</c:v>
                </c:pt>
                <c:pt idx="97">
                  <c:v>0.1424731182795699</c:v>
                </c:pt>
                <c:pt idx="98">
                  <c:v>0.12747875354107649</c:v>
                </c:pt>
                <c:pt idx="99">
                  <c:v>0.19003115264797507</c:v>
                </c:pt>
                <c:pt idx="100">
                  <c:v>0.25065274151436029</c:v>
                </c:pt>
                <c:pt idx="101">
                  <c:v>0.3170289855072464</c:v>
                </c:pt>
                <c:pt idx="102">
                  <c:v>0.25563909774436089</c:v>
                </c:pt>
                <c:pt idx="103">
                  <c:v>0.26335174953959484</c:v>
                </c:pt>
                <c:pt idx="104">
                  <c:v>0.51418439716312059</c:v>
                </c:pt>
                <c:pt idx="105">
                  <c:v>0.51327433628318586</c:v>
                </c:pt>
                <c:pt idx="106">
                  <c:v>0.51461988304093564</c:v>
                </c:pt>
                <c:pt idx="107">
                  <c:v>0.4599406528189911</c:v>
                </c:pt>
                <c:pt idx="108">
                  <c:v>0.19526627218934911</c:v>
                </c:pt>
                <c:pt idx="109">
                  <c:v>0.16374269005847952</c:v>
                </c:pt>
                <c:pt idx="110">
                  <c:v>0.18786127167630057</c:v>
                </c:pt>
                <c:pt idx="111">
                  <c:v>0.1246376811594203</c:v>
                </c:pt>
                <c:pt idx="112">
                  <c:v>9.5238095238095233E-2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4B-474F-8B41-32DF95361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291472"/>
        <c:axId val="1632305424"/>
      </c:scatterChart>
      <c:valAx>
        <c:axId val="5942914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05424"/>
        <c:crosses val="autoZero"/>
        <c:crossBetween val="midCat"/>
      </c:valAx>
      <c:valAx>
        <c:axId val="163230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9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BN% vs Chinese% P126 Jelebu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5088145231846023E-2"/>
                  <c:y val="-0.40293161271507727"/>
                </c:manualLayout>
              </c:layout>
              <c:numFmt formatCode="General" sourceLinked="0"/>
              <c:spPr>
                <a:solidFill>
                  <a:schemeClr val="bg1">
                    <a:lumMod val="7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RaceWorksheet!$J$2:$J$114</c:f>
              <c:numCache>
                <c:formatCode>0.0%</c:formatCode>
                <c:ptCount val="113"/>
                <c:pt idx="0">
                  <c:v>2.2222222222222222E-3</c:v>
                </c:pt>
                <c:pt idx="1">
                  <c:v>0</c:v>
                </c:pt>
                <c:pt idx="2">
                  <c:v>0.57614213197969544</c:v>
                </c:pt>
                <c:pt idx="3">
                  <c:v>0.20253164556962025</c:v>
                </c:pt>
                <c:pt idx="4">
                  <c:v>0.24888888888888888</c:v>
                </c:pt>
                <c:pt idx="5">
                  <c:v>0.32627865961199293</c:v>
                </c:pt>
                <c:pt idx="6">
                  <c:v>0.29276895943562609</c:v>
                </c:pt>
                <c:pt idx="7">
                  <c:v>0.17813051146384479</c:v>
                </c:pt>
                <c:pt idx="8">
                  <c:v>0.31333333333333335</c:v>
                </c:pt>
                <c:pt idx="9">
                  <c:v>0.11532385466034756</c:v>
                </c:pt>
                <c:pt idx="10">
                  <c:v>7.1090047393364927E-2</c:v>
                </c:pt>
                <c:pt idx="11">
                  <c:v>0.89555555555555555</c:v>
                </c:pt>
                <c:pt idx="12">
                  <c:v>0.91555555555555557</c:v>
                </c:pt>
                <c:pt idx="13">
                  <c:v>0.88888888888888884</c:v>
                </c:pt>
                <c:pt idx="14">
                  <c:v>0.8737300435413643</c:v>
                </c:pt>
                <c:pt idx="15">
                  <c:v>0.78229317851959357</c:v>
                </c:pt>
                <c:pt idx="16">
                  <c:v>0.71117561683599417</c:v>
                </c:pt>
                <c:pt idx="17">
                  <c:v>0.77971014492753621</c:v>
                </c:pt>
                <c:pt idx="18">
                  <c:v>0.61777777777777776</c:v>
                </c:pt>
                <c:pt idx="19">
                  <c:v>0.51371115173674586</c:v>
                </c:pt>
                <c:pt idx="20">
                  <c:v>0.22486288848263253</c:v>
                </c:pt>
                <c:pt idx="21">
                  <c:v>2.5316455696202532E-3</c:v>
                </c:pt>
                <c:pt idx="22">
                  <c:v>0.69777777777777783</c:v>
                </c:pt>
                <c:pt idx="23">
                  <c:v>0.62444444444444447</c:v>
                </c:pt>
                <c:pt idx="24">
                  <c:v>0.5514809590973202</c:v>
                </c:pt>
                <c:pt idx="25">
                  <c:v>0.39295774647887322</c:v>
                </c:pt>
                <c:pt idx="26">
                  <c:v>0</c:v>
                </c:pt>
                <c:pt idx="27">
                  <c:v>2.9940119760479044E-3</c:v>
                </c:pt>
                <c:pt idx="28">
                  <c:v>0</c:v>
                </c:pt>
                <c:pt idx="29">
                  <c:v>4.2222222222222223E-2</c:v>
                </c:pt>
                <c:pt idx="30">
                  <c:v>1.3944223107569721E-2</c:v>
                </c:pt>
                <c:pt idx="31">
                  <c:v>2.7888446215139442E-2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4.4444444444444444E-3</c:v>
                </c:pt>
                <c:pt idx="36">
                  <c:v>2.2222222222222222E-3</c:v>
                </c:pt>
                <c:pt idx="37">
                  <c:v>0</c:v>
                </c:pt>
                <c:pt idx="38">
                  <c:v>3.5149384885764497E-3</c:v>
                </c:pt>
                <c:pt idx="39">
                  <c:v>0</c:v>
                </c:pt>
                <c:pt idx="40">
                  <c:v>0.62</c:v>
                </c:pt>
                <c:pt idx="41">
                  <c:v>0.51333333333333331</c:v>
                </c:pt>
                <c:pt idx="42">
                  <c:v>0.5126353790613718</c:v>
                </c:pt>
                <c:pt idx="43">
                  <c:v>0.39350180505415161</c:v>
                </c:pt>
                <c:pt idx="44">
                  <c:v>0.3267148014440433</c:v>
                </c:pt>
                <c:pt idx="45">
                  <c:v>0</c:v>
                </c:pt>
                <c:pt idx="46">
                  <c:v>1.8214936247723133E-3</c:v>
                </c:pt>
                <c:pt idx="47">
                  <c:v>0.83333333333333337</c:v>
                </c:pt>
                <c:pt idx="48">
                  <c:v>0.81111111111111112</c:v>
                </c:pt>
                <c:pt idx="49">
                  <c:v>0.68913043478260871</c:v>
                </c:pt>
                <c:pt idx="50">
                  <c:v>0.64565217391304353</c:v>
                </c:pt>
                <c:pt idx="51">
                  <c:v>4.4444444444444444E-3</c:v>
                </c:pt>
                <c:pt idx="52">
                  <c:v>1.6920473773265651E-3</c:v>
                </c:pt>
                <c:pt idx="53">
                  <c:v>0.34252873563218389</c:v>
                </c:pt>
                <c:pt idx="54">
                  <c:v>0.22706422018348624</c:v>
                </c:pt>
                <c:pt idx="55">
                  <c:v>0.20412844036697247</c:v>
                </c:pt>
                <c:pt idx="56">
                  <c:v>5.7777777777777775E-2</c:v>
                </c:pt>
                <c:pt idx="57">
                  <c:v>4.6666666666666669E-2</c:v>
                </c:pt>
                <c:pt idx="58">
                  <c:v>3.8216560509554139E-2</c:v>
                </c:pt>
                <c:pt idx="59">
                  <c:v>2.7027027027027029E-2</c:v>
                </c:pt>
                <c:pt idx="60">
                  <c:v>3.1796502384737677E-2</c:v>
                </c:pt>
                <c:pt idx="61">
                  <c:v>2.6666666666666668E-2</c:v>
                </c:pt>
                <c:pt idx="62">
                  <c:v>2.7142857142857142E-2</c:v>
                </c:pt>
                <c:pt idx="63">
                  <c:v>0</c:v>
                </c:pt>
                <c:pt idx="64">
                  <c:v>2.2222222222222222E-3</c:v>
                </c:pt>
                <c:pt idx="65">
                  <c:v>0</c:v>
                </c:pt>
                <c:pt idx="66">
                  <c:v>1.5698587127158557E-3</c:v>
                </c:pt>
                <c:pt idx="67">
                  <c:v>0</c:v>
                </c:pt>
                <c:pt idx="68">
                  <c:v>0</c:v>
                </c:pt>
                <c:pt idx="69">
                  <c:v>5.3050397877984087E-2</c:v>
                </c:pt>
                <c:pt idx="70">
                  <c:v>0.39333333333333331</c:v>
                </c:pt>
                <c:pt idx="71">
                  <c:v>0.24222222222222223</c:v>
                </c:pt>
                <c:pt idx="72">
                  <c:v>0.31010928961748635</c:v>
                </c:pt>
                <c:pt idx="73">
                  <c:v>0.18144611186903137</c:v>
                </c:pt>
                <c:pt idx="74">
                  <c:v>0</c:v>
                </c:pt>
                <c:pt idx="75">
                  <c:v>0</c:v>
                </c:pt>
                <c:pt idx="76">
                  <c:v>2.2222222222222222E-3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1.3333333333333334E-2</c:v>
                </c:pt>
                <c:pt idx="86">
                  <c:v>1.841620626151013E-3</c:v>
                </c:pt>
                <c:pt idx="87">
                  <c:v>9.2081031307550652E-3</c:v>
                </c:pt>
                <c:pt idx="88">
                  <c:v>0.02</c:v>
                </c:pt>
                <c:pt idx="89">
                  <c:v>1.6103059581320451E-3</c:v>
                </c:pt>
                <c:pt idx="90">
                  <c:v>0.82222222222222219</c:v>
                </c:pt>
                <c:pt idx="91">
                  <c:v>0.74222222222222223</c:v>
                </c:pt>
                <c:pt idx="92">
                  <c:v>0.77887788778877887</c:v>
                </c:pt>
                <c:pt idx="93">
                  <c:v>0.68646864686468645</c:v>
                </c:pt>
                <c:pt idx="94">
                  <c:v>0.55683690280065901</c:v>
                </c:pt>
                <c:pt idx="95">
                  <c:v>0.5074135090609555</c:v>
                </c:pt>
                <c:pt idx="96">
                  <c:v>0.35914332784184516</c:v>
                </c:pt>
                <c:pt idx="97">
                  <c:v>0</c:v>
                </c:pt>
                <c:pt idx="98">
                  <c:v>0</c:v>
                </c:pt>
                <c:pt idx="99">
                  <c:v>7.7777777777777779E-2</c:v>
                </c:pt>
                <c:pt idx="100">
                  <c:v>0.11777777777777777</c:v>
                </c:pt>
                <c:pt idx="101">
                  <c:v>0.18129496402877698</c:v>
                </c:pt>
                <c:pt idx="102">
                  <c:v>0.14244604316546763</c:v>
                </c:pt>
                <c:pt idx="103">
                  <c:v>0.1251798561151079</c:v>
                </c:pt>
                <c:pt idx="104">
                  <c:v>0.56000000000000005</c:v>
                </c:pt>
                <c:pt idx="105">
                  <c:v>0.41333333333333333</c:v>
                </c:pt>
                <c:pt idx="106">
                  <c:v>0.47084233261339092</c:v>
                </c:pt>
                <c:pt idx="107">
                  <c:v>0.33693304535637147</c:v>
                </c:pt>
                <c:pt idx="108">
                  <c:v>6.8807339449541288E-3</c:v>
                </c:pt>
                <c:pt idx="109">
                  <c:v>2.2935779816513763E-3</c:v>
                </c:pt>
                <c:pt idx="110">
                  <c:v>0</c:v>
                </c:pt>
                <c:pt idx="111">
                  <c:v>0</c:v>
                </c:pt>
                <c:pt idx="112">
                  <c:v>4.7846889952153108E-3</c:v>
                </c:pt>
              </c:numCache>
            </c:numRef>
          </c:xVal>
          <c:yVal>
            <c:numRef>
              <c:f>RaceWorksheet!$C$2:$C$114</c:f>
              <c:numCache>
                <c:formatCode>0.0%</c:formatCode>
                <c:ptCount val="113"/>
                <c:pt idx="0">
                  <c:v>0.55040871934604907</c:v>
                </c:pt>
                <c:pt idx="1">
                  <c:v>0.45153664302600471</c:v>
                </c:pt>
                <c:pt idx="2">
                  <c:v>0.41970802919708028</c:v>
                </c:pt>
                <c:pt idx="3">
                  <c:v>0.59405940594059403</c:v>
                </c:pt>
                <c:pt idx="4">
                  <c:v>0.63585434173669464</c:v>
                </c:pt>
                <c:pt idx="5">
                  <c:v>0.39761904761904759</c:v>
                </c:pt>
                <c:pt idx="6">
                  <c:v>0.37984496124031009</c:v>
                </c:pt>
                <c:pt idx="7">
                  <c:v>0.40831295843520782</c:v>
                </c:pt>
                <c:pt idx="8">
                  <c:v>0.61772853185595566</c:v>
                </c:pt>
                <c:pt idx="9">
                  <c:v>0.7544642857142857</c:v>
                </c:pt>
                <c:pt idx="10">
                  <c:v>0.81474103585657376</c:v>
                </c:pt>
                <c:pt idx="11">
                  <c:v>0.2564935064935065</c:v>
                </c:pt>
                <c:pt idx="12">
                  <c:v>0.21929824561403508</c:v>
                </c:pt>
                <c:pt idx="13">
                  <c:v>0.20402298850574713</c:v>
                </c:pt>
                <c:pt idx="14">
                  <c:v>0.17241379310344829</c:v>
                </c:pt>
                <c:pt idx="15">
                  <c:v>0.16463414634146342</c:v>
                </c:pt>
                <c:pt idx="16">
                  <c:v>0.20841683366733466</c:v>
                </c:pt>
                <c:pt idx="17">
                  <c:v>0.1893491124260355</c:v>
                </c:pt>
                <c:pt idx="18">
                  <c:v>0.44412607449856734</c:v>
                </c:pt>
                <c:pt idx="19">
                  <c:v>0.32493702770780858</c:v>
                </c:pt>
                <c:pt idx="20">
                  <c:v>0.47643979057591623</c:v>
                </c:pt>
                <c:pt idx="21">
                  <c:v>0.72</c:v>
                </c:pt>
                <c:pt idx="22">
                  <c:v>0.34250764525993882</c:v>
                </c:pt>
                <c:pt idx="23">
                  <c:v>0.32152588555858308</c:v>
                </c:pt>
                <c:pt idx="24">
                  <c:v>0.27137546468401486</c:v>
                </c:pt>
                <c:pt idx="25">
                  <c:v>0.30434782608695654</c:v>
                </c:pt>
                <c:pt idx="26">
                  <c:v>0.47209302325581393</c:v>
                </c:pt>
                <c:pt idx="27">
                  <c:v>0.46453900709219859</c:v>
                </c:pt>
                <c:pt idx="28">
                  <c:v>0.34848484848484851</c:v>
                </c:pt>
                <c:pt idx="29">
                  <c:v>0.71505376344086025</c:v>
                </c:pt>
                <c:pt idx="30">
                  <c:v>0.63989637305699487</c:v>
                </c:pt>
                <c:pt idx="31">
                  <c:v>0.66212534059945505</c:v>
                </c:pt>
                <c:pt idx="32">
                  <c:v>0.71542553191489366</c:v>
                </c:pt>
                <c:pt idx="33">
                  <c:v>0.5365344467640919</c:v>
                </c:pt>
                <c:pt idx="34">
                  <c:v>0.53292181069958844</c:v>
                </c:pt>
                <c:pt idx="35">
                  <c:v>0.78491620111731841</c:v>
                </c:pt>
                <c:pt idx="36">
                  <c:v>0.5870786516853933</c:v>
                </c:pt>
                <c:pt idx="37">
                  <c:v>0.55082742316784872</c:v>
                </c:pt>
                <c:pt idx="38">
                  <c:v>0.55932203389830504</c:v>
                </c:pt>
                <c:pt idx="39">
                  <c:v>0.51044083526682138</c:v>
                </c:pt>
                <c:pt idx="40">
                  <c:v>0.35540069686411152</c:v>
                </c:pt>
                <c:pt idx="41">
                  <c:v>0.29411764705882354</c:v>
                </c:pt>
                <c:pt idx="42">
                  <c:v>0.28157894736842104</c:v>
                </c:pt>
                <c:pt idx="43">
                  <c:v>0.30594900849858359</c:v>
                </c:pt>
                <c:pt idx="44">
                  <c:v>0.35356200527704484</c:v>
                </c:pt>
                <c:pt idx="45">
                  <c:v>0.65193370165745856</c:v>
                </c:pt>
                <c:pt idx="46">
                  <c:v>0.49278846153846156</c:v>
                </c:pt>
                <c:pt idx="47">
                  <c:v>0.17460317460317459</c:v>
                </c:pt>
                <c:pt idx="48">
                  <c:v>0.15479876160990713</c:v>
                </c:pt>
                <c:pt idx="49">
                  <c:v>0.21785714285714286</c:v>
                </c:pt>
                <c:pt idx="50">
                  <c:v>0.22525597269624573</c:v>
                </c:pt>
                <c:pt idx="51">
                  <c:v>0.63802083333333337</c:v>
                </c:pt>
                <c:pt idx="52">
                  <c:v>0.5908096280087527</c:v>
                </c:pt>
                <c:pt idx="53">
                  <c:v>0.59190031152647971</c:v>
                </c:pt>
                <c:pt idx="54">
                  <c:v>0.55670103092783507</c:v>
                </c:pt>
                <c:pt idx="55">
                  <c:v>0.56273764258555137</c:v>
                </c:pt>
                <c:pt idx="56">
                  <c:v>0.69637883008356549</c:v>
                </c:pt>
                <c:pt idx="57">
                  <c:v>0.64560439560439564</c:v>
                </c:pt>
                <c:pt idx="58">
                  <c:v>0.48769574944071586</c:v>
                </c:pt>
                <c:pt idx="59">
                  <c:v>0.45205479452054792</c:v>
                </c:pt>
                <c:pt idx="60">
                  <c:v>0.46966292134831461</c:v>
                </c:pt>
                <c:pt idx="61">
                  <c:v>0.69825436408977559</c:v>
                </c:pt>
                <c:pt idx="62">
                  <c:v>0.50286806883365198</c:v>
                </c:pt>
                <c:pt idx="63">
                  <c:v>0.76395939086294418</c:v>
                </c:pt>
                <c:pt idx="64">
                  <c:v>0.70737913486005088</c:v>
                </c:pt>
                <c:pt idx="65">
                  <c:v>0.57173447537473232</c:v>
                </c:pt>
                <c:pt idx="66">
                  <c:v>0.53362255965292837</c:v>
                </c:pt>
                <c:pt idx="67">
                  <c:v>0.57818930041152261</c:v>
                </c:pt>
                <c:pt idx="68">
                  <c:v>0.47457627118644069</c:v>
                </c:pt>
                <c:pt idx="69">
                  <c:v>0.42105263157894735</c:v>
                </c:pt>
                <c:pt idx="70">
                  <c:v>0.49079754601226994</c:v>
                </c:pt>
                <c:pt idx="71">
                  <c:v>0.44413407821229051</c:v>
                </c:pt>
                <c:pt idx="72">
                  <c:v>0.33</c:v>
                </c:pt>
                <c:pt idx="73">
                  <c:v>0.37431192660550461</c:v>
                </c:pt>
                <c:pt idx="74">
                  <c:v>0.70473537604456826</c:v>
                </c:pt>
                <c:pt idx="75">
                  <c:v>0.51782363977485923</c:v>
                </c:pt>
                <c:pt idx="76">
                  <c:v>0.76762402088772841</c:v>
                </c:pt>
                <c:pt idx="77">
                  <c:v>0.66485013623978206</c:v>
                </c:pt>
                <c:pt idx="78">
                  <c:v>0.55172413793103448</c:v>
                </c:pt>
                <c:pt idx="79">
                  <c:v>0.53258426966292138</c:v>
                </c:pt>
                <c:pt idx="80">
                  <c:v>0.51271186440677963</c:v>
                </c:pt>
                <c:pt idx="81">
                  <c:v>0.72628726287262868</c:v>
                </c:pt>
                <c:pt idx="82">
                  <c:v>0.52631578947368418</c:v>
                </c:pt>
                <c:pt idx="83">
                  <c:v>0.54252873563218396</c:v>
                </c:pt>
                <c:pt idx="84">
                  <c:v>0.46403712296983757</c:v>
                </c:pt>
                <c:pt idx="85">
                  <c:v>0.50872093023255816</c:v>
                </c:pt>
                <c:pt idx="86">
                  <c:v>0.47860962566844922</c:v>
                </c:pt>
                <c:pt idx="87">
                  <c:v>0.3923076923076923</c:v>
                </c:pt>
                <c:pt idx="88">
                  <c:v>0.63172804532577909</c:v>
                </c:pt>
                <c:pt idx="89">
                  <c:v>0.41889117043121149</c:v>
                </c:pt>
                <c:pt idx="90">
                  <c:v>0.21241830065359477</c:v>
                </c:pt>
                <c:pt idx="91">
                  <c:v>0.2288135593220339</c:v>
                </c:pt>
                <c:pt idx="92">
                  <c:v>0.19787234042553192</c:v>
                </c:pt>
                <c:pt idx="93">
                  <c:v>0.21291866028708134</c:v>
                </c:pt>
                <c:pt idx="94">
                  <c:v>0.25229357798165136</c:v>
                </c:pt>
                <c:pt idx="95">
                  <c:v>0.24770642201834864</c:v>
                </c:pt>
                <c:pt idx="96">
                  <c:v>0.35378323108384457</c:v>
                </c:pt>
                <c:pt idx="97">
                  <c:v>0.67204301075268813</c:v>
                </c:pt>
                <c:pt idx="98">
                  <c:v>0.5439093484419264</c:v>
                </c:pt>
                <c:pt idx="99">
                  <c:v>0.66666666666666663</c:v>
                </c:pt>
                <c:pt idx="100">
                  <c:v>0.56135770234986948</c:v>
                </c:pt>
                <c:pt idx="101">
                  <c:v>0.44021739130434784</c:v>
                </c:pt>
                <c:pt idx="102">
                  <c:v>0.45112781954887216</c:v>
                </c:pt>
                <c:pt idx="103">
                  <c:v>0.4567219152854512</c:v>
                </c:pt>
                <c:pt idx="104">
                  <c:v>0.39361702127659576</c:v>
                </c:pt>
                <c:pt idx="105">
                  <c:v>0.34513274336283184</c:v>
                </c:pt>
                <c:pt idx="106">
                  <c:v>0.33625730994152048</c:v>
                </c:pt>
                <c:pt idx="107">
                  <c:v>0.33827893175074186</c:v>
                </c:pt>
                <c:pt idx="108">
                  <c:v>0.64792899408284022</c:v>
                </c:pt>
                <c:pt idx="109">
                  <c:v>0.47953216374269003</c:v>
                </c:pt>
                <c:pt idx="110">
                  <c:v>0.42485549132947975</c:v>
                </c:pt>
                <c:pt idx="111">
                  <c:v>0.66666666666666663</c:v>
                </c:pt>
                <c:pt idx="112">
                  <c:v>0.61904761904761907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3D-41D6-8469-CC21E44AC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4291472"/>
        <c:axId val="1632305424"/>
      </c:scatterChart>
      <c:valAx>
        <c:axId val="59429147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305424"/>
        <c:crosses val="autoZero"/>
        <c:crossBetween val="midCat"/>
      </c:valAx>
      <c:valAx>
        <c:axId val="163230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91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N1Chennah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388145231846019"/>
                  <c:y val="0.154819553805774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N1Chennah!$E$2:$E$28</c:f>
              <c:numCache>
                <c:formatCode>0.0%</c:formatCode>
                <c:ptCount val="27"/>
                <c:pt idx="0">
                  <c:v>0.99777777777777776</c:v>
                </c:pt>
                <c:pt idx="1">
                  <c:v>1</c:v>
                </c:pt>
                <c:pt idx="2">
                  <c:v>0.32233502538071068</c:v>
                </c:pt>
                <c:pt idx="3">
                  <c:v>0.47848101265822784</c:v>
                </c:pt>
                <c:pt idx="4">
                  <c:v>0.70222222222222219</c:v>
                </c:pt>
                <c:pt idx="5">
                  <c:v>0.58906525573192237</c:v>
                </c:pt>
                <c:pt idx="6">
                  <c:v>0.63315696649029984</c:v>
                </c:pt>
                <c:pt idx="7">
                  <c:v>0.76014109347442682</c:v>
                </c:pt>
                <c:pt idx="8">
                  <c:v>0.48444444444444446</c:v>
                </c:pt>
                <c:pt idx="9">
                  <c:v>0.54660347551342814</c:v>
                </c:pt>
                <c:pt idx="10">
                  <c:v>0.57030015797788314</c:v>
                </c:pt>
                <c:pt idx="11">
                  <c:v>9.1111111111111115E-2</c:v>
                </c:pt>
                <c:pt idx="12">
                  <c:v>7.5555555555555556E-2</c:v>
                </c:pt>
                <c:pt idx="13">
                  <c:v>0.10222222222222223</c:v>
                </c:pt>
                <c:pt idx="14">
                  <c:v>0.11030478955007257</c:v>
                </c:pt>
                <c:pt idx="15">
                  <c:v>0.19158200290275762</c:v>
                </c:pt>
                <c:pt idx="16">
                  <c:v>0.26705370101596515</c:v>
                </c:pt>
                <c:pt idx="17">
                  <c:v>0.2</c:v>
                </c:pt>
                <c:pt idx="18">
                  <c:v>0.37111111111111111</c:v>
                </c:pt>
                <c:pt idx="19">
                  <c:v>0.47531992687385738</c:v>
                </c:pt>
                <c:pt idx="20">
                  <c:v>0.76599634369287017</c:v>
                </c:pt>
                <c:pt idx="21">
                  <c:v>0.98987341772151893</c:v>
                </c:pt>
                <c:pt idx="22">
                  <c:v>0.26666666666666666</c:v>
                </c:pt>
                <c:pt idx="23">
                  <c:v>0.34444444444444444</c:v>
                </c:pt>
                <c:pt idx="24">
                  <c:v>0.42595204513399154</c:v>
                </c:pt>
                <c:pt idx="25">
                  <c:v>0.59154929577464788</c:v>
                </c:pt>
                <c:pt idx="26">
                  <c:v>0.98671726755218214</c:v>
                </c:pt>
              </c:numCache>
            </c:numRef>
          </c:xVal>
          <c:yVal>
            <c:numRef>
              <c:f>N1Chennah!$A$2:$A$28</c:f>
              <c:numCache>
                <c:formatCode>0.0%</c:formatCode>
                <c:ptCount val="27"/>
                <c:pt idx="0">
                  <c:v>0.81555555555555559</c:v>
                </c:pt>
                <c:pt idx="1">
                  <c:v>0.78770949720670391</c:v>
                </c:pt>
                <c:pt idx="2">
                  <c:v>0.69543147208121825</c:v>
                </c:pt>
                <c:pt idx="3">
                  <c:v>0.76708860759493669</c:v>
                </c:pt>
                <c:pt idx="4">
                  <c:v>0.79333333333333333</c:v>
                </c:pt>
                <c:pt idx="5">
                  <c:v>0.7407407407407407</c:v>
                </c:pt>
                <c:pt idx="6">
                  <c:v>0.68253968253968256</c:v>
                </c:pt>
                <c:pt idx="7">
                  <c:v>0.72134038800705469</c:v>
                </c:pt>
                <c:pt idx="8">
                  <c:v>0.80222222222222217</c:v>
                </c:pt>
                <c:pt idx="9">
                  <c:v>0.70774091627172198</c:v>
                </c:pt>
                <c:pt idx="10">
                  <c:v>0.79304897314375988</c:v>
                </c:pt>
                <c:pt idx="11">
                  <c:v>0.68444444444444441</c:v>
                </c:pt>
                <c:pt idx="12">
                  <c:v>0.76</c:v>
                </c:pt>
                <c:pt idx="13">
                  <c:v>0.77333333333333332</c:v>
                </c:pt>
                <c:pt idx="14">
                  <c:v>0.71552975326560231</c:v>
                </c:pt>
                <c:pt idx="15">
                  <c:v>0.71407837445573297</c:v>
                </c:pt>
                <c:pt idx="16">
                  <c:v>0.72423802612481858</c:v>
                </c:pt>
                <c:pt idx="17">
                  <c:v>0.73478260869565215</c:v>
                </c:pt>
                <c:pt idx="18">
                  <c:v>0.77555555555555555</c:v>
                </c:pt>
                <c:pt idx="19">
                  <c:v>0.72577696526508229</c:v>
                </c:pt>
                <c:pt idx="20">
                  <c:v>0.69835466179159045</c:v>
                </c:pt>
                <c:pt idx="21">
                  <c:v>0.82278481012658233</c:v>
                </c:pt>
                <c:pt idx="22">
                  <c:v>0.72666666666666668</c:v>
                </c:pt>
                <c:pt idx="23">
                  <c:v>0.81555555555555559</c:v>
                </c:pt>
                <c:pt idx="24">
                  <c:v>0.75881523272214391</c:v>
                </c:pt>
                <c:pt idx="25">
                  <c:v>0.8098591549295775</c:v>
                </c:pt>
                <c:pt idx="26">
                  <c:v>0.81593927893738138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B6-47AB-BEA9-1C2BA0C08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157359"/>
        <c:axId val="207475839"/>
      </c:scatterChart>
      <c:valAx>
        <c:axId val="212315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5839"/>
        <c:crosses val="autoZero"/>
        <c:crossBetween val="midCat"/>
      </c:valAx>
      <c:valAx>
        <c:axId val="2074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15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N1Chennah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388145231846019"/>
                  <c:y val="0.154819553805774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N1Chennah!$F$2:$F$28</c:f>
              <c:numCache>
                <c:formatCode>0.0%</c:formatCode>
                <c:ptCount val="27"/>
                <c:pt idx="0">
                  <c:v>2.2222222222222222E-3</c:v>
                </c:pt>
                <c:pt idx="1">
                  <c:v>0</c:v>
                </c:pt>
                <c:pt idx="2">
                  <c:v>0.57614213197969544</c:v>
                </c:pt>
                <c:pt idx="3">
                  <c:v>0.20253164556962025</c:v>
                </c:pt>
                <c:pt idx="4">
                  <c:v>0.24888888888888888</c:v>
                </c:pt>
                <c:pt idx="5">
                  <c:v>0.32627865961199293</c:v>
                </c:pt>
                <c:pt idx="6">
                  <c:v>0.29276895943562609</c:v>
                </c:pt>
                <c:pt idx="7">
                  <c:v>0.17813051146384479</c:v>
                </c:pt>
                <c:pt idx="8">
                  <c:v>0.31333333333333335</c:v>
                </c:pt>
                <c:pt idx="9">
                  <c:v>0.11532385466034756</c:v>
                </c:pt>
                <c:pt idx="10">
                  <c:v>7.1090047393364927E-2</c:v>
                </c:pt>
                <c:pt idx="11">
                  <c:v>0.89555555555555555</c:v>
                </c:pt>
                <c:pt idx="12">
                  <c:v>0.91555555555555557</c:v>
                </c:pt>
                <c:pt idx="13">
                  <c:v>0.88888888888888884</c:v>
                </c:pt>
                <c:pt idx="14">
                  <c:v>0.8737300435413643</c:v>
                </c:pt>
                <c:pt idx="15">
                  <c:v>0.78229317851959357</c:v>
                </c:pt>
                <c:pt idx="16">
                  <c:v>0.71117561683599417</c:v>
                </c:pt>
                <c:pt idx="17">
                  <c:v>0.77971014492753621</c:v>
                </c:pt>
                <c:pt idx="18">
                  <c:v>0.61777777777777776</c:v>
                </c:pt>
                <c:pt idx="19">
                  <c:v>0.51371115173674586</c:v>
                </c:pt>
                <c:pt idx="20">
                  <c:v>0.22486288848263253</c:v>
                </c:pt>
                <c:pt idx="21">
                  <c:v>2.5316455696202532E-3</c:v>
                </c:pt>
                <c:pt idx="22">
                  <c:v>0.69777777777777783</c:v>
                </c:pt>
                <c:pt idx="23">
                  <c:v>0.62444444444444447</c:v>
                </c:pt>
                <c:pt idx="24">
                  <c:v>0.5514809590973202</c:v>
                </c:pt>
                <c:pt idx="25">
                  <c:v>0.39295774647887322</c:v>
                </c:pt>
                <c:pt idx="26">
                  <c:v>0</c:v>
                </c:pt>
              </c:numCache>
            </c:numRef>
          </c:xVal>
          <c:yVal>
            <c:numRef>
              <c:f>N1Chennah!$A$2:$A$28</c:f>
              <c:numCache>
                <c:formatCode>0.0%</c:formatCode>
                <c:ptCount val="27"/>
                <c:pt idx="0">
                  <c:v>0.81555555555555559</c:v>
                </c:pt>
                <c:pt idx="1">
                  <c:v>0.78770949720670391</c:v>
                </c:pt>
                <c:pt idx="2">
                  <c:v>0.69543147208121825</c:v>
                </c:pt>
                <c:pt idx="3">
                  <c:v>0.76708860759493669</c:v>
                </c:pt>
                <c:pt idx="4">
                  <c:v>0.79333333333333333</c:v>
                </c:pt>
                <c:pt idx="5">
                  <c:v>0.7407407407407407</c:v>
                </c:pt>
                <c:pt idx="6">
                  <c:v>0.68253968253968256</c:v>
                </c:pt>
                <c:pt idx="7">
                  <c:v>0.72134038800705469</c:v>
                </c:pt>
                <c:pt idx="8">
                  <c:v>0.80222222222222217</c:v>
                </c:pt>
                <c:pt idx="9">
                  <c:v>0.70774091627172198</c:v>
                </c:pt>
                <c:pt idx="10">
                  <c:v>0.79304897314375988</c:v>
                </c:pt>
                <c:pt idx="11">
                  <c:v>0.68444444444444441</c:v>
                </c:pt>
                <c:pt idx="12">
                  <c:v>0.76</c:v>
                </c:pt>
                <c:pt idx="13">
                  <c:v>0.77333333333333332</c:v>
                </c:pt>
                <c:pt idx="14">
                  <c:v>0.71552975326560231</c:v>
                </c:pt>
                <c:pt idx="15">
                  <c:v>0.71407837445573297</c:v>
                </c:pt>
                <c:pt idx="16">
                  <c:v>0.72423802612481858</c:v>
                </c:pt>
                <c:pt idx="17">
                  <c:v>0.73478260869565215</c:v>
                </c:pt>
                <c:pt idx="18">
                  <c:v>0.77555555555555555</c:v>
                </c:pt>
                <c:pt idx="19">
                  <c:v>0.72577696526508229</c:v>
                </c:pt>
                <c:pt idx="20">
                  <c:v>0.69835466179159045</c:v>
                </c:pt>
                <c:pt idx="21">
                  <c:v>0.82278481012658233</c:v>
                </c:pt>
                <c:pt idx="22">
                  <c:v>0.72666666666666668</c:v>
                </c:pt>
                <c:pt idx="23">
                  <c:v>0.81555555555555559</c:v>
                </c:pt>
                <c:pt idx="24">
                  <c:v>0.75881523272214391</c:v>
                </c:pt>
                <c:pt idx="25">
                  <c:v>0.8098591549295775</c:v>
                </c:pt>
                <c:pt idx="26">
                  <c:v>0.81593927893738138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13-4FD9-B681-938C8EB5D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157359"/>
        <c:axId val="207475839"/>
      </c:scatterChart>
      <c:valAx>
        <c:axId val="212315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5839"/>
        <c:crosses val="autoZero"/>
        <c:crossBetween val="midCat"/>
      </c:valAx>
      <c:valAx>
        <c:axId val="2074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15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Malay% N1Chennah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2353893263342083E-2"/>
                  <c:y val="-0.537264873140857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N1Chennah!$E$2:$E$28</c:f>
              <c:numCache>
                <c:formatCode>0.0%</c:formatCode>
                <c:ptCount val="27"/>
                <c:pt idx="0">
                  <c:v>0.99777777777777776</c:v>
                </c:pt>
                <c:pt idx="1">
                  <c:v>1</c:v>
                </c:pt>
                <c:pt idx="2">
                  <c:v>0.32233502538071068</c:v>
                </c:pt>
                <c:pt idx="3">
                  <c:v>0.47848101265822784</c:v>
                </c:pt>
                <c:pt idx="4">
                  <c:v>0.70222222222222219</c:v>
                </c:pt>
                <c:pt idx="5">
                  <c:v>0.58906525573192237</c:v>
                </c:pt>
                <c:pt idx="6">
                  <c:v>0.63315696649029984</c:v>
                </c:pt>
                <c:pt idx="7">
                  <c:v>0.76014109347442682</c:v>
                </c:pt>
                <c:pt idx="8">
                  <c:v>0.48444444444444446</c:v>
                </c:pt>
                <c:pt idx="9">
                  <c:v>0.54660347551342814</c:v>
                </c:pt>
                <c:pt idx="10">
                  <c:v>0.57030015797788314</c:v>
                </c:pt>
                <c:pt idx="11">
                  <c:v>9.1111111111111115E-2</c:v>
                </c:pt>
                <c:pt idx="12">
                  <c:v>7.5555555555555556E-2</c:v>
                </c:pt>
                <c:pt idx="13">
                  <c:v>0.10222222222222223</c:v>
                </c:pt>
                <c:pt idx="14">
                  <c:v>0.11030478955007257</c:v>
                </c:pt>
                <c:pt idx="15">
                  <c:v>0.19158200290275762</c:v>
                </c:pt>
                <c:pt idx="16">
                  <c:v>0.26705370101596515</c:v>
                </c:pt>
                <c:pt idx="17">
                  <c:v>0.2</c:v>
                </c:pt>
                <c:pt idx="18">
                  <c:v>0.37111111111111111</c:v>
                </c:pt>
                <c:pt idx="19">
                  <c:v>0.47531992687385738</c:v>
                </c:pt>
                <c:pt idx="20">
                  <c:v>0.76599634369287017</c:v>
                </c:pt>
                <c:pt idx="21">
                  <c:v>0.98987341772151893</c:v>
                </c:pt>
                <c:pt idx="22">
                  <c:v>0.26666666666666666</c:v>
                </c:pt>
                <c:pt idx="23">
                  <c:v>0.34444444444444444</c:v>
                </c:pt>
                <c:pt idx="24">
                  <c:v>0.42595204513399154</c:v>
                </c:pt>
                <c:pt idx="25">
                  <c:v>0.59154929577464788</c:v>
                </c:pt>
                <c:pt idx="26">
                  <c:v>0.98671726755218214</c:v>
                </c:pt>
              </c:numCache>
            </c:numRef>
          </c:xVal>
          <c:yVal>
            <c:numRef>
              <c:f>N1Chennah!$B$2:$B$28</c:f>
              <c:numCache>
                <c:formatCode>0.0%</c:formatCode>
                <c:ptCount val="27"/>
                <c:pt idx="0">
                  <c:v>0.17711171662125341</c:v>
                </c:pt>
                <c:pt idx="1">
                  <c:v>0.15366430260047281</c:v>
                </c:pt>
                <c:pt idx="2">
                  <c:v>0.43795620437956206</c:v>
                </c:pt>
                <c:pt idx="3">
                  <c:v>0.23102310231023102</c:v>
                </c:pt>
                <c:pt idx="4">
                  <c:v>0.24649859943977592</c:v>
                </c:pt>
                <c:pt idx="5">
                  <c:v>0.39285714285714285</c:v>
                </c:pt>
                <c:pt idx="6">
                  <c:v>0.34108527131782945</c:v>
                </c:pt>
                <c:pt idx="7">
                  <c:v>0.3154034229828851</c:v>
                </c:pt>
                <c:pt idx="8">
                  <c:v>0.2880886426592798</c:v>
                </c:pt>
                <c:pt idx="9">
                  <c:v>0.109375</c:v>
                </c:pt>
                <c:pt idx="10">
                  <c:v>7.370517928286853E-2</c:v>
                </c:pt>
                <c:pt idx="11">
                  <c:v>0.68831168831168832</c:v>
                </c:pt>
                <c:pt idx="12">
                  <c:v>0.74853801169590639</c:v>
                </c:pt>
                <c:pt idx="13">
                  <c:v>0.77298850574712641</c:v>
                </c:pt>
                <c:pt idx="14">
                  <c:v>0.77079107505070998</c:v>
                </c:pt>
                <c:pt idx="15">
                  <c:v>0.74593495934959353</c:v>
                </c:pt>
                <c:pt idx="16">
                  <c:v>0.67334669338677355</c:v>
                </c:pt>
                <c:pt idx="17">
                  <c:v>0.7258382642998028</c:v>
                </c:pt>
                <c:pt idx="18">
                  <c:v>0.49856733524355301</c:v>
                </c:pt>
                <c:pt idx="19">
                  <c:v>0.53904282115869018</c:v>
                </c:pt>
                <c:pt idx="20">
                  <c:v>0.27225130890052357</c:v>
                </c:pt>
                <c:pt idx="21">
                  <c:v>7.6923076923076927E-2</c:v>
                </c:pt>
                <c:pt idx="22">
                  <c:v>0.59021406727828751</c:v>
                </c:pt>
                <c:pt idx="23">
                  <c:v>0.57493188010899188</c:v>
                </c:pt>
                <c:pt idx="24">
                  <c:v>0.56505576208178443</c:v>
                </c:pt>
                <c:pt idx="25">
                  <c:v>0.43478260869565216</c:v>
                </c:pt>
                <c:pt idx="26">
                  <c:v>0.11627906976744186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63-43DD-8792-C817FFACD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157359"/>
        <c:axId val="207475839"/>
      </c:scatterChart>
      <c:valAx>
        <c:axId val="212315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5839"/>
        <c:crosses val="autoZero"/>
        <c:crossBetween val="midCat"/>
      </c:valAx>
      <c:valAx>
        <c:axId val="2074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15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PH% vs Chinese% N1Chennah GE15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8925196850393703E-2"/>
                  <c:y val="0.207810950714494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N1Chennah!$F$2:$F$28</c:f>
              <c:numCache>
                <c:formatCode>0.0%</c:formatCode>
                <c:ptCount val="27"/>
                <c:pt idx="0">
                  <c:v>2.2222222222222222E-3</c:v>
                </c:pt>
                <c:pt idx="1">
                  <c:v>0</c:v>
                </c:pt>
                <c:pt idx="2">
                  <c:v>0.57614213197969544</c:v>
                </c:pt>
                <c:pt idx="3">
                  <c:v>0.20253164556962025</c:v>
                </c:pt>
                <c:pt idx="4">
                  <c:v>0.24888888888888888</c:v>
                </c:pt>
                <c:pt idx="5">
                  <c:v>0.32627865961199293</c:v>
                </c:pt>
                <c:pt idx="6">
                  <c:v>0.29276895943562609</c:v>
                </c:pt>
                <c:pt idx="7">
                  <c:v>0.17813051146384479</c:v>
                </c:pt>
                <c:pt idx="8">
                  <c:v>0.31333333333333335</c:v>
                </c:pt>
                <c:pt idx="9">
                  <c:v>0.11532385466034756</c:v>
                </c:pt>
                <c:pt idx="10">
                  <c:v>7.1090047393364927E-2</c:v>
                </c:pt>
                <c:pt idx="11">
                  <c:v>0.89555555555555555</c:v>
                </c:pt>
                <c:pt idx="12">
                  <c:v>0.91555555555555557</c:v>
                </c:pt>
                <c:pt idx="13">
                  <c:v>0.88888888888888884</c:v>
                </c:pt>
                <c:pt idx="14">
                  <c:v>0.8737300435413643</c:v>
                </c:pt>
                <c:pt idx="15">
                  <c:v>0.78229317851959357</c:v>
                </c:pt>
                <c:pt idx="16">
                  <c:v>0.71117561683599417</c:v>
                </c:pt>
                <c:pt idx="17">
                  <c:v>0.77971014492753621</c:v>
                </c:pt>
                <c:pt idx="18">
                  <c:v>0.61777777777777776</c:v>
                </c:pt>
                <c:pt idx="19">
                  <c:v>0.51371115173674586</c:v>
                </c:pt>
                <c:pt idx="20">
                  <c:v>0.22486288848263253</c:v>
                </c:pt>
                <c:pt idx="21">
                  <c:v>2.5316455696202532E-3</c:v>
                </c:pt>
                <c:pt idx="22">
                  <c:v>0.69777777777777783</c:v>
                </c:pt>
                <c:pt idx="23">
                  <c:v>0.62444444444444447</c:v>
                </c:pt>
                <c:pt idx="24">
                  <c:v>0.5514809590973202</c:v>
                </c:pt>
                <c:pt idx="25">
                  <c:v>0.39295774647887322</c:v>
                </c:pt>
                <c:pt idx="26">
                  <c:v>0</c:v>
                </c:pt>
              </c:numCache>
            </c:numRef>
          </c:xVal>
          <c:yVal>
            <c:numRef>
              <c:f>N1Chennah!$B$2:$B$28</c:f>
              <c:numCache>
                <c:formatCode>0.0%</c:formatCode>
                <c:ptCount val="27"/>
                <c:pt idx="0">
                  <c:v>0.17711171662125341</c:v>
                </c:pt>
                <c:pt idx="1">
                  <c:v>0.15366430260047281</c:v>
                </c:pt>
                <c:pt idx="2">
                  <c:v>0.43795620437956206</c:v>
                </c:pt>
                <c:pt idx="3">
                  <c:v>0.23102310231023102</c:v>
                </c:pt>
                <c:pt idx="4">
                  <c:v>0.24649859943977592</c:v>
                </c:pt>
                <c:pt idx="5">
                  <c:v>0.39285714285714285</c:v>
                </c:pt>
                <c:pt idx="6">
                  <c:v>0.34108527131782945</c:v>
                </c:pt>
                <c:pt idx="7">
                  <c:v>0.3154034229828851</c:v>
                </c:pt>
                <c:pt idx="8">
                  <c:v>0.2880886426592798</c:v>
                </c:pt>
                <c:pt idx="9">
                  <c:v>0.109375</c:v>
                </c:pt>
                <c:pt idx="10">
                  <c:v>7.370517928286853E-2</c:v>
                </c:pt>
                <c:pt idx="11">
                  <c:v>0.68831168831168832</c:v>
                </c:pt>
                <c:pt idx="12">
                  <c:v>0.74853801169590639</c:v>
                </c:pt>
                <c:pt idx="13">
                  <c:v>0.77298850574712641</c:v>
                </c:pt>
                <c:pt idx="14">
                  <c:v>0.77079107505070998</c:v>
                </c:pt>
                <c:pt idx="15">
                  <c:v>0.74593495934959353</c:v>
                </c:pt>
                <c:pt idx="16">
                  <c:v>0.67334669338677355</c:v>
                </c:pt>
                <c:pt idx="17">
                  <c:v>0.7258382642998028</c:v>
                </c:pt>
                <c:pt idx="18">
                  <c:v>0.49856733524355301</c:v>
                </c:pt>
                <c:pt idx="19">
                  <c:v>0.53904282115869018</c:v>
                </c:pt>
                <c:pt idx="20">
                  <c:v>0.27225130890052357</c:v>
                </c:pt>
                <c:pt idx="21">
                  <c:v>7.6923076923076927E-2</c:v>
                </c:pt>
                <c:pt idx="22">
                  <c:v>0.59021406727828751</c:v>
                </c:pt>
                <c:pt idx="23">
                  <c:v>0.57493188010899188</c:v>
                </c:pt>
                <c:pt idx="24">
                  <c:v>0.56505576208178443</c:v>
                </c:pt>
                <c:pt idx="25">
                  <c:v>0.43478260869565216</c:v>
                </c:pt>
                <c:pt idx="26">
                  <c:v>0.11627906976744186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91A-42EC-BA71-536998AFEC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3157359"/>
        <c:axId val="207475839"/>
      </c:scatterChart>
      <c:valAx>
        <c:axId val="212315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475839"/>
        <c:crosses val="autoZero"/>
        <c:crossBetween val="midCat"/>
      </c:valAx>
      <c:valAx>
        <c:axId val="20747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1573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21</xdr:col>
      <xdr:colOff>304800</xdr:colOff>
      <xdr:row>19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6B5C4E-B826-4596-9B31-58615EE16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22</xdr:row>
      <xdr:rowOff>0</xdr:rowOff>
    </xdr:from>
    <xdr:to>
      <xdr:col>21</xdr:col>
      <xdr:colOff>304800</xdr:colOff>
      <xdr:row>38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5D88AD-9241-4524-8971-2BC4DE2EBD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594360</xdr:colOff>
      <xdr:row>41</xdr:row>
      <xdr:rowOff>76200</xdr:rowOff>
    </xdr:from>
    <xdr:to>
      <xdr:col>21</xdr:col>
      <xdr:colOff>289560</xdr:colOff>
      <xdr:row>57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C36D28-3A40-460A-8B67-ACE2A48C7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3</xdr:row>
      <xdr:rowOff>0</xdr:rowOff>
    </xdr:from>
    <xdr:to>
      <xdr:col>30</xdr:col>
      <xdr:colOff>304800</xdr:colOff>
      <xdr:row>19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1404EC7-35B1-4EDF-BA9C-46CF13AFD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41</xdr:row>
      <xdr:rowOff>0</xdr:rowOff>
    </xdr:from>
    <xdr:to>
      <xdr:col>30</xdr:col>
      <xdr:colOff>304800</xdr:colOff>
      <xdr:row>57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3CAF51B-BAD5-48F0-A6A2-6D504D2335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22866</xdr:colOff>
      <xdr:row>3</xdr:row>
      <xdr:rowOff>118110</xdr:rowOff>
    </xdr:from>
    <xdr:to>
      <xdr:col>17</xdr:col>
      <xdr:colOff>327666</xdr:colOff>
      <xdr:row>20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DD0F86-8A4D-2D50-BD87-67A919AD69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23</xdr:row>
      <xdr:rowOff>0</xdr:rowOff>
    </xdr:from>
    <xdr:to>
      <xdr:col>17</xdr:col>
      <xdr:colOff>304800</xdr:colOff>
      <xdr:row>39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950FD3A-D7A3-43BC-8427-7507D6E0F4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121920</xdr:colOff>
      <xdr:row>3</xdr:row>
      <xdr:rowOff>106680</xdr:rowOff>
    </xdr:from>
    <xdr:to>
      <xdr:col>26</xdr:col>
      <xdr:colOff>426720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5AEC4ED-498F-41D1-B096-430A804B6B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0</xdr:colOff>
      <xdr:row>23</xdr:row>
      <xdr:rowOff>0</xdr:rowOff>
    </xdr:from>
    <xdr:to>
      <xdr:col>26</xdr:col>
      <xdr:colOff>304800</xdr:colOff>
      <xdr:row>39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15D909-74C0-413C-A84E-D077A05715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22</xdr:row>
      <xdr:rowOff>206501</xdr:rowOff>
    </xdr:from>
    <xdr:ext cx="3313429" cy="37528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331204</xdr:colOff>
      <xdr:row>3</xdr:row>
      <xdr:rowOff>49142</xdr:rowOff>
    </xdr:from>
    <xdr:ext cx="193523" cy="290285"/>
    <xdr:pic>
      <xdr:nvPicPr>
        <xdr:cNvPr id="3" name="image1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233934</xdr:colOff>
      <xdr:row>3</xdr:row>
      <xdr:rowOff>49142</xdr:rowOff>
    </xdr:from>
    <xdr:ext cx="381000" cy="290285"/>
    <xdr:pic>
      <xdr:nvPicPr>
        <xdr:cNvPr id="4" name="image2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235457</xdr:colOff>
      <xdr:row>3</xdr:row>
      <xdr:rowOff>49142</xdr:rowOff>
    </xdr:from>
    <xdr:ext cx="381000" cy="290285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762</xdr:rowOff>
    </xdr:from>
    <xdr:ext cx="381000" cy="381000"/>
    <xdr:pic>
      <xdr:nvPicPr>
        <xdr:cNvPr id="6" name="image4.jpe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4</xdr:col>
      <xdr:colOff>541654</xdr:colOff>
      <xdr:row>24</xdr:row>
      <xdr:rowOff>0</xdr:rowOff>
    </xdr:from>
    <xdr:ext cx="4008120" cy="2413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4008120" cy="241300"/>
        </a:xfrm>
        <a:custGeom>
          <a:avLst/>
          <a:gdLst/>
          <a:ahLst/>
          <a:cxnLst/>
          <a:rect l="0" t="0" r="0" b="0"/>
          <a:pathLst>
            <a:path w="4008120" h="241300">
              <a:moveTo>
                <a:pt x="691896" y="0"/>
              </a:moveTo>
              <a:lnTo>
                <a:pt x="0" y="0"/>
              </a:lnTo>
              <a:lnTo>
                <a:pt x="0" y="240792"/>
              </a:lnTo>
              <a:lnTo>
                <a:pt x="691896" y="240792"/>
              </a:lnTo>
              <a:lnTo>
                <a:pt x="691896" y="0"/>
              </a:lnTo>
              <a:close/>
            </a:path>
            <a:path w="4008120" h="241300">
              <a:moveTo>
                <a:pt x="1520952" y="0"/>
              </a:moveTo>
              <a:lnTo>
                <a:pt x="694944" y="0"/>
              </a:lnTo>
              <a:lnTo>
                <a:pt x="694944" y="240792"/>
              </a:lnTo>
              <a:lnTo>
                <a:pt x="1520952" y="240792"/>
              </a:lnTo>
              <a:lnTo>
                <a:pt x="1520952" y="0"/>
              </a:lnTo>
              <a:close/>
            </a:path>
            <a:path w="4008120" h="241300">
              <a:moveTo>
                <a:pt x="2350008" y="0"/>
              </a:moveTo>
              <a:lnTo>
                <a:pt x="1524000" y="0"/>
              </a:lnTo>
              <a:lnTo>
                <a:pt x="1524000" y="240792"/>
              </a:lnTo>
              <a:lnTo>
                <a:pt x="2350008" y="240792"/>
              </a:lnTo>
              <a:lnTo>
                <a:pt x="2350008" y="0"/>
              </a:lnTo>
              <a:close/>
            </a:path>
            <a:path w="4008120" h="241300">
              <a:moveTo>
                <a:pt x="3179064" y="0"/>
              </a:moveTo>
              <a:lnTo>
                <a:pt x="2353056" y="0"/>
              </a:lnTo>
              <a:lnTo>
                <a:pt x="2353056" y="240792"/>
              </a:lnTo>
              <a:lnTo>
                <a:pt x="3179064" y="240792"/>
              </a:lnTo>
              <a:lnTo>
                <a:pt x="3179064" y="0"/>
              </a:lnTo>
              <a:close/>
            </a:path>
            <a:path w="4008120" h="241300">
              <a:moveTo>
                <a:pt x="4008120" y="0"/>
              </a:moveTo>
              <a:lnTo>
                <a:pt x="3182112" y="0"/>
              </a:lnTo>
              <a:lnTo>
                <a:pt x="3182112" y="240792"/>
              </a:lnTo>
              <a:lnTo>
                <a:pt x="4008120" y="240792"/>
              </a:lnTo>
              <a:lnTo>
                <a:pt x="400812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2158</xdr:colOff>
      <xdr:row>4</xdr:row>
      <xdr:rowOff>1524</xdr:rowOff>
    </xdr:from>
    <xdr:ext cx="702945" cy="24130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702945" cy="241300"/>
        </a:xfrm>
        <a:custGeom>
          <a:avLst/>
          <a:gdLst/>
          <a:ahLst/>
          <a:cxnLst/>
          <a:rect l="0" t="0" r="0" b="0"/>
          <a:pathLst>
            <a:path w="702945" h="241300">
              <a:moveTo>
                <a:pt x="702564" y="0"/>
              </a:moveTo>
              <a:lnTo>
                <a:pt x="0" y="0"/>
              </a:lnTo>
              <a:lnTo>
                <a:pt x="0" y="240791"/>
              </a:lnTo>
              <a:lnTo>
                <a:pt x="702564" y="240791"/>
              </a:lnTo>
              <a:lnTo>
                <a:pt x="702564" y="0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</xdr:col>
      <xdr:colOff>198755</xdr:colOff>
      <xdr:row>25</xdr:row>
      <xdr:rowOff>0</xdr:rowOff>
    </xdr:from>
    <xdr:ext cx="7315200" cy="131381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7315200" cy="1313815"/>
        </a:xfrm>
        <a:custGeom>
          <a:avLst/>
          <a:gdLst/>
          <a:ahLst/>
          <a:cxnLst/>
          <a:rect l="0" t="0" r="0" b="0"/>
          <a:pathLst>
            <a:path w="7315200" h="1313815">
              <a:moveTo>
                <a:pt x="339852" y="1016508"/>
              </a:moveTo>
              <a:lnTo>
                <a:pt x="0" y="1016508"/>
              </a:lnTo>
              <a:lnTo>
                <a:pt x="0" y="1313688"/>
              </a:lnTo>
              <a:lnTo>
                <a:pt x="339852" y="1313688"/>
              </a:lnTo>
              <a:lnTo>
                <a:pt x="339852" y="1016508"/>
              </a:lnTo>
              <a:close/>
            </a:path>
            <a:path w="7315200" h="1313815">
              <a:moveTo>
                <a:pt x="339852" y="601980"/>
              </a:moveTo>
              <a:lnTo>
                <a:pt x="0" y="601980"/>
              </a:lnTo>
              <a:lnTo>
                <a:pt x="0" y="1013460"/>
              </a:lnTo>
              <a:lnTo>
                <a:pt x="339852" y="1013460"/>
              </a:lnTo>
              <a:lnTo>
                <a:pt x="339852" y="601980"/>
              </a:lnTo>
              <a:close/>
            </a:path>
            <a:path w="7315200" h="1313815">
              <a:moveTo>
                <a:pt x="339852" y="301752"/>
              </a:moveTo>
              <a:lnTo>
                <a:pt x="0" y="301752"/>
              </a:lnTo>
              <a:lnTo>
                <a:pt x="0" y="598932"/>
              </a:lnTo>
              <a:lnTo>
                <a:pt x="339852" y="598932"/>
              </a:lnTo>
              <a:lnTo>
                <a:pt x="339852" y="301752"/>
              </a:lnTo>
              <a:close/>
            </a:path>
            <a:path w="7315200" h="1313815">
              <a:moveTo>
                <a:pt x="339852" y="0"/>
              </a:moveTo>
              <a:lnTo>
                <a:pt x="0" y="0"/>
              </a:lnTo>
              <a:lnTo>
                <a:pt x="0" y="298704"/>
              </a:lnTo>
              <a:lnTo>
                <a:pt x="339852" y="298704"/>
              </a:lnTo>
              <a:lnTo>
                <a:pt x="339852" y="0"/>
              </a:lnTo>
              <a:close/>
            </a:path>
            <a:path w="7315200" h="1313815">
              <a:moveTo>
                <a:pt x="1376172" y="1016508"/>
              </a:moveTo>
              <a:lnTo>
                <a:pt x="342900" y="1016508"/>
              </a:lnTo>
              <a:lnTo>
                <a:pt x="342900" y="1313688"/>
              </a:lnTo>
              <a:lnTo>
                <a:pt x="1376172" y="1313688"/>
              </a:lnTo>
              <a:lnTo>
                <a:pt x="1376172" y="1016508"/>
              </a:lnTo>
              <a:close/>
            </a:path>
            <a:path w="7315200" h="1313815">
              <a:moveTo>
                <a:pt x="1376172" y="601980"/>
              </a:moveTo>
              <a:lnTo>
                <a:pt x="342900" y="601980"/>
              </a:lnTo>
              <a:lnTo>
                <a:pt x="342900" y="1013460"/>
              </a:lnTo>
              <a:lnTo>
                <a:pt x="1376172" y="1013460"/>
              </a:lnTo>
              <a:lnTo>
                <a:pt x="1376172" y="601980"/>
              </a:lnTo>
              <a:close/>
            </a:path>
            <a:path w="7315200" h="1313815">
              <a:moveTo>
                <a:pt x="1376172" y="301752"/>
              </a:moveTo>
              <a:lnTo>
                <a:pt x="342900" y="301752"/>
              </a:lnTo>
              <a:lnTo>
                <a:pt x="342900" y="598932"/>
              </a:lnTo>
              <a:lnTo>
                <a:pt x="1376172" y="598932"/>
              </a:lnTo>
              <a:lnTo>
                <a:pt x="1376172" y="301752"/>
              </a:lnTo>
              <a:close/>
            </a:path>
            <a:path w="7315200" h="1313815">
              <a:moveTo>
                <a:pt x="1376172" y="0"/>
              </a:moveTo>
              <a:lnTo>
                <a:pt x="342900" y="0"/>
              </a:lnTo>
              <a:lnTo>
                <a:pt x="342900" y="298704"/>
              </a:lnTo>
              <a:lnTo>
                <a:pt x="1376172" y="298704"/>
              </a:lnTo>
              <a:lnTo>
                <a:pt x="1376172" y="0"/>
              </a:lnTo>
              <a:close/>
            </a:path>
            <a:path w="7315200" h="1313815">
              <a:moveTo>
                <a:pt x="2753868" y="1016508"/>
              </a:moveTo>
              <a:lnTo>
                <a:pt x="1379220" y="1016508"/>
              </a:lnTo>
              <a:lnTo>
                <a:pt x="1379220" y="1313688"/>
              </a:lnTo>
              <a:lnTo>
                <a:pt x="2753868" y="1313688"/>
              </a:lnTo>
              <a:lnTo>
                <a:pt x="2753868" y="1016508"/>
              </a:lnTo>
              <a:close/>
            </a:path>
            <a:path w="7315200" h="1313815">
              <a:moveTo>
                <a:pt x="2753868" y="601980"/>
              </a:moveTo>
              <a:lnTo>
                <a:pt x="1379220" y="601980"/>
              </a:lnTo>
              <a:lnTo>
                <a:pt x="1379220" y="1013460"/>
              </a:lnTo>
              <a:lnTo>
                <a:pt x="2753868" y="1013460"/>
              </a:lnTo>
              <a:lnTo>
                <a:pt x="2753868" y="601980"/>
              </a:lnTo>
              <a:close/>
            </a:path>
            <a:path w="7315200" h="1313815">
              <a:moveTo>
                <a:pt x="2753868" y="301752"/>
              </a:moveTo>
              <a:lnTo>
                <a:pt x="1379220" y="301752"/>
              </a:lnTo>
              <a:lnTo>
                <a:pt x="1379220" y="598932"/>
              </a:lnTo>
              <a:lnTo>
                <a:pt x="2753868" y="598932"/>
              </a:lnTo>
              <a:lnTo>
                <a:pt x="2753868" y="301752"/>
              </a:lnTo>
              <a:close/>
            </a:path>
            <a:path w="7315200" h="1313815">
              <a:moveTo>
                <a:pt x="2753868" y="0"/>
              </a:moveTo>
              <a:lnTo>
                <a:pt x="1379220" y="0"/>
              </a:lnTo>
              <a:lnTo>
                <a:pt x="1379220" y="298704"/>
              </a:lnTo>
              <a:lnTo>
                <a:pt x="2753868" y="298704"/>
              </a:lnTo>
              <a:lnTo>
                <a:pt x="2753868" y="0"/>
              </a:lnTo>
              <a:close/>
            </a:path>
            <a:path w="7315200" h="1313815">
              <a:moveTo>
                <a:pt x="3304032" y="1016508"/>
              </a:moveTo>
              <a:lnTo>
                <a:pt x="2756916" y="1016508"/>
              </a:lnTo>
              <a:lnTo>
                <a:pt x="2756916" y="1313688"/>
              </a:lnTo>
              <a:lnTo>
                <a:pt x="3304032" y="1313688"/>
              </a:lnTo>
              <a:lnTo>
                <a:pt x="3304032" y="1016508"/>
              </a:lnTo>
              <a:close/>
            </a:path>
            <a:path w="7315200" h="1313815">
              <a:moveTo>
                <a:pt x="3304032" y="809244"/>
              </a:moveTo>
              <a:lnTo>
                <a:pt x="2756916" y="809244"/>
              </a:lnTo>
              <a:lnTo>
                <a:pt x="2756916" y="1013460"/>
              </a:lnTo>
              <a:lnTo>
                <a:pt x="3304032" y="1013460"/>
              </a:lnTo>
              <a:lnTo>
                <a:pt x="3304032" y="809244"/>
              </a:lnTo>
              <a:close/>
            </a:path>
            <a:path w="7315200" h="1313815">
              <a:moveTo>
                <a:pt x="3304032" y="601980"/>
              </a:moveTo>
              <a:lnTo>
                <a:pt x="2756916" y="601980"/>
              </a:lnTo>
              <a:lnTo>
                <a:pt x="2756916" y="806196"/>
              </a:lnTo>
              <a:lnTo>
                <a:pt x="3304032" y="806196"/>
              </a:lnTo>
              <a:lnTo>
                <a:pt x="3304032" y="601980"/>
              </a:lnTo>
              <a:close/>
            </a:path>
            <a:path w="7315200" h="1313815">
              <a:moveTo>
                <a:pt x="3304032" y="301752"/>
              </a:moveTo>
              <a:lnTo>
                <a:pt x="2756916" y="301752"/>
              </a:lnTo>
              <a:lnTo>
                <a:pt x="2756916" y="598932"/>
              </a:lnTo>
              <a:lnTo>
                <a:pt x="3304032" y="598932"/>
              </a:lnTo>
              <a:lnTo>
                <a:pt x="3304032" y="301752"/>
              </a:lnTo>
              <a:close/>
            </a:path>
            <a:path w="7315200" h="1313815">
              <a:moveTo>
                <a:pt x="3304032" y="0"/>
              </a:moveTo>
              <a:lnTo>
                <a:pt x="2756916" y="0"/>
              </a:lnTo>
              <a:lnTo>
                <a:pt x="2756916" y="298704"/>
              </a:lnTo>
              <a:lnTo>
                <a:pt x="3304032" y="298704"/>
              </a:lnTo>
              <a:lnTo>
                <a:pt x="3304032" y="0"/>
              </a:lnTo>
              <a:close/>
            </a:path>
            <a:path w="7315200" h="1313815">
              <a:moveTo>
                <a:pt x="3998976" y="1016508"/>
              </a:moveTo>
              <a:lnTo>
                <a:pt x="3307080" y="1016508"/>
              </a:lnTo>
              <a:lnTo>
                <a:pt x="3307080" y="1313688"/>
              </a:lnTo>
              <a:lnTo>
                <a:pt x="3998976" y="1313688"/>
              </a:lnTo>
              <a:lnTo>
                <a:pt x="3998976" y="1016508"/>
              </a:lnTo>
              <a:close/>
            </a:path>
            <a:path w="7315200" h="1313815">
              <a:moveTo>
                <a:pt x="3998976" y="809244"/>
              </a:moveTo>
              <a:lnTo>
                <a:pt x="3307080" y="809244"/>
              </a:lnTo>
              <a:lnTo>
                <a:pt x="3307080" y="1013460"/>
              </a:lnTo>
              <a:lnTo>
                <a:pt x="3998976" y="1013460"/>
              </a:lnTo>
              <a:lnTo>
                <a:pt x="3998976" y="809244"/>
              </a:lnTo>
              <a:close/>
            </a:path>
            <a:path w="7315200" h="1313815">
              <a:moveTo>
                <a:pt x="3998976" y="601980"/>
              </a:moveTo>
              <a:lnTo>
                <a:pt x="3307080" y="601980"/>
              </a:lnTo>
              <a:lnTo>
                <a:pt x="3307080" y="806196"/>
              </a:lnTo>
              <a:lnTo>
                <a:pt x="3998976" y="806196"/>
              </a:lnTo>
              <a:lnTo>
                <a:pt x="3998976" y="601980"/>
              </a:lnTo>
              <a:close/>
            </a:path>
            <a:path w="7315200" h="1313815">
              <a:moveTo>
                <a:pt x="3998976" y="301752"/>
              </a:moveTo>
              <a:lnTo>
                <a:pt x="3307080" y="301752"/>
              </a:lnTo>
              <a:lnTo>
                <a:pt x="3307080" y="598932"/>
              </a:lnTo>
              <a:lnTo>
                <a:pt x="3998976" y="598932"/>
              </a:lnTo>
              <a:lnTo>
                <a:pt x="3998976" y="301752"/>
              </a:lnTo>
              <a:close/>
            </a:path>
            <a:path w="7315200" h="1313815">
              <a:moveTo>
                <a:pt x="3998976" y="0"/>
              </a:moveTo>
              <a:lnTo>
                <a:pt x="3307080" y="0"/>
              </a:lnTo>
              <a:lnTo>
                <a:pt x="3307080" y="298704"/>
              </a:lnTo>
              <a:lnTo>
                <a:pt x="3998976" y="298704"/>
              </a:lnTo>
              <a:lnTo>
                <a:pt x="3998976" y="0"/>
              </a:lnTo>
              <a:close/>
            </a:path>
            <a:path w="7315200" h="1313815">
              <a:moveTo>
                <a:pt x="4828032" y="1016508"/>
              </a:moveTo>
              <a:lnTo>
                <a:pt x="4002024" y="1016508"/>
              </a:lnTo>
              <a:lnTo>
                <a:pt x="4002024" y="1313688"/>
              </a:lnTo>
              <a:lnTo>
                <a:pt x="4828032" y="1313688"/>
              </a:lnTo>
              <a:lnTo>
                <a:pt x="4828032" y="1016508"/>
              </a:lnTo>
              <a:close/>
            </a:path>
            <a:path w="7315200" h="1313815">
              <a:moveTo>
                <a:pt x="4828032" y="809244"/>
              </a:moveTo>
              <a:lnTo>
                <a:pt x="4002024" y="809244"/>
              </a:lnTo>
              <a:lnTo>
                <a:pt x="4002024" y="1013460"/>
              </a:lnTo>
              <a:lnTo>
                <a:pt x="4828032" y="1013460"/>
              </a:lnTo>
              <a:lnTo>
                <a:pt x="4828032" y="809244"/>
              </a:lnTo>
              <a:close/>
            </a:path>
            <a:path w="7315200" h="1313815">
              <a:moveTo>
                <a:pt x="4828032" y="601980"/>
              </a:moveTo>
              <a:lnTo>
                <a:pt x="4002024" y="601980"/>
              </a:lnTo>
              <a:lnTo>
                <a:pt x="4002024" y="806196"/>
              </a:lnTo>
              <a:lnTo>
                <a:pt x="4828032" y="806196"/>
              </a:lnTo>
              <a:lnTo>
                <a:pt x="4828032" y="601980"/>
              </a:lnTo>
              <a:close/>
            </a:path>
            <a:path w="7315200" h="1313815">
              <a:moveTo>
                <a:pt x="4828032" y="301752"/>
              </a:moveTo>
              <a:lnTo>
                <a:pt x="4002024" y="301752"/>
              </a:lnTo>
              <a:lnTo>
                <a:pt x="4002024" y="598932"/>
              </a:lnTo>
              <a:lnTo>
                <a:pt x="4828032" y="598932"/>
              </a:lnTo>
              <a:lnTo>
                <a:pt x="4828032" y="301752"/>
              </a:lnTo>
              <a:close/>
            </a:path>
            <a:path w="7315200" h="1313815">
              <a:moveTo>
                <a:pt x="4828032" y="0"/>
              </a:moveTo>
              <a:lnTo>
                <a:pt x="4002024" y="0"/>
              </a:lnTo>
              <a:lnTo>
                <a:pt x="4002024" y="298704"/>
              </a:lnTo>
              <a:lnTo>
                <a:pt x="4828032" y="298704"/>
              </a:lnTo>
              <a:lnTo>
                <a:pt x="4828032" y="0"/>
              </a:lnTo>
              <a:close/>
            </a:path>
            <a:path w="7315200" h="1313815">
              <a:moveTo>
                <a:pt x="5657088" y="1016508"/>
              </a:moveTo>
              <a:lnTo>
                <a:pt x="4831080" y="1016508"/>
              </a:lnTo>
              <a:lnTo>
                <a:pt x="4831080" y="1313688"/>
              </a:lnTo>
              <a:lnTo>
                <a:pt x="5657088" y="1313688"/>
              </a:lnTo>
              <a:lnTo>
                <a:pt x="5657088" y="1016508"/>
              </a:lnTo>
              <a:close/>
            </a:path>
            <a:path w="7315200" h="1313815">
              <a:moveTo>
                <a:pt x="5657088" y="809244"/>
              </a:moveTo>
              <a:lnTo>
                <a:pt x="4831080" y="809244"/>
              </a:lnTo>
              <a:lnTo>
                <a:pt x="4831080" y="1013460"/>
              </a:lnTo>
              <a:lnTo>
                <a:pt x="5657088" y="1013460"/>
              </a:lnTo>
              <a:lnTo>
                <a:pt x="5657088" y="809244"/>
              </a:lnTo>
              <a:close/>
            </a:path>
            <a:path w="7315200" h="1313815">
              <a:moveTo>
                <a:pt x="5657088" y="601980"/>
              </a:moveTo>
              <a:lnTo>
                <a:pt x="4831080" y="601980"/>
              </a:lnTo>
              <a:lnTo>
                <a:pt x="4831080" y="806196"/>
              </a:lnTo>
              <a:lnTo>
                <a:pt x="5657088" y="806196"/>
              </a:lnTo>
              <a:lnTo>
                <a:pt x="5657088" y="601980"/>
              </a:lnTo>
              <a:close/>
            </a:path>
            <a:path w="7315200" h="1313815">
              <a:moveTo>
                <a:pt x="5657088" y="301752"/>
              </a:moveTo>
              <a:lnTo>
                <a:pt x="4831080" y="301752"/>
              </a:lnTo>
              <a:lnTo>
                <a:pt x="4831080" y="598932"/>
              </a:lnTo>
              <a:lnTo>
                <a:pt x="5657088" y="598932"/>
              </a:lnTo>
              <a:lnTo>
                <a:pt x="5657088" y="301752"/>
              </a:lnTo>
              <a:close/>
            </a:path>
            <a:path w="7315200" h="1313815">
              <a:moveTo>
                <a:pt x="5657088" y="0"/>
              </a:moveTo>
              <a:lnTo>
                <a:pt x="4831080" y="0"/>
              </a:lnTo>
              <a:lnTo>
                <a:pt x="4831080" y="298704"/>
              </a:lnTo>
              <a:lnTo>
                <a:pt x="5657088" y="298704"/>
              </a:lnTo>
              <a:lnTo>
                <a:pt x="5657088" y="0"/>
              </a:lnTo>
              <a:close/>
            </a:path>
            <a:path w="7315200" h="1313815">
              <a:moveTo>
                <a:pt x="6486144" y="1016508"/>
              </a:moveTo>
              <a:lnTo>
                <a:pt x="5660136" y="1016508"/>
              </a:lnTo>
              <a:lnTo>
                <a:pt x="5660136" y="1313688"/>
              </a:lnTo>
              <a:lnTo>
                <a:pt x="6486144" y="1313688"/>
              </a:lnTo>
              <a:lnTo>
                <a:pt x="6486144" y="1016508"/>
              </a:lnTo>
              <a:close/>
            </a:path>
            <a:path w="7315200" h="1313815">
              <a:moveTo>
                <a:pt x="6486144" y="809244"/>
              </a:moveTo>
              <a:lnTo>
                <a:pt x="5660136" y="809244"/>
              </a:lnTo>
              <a:lnTo>
                <a:pt x="5660136" y="1013460"/>
              </a:lnTo>
              <a:lnTo>
                <a:pt x="6486144" y="1013460"/>
              </a:lnTo>
              <a:lnTo>
                <a:pt x="6486144" y="809244"/>
              </a:lnTo>
              <a:close/>
            </a:path>
            <a:path w="7315200" h="1313815">
              <a:moveTo>
                <a:pt x="6486144" y="601980"/>
              </a:moveTo>
              <a:lnTo>
                <a:pt x="5660136" y="601980"/>
              </a:lnTo>
              <a:lnTo>
                <a:pt x="5660136" y="806196"/>
              </a:lnTo>
              <a:lnTo>
                <a:pt x="6486144" y="806196"/>
              </a:lnTo>
              <a:lnTo>
                <a:pt x="6486144" y="601980"/>
              </a:lnTo>
              <a:close/>
            </a:path>
            <a:path w="7315200" h="1313815">
              <a:moveTo>
                <a:pt x="6486144" y="301752"/>
              </a:moveTo>
              <a:lnTo>
                <a:pt x="5660136" y="301752"/>
              </a:lnTo>
              <a:lnTo>
                <a:pt x="5660136" y="598932"/>
              </a:lnTo>
              <a:lnTo>
                <a:pt x="6486144" y="598932"/>
              </a:lnTo>
              <a:lnTo>
                <a:pt x="6486144" y="301752"/>
              </a:lnTo>
              <a:close/>
            </a:path>
            <a:path w="7315200" h="1313815">
              <a:moveTo>
                <a:pt x="6486144" y="0"/>
              </a:moveTo>
              <a:lnTo>
                <a:pt x="5660136" y="0"/>
              </a:lnTo>
              <a:lnTo>
                <a:pt x="5660136" y="298704"/>
              </a:lnTo>
              <a:lnTo>
                <a:pt x="6486144" y="298704"/>
              </a:lnTo>
              <a:lnTo>
                <a:pt x="6486144" y="0"/>
              </a:lnTo>
              <a:close/>
            </a:path>
            <a:path w="7315200" h="1313815">
              <a:moveTo>
                <a:pt x="7315200" y="1016508"/>
              </a:moveTo>
              <a:lnTo>
                <a:pt x="6489192" y="1016508"/>
              </a:lnTo>
              <a:lnTo>
                <a:pt x="6489192" y="1313688"/>
              </a:lnTo>
              <a:lnTo>
                <a:pt x="7315200" y="1313688"/>
              </a:lnTo>
              <a:lnTo>
                <a:pt x="7315200" y="1016508"/>
              </a:lnTo>
              <a:close/>
            </a:path>
            <a:path w="7315200" h="1313815">
              <a:moveTo>
                <a:pt x="7315200" y="809244"/>
              </a:moveTo>
              <a:lnTo>
                <a:pt x="6489192" y="809244"/>
              </a:lnTo>
              <a:lnTo>
                <a:pt x="6489192" y="1013460"/>
              </a:lnTo>
              <a:lnTo>
                <a:pt x="7315200" y="1013460"/>
              </a:lnTo>
              <a:lnTo>
                <a:pt x="7315200" y="809244"/>
              </a:lnTo>
              <a:close/>
            </a:path>
            <a:path w="7315200" h="1313815">
              <a:moveTo>
                <a:pt x="7315200" y="601980"/>
              </a:moveTo>
              <a:lnTo>
                <a:pt x="6489192" y="601980"/>
              </a:lnTo>
              <a:lnTo>
                <a:pt x="6489192" y="806196"/>
              </a:lnTo>
              <a:lnTo>
                <a:pt x="7315200" y="806196"/>
              </a:lnTo>
              <a:lnTo>
                <a:pt x="7315200" y="601980"/>
              </a:lnTo>
              <a:close/>
            </a:path>
            <a:path w="7315200" h="1313815">
              <a:moveTo>
                <a:pt x="7315200" y="301752"/>
              </a:moveTo>
              <a:lnTo>
                <a:pt x="6489192" y="301752"/>
              </a:lnTo>
              <a:lnTo>
                <a:pt x="6489192" y="598932"/>
              </a:lnTo>
              <a:lnTo>
                <a:pt x="7315200" y="598932"/>
              </a:lnTo>
              <a:lnTo>
                <a:pt x="7315200" y="301752"/>
              </a:lnTo>
              <a:close/>
            </a:path>
            <a:path w="7315200" h="1313815">
              <a:moveTo>
                <a:pt x="7315200" y="0"/>
              </a:moveTo>
              <a:lnTo>
                <a:pt x="6489192" y="0"/>
              </a:lnTo>
              <a:lnTo>
                <a:pt x="6489192" y="298704"/>
              </a:lnTo>
              <a:lnTo>
                <a:pt x="7315200" y="298704"/>
              </a:lnTo>
              <a:lnTo>
                <a:pt x="73152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540131</xdr:colOff>
      <xdr:row>26</xdr:row>
      <xdr:rowOff>0</xdr:rowOff>
    </xdr:from>
    <xdr:ext cx="702945" cy="13138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702945" cy="1313815"/>
        </a:xfrm>
        <a:custGeom>
          <a:avLst/>
          <a:gdLst/>
          <a:ahLst/>
          <a:cxnLst/>
          <a:rect l="0" t="0" r="0" b="0"/>
          <a:pathLst>
            <a:path w="702945" h="1313815">
              <a:moveTo>
                <a:pt x="702564" y="1016508"/>
              </a:moveTo>
              <a:lnTo>
                <a:pt x="0" y="1016508"/>
              </a:lnTo>
              <a:lnTo>
                <a:pt x="0" y="1313688"/>
              </a:lnTo>
              <a:lnTo>
                <a:pt x="702564" y="1313688"/>
              </a:lnTo>
              <a:lnTo>
                <a:pt x="702564" y="1016508"/>
              </a:lnTo>
              <a:close/>
            </a:path>
            <a:path w="702945" h="1313815">
              <a:moveTo>
                <a:pt x="702564" y="809244"/>
              </a:moveTo>
              <a:lnTo>
                <a:pt x="0" y="809244"/>
              </a:lnTo>
              <a:lnTo>
                <a:pt x="0" y="1013460"/>
              </a:lnTo>
              <a:lnTo>
                <a:pt x="702564" y="1013460"/>
              </a:lnTo>
              <a:lnTo>
                <a:pt x="702564" y="809244"/>
              </a:lnTo>
              <a:close/>
            </a:path>
            <a:path w="702945" h="1313815">
              <a:moveTo>
                <a:pt x="702564" y="601980"/>
              </a:moveTo>
              <a:lnTo>
                <a:pt x="0" y="601980"/>
              </a:lnTo>
              <a:lnTo>
                <a:pt x="0" y="806196"/>
              </a:lnTo>
              <a:lnTo>
                <a:pt x="702564" y="806196"/>
              </a:lnTo>
              <a:lnTo>
                <a:pt x="702564" y="601980"/>
              </a:lnTo>
              <a:close/>
            </a:path>
            <a:path w="702945" h="1313815">
              <a:moveTo>
                <a:pt x="702564" y="301752"/>
              </a:moveTo>
              <a:lnTo>
                <a:pt x="0" y="301752"/>
              </a:lnTo>
              <a:lnTo>
                <a:pt x="0" y="598932"/>
              </a:lnTo>
              <a:lnTo>
                <a:pt x="702564" y="598932"/>
              </a:lnTo>
              <a:lnTo>
                <a:pt x="702564" y="301752"/>
              </a:lnTo>
              <a:close/>
            </a:path>
            <a:path w="702945" h="1313815">
              <a:moveTo>
                <a:pt x="702564" y="0"/>
              </a:moveTo>
              <a:lnTo>
                <a:pt x="0" y="0"/>
              </a:lnTo>
              <a:lnTo>
                <a:pt x="0" y="298704"/>
              </a:lnTo>
              <a:lnTo>
                <a:pt x="702564" y="298704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198754</xdr:colOff>
      <xdr:row>27</xdr:row>
      <xdr:rowOff>0</xdr:rowOff>
    </xdr:from>
    <xdr:ext cx="7315200" cy="2273935"/>
    <xdr:grpSp>
      <xdr:nvGrpSpPr>
        <xdr:cNvPr id="11" name="Group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610234" y="9037320"/>
          <a:ext cx="7315200" cy="2273935"/>
          <a:chOff x="0" y="0"/>
          <a:chExt cx="7315200" cy="2273935"/>
        </a:xfrm>
      </xdr:grpSpPr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0" y="0"/>
            <a:ext cx="7315200" cy="2273935"/>
          </a:xfrm>
          <a:custGeom>
            <a:avLst/>
            <a:gdLst/>
            <a:ahLst/>
            <a:cxnLst/>
            <a:rect l="0" t="0" r="0" b="0"/>
            <a:pathLst>
              <a:path w="7315200" h="2273935">
                <a:moveTo>
                  <a:pt x="339852" y="1656588"/>
                </a:moveTo>
                <a:lnTo>
                  <a:pt x="0" y="1656588"/>
                </a:lnTo>
                <a:lnTo>
                  <a:pt x="0" y="2273808"/>
                </a:lnTo>
                <a:lnTo>
                  <a:pt x="339852" y="2273808"/>
                </a:lnTo>
                <a:lnTo>
                  <a:pt x="339852" y="1656588"/>
                </a:lnTo>
                <a:close/>
              </a:path>
              <a:path w="7315200" h="2273935">
                <a:moveTo>
                  <a:pt x="339852" y="827532"/>
                </a:moveTo>
                <a:lnTo>
                  <a:pt x="0" y="827532"/>
                </a:lnTo>
                <a:lnTo>
                  <a:pt x="0" y="1653540"/>
                </a:lnTo>
                <a:lnTo>
                  <a:pt x="339852" y="1653540"/>
                </a:lnTo>
                <a:lnTo>
                  <a:pt x="339852" y="827532"/>
                </a:lnTo>
                <a:close/>
              </a:path>
              <a:path w="7315200" h="2273935">
                <a:moveTo>
                  <a:pt x="339852" y="414528"/>
                </a:moveTo>
                <a:lnTo>
                  <a:pt x="0" y="414528"/>
                </a:lnTo>
                <a:lnTo>
                  <a:pt x="0" y="824484"/>
                </a:lnTo>
                <a:lnTo>
                  <a:pt x="339852" y="824484"/>
                </a:lnTo>
                <a:lnTo>
                  <a:pt x="339852" y="414528"/>
                </a:lnTo>
                <a:close/>
              </a:path>
              <a:path w="7315200" h="2273935">
                <a:moveTo>
                  <a:pt x="339852" y="0"/>
                </a:moveTo>
                <a:lnTo>
                  <a:pt x="0" y="0"/>
                </a:lnTo>
                <a:lnTo>
                  <a:pt x="0" y="411480"/>
                </a:lnTo>
                <a:lnTo>
                  <a:pt x="339852" y="411480"/>
                </a:lnTo>
                <a:lnTo>
                  <a:pt x="339852" y="0"/>
                </a:lnTo>
                <a:close/>
              </a:path>
              <a:path w="7315200" h="2273935">
                <a:moveTo>
                  <a:pt x="1376172" y="1656588"/>
                </a:moveTo>
                <a:lnTo>
                  <a:pt x="342900" y="1656588"/>
                </a:lnTo>
                <a:lnTo>
                  <a:pt x="342900" y="2273808"/>
                </a:lnTo>
                <a:lnTo>
                  <a:pt x="1376172" y="2273808"/>
                </a:lnTo>
                <a:lnTo>
                  <a:pt x="1376172" y="1656588"/>
                </a:lnTo>
                <a:close/>
              </a:path>
              <a:path w="7315200" h="2273935">
                <a:moveTo>
                  <a:pt x="1376172" y="827532"/>
                </a:moveTo>
                <a:lnTo>
                  <a:pt x="342900" y="827532"/>
                </a:lnTo>
                <a:lnTo>
                  <a:pt x="342900" y="1653540"/>
                </a:lnTo>
                <a:lnTo>
                  <a:pt x="1376172" y="1653540"/>
                </a:lnTo>
                <a:lnTo>
                  <a:pt x="1376172" y="827532"/>
                </a:lnTo>
                <a:close/>
              </a:path>
              <a:path w="7315200" h="2273935">
                <a:moveTo>
                  <a:pt x="1376172" y="414528"/>
                </a:moveTo>
                <a:lnTo>
                  <a:pt x="342900" y="414528"/>
                </a:lnTo>
                <a:lnTo>
                  <a:pt x="342900" y="824484"/>
                </a:lnTo>
                <a:lnTo>
                  <a:pt x="1376172" y="824484"/>
                </a:lnTo>
                <a:lnTo>
                  <a:pt x="1376172" y="414528"/>
                </a:lnTo>
                <a:close/>
              </a:path>
              <a:path w="7315200" h="2273935">
                <a:moveTo>
                  <a:pt x="1376172" y="0"/>
                </a:moveTo>
                <a:lnTo>
                  <a:pt x="342900" y="0"/>
                </a:lnTo>
                <a:lnTo>
                  <a:pt x="342900" y="411480"/>
                </a:lnTo>
                <a:lnTo>
                  <a:pt x="1376172" y="411480"/>
                </a:lnTo>
                <a:lnTo>
                  <a:pt x="1376172" y="0"/>
                </a:lnTo>
                <a:close/>
              </a:path>
              <a:path w="7315200" h="2273935">
                <a:moveTo>
                  <a:pt x="2753868" y="827532"/>
                </a:moveTo>
                <a:lnTo>
                  <a:pt x="1379220" y="827532"/>
                </a:lnTo>
                <a:lnTo>
                  <a:pt x="1379220" y="1653540"/>
                </a:lnTo>
                <a:lnTo>
                  <a:pt x="2753868" y="1653540"/>
                </a:lnTo>
                <a:lnTo>
                  <a:pt x="2753868" y="827532"/>
                </a:lnTo>
                <a:close/>
              </a:path>
              <a:path w="7315200" h="2273935">
                <a:moveTo>
                  <a:pt x="2753868" y="414528"/>
                </a:moveTo>
                <a:lnTo>
                  <a:pt x="1379220" y="414528"/>
                </a:lnTo>
                <a:lnTo>
                  <a:pt x="1379220" y="824484"/>
                </a:lnTo>
                <a:lnTo>
                  <a:pt x="2753868" y="824484"/>
                </a:lnTo>
                <a:lnTo>
                  <a:pt x="2753868" y="414528"/>
                </a:lnTo>
                <a:close/>
              </a:path>
              <a:path w="7315200" h="2273935">
                <a:moveTo>
                  <a:pt x="2753868" y="0"/>
                </a:moveTo>
                <a:lnTo>
                  <a:pt x="1379220" y="0"/>
                </a:lnTo>
                <a:lnTo>
                  <a:pt x="1379220" y="411480"/>
                </a:lnTo>
                <a:lnTo>
                  <a:pt x="2753868" y="411480"/>
                </a:lnTo>
                <a:lnTo>
                  <a:pt x="2753868" y="0"/>
                </a:lnTo>
                <a:close/>
              </a:path>
              <a:path w="7315200" h="2273935">
                <a:moveTo>
                  <a:pt x="3304032" y="1863852"/>
                </a:moveTo>
                <a:lnTo>
                  <a:pt x="2756916" y="1863852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3852"/>
                </a:lnTo>
                <a:close/>
              </a:path>
              <a:path w="7315200" h="2273935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273935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273935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27393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27393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3935">
                <a:moveTo>
                  <a:pt x="3304032" y="621792"/>
                </a:moveTo>
                <a:lnTo>
                  <a:pt x="2756916" y="621792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1792"/>
                </a:lnTo>
                <a:close/>
              </a:path>
              <a:path w="7315200" h="2273935">
                <a:moveTo>
                  <a:pt x="3304032" y="414528"/>
                </a:moveTo>
                <a:lnTo>
                  <a:pt x="2756916" y="414528"/>
                </a:lnTo>
                <a:lnTo>
                  <a:pt x="2756916" y="618744"/>
                </a:lnTo>
                <a:lnTo>
                  <a:pt x="3304032" y="618744"/>
                </a:lnTo>
                <a:lnTo>
                  <a:pt x="3304032" y="414528"/>
                </a:lnTo>
                <a:close/>
              </a:path>
              <a:path w="7315200" h="2273935">
                <a:moveTo>
                  <a:pt x="3304032" y="205740"/>
                </a:moveTo>
                <a:lnTo>
                  <a:pt x="2756916" y="205740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5740"/>
                </a:lnTo>
                <a:close/>
              </a:path>
              <a:path w="7315200" h="2273935">
                <a:moveTo>
                  <a:pt x="3304032" y="0"/>
                </a:moveTo>
                <a:lnTo>
                  <a:pt x="2756916" y="0"/>
                </a:lnTo>
                <a:lnTo>
                  <a:pt x="2756916" y="202692"/>
                </a:lnTo>
                <a:lnTo>
                  <a:pt x="3304032" y="202692"/>
                </a:lnTo>
                <a:lnTo>
                  <a:pt x="3304032" y="0"/>
                </a:lnTo>
                <a:close/>
              </a:path>
              <a:path w="7315200" h="2273935">
                <a:moveTo>
                  <a:pt x="3998976" y="1863852"/>
                </a:moveTo>
                <a:lnTo>
                  <a:pt x="3307080" y="1863852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3852"/>
                </a:lnTo>
                <a:close/>
              </a:path>
              <a:path w="7315200" h="2273935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273935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273935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27393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27393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3935">
                <a:moveTo>
                  <a:pt x="3998976" y="621792"/>
                </a:moveTo>
                <a:lnTo>
                  <a:pt x="3307080" y="621792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1792"/>
                </a:lnTo>
                <a:close/>
              </a:path>
              <a:path w="7315200" h="2273935">
                <a:moveTo>
                  <a:pt x="3998976" y="414528"/>
                </a:moveTo>
                <a:lnTo>
                  <a:pt x="3307080" y="414528"/>
                </a:lnTo>
                <a:lnTo>
                  <a:pt x="3307080" y="618744"/>
                </a:lnTo>
                <a:lnTo>
                  <a:pt x="3998976" y="618744"/>
                </a:lnTo>
                <a:lnTo>
                  <a:pt x="3998976" y="414528"/>
                </a:lnTo>
                <a:close/>
              </a:path>
              <a:path w="7315200" h="2273935">
                <a:moveTo>
                  <a:pt x="3998976" y="205740"/>
                </a:moveTo>
                <a:lnTo>
                  <a:pt x="3307080" y="205740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5740"/>
                </a:lnTo>
                <a:close/>
              </a:path>
              <a:path w="7315200" h="2273935">
                <a:moveTo>
                  <a:pt x="3998976" y="0"/>
                </a:moveTo>
                <a:lnTo>
                  <a:pt x="3307080" y="0"/>
                </a:lnTo>
                <a:lnTo>
                  <a:pt x="3307080" y="202692"/>
                </a:lnTo>
                <a:lnTo>
                  <a:pt x="3998976" y="202692"/>
                </a:lnTo>
                <a:lnTo>
                  <a:pt x="3998976" y="0"/>
                </a:lnTo>
                <a:close/>
              </a:path>
              <a:path w="7315200" h="2273935">
                <a:moveTo>
                  <a:pt x="4828032" y="1863852"/>
                </a:moveTo>
                <a:lnTo>
                  <a:pt x="4002024" y="1863852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3852"/>
                </a:lnTo>
                <a:close/>
              </a:path>
              <a:path w="7315200" h="2273935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273935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273935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27393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27393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3935">
                <a:moveTo>
                  <a:pt x="4828032" y="621792"/>
                </a:moveTo>
                <a:lnTo>
                  <a:pt x="4002024" y="621792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1792"/>
                </a:lnTo>
                <a:close/>
              </a:path>
              <a:path w="7315200" h="2273935">
                <a:moveTo>
                  <a:pt x="4828032" y="414528"/>
                </a:moveTo>
                <a:lnTo>
                  <a:pt x="4002024" y="414528"/>
                </a:lnTo>
                <a:lnTo>
                  <a:pt x="4002024" y="618744"/>
                </a:lnTo>
                <a:lnTo>
                  <a:pt x="4828032" y="618744"/>
                </a:lnTo>
                <a:lnTo>
                  <a:pt x="4828032" y="414528"/>
                </a:lnTo>
                <a:close/>
              </a:path>
              <a:path w="7315200" h="2273935">
                <a:moveTo>
                  <a:pt x="4828032" y="205740"/>
                </a:moveTo>
                <a:lnTo>
                  <a:pt x="4002024" y="205740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5740"/>
                </a:lnTo>
                <a:close/>
              </a:path>
              <a:path w="7315200" h="2273935">
                <a:moveTo>
                  <a:pt x="4828032" y="0"/>
                </a:moveTo>
                <a:lnTo>
                  <a:pt x="4002024" y="0"/>
                </a:lnTo>
                <a:lnTo>
                  <a:pt x="4002024" y="202692"/>
                </a:lnTo>
                <a:lnTo>
                  <a:pt x="4828032" y="202692"/>
                </a:lnTo>
                <a:lnTo>
                  <a:pt x="4828032" y="0"/>
                </a:lnTo>
                <a:close/>
              </a:path>
              <a:path w="7315200" h="2273935">
                <a:moveTo>
                  <a:pt x="5657088" y="1863852"/>
                </a:moveTo>
                <a:lnTo>
                  <a:pt x="4831080" y="1863852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3852"/>
                </a:lnTo>
                <a:close/>
              </a:path>
              <a:path w="7315200" h="2273935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273935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273935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27393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27393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3935">
                <a:moveTo>
                  <a:pt x="5657088" y="621792"/>
                </a:moveTo>
                <a:lnTo>
                  <a:pt x="4831080" y="621792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1792"/>
                </a:lnTo>
                <a:close/>
              </a:path>
              <a:path w="7315200" h="2273935">
                <a:moveTo>
                  <a:pt x="5657088" y="414528"/>
                </a:moveTo>
                <a:lnTo>
                  <a:pt x="4831080" y="414528"/>
                </a:lnTo>
                <a:lnTo>
                  <a:pt x="4831080" y="618744"/>
                </a:lnTo>
                <a:lnTo>
                  <a:pt x="5657088" y="618744"/>
                </a:lnTo>
                <a:lnTo>
                  <a:pt x="5657088" y="414528"/>
                </a:lnTo>
                <a:close/>
              </a:path>
              <a:path w="7315200" h="2273935">
                <a:moveTo>
                  <a:pt x="5657088" y="205740"/>
                </a:moveTo>
                <a:lnTo>
                  <a:pt x="4831080" y="205740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5740"/>
                </a:lnTo>
                <a:close/>
              </a:path>
              <a:path w="7315200" h="2273935">
                <a:moveTo>
                  <a:pt x="5657088" y="0"/>
                </a:moveTo>
                <a:lnTo>
                  <a:pt x="4831080" y="0"/>
                </a:lnTo>
                <a:lnTo>
                  <a:pt x="4831080" y="202692"/>
                </a:lnTo>
                <a:lnTo>
                  <a:pt x="5657088" y="202692"/>
                </a:lnTo>
                <a:lnTo>
                  <a:pt x="5657088" y="0"/>
                </a:lnTo>
                <a:close/>
              </a:path>
              <a:path w="7315200" h="2273935">
                <a:moveTo>
                  <a:pt x="6486144" y="1863852"/>
                </a:moveTo>
                <a:lnTo>
                  <a:pt x="5660136" y="1863852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3852"/>
                </a:lnTo>
                <a:close/>
              </a:path>
              <a:path w="7315200" h="2273935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273935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273935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27393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27393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3935">
                <a:moveTo>
                  <a:pt x="6486144" y="621792"/>
                </a:moveTo>
                <a:lnTo>
                  <a:pt x="5660136" y="621792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1792"/>
                </a:lnTo>
                <a:close/>
              </a:path>
              <a:path w="7315200" h="2273935">
                <a:moveTo>
                  <a:pt x="6486144" y="414528"/>
                </a:moveTo>
                <a:lnTo>
                  <a:pt x="5660136" y="414528"/>
                </a:lnTo>
                <a:lnTo>
                  <a:pt x="5660136" y="618744"/>
                </a:lnTo>
                <a:lnTo>
                  <a:pt x="6486144" y="618744"/>
                </a:lnTo>
                <a:lnTo>
                  <a:pt x="6486144" y="414528"/>
                </a:lnTo>
                <a:close/>
              </a:path>
              <a:path w="7315200" h="2273935">
                <a:moveTo>
                  <a:pt x="6486144" y="205740"/>
                </a:moveTo>
                <a:lnTo>
                  <a:pt x="5660136" y="205740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5740"/>
                </a:lnTo>
                <a:close/>
              </a:path>
              <a:path w="7315200" h="2273935">
                <a:moveTo>
                  <a:pt x="6486144" y="0"/>
                </a:moveTo>
                <a:lnTo>
                  <a:pt x="5660136" y="0"/>
                </a:lnTo>
                <a:lnTo>
                  <a:pt x="5660136" y="202692"/>
                </a:lnTo>
                <a:lnTo>
                  <a:pt x="6486144" y="202692"/>
                </a:lnTo>
                <a:lnTo>
                  <a:pt x="6486144" y="0"/>
                </a:lnTo>
                <a:close/>
              </a:path>
              <a:path w="7315200" h="2273935">
                <a:moveTo>
                  <a:pt x="7315200" y="1863852"/>
                </a:moveTo>
                <a:lnTo>
                  <a:pt x="6489192" y="1863852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3852"/>
                </a:lnTo>
                <a:close/>
              </a:path>
              <a:path w="7315200" h="2273935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273935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273935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27393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27393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3935">
                <a:moveTo>
                  <a:pt x="7315200" y="621792"/>
                </a:moveTo>
                <a:lnTo>
                  <a:pt x="6489192" y="621792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1792"/>
                </a:lnTo>
                <a:close/>
              </a:path>
              <a:path w="7315200" h="2273935">
                <a:moveTo>
                  <a:pt x="7315200" y="414528"/>
                </a:moveTo>
                <a:lnTo>
                  <a:pt x="6489192" y="414528"/>
                </a:lnTo>
                <a:lnTo>
                  <a:pt x="6489192" y="618744"/>
                </a:lnTo>
                <a:lnTo>
                  <a:pt x="7315200" y="618744"/>
                </a:lnTo>
                <a:lnTo>
                  <a:pt x="7315200" y="414528"/>
                </a:lnTo>
                <a:close/>
              </a:path>
              <a:path w="7315200" h="2273935">
                <a:moveTo>
                  <a:pt x="7315200" y="205740"/>
                </a:moveTo>
                <a:lnTo>
                  <a:pt x="6489192" y="205740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5740"/>
                </a:lnTo>
                <a:close/>
              </a:path>
              <a:path w="7315200" h="2273935">
                <a:moveTo>
                  <a:pt x="7315200" y="0"/>
                </a:moveTo>
                <a:lnTo>
                  <a:pt x="6489192" y="0"/>
                </a:lnTo>
                <a:lnTo>
                  <a:pt x="6489192" y="202692"/>
                </a:lnTo>
                <a:lnTo>
                  <a:pt x="7315200" y="202692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342900" y="1656587"/>
            <a:ext cx="6972300" cy="617220"/>
          </a:xfrm>
          <a:custGeom>
            <a:avLst/>
            <a:gdLst/>
            <a:ahLst/>
            <a:cxnLst/>
            <a:rect l="0" t="0" r="0" b="0"/>
            <a:pathLst>
              <a:path w="6972300" h="617220">
                <a:moveTo>
                  <a:pt x="1033272" y="0"/>
                </a:moveTo>
                <a:lnTo>
                  <a:pt x="0" y="0"/>
                </a:lnTo>
                <a:lnTo>
                  <a:pt x="0" y="617220"/>
                </a:lnTo>
                <a:lnTo>
                  <a:pt x="1033272" y="617220"/>
                </a:lnTo>
                <a:lnTo>
                  <a:pt x="1033272" y="0"/>
                </a:lnTo>
                <a:close/>
              </a:path>
              <a:path w="6972300" h="617220">
                <a:moveTo>
                  <a:pt x="2410968" y="0"/>
                </a:moveTo>
                <a:lnTo>
                  <a:pt x="1036320" y="0"/>
                </a:lnTo>
                <a:lnTo>
                  <a:pt x="1036320" y="617220"/>
                </a:lnTo>
                <a:lnTo>
                  <a:pt x="2410968" y="617220"/>
                </a:lnTo>
                <a:lnTo>
                  <a:pt x="2410968" y="0"/>
                </a:lnTo>
                <a:close/>
              </a:path>
              <a:path w="6972300" h="617220">
                <a:moveTo>
                  <a:pt x="2961132" y="413004"/>
                </a:moveTo>
                <a:lnTo>
                  <a:pt x="2414016" y="413004"/>
                </a:lnTo>
                <a:lnTo>
                  <a:pt x="2414016" y="617220"/>
                </a:lnTo>
                <a:lnTo>
                  <a:pt x="2961132" y="617220"/>
                </a:lnTo>
                <a:lnTo>
                  <a:pt x="2961132" y="413004"/>
                </a:lnTo>
                <a:close/>
              </a:path>
              <a:path w="6972300" h="617220">
                <a:moveTo>
                  <a:pt x="3656076" y="413004"/>
                </a:moveTo>
                <a:lnTo>
                  <a:pt x="2964180" y="413004"/>
                </a:lnTo>
                <a:lnTo>
                  <a:pt x="2964180" y="617220"/>
                </a:lnTo>
                <a:lnTo>
                  <a:pt x="3656076" y="617220"/>
                </a:lnTo>
                <a:lnTo>
                  <a:pt x="3656076" y="413004"/>
                </a:lnTo>
                <a:close/>
              </a:path>
              <a:path w="6972300" h="617220">
                <a:moveTo>
                  <a:pt x="4485132" y="413004"/>
                </a:moveTo>
                <a:lnTo>
                  <a:pt x="3659124" y="413004"/>
                </a:lnTo>
                <a:lnTo>
                  <a:pt x="3659124" y="617220"/>
                </a:lnTo>
                <a:lnTo>
                  <a:pt x="4485132" y="617220"/>
                </a:lnTo>
                <a:lnTo>
                  <a:pt x="4485132" y="413004"/>
                </a:lnTo>
                <a:close/>
              </a:path>
              <a:path w="6972300" h="617220">
                <a:moveTo>
                  <a:pt x="5314188" y="413004"/>
                </a:moveTo>
                <a:lnTo>
                  <a:pt x="4488180" y="413004"/>
                </a:lnTo>
                <a:lnTo>
                  <a:pt x="4488180" y="617220"/>
                </a:lnTo>
                <a:lnTo>
                  <a:pt x="5314188" y="617220"/>
                </a:lnTo>
                <a:lnTo>
                  <a:pt x="5314188" y="413004"/>
                </a:lnTo>
                <a:close/>
              </a:path>
              <a:path w="6972300" h="617220">
                <a:moveTo>
                  <a:pt x="6143244" y="413004"/>
                </a:moveTo>
                <a:lnTo>
                  <a:pt x="5317236" y="413004"/>
                </a:lnTo>
                <a:lnTo>
                  <a:pt x="5317236" y="617220"/>
                </a:lnTo>
                <a:lnTo>
                  <a:pt x="6143244" y="617220"/>
                </a:lnTo>
                <a:lnTo>
                  <a:pt x="6143244" y="413004"/>
                </a:lnTo>
                <a:close/>
              </a:path>
              <a:path w="6972300" h="617220">
                <a:moveTo>
                  <a:pt x="6972300" y="413004"/>
                </a:moveTo>
                <a:lnTo>
                  <a:pt x="6146292" y="413004"/>
                </a:lnTo>
                <a:lnTo>
                  <a:pt x="6146292" y="617220"/>
                </a:lnTo>
                <a:lnTo>
                  <a:pt x="6972300" y="617220"/>
                </a:lnTo>
                <a:lnTo>
                  <a:pt x="6972300" y="41300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540131</xdr:colOff>
      <xdr:row>28</xdr:row>
      <xdr:rowOff>0</xdr:rowOff>
    </xdr:from>
    <xdr:ext cx="702945" cy="2273935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702945" cy="2273935"/>
        </a:xfrm>
        <a:custGeom>
          <a:avLst/>
          <a:gdLst/>
          <a:ahLst/>
          <a:cxnLst/>
          <a:rect l="0" t="0" r="0" b="0"/>
          <a:pathLst>
            <a:path w="702945" h="2273935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2273935">
              <a:moveTo>
                <a:pt x="702564" y="1863852"/>
              </a:moveTo>
              <a:lnTo>
                <a:pt x="0" y="1863852"/>
              </a:lnTo>
              <a:lnTo>
                <a:pt x="0" y="2066544"/>
              </a:lnTo>
              <a:lnTo>
                <a:pt x="702564" y="2066544"/>
              </a:lnTo>
              <a:lnTo>
                <a:pt x="702564" y="1863852"/>
              </a:lnTo>
              <a:close/>
            </a:path>
            <a:path w="702945" h="2273935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2273935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2273935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2273935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2273935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2273935">
              <a:moveTo>
                <a:pt x="702564" y="621792"/>
              </a:moveTo>
              <a:lnTo>
                <a:pt x="0" y="621792"/>
              </a:lnTo>
              <a:lnTo>
                <a:pt x="0" y="824484"/>
              </a:lnTo>
              <a:lnTo>
                <a:pt x="702564" y="824484"/>
              </a:lnTo>
              <a:lnTo>
                <a:pt x="702564" y="621792"/>
              </a:lnTo>
              <a:close/>
            </a:path>
            <a:path w="702945" h="2273935">
              <a:moveTo>
                <a:pt x="702564" y="414528"/>
              </a:moveTo>
              <a:lnTo>
                <a:pt x="0" y="414528"/>
              </a:lnTo>
              <a:lnTo>
                <a:pt x="0" y="618744"/>
              </a:lnTo>
              <a:lnTo>
                <a:pt x="702564" y="618744"/>
              </a:lnTo>
              <a:lnTo>
                <a:pt x="702564" y="414528"/>
              </a:lnTo>
              <a:close/>
            </a:path>
            <a:path w="702945" h="2273935">
              <a:moveTo>
                <a:pt x="702564" y="205740"/>
              </a:moveTo>
              <a:lnTo>
                <a:pt x="0" y="205740"/>
              </a:lnTo>
              <a:lnTo>
                <a:pt x="0" y="411480"/>
              </a:lnTo>
              <a:lnTo>
                <a:pt x="702564" y="411480"/>
              </a:lnTo>
              <a:lnTo>
                <a:pt x="702564" y="205740"/>
              </a:lnTo>
              <a:close/>
            </a:path>
            <a:path w="702945" h="2273935">
              <a:moveTo>
                <a:pt x="702564" y="0"/>
              </a:moveTo>
              <a:lnTo>
                <a:pt x="0" y="0"/>
              </a:lnTo>
              <a:lnTo>
                <a:pt x="0" y="202692"/>
              </a:lnTo>
              <a:lnTo>
                <a:pt x="702564" y="202692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21</xdr:row>
      <xdr:rowOff>206501</xdr:rowOff>
    </xdr:from>
    <xdr:ext cx="3313429" cy="375285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332219</xdr:colOff>
      <xdr:row>3</xdr:row>
      <xdr:rowOff>49142</xdr:rowOff>
    </xdr:from>
    <xdr:ext cx="193523" cy="290285"/>
    <xdr:pic>
      <xdr:nvPicPr>
        <xdr:cNvPr id="16" name="image1.jpe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233934</xdr:colOff>
      <xdr:row>3</xdr:row>
      <xdr:rowOff>49142</xdr:rowOff>
    </xdr:from>
    <xdr:ext cx="381000" cy="290285"/>
    <xdr:pic>
      <xdr:nvPicPr>
        <xdr:cNvPr id="17" name="image2.jpe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18" name="image3.jpe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762</xdr:rowOff>
    </xdr:from>
    <xdr:ext cx="381000" cy="381000"/>
    <xdr:pic>
      <xdr:nvPicPr>
        <xdr:cNvPr id="19" name="image4.jpe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23</xdr:row>
      <xdr:rowOff>0</xdr:rowOff>
    </xdr:from>
    <xdr:ext cx="7315200" cy="3910965"/>
    <xdr:grpSp>
      <xdr:nvGrpSpPr>
        <xdr:cNvPr id="20" name="Group 20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610234" y="5791200"/>
          <a:ext cx="7315200" cy="3910965"/>
          <a:chOff x="0" y="0"/>
          <a:chExt cx="7315200" cy="3910965"/>
        </a:xfrm>
      </xdr:grpSpPr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0" y="0"/>
            <a:ext cx="7315200" cy="2367280"/>
          </a:xfrm>
          <a:custGeom>
            <a:avLst/>
            <a:gdLst/>
            <a:ahLst/>
            <a:cxnLst/>
            <a:rect l="0" t="0" r="0" b="0"/>
            <a:pathLst>
              <a:path w="7315200" h="2367280">
                <a:moveTo>
                  <a:pt x="339852" y="2069592"/>
                </a:moveTo>
                <a:lnTo>
                  <a:pt x="0" y="2069592"/>
                </a:lnTo>
                <a:lnTo>
                  <a:pt x="0" y="2366772"/>
                </a:lnTo>
                <a:lnTo>
                  <a:pt x="339852" y="2366772"/>
                </a:lnTo>
                <a:lnTo>
                  <a:pt x="339852" y="2069592"/>
                </a:lnTo>
                <a:close/>
              </a:path>
              <a:path w="7315200" h="2367280">
                <a:moveTo>
                  <a:pt x="339852" y="1449324"/>
                </a:moveTo>
                <a:lnTo>
                  <a:pt x="0" y="1449324"/>
                </a:lnTo>
                <a:lnTo>
                  <a:pt x="0" y="2066544"/>
                </a:lnTo>
                <a:lnTo>
                  <a:pt x="339852" y="2066544"/>
                </a:lnTo>
                <a:lnTo>
                  <a:pt x="339852" y="1449324"/>
                </a:lnTo>
                <a:close/>
              </a:path>
              <a:path w="7315200" h="2367280">
                <a:moveTo>
                  <a:pt x="339852" y="0"/>
                </a:moveTo>
                <a:lnTo>
                  <a:pt x="0" y="0"/>
                </a:lnTo>
                <a:lnTo>
                  <a:pt x="0" y="1446276"/>
                </a:lnTo>
                <a:lnTo>
                  <a:pt x="339852" y="1446276"/>
                </a:lnTo>
                <a:lnTo>
                  <a:pt x="339852" y="0"/>
                </a:lnTo>
                <a:close/>
              </a:path>
              <a:path w="7315200" h="2367280">
                <a:moveTo>
                  <a:pt x="1376172" y="2069592"/>
                </a:moveTo>
                <a:lnTo>
                  <a:pt x="342900" y="2069592"/>
                </a:lnTo>
                <a:lnTo>
                  <a:pt x="342900" y="2366772"/>
                </a:lnTo>
                <a:lnTo>
                  <a:pt x="1376172" y="2366772"/>
                </a:lnTo>
                <a:lnTo>
                  <a:pt x="1376172" y="2069592"/>
                </a:lnTo>
                <a:close/>
              </a:path>
              <a:path w="7315200" h="2367280">
                <a:moveTo>
                  <a:pt x="1376172" y="1449324"/>
                </a:moveTo>
                <a:lnTo>
                  <a:pt x="342900" y="1449324"/>
                </a:lnTo>
                <a:lnTo>
                  <a:pt x="342900" y="2066544"/>
                </a:lnTo>
                <a:lnTo>
                  <a:pt x="1376172" y="2066544"/>
                </a:lnTo>
                <a:lnTo>
                  <a:pt x="1376172" y="1449324"/>
                </a:lnTo>
                <a:close/>
              </a:path>
              <a:path w="7315200" h="2367280">
                <a:moveTo>
                  <a:pt x="1376172" y="0"/>
                </a:moveTo>
                <a:lnTo>
                  <a:pt x="342900" y="0"/>
                </a:lnTo>
                <a:lnTo>
                  <a:pt x="342900" y="1446276"/>
                </a:lnTo>
                <a:lnTo>
                  <a:pt x="1376172" y="1446276"/>
                </a:lnTo>
                <a:lnTo>
                  <a:pt x="1376172" y="0"/>
                </a:lnTo>
                <a:close/>
              </a:path>
              <a:path w="7315200" h="2367280">
                <a:moveTo>
                  <a:pt x="2753868" y="2069592"/>
                </a:moveTo>
                <a:lnTo>
                  <a:pt x="1379220" y="2069592"/>
                </a:lnTo>
                <a:lnTo>
                  <a:pt x="1379220" y="2366772"/>
                </a:lnTo>
                <a:lnTo>
                  <a:pt x="2753868" y="2366772"/>
                </a:lnTo>
                <a:lnTo>
                  <a:pt x="2753868" y="2069592"/>
                </a:lnTo>
                <a:close/>
              </a:path>
              <a:path w="7315200" h="2367280">
                <a:moveTo>
                  <a:pt x="2753868" y="1449324"/>
                </a:moveTo>
                <a:lnTo>
                  <a:pt x="1379220" y="1449324"/>
                </a:lnTo>
                <a:lnTo>
                  <a:pt x="1379220" y="2066544"/>
                </a:lnTo>
                <a:lnTo>
                  <a:pt x="2753868" y="2066544"/>
                </a:lnTo>
                <a:lnTo>
                  <a:pt x="2753868" y="1449324"/>
                </a:lnTo>
                <a:close/>
              </a:path>
              <a:path w="7315200" h="2367280">
                <a:moveTo>
                  <a:pt x="2753868" y="0"/>
                </a:moveTo>
                <a:lnTo>
                  <a:pt x="1379220" y="0"/>
                </a:lnTo>
                <a:lnTo>
                  <a:pt x="1379220" y="1446276"/>
                </a:lnTo>
                <a:lnTo>
                  <a:pt x="2753868" y="1446276"/>
                </a:lnTo>
                <a:lnTo>
                  <a:pt x="2753868" y="0"/>
                </a:lnTo>
                <a:close/>
              </a:path>
              <a:path w="7315200" h="2367280">
                <a:moveTo>
                  <a:pt x="3304032" y="2069592"/>
                </a:moveTo>
                <a:lnTo>
                  <a:pt x="2756916" y="2069592"/>
                </a:lnTo>
                <a:lnTo>
                  <a:pt x="2756916" y="2366772"/>
                </a:lnTo>
                <a:lnTo>
                  <a:pt x="3304032" y="2366772"/>
                </a:lnTo>
                <a:lnTo>
                  <a:pt x="3304032" y="2069592"/>
                </a:lnTo>
                <a:close/>
              </a:path>
              <a:path w="7315200" h="2367280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367280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367280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367280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367280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367280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36728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367280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367280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367280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367280">
                <a:moveTo>
                  <a:pt x="3998976" y="2069592"/>
                </a:moveTo>
                <a:lnTo>
                  <a:pt x="3307080" y="2069592"/>
                </a:lnTo>
                <a:lnTo>
                  <a:pt x="3307080" y="2366772"/>
                </a:lnTo>
                <a:lnTo>
                  <a:pt x="3998976" y="2366772"/>
                </a:lnTo>
                <a:lnTo>
                  <a:pt x="3998976" y="2069592"/>
                </a:lnTo>
                <a:close/>
              </a:path>
              <a:path w="7315200" h="2367280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367280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367280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367280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367280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367280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36728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367280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36728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367280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367280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367280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367280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367280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367280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367280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36728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367280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36728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367280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367280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367280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367280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367280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367280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367280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36728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367280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36728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367280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367280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367280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367280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367280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367280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367280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36728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367280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36728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367280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367280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367280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367280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367280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367280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367280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36728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367280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36728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367280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>
            <a:off x="0" y="2069591"/>
            <a:ext cx="7315200" cy="1841500"/>
          </a:xfrm>
          <a:custGeom>
            <a:avLst/>
            <a:gdLst/>
            <a:ahLst/>
            <a:cxnLst/>
            <a:rect l="0" t="0" r="0" b="0"/>
            <a:pathLst>
              <a:path w="7315200" h="1841500">
                <a:moveTo>
                  <a:pt x="339852" y="1429512"/>
                </a:moveTo>
                <a:lnTo>
                  <a:pt x="0" y="1429512"/>
                </a:lnTo>
                <a:lnTo>
                  <a:pt x="0" y="1840992"/>
                </a:lnTo>
                <a:lnTo>
                  <a:pt x="339852" y="1840992"/>
                </a:lnTo>
                <a:lnTo>
                  <a:pt x="339852" y="1429512"/>
                </a:lnTo>
                <a:close/>
              </a:path>
              <a:path w="7315200" h="1841500">
                <a:moveTo>
                  <a:pt x="339852" y="1129284"/>
                </a:moveTo>
                <a:lnTo>
                  <a:pt x="0" y="1129284"/>
                </a:lnTo>
                <a:lnTo>
                  <a:pt x="0" y="1426464"/>
                </a:lnTo>
                <a:lnTo>
                  <a:pt x="339852" y="1426464"/>
                </a:lnTo>
                <a:lnTo>
                  <a:pt x="339852" y="1129284"/>
                </a:lnTo>
                <a:close/>
              </a:path>
              <a:path w="7315200" h="1841500">
                <a:moveTo>
                  <a:pt x="339852" y="300228"/>
                </a:moveTo>
                <a:lnTo>
                  <a:pt x="0" y="300228"/>
                </a:lnTo>
                <a:lnTo>
                  <a:pt x="0" y="1126236"/>
                </a:lnTo>
                <a:lnTo>
                  <a:pt x="339852" y="1126236"/>
                </a:lnTo>
                <a:lnTo>
                  <a:pt x="339852" y="300228"/>
                </a:lnTo>
                <a:close/>
              </a:path>
              <a:path w="7315200" h="1841500">
                <a:moveTo>
                  <a:pt x="1376172" y="1429512"/>
                </a:moveTo>
                <a:lnTo>
                  <a:pt x="342900" y="1429512"/>
                </a:lnTo>
                <a:lnTo>
                  <a:pt x="342900" y="1840992"/>
                </a:lnTo>
                <a:lnTo>
                  <a:pt x="1376172" y="1840992"/>
                </a:lnTo>
                <a:lnTo>
                  <a:pt x="1376172" y="1429512"/>
                </a:lnTo>
                <a:close/>
              </a:path>
              <a:path w="7315200" h="1841500">
                <a:moveTo>
                  <a:pt x="1376172" y="1129284"/>
                </a:moveTo>
                <a:lnTo>
                  <a:pt x="342900" y="1129284"/>
                </a:lnTo>
                <a:lnTo>
                  <a:pt x="342900" y="1426464"/>
                </a:lnTo>
                <a:lnTo>
                  <a:pt x="1376172" y="1426464"/>
                </a:lnTo>
                <a:lnTo>
                  <a:pt x="1376172" y="1129284"/>
                </a:lnTo>
                <a:close/>
              </a:path>
              <a:path w="7315200" h="1841500">
                <a:moveTo>
                  <a:pt x="1376172" y="300228"/>
                </a:moveTo>
                <a:lnTo>
                  <a:pt x="342900" y="300228"/>
                </a:lnTo>
                <a:lnTo>
                  <a:pt x="342900" y="1126236"/>
                </a:lnTo>
                <a:lnTo>
                  <a:pt x="1376172" y="1126236"/>
                </a:lnTo>
                <a:lnTo>
                  <a:pt x="1376172" y="300228"/>
                </a:lnTo>
                <a:close/>
              </a:path>
              <a:path w="7315200" h="1841500">
                <a:moveTo>
                  <a:pt x="2753868" y="1429512"/>
                </a:moveTo>
                <a:lnTo>
                  <a:pt x="1379220" y="1429512"/>
                </a:lnTo>
                <a:lnTo>
                  <a:pt x="1379220" y="1840992"/>
                </a:lnTo>
                <a:lnTo>
                  <a:pt x="2753868" y="1840992"/>
                </a:lnTo>
                <a:lnTo>
                  <a:pt x="2753868" y="1429512"/>
                </a:lnTo>
                <a:close/>
              </a:path>
              <a:path w="7315200" h="1841500">
                <a:moveTo>
                  <a:pt x="2753868" y="1129284"/>
                </a:moveTo>
                <a:lnTo>
                  <a:pt x="1379220" y="1129284"/>
                </a:lnTo>
                <a:lnTo>
                  <a:pt x="1379220" y="1426464"/>
                </a:lnTo>
                <a:lnTo>
                  <a:pt x="2753868" y="1426464"/>
                </a:lnTo>
                <a:lnTo>
                  <a:pt x="2753868" y="1129284"/>
                </a:lnTo>
                <a:close/>
              </a:path>
              <a:path w="7315200" h="1841500">
                <a:moveTo>
                  <a:pt x="2753868" y="300228"/>
                </a:moveTo>
                <a:lnTo>
                  <a:pt x="1379220" y="300228"/>
                </a:lnTo>
                <a:lnTo>
                  <a:pt x="1379220" y="1126236"/>
                </a:lnTo>
                <a:lnTo>
                  <a:pt x="2753868" y="1126236"/>
                </a:lnTo>
                <a:lnTo>
                  <a:pt x="2753868" y="300228"/>
                </a:lnTo>
                <a:close/>
              </a:path>
              <a:path w="7315200" h="1841500">
                <a:moveTo>
                  <a:pt x="3304032" y="1636776"/>
                </a:moveTo>
                <a:lnTo>
                  <a:pt x="2756916" y="1636776"/>
                </a:lnTo>
                <a:lnTo>
                  <a:pt x="2756916" y="1840992"/>
                </a:lnTo>
                <a:lnTo>
                  <a:pt x="3304032" y="1840992"/>
                </a:lnTo>
                <a:lnTo>
                  <a:pt x="3304032" y="1636776"/>
                </a:lnTo>
                <a:close/>
              </a:path>
              <a:path w="7315200" h="1841500">
                <a:moveTo>
                  <a:pt x="3304032" y="1429512"/>
                </a:moveTo>
                <a:lnTo>
                  <a:pt x="2756916" y="1429512"/>
                </a:lnTo>
                <a:lnTo>
                  <a:pt x="2756916" y="1633728"/>
                </a:lnTo>
                <a:lnTo>
                  <a:pt x="3304032" y="1633728"/>
                </a:lnTo>
                <a:lnTo>
                  <a:pt x="3304032" y="1429512"/>
                </a:lnTo>
                <a:close/>
              </a:path>
              <a:path w="7315200" h="1841500">
                <a:moveTo>
                  <a:pt x="3304032" y="1129284"/>
                </a:moveTo>
                <a:lnTo>
                  <a:pt x="2756916" y="1129284"/>
                </a:lnTo>
                <a:lnTo>
                  <a:pt x="2756916" y="1426464"/>
                </a:lnTo>
                <a:lnTo>
                  <a:pt x="3304032" y="1426464"/>
                </a:lnTo>
                <a:lnTo>
                  <a:pt x="3304032" y="1129284"/>
                </a:lnTo>
                <a:close/>
              </a:path>
              <a:path w="7315200" h="1841500">
                <a:moveTo>
                  <a:pt x="3304032" y="922020"/>
                </a:moveTo>
                <a:lnTo>
                  <a:pt x="2756916" y="922020"/>
                </a:lnTo>
                <a:lnTo>
                  <a:pt x="2756916" y="1126236"/>
                </a:lnTo>
                <a:lnTo>
                  <a:pt x="3304032" y="1126236"/>
                </a:lnTo>
                <a:lnTo>
                  <a:pt x="3304032" y="922020"/>
                </a:lnTo>
                <a:close/>
              </a:path>
              <a:path w="7315200" h="1841500">
                <a:moveTo>
                  <a:pt x="3304032" y="714756"/>
                </a:moveTo>
                <a:lnTo>
                  <a:pt x="2756916" y="714756"/>
                </a:lnTo>
                <a:lnTo>
                  <a:pt x="2756916" y="918972"/>
                </a:lnTo>
                <a:lnTo>
                  <a:pt x="3304032" y="918972"/>
                </a:lnTo>
                <a:lnTo>
                  <a:pt x="3304032" y="714756"/>
                </a:lnTo>
                <a:close/>
              </a:path>
              <a:path w="7315200" h="1841500">
                <a:moveTo>
                  <a:pt x="3304032" y="507492"/>
                </a:moveTo>
                <a:lnTo>
                  <a:pt x="2756916" y="507492"/>
                </a:lnTo>
                <a:lnTo>
                  <a:pt x="2756916" y="711708"/>
                </a:lnTo>
                <a:lnTo>
                  <a:pt x="3304032" y="711708"/>
                </a:lnTo>
                <a:lnTo>
                  <a:pt x="3304032" y="507492"/>
                </a:lnTo>
                <a:close/>
              </a:path>
              <a:path w="7315200" h="1841500">
                <a:moveTo>
                  <a:pt x="3304032" y="300228"/>
                </a:moveTo>
                <a:lnTo>
                  <a:pt x="2756916" y="300228"/>
                </a:lnTo>
                <a:lnTo>
                  <a:pt x="2756916" y="504444"/>
                </a:lnTo>
                <a:lnTo>
                  <a:pt x="3304032" y="504444"/>
                </a:lnTo>
                <a:lnTo>
                  <a:pt x="3304032" y="300228"/>
                </a:lnTo>
                <a:close/>
              </a:path>
              <a:path w="7315200" h="1841500">
                <a:moveTo>
                  <a:pt x="3998976" y="1636776"/>
                </a:moveTo>
                <a:lnTo>
                  <a:pt x="3307080" y="1636776"/>
                </a:lnTo>
                <a:lnTo>
                  <a:pt x="3307080" y="1840992"/>
                </a:lnTo>
                <a:lnTo>
                  <a:pt x="3998976" y="1840992"/>
                </a:lnTo>
                <a:lnTo>
                  <a:pt x="3998976" y="1636776"/>
                </a:lnTo>
                <a:close/>
              </a:path>
              <a:path w="7315200" h="1841500">
                <a:moveTo>
                  <a:pt x="3998976" y="1429512"/>
                </a:moveTo>
                <a:lnTo>
                  <a:pt x="3307080" y="1429512"/>
                </a:lnTo>
                <a:lnTo>
                  <a:pt x="3307080" y="1633728"/>
                </a:lnTo>
                <a:lnTo>
                  <a:pt x="3998976" y="1633728"/>
                </a:lnTo>
                <a:lnTo>
                  <a:pt x="3998976" y="1429512"/>
                </a:lnTo>
                <a:close/>
              </a:path>
              <a:path w="7315200" h="1841500">
                <a:moveTo>
                  <a:pt x="3998976" y="1129284"/>
                </a:moveTo>
                <a:lnTo>
                  <a:pt x="3307080" y="1129284"/>
                </a:lnTo>
                <a:lnTo>
                  <a:pt x="3307080" y="1426464"/>
                </a:lnTo>
                <a:lnTo>
                  <a:pt x="3998976" y="1426464"/>
                </a:lnTo>
                <a:lnTo>
                  <a:pt x="3998976" y="1129284"/>
                </a:lnTo>
                <a:close/>
              </a:path>
              <a:path w="7315200" h="1841500">
                <a:moveTo>
                  <a:pt x="3998976" y="922020"/>
                </a:moveTo>
                <a:lnTo>
                  <a:pt x="3307080" y="922020"/>
                </a:lnTo>
                <a:lnTo>
                  <a:pt x="3307080" y="1126236"/>
                </a:lnTo>
                <a:lnTo>
                  <a:pt x="3998976" y="1126236"/>
                </a:lnTo>
                <a:lnTo>
                  <a:pt x="3998976" y="922020"/>
                </a:lnTo>
                <a:close/>
              </a:path>
              <a:path w="7315200" h="1841500">
                <a:moveTo>
                  <a:pt x="3998976" y="714756"/>
                </a:moveTo>
                <a:lnTo>
                  <a:pt x="3307080" y="714756"/>
                </a:lnTo>
                <a:lnTo>
                  <a:pt x="3307080" y="918972"/>
                </a:lnTo>
                <a:lnTo>
                  <a:pt x="3998976" y="918972"/>
                </a:lnTo>
                <a:lnTo>
                  <a:pt x="3998976" y="714756"/>
                </a:lnTo>
                <a:close/>
              </a:path>
              <a:path w="7315200" h="1841500">
                <a:moveTo>
                  <a:pt x="3998976" y="507492"/>
                </a:moveTo>
                <a:lnTo>
                  <a:pt x="3307080" y="507492"/>
                </a:lnTo>
                <a:lnTo>
                  <a:pt x="3307080" y="711708"/>
                </a:lnTo>
                <a:lnTo>
                  <a:pt x="3998976" y="711708"/>
                </a:lnTo>
                <a:lnTo>
                  <a:pt x="3998976" y="507492"/>
                </a:lnTo>
                <a:close/>
              </a:path>
              <a:path w="7315200" h="1841500">
                <a:moveTo>
                  <a:pt x="3998976" y="300228"/>
                </a:moveTo>
                <a:lnTo>
                  <a:pt x="3307080" y="300228"/>
                </a:lnTo>
                <a:lnTo>
                  <a:pt x="3307080" y="504444"/>
                </a:lnTo>
                <a:lnTo>
                  <a:pt x="3998976" y="504444"/>
                </a:lnTo>
                <a:lnTo>
                  <a:pt x="3998976" y="300228"/>
                </a:lnTo>
                <a:close/>
              </a:path>
              <a:path w="7315200" h="1841500">
                <a:moveTo>
                  <a:pt x="3998976" y="0"/>
                </a:moveTo>
                <a:lnTo>
                  <a:pt x="3307080" y="0"/>
                </a:lnTo>
                <a:lnTo>
                  <a:pt x="3307080" y="297180"/>
                </a:lnTo>
                <a:lnTo>
                  <a:pt x="3998976" y="297180"/>
                </a:lnTo>
                <a:lnTo>
                  <a:pt x="3998976" y="0"/>
                </a:lnTo>
                <a:close/>
              </a:path>
              <a:path w="7315200" h="1841500">
                <a:moveTo>
                  <a:pt x="4828032" y="1636776"/>
                </a:moveTo>
                <a:lnTo>
                  <a:pt x="4002024" y="1636776"/>
                </a:lnTo>
                <a:lnTo>
                  <a:pt x="4002024" y="1840992"/>
                </a:lnTo>
                <a:lnTo>
                  <a:pt x="4828032" y="1840992"/>
                </a:lnTo>
                <a:lnTo>
                  <a:pt x="4828032" y="1636776"/>
                </a:lnTo>
                <a:close/>
              </a:path>
              <a:path w="7315200" h="1841500">
                <a:moveTo>
                  <a:pt x="4828032" y="1429512"/>
                </a:moveTo>
                <a:lnTo>
                  <a:pt x="4002024" y="1429512"/>
                </a:lnTo>
                <a:lnTo>
                  <a:pt x="4002024" y="1633728"/>
                </a:lnTo>
                <a:lnTo>
                  <a:pt x="4828032" y="1633728"/>
                </a:lnTo>
                <a:lnTo>
                  <a:pt x="4828032" y="1429512"/>
                </a:lnTo>
                <a:close/>
              </a:path>
              <a:path w="7315200" h="1841500">
                <a:moveTo>
                  <a:pt x="4828032" y="1129284"/>
                </a:moveTo>
                <a:lnTo>
                  <a:pt x="4002024" y="1129284"/>
                </a:lnTo>
                <a:lnTo>
                  <a:pt x="4002024" y="1426464"/>
                </a:lnTo>
                <a:lnTo>
                  <a:pt x="4828032" y="1426464"/>
                </a:lnTo>
                <a:lnTo>
                  <a:pt x="4828032" y="1129284"/>
                </a:lnTo>
                <a:close/>
              </a:path>
              <a:path w="7315200" h="1841500">
                <a:moveTo>
                  <a:pt x="4828032" y="922020"/>
                </a:moveTo>
                <a:lnTo>
                  <a:pt x="4002024" y="922020"/>
                </a:lnTo>
                <a:lnTo>
                  <a:pt x="4002024" y="1126236"/>
                </a:lnTo>
                <a:lnTo>
                  <a:pt x="4828032" y="1126236"/>
                </a:lnTo>
                <a:lnTo>
                  <a:pt x="4828032" y="922020"/>
                </a:lnTo>
                <a:close/>
              </a:path>
              <a:path w="7315200" h="1841500">
                <a:moveTo>
                  <a:pt x="4828032" y="714756"/>
                </a:moveTo>
                <a:lnTo>
                  <a:pt x="4002024" y="714756"/>
                </a:lnTo>
                <a:lnTo>
                  <a:pt x="4002024" y="918972"/>
                </a:lnTo>
                <a:lnTo>
                  <a:pt x="4828032" y="918972"/>
                </a:lnTo>
                <a:lnTo>
                  <a:pt x="4828032" y="714756"/>
                </a:lnTo>
                <a:close/>
              </a:path>
              <a:path w="7315200" h="1841500">
                <a:moveTo>
                  <a:pt x="4828032" y="507492"/>
                </a:moveTo>
                <a:lnTo>
                  <a:pt x="4002024" y="507492"/>
                </a:lnTo>
                <a:lnTo>
                  <a:pt x="4002024" y="711708"/>
                </a:lnTo>
                <a:lnTo>
                  <a:pt x="4828032" y="711708"/>
                </a:lnTo>
                <a:lnTo>
                  <a:pt x="4828032" y="507492"/>
                </a:lnTo>
                <a:close/>
              </a:path>
              <a:path w="7315200" h="1841500">
                <a:moveTo>
                  <a:pt x="4828032" y="300228"/>
                </a:moveTo>
                <a:lnTo>
                  <a:pt x="4002024" y="300228"/>
                </a:lnTo>
                <a:lnTo>
                  <a:pt x="4002024" y="504444"/>
                </a:lnTo>
                <a:lnTo>
                  <a:pt x="4828032" y="504444"/>
                </a:lnTo>
                <a:lnTo>
                  <a:pt x="4828032" y="300228"/>
                </a:lnTo>
                <a:close/>
              </a:path>
              <a:path w="7315200" h="1841500">
                <a:moveTo>
                  <a:pt x="4828032" y="0"/>
                </a:moveTo>
                <a:lnTo>
                  <a:pt x="4002024" y="0"/>
                </a:lnTo>
                <a:lnTo>
                  <a:pt x="4002024" y="297180"/>
                </a:lnTo>
                <a:lnTo>
                  <a:pt x="4828032" y="297180"/>
                </a:lnTo>
                <a:lnTo>
                  <a:pt x="4828032" y="0"/>
                </a:lnTo>
                <a:close/>
              </a:path>
              <a:path w="7315200" h="1841500">
                <a:moveTo>
                  <a:pt x="5657088" y="1636776"/>
                </a:moveTo>
                <a:lnTo>
                  <a:pt x="4831080" y="1636776"/>
                </a:lnTo>
                <a:lnTo>
                  <a:pt x="4831080" y="1840992"/>
                </a:lnTo>
                <a:lnTo>
                  <a:pt x="5657088" y="1840992"/>
                </a:lnTo>
                <a:lnTo>
                  <a:pt x="5657088" y="1636776"/>
                </a:lnTo>
                <a:close/>
              </a:path>
              <a:path w="7315200" h="1841500">
                <a:moveTo>
                  <a:pt x="5657088" y="1429512"/>
                </a:moveTo>
                <a:lnTo>
                  <a:pt x="4831080" y="1429512"/>
                </a:lnTo>
                <a:lnTo>
                  <a:pt x="4831080" y="1633728"/>
                </a:lnTo>
                <a:lnTo>
                  <a:pt x="5657088" y="1633728"/>
                </a:lnTo>
                <a:lnTo>
                  <a:pt x="5657088" y="1429512"/>
                </a:lnTo>
                <a:close/>
              </a:path>
              <a:path w="7315200" h="1841500">
                <a:moveTo>
                  <a:pt x="5657088" y="1129284"/>
                </a:moveTo>
                <a:lnTo>
                  <a:pt x="4831080" y="1129284"/>
                </a:lnTo>
                <a:lnTo>
                  <a:pt x="4831080" y="1426464"/>
                </a:lnTo>
                <a:lnTo>
                  <a:pt x="5657088" y="1426464"/>
                </a:lnTo>
                <a:lnTo>
                  <a:pt x="5657088" y="1129284"/>
                </a:lnTo>
                <a:close/>
              </a:path>
              <a:path w="7315200" h="1841500">
                <a:moveTo>
                  <a:pt x="5657088" y="922020"/>
                </a:moveTo>
                <a:lnTo>
                  <a:pt x="4831080" y="922020"/>
                </a:lnTo>
                <a:lnTo>
                  <a:pt x="4831080" y="1126236"/>
                </a:lnTo>
                <a:lnTo>
                  <a:pt x="5657088" y="1126236"/>
                </a:lnTo>
                <a:lnTo>
                  <a:pt x="5657088" y="922020"/>
                </a:lnTo>
                <a:close/>
              </a:path>
              <a:path w="7315200" h="1841500">
                <a:moveTo>
                  <a:pt x="5657088" y="714756"/>
                </a:moveTo>
                <a:lnTo>
                  <a:pt x="4831080" y="714756"/>
                </a:lnTo>
                <a:lnTo>
                  <a:pt x="4831080" y="918972"/>
                </a:lnTo>
                <a:lnTo>
                  <a:pt x="5657088" y="918972"/>
                </a:lnTo>
                <a:lnTo>
                  <a:pt x="5657088" y="714756"/>
                </a:lnTo>
                <a:close/>
              </a:path>
              <a:path w="7315200" h="1841500">
                <a:moveTo>
                  <a:pt x="5657088" y="507492"/>
                </a:moveTo>
                <a:lnTo>
                  <a:pt x="4831080" y="507492"/>
                </a:lnTo>
                <a:lnTo>
                  <a:pt x="4831080" y="711708"/>
                </a:lnTo>
                <a:lnTo>
                  <a:pt x="5657088" y="711708"/>
                </a:lnTo>
                <a:lnTo>
                  <a:pt x="5657088" y="507492"/>
                </a:lnTo>
                <a:close/>
              </a:path>
              <a:path w="7315200" h="1841500">
                <a:moveTo>
                  <a:pt x="5657088" y="300228"/>
                </a:moveTo>
                <a:lnTo>
                  <a:pt x="4831080" y="300228"/>
                </a:lnTo>
                <a:lnTo>
                  <a:pt x="4831080" y="504444"/>
                </a:lnTo>
                <a:lnTo>
                  <a:pt x="5657088" y="504444"/>
                </a:lnTo>
                <a:lnTo>
                  <a:pt x="5657088" y="300228"/>
                </a:lnTo>
                <a:close/>
              </a:path>
              <a:path w="7315200" h="1841500">
                <a:moveTo>
                  <a:pt x="5657088" y="0"/>
                </a:moveTo>
                <a:lnTo>
                  <a:pt x="4831080" y="0"/>
                </a:lnTo>
                <a:lnTo>
                  <a:pt x="4831080" y="297180"/>
                </a:lnTo>
                <a:lnTo>
                  <a:pt x="5657088" y="297180"/>
                </a:lnTo>
                <a:lnTo>
                  <a:pt x="5657088" y="0"/>
                </a:lnTo>
                <a:close/>
              </a:path>
              <a:path w="7315200" h="1841500">
                <a:moveTo>
                  <a:pt x="6486144" y="1636776"/>
                </a:moveTo>
                <a:lnTo>
                  <a:pt x="5660136" y="1636776"/>
                </a:lnTo>
                <a:lnTo>
                  <a:pt x="5660136" y="1840992"/>
                </a:lnTo>
                <a:lnTo>
                  <a:pt x="6486144" y="1840992"/>
                </a:lnTo>
                <a:lnTo>
                  <a:pt x="6486144" y="1636776"/>
                </a:lnTo>
                <a:close/>
              </a:path>
              <a:path w="7315200" h="1841500">
                <a:moveTo>
                  <a:pt x="6486144" y="1429512"/>
                </a:moveTo>
                <a:lnTo>
                  <a:pt x="5660136" y="1429512"/>
                </a:lnTo>
                <a:lnTo>
                  <a:pt x="5660136" y="1633728"/>
                </a:lnTo>
                <a:lnTo>
                  <a:pt x="6486144" y="1633728"/>
                </a:lnTo>
                <a:lnTo>
                  <a:pt x="6486144" y="1429512"/>
                </a:lnTo>
                <a:close/>
              </a:path>
              <a:path w="7315200" h="1841500">
                <a:moveTo>
                  <a:pt x="6486144" y="1129284"/>
                </a:moveTo>
                <a:lnTo>
                  <a:pt x="5660136" y="1129284"/>
                </a:lnTo>
                <a:lnTo>
                  <a:pt x="5660136" y="1426464"/>
                </a:lnTo>
                <a:lnTo>
                  <a:pt x="6486144" y="1426464"/>
                </a:lnTo>
                <a:lnTo>
                  <a:pt x="6486144" y="1129284"/>
                </a:lnTo>
                <a:close/>
              </a:path>
              <a:path w="7315200" h="1841500">
                <a:moveTo>
                  <a:pt x="6486144" y="922020"/>
                </a:moveTo>
                <a:lnTo>
                  <a:pt x="5660136" y="922020"/>
                </a:lnTo>
                <a:lnTo>
                  <a:pt x="5660136" y="1126236"/>
                </a:lnTo>
                <a:lnTo>
                  <a:pt x="6486144" y="1126236"/>
                </a:lnTo>
                <a:lnTo>
                  <a:pt x="6486144" y="922020"/>
                </a:lnTo>
                <a:close/>
              </a:path>
              <a:path w="7315200" h="1841500">
                <a:moveTo>
                  <a:pt x="6486144" y="714756"/>
                </a:moveTo>
                <a:lnTo>
                  <a:pt x="5660136" y="714756"/>
                </a:lnTo>
                <a:lnTo>
                  <a:pt x="5660136" y="918972"/>
                </a:lnTo>
                <a:lnTo>
                  <a:pt x="6486144" y="918972"/>
                </a:lnTo>
                <a:lnTo>
                  <a:pt x="6486144" y="714756"/>
                </a:lnTo>
                <a:close/>
              </a:path>
              <a:path w="7315200" h="1841500">
                <a:moveTo>
                  <a:pt x="6486144" y="507492"/>
                </a:moveTo>
                <a:lnTo>
                  <a:pt x="5660136" y="507492"/>
                </a:lnTo>
                <a:lnTo>
                  <a:pt x="5660136" y="711708"/>
                </a:lnTo>
                <a:lnTo>
                  <a:pt x="6486144" y="711708"/>
                </a:lnTo>
                <a:lnTo>
                  <a:pt x="6486144" y="507492"/>
                </a:lnTo>
                <a:close/>
              </a:path>
              <a:path w="7315200" h="1841500">
                <a:moveTo>
                  <a:pt x="6486144" y="300228"/>
                </a:moveTo>
                <a:lnTo>
                  <a:pt x="5660136" y="300228"/>
                </a:lnTo>
                <a:lnTo>
                  <a:pt x="5660136" y="504444"/>
                </a:lnTo>
                <a:lnTo>
                  <a:pt x="6486144" y="504444"/>
                </a:lnTo>
                <a:lnTo>
                  <a:pt x="6486144" y="300228"/>
                </a:lnTo>
                <a:close/>
              </a:path>
              <a:path w="7315200" h="1841500">
                <a:moveTo>
                  <a:pt x="6486144" y="0"/>
                </a:moveTo>
                <a:lnTo>
                  <a:pt x="5660136" y="0"/>
                </a:lnTo>
                <a:lnTo>
                  <a:pt x="5660136" y="297180"/>
                </a:lnTo>
                <a:lnTo>
                  <a:pt x="6486144" y="297180"/>
                </a:lnTo>
                <a:lnTo>
                  <a:pt x="6486144" y="0"/>
                </a:lnTo>
                <a:close/>
              </a:path>
              <a:path w="7315200" h="1841500">
                <a:moveTo>
                  <a:pt x="7315200" y="1636776"/>
                </a:moveTo>
                <a:lnTo>
                  <a:pt x="6489192" y="1636776"/>
                </a:lnTo>
                <a:lnTo>
                  <a:pt x="6489192" y="1840992"/>
                </a:lnTo>
                <a:lnTo>
                  <a:pt x="7315200" y="1840992"/>
                </a:lnTo>
                <a:lnTo>
                  <a:pt x="7315200" y="1636776"/>
                </a:lnTo>
                <a:close/>
              </a:path>
              <a:path w="7315200" h="1841500">
                <a:moveTo>
                  <a:pt x="7315200" y="1429512"/>
                </a:moveTo>
                <a:lnTo>
                  <a:pt x="6489192" y="1429512"/>
                </a:lnTo>
                <a:lnTo>
                  <a:pt x="6489192" y="1633728"/>
                </a:lnTo>
                <a:lnTo>
                  <a:pt x="7315200" y="1633728"/>
                </a:lnTo>
                <a:lnTo>
                  <a:pt x="7315200" y="1429512"/>
                </a:lnTo>
                <a:close/>
              </a:path>
              <a:path w="7315200" h="1841500">
                <a:moveTo>
                  <a:pt x="7315200" y="1129284"/>
                </a:moveTo>
                <a:lnTo>
                  <a:pt x="6489192" y="1129284"/>
                </a:lnTo>
                <a:lnTo>
                  <a:pt x="6489192" y="1426464"/>
                </a:lnTo>
                <a:lnTo>
                  <a:pt x="7315200" y="1426464"/>
                </a:lnTo>
                <a:lnTo>
                  <a:pt x="7315200" y="1129284"/>
                </a:lnTo>
                <a:close/>
              </a:path>
              <a:path w="7315200" h="1841500">
                <a:moveTo>
                  <a:pt x="7315200" y="922020"/>
                </a:moveTo>
                <a:lnTo>
                  <a:pt x="6489192" y="922020"/>
                </a:lnTo>
                <a:lnTo>
                  <a:pt x="6489192" y="1126236"/>
                </a:lnTo>
                <a:lnTo>
                  <a:pt x="7315200" y="1126236"/>
                </a:lnTo>
                <a:lnTo>
                  <a:pt x="7315200" y="922020"/>
                </a:lnTo>
                <a:close/>
              </a:path>
              <a:path w="7315200" h="1841500">
                <a:moveTo>
                  <a:pt x="7315200" y="714756"/>
                </a:moveTo>
                <a:lnTo>
                  <a:pt x="6489192" y="714756"/>
                </a:lnTo>
                <a:lnTo>
                  <a:pt x="6489192" y="918972"/>
                </a:lnTo>
                <a:lnTo>
                  <a:pt x="7315200" y="918972"/>
                </a:lnTo>
                <a:lnTo>
                  <a:pt x="7315200" y="714756"/>
                </a:lnTo>
                <a:close/>
              </a:path>
              <a:path w="7315200" h="1841500">
                <a:moveTo>
                  <a:pt x="7315200" y="507492"/>
                </a:moveTo>
                <a:lnTo>
                  <a:pt x="6489192" y="507492"/>
                </a:lnTo>
                <a:lnTo>
                  <a:pt x="6489192" y="711708"/>
                </a:lnTo>
                <a:lnTo>
                  <a:pt x="7315200" y="711708"/>
                </a:lnTo>
                <a:lnTo>
                  <a:pt x="7315200" y="507492"/>
                </a:lnTo>
                <a:close/>
              </a:path>
              <a:path w="7315200" h="1841500">
                <a:moveTo>
                  <a:pt x="7315200" y="300228"/>
                </a:moveTo>
                <a:lnTo>
                  <a:pt x="6489192" y="300228"/>
                </a:lnTo>
                <a:lnTo>
                  <a:pt x="6489192" y="504444"/>
                </a:lnTo>
                <a:lnTo>
                  <a:pt x="7315200" y="504444"/>
                </a:lnTo>
                <a:lnTo>
                  <a:pt x="7315200" y="300228"/>
                </a:lnTo>
                <a:close/>
              </a:path>
              <a:path w="7315200" h="1841500">
                <a:moveTo>
                  <a:pt x="7315200" y="0"/>
                </a:moveTo>
                <a:lnTo>
                  <a:pt x="6489192" y="0"/>
                </a:lnTo>
                <a:lnTo>
                  <a:pt x="6489192" y="297180"/>
                </a:lnTo>
                <a:lnTo>
                  <a:pt x="7315200" y="297180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24</xdr:row>
      <xdr:rowOff>0</xdr:rowOff>
    </xdr:from>
    <xdr:ext cx="702945" cy="3910965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0" y="0"/>
          <a:ext cx="702945" cy="3910965"/>
        </a:xfrm>
        <a:custGeom>
          <a:avLst/>
          <a:gdLst/>
          <a:ahLst/>
          <a:cxnLst/>
          <a:rect l="0" t="0" r="0" b="0"/>
          <a:pathLst>
            <a:path w="702945" h="3910965">
              <a:moveTo>
                <a:pt x="702564" y="3706368"/>
              </a:moveTo>
              <a:lnTo>
                <a:pt x="0" y="3706368"/>
              </a:lnTo>
              <a:lnTo>
                <a:pt x="0" y="3910584"/>
              </a:lnTo>
              <a:lnTo>
                <a:pt x="702564" y="3910584"/>
              </a:lnTo>
              <a:lnTo>
                <a:pt x="702564" y="3706368"/>
              </a:lnTo>
              <a:close/>
            </a:path>
            <a:path w="702945" h="3910965">
              <a:moveTo>
                <a:pt x="702564" y="3499104"/>
              </a:moveTo>
              <a:lnTo>
                <a:pt x="0" y="3499104"/>
              </a:lnTo>
              <a:lnTo>
                <a:pt x="0" y="3703320"/>
              </a:lnTo>
              <a:lnTo>
                <a:pt x="702564" y="3703320"/>
              </a:lnTo>
              <a:lnTo>
                <a:pt x="702564" y="3499104"/>
              </a:lnTo>
              <a:close/>
            </a:path>
            <a:path w="702945" h="3910965">
              <a:moveTo>
                <a:pt x="702564" y="3198876"/>
              </a:moveTo>
              <a:lnTo>
                <a:pt x="0" y="3198876"/>
              </a:lnTo>
              <a:lnTo>
                <a:pt x="0" y="3496056"/>
              </a:lnTo>
              <a:lnTo>
                <a:pt x="702564" y="3496056"/>
              </a:lnTo>
              <a:lnTo>
                <a:pt x="702564" y="3198876"/>
              </a:lnTo>
              <a:close/>
            </a:path>
            <a:path w="702945" h="3910965">
              <a:moveTo>
                <a:pt x="702564" y="2991612"/>
              </a:moveTo>
              <a:lnTo>
                <a:pt x="0" y="2991612"/>
              </a:lnTo>
              <a:lnTo>
                <a:pt x="0" y="3195828"/>
              </a:lnTo>
              <a:lnTo>
                <a:pt x="702564" y="3195828"/>
              </a:lnTo>
              <a:lnTo>
                <a:pt x="702564" y="2991612"/>
              </a:lnTo>
              <a:close/>
            </a:path>
            <a:path w="702945" h="3910965">
              <a:moveTo>
                <a:pt x="702564" y="2784348"/>
              </a:moveTo>
              <a:lnTo>
                <a:pt x="0" y="2784348"/>
              </a:lnTo>
              <a:lnTo>
                <a:pt x="0" y="2988564"/>
              </a:lnTo>
              <a:lnTo>
                <a:pt x="702564" y="2988564"/>
              </a:lnTo>
              <a:lnTo>
                <a:pt x="702564" y="2784348"/>
              </a:lnTo>
              <a:close/>
            </a:path>
            <a:path w="702945" h="3910965">
              <a:moveTo>
                <a:pt x="702564" y="2577084"/>
              </a:moveTo>
              <a:lnTo>
                <a:pt x="0" y="2577084"/>
              </a:lnTo>
              <a:lnTo>
                <a:pt x="0" y="2781300"/>
              </a:lnTo>
              <a:lnTo>
                <a:pt x="702564" y="2781300"/>
              </a:lnTo>
              <a:lnTo>
                <a:pt x="702564" y="2577084"/>
              </a:lnTo>
              <a:close/>
            </a:path>
            <a:path w="702945" h="3910965">
              <a:moveTo>
                <a:pt x="702564" y="2369820"/>
              </a:moveTo>
              <a:lnTo>
                <a:pt x="0" y="2369820"/>
              </a:lnTo>
              <a:lnTo>
                <a:pt x="0" y="2574036"/>
              </a:lnTo>
              <a:lnTo>
                <a:pt x="702564" y="2574036"/>
              </a:lnTo>
              <a:lnTo>
                <a:pt x="702564" y="2369820"/>
              </a:lnTo>
              <a:close/>
            </a:path>
            <a:path w="702945" h="3910965">
              <a:moveTo>
                <a:pt x="702564" y="2069592"/>
              </a:moveTo>
              <a:lnTo>
                <a:pt x="0" y="2069592"/>
              </a:lnTo>
              <a:lnTo>
                <a:pt x="0" y="2366772"/>
              </a:lnTo>
              <a:lnTo>
                <a:pt x="702564" y="2366772"/>
              </a:lnTo>
              <a:lnTo>
                <a:pt x="702564" y="2069592"/>
              </a:lnTo>
              <a:close/>
            </a:path>
            <a:path w="702945" h="3910965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3910965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3910965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3910965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3910965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3910965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3910965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3910965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3910965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3910965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21</xdr:row>
      <xdr:rowOff>204977</xdr:rowOff>
    </xdr:from>
    <xdr:ext cx="3313429" cy="375285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332219</xdr:colOff>
      <xdr:row>3</xdr:row>
      <xdr:rowOff>49142</xdr:rowOff>
    </xdr:from>
    <xdr:ext cx="193523" cy="290285"/>
    <xdr:pic>
      <xdr:nvPicPr>
        <xdr:cNvPr id="25" name="image1.jpeg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233934</xdr:colOff>
      <xdr:row>3</xdr:row>
      <xdr:rowOff>49142</xdr:rowOff>
    </xdr:from>
    <xdr:ext cx="381000" cy="290285"/>
    <xdr:pic>
      <xdr:nvPicPr>
        <xdr:cNvPr id="26" name="image2.jpeg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27" name="image3.jpeg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762</xdr:rowOff>
    </xdr:from>
    <xdr:ext cx="381000" cy="381000"/>
    <xdr:pic>
      <xdr:nvPicPr>
        <xdr:cNvPr id="28" name="image4.jpe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23</xdr:row>
      <xdr:rowOff>0</xdr:rowOff>
    </xdr:from>
    <xdr:ext cx="7315200" cy="3721735"/>
    <xdr:grpSp>
      <xdr:nvGrpSpPr>
        <xdr:cNvPr id="29" name="Group 29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GrpSpPr/>
      </xdr:nvGrpSpPr>
      <xdr:grpSpPr>
        <a:xfrm>
          <a:off x="610234" y="5623560"/>
          <a:ext cx="7315200" cy="3721735"/>
          <a:chOff x="0" y="0"/>
          <a:chExt cx="7315200" cy="3721735"/>
        </a:xfrm>
      </xdr:grpSpPr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200-00001E000000}"/>
              </a:ext>
            </a:extLst>
          </xdr:cNvPr>
          <xdr:cNvSpPr/>
        </xdr:nvSpPr>
        <xdr:spPr>
          <a:xfrm>
            <a:off x="0" y="0"/>
            <a:ext cx="7315200" cy="2273935"/>
          </a:xfrm>
          <a:custGeom>
            <a:avLst/>
            <a:gdLst/>
            <a:ahLst/>
            <a:cxnLst/>
            <a:rect l="0" t="0" r="0" b="0"/>
            <a:pathLst>
              <a:path w="7315200" h="2273935">
                <a:moveTo>
                  <a:pt x="339852" y="1242060"/>
                </a:moveTo>
                <a:lnTo>
                  <a:pt x="0" y="1242060"/>
                </a:lnTo>
                <a:lnTo>
                  <a:pt x="0" y="2273808"/>
                </a:lnTo>
                <a:lnTo>
                  <a:pt x="339852" y="2273808"/>
                </a:lnTo>
                <a:lnTo>
                  <a:pt x="339852" y="1242060"/>
                </a:lnTo>
                <a:close/>
              </a:path>
              <a:path w="7315200" h="2273935">
                <a:moveTo>
                  <a:pt x="339852" y="620268"/>
                </a:moveTo>
                <a:lnTo>
                  <a:pt x="0" y="620268"/>
                </a:lnTo>
                <a:lnTo>
                  <a:pt x="0" y="1239012"/>
                </a:lnTo>
                <a:lnTo>
                  <a:pt x="339852" y="1239012"/>
                </a:lnTo>
                <a:lnTo>
                  <a:pt x="339852" y="620268"/>
                </a:lnTo>
                <a:close/>
              </a:path>
              <a:path w="7315200" h="2273935">
                <a:moveTo>
                  <a:pt x="339852" y="0"/>
                </a:moveTo>
                <a:lnTo>
                  <a:pt x="0" y="0"/>
                </a:lnTo>
                <a:lnTo>
                  <a:pt x="0" y="617220"/>
                </a:lnTo>
                <a:lnTo>
                  <a:pt x="339852" y="617220"/>
                </a:lnTo>
                <a:lnTo>
                  <a:pt x="339852" y="0"/>
                </a:lnTo>
                <a:close/>
              </a:path>
              <a:path w="7315200" h="2273935">
                <a:moveTo>
                  <a:pt x="1376172" y="1242060"/>
                </a:moveTo>
                <a:lnTo>
                  <a:pt x="342900" y="1242060"/>
                </a:lnTo>
                <a:lnTo>
                  <a:pt x="342900" y="2273808"/>
                </a:lnTo>
                <a:lnTo>
                  <a:pt x="1376172" y="2273808"/>
                </a:lnTo>
                <a:lnTo>
                  <a:pt x="1376172" y="1242060"/>
                </a:lnTo>
                <a:close/>
              </a:path>
              <a:path w="7315200" h="2273935">
                <a:moveTo>
                  <a:pt x="1376172" y="620268"/>
                </a:moveTo>
                <a:lnTo>
                  <a:pt x="342900" y="620268"/>
                </a:lnTo>
                <a:lnTo>
                  <a:pt x="342900" y="1239012"/>
                </a:lnTo>
                <a:lnTo>
                  <a:pt x="1376172" y="1239012"/>
                </a:lnTo>
                <a:lnTo>
                  <a:pt x="1376172" y="620268"/>
                </a:lnTo>
                <a:close/>
              </a:path>
              <a:path w="7315200" h="2273935">
                <a:moveTo>
                  <a:pt x="1376172" y="0"/>
                </a:moveTo>
                <a:lnTo>
                  <a:pt x="342900" y="0"/>
                </a:lnTo>
                <a:lnTo>
                  <a:pt x="342900" y="617220"/>
                </a:lnTo>
                <a:lnTo>
                  <a:pt x="1376172" y="617220"/>
                </a:lnTo>
                <a:lnTo>
                  <a:pt x="1376172" y="0"/>
                </a:lnTo>
                <a:close/>
              </a:path>
              <a:path w="7315200" h="2273935">
                <a:moveTo>
                  <a:pt x="2753868" y="1242060"/>
                </a:moveTo>
                <a:lnTo>
                  <a:pt x="1379220" y="1242060"/>
                </a:lnTo>
                <a:lnTo>
                  <a:pt x="1379220" y="2273808"/>
                </a:lnTo>
                <a:lnTo>
                  <a:pt x="2753868" y="2273808"/>
                </a:lnTo>
                <a:lnTo>
                  <a:pt x="2753868" y="1242060"/>
                </a:lnTo>
                <a:close/>
              </a:path>
              <a:path w="7315200" h="2273935">
                <a:moveTo>
                  <a:pt x="2753868" y="620268"/>
                </a:moveTo>
                <a:lnTo>
                  <a:pt x="1379220" y="620268"/>
                </a:lnTo>
                <a:lnTo>
                  <a:pt x="1379220" y="1239012"/>
                </a:lnTo>
                <a:lnTo>
                  <a:pt x="2753868" y="1239012"/>
                </a:lnTo>
                <a:lnTo>
                  <a:pt x="2753868" y="620268"/>
                </a:lnTo>
                <a:close/>
              </a:path>
              <a:path w="7315200" h="2273935">
                <a:moveTo>
                  <a:pt x="2753868" y="0"/>
                </a:moveTo>
                <a:lnTo>
                  <a:pt x="1379220" y="0"/>
                </a:lnTo>
                <a:lnTo>
                  <a:pt x="1379220" y="617220"/>
                </a:lnTo>
                <a:lnTo>
                  <a:pt x="2753868" y="617220"/>
                </a:lnTo>
                <a:lnTo>
                  <a:pt x="2753868" y="0"/>
                </a:lnTo>
                <a:close/>
              </a:path>
              <a:path w="7315200" h="2273935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273935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273935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273935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273935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27393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27393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3935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273935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273935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273935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273935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273935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273935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273935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273935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27393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27393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3935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273935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273935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273935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273935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273935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273935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273935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27393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27393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3935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273935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273935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273935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273935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273935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273935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273935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27393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27393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3935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273935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273935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273935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273935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273935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273935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273935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27393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27393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3935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273935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273935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273935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273935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273935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273935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273935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27393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27393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3935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273935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273935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273935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200-00001F000000}"/>
              </a:ext>
            </a:extLst>
          </xdr:cNvPr>
          <xdr:cNvSpPr/>
        </xdr:nvSpPr>
        <xdr:spPr>
          <a:xfrm>
            <a:off x="0" y="2069591"/>
            <a:ext cx="7315200" cy="1652270"/>
          </a:xfrm>
          <a:custGeom>
            <a:avLst/>
            <a:gdLst/>
            <a:ahLst/>
            <a:cxnLst/>
            <a:rect l="0" t="0" r="0" b="0"/>
            <a:pathLst>
              <a:path w="7315200" h="1652270">
                <a:moveTo>
                  <a:pt x="339852" y="1242060"/>
                </a:moveTo>
                <a:lnTo>
                  <a:pt x="0" y="1242060"/>
                </a:lnTo>
                <a:lnTo>
                  <a:pt x="0" y="1652016"/>
                </a:lnTo>
                <a:lnTo>
                  <a:pt x="339852" y="1652016"/>
                </a:lnTo>
                <a:lnTo>
                  <a:pt x="339852" y="1242060"/>
                </a:lnTo>
                <a:close/>
              </a:path>
              <a:path w="7315200" h="1652270">
                <a:moveTo>
                  <a:pt x="339852" y="207264"/>
                </a:moveTo>
                <a:lnTo>
                  <a:pt x="0" y="207264"/>
                </a:lnTo>
                <a:lnTo>
                  <a:pt x="0" y="1239012"/>
                </a:lnTo>
                <a:lnTo>
                  <a:pt x="339852" y="1239012"/>
                </a:lnTo>
                <a:lnTo>
                  <a:pt x="339852" y="207264"/>
                </a:lnTo>
                <a:close/>
              </a:path>
              <a:path w="7315200" h="1652270">
                <a:moveTo>
                  <a:pt x="1376172" y="1242060"/>
                </a:moveTo>
                <a:lnTo>
                  <a:pt x="342900" y="1242060"/>
                </a:lnTo>
                <a:lnTo>
                  <a:pt x="342900" y="1652016"/>
                </a:lnTo>
                <a:lnTo>
                  <a:pt x="1376172" y="1652016"/>
                </a:lnTo>
                <a:lnTo>
                  <a:pt x="1376172" y="1242060"/>
                </a:lnTo>
                <a:close/>
              </a:path>
              <a:path w="7315200" h="1652270">
                <a:moveTo>
                  <a:pt x="1376172" y="207264"/>
                </a:moveTo>
                <a:lnTo>
                  <a:pt x="342900" y="207264"/>
                </a:lnTo>
                <a:lnTo>
                  <a:pt x="342900" y="1239012"/>
                </a:lnTo>
                <a:lnTo>
                  <a:pt x="1376172" y="1239012"/>
                </a:lnTo>
                <a:lnTo>
                  <a:pt x="1376172" y="207264"/>
                </a:lnTo>
                <a:close/>
              </a:path>
              <a:path w="7315200" h="1652270">
                <a:moveTo>
                  <a:pt x="2753868" y="1242060"/>
                </a:moveTo>
                <a:lnTo>
                  <a:pt x="1379220" y="1242060"/>
                </a:lnTo>
                <a:lnTo>
                  <a:pt x="1379220" y="1652016"/>
                </a:lnTo>
                <a:lnTo>
                  <a:pt x="2753868" y="1652016"/>
                </a:lnTo>
                <a:lnTo>
                  <a:pt x="2753868" y="1242060"/>
                </a:lnTo>
                <a:close/>
              </a:path>
              <a:path w="7315200" h="1652270">
                <a:moveTo>
                  <a:pt x="2753868" y="207264"/>
                </a:moveTo>
                <a:lnTo>
                  <a:pt x="1379220" y="207264"/>
                </a:lnTo>
                <a:lnTo>
                  <a:pt x="1379220" y="1239012"/>
                </a:lnTo>
                <a:lnTo>
                  <a:pt x="2753868" y="1239012"/>
                </a:lnTo>
                <a:lnTo>
                  <a:pt x="2753868" y="207264"/>
                </a:lnTo>
                <a:close/>
              </a:path>
              <a:path w="7315200" h="1652270">
                <a:moveTo>
                  <a:pt x="3304032" y="1449324"/>
                </a:moveTo>
                <a:lnTo>
                  <a:pt x="2756916" y="1449324"/>
                </a:lnTo>
                <a:lnTo>
                  <a:pt x="2756916" y="1652016"/>
                </a:lnTo>
                <a:lnTo>
                  <a:pt x="3304032" y="1652016"/>
                </a:lnTo>
                <a:lnTo>
                  <a:pt x="3304032" y="1449324"/>
                </a:lnTo>
                <a:close/>
              </a:path>
              <a:path w="7315200" h="1652270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1652270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1652270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165227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1652270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1652270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1652270">
                <a:moveTo>
                  <a:pt x="3998976" y="1449324"/>
                </a:moveTo>
                <a:lnTo>
                  <a:pt x="3307080" y="1449324"/>
                </a:lnTo>
                <a:lnTo>
                  <a:pt x="3307080" y="1652016"/>
                </a:lnTo>
                <a:lnTo>
                  <a:pt x="3998976" y="1652016"/>
                </a:lnTo>
                <a:lnTo>
                  <a:pt x="3998976" y="1449324"/>
                </a:lnTo>
                <a:close/>
              </a:path>
              <a:path w="7315200" h="1652270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1652270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1652270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165227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1652270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165227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1652270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1652270">
                <a:moveTo>
                  <a:pt x="4828032" y="1449324"/>
                </a:moveTo>
                <a:lnTo>
                  <a:pt x="4002024" y="1449324"/>
                </a:lnTo>
                <a:lnTo>
                  <a:pt x="4002024" y="1652016"/>
                </a:lnTo>
                <a:lnTo>
                  <a:pt x="4828032" y="1652016"/>
                </a:lnTo>
                <a:lnTo>
                  <a:pt x="4828032" y="1449324"/>
                </a:lnTo>
                <a:close/>
              </a:path>
              <a:path w="7315200" h="1652270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1652270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1652270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165227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1652270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165227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1652270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1652270">
                <a:moveTo>
                  <a:pt x="5657088" y="1449324"/>
                </a:moveTo>
                <a:lnTo>
                  <a:pt x="4831080" y="1449324"/>
                </a:lnTo>
                <a:lnTo>
                  <a:pt x="4831080" y="1652016"/>
                </a:lnTo>
                <a:lnTo>
                  <a:pt x="5657088" y="1652016"/>
                </a:lnTo>
                <a:lnTo>
                  <a:pt x="5657088" y="1449324"/>
                </a:lnTo>
                <a:close/>
              </a:path>
              <a:path w="7315200" h="1652270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1652270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1652270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165227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1652270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165227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1652270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1652270">
                <a:moveTo>
                  <a:pt x="6486144" y="1449324"/>
                </a:moveTo>
                <a:lnTo>
                  <a:pt x="5660136" y="1449324"/>
                </a:lnTo>
                <a:lnTo>
                  <a:pt x="5660136" y="1652016"/>
                </a:lnTo>
                <a:lnTo>
                  <a:pt x="6486144" y="1652016"/>
                </a:lnTo>
                <a:lnTo>
                  <a:pt x="6486144" y="1449324"/>
                </a:lnTo>
                <a:close/>
              </a:path>
              <a:path w="7315200" h="1652270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1652270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1652270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165227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1652270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165227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1652270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1652270">
                <a:moveTo>
                  <a:pt x="7315200" y="1449324"/>
                </a:moveTo>
                <a:lnTo>
                  <a:pt x="6489192" y="1449324"/>
                </a:lnTo>
                <a:lnTo>
                  <a:pt x="6489192" y="1652016"/>
                </a:lnTo>
                <a:lnTo>
                  <a:pt x="7315200" y="1652016"/>
                </a:lnTo>
                <a:lnTo>
                  <a:pt x="7315200" y="1449324"/>
                </a:lnTo>
                <a:close/>
              </a:path>
              <a:path w="7315200" h="1652270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1652270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1652270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165227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1652270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165227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1652270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24</xdr:row>
      <xdr:rowOff>0</xdr:rowOff>
    </xdr:from>
    <xdr:ext cx="702945" cy="3721735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0" y="0"/>
          <a:ext cx="702945" cy="3721735"/>
        </a:xfrm>
        <a:custGeom>
          <a:avLst/>
          <a:gdLst/>
          <a:ahLst/>
          <a:cxnLst/>
          <a:rect l="0" t="0" r="0" b="0"/>
          <a:pathLst>
            <a:path w="702945" h="3721735">
              <a:moveTo>
                <a:pt x="702564" y="3518916"/>
              </a:moveTo>
              <a:lnTo>
                <a:pt x="0" y="3518916"/>
              </a:lnTo>
              <a:lnTo>
                <a:pt x="0" y="3721608"/>
              </a:lnTo>
              <a:lnTo>
                <a:pt x="702564" y="3721608"/>
              </a:lnTo>
              <a:lnTo>
                <a:pt x="702564" y="3518916"/>
              </a:lnTo>
              <a:close/>
            </a:path>
            <a:path w="702945" h="3721735">
              <a:moveTo>
                <a:pt x="702564" y="3311652"/>
              </a:moveTo>
              <a:lnTo>
                <a:pt x="0" y="3311652"/>
              </a:lnTo>
              <a:lnTo>
                <a:pt x="0" y="3515868"/>
              </a:lnTo>
              <a:lnTo>
                <a:pt x="702564" y="3515868"/>
              </a:lnTo>
              <a:lnTo>
                <a:pt x="702564" y="3311652"/>
              </a:lnTo>
              <a:close/>
            </a:path>
            <a:path w="702945" h="3721735">
              <a:moveTo>
                <a:pt x="702564" y="3104388"/>
              </a:moveTo>
              <a:lnTo>
                <a:pt x="0" y="3104388"/>
              </a:lnTo>
              <a:lnTo>
                <a:pt x="0" y="3308604"/>
              </a:lnTo>
              <a:lnTo>
                <a:pt x="702564" y="3308604"/>
              </a:lnTo>
              <a:lnTo>
                <a:pt x="702564" y="3104388"/>
              </a:lnTo>
              <a:close/>
            </a:path>
            <a:path w="702945" h="3721735">
              <a:moveTo>
                <a:pt x="702564" y="2897124"/>
              </a:moveTo>
              <a:lnTo>
                <a:pt x="0" y="2897124"/>
              </a:lnTo>
              <a:lnTo>
                <a:pt x="0" y="3101340"/>
              </a:lnTo>
              <a:lnTo>
                <a:pt x="702564" y="3101340"/>
              </a:lnTo>
              <a:lnTo>
                <a:pt x="702564" y="2897124"/>
              </a:lnTo>
              <a:close/>
            </a:path>
            <a:path w="702945" h="3721735">
              <a:moveTo>
                <a:pt x="702564" y="2689860"/>
              </a:moveTo>
              <a:lnTo>
                <a:pt x="0" y="2689860"/>
              </a:lnTo>
              <a:lnTo>
                <a:pt x="0" y="2894076"/>
              </a:lnTo>
              <a:lnTo>
                <a:pt x="702564" y="2894076"/>
              </a:lnTo>
              <a:lnTo>
                <a:pt x="702564" y="2689860"/>
              </a:lnTo>
              <a:close/>
            </a:path>
            <a:path w="702945" h="3721735">
              <a:moveTo>
                <a:pt x="702564" y="2484120"/>
              </a:moveTo>
              <a:lnTo>
                <a:pt x="0" y="2484120"/>
              </a:lnTo>
              <a:lnTo>
                <a:pt x="0" y="2686812"/>
              </a:lnTo>
              <a:lnTo>
                <a:pt x="702564" y="2686812"/>
              </a:lnTo>
              <a:lnTo>
                <a:pt x="702564" y="2484120"/>
              </a:lnTo>
              <a:close/>
            </a:path>
            <a:path w="702945" h="3721735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3721735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3721735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3721735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3721735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3721735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3721735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3721735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3721735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3721735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3721735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3721735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24</xdr:row>
      <xdr:rowOff>206501</xdr:rowOff>
    </xdr:from>
    <xdr:ext cx="3313429" cy="375285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332219</xdr:colOff>
      <xdr:row>3</xdr:row>
      <xdr:rowOff>49142</xdr:rowOff>
    </xdr:from>
    <xdr:ext cx="193523" cy="290285"/>
    <xdr:pic>
      <xdr:nvPicPr>
        <xdr:cNvPr id="34" name="image1.jpeg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233934</xdr:colOff>
      <xdr:row>3</xdr:row>
      <xdr:rowOff>49142</xdr:rowOff>
    </xdr:from>
    <xdr:ext cx="381000" cy="290285"/>
    <xdr:pic>
      <xdr:nvPicPr>
        <xdr:cNvPr id="35" name="image2.jpe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36" name="image3.jpe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762</xdr:rowOff>
    </xdr:from>
    <xdr:ext cx="381000" cy="381000"/>
    <xdr:pic>
      <xdr:nvPicPr>
        <xdr:cNvPr id="37" name="image4.jpe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26</xdr:row>
      <xdr:rowOff>0</xdr:rowOff>
    </xdr:from>
    <xdr:ext cx="7315200" cy="4343400"/>
    <xdr:grpSp>
      <xdr:nvGrpSpPr>
        <xdr:cNvPr id="38" name="Group 38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pSpPr/>
      </xdr:nvGrpSpPr>
      <xdr:grpSpPr>
        <a:xfrm>
          <a:off x="610234" y="6263640"/>
          <a:ext cx="7315200" cy="4343400"/>
          <a:chOff x="0" y="0"/>
          <a:chExt cx="7315200" cy="4343400"/>
        </a:xfrm>
      </xdr:grpSpPr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300-000027000000}"/>
              </a:ext>
            </a:extLst>
          </xdr:cNvPr>
          <xdr:cNvSpPr/>
        </xdr:nvSpPr>
        <xdr:spPr>
          <a:xfrm>
            <a:off x="0" y="0"/>
            <a:ext cx="7315200" cy="2273935"/>
          </a:xfrm>
          <a:custGeom>
            <a:avLst/>
            <a:gdLst/>
            <a:ahLst/>
            <a:cxnLst/>
            <a:rect l="0" t="0" r="0" b="0"/>
            <a:pathLst>
              <a:path w="7315200" h="2273935">
                <a:moveTo>
                  <a:pt x="339852" y="1242060"/>
                </a:moveTo>
                <a:lnTo>
                  <a:pt x="0" y="1242060"/>
                </a:lnTo>
                <a:lnTo>
                  <a:pt x="0" y="1859280"/>
                </a:lnTo>
                <a:lnTo>
                  <a:pt x="339852" y="1859280"/>
                </a:lnTo>
                <a:lnTo>
                  <a:pt x="339852" y="1242060"/>
                </a:lnTo>
                <a:close/>
              </a:path>
              <a:path w="7315200" h="2273935">
                <a:moveTo>
                  <a:pt x="339852" y="827532"/>
                </a:moveTo>
                <a:lnTo>
                  <a:pt x="0" y="827532"/>
                </a:lnTo>
                <a:lnTo>
                  <a:pt x="0" y="1239012"/>
                </a:lnTo>
                <a:lnTo>
                  <a:pt x="339852" y="1239012"/>
                </a:lnTo>
                <a:lnTo>
                  <a:pt x="339852" y="827532"/>
                </a:lnTo>
                <a:close/>
              </a:path>
              <a:path w="7315200" h="2273935">
                <a:moveTo>
                  <a:pt x="339852" y="0"/>
                </a:moveTo>
                <a:lnTo>
                  <a:pt x="0" y="0"/>
                </a:lnTo>
                <a:lnTo>
                  <a:pt x="0" y="824484"/>
                </a:lnTo>
                <a:lnTo>
                  <a:pt x="339852" y="824484"/>
                </a:lnTo>
                <a:lnTo>
                  <a:pt x="339852" y="0"/>
                </a:lnTo>
                <a:close/>
              </a:path>
              <a:path w="7315200" h="2273935">
                <a:moveTo>
                  <a:pt x="1376172" y="1242060"/>
                </a:moveTo>
                <a:lnTo>
                  <a:pt x="342900" y="1242060"/>
                </a:lnTo>
                <a:lnTo>
                  <a:pt x="342900" y="1859280"/>
                </a:lnTo>
                <a:lnTo>
                  <a:pt x="1376172" y="1859280"/>
                </a:lnTo>
                <a:lnTo>
                  <a:pt x="1376172" y="1242060"/>
                </a:lnTo>
                <a:close/>
              </a:path>
              <a:path w="7315200" h="2273935">
                <a:moveTo>
                  <a:pt x="1376172" y="827532"/>
                </a:moveTo>
                <a:lnTo>
                  <a:pt x="342900" y="827532"/>
                </a:lnTo>
                <a:lnTo>
                  <a:pt x="342900" y="1239012"/>
                </a:lnTo>
                <a:lnTo>
                  <a:pt x="1376172" y="1239012"/>
                </a:lnTo>
                <a:lnTo>
                  <a:pt x="1376172" y="827532"/>
                </a:lnTo>
                <a:close/>
              </a:path>
              <a:path w="7315200" h="2273935">
                <a:moveTo>
                  <a:pt x="1376172" y="0"/>
                </a:moveTo>
                <a:lnTo>
                  <a:pt x="342900" y="0"/>
                </a:lnTo>
                <a:lnTo>
                  <a:pt x="342900" y="824484"/>
                </a:lnTo>
                <a:lnTo>
                  <a:pt x="1376172" y="824484"/>
                </a:lnTo>
                <a:lnTo>
                  <a:pt x="1376172" y="0"/>
                </a:lnTo>
                <a:close/>
              </a:path>
              <a:path w="7315200" h="2273935">
                <a:moveTo>
                  <a:pt x="2753868" y="1242060"/>
                </a:moveTo>
                <a:lnTo>
                  <a:pt x="1379220" y="1242060"/>
                </a:lnTo>
                <a:lnTo>
                  <a:pt x="1379220" y="1859280"/>
                </a:lnTo>
                <a:lnTo>
                  <a:pt x="2753868" y="1859280"/>
                </a:lnTo>
                <a:lnTo>
                  <a:pt x="2753868" y="1242060"/>
                </a:lnTo>
                <a:close/>
              </a:path>
              <a:path w="7315200" h="2273935">
                <a:moveTo>
                  <a:pt x="2753868" y="827532"/>
                </a:moveTo>
                <a:lnTo>
                  <a:pt x="1379220" y="827532"/>
                </a:lnTo>
                <a:lnTo>
                  <a:pt x="1379220" y="1239012"/>
                </a:lnTo>
                <a:lnTo>
                  <a:pt x="2753868" y="1239012"/>
                </a:lnTo>
                <a:lnTo>
                  <a:pt x="2753868" y="827532"/>
                </a:lnTo>
                <a:close/>
              </a:path>
              <a:path w="7315200" h="2273935">
                <a:moveTo>
                  <a:pt x="2753868" y="0"/>
                </a:moveTo>
                <a:lnTo>
                  <a:pt x="1379220" y="0"/>
                </a:lnTo>
                <a:lnTo>
                  <a:pt x="1379220" y="824484"/>
                </a:lnTo>
                <a:lnTo>
                  <a:pt x="2753868" y="824484"/>
                </a:lnTo>
                <a:lnTo>
                  <a:pt x="2753868" y="0"/>
                </a:lnTo>
                <a:close/>
              </a:path>
              <a:path w="7315200" h="2273935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273935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273935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273935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273935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27393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27393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3935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273935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273935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273935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273935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273935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273935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273935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273935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27393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27393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3935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273935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273935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273935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273935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273935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273935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273935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27393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27393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3935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273935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273935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273935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273935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273935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273935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273935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27393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27393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3935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273935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273935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273935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273935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273935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273935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273935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27393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27393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3935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273935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273935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273935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273935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273935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273935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273935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27393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27393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3935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273935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273935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273935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SpPr/>
        </xdr:nvSpPr>
        <xdr:spPr>
          <a:xfrm>
            <a:off x="0" y="1862327"/>
            <a:ext cx="7315200" cy="2481580"/>
          </a:xfrm>
          <a:custGeom>
            <a:avLst/>
            <a:gdLst/>
            <a:ahLst/>
            <a:cxnLst/>
            <a:rect l="0" t="0" r="0" b="0"/>
            <a:pathLst>
              <a:path w="7315200" h="2481580">
                <a:moveTo>
                  <a:pt x="339852" y="1449324"/>
                </a:moveTo>
                <a:lnTo>
                  <a:pt x="0" y="1449324"/>
                </a:lnTo>
                <a:lnTo>
                  <a:pt x="0" y="2481072"/>
                </a:lnTo>
                <a:lnTo>
                  <a:pt x="339852" y="2481072"/>
                </a:lnTo>
                <a:lnTo>
                  <a:pt x="339852" y="1449324"/>
                </a:lnTo>
                <a:close/>
              </a:path>
              <a:path w="7315200" h="2481580">
                <a:moveTo>
                  <a:pt x="339852" y="1034796"/>
                </a:moveTo>
                <a:lnTo>
                  <a:pt x="0" y="1034796"/>
                </a:lnTo>
                <a:lnTo>
                  <a:pt x="0" y="1446276"/>
                </a:lnTo>
                <a:lnTo>
                  <a:pt x="339852" y="1446276"/>
                </a:lnTo>
                <a:lnTo>
                  <a:pt x="339852" y="1034796"/>
                </a:lnTo>
                <a:close/>
              </a:path>
              <a:path w="7315200" h="2481580">
                <a:moveTo>
                  <a:pt x="339852" y="0"/>
                </a:moveTo>
                <a:lnTo>
                  <a:pt x="0" y="0"/>
                </a:lnTo>
                <a:lnTo>
                  <a:pt x="0" y="1031748"/>
                </a:lnTo>
                <a:lnTo>
                  <a:pt x="339852" y="1031748"/>
                </a:lnTo>
                <a:lnTo>
                  <a:pt x="339852" y="0"/>
                </a:lnTo>
                <a:close/>
              </a:path>
              <a:path w="7315200" h="2481580">
                <a:moveTo>
                  <a:pt x="1376172" y="1449324"/>
                </a:moveTo>
                <a:lnTo>
                  <a:pt x="342900" y="1449324"/>
                </a:lnTo>
                <a:lnTo>
                  <a:pt x="342900" y="2481072"/>
                </a:lnTo>
                <a:lnTo>
                  <a:pt x="1376172" y="2481072"/>
                </a:lnTo>
                <a:lnTo>
                  <a:pt x="1376172" y="1449324"/>
                </a:lnTo>
                <a:close/>
              </a:path>
              <a:path w="7315200" h="2481580">
                <a:moveTo>
                  <a:pt x="1376172" y="1034796"/>
                </a:moveTo>
                <a:lnTo>
                  <a:pt x="342900" y="1034796"/>
                </a:lnTo>
                <a:lnTo>
                  <a:pt x="342900" y="1446276"/>
                </a:lnTo>
                <a:lnTo>
                  <a:pt x="1376172" y="1446276"/>
                </a:lnTo>
                <a:lnTo>
                  <a:pt x="1376172" y="1034796"/>
                </a:lnTo>
                <a:close/>
              </a:path>
              <a:path w="7315200" h="2481580">
                <a:moveTo>
                  <a:pt x="1376172" y="0"/>
                </a:moveTo>
                <a:lnTo>
                  <a:pt x="342900" y="0"/>
                </a:lnTo>
                <a:lnTo>
                  <a:pt x="342900" y="1031748"/>
                </a:lnTo>
                <a:lnTo>
                  <a:pt x="1376172" y="1031748"/>
                </a:lnTo>
                <a:lnTo>
                  <a:pt x="1376172" y="0"/>
                </a:lnTo>
                <a:close/>
              </a:path>
              <a:path w="7315200" h="2481580">
                <a:moveTo>
                  <a:pt x="2753868" y="1449324"/>
                </a:moveTo>
                <a:lnTo>
                  <a:pt x="1379220" y="1449324"/>
                </a:lnTo>
                <a:lnTo>
                  <a:pt x="1379220" y="2481072"/>
                </a:lnTo>
                <a:lnTo>
                  <a:pt x="2753868" y="2481072"/>
                </a:lnTo>
                <a:lnTo>
                  <a:pt x="2753868" y="1449324"/>
                </a:lnTo>
                <a:close/>
              </a:path>
              <a:path w="7315200" h="2481580">
                <a:moveTo>
                  <a:pt x="2753868" y="1034796"/>
                </a:moveTo>
                <a:lnTo>
                  <a:pt x="1379220" y="1034796"/>
                </a:lnTo>
                <a:lnTo>
                  <a:pt x="1379220" y="1446276"/>
                </a:lnTo>
                <a:lnTo>
                  <a:pt x="2753868" y="1446276"/>
                </a:lnTo>
                <a:lnTo>
                  <a:pt x="2753868" y="1034796"/>
                </a:lnTo>
                <a:close/>
              </a:path>
              <a:path w="7315200" h="2481580">
                <a:moveTo>
                  <a:pt x="2753868" y="0"/>
                </a:moveTo>
                <a:lnTo>
                  <a:pt x="1379220" y="0"/>
                </a:lnTo>
                <a:lnTo>
                  <a:pt x="1379220" y="1031748"/>
                </a:lnTo>
                <a:lnTo>
                  <a:pt x="2753868" y="1031748"/>
                </a:lnTo>
                <a:lnTo>
                  <a:pt x="2753868" y="0"/>
                </a:lnTo>
                <a:close/>
              </a:path>
              <a:path w="7315200" h="2481580">
                <a:moveTo>
                  <a:pt x="3304032" y="2276856"/>
                </a:moveTo>
                <a:lnTo>
                  <a:pt x="2756916" y="2276856"/>
                </a:lnTo>
                <a:lnTo>
                  <a:pt x="2756916" y="2481072"/>
                </a:lnTo>
                <a:lnTo>
                  <a:pt x="3304032" y="2481072"/>
                </a:lnTo>
                <a:lnTo>
                  <a:pt x="3304032" y="2276856"/>
                </a:lnTo>
                <a:close/>
              </a:path>
              <a:path w="7315200" h="2481580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481580">
                <a:moveTo>
                  <a:pt x="3304032" y="1863852"/>
                </a:moveTo>
                <a:lnTo>
                  <a:pt x="2756916" y="1863852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3852"/>
                </a:lnTo>
                <a:close/>
              </a:path>
              <a:path w="7315200" h="2481580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481580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481580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481580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481580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481580">
                <a:moveTo>
                  <a:pt x="3304032" y="621792"/>
                </a:moveTo>
                <a:lnTo>
                  <a:pt x="2756916" y="621792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1792"/>
                </a:lnTo>
                <a:close/>
              </a:path>
              <a:path w="7315200" h="2481580">
                <a:moveTo>
                  <a:pt x="3304032" y="414528"/>
                </a:moveTo>
                <a:lnTo>
                  <a:pt x="2756916" y="414528"/>
                </a:lnTo>
                <a:lnTo>
                  <a:pt x="2756916" y="618744"/>
                </a:lnTo>
                <a:lnTo>
                  <a:pt x="3304032" y="618744"/>
                </a:lnTo>
                <a:lnTo>
                  <a:pt x="3304032" y="414528"/>
                </a:lnTo>
                <a:close/>
              </a:path>
              <a:path w="7315200" h="2481580">
                <a:moveTo>
                  <a:pt x="3998976" y="2276856"/>
                </a:moveTo>
                <a:lnTo>
                  <a:pt x="3307080" y="2276856"/>
                </a:lnTo>
                <a:lnTo>
                  <a:pt x="3307080" y="2481072"/>
                </a:lnTo>
                <a:lnTo>
                  <a:pt x="3998976" y="2481072"/>
                </a:lnTo>
                <a:lnTo>
                  <a:pt x="3998976" y="2276856"/>
                </a:lnTo>
                <a:close/>
              </a:path>
              <a:path w="7315200" h="2481580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481580">
                <a:moveTo>
                  <a:pt x="3998976" y="1863852"/>
                </a:moveTo>
                <a:lnTo>
                  <a:pt x="3307080" y="1863852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3852"/>
                </a:lnTo>
                <a:close/>
              </a:path>
              <a:path w="7315200" h="2481580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481580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481580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481580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481580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481580">
                <a:moveTo>
                  <a:pt x="3998976" y="621792"/>
                </a:moveTo>
                <a:lnTo>
                  <a:pt x="3307080" y="621792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1792"/>
                </a:lnTo>
                <a:close/>
              </a:path>
              <a:path w="7315200" h="2481580">
                <a:moveTo>
                  <a:pt x="3998976" y="414528"/>
                </a:moveTo>
                <a:lnTo>
                  <a:pt x="3307080" y="414528"/>
                </a:lnTo>
                <a:lnTo>
                  <a:pt x="3307080" y="618744"/>
                </a:lnTo>
                <a:lnTo>
                  <a:pt x="3998976" y="618744"/>
                </a:lnTo>
                <a:lnTo>
                  <a:pt x="3998976" y="414528"/>
                </a:lnTo>
                <a:close/>
              </a:path>
              <a:path w="7315200" h="2481580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481580">
                <a:moveTo>
                  <a:pt x="4828032" y="2276856"/>
                </a:moveTo>
                <a:lnTo>
                  <a:pt x="4002024" y="2276856"/>
                </a:lnTo>
                <a:lnTo>
                  <a:pt x="4002024" y="2481072"/>
                </a:lnTo>
                <a:lnTo>
                  <a:pt x="4828032" y="2481072"/>
                </a:lnTo>
                <a:lnTo>
                  <a:pt x="4828032" y="2276856"/>
                </a:lnTo>
                <a:close/>
              </a:path>
              <a:path w="7315200" h="2481580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481580">
                <a:moveTo>
                  <a:pt x="4828032" y="1863852"/>
                </a:moveTo>
                <a:lnTo>
                  <a:pt x="4002024" y="1863852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3852"/>
                </a:lnTo>
                <a:close/>
              </a:path>
              <a:path w="7315200" h="2481580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481580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481580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481580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481580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481580">
                <a:moveTo>
                  <a:pt x="4828032" y="621792"/>
                </a:moveTo>
                <a:lnTo>
                  <a:pt x="4002024" y="621792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1792"/>
                </a:lnTo>
                <a:close/>
              </a:path>
              <a:path w="7315200" h="2481580">
                <a:moveTo>
                  <a:pt x="4828032" y="414528"/>
                </a:moveTo>
                <a:lnTo>
                  <a:pt x="4002024" y="414528"/>
                </a:lnTo>
                <a:lnTo>
                  <a:pt x="4002024" y="618744"/>
                </a:lnTo>
                <a:lnTo>
                  <a:pt x="4828032" y="618744"/>
                </a:lnTo>
                <a:lnTo>
                  <a:pt x="4828032" y="414528"/>
                </a:lnTo>
                <a:close/>
              </a:path>
              <a:path w="7315200" h="2481580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481580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481580">
                <a:moveTo>
                  <a:pt x="5657088" y="1863852"/>
                </a:moveTo>
                <a:lnTo>
                  <a:pt x="4831080" y="1863852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3852"/>
                </a:lnTo>
                <a:close/>
              </a:path>
              <a:path w="7315200" h="2481580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481580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481580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481580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481580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481580">
                <a:moveTo>
                  <a:pt x="5657088" y="621792"/>
                </a:moveTo>
                <a:lnTo>
                  <a:pt x="4831080" y="621792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1792"/>
                </a:lnTo>
                <a:close/>
              </a:path>
              <a:path w="7315200" h="2481580">
                <a:moveTo>
                  <a:pt x="5657088" y="414528"/>
                </a:moveTo>
                <a:lnTo>
                  <a:pt x="4831080" y="414528"/>
                </a:lnTo>
                <a:lnTo>
                  <a:pt x="4831080" y="618744"/>
                </a:lnTo>
                <a:lnTo>
                  <a:pt x="5657088" y="618744"/>
                </a:lnTo>
                <a:lnTo>
                  <a:pt x="5657088" y="414528"/>
                </a:lnTo>
                <a:close/>
              </a:path>
              <a:path w="7315200" h="2481580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481580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481580">
                <a:moveTo>
                  <a:pt x="6486144" y="1863852"/>
                </a:moveTo>
                <a:lnTo>
                  <a:pt x="5660136" y="1863852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3852"/>
                </a:lnTo>
                <a:close/>
              </a:path>
              <a:path w="7315200" h="2481580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481580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481580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481580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481580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481580">
                <a:moveTo>
                  <a:pt x="6486144" y="621792"/>
                </a:moveTo>
                <a:lnTo>
                  <a:pt x="5660136" y="621792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1792"/>
                </a:lnTo>
                <a:close/>
              </a:path>
              <a:path w="7315200" h="2481580">
                <a:moveTo>
                  <a:pt x="6486144" y="414528"/>
                </a:moveTo>
                <a:lnTo>
                  <a:pt x="5660136" y="414528"/>
                </a:lnTo>
                <a:lnTo>
                  <a:pt x="5660136" y="618744"/>
                </a:lnTo>
                <a:lnTo>
                  <a:pt x="6486144" y="618744"/>
                </a:lnTo>
                <a:lnTo>
                  <a:pt x="6486144" y="414528"/>
                </a:lnTo>
                <a:close/>
              </a:path>
              <a:path w="7315200" h="2481580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481580">
                <a:moveTo>
                  <a:pt x="7315200" y="2069592"/>
                </a:moveTo>
                <a:lnTo>
                  <a:pt x="6489192" y="2069592"/>
                </a:lnTo>
                <a:lnTo>
                  <a:pt x="6489192" y="2273808"/>
                </a:lnTo>
                <a:lnTo>
                  <a:pt x="7315200" y="2273808"/>
                </a:lnTo>
                <a:lnTo>
                  <a:pt x="7315200" y="2069592"/>
                </a:lnTo>
                <a:close/>
              </a:path>
              <a:path w="7315200" h="2481580">
                <a:moveTo>
                  <a:pt x="7315200" y="1863852"/>
                </a:moveTo>
                <a:lnTo>
                  <a:pt x="6489192" y="1863852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3852"/>
                </a:lnTo>
                <a:close/>
              </a:path>
              <a:path w="7315200" h="2481580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481580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481580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481580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481580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481580">
                <a:moveTo>
                  <a:pt x="7315200" y="621792"/>
                </a:moveTo>
                <a:lnTo>
                  <a:pt x="6489192" y="621792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1792"/>
                </a:lnTo>
                <a:close/>
              </a:path>
              <a:path w="7315200" h="2481580">
                <a:moveTo>
                  <a:pt x="7315200" y="414528"/>
                </a:moveTo>
                <a:lnTo>
                  <a:pt x="6489192" y="414528"/>
                </a:lnTo>
                <a:lnTo>
                  <a:pt x="6489192" y="618744"/>
                </a:lnTo>
                <a:lnTo>
                  <a:pt x="7315200" y="618744"/>
                </a:lnTo>
                <a:lnTo>
                  <a:pt x="7315200" y="414528"/>
                </a:lnTo>
                <a:close/>
              </a:path>
              <a:path w="7315200" h="2481580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300-000029000000}"/>
              </a:ext>
            </a:extLst>
          </xdr:cNvPr>
          <xdr:cNvSpPr/>
        </xdr:nvSpPr>
        <xdr:spPr>
          <a:xfrm>
            <a:off x="4002024" y="4139183"/>
            <a:ext cx="3313429" cy="204470"/>
          </a:xfrm>
          <a:custGeom>
            <a:avLst/>
            <a:gdLst/>
            <a:ahLst/>
            <a:cxnLst/>
            <a:rect l="0" t="0" r="0" b="0"/>
            <a:pathLst>
              <a:path w="3313429" h="204470">
                <a:moveTo>
                  <a:pt x="826008" y="0"/>
                </a:moveTo>
                <a:lnTo>
                  <a:pt x="0" y="0"/>
                </a:lnTo>
                <a:lnTo>
                  <a:pt x="0" y="204216"/>
                </a:lnTo>
                <a:lnTo>
                  <a:pt x="826008" y="204216"/>
                </a:lnTo>
                <a:lnTo>
                  <a:pt x="826008" y="0"/>
                </a:lnTo>
                <a:close/>
              </a:path>
              <a:path w="3313429" h="204470">
                <a:moveTo>
                  <a:pt x="1655064" y="0"/>
                </a:moveTo>
                <a:lnTo>
                  <a:pt x="829056" y="0"/>
                </a:lnTo>
                <a:lnTo>
                  <a:pt x="829056" y="204216"/>
                </a:lnTo>
                <a:lnTo>
                  <a:pt x="1655064" y="204216"/>
                </a:lnTo>
                <a:lnTo>
                  <a:pt x="1655064" y="0"/>
                </a:lnTo>
                <a:close/>
              </a:path>
              <a:path w="3313429" h="204470">
                <a:moveTo>
                  <a:pt x="2484120" y="0"/>
                </a:moveTo>
                <a:lnTo>
                  <a:pt x="1658112" y="0"/>
                </a:lnTo>
                <a:lnTo>
                  <a:pt x="1658112" y="204216"/>
                </a:lnTo>
                <a:lnTo>
                  <a:pt x="2484120" y="204216"/>
                </a:lnTo>
                <a:lnTo>
                  <a:pt x="2484120" y="0"/>
                </a:lnTo>
                <a:close/>
              </a:path>
              <a:path w="3313429" h="204470">
                <a:moveTo>
                  <a:pt x="3313176" y="0"/>
                </a:moveTo>
                <a:lnTo>
                  <a:pt x="2487168" y="0"/>
                </a:lnTo>
                <a:lnTo>
                  <a:pt x="2487168" y="204216"/>
                </a:lnTo>
                <a:lnTo>
                  <a:pt x="3313176" y="204216"/>
                </a:lnTo>
                <a:lnTo>
                  <a:pt x="3313176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27</xdr:row>
      <xdr:rowOff>0</xdr:rowOff>
    </xdr:from>
    <xdr:ext cx="702945" cy="4343400"/>
    <xdr:sp macro="" textlink="">
      <xdr:nvSpPr>
        <xdr:cNvPr id="42" name="Shape 42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SpPr/>
      </xdr:nvSpPr>
      <xdr:spPr>
        <a:xfrm>
          <a:off x="0" y="0"/>
          <a:ext cx="702945" cy="4343400"/>
        </a:xfrm>
        <a:custGeom>
          <a:avLst/>
          <a:gdLst/>
          <a:ahLst/>
          <a:cxnLst/>
          <a:rect l="0" t="0" r="0" b="0"/>
          <a:pathLst>
            <a:path w="702945" h="4343400">
              <a:moveTo>
                <a:pt x="702564" y="4139184"/>
              </a:moveTo>
              <a:lnTo>
                <a:pt x="0" y="4139184"/>
              </a:lnTo>
              <a:lnTo>
                <a:pt x="0" y="4343400"/>
              </a:lnTo>
              <a:lnTo>
                <a:pt x="702564" y="4343400"/>
              </a:lnTo>
              <a:lnTo>
                <a:pt x="702564" y="4139184"/>
              </a:lnTo>
              <a:close/>
            </a:path>
            <a:path w="702945" h="4343400">
              <a:moveTo>
                <a:pt x="702564" y="3931920"/>
              </a:moveTo>
              <a:lnTo>
                <a:pt x="0" y="3931920"/>
              </a:lnTo>
              <a:lnTo>
                <a:pt x="0" y="4136136"/>
              </a:lnTo>
              <a:lnTo>
                <a:pt x="702564" y="4136136"/>
              </a:lnTo>
              <a:lnTo>
                <a:pt x="702564" y="3931920"/>
              </a:lnTo>
              <a:close/>
            </a:path>
            <a:path w="702945" h="4343400">
              <a:moveTo>
                <a:pt x="702564" y="3726180"/>
              </a:moveTo>
              <a:lnTo>
                <a:pt x="0" y="3726180"/>
              </a:lnTo>
              <a:lnTo>
                <a:pt x="0" y="3928872"/>
              </a:lnTo>
              <a:lnTo>
                <a:pt x="702564" y="3928872"/>
              </a:lnTo>
              <a:lnTo>
                <a:pt x="702564" y="3726180"/>
              </a:lnTo>
              <a:close/>
            </a:path>
            <a:path w="702945" h="4343400">
              <a:moveTo>
                <a:pt x="702564" y="3518916"/>
              </a:moveTo>
              <a:lnTo>
                <a:pt x="0" y="3518916"/>
              </a:lnTo>
              <a:lnTo>
                <a:pt x="0" y="3721608"/>
              </a:lnTo>
              <a:lnTo>
                <a:pt x="702564" y="3721608"/>
              </a:lnTo>
              <a:lnTo>
                <a:pt x="702564" y="3518916"/>
              </a:lnTo>
              <a:close/>
            </a:path>
            <a:path w="702945" h="4343400">
              <a:moveTo>
                <a:pt x="702564" y="3311652"/>
              </a:moveTo>
              <a:lnTo>
                <a:pt x="0" y="3311652"/>
              </a:lnTo>
              <a:lnTo>
                <a:pt x="0" y="3515868"/>
              </a:lnTo>
              <a:lnTo>
                <a:pt x="702564" y="3515868"/>
              </a:lnTo>
              <a:lnTo>
                <a:pt x="702564" y="3311652"/>
              </a:lnTo>
              <a:close/>
            </a:path>
            <a:path w="702945" h="4343400">
              <a:moveTo>
                <a:pt x="702564" y="3104388"/>
              </a:moveTo>
              <a:lnTo>
                <a:pt x="0" y="3104388"/>
              </a:lnTo>
              <a:lnTo>
                <a:pt x="0" y="3308604"/>
              </a:lnTo>
              <a:lnTo>
                <a:pt x="702564" y="3308604"/>
              </a:lnTo>
              <a:lnTo>
                <a:pt x="702564" y="3104388"/>
              </a:lnTo>
              <a:close/>
            </a:path>
            <a:path w="702945" h="4343400">
              <a:moveTo>
                <a:pt x="702564" y="2897124"/>
              </a:moveTo>
              <a:lnTo>
                <a:pt x="0" y="2897124"/>
              </a:lnTo>
              <a:lnTo>
                <a:pt x="0" y="3101340"/>
              </a:lnTo>
              <a:lnTo>
                <a:pt x="702564" y="3101340"/>
              </a:lnTo>
              <a:lnTo>
                <a:pt x="702564" y="2897124"/>
              </a:lnTo>
              <a:close/>
            </a:path>
            <a:path w="702945" h="4343400">
              <a:moveTo>
                <a:pt x="702564" y="2689860"/>
              </a:moveTo>
              <a:lnTo>
                <a:pt x="0" y="2689860"/>
              </a:lnTo>
              <a:lnTo>
                <a:pt x="0" y="2894076"/>
              </a:lnTo>
              <a:lnTo>
                <a:pt x="702564" y="2894076"/>
              </a:lnTo>
              <a:lnTo>
                <a:pt x="702564" y="2689860"/>
              </a:lnTo>
              <a:close/>
            </a:path>
            <a:path w="702945" h="4343400">
              <a:moveTo>
                <a:pt x="702564" y="2484120"/>
              </a:moveTo>
              <a:lnTo>
                <a:pt x="0" y="2484120"/>
              </a:lnTo>
              <a:lnTo>
                <a:pt x="0" y="2686812"/>
              </a:lnTo>
              <a:lnTo>
                <a:pt x="702564" y="2686812"/>
              </a:lnTo>
              <a:lnTo>
                <a:pt x="702564" y="2484120"/>
              </a:lnTo>
              <a:close/>
            </a:path>
            <a:path w="702945" h="4343400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4343400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4343400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4343400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4343400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4343400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4343400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4343400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4343400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4343400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4343400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4343400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20</xdr:row>
      <xdr:rowOff>206501</xdr:rowOff>
    </xdr:from>
    <xdr:ext cx="3313429" cy="375285"/>
    <xdr:sp macro="" textlink="">
      <xdr:nvSpPr>
        <xdr:cNvPr id="43" name="Shape 43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332219</xdr:colOff>
      <xdr:row>3</xdr:row>
      <xdr:rowOff>49142</xdr:rowOff>
    </xdr:from>
    <xdr:ext cx="193523" cy="290285"/>
    <xdr:pic>
      <xdr:nvPicPr>
        <xdr:cNvPr id="44" name="image1.jpeg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233934</xdr:colOff>
      <xdr:row>3</xdr:row>
      <xdr:rowOff>49142</xdr:rowOff>
    </xdr:from>
    <xdr:ext cx="381000" cy="290285"/>
    <xdr:pic>
      <xdr:nvPicPr>
        <xdr:cNvPr id="45" name="image2.jpeg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46" name="image3.jpeg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762</xdr:rowOff>
    </xdr:from>
    <xdr:ext cx="381000" cy="381000"/>
    <xdr:pic>
      <xdr:nvPicPr>
        <xdr:cNvPr id="47" name="image4.jpeg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22</xdr:row>
      <xdr:rowOff>0</xdr:rowOff>
    </xdr:from>
    <xdr:ext cx="7315200" cy="3933825"/>
    <xdr:grpSp>
      <xdr:nvGrpSpPr>
        <xdr:cNvPr id="48" name="Group 48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GrpSpPr/>
      </xdr:nvGrpSpPr>
      <xdr:grpSpPr>
        <a:xfrm>
          <a:off x="610234" y="5806440"/>
          <a:ext cx="7315200" cy="3933825"/>
          <a:chOff x="0" y="0"/>
          <a:chExt cx="7315200" cy="3933825"/>
        </a:xfrm>
      </xdr:grpSpPr>
      <xdr:sp macro="" textlink="">
        <xdr:nvSpPr>
          <xdr:cNvPr id="49" name="Shape 49">
            <a:extLst>
              <a:ext uri="{FF2B5EF4-FFF2-40B4-BE49-F238E27FC236}">
                <a16:creationId xmlns:a16="http://schemas.microsoft.com/office/drawing/2014/main" id="{00000000-0008-0000-0400-000031000000}"/>
              </a:ext>
            </a:extLst>
          </xdr:cNvPr>
          <xdr:cNvSpPr/>
        </xdr:nvSpPr>
        <xdr:spPr>
          <a:xfrm>
            <a:off x="0" y="0"/>
            <a:ext cx="7315200" cy="2484120"/>
          </a:xfrm>
          <a:custGeom>
            <a:avLst/>
            <a:gdLst/>
            <a:ahLst/>
            <a:cxnLst/>
            <a:rect l="0" t="0" r="0" b="0"/>
            <a:pathLst>
              <a:path w="7315200" h="2484120">
                <a:moveTo>
                  <a:pt x="339852" y="1658112"/>
                </a:moveTo>
                <a:lnTo>
                  <a:pt x="0" y="1658112"/>
                </a:lnTo>
                <a:lnTo>
                  <a:pt x="0" y="2071116"/>
                </a:lnTo>
                <a:lnTo>
                  <a:pt x="339852" y="2071116"/>
                </a:lnTo>
                <a:lnTo>
                  <a:pt x="339852" y="1658112"/>
                </a:lnTo>
                <a:close/>
              </a:path>
              <a:path w="7315200" h="2484120">
                <a:moveTo>
                  <a:pt x="339852" y="830580"/>
                </a:moveTo>
                <a:lnTo>
                  <a:pt x="0" y="830580"/>
                </a:lnTo>
                <a:lnTo>
                  <a:pt x="0" y="1655064"/>
                </a:lnTo>
                <a:lnTo>
                  <a:pt x="339852" y="1655064"/>
                </a:lnTo>
                <a:lnTo>
                  <a:pt x="339852" y="830580"/>
                </a:lnTo>
                <a:close/>
              </a:path>
              <a:path w="7315200" h="2484120">
                <a:moveTo>
                  <a:pt x="339852" y="414528"/>
                </a:moveTo>
                <a:lnTo>
                  <a:pt x="0" y="414528"/>
                </a:lnTo>
                <a:lnTo>
                  <a:pt x="0" y="827532"/>
                </a:lnTo>
                <a:lnTo>
                  <a:pt x="339852" y="827532"/>
                </a:lnTo>
                <a:lnTo>
                  <a:pt x="339852" y="414528"/>
                </a:lnTo>
                <a:close/>
              </a:path>
              <a:path w="7315200" h="2484120">
                <a:moveTo>
                  <a:pt x="339852" y="0"/>
                </a:moveTo>
                <a:lnTo>
                  <a:pt x="0" y="0"/>
                </a:lnTo>
                <a:lnTo>
                  <a:pt x="0" y="411480"/>
                </a:lnTo>
                <a:lnTo>
                  <a:pt x="339852" y="411480"/>
                </a:lnTo>
                <a:lnTo>
                  <a:pt x="339852" y="0"/>
                </a:lnTo>
                <a:close/>
              </a:path>
              <a:path w="7315200" h="2484120">
                <a:moveTo>
                  <a:pt x="1376172" y="1658112"/>
                </a:moveTo>
                <a:lnTo>
                  <a:pt x="342900" y="1658112"/>
                </a:lnTo>
                <a:lnTo>
                  <a:pt x="342900" y="2071116"/>
                </a:lnTo>
                <a:lnTo>
                  <a:pt x="1376172" y="2071116"/>
                </a:lnTo>
                <a:lnTo>
                  <a:pt x="1376172" y="1658112"/>
                </a:lnTo>
                <a:close/>
              </a:path>
              <a:path w="7315200" h="2484120">
                <a:moveTo>
                  <a:pt x="1376172" y="830580"/>
                </a:moveTo>
                <a:lnTo>
                  <a:pt x="342900" y="830580"/>
                </a:lnTo>
                <a:lnTo>
                  <a:pt x="342900" y="1655064"/>
                </a:lnTo>
                <a:lnTo>
                  <a:pt x="1376172" y="1655064"/>
                </a:lnTo>
                <a:lnTo>
                  <a:pt x="1376172" y="830580"/>
                </a:lnTo>
                <a:close/>
              </a:path>
              <a:path w="7315200" h="2484120">
                <a:moveTo>
                  <a:pt x="1376172" y="414528"/>
                </a:moveTo>
                <a:lnTo>
                  <a:pt x="342900" y="414528"/>
                </a:lnTo>
                <a:lnTo>
                  <a:pt x="342900" y="827532"/>
                </a:lnTo>
                <a:lnTo>
                  <a:pt x="1376172" y="827532"/>
                </a:lnTo>
                <a:lnTo>
                  <a:pt x="1376172" y="414528"/>
                </a:lnTo>
                <a:close/>
              </a:path>
              <a:path w="7315200" h="2484120">
                <a:moveTo>
                  <a:pt x="1376172" y="0"/>
                </a:moveTo>
                <a:lnTo>
                  <a:pt x="342900" y="0"/>
                </a:lnTo>
                <a:lnTo>
                  <a:pt x="342900" y="411480"/>
                </a:lnTo>
                <a:lnTo>
                  <a:pt x="1376172" y="411480"/>
                </a:lnTo>
                <a:lnTo>
                  <a:pt x="1376172" y="0"/>
                </a:lnTo>
                <a:close/>
              </a:path>
              <a:path w="7315200" h="2484120">
                <a:moveTo>
                  <a:pt x="2753868" y="1658112"/>
                </a:moveTo>
                <a:lnTo>
                  <a:pt x="1379220" y="1658112"/>
                </a:lnTo>
                <a:lnTo>
                  <a:pt x="1379220" y="2071116"/>
                </a:lnTo>
                <a:lnTo>
                  <a:pt x="2753868" y="2071116"/>
                </a:lnTo>
                <a:lnTo>
                  <a:pt x="2753868" y="1658112"/>
                </a:lnTo>
                <a:close/>
              </a:path>
              <a:path w="7315200" h="2484120">
                <a:moveTo>
                  <a:pt x="2753868" y="830580"/>
                </a:moveTo>
                <a:lnTo>
                  <a:pt x="1379220" y="830580"/>
                </a:lnTo>
                <a:lnTo>
                  <a:pt x="1379220" y="1655064"/>
                </a:lnTo>
                <a:lnTo>
                  <a:pt x="2753868" y="1655064"/>
                </a:lnTo>
                <a:lnTo>
                  <a:pt x="2753868" y="830580"/>
                </a:lnTo>
                <a:close/>
              </a:path>
              <a:path w="7315200" h="2484120">
                <a:moveTo>
                  <a:pt x="2753868" y="414528"/>
                </a:moveTo>
                <a:lnTo>
                  <a:pt x="1379220" y="414528"/>
                </a:lnTo>
                <a:lnTo>
                  <a:pt x="1379220" y="827532"/>
                </a:lnTo>
                <a:lnTo>
                  <a:pt x="2753868" y="827532"/>
                </a:lnTo>
                <a:lnTo>
                  <a:pt x="2753868" y="414528"/>
                </a:lnTo>
                <a:close/>
              </a:path>
              <a:path w="7315200" h="2484120">
                <a:moveTo>
                  <a:pt x="2753868" y="0"/>
                </a:moveTo>
                <a:lnTo>
                  <a:pt x="1379220" y="0"/>
                </a:lnTo>
                <a:lnTo>
                  <a:pt x="1379220" y="411480"/>
                </a:lnTo>
                <a:lnTo>
                  <a:pt x="2753868" y="411480"/>
                </a:lnTo>
                <a:lnTo>
                  <a:pt x="2753868" y="0"/>
                </a:lnTo>
                <a:close/>
              </a:path>
              <a:path w="7315200" h="2484120">
                <a:moveTo>
                  <a:pt x="3304032" y="2281428"/>
                </a:moveTo>
                <a:lnTo>
                  <a:pt x="2756916" y="2281428"/>
                </a:lnTo>
                <a:lnTo>
                  <a:pt x="2756916" y="2484120"/>
                </a:lnTo>
                <a:lnTo>
                  <a:pt x="3304032" y="2484120"/>
                </a:lnTo>
                <a:lnTo>
                  <a:pt x="3304032" y="2281428"/>
                </a:lnTo>
                <a:close/>
              </a:path>
              <a:path w="7315200" h="2484120">
                <a:moveTo>
                  <a:pt x="3304032" y="2074164"/>
                </a:moveTo>
                <a:lnTo>
                  <a:pt x="2756916" y="2074164"/>
                </a:lnTo>
                <a:lnTo>
                  <a:pt x="2756916" y="2278380"/>
                </a:lnTo>
                <a:lnTo>
                  <a:pt x="3304032" y="2278380"/>
                </a:lnTo>
                <a:lnTo>
                  <a:pt x="3304032" y="2074164"/>
                </a:lnTo>
                <a:close/>
              </a:path>
              <a:path w="7315200" h="2484120">
                <a:moveTo>
                  <a:pt x="3304032" y="1865376"/>
                </a:moveTo>
                <a:lnTo>
                  <a:pt x="2756916" y="1865376"/>
                </a:lnTo>
                <a:lnTo>
                  <a:pt x="2756916" y="2071116"/>
                </a:lnTo>
                <a:lnTo>
                  <a:pt x="3304032" y="2071116"/>
                </a:lnTo>
                <a:lnTo>
                  <a:pt x="3304032" y="1865376"/>
                </a:lnTo>
                <a:close/>
              </a:path>
              <a:path w="7315200" h="2484120">
                <a:moveTo>
                  <a:pt x="3304032" y="1658112"/>
                </a:moveTo>
                <a:lnTo>
                  <a:pt x="2756916" y="1658112"/>
                </a:lnTo>
                <a:lnTo>
                  <a:pt x="2756916" y="1862328"/>
                </a:lnTo>
                <a:lnTo>
                  <a:pt x="3304032" y="1862328"/>
                </a:lnTo>
                <a:lnTo>
                  <a:pt x="3304032" y="1658112"/>
                </a:lnTo>
                <a:close/>
              </a:path>
              <a:path w="7315200" h="2484120">
                <a:moveTo>
                  <a:pt x="3304032" y="1450848"/>
                </a:moveTo>
                <a:lnTo>
                  <a:pt x="2756916" y="1450848"/>
                </a:lnTo>
                <a:lnTo>
                  <a:pt x="2756916" y="1655064"/>
                </a:lnTo>
                <a:lnTo>
                  <a:pt x="3304032" y="1655064"/>
                </a:lnTo>
                <a:lnTo>
                  <a:pt x="3304032" y="1450848"/>
                </a:lnTo>
                <a:close/>
              </a:path>
              <a:path w="7315200" h="2484120">
                <a:moveTo>
                  <a:pt x="3304032" y="1245108"/>
                </a:moveTo>
                <a:lnTo>
                  <a:pt x="2756916" y="1245108"/>
                </a:lnTo>
                <a:lnTo>
                  <a:pt x="2756916" y="1447800"/>
                </a:lnTo>
                <a:lnTo>
                  <a:pt x="3304032" y="1447800"/>
                </a:lnTo>
                <a:lnTo>
                  <a:pt x="3304032" y="1245108"/>
                </a:lnTo>
                <a:close/>
              </a:path>
              <a:path w="7315200" h="2484120">
                <a:moveTo>
                  <a:pt x="3304032" y="1037844"/>
                </a:moveTo>
                <a:lnTo>
                  <a:pt x="2756916" y="1037844"/>
                </a:lnTo>
                <a:lnTo>
                  <a:pt x="2756916" y="1242060"/>
                </a:lnTo>
                <a:lnTo>
                  <a:pt x="3304032" y="1242060"/>
                </a:lnTo>
                <a:lnTo>
                  <a:pt x="3304032" y="1037844"/>
                </a:lnTo>
                <a:close/>
              </a:path>
              <a:path w="7315200" h="2484120">
                <a:moveTo>
                  <a:pt x="3304032" y="830580"/>
                </a:moveTo>
                <a:lnTo>
                  <a:pt x="2756916" y="830580"/>
                </a:lnTo>
                <a:lnTo>
                  <a:pt x="2756916" y="1034796"/>
                </a:lnTo>
                <a:lnTo>
                  <a:pt x="3304032" y="1034796"/>
                </a:lnTo>
                <a:lnTo>
                  <a:pt x="3304032" y="830580"/>
                </a:lnTo>
                <a:close/>
              </a:path>
              <a:path w="7315200" h="2484120">
                <a:moveTo>
                  <a:pt x="3304032" y="414528"/>
                </a:moveTo>
                <a:lnTo>
                  <a:pt x="2756916" y="414528"/>
                </a:lnTo>
                <a:lnTo>
                  <a:pt x="2756916" y="827532"/>
                </a:lnTo>
                <a:lnTo>
                  <a:pt x="3304032" y="827532"/>
                </a:lnTo>
                <a:lnTo>
                  <a:pt x="3304032" y="414528"/>
                </a:lnTo>
                <a:close/>
              </a:path>
              <a:path w="7315200" h="2484120">
                <a:moveTo>
                  <a:pt x="3304032" y="0"/>
                </a:moveTo>
                <a:lnTo>
                  <a:pt x="2756916" y="0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0"/>
                </a:lnTo>
                <a:close/>
              </a:path>
              <a:path w="7315200" h="2484120">
                <a:moveTo>
                  <a:pt x="3998976" y="2281428"/>
                </a:moveTo>
                <a:lnTo>
                  <a:pt x="3307080" y="2281428"/>
                </a:lnTo>
                <a:lnTo>
                  <a:pt x="3307080" y="2484120"/>
                </a:lnTo>
                <a:lnTo>
                  <a:pt x="3998976" y="2484120"/>
                </a:lnTo>
                <a:lnTo>
                  <a:pt x="3998976" y="2281428"/>
                </a:lnTo>
                <a:close/>
              </a:path>
              <a:path w="7315200" h="2484120">
                <a:moveTo>
                  <a:pt x="3998976" y="2074164"/>
                </a:moveTo>
                <a:lnTo>
                  <a:pt x="3307080" y="2074164"/>
                </a:lnTo>
                <a:lnTo>
                  <a:pt x="3307080" y="2278380"/>
                </a:lnTo>
                <a:lnTo>
                  <a:pt x="3998976" y="2278380"/>
                </a:lnTo>
                <a:lnTo>
                  <a:pt x="3998976" y="2074164"/>
                </a:lnTo>
                <a:close/>
              </a:path>
              <a:path w="7315200" h="2484120">
                <a:moveTo>
                  <a:pt x="3998976" y="1865376"/>
                </a:moveTo>
                <a:lnTo>
                  <a:pt x="3307080" y="1865376"/>
                </a:lnTo>
                <a:lnTo>
                  <a:pt x="3307080" y="2071116"/>
                </a:lnTo>
                <a:lnTo>
                  <a:pt x="3998976" y="2071116"/>
                </a:lnTo>
                <a:lnTo>
                  <a:pt x="3998976" y="1865376"/>
                </a:lnTo>
                <a:close/>
              </a:path>
              <a:path w="7315200" h="2484120">
                <a:moveTo>
                  <a:pt x="3998976" y="1658112"/>
                </a:moveTo>
                <a:lnTo>
                  <a:pt x="3307080" y="1658112"/>
                </a:lnTo>
                <a:lnTo>
                  <a:pt x="3307080" y="1862328"/>
                </a:lnTo>
                <a:lnTo>
                  <a:pt x="3998976" y="1862328"/>
                </a:lnTo>
                <a:lnTo>
                  <a:pt x="3998976" y="1658112"/>
                </a:lnTo>
                <a:close/>
              </a:path>
              <a:path w="7315200" h="2484120">
                <a:moveTo>
                  <a:pt x="3998976" y="1450848"/>
                </a:moveTo>
                <a:lnTo>
                  <a:pt x="3307080" y="1450848"/>
                </a:lnTo>
                <a:lnTo>
                  <a:pt x="3307080" y="1655064"/>
                </a:lnTo>
                <a:lnTo>
                  <a:pt x="3998976" y="1655064"/>
                </a:lnTo>
                <a:lnTo>
                  <a:pt x="3998976" y="1450848"/>
                </a:lnTo>
                <a:close/>
              </a:path>
              <a:path w="7315200" h="2484120">
                <a:moveTo>
                  <a:pt x="3998976" y="1245108"/>
                </a:moveTo>
                <a:lnTo>
                  <a:pt x="3307080" y="1245108"/>
                </a:lnTo>
                <a:lnTo>
                  <a:pt x="3307080" y="1447800"/>
                </a:lnTo>
                <a:lnTo>
                  <a:pt x="3998976" y="1447800"/>
                </a:lnTo>
                <a:lnTo>
                  <a:pt x="3998976" y="1245108"/>
                </a:lnTo>
                <a:close/>
              </a:path>
              <a:path w="7315200" h="2484120">
                <a:moveTo>
                  <a:pt x="3998976" y="1037844"/>
                </a:moveTo>
                <a:lnTo>
                  <a:pt x="3307080" y="1037844"/>
                </a:lnTo>
                <a:lnTo>
                  <a:pt x="3307080" y="1242060"/>
                </a:lnTo>
                <a:lnTo>
                  <a:pt x="3998976" y="1242060"/>
                </a:lnTo>
                <a:lnTo>
                  <a:pt x="3998976" y="1037844"/>
                </a:lnTo>
                <a:close/>
              </a:path>
              <a:path w="7315200" h="2484120">
                <a:moveTo>
                  <a:pt x="3998976" y="830580"/>
                </a:moveTo>
                <a:lnTo>
                  <a:pt x="3307080" y="830580"/>
                </a:lnTo>
                <a:lnTo>
                  <a:pt x="3307080" y="1034796"/>
                </a:lnTo>
                <a:lnTo>
                  <a:pt x="3998976" y="1034796"/>
                </a:lnTo>
                <a:lnTo>
                  <a:pt x="3998976" y="830580"/>
                </a:lnTo>
                <a:close/>
              </a:path>
              <a:path w="7315200" h="2484120">
                <a:moveTo>
                  <a:pt x="3998976" y="414528"/>
                </a:moveTo>
                <a:lnTo>
                  <a:pt x="3307080" y="414528"/>
                </a:lnTo>
                <a:lnTo>
                  <a:pt x="3307080" y="827532"/>
                </a:lnTo>
                <a:lnTo>
                  <a:pt x="3998976" y="827532"/>
                </a:lnTo>
                <a:lnTo>
                  <a:pt x="3998976" y="414528"/>
                </a:lnTo>
                <a:close/>
              </a:path>
              <a:path w="7315200" h="2484120">
                <a:moveTo>
                  <a:pt x="3998976" y="0"/>
                </a:moveTo>
                <a:lnTo>
                  <a:pt x="3307080" y="0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0"/>
                </a:lnTo>
                <a:close/>
              </a:path>
              <a:path w="7315200" h="2484120">
                <a:moveTo>
                  <a:pt x="4828032" y="2281428"/>
                </a:moveTo>
                <a:lnTo>
                  <a:pt x="4002024" y="2281428"/>
                </a:lnTo>
                <a:lnTo>
                  <a:pt x="4002024" y="2484120"/>
                </a:lnTo>
                <a:lnTo>
                  <a:pt x="4828032" y="2484120"/>
                </a:lnTo>
                <a:lnTo>
                  <a:pt x="4828032" y="2281428"/>
                </a:lnTo>
                <a:close/>
              </a:path>
              <a:path w="7315200" h="2484120">
                <a:moveTo>
                  <a:pt x="4828032" y="2074164"/>
                </a:moveTo>
                <a:lnTo>
                  <a:pt x="4002024" y="2074164"/>
                </a:lnTo>
                <a:lnTo>
                  <a:pt x="4002024" y="2278380"/>
                </a:lnTo>
                <a:lnTo>
                  <a:pt x="4828032" y="2278380"/>
                </a:lnTo>
                <a:lnTo>
                  <a:pt x="4828032" y="2074164"/>
                </a:lnTo>
                <a:close/>
              </a:path>
              <a:path w="7315200" h="2484120">
                <a:moveTo>
                  <a:pt x="4828032" y="1865376"/>
                </a:moveTo>
                <a:lnTo>
                  <a:pt x="4002024" y="1865376"/>
                </a:lnTo>
                <a:lnTo>
                  <a:pt x="4002024" y="2071116"/>
                </a:lnTo>
                <a:lnTo>
                  <a:pt x="4828032" y="2071116"/>
                </a:lnTo>
                <a:lnTo>
                  <a:pt x="4828032" y="1865376"/>
                </a:lnTo>
                <a:close/>
              </a:path>
              <a:path w="7315200" h="2484120">
                <a:moveTo>
                  <a:pt x="4828032" y="1658112"/>
                </a:moveTo>
                <a:lnTo>
                  <a:pt x="4002024" y="1658112"/>
                </a:lnTo>
                <a:lnTo>
                  <a:pt x="4002024" y="1862328"/>
                </a:lnTo>
                <a:lnTo>
                  <a:pt x="4828032" y="1862328"/>
                </a:lnTo>
                <a:lnTo>
                  <a:pt x="4828032" y="1658112"/>
                </a:lnTo>
                <a:close/>
              </a:path>
              <a:path w="7315200" h="2484120">
                <a:moveTo>
                  <a:pt x="4828032" y="1450848"/>
                </a:moveTo>
                <a:lnTo>
                  <a:pt x="4002024" y="1450848"/>
                </a:lnTo>
                <a:lnTo>
                  <a:pt x="4002024" y="1655064"/>
                </a:lnTo>
                <a:lnTo>
                  <a:pt x="4828032" y="1655064"/>
                </a:lnTo>
                <a:lnTo>
                  <a:pt x="4828032" y="1450848"/>
                </a:lnTo>
                <a:close/>
              </a:path>
              <a:path w="7315200" h="2484120">
                <a:moveTo>
                  <a:pt x="4828032" y="1245108"/>
                </a:moveTo>
                <a:lnTo>
                  <a:pt x="4002024" y="1245108"/>
                </a:lnTo>
                <a:lnTo>
                  <a:pt x="4002024" y="1447800"/>
                </a:lnTo>
                <a:lnTo>
                  <a:pt x="4828032" y="1447800"/>
                </a:lnTo>
                <a:lnTo>
                  <a:pt x="4828032" y="1245108"/>
                </a:lnTo>
                <a:close/>
              </a:path>
              <a:path w="7315200" h="2484120">
                <a:moveTo>
                  <a:pt x="4828032" y="1037844"/>
                </a:moveTo>
                <a:lnTo>
                  <a:pt x="4002024" y="1037844"/>
                </a:lnTo>
                <a:lnTo>
                  <a:pt x="4002024" y="1242060"/>
                </a:lnTo>
                <a:lnTo>
                  <a:pt x="4828032" y="1242060"/>
                </a:lnTo>
                <a:lnTo>
                  <a:pt x="4828032" y="1037844"/>
                </a:lnTo>
                <a:close/>
              </a:path>
              <a:path w="7315200" h="2484120">
                <a:moveTo>
                  <a:pt x="4828032" y="830580"/>
                </a:moveTo>
                <a:lnTo>
                  <a:pt x="4002024" y="830580"/>
                </a:lnTo>
                <a:lnTo>
                  <a:pt x="4002024" y="1034796"/>
                </a:lnTo>
                <a:lnTo>
                  <a:pt x="4828032" y="1034796"/>
                </a:lnTo>
                <a:lnTo>
                  <a:pt x="4828032" y="830580"/>
                </a:lnTo>
                <a:close/>
              </a:path>
              <a:path w="7315200" h="2484120">
                <a:moveTo>
                  <a:pt x="4828032" y="414528"/>
                </a:moveTo>
                <a:lnTo>
                  <a:pt x="4002024" y="414528"/>
                </a:lnTo>
                <a:lnTo>
                  <a:pt x="4002024" y="827532"/>
                </a:lnTo>
                <a:lnTo>
                  <a:pt x="4828032" y="827532"/>
                </a:lnTo>
                <a:lnTo>
                  <a:pt x="4828032" y="414528"/>
                </a:lnTo>
                <a:close/>
              </a:path>
              <a:path w="7315200" h="2484120">
                <a:moveTo>
                  <a:pt x="4828032" y="0"/>
                </a:moveTo>
                <a:lnTo>
                  <a:pt x="4002024" y="0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0"/>
                </a:lnTo>
                <a:close/>
              </a:path>
              <a:path w="7315200" h="2484120">
                <a:moveTo>
                  <a:pt x="5657088" y="2281428"/>
                </a:moveTo>
                <a:lnTo>
                  <a:pt x="4831080" y="2281428"/>
                </a:lnTo>
                <a:lnTo>
                  <a:pt x="4831080" y="2484120"/>
                </a:lnTo>
                <a:lnTo>
                  <a:pt x="5657088" y="2484120"/>
                </a:lnTo>
                <a:lnTo>
                  <a:pt x="5657088" y="2281428"/>
                </a:lnTo>
                <a:close/>
              </a:path>
              <a:path w="7315200" h="2484120">
                <a:moveTo>
                  <a:pt x="5657088" y="2074164"/>
                </a:moveTo>
                <a:lnTo>
                  <a:pt x="4831080" y="2074164"/>
                </a:lnTo>
                <a:lnTo>
                  <a:pt x="4831080" y="2278380"/>
                </a:lnTo>
                <a:lnTo>
                  <a:pt x="5657088" y="2278380"/>
                </a:lnTo>
                <a:lnTo>
                  <a:pt x="5657088" y="2074164"/>
                </a:lnTo>
                <a:close/>
              </a:path>
              <a:path w="7315200" h="2484120">
                <a:moveTo>
                  <a:pt x="5657088" y="1865376"/>
                </a:moveTo>
                <a:lnTo>
                  <a:pt x="4831080" y="1865376"/>
                </a:lnTo>
                <a:lnTo>
                  <a:pt x="4831080" y="2071116"/>
                </a:lnTo>
                <a:lnTo>
                  <a:pt x="5657088" y="2071116"/>
                </a:lnTo>
                <a:lnTo>
                  <a:pt x="5657088" y="1865376"/>
                </a:lnTo>
                <a:close/>
              </a:path>
              <a:path w="7315200" h="2484120">
                <a:moveTo>
                  <a:pt x="5657088" y="1658112"/>
                </a:moveTo>
                <a:lnTo>
                  <a:pt x="4831080" y="1658112"/>
                </a:lnTo>
                <a:lnTo>
                  <a:pt x="4831080" y="1862328"/>
                </a:lnTo>
                <a:lnTo>
                  <a:pt x="5657088" y="1862328"/>
                </a:lnTo>
                <a:lnTo>
                  <a:pt x="5657088" y="1658112"/>
                </a:lnTo>
                <a:close/>
              </a:path>
              <a:path w="7315200" h="2484120">
                <a:moveTo>
                  <a:pt x="5657088" y="1450848"/>
                </a:moveTo>
                <a:lnTo>
                  <a:pt x="4831080" y="1450848"/>
                </a:lnTo>
                <a:lnTo>
                  <a:pt x="4831080" y="1655064"/>
                </a:lnTo>
                <a:lnTo>
                  <a:pt x="5657088" y="1655064"/>
                </a:lnTo>
                <a:lnTo>
                  <a:pt x="5657088" y="1450848"/>
                </a:lnTo>
                <a:close/>
              </a:path>
              <a:path w="7315200" h="2484120">
                <a:moveTo>
                  <a:pt x="5657088" y="1245108"/>
                </a:moveTo>
                <a:lnTo>
                  <a:pt x="4831080" y="1245108"/>
                </a:lnTo>
                <a:lnTo>
                  <a:pt x="4831080" y="1447800"/>
                </a:lnTo>
                <a:lnTo>
                  <a:pt x="5657088" y="1447800"/>
                </a:lnTo>
                <a:lnTo>
                  <a:pt x="5657088" y="1245108"/>
                </a:lnTo>
                <a:close/>
              </a:path>
              <a:path w="7315200" h="2484120">
                <a:moveTo>
                  <a:pt x="5657088" y="1037844"/>
                </a:moveTo>
                <a:lnTo>
                  <a:pt x="4831080" y="1037844"/>
                </a:lnTo>
                <a:lnTo>
                  <a:pt x="4831080" y="1242060"/>
                </a:lnTo>
                <a:lnTo>
                  <a:pt x="5657088" y="1242060"/>
                </a:lnTo>
                <a:lnTo>
                  <a:pt x="5657088" y="1037844"/>
                </a:lnTo>
                <a:close/>
              </a:path>
              <a:path w="7315200" h="2484120">
                <a:moveTo>
                  <a:pt x="5657088" y="830580"/>
                </a:moveTo>
                <a:lnTo>
                  <a:pt x="4831080" y="830580"/>
                </a:lnTo>
                <a:lnTo>
                  <a:pt x="4831080" y="1034796"/>
                </a:lnTo>
                <a:lnTo>
                  <a:pt x="5657088" y="1034796"/>
                </a:lnTo>
                <a:lnTo>
                  <a:pt x="5657088" y="830580"/>
                </a:lnTo>
                <a:close/>
              </a:path>
              <a:path w="7315200" h="2484120">
                <a:moveTo>
                  <a:pt x="5657088" y="414528"/>
                </a:moveTo>
                <a:lnTo>
                  <a:pt x="4831080" y="414528"/>
                </a:lnTo>
                <a:lnTo>
                  <a:pt x="4831080" y="827532"/>
                </a:lnTo>
                <a:lnTo>
                  <a:pt x="5657088" y="827532"/>
                </a:lnTo>
                <a:lnTo>
                  <a:pt x="5657088" y="414528"/>
                </a:lnTo>
                <a:close/>
              </a:path>
              <a:path w="7315200" h="2484120">
                <a:moveTo>
                  <a:pt x="5657088" y="0"/>
                </a:moveTo>
                <a:lnTo>
                  <a:pt x="4831080" y="0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0"/>
                </a:lnTo>
                <a:close/>
              </a:path>
              <a:path w="7315200" h="2484120">
                <a:moveTo>
                  <a:pt x="6486144" y="2281428"/>
                </a:moveTo>
                <a:lnTo>
                  <a:pt x="5660136" y="2281428"/>
                </a:lnTo>
                <a:lnTo>
                  <a:pt x="5660136" y="2484120"/>
                </a:lnTo>
                <a:lnTo>
                  <a:pt x="6486144" y="2484120"/>
                </a:lnTo>
                <a:lnTo>
                  <a:pt x="6486144" y="2281428"/>
                </a:lnTo>
                <a:close/>
              </a:path>
              <a:path w="7315200" h="2484120">
                <a:moveTo>
                  <a:pt x="6486144" y="2074164"/>
                </a:moveTo>
                <a:lnTo>
                  <a:pt x="5660136" y="2074164"/>
                </a:lnTo>
                <a:lnTo>
                  <a:pt x="5660136" y="2278380"/>
                </a:lnTo>
                <a:lnTo>
                  <a:pt x="6486144" y="2278380"/>
                </a:lnTo>
                <a:lnTo>
                  <a:pt x="6486144" y="2074164"/>
                </a:lnTo>
                <a:close/>
              </a:path>
              <a:path w="7315200" h="2484120">
                <a:moveTo>
                  <a:pt x="6486144" y="1865376"/>
                </a:moveTo>
                <a:lnTo>
                  <a:pt x="5660136" y="1865376"/>
                </a:lnTo>
                <a:lnTo>
                  <a:pt x="5660136" y="2071116"/>
                </a:lnTo>
                <a:lnTo>
                  <a:pt x="6486144" y="2071116"/>
                </a:lnTo>
                <a:lnTo>
                  <a:pt x="6486144" y="1865376"/>
                </a:lnTo>
                <a:close/>
              </a:path>
              <a:path w="7315200" h="2484120">
                <a:moveTo>
                  <a:pt x="6486144" y="1658112"/>
                </a:moveTo>
                <a:lnTo>
                  <a:pt x="5660136" y="1658112"/>
                </a:lnTo>
                <a:lnTo>
                  <a:pt x="5660136" y="1862328"/>
                </a:lnTo>
                <a:lnTo>
                  <a:pt x="6486144" y="1862328"/>
                </a:lnTo>
                <a:lnTo>
                  <a:pt x="6486144" y="1658112"/>
                </a:lnTo>
                <a:close/>
              </a:path>
              <a:path w="7315200" h="2484120">
                <a:moveTo>
                  <a:pt x="6486144" y="1450848"/>
                </a:moveTo>
                <a:lnTo>
                  <a:pt x="5660136" y="1450848"/>
                </a:lnTo>
                <a:lnTo>
                  <a:pt x="5660136" y="1655064"/>
                </a:lnTo>
                <a:lnTo>
                  <a:pt x="6486144" y="1655064"/>
                </a:lnTo>
                <a:lnTo>
                  <a:pt x="6486144" y="1450848"/>
                </a:lnTo>
                <a:close/>
              </a:path>
              <a:path w="7315200" h="2484120">
                <a:moveTo>
                  <a:pt x="6486144" y="1245108"/>
                </a:moveTo>
                <a:lnTo>
                  <a:pt x="5660136" y="1245108"/>
                </a:lnTo>
                <a:lnTo>
                  <a:pt x="5660136" y="1447800"/>
                </a:lnTo>
                <a:lnTo>
                  <a:pt x="6486144" y="1447800"/>
                </a:lnTo>
                <a:lnTo>
                  <a:pt x="6486144" y="1245108"/>
                </a:lnTo>
                <a:close/>
              </a:path>
              <a:path w="7315200" h="2484120">
                <a:moveTo>
                  <a:pt x="6486144" y="1037844"/>
                </a:moveTo>
                <a:lnTo>
                  <a:pt x="5660136" y="1037844"/>
                </a:lnTo>
                <a:lnTo>
                  <a:pt x="5660136" y="1242060"/>
                </a:lnTo>
                <a:lnTo>
                  <a:pt x="6486144" y="1242060"/>
                </a:lnTo>
                <a:lnTo>
                  <a:pt x="6486144" y="1037844"/>
                </a:lnTo>
                <a:close/>
              </a:path>
              <a:path w="7315200" h="2484120">
                <a:moveTo>
                  <a:pt x="6486144" y="830580"/>
                </a:moveTo>
                <a:lnTo>
                  <a:pt x="5660136" y="830580"/>
                </a:lnTo>
                <a:lnTo>
                  <a:pt x="5660136" y="1034796"/>
                </a:lnTo>
                <a:lnTo>
                  <a:pt x="6486144" y="1034796"/>
                </a:lnTo>
                <a:lnTo>
                  <a:pt x="6486144" y="830580"/>
                </a:lnTo>
                <a:close/>
              </a:path>
              <a:path w="7315200" h="2484120">
                <a:moveTo>
                  <a:pt x="6486144" y="414528"/>
                </a:moveTo>
                <a:lnTo>
                  <a:pt x="5660136" y="414528"/>
                </a:lnTo>
                <a:lnTo>
                  <a:pt x="5660136" y="827532"/>
                </a:lnTo>
                <a:lnTo>
                  <a:pt x="6486144" y="827532"/>
                </a:lnTo>
                <a:lnTo>
                  <a:pt x="6486144" y="414528"/>
                </a:lnTo>
                <a:close/>
              </a:path>
              <a:path w="7315200" h="2484120">
                <a:moveTo>
                  <a:pt x="6486144" y="0"/>
                </a:moveTo>
                <a:lnTo>
                  <a:pt x="5660136" y="0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0"/>
                </a:lnTo>
                <a:close/>
              </a:path>
              <a:path w="7315200" h="2484120">
                <a:moveTo>
                  <a:pt x="7315200" y="2074164"/>
                </a:moveTo>
                <a:lnTo>
                  <a:pt x="6489192" y="2074164"/>
                </a:lnTo>
                <a:lnTo>
                  <a:pt x="6489192" y="2278380"/>
                </a:lnTo>
                <a:lnTo>
                  <a:pt x="7315200" y="2278380"/>
                </a:lnTo>
                <a:lnTo>
                  <a:pt x="7315200" y="2074164"/>
                </a:lnTo>
                <a:close/>
              </a:path>
              <a:path w="7315200" h="2484120">
                <a:moveTo>
                  <a:pt x="7315200" y="1865376"/>
                </a:moveTo>
                <a:lnTo>
                  <a:pt x="6489192" y="1865376"/>
                </a:lnTo>
                <a:lnTo>
                  <a:pt x="6489192" y="2071116"/>
                </a:lnTo>
                <a:lnTo>
                  <a:pt x="7315200" y="2071116"/>
                </a:lnTo>
                <a:lnTo>
                  <a:pt x="7315200" y="1865376"/>
                </a:lnTo>
                <a:close/>
              </a:path>
              <a:path w="7315200" h="2484120">
                <a:moveTo>
                  <a:pt x="7315200" y="1658112"/>
                </a:moveTo>
                <a:lnTo>
                  <a:pt x="6489192" y="1658112"/>
                </a:lnTo>
                <a:lnTo>
                  <a:pt x="6489192" y="1862328"/>
                </a:lnTo>
                <a:lnTo>
                  <a:pt x="7315200" y="1862328"/>
                </a:lnTo>
                <a:lnTo>
                  <a:pt x="7315200" y="1658112"/>
                </a:lnTo>
                <a:close/>
              </a:path>
              <a:path w="7315200" h="2484120">
                <a:moveTo>
                  <a:pt x="7315200" y="1450848"/>
                </a:moveTo>
                <a:lnTo>
                  <a:pt x="6489192" y="1450848"/>
                </a:lnTo>
                <a:lnTo>
                  <a:pt x="6489192" y="1655064"/>
                </a:lnTo>
                <a:lnTo>
                  <a:pt x="7315200" y="1655064"/>
                </a:lnTo>
                <a:lnTo>
                  <a:pt x="7315200" y="1450848"/>
                </a:lnTo>
                <a:close/>
              </a:path>
              <a:path w="7315200" h="2484120">
                <a:moveTo>
                  <a:pt x="7315200" y="1245108"/>
                </a:moveTo>
                <a:lnTo>
                  <a:pt x="6489192" y="1245108"/>
                </a:lnTo>
                <a:lnTo>
                  <a:pt x="6489192" y="1447800"/>
                </a:lnTo>
                <a:lnTo>
                  <a:pt x="7315200" y="1447800"/>
                </a:lnTo>
                <a:lnTo>
                  <a:pt x="7315200" y="1245108"/>
                </a:lnTo>
                <a:close/>
              </a:path>
              <a:path w="7315200" h="2484120">
                <a:moveTo>
                  <a:pt x="7315200" y="1037844"/>
                </a:moveTo>
                <a:lnTo>
                  <a:pt x="6489192" y="1037844"/>
                </a:lnTo>
                <a:lnTo>
                  <a:pt x="6489192" y="1242060"/>
                </a:lnTo>
                <a:lnTo>
                  <a:pt x="7315200" y="1242060"/>
                </a:lnTo>
                <a:lnTo>
                  <a:pt x="7315200" y="1037844"/>
                </a:lnTo>
                <a:close/>
              </a:path>
              <a:path w="7315200" h="2484120">
                <a:moveTo>
                  <a:pt x="7315200" y="830580"/>
                </a:moveTo>
                <a:lnTo>
                  <a:pt x="6489192" y="830580"/>
                </a:lnTo>
                <a:lnTo>
                  <a:pt x="6489192" y="1034796"/>
                </a:lnTo>
                <a:lnTo>
                  <a:pt x="7315200" y="1034796"/>
                </a:lnTo>
                <a:lnTo>
                  <a:pt x="7315200" y="830580"/>
                </a:lnTo>
                <a:close/>
              </a:path>
              <a:path w="7315200" h="2484120">
                <a:moveTo>
                  <a:pt x="7315200" y="414528"/>
                </a:moveTo>
                <a:lnTo>
                  <a:pt x="6489192" y="414528"/>
                </a:lnTo>
                <a:lnTo>
                  <a:pt x="6489192" y="827532"/>
                </a:lnTo>
                <a:lnTo>
                  <a:pt x="7315200" y="827532"/>
                </a:lnTo>
                <a:lnTo>
                  <a:pt x="7315200" y="414528"/>
                </a:lnTo>
                <a:close/>
              </a:path>
              <a:path w="7315200" h="2484120">
                <a:moveTo>
                  <a:pt x="7315200" y="0"/>
                </a:moveTo>
                <a:lnTo>
                  <a:pt x="6489192" y="0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400-000032000000}"/>
              </a:ext>
            </a:extLst>
          </xdr:cNvPr>
          <xdr:cNvSpPr/>
        </xdr:nvSpPr>
        <xdr:spPr>
          <a:xfrm>
            <a:off x="0" y="2074163"/>
            <a:ext cx="7315200" cy="1859280"/>
          </a:xfrm>
          <a:custGeom>
            <a:avLst/>
            <a:gdLst/>
            <a:ahLst/>
            <a:cxnLst/>
            <a:rect l="0" t="0" r="0" b="0"/>
            <a:pathLst>
              <a:path w="7315200" h="1859280">
                <a:moveTo>
                  <a:pt x="339852" y="1033272"/>
                </a:moveTo>
                <a:lnTo>
                  <a:pt x="0" y="1033272"/>
                </a:lnTo>
                <a:lnTo>
                  <a:pt x="0" y="1859280"/>
                </a:lnTo>
                <a:lnTo>
                  <a:pt x="339852" y="1859280"/>
                </a:lnTo>
                <a:lnTo>
                  <a:pt x="339852" y="1033272"/>
                </a:lnTo>
                <a:close/>
              </a:path>
              <a:path w="7315200" h="1859280">
                <a:moveTo>
                  <a:pt x="339852" y="0"/>
                </a:moveTo>
                <a:lnTo>
                  <a:pt x="0" y="0"/>
                </a:lnTo>
                <a:lnTo>
                  <a:pt x="0" y="1031748"/>
                </a:lnTo>
                <a:lnTo>
                  <a:pt x="339852" y="1031748"/>
                </a:lnTo>
                <a:lnTo>
                  <a:pt x="339852" y="0"/>
                </a:lnTo>
                <a:close/>
              </a:path>
              <a:path w="7315200" h="1859280">
                <a:moveTo>
                  <a:pt x="1376172" y="1033272"/>
                </a:moveTo>
                <a:lnTo>
                  <a:pt x="342900" y="1033272"/>
                </a:lnTo>
                <a:lnTo>
                  <a:pt x="342900" y="1859280"/>
                </a:lnTo>
                <a:lnTo>
                  <a:pt x="1376172" y="1859280"/>
                </a:lnTo>
                <a:lnTo>
                  <a:pt x="1376172" y="1033272"/>
                </a:lnTo>
                <a:close/>
              </a:path>
              <a:path w="7315200" h="1859280">
                <a:moveTo>
                  <a:pt x="1376172" y="0"/>
                </a:moveTo>
                <a:lnTo>
                  <a:pt x="342900" y="0"/>
                </a:lnTo>
                <a:lnTo>
                  <a:pt x="342900" y="1031748"/>
                </a:lnTo>
                <a:lnTo>
                  <a:pt x="1376172" y="1031748"/>
                </a:lnTo>
                <a:lnTo>
                  <a:pt x="1376172" y="0"/>
                </a:lnTo>
                <a:close/>
              </a:path>
              <a:path w="7315200" h="1859280">
                <a:moveTo>
                  <a:pt x="2753868" y="1033272"/>
                </a:moveTo>
                <a:lnTo>
                  <a:pt x="1379220" y="1033272"/>
                </a:lnTo>
                <a:lnTo>
                  <a:pt x="1379220" y="1859280"/>
                </a:lnTo>
                <a:lnTo>
                  <a:pt x="2753868" y="1859280"/>
                </a:lnTo>
                <a:lnTo>
                  <a:pt x="2753868" y="1033272"/>
                </a:lnTo>
                <a:close/>
              </a:path>
              <a:path w="7315200" h="1859280">
                <a:moveTo>
                  <a:pt x="2753868" y="0"/>
                </a:moveTo>
                <a:lnTo>
                  <a:pt x="1379220" y="0"/>
                </a:lnTo>
                <a:lnTo>
                  <a:pt x="1379220" y="1031748"/>
                </a:lnTo>
                <a:lnTo>
                  <a:pt x="2753868" y="1031748"/>
                </a:lnTo>
                <a:lnTo>
                  <a:pt x="2753868" y="0"/>
                </a:lnTo>
                <a:close/>
              </a:path>
              <a:path w="7315200" h="1859280">
                <a:moveTo>
                  <a:pt x="3304032" y="1655064"/>
                </a:moveTo>
                <a:lnTo>
                  <a:pt x="2756916" y="1655064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5064"/>
                </a:lnTo>
                <a:close/>
              </a:path>
              <a:path w="7315200" h="1859280">
                <a:moveTo>
                  <a:pt x="3304032" y="1447800"/>
                </a:moveTo>
                <a:lnTo>
                  <a:pt x="2756916" y="1447800"/>
                </a:lnTo>
                <a:lnTo>
                  <a:pt x="2756916" y="1652016"/>
                </a:lnTo>
                <a:lnTo>
                  <a:pt x="3304032" y="1652016"/>
                </a:lnTo>
                <a:lnTo>
                  <a:pt x="3304032" y="1447800"/>
                </a:lnTo>
                <a:close/>
              </a:path>
              <a:path w="7315200" h="1859280">
                <a:moveTo>
                  <a:pt x="3304032" y="1240536"/>
                </a:moveTo>
                <a:lnTo>
                  <a:pt x="2756916" y="1240536"/>
                </a:lnTo>
                <a:lnTo>
                  <a:pt x="2756916" y="1444752"/>
                </a:lnTo>
                <a:lnTo>
                  <a:pt x="3304032" y="1444752"/>
                </a:lnTo>
                <a:lnTo>
                  <a:pt x="3304032" y="1240536"/>
                </a:lnTo>
                <a:close/>
              </a:path>
              <a:path w="7315200" h="1859280">
                <a:moveTo>
                  <a:pt x="3304032" y="1033272"/>
                </a:moveTo>
                <a:lnTo>
                  <a:pt x="2756916" y="1033272"/>
                </a:lnTo>
                <a:lnTo>
                  <a:pt x="2756916" y="1237488"/>
                </a:lnTo>
                <a:lnTo>
                  <a:pt x="3304032" y="1237488"/>
                </a:lnTo>
                <a:lnTo>
                  <a:pt x="3304032" y="1033272"/>
                </a:lnTo>
                <a:close/>
              </a:path>
              <a:path w="7315200" h="1859280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1859280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1859280">
                <a:moveTo>
                  <a:pt x="3304032" y="413004"/>
                </a:moveTo>
                <a:lnTo>
                  <a:pt x="2756916" y="413004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3004"/>
                </a:lnTo>
                <a:close/>
              </a:path>
              <a:path w="7315200" h="1859280">
                <a:moveTo>
                  <a:pt x="3998976" y="1655064"/>
                </a:moveTo>
                <a:lnTo>
                  <a:pt x="3307080" y="1655064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5064"/>
                </a:lnTo>
                <a:close/>
              </a:path>
              <a:path w="7315200" h="1859280">
                <a:moveTo>
                  <a:pt x="3998976" y="1447800"/>
                </a:moveTo>
                <a:lnTo>
                  <a:pt x="3307080" y="1447800"/>
                </a:lnTo>
                <a:lnTo>
                  <a:pt x="3307080" y="1652016"/>
                </a:lnTo>
                <a:lnTo>
                  <a:pt x="3998976" y="1652016"/>
                </a:lnTo>
                <a:lnTo>
                  <a:pt x="3998976" y="1447800"/>
                </a:lnTo>
                <a:close/>
              </a:path>
              <a:path w="7315200" h="1859280">
                <a:moveTo>
                  <a:pt x="3998976" y="1240536"/>
                </a:moveTo>
                <a:lnTo>
                  <a:pt x="3307080" y="1240536"/>
                </a:lnTo>
                <a:lnTo>
                  <a:pt x="3307080" y="1444752"/>
                </a:lnTo>
                <a:lnTo>
                  <a:pt x="3998976" y="1444752"/>
                </a:lnTo>
                <a:lnTo>
                  <a:pt x="3998976" y="1240536"/>
                </a:lnTo>
                <a:close/>
              </a:path>
              <a:path w="7315200" h="1859280">
                <a:moveTo>
                  <a:pt x="3998976" y="1033272"/>
                </a:moveTo>
                <a:lnTo>
                  <a:pt x="3307080" y="1033272"/>
                </a:lnTo>
                <a:lnTo>
                  <a:pt x="3307080" y="1237488"/>
                </a:lnTo>
                <a:lnTo>
                  <a:pt x="3998976" y="1237488"/>
                </a:lnTo>
                <a:lnTo>
                  <a:pt x="3998976" y="1033272"/>
                </a:lnTo>
                <a:close/>
              </a:path>
              <a:path w="7315200" h="1859280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1859280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1859280">
                <a:moveTo>
                  <a:pt x="3998976" y="413004"/>
                </a:moveTo>
                <a:lnTo>
                  <a:pt x="3307080" y="413004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3004"/>
                </a:lnTo>
                <a:close/>
              </a:path>
              <a:path w="7315200" h="1859280">
                <a:moveTo>
                  <a:pt x="4828032" y="1655064"/>
                </a:moveTo>
                <a:lnTo>
                  <a:pt x="4002024" y="1655064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5064"/>
                </a:lnTo>
                <a:close/>
              </a:path>
              <a:path w="7315200" h="1859280">
                <a:moveTo>
                  <a:pt x="4828032" y="1447800"/>
                </a:moveTo>
                <a:lnTo>
                  <a:pt x="4002024" y="1447800"/>
                </a:lnTo>
                <a:lnTo>
                  <a:pt x="4002024" y="1652016"/>
                </a:lnTo>
                <a:lnTo>
                  <a:pt x="4828032" y="1652016"/>
                </a:lnTo>
                <a:lnTo>
                  <a:pt x="4828032" y="1447800"/>
                </a:lnTo>
                <a:close/>
              </a:path>
              <a:path w="7315200" h="1859280">
                <a:moveTo>
                  <a:pt x="4828032" y="1240536"/>
                </a:moveTo>
                <a:lnTo>
                  <a:pt x="4002024" y="1240536"/>
                </a:lnTo>
                <a:lnTo>
                  <a:pt x="4002024" y="1444752"/>
                </a:lnTo>
                <a:lnTo>
                  <a:pt x="4828032" y="1444752"/>
                </a:lnTo>
                <a:lnTo>
                  <a:pt x="4828032" y="1240536"/>
                </a:lnTo>
                <a:close/>
              </a:path>
              <a:path w="7315200" h="1859280">
                <a:moveTo>
                  <a:pt x="4828032" y="1033272"/>
                </a:moveTo>
                <a:lnTo>
                  <a:pt x="4002024" y="1033272"/>
                </a:lnTo>
                <a:lnTo>
                  <a:pt x="4002024" y="1237488"/>
                </a:lnTo>
                <a:lnTo>
                  <a:pt x="4828032" y="1237488"/>
                </a:lnTo>
                <a:lnTo>
                  <a:pt x="4828032" y="1033272"/>
                </a:lnTo>
                <a:close/>
              </a:path>
              <a:path w="7315200" h="1859280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1859280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1859280">
                <a:moveTo>
                  <a:pt x="4828032" y="413004"/>
                </a:moveTo>
                <a:lnTo>
                  <a:pt x="4002024" y="413004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3004"/>
                </a:lnTo>
                <a:close/>
              </a:path>
              <a:path w="7315200" h="1859280">
                <a:moveTo>
                  <a:pt x="5657088" y="1655064"/>
                </a:moveTo>
                <a:lnTo>
                  <a:pt x="4831080" y="1655064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5064"/>
                </a:lnTo>
                <a:close/>
              </a:path>
              <a:path w="7315200" h="1859280">
                <a:moveTo>
                  <a:pt x="5657088" y="1447800"/>
                </a:moveTo>
                <a:lnTo>
                  <a:pt x="4831080" y="1447800"/>
                </a:lnTo>
                <a:lnTo>
                  <a:pt x="4831080" y="1652016"/>
                </a:lnTo>
                <a:lnTo>
                  <a:pt x="5657088" y="1652016"/>
                </a:lnTo>
                <a:lnTo>
                  <a:pt x="5657088" y="1447800"/>
                </a:lnTo>
                <a:close/>
              </a:path>
              <a:path w="7315200" h="1859280">
                <a:moveTo>
                  <a:pt x="5657088" y="1240536"/>
                </a:moveTo>
                <a:lnTo>
                  <a:pt x="4831080" y="1240536"/>
                </a:lnTo>
                <a:lnTo>
                  <a:pt x="4831080" y="1444752"/>
                </a:lnTo>
                <a:lnTo>
                  <a:pt x="5657088" y="1444752"/>
                </a:lnTo>
                <a:lnTo>
                  <a:pt x="5657088" y="1240536"/>
                </a:lnTo>
                <a:close/>
              </a:path>
              <a:path w="7315200" h="1859280">
                <a:moveTo>
                  <a:pt x="5657088" y="1033272"/>
                </a:moveTo>
                <a:lnTo>
                  <a:pt x="4831080" y="1033272"/>
                </a:lnTo>
                <a:lnTo>
                  <a:pt x="4831080" y="1237488"/>
                </a:lnTo>
                <a:lnTo>
                  <a:pt x="5657088" y="1237488"/>
                </a:lnTo>
                <a:lnTo>
                  <a:pt x="5657088" y="1033272"/>
                </a:lnTo>
                <a:close/>
              </a:path>
              <a:path w="7315200" h="1859280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1859280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1859280">
                <a:moveTo>
                  <a:pt x="5657088" y="413004"/>
                </a:moveTo>
                <a:lnTo>
                  <a:pt x="4831080" y="413004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3004"/>
                </a:lnTo>
                <a:close/>
              </a:path>
              <a:path w="7315200" h="1859280">
                <a:moveTo>
                  <a:pt x="6486144" y="1655064"/>
                </a:moveTo>
                <a:lnTo>
                  <a:pt x="5660136" y="1655064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5064"/>
                </a:lnTo>
                <a:close/>
              </a:path>
              <a:path w="7315200" h="1859280">
                <a:moveTo>
                  <a:pt x="6486144" y="1447800"/>
                </a:moveTo>
                <a:lnTo>
                  <a:pt x="5660136" y="1447800"/>
                </a:lnTo>
                <a:lnTo>
                  <a:pt x="5660136" y="1652016"/>
                </a:lnTo>
                <a:lnTo>
                  <a:pt x="6486144" y="1652016"/>
                </a:lnTo>
                <a:lnTo>
                  <a:pt x="6486144" y="1447800"/>
                </a:lnTo>
                <a:close/>
              </a:path>
              <a:path w="7315200" h="1859280">
                <a:moveTo>
                  <a:pt x="6486144" y="1240536"/>
                </a:moveTo>
                <a:lnTo>
                  <a:pt x="5660136" y="1240536"/>
                </a:lnTo>
                <a:lnTo>
                  <a:pt x="5660136" y="1444752"/>
                </a:lnTo>
                <a:lnTo>
                  <a:pt x="6486144" y="1444752"/>
                </a:lnTo>
                <a:lnTo>
                  <a:pt x="6486144" y="1240536"/>
                </a:lnTo>
                <a:close/>
              </a:path>
              <a:path w="7315200" h="1859280">
                <a:moveTo>
                  <a:pt x="6486144" y="1033272"/>
                </a:moveTo>
                <a:lnTo>
                  <a:pt x="5660136" y="1033272"/>
                </a:lnTo>
                <a:lnTo>
                  <a:pt x="5660136" y="1237488"/>
                </a:lnTo>
                <a:lnTo>
                  <a:pt x="6486144" y="1237488"/>
                </a:lnTo>
                <a:lnTo>
                  <a:pt x="6486144" y="1033272"/>
                </a:lnTo>
                <a:close/>
              </a:path>
              <a:path w="7315200" h="1859280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1859280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1859280">
                <a:moveTo>
                  <a:pt x="6486144" y="413004"/>
                </a:moveTo>
                <a:lnTo>
                  <a:pt x="5660136" y="413004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3004"/>
                </a:lnTo>
                <a:close/>
              </a:path>
              <a:path w="7315200" h="1859280">
                <a:moveTo>
                  <a:pt x="6486144" y="207264"/>
                </a:moveTo>
                <a:lnTo>
                  <a:pt x="5660136" y="207264"/>
                </a:lnTo>
                <a:lnTo>
                  <a:pt x="5660136" y="409956"/>
                </a:lnTo>
                <a:lnTo>
                  <a:pt x="6486144" y="409956"/>
                </a:lnTo>
                <a:lnTo>
                  <a:pt x="6486144" y="207264"/>
                </a:lnTo>
                <a:close/>
              </a:path>
              <a:path w="7315200" h="1859280">
                <a:moveTo>
                  <a:pt x="7315200" y="1655064"/>
                </a:moveTo>
                <a:lnTo>
                  <a:pt x="6489192" y="1655064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5064"/>
                </a:lnTo>
                <a:close/>
              </a:path>
              <a:path w="7315200" h="1859280">
                <a:moveTo>
                  <a:pt x="7315200" y="1447800"/>
                </a:moveTo>
                <a:lnTo>
                  <a:pt x="6489192" y="1447800"/>
                </a:lnTo>
                <a:lnTo>
                  <a:pt x="6489192" y="1652016"/>
                </a:lnTo>
                <a:lnTo>
                  <a:pt x="7315200" y="1652016"/>
                </a:lnTo>
                <a:lnTo>
                  <a:pt x="7315200" y="1447800"/>
                </a:lnTo>
                <a:close/>
              </a:path>
              <a:path w="7315200" h="1859280">
                <a:moveTo>
                  <a:pt x="7315200" y="1240536"/>
                </a:moveTo>
                <a:lnTo>
                  <a:pt x="6489192" y="1240536"/>
                </a:lnTo>
                <a:lnTo>
                  <a:pt x="6489192" y="1444752"/>
                </a:lnTo>
                <a:lnTo>
                  <a:pt x="7315200" y="1444752"/>
                </a:lnTo>
                <a:lnTo>
                  <a:pt x="7315200" y="1240536"/>
                </a:lnTo>
                <a:close/>
              </a:path>
              <a:path w="7315200" h="1859280">
                <a:moveTo>
                  <a:pt x="7315200" y="1033272"/>
                </a:moveTo>
                <a:lnTo>
                  <a:pt x="6489192" y="1033272"/>
                </a:lnTo>
                <a:lnTo>
                  <a:pt x="6489192" y="1237488"/>
                </a:lnTo>
                <a:lnTo>
                  <a:pt x="7315200" y="1237488"/>
                </a:lnTo>
                <a:lnTo>
                  <a:pt x="7315200" y="1033272"/>
                </a:lnTo>
                <a:close/>
              </a:path>
              <a:path w="7315200" h="1859280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1859280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1859280">
                <a:moveTo>
                  <a:pt x="7315200" y="413004"/>
                </a:moveTo>
                <a:lnTo>
                  <a:pt x="6489192" y="413004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3004"/>
                </a:lnTo>
                <a:close/>
              </a:path>
              <a:path w="7315200" h="1859280">
                <a:moveTo>
                  <a:pt x="7315200" y="207264"/>
                </a:moveTo>
                <a:lnTo>
                  <a:pt x="6489192" y="207264"/>
                </a:lnTo>
                <a:lnTo>
                  <a:pt x="6489192" y="409956"/>
                </a:lnTo>
                <a:lnTo>
                  <a:pt x="7315200" y="409956"/>
                </a:lnTo>
                <a:lnTo>
                  <a:pt x="7315200" y="207264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23</xdr:row>
      <xdr:rowOff>0</xdr:rowOff>
    </xdr:from>
    <xdr:ext cx="702945" cy="3933825"/>
    <xdr:sp macro="" textlink="">
      <xdr:nvSpPr>
        <xdr:cNvPr id="51" name="Shape 51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0" y="0"/>
          <a:ext cx="702945" cy="3933825"/>
        </a:xfrm>
        <a:custGeom>
          <a:avLst/>
          <a:gdLst/>
          <a:ahLst/>
          <a:cxnLst/>
          <a:rect l="0" t="0" r="0" b="0"/>
          <a:pathLst>
            <a:path w="702945" h="3933825">
              <a:moveTo>
                <a:pt x="702564" y="3729228"/>
              </a:moveTo>
              <a:lnTo>
                <a:pt x="0" y="3729228"/>
              </a:lnTo>
              <a:lnTo>
                <a:pt x="0" y="3933444"/>
              </a:lnTo>
              <a:lnTo>
                <a:pt x="702564" y="3933444"/>
              </a:lnTo>
              <a:lnTo>
                <a:pt x="702564" y="3729228"/>
              </a:lnTo>
              <a:close/>
            </a:path>
            <a:path w="702945" h="3933825">
              <a:moveTo>
                <a:pt x="702564" y="3521964"/>
              </a:moveTo>
              <a:lnTo>
                <a:pt x="0" y="3521964"/>
              </a:lnTo>
              <a:lnTo>
                <a:pt x="0" y="3726180"/>
              </a:lnTo>
              <a:lnTo>
                <a:pt x="702564" y="3726180"/>
              </a:lnTo>
              <a:lnTo>
                <a:pt x="702564" y="3521964"/>
              </a:lnTo>
              <a:close/>
            </a:path>
            <a:path w="702945" h="3933825">
              <a:moveTo>
                <a:pt x="702564" y="3314700"/>
              </a:moveTo>
              <a:lnTo>
                <a:pt x="0" y="3314700"/>
              </a:lnTo>
              <a:lnTo>
                <a:pt x="0" y="3518916"/>
              </a:lnTo>
              <a:lnTo>
                <a:pt x="702564" y="3518916"/>
              </a:lnTo>
              <a:lnTo>
                <a:pt x="702564" y="3314700"/>
              </a:lnTo>
              <a:close/>
            </a:path>
            <a:path w="702945" h="3933825">
              <a:moveTo>
                <a:pt x="702564" y="3107436"/>
              </a:moveTo>
              <a:lnTo>
                <a:pt x="0" y="3107436"/>
              </a:lnTo>
              <a:lnTo>
                <a:pt x="0" y="3311652"/>
              </a:lnTo>
              <a:lnTo>
                <a:pt x="702564" y="3311652"/>
              </a:lnTo>
              <a:lnTo>
                <a:pt x="702564" y="3107436"/>
              </a:lnTo>
              <a:close/>
            </a:path>
            <a:path w="702945" h="3933825">
              <a:moveTo>
                <a:pt x="702564" y="2901696"/>
              </a:moveTo>
              <a:lnTo>
                <a:pt x="0" y="2901696"/>
              </a:lnTo>
              <a:lnTo>
                <a:pt x="0" y="3105912"/>
              </a:lnTo>
              <a:lnTo>
                <a:pt x="702564" y="3105912"/>
              </a:lnTo>
              <a:lnTo>
                <a:pt x="702564" y="2901696"/>
              </a:lnTo>
              <a:close/>
            </a:path>
            <a:path w="702945" h="3933825">
              <a:moveTo>
                <a:pt x="702564" y="2694432"/>
              </a:moveTo>
              <a:lnTo>
                <a:pt x="0" y="2694432"/>
              </a:lnTo>
              <a:lnTo>
                <a:pt x="0" y="2898648"/>
              </a:lnTo>
              <a:lnTo>
                <a:pt x="702564" y="2898648"/>
              </a:lnTo>
              <a:lnTo>
                <a:pt x="702564" y="2694432"/>
              </a:lnTo>
              <a:close/>
            </a:path>
            <a:path w="702945" h="3933825">
              <a:moveTo>
                <a:pt x="702564" y="2487168"/>
              </a:moveTo>
              <a:lnTo>
                <a:pt x="0" y="2487168"/>
              </a:lnTo>
              <a:lnTo>
                <a:pt x="0" y="2691384"/>
              </a:lnTo>
              <a:lnTo>
                <a:pt x="702564" y="2691384"/>
              </a:lnTo>
              <a:lnTo>
                <a:pt x="702564" y="2487168"/>
              </a:lnTo>
              <a:close/>
            </a:path>
            <a:path w="702945" h="3933825">
              <a:moveTo>
                <a:pt x="702564" y="2281428"/>
              </a:moveTo>
              <a:lnTo>
                <a:pt x="0" y="2281428"/>
              </a:lnTo>
              <a:lnTo>
                <a:pt x="0" y="2484120"/>
              </a:lnTo>
              <a:lnTo>
                <a:pt x="702564" y="2484120"/>
              </a:lnTo>
              <a:lnTo>
                <a:pt x="702564" y="2281428"/>
              </a:lnTo>
              <a:close/>
            </a:path>
            <a:path w="702945" h="3933825">
              <a:moveTo>
                <a:pt x="702564" y="2074164"/>
              </a:moveTo>
              <a:lnTo>
                <a:pt x="0" y="2074164"/>
              </a:lnTo>
              <a:lnTo>
                <a:pt x="0" y="2278380"/>
              </a:lnTo>
              <a:lnTo>
                <a:pt x="702564" y="2278380"/>
              </a:lnTo>
              <a:lnTo>
                <a:pt x="702564" y="2074164"/>
              </a:lnTo>
              <a:close/>
            </a:path>
            <a:path w="702945" h="3933825">
              <a:moveTo>
                <a:pt x="702564" y="1865376"/>
              </a:moveTo>
              <a:lnTo>
                <a:pt x="0" y="1865376"/>
              </a:lnTo>
              <a:lnTo>
                <a:pt x="0" y="2071116"/>
              </a:lnTo>
              <a:lnTo>
                <a:pt x="702564" y="2071116"/>
              </a:lnTo>
              <a:lnTo>
                <a:pt x="702564" y="1865376"/>
              </a:lnTo>
              <a:close/>
            </a:path>
            <a:path w="702945" h="3933825">
              <a:moveTo>
                <a:pt x="702564" y="1658112"/>
              </a:moveTo>
              <a:lnTo>
                <a:pt x="0" y="1658112"/>
              </a:lnTo>
              <a:lnTo>
                <a:pt x="0" y="1862328"/>
              </a:lnTo>
              <a:lnTo>
                <a:pt x="702564" y="1862328"/>
              </a:lnTo>
              <a:lnTo>
                <a:pt x="702564" y="1658112"/>
              </a:lnTo>
              <a:close/>
            </a:path>
            <a:path w="702945" h="3933825">
              <a:moveTo>
                <a:pt x="702564" y="1450848"/>
              </a:moveTo>
              <a:lnTo>
                <a:pt x="0" y="1450848"/>
              </a:lnTo>
              <a:lnTo>
                <a:pt x="0" y="1655064"/>
              </a:lnTo>
              <a:lnTo>
                <a:pt x="702564" y="1655064"/>
              </a:lnTo>
              <a:lnTo>
                <a:pt x="702564" y="1450848"/>
              </a:lnTo>
              <a:close/>
            </a:path>
            <a:path w="702945" h="3933825">
              <a:moveTo>
                <a:pt x="702564" y="1245108"/>
              </a:moveTo>
              <a:lnTo>
                <a:pt x="0" y="1245108"/>
              </a:lnTo>
              <a:lnTo>
                <a:pt x="0" y="1447800"/>
              </a:lnTo>
              <a:lnTo>
                <a:pt x="702564" y="1447800"/>
              </a:lnTo>
              <a:lnTo>
                <a:pt x="702564" y="1245108"/>
              </a:lnTo>
              <a:close/>
            </a:path>
            <a:path w="702945" h="3933825">
              <a:moveTo>
                <a:pt x="702564" y="1037844"/>
              </a:moveTo>
              <a:lnTo>
                <a:pt x="0" y="1037844"/>
              </a:lnTo>
              <a:lnTo>
                <a:pt x="0" y="1242060"/>
              </a:lnTo>
              <a:lnTo>
                <a:pt x="702564" y="1242060"/>
              </a:lnTo>
              <a:lnTo>
                <a:pt x="702564" y="1037844"/>
              </a:lnTo>
              <a:close/>
            </a:path>
            <a:path w="702945" h="3933825">
              <a:moveTo>
                <a:pt x="702564" y="830580"/>
              </a:moveTo>
              <a:lnTo>
                <a:pt x="0" y="830580"/>
              </a:lnTo>
              <a:lnTo>
                <a:pt x="0" y="1034796"/>
              </a:lnTo>
              <a:lnTo>
                <a:pt x="702564" y="1034796"/>
              </a:lnTo>
              <a:lnTo>
                <a:pt x="702564" y="830580"/>
              </a:lnTo>
              <a:close/>
            </a:path>
            <a:path w="702945" h="3933825">
              <a:moveTo>
                <a:pt x="702564" y="414528"/>
              </a:moveTo>
              <a:lnTo>
                <a:pt x="0" y="414528"/>
              </a:lnTo>
              <a:lnTo>
                <a:pt x="0" y="827532"/>
              </a:lnTo>
              <a:lnTo>
                <a:pt x="702564" y="827532"/>
              </a:lnTo>
              <a:lnTo>
                <a:pt x="702564" y="414528"/>
              </a:lnTo>
              <a:close/>
            </a:path>
            <a:path w="702945" h="3933825">
              <a:moveTo>
                <a:pt x="702564" y="0"/>
              </a:moveTo>
              <a:lnTo>
                <a:pt x="0" y="0"/>
              </a:lnTo>
              <a:lnTo>
                <a:pt x="0" y="411480"/>
              </a:lnTo>
              <a:lnTo>
                <a:pt x="702564" y="411480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22</xdr:row>
      <xdr:rowOff>205739</xdr:rowOff>
    </xdr:from>
    <xdr:ext cx="3313429" cy="375285"/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332219</xdr:colOff>
      <xdr:row>3</xdr:row>
      <xdr:rowOff>49142</xdr:rowOff>
    </xdr:from>
    <xdr:ext cx="193523" cy="290285"/>
    <xdr:pic>
      <xdr:nvPicPr>
        <xdr:cNvPr id="53" name="image1.jpeg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233934</xdr:colOff>
      <xdr:row>3</xdr:row>
      <xdr:rowOff>49142</xdr:rowOff>
    </xdr:from>
    <xdr:ext cx="381000" cy="290285"/>
    <xdr:pic>
      <xdr:nvPicPr>
        <xdr:cNvPr id="54" name="image2.jpeg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55" name="image3.jpeg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762</xdr:rowOff>
    </xdr:from>
    <xdr:ext cx="381000" cy="381000"/>
    <xdr:pic>
      <xdr:nvPicPr>
        <xdr:cNvPr id="56" name="image4.jpeg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198754</xdr:colOff>
      <xdr:row>24</xdr:row>
      <xdr:rowOff>0</xdr:rowOff>
    </xdr:from>
    <xdr:ext cx="7315200" cy="3929379"/>
    <xdr:grpSp>
      <xdr:nvGrpSpPr>
        <xdr:cNvPr id="57" name="Group 57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GrpSpPr/>
      </xdr:nvGrpSpPr>
      <xdr:grpSpPr>
        <a:xfrm>
          <a:off x="610234" y="5836920"/>
          <a:ext cx="7315200" cy="3929379"/>
          <a:chOff x="0" y="0"/>
          <a:chExt cx="7315200" cy="3929379"/>
        </a:xfrm>
      </xdr:grpSpPr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500-00003A000000}"/>
              </a:ext>
            </a:extLst>
          </xdr:cNvPr>
          <xdr:cNvSpPr/>
        </xdr:nvSpPr>
        <xdr:spPr>
          <a:xfrm>
            <a:off x="0" y="0"/>
            <a:ext cx="7315200" cy="2273935"/>
          </a:xfrm>
          <a:custGeom>
            <a:avLst/>
            <a:gdLst/>
            <a:ahLst/>
            <a:cxnLst/>
            <a:rect l="0" t="0" r="0" b="0"/>
            <a:pathLst>
              <a:path w="7315200" h="2273935">
                <a:moveTo>
                  <a:pt x="339852" y="620268"/>
                </a:moveTo>
                <a:lnTo>
                  <a:pt x="0" y="620268"/>
                </a:lnTo>
                <a:lnTo>
                  <a:pt x="0" y="1031748"/>
                </a:lnTo>
                <a:lnTo>
                  <a:pt x="339852" y="1031748"/>
                </a:lnTo>
                <a:lnTo>
                  <a:pt x="339852" y="620268"/>
                </a:lnTo>
                <a:close/>
              </a:path>
              <a:path w="7315200" h="2273935">
                <a:moveTo>
                  <a:pt x="339852" y="0"/>
                </a:moveTo>
                <a:lnTo>
                  <a:pt x="0" y="0"/>
                </a:lnTo>
                <a:lnTo>
                  <a:pt x="0" y="617220"/>
                </a:lnTo>
                <a:lnTo>
                  <a:pt x="339852" y="617220"/>
                </a:lnTo>
                <a:lnTo>
                  <a:pt x="339852" y="0"/>
                </a:lnTo>
                <a:close/>
              </a:path>
              <a:path w="7315200" h="2273935">
                <a:moveTo>
                  <a:pt x="1376172" y="620268"/>
                </a:moveTo>
                <a:lnTo>
                  <a:pt x="342900" y="620268"/>
                </a:lnTo>
                <a:lnTo>
                  <a:pt x="342900" y="1031748"/>
                </a:lnTo>
                <a:lnTo>
                  <a:pt x="1376172" y="1031748"/>
                </a:lnTo>
                <a:lnTo>
                  <a:pt x="1376172" y="620268"/>
                </a:lnTo>
                <a:close/>
              </a:path>
              <a:path w="7315200" h="2273935">
                <a:moveTo>
                  <a:pt x="1376172" y="0"/>
                </a:moveTo>
                <a:lnTo>
                  <a:pt x="342900" y="0"/>
                </a:lnTo>
                <a:lnTo>
                  <a:pt x="342900" y="617220"/>
                </a:lnTo>
                <a:lnTo>
                  <a:pt x="1376172" y="617220"/>
                </a:lnTo>
                <a:lnTo>
                  <a:pt x="1376172" y="0"/>
                </a:lnTo>
                <a:close/>
              </a:path>
              <a:path w="7315200" h="2273935">
                <a:moveTo>
                  <a:pt x="2753868" y="620268"/>
                </a:moveTo>
                <a:lnTo>
                  <a:pt x="1379220" y="620268"/>
                </a:lnTo>
                <a:lnTo>
                  <a:pt x="1379220" y="1031748"/>
                </a:lnTo>
                <a:lnTo>
                  <a:pt x="2753868" y="1031748"/>
                </a:lnTo>
                <a:lnTo>
                  <a:pt x="2753868" y="620268"/>
                </a:lnTo>
                <a:close/>
              </a:path>
              <a:path w="7315200" h="2273935">
                <a:moveTo>
                  <a:pt x="2753868" y="0"/>
                </a:moveTo>
                <a:lnTo>
                  <a:pt x="1379220" y="0"/>
                </a:lnTo>
                <a:lnTo>
                  <a:pt x="1379220" y="617220"/>
                </a:lnTo>
                <a:lnTo>
                  <a:pt x="2753868" y="617220"/>
                </a:lnTo>
                <a:lnTo>
                  <a:pt x="2753868" y="0"/>
                </a:lnTo>
                <a:close/>
              </a:path>
              <a:path w="7315200" h="2273935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273935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273935">
                <a:moveTo>
                  <a:pt x="3304032" y="1656588"/>
                </a:moveTo>
                <a:lnTo>
                  <a:pt x="2756916" y="1656588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6588"/>
                </a:lnTo>
                <a:close/>
              </a:path>
              <a:path w="7315200" h="2273935">
                <a:moveTo>
                  <a:pt x="3304032" y="1449324"/>
                </a:moveTo>
                <a:lnTo>
                  <a:pt x="2756916" y="1449324"/>
                </a:lnTo>
                <a:lnTo>
                  <a:pt x="2756916" y="1653540"/>
                </a:lnTo>
                <a:lnTo>
                  <a:pt x="3304032" y="1653540"/>
                </a:lnTo>
                <a:lnTo>
                  <a:pt x="3304032" y="1449324"/>
                </a:lnTo>
                <a:close/>
              </a:path>
              <a:path w="7315200" h="2273935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273935">
                <a:moveTo>
                  <a:pt x="3304032" y="1034796"/>
                </a:moveTo>
                <a:lnTo>
                  <a:pt x="2756916" y="1034796"/>
                </a:lnTo>
                <a:lnTo>
                  <a:pt x="2756916" y="1239012"/>
                </a:lnTo>
                <a:lnTo>
                  <a:pt x="3304032" y="1239012"/>
                </a:lnTo>
                <a:lnTo>
                  <a:pt x="3304032" y="1034796"/>
                </a:lnTo>
                <a:close/>
              </a:path>
              <a:path w="7315200" h="2273935">
                <a:moveTo>
                  <a:pt x="3304032" y="827532"/>
                </a:moveTo>
                <a:lnTo>
                  <a:pt x="2756916" y="827532"/>
                </a:lnTo>
                <a:lnTo>
                  <a:pt x="2756916" y="1031748"/>
                </a:lnTo>
                <a:lnTo>
                  <a:pt x="3304032" y="1031748"/>
                </a:lnTo>
                <a:lnTo>
                  <a:pt x="3304032" y="827532"/>
                </a:lnTo>
                <a:close/>
              </a:path>
              <a:path w="7315200" h="2273935">
                <a:moveTo>
                  <a:pt x="3304032" y="620268"/>
                </a:moveTo>
                <a:lnTo>
                  <a:pt x="2756916" y="620268"/>
                </a:lnTo>
                <a:lnTo>
                  <a:pt x="2756916" y="824484"/>
                </a:lnTo>
                <a:lnTo>
                  <a:pt x="3304032" y="824484"/>
                </a:lnTo>
                <a:lnTo>
                  <a:pt x="3304032" y="620268"/>
                </a:lnTo>
                <a:close/>
              </a:path>
              <a:path w="7315200" h="2273935">
                <a:moveTo>
                  <a:pt x="3304032" y="414528"/>
                </a:moveTo>
                <a:lnTo>
                  <a:pt x="2756916" y="414528"/>
                </a:lnTo>
                <a:lnTo>
                  <a:pt x="2756916" y="617220"/>
                </a:lnTo>
                <a:lnTo>
                  <a:pt x="3304032" y="617220"/>
                </a:lnTo>
                <a:lnTo>
                  <a:pt x="3304032" y="414528"/>
                </a:lnTo>
                <a:close/>
              </a:path>
              <a:path w="7315200" h="2273935">
                <a:moveTo>
                  <a:pt x="3304032" y="207264"/>
                </a:moveTo>
                <a:lnTo>
                  <a:pt x="2756916" y="207264"/>
                </a:lnTo>
                <a:lnTo>
                  <a:pt x="2756916" y="411480"/>
                </a:lnTo>
                <a:lnTo>
                  <a:pt x="3304032" y="411480"/>
                </a:lnTo>
                <a:lnTo>
                  <a:pt x="3304032" y="207264"/>
                </a:lnTo>
                <a:close/>
              </a:path>
              <a:path w="7315200" h="2273935">
                <a:moveTo>
                  <a:pt x="3304032" y="0"/>
                </a:moveTo>
                <a:lnTo>
                  <a:pt x="2756916" y="0"/>
                </a:lnTo>
                <a:lnTo>
                  <a:pt x="2756916" y="204216"/>
                </a:lnTo>
                <a:lnTo>
                  <a:pt x="3304032" y="204216"/>
                </a:lnTo>
                <a:lnTo>
                  <a:pt x="3304032" y="0"/>
                </a:lnTo>
                <a:close/>
              </a:path>
              <a:path w="7315200" h="2273935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273935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273935">
                <a:moveTo>
                  <a:pt x="3998976" y="1656588"/>
                </a:moveTo>
                <a:lnTo>
                  <a:pt x="3307080" y="1656588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6588"/>
                </a:lnTo>
                <a:close/>
              </a:path>
              <a:path w="7315200" h="2273935">
                <a:moveTo>
                  <a:pt x="3998976" y="1449324"/>
                </a:moveTo>
                <a:lnTo>
                  <a:pt x="3307080" y="1449324"/>
                </a:lnTo>
                <a:lnTo>
                  <a:pt x="3307080" y="1653540"/>
                </a:lnTo>
                <a:lnTo>
                  <a:pt x="3998976" y="1653540"/>
                </a:lnTo>
                <a:lnTo>
                  <a:pt x="3998976" y="1449324"/>
                </a:lnTo>
                <a:close/>
              </a:path>
              <a:path w="7315200" h="2273935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273935">
                <a:moveTo>
                  <a:pt x="3998976" y="1034796"/>
                </a:moveTo>
                <a:lnTo>
                  <a:pt x="3307080" y="1034796"/>
                </a:lnTo>
                <a:lnTo>
                  <a:pt x="3307080" y="1239012"/>
                </a:lnTo>
                <a:lnTo>
                  <a:pt x="3998976" y="1239012"/>
                </a:lnTo>
                <a:lnTo>
                  <a:pt x="3998976" y="1034796"/>
                </a:lnTo>
                <a:close/>
              </a:path>
              <a:path w="7315200" h="2273935">
                <a:moveTo>
                  <a:pt x="3998976" y="827532"/>
                </a:moveTo>
                <a:lnTo>
                  <a:pt x="3307080" y="827532"/>
                </a:lnTo>
                <a:lnTo>
                  <a:pt x="3307080" y="1031748"/>
                </a:lnTo>
                <a:lnTo>
                  <a:pt x="3998976" y="1031748"/>
                </a:lnTo>
                <a:lnTo>
                  <a:pt x="3998976" y="827532"/>
                </a:lnTo>
                <a:close/>
              </a:path>
              <a:path w="7315200" h="2273935">
                <a:moveTo>
                  <a:pt x="3998976" y="620268"/>
                </a:moveTo>
                <a:lnTo>
                  <a:pt x="3307080" y="620268"/>
                </a:lnTo>
                <a:lnTo>
                  <a:pt x="3307080" y="824484"/>
                </a:lnTo>
                <a:lnTo>
                  <a:pt x="3998976" y="824484"/>
                </a:lnTo>
                <a:lnTo>
                  <a:pt x="3998976" y="620268"/>
                </a:lnTo>
                <a:close/>
              </a:path>
              <a:path w="7315200" h="2273935">
                <a:moveTo>
                  <a:pt x="3998976" y="414528"/>
                </a:moveTo>
                <a:lnTo>
                  <a:pt x="3307080" y="414528"/>
                </a:lnTo>
                <a:lnTo>
                  <a:pt x="3307080" y="617220"/>
                </a:lnTo>
                <a:lnTo>
                  <a:pt x="3998976" y="617220"/>
                </a:lnTo>
                <a:lnTo>
                  <a:pt x="3998976" y="414528"/>
                </a:lnTo>
                <a:close/>
              </a:path>
              <a:path w="7315200" h="2273935">
                <a:moveTo>
                  <a:pt x="3998976" y="207264"/>
                </a:moveTo>
                <a:lnTo>
                  <a:pt x="3307080" y="207264"/>
                </a:lnTo>
                <a:lnTo>
                  <a:pt x="3307080" y="411480"/>
                </a:lnTo>
                <a:lnTo>
                  <a:pt x="3998976" y="411480"/>
                </a:lnTo>
                <a:lnTo>
                  <a:pt x="3998976" y="207264"/>
                </a:lnTo>
                <a:close/>
              </a:path>
              <a:path w="7315200" h="2273935">
                <a:moveTo>
                  <a:pt x="3998976" y="0"/>
                </a:moveTo>
                <a:lnTo>
                  <a:pt x="3307080" y="0"/>
                </a:lnTo>
                <a:lnTo>
                  <a:pt x="3307080" y="204216"/>
                </a:lnTo>
                <a:lnTo>
                  <a:pt x="3998976" y="204216"/>
                </a:lnTo>
                <a:lnTo>
                  <a:pt x="3998976" y="0"/>
                </a:lnTo>
                <a:close/>
              </a:path>
              <a:path w="7315200" h="2273935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273935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273935">
                <a:moveTo>
                  <a:pt x="4828032" y="1656588"/>
                </a:moveTo>
                <a:lnTo>
                  <a:pt x="4002024" y="1656588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6588"/>
                </a:lnTo>
                <a:close/>
              </a:path>
              <a:path w="7315200" h="2273935">
                <a:moveTo>
                  <a:pt x="4828032" y="1449324"/>
                </a:moveTo>
                <a:lnTo>
                  <a:pt x="4002024" y="1449324"/>
                </a:lnTo>
                <a:lnTo>
                  <a:pt x="4002024" y="1653540"/>
                </a:lnTo>
                <a:lnTo>
                  <a:pt x="4828032" y="1653540"/>
                </a:lnTo>
                <a:lnTo>
                  <a:pt x="4828032" y="1449324"/>
                </a:lnTo>
                <a:close/>
              </a:path>
              <a:path w="7315200" h="2273935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273935">
                <a:moveTo>
                  <a:pt x="4828032" y="1034796"/>
                </a:moveTo>
                <a:lnTo>
                  <a:pt x="4002024" y="1034796"/>
                </a:lnTo>
                <a:lnTo>
                  <a:pt x="4002024" y="1239012"/>
                </a:lnTo>
                <a:lnTo>
                  <a:pt x="4828032" y="1239012"/>
                </a:lnTo>
                <a:lnTo>
                  <a:pt x="4828032" y="1034796"/>
                </a:lnTo>
                <a:close/>
              </a:path>
              <a:path w="7315200" h="2273935">
                <a:moveTo>
                  <a:pt x="4828032" y="827532"/>
                </a:moveTo>
                <a:lnTo>
                  <a:pt x="4002024" y="827532"/>
                </a:lnTo>
                <a:lnTo>
                  <a:pt x="4002024" y="1031748"/>
                </a:lnTo>
                <a:lnTo>
                  <a:pt x="4828032" y="1031748"/>
                </a:lnTo>
                <a:lnTo>
                  <a:pt x="4828032" y="827532"/>
                </a:lnTo>
                <a:close/>
              </a:path>
              <a:path w="7315200" h="2273935">
                <a:moveTo>
                  <a:pt x="4828032" y="620268"/>
                </a:moveTo>
                <a:lnTo>
                  <a:pt x="4002024" y="620268"/>
                </a:lnTo>
                <a:lnTo>
                  <a:pt x="4002024" y="824484"/>
                </a:lnTo>
                <a:lnTo>
                  <a:pt x="4828032" y="824484"/>
                </a:lnTo>
                <a:lnTo>
                  <a:pt x="4828032" y="620268"/>
                </a:lnTo>
                <a:close/>
              </a:path>
              <a:path w="7315200" h="2273935">
                <a:moveTo>
                  <a:pt x="4828032" y="414528"/>
                </a:moveTo>
                <a:lnTo>
                  <a:pt x="4002024" y="414528"/>
                </a:lnTo>
                <a:lnTo>
                  <a:pt x="4002024" y="617220"/>
                </a:lnTo>
                <a:lnTo>
                  <a:pt x="4828032" y="617220"/>
                </a:lnTo>
                <a:lnTo>
                  <a:pt x="4828032" y="414528"/>
                </a:lnTo>
                <a:close/>
              </a:path>
              <a:path w="7315200" h="2273935">
                <a:moveTo>
                  <a:pt x="4828032" y="207264"/>
                </a:moveTo>
                <a:lnTo>
                  <a:pt x="4002024" y="207264"/>
                </a:lnTo>
                <a:lnTo>
                  <a:pt x="4002024" y="411480"/>
                </a:lnTo>
                <a:lnTo>
                  <a:pt x="4828032" y="411480"/>
                </a:lnTo>
                <a:lnTo>
                  <a:pt x="4828032" y="207264"/>
                </a:lnTo>
                <a:close/>
              </a:path>
              <a:path w="7315200" h="2273935">
                <a:moveTo>
                  <a:pt x="4828032" y="0"/>
                </a:moveTo>
                <a:lnTo>
                  <a:pt x="4002024" y="0"/>
                </a:lnTo>
                <a:lnTo>
                  <a:pt x="4002024" y="204216"/>
                </a:lnTo>
                <a:lnTo>
                  <a:pt x="4828032" y="204216"/>
                </a:lnTo>
                <a:lnTo>
                  <a:pt x="4828032" y="0"/>
                </a:lnTo>
                <a:close/>
              </a:path>
              <a:path w="7315200" h="2273935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273935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273935">
                <a:moveTo>
                  <a:pt x="5657088" y="1656588"/>
                </a:moveTo>
                <a:lnTo>
                  <a:pt x="4831080" y="1656588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6588"/>
                </a:lnTo>
                <a:close/>
              </a:path>
              <a:path w="7315200" h="2273935">
                <a:moveTo>
                  <a:pt x="5657088" y="1449324"/>
                </a:moveTo>
                <a:lnTo>
                  <a:pt x="4831080" y="1449324"/>
                </a:lnTo>
                <a:lnTo>
                  <a:pt x="4831080" y="1653540"/>
                </a:lnTo>
                <a:lnTo>
                  <a:pt x="5657088" y="1653540"/>
                </a:lnTo>
                <a:lnTo>
                  <a:pt x="5657088" y="1449324"/>
                </a:lnTo>
                <a:close/>
              </a:path>
              <a:path w="7315200" h="2273935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273935">
                <a:moveTo>
                  <a:pt x="5657088" y="1034796"/>
                </a:moveTo>
                <a:lnTo>
                  <a:pt x="4831080" y="1034796"/>
                </a:lnTo>
                <a:lnTo>
                  <a:pt x="4831080" y="1239012"/>
                </a:lnTo>
                <a:lnTo>
                  <a:pt x="5657088" y="1239012"/>
                </a:lnTo>
                <a:lnTo>
                  <a:pt x="5657088" y="1034796"/>
                </a:lnTo>
                <a:close/>
              </a:path>
              <a:path w="7315200" h="2273935">
                <a:moveTo>
                  <a:pt x="5657088" y="827532"/>
                </a:moveTo>
                <a:lnTo>
                  <a:pt x="4831080" y="827532"/>
                </a:lnTo>
                <a:lnTo>
                  <a:pt x="4831080" y="1031748"/>
                </a:lnTo>
                <a:lnTo>
                  <a:pt x="5657088" y="1031748"/>
                </a:lnTo>
                <a:lnTo>
                  <a:pt x="5657088" y="827532"/>
                </a:lnTo>
                <a:close/>
              </a:path>
              <a:path w="7315200" h="2273935">
                <a:moveTo>
                  <a:pt x="5657088" y="620268"/>
                </a:moveTo>
                <a:lnTo>
                  <a:pt x="4831080" y="620268"/>
                </a:lnTo>
                <a:lnTo>
                  <a:pt x="4831080" y="824484"/>
                </a:lnTo>
                <a:lnTo>
                  <a:pt x="5657088" y="824484"/>
                </a:lnTo>
                <a:lnTo>
                  <a:pt x="5657088" y="620268"/>
                </a:lnTo>
                <a:close/>
              </a:path>
              <a:path w="7315200" h="2273935">
                <a:moveTo>
                  <a:pt x="5657088" y="414528"/>
                </a:moveTo>
                <a:lnTo>
                  <a:pt x="4831080" y="414528"/>
                </a:lnTo>
                <a:lnTo>
                  <a:pt x="4831080" y="617220"/>
                </a:lnTo>
                <a:lnTo>
                  <a:pt x="5657088" y="617220"/>
                </a:lnTo>
                <a:lnTo>
                  <a:pt x="5657088" y="414528"/>
                </a:lnTo>
                <a:close/>
              </a:path>
              <a:path w="7315200" h="2273935">
                <a:moveTo>
                  <a:pt x="5657088" y="207264"/>
                </a:moveTo>
                <a:lnTo>
                  <a:pt x="4831080" y="207264"/>
                </a:lnTo>
                <a:lnTo>
                  <a:pt x="4831080" y="411480"/>
                </a:lnTo>
                <a:lnTo>
                  <a:pt x="5657088" y="411480"/>
                </a:lnTo>
                <a:lnTo>
                  <a:pt x="5657088" y="207264"/>
                </a:lnTo>
                <a:close/>
              </a:path>
              <a:path w="7315200" h="2273935">
                <a:moveTo>
                  <a:pt x="5657088" y="0"/>
                </a:moveTo>
                <a:lnTo>
                  <a:pt x="4831080" y="0"/>
                </a:lnTo>
                <a:lnTo>
                  <a:pt x="4831080" y="204216"/>
                </a:lnTo>
                <a:lnTo>
                  <a:pt x="5657088" y="204216"/>
                </a:lnTo>
                <a:lnTo>
                  <a:pt x="5657088" y="0"/>
                </a:lnTo>
                <a:close/>
              </a:path>
              <a:path w="7315200" h="2273935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273935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273935">
                <a:moveTo>
                  <a:pt x="6486144" y="1656588"/>
                </a:moveTo>
                <a:lnTo>
                  <a:pt x="5660136" y="1656588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6588"/>
                </a:lnTo>
                <a:close/>
              </a:path>
              <a:path w="7315200" h="2273935">
                <a:moveTo>
                  <a:pt x="6486144" y="1449324"/>
                </a:moveTo>
                <a:lnTo>
                  <a:pt x="5660136" y="1449324"/>
                </a:lnTo>
                <a:lnTo>
                  <a:pt x="5660136" y="1653540"/>
                </a:lnTo>
                <a:lnTo>
                  <a:pt x="6486144" y="1653540"/>
                </a:lnTo>
                <a:lnTo>
                  <a:pt x="6486144" y="1449324"/>
                </a:lnTo>
                <a:close/>
              </a:path>
              <a:path w="7315200" h="2273935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273935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273935">
                <a:moveTo>
                  <a:pt x="6486144" y="827532"/>
                </a:moveTo>
                <a:lnTo>
                  <a:pt x="5660136" y="827532"/>
                </a:lnTo>
                <a:lnTo>
                  <a:pt x="5660136" y="1031748"/>
                </a:lnTo>
                <a:lnTo>
                  <a:pt x="6486144" y="1031748"/>
                </a:lnTo>
                <a:lnTo>
                  <a:pt x="6486144" y="827532"/>
                </a:lnTo>
                <a:close/>
              </a:path>
              <a:path w="7315200" h="2273935">
                <a:moveTo>
                  <a:pt x="6486144" y="620268"/>
                </a:moveTo>
                <a:lnTo>
                  <a:pt x="5660136" y="620268"/>
                </a:lnTo>
                <a:lnTo>
                  <a:pt x="5660136" y="824484"/>
                </a:lnTo>
                <a:lnTo>
                  <a:pt x="6486144" y="824484"/>
                </a:lnTo>
                <a:lnTo>
                  <a:pt x="6486144" y="620268"/>
                </a:lnTo>
                <a:close/>
              </a:path>
              <a:path w="7315200" h="2273935">
                <a:moveTo>
                  <a:pt x="6486144" y="414528"/>
                </a:moveTo>
                <a:lnTo>
                  <a:pt x="5660136" y="414528"/>
                </a:lnTo>
                <a:lnTo>
                  <a:pt x="5660136" y="617220"/>
                </a:lnTo>
                <a:lnTo>
                  <a:pt x="6486144" y="617220"/>
                </a:lnTo>
                <a:lnTo>
                  <a:pt x="6486144" y="414528"/>
                </a:lnTo>
                <a:close/>
              </a:path>
              <a:path w="7315200" h="2273935">
                <a:moveTo>
                  <a:pt x="6486144" y="207264"/>
                </a:moveTo>
                <a:lnTo>
                  <a:pt x="5660136" y="207264"/>
                </a:lnTo>
                <a:lnTo>
                  <a:pt x="5660136" y="411480"/>
                </a:lnTo>
                <a:lnTo>
                  <a:pt x="6486144" y="411480"/>
                </a:lnTo>
                <a:lnTo>
                  <a:pt x="6486144" y="207264"/>
                </a:lnTo>
                <a:close/>
              </a:path>
              <a:path w="7315200" h="2273935">
                <a:moveTo>
                  <a:pt x="6486144" y="0"/>
                </a:moveTo>
                <a:lnTo>
                  <a:pt x="5660136" y="0"/>
                </a:lnTo>
                <a:lnTo>
                  <a:pt x="5660136" y="204216"/>
                </a:lnTo>
                <a:lnTo>
                  <a:pt x="6486144" y="204216"/>
                </a:lnTo>
                <a:lnTo>
                  <a:pt x="6486144" y="0"/>
                </a:lnTo>
                <a:close/>
              </a:path>
              <a:path w="7315200" h="2273935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273935">
                <a:moveTo>
                  <a:pt x="7315200" y="1656588"/>
                </a:moveTo>
                <a:lnTo>
                  <a:pt x="6489192" y="1656588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6588"/>
                </a:lnTo>
                <a:close/>
              </a:path>
              <a:path w="7315200" h="2273935">
                <a:moveTo>
                  <a:pt x="7315200" y="1449324"/>
                </a:moveTo>
                <a:lnTo>
                  <a:pt x="6489192" y="1449324"/>
                </a:lnTo>
                <a:lnTo>
                  <a:pt x="6489192" y="1653540"/>
                </a:lnTo>
                <a:lnTo>
                  <a:pt x="7315200" y="1653540"/>
                </a:lnTo>
                <a:lnTo>
                  <a:pt x="7315200" y="1449324"/>
                </a:lnTo>
                <a:close/>
              </a:path>
              <a:path w="7315200" h="2273935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273935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  <a:path w="7315200" h="2273935">
                <a:moveTo>
                  <a:pt x="7315200" y="827532"/>
                </a:moveTo>
                <a:lnTo>
                  <a:pt x="6489192" y="827532"/>
                </a:lnTo>
                <a:lnTo>
                  <a:pt x="6489192" y="1031748"/>
                </a:lnTo>
                <a:lnTo>
                  <a:pt x="7315200" y="1031748"/>
                </a:lnTo>
                <a:lnTo>
                  <a:pt x="7315200" y="827532"/>
                </a:lnTo>
                <a:close/>
              </a:path>
              <a:path w="7315200" h="2273935">
                <a:moveTo>
                  <a:pt x="7315200" y="620268"/>
                </a:moveTo>
                <a:lnTo>
                  <a:pt x="6489192" y="620268"/>
                </a:lnTo>
                <a:lnTo>
                  <a:pt x="6489192" y="824484"/>
                </a:lnTo>
                <a:lnTo>
                  <a:pt x="7315200" y="824484"/>
                </a:lnTo>
                <a:lnTo>
                  <a:pt x="7315200" y="620268"/>
                </a:lnTo>
                <a:close/>
              </a:path>
              <a:path w="7315200" h="2273935">
                <a:moveTo>
                  <a:pt x="7315200" y="414528"/>
                </a:moveTo>
                <a:lnTo>
                  <a:pt x="6489192" y="414528"/>
                </a:lnTo>
                <a:lnTo>
                  <a:pt x="6489192" y="617220"/>
                </a:lnTo>
                <a:lnTo>
                  <a:pt x="7315200" y="617220"/>
                </a:lnTo>
                <a:lnTo>
                  <a:pt x="7315200" y="414528"/>
                </a:lnTo>
                <a:close/>
              </a:path>
              <a:path w="7315200" h="2273935">
                <a:moveTo>
                  <a:pt x="7315200" y="207264"/>
                </a:moveTo>
                <a:lnTo>
                  <a:pt x="6489192" y="207264"/>
                </a:lnTo>
                <a:lnTo>
                  <a:pt x="6489192" y="411480"/>
                </a:lnTo>
                <a:lnTo>
                  <a:pt x="7315200" y="411480"/>
                </a:lnTo>
                <a:lnTo>
                  <a:pt x="7315200" y="207264"/>
                </a:lnTo>
                <a:close/>
              </a:path>
              <a:path w="7315200" h="2273935">
                <a:moveTo>
                  <a:pt x="7315200" y="0"/>
                </a:moveTo>
                <a:lnTo>
                  <a:pt x="6489192" y="0"/>
                </a:lnTo>
                <a:lnTo>
                  <a:pt x="6489192" y="204216"/>
                </a:lnTo>
                <a:lnTo>
                  <a:pt x="7315200" y="204216"/>
                </a:lnTo>
                <a:lnTo>
                  <a:pt x="7315200" y="0"/>
                </a:lnTo>
                <a:close/>
              </a:path>
            </a:pathLst>
          </a:custGeom>
          <a:solidFill>
            <a:srgbClr val="FFFFFF"/>
          </a:solidFill>
        </xdr:spPr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500-00003B000000}"/>
              </a:ext>
            </a:extLst>
          </xdr:cNvPr>
          <xdr:cNvSpPr/>
        </xdr:nvSpPr>
        <xdr:spPr>
          <a:xfrm>
            <a:off x="0" y="1034795"/>
            <a:ext cx="7315200" cy="2894330"/>
          </a:xfrm>
          <a:custGeom>
            <a:avLst/>
            <a:gdLst/>
            <a:ahLst/>
            <a:cxnLst/>
            <a:rect l="0" t="0" r="0" b="0"/>
            <a:pathLst>
              <a:path w="7315200" h="2894330">
                <a:moveTo>
                  <a:pt x="339852" y="1862328"/>
                </a:moveTo>
                <a:lnTo>
                  <a:pt x="0" y="1862328"/>
                </a:lnTo>
                <a:lnTo>
                  <a:pt x="0" y="2894076"/>
                </a:lnTo>
                <a:lnTo>
                  <a:pt x="339852" y="2894076"/>
                </a:lnTo>
                <a:lnTo>
                  <a:pt x="339852" y="1862328"/>
                </a:lnTo>
                <a:close/>
              </a:path>
              <a:path w="7315200" h="2894330">
                <a:moveTo>
                  <a:pt x="339852" y="1449324"/>
                </a:moveTo>
                <a:lnTo>
                  <a:pt x="0" y="1449324"/>
                </a:lnTo>
                <a:lnTo>
                  <a:pt x="0" y="1859280"/>
                </a:lnTo>
                <a:lnTo>
                  <a:pt x="339852" y="1859280"/>
                </a:lnTo>
                <a:lnTo>
                  <a:pt x="339852" y="1449324"/>
                </a:lnTo>
                <a:close/>
              </a:path>
              <a:path w="7315200" h="2894330">
                <a:moveTo>
                  <a:pt x="339852" y="0"/>
                </a:moveTo>
                <a:lnTo>
                  <a:pt x="0" y="0"/>
                </a:lnTo>
                <a:lnTo>
                  <a:pt x="0" y="1446276"/>
                </a:lnTo>
                <a:lnTo>
                  <a:pt x="339852" y="1446276"/>
                </a:lnTo>
                <a:lnTo>
                  <a:pt x="339852" y="0"/>
                </a:lnTo>
                <a:close/>
              </a:path>
              <a:path w="7315200" h="2894330">
                <a:moveTo>
                  <a:pt x="1376172" y="1862328"/>
                </a:moveTo>
                <a:lnTo>
                  <a:pt x="342900" y="1862328"/>
                </a:lnTo>
                <a:lnTo>
                  <a:pt x="342900" y="2894076"/>
                </a:lnTo>
                <a:lnTo>
                  <a:pt x="1376172" y="2894076"/>
                </a:lnTo>
                <a:lnTo>
                  <a:pt x="1376172" y="1862328"/>
                </a:lnTo>
                <a:close/>
              </a:path>
              <a:path w="7315200" h="2894330">
                <a:moveTo>
                  <a:pt x="1376172" y="1449324"/>
                </a:moveTo>
                <a:lnTo>
                  <a:pt x="342900" y="1449324"/>
                </a:lnTo>
                <a:lnTo>
                  <a:pt x="342900" y="1859280"/>
                </a:lnTo>
                <a:lnTo>
                  <a:pt x="1376172" y="1859280"/>
                </a:lnTo>
                <a:lnTo>
                  <a:pt x="1376172" y="1449324"/>
                </a:lnTo>
                <a:close/>
              </a:path>
              <a:path w="7315200" h="2894330">
                <a:moveTo>
                  <a:pt x="1376172" y="0"/>
                </a:moveTo>
                <a:lnTo>
                  <a:pt x="342900" y="0"/>
                </a:lnTo>
                <a:lnTo>
                  <a:pt x="342900" y="1446276"/>
                </a:lnTo>
                <a:lnTo>
                  <a:pt x="1376172" y="1446276"/>
                </a:lnTo>
                <a:lnTo>
                  <a:pt x="1376172" y="0"/>
                </a:lnTo>
                <a:close/>
              </a:path>
              <a:path w="7315200" h="2894330">
                <a:moveTo>
                  <a:pt x="2753868" y="1862328"/>
                </a:moveTo>
                <a:lnTo>
                  <a:pt x="1379220" y="1862328"/>
                </a:lnTo>
                <a:lnTo>
                  <a:pt x="1379220" y="2894076"/>
                </a:lnTo>
                <a:lnTo>
                  <a:pt x="2753868" y="2894076"/>
                </a:lnTo>
                <a:lnTo>
                  <a:pt x="2753868" y="1862328"/>
                </a:lnTo>
                <a:close/>
              </a:path>
              <a:path w="7315200" h="2894330">
                <a:moveTo>
                  <a:pt x="2753868" y="1449324"/>
                </a:moveTo>
                <a:lnTo>
                  <a:pt x="1379220" y="1449324"/>
                </a:lnTo>
                <a:lnTo>
                  <a:pt x="1379220" y="1859280"/>
                </a:lnTo>
                <a:lnTo>
                  <a:pt x="2753868" y="1859280"/>
                </a:lnTo>
                <a:lnTo>
                  <a:pt x="2753868" y="1449324"/>
                </a:lnTo>
                <a:close/>
              </a:path>
              <a:path w="7315200" h="2894330">
                <a:moveTo>
                  <a:pt x="2753868" y="0"/>
                </a:moveTo>
                <a:lnTo>
                  <a:pt x="1379220" y="0"/>
                </a:lnTo>
                <a:lnTo>
                  <a:pt x="1379220" y="1446276"/>
                </a:lnTo>
                <a:lnTo>
                  <a:pt x="2753868" y="1446276"/>
                </a:lnTo>
                <a:lnTo>
                  <a:pt x="2753868" y="0"/>
                </a:lnTo>
                <a:close/>
              </a:path>
              <a:path w="7315200" h="2894330">
                <a:moveTo>
                  <a:pt x="3304032" y="2691384"/>
                </a:moveTo>
                <a:lnTo>
                  <a:pt x="2756916" y="2691384"/>
                </a:lnTo>
                <a:lnTo>
                  <a:pt x="2756916" y="2894076"/>
                </a:lnTo>
                <a:lnTo>
                  <a:pt x="3304032" y="2894076"/>
                </a:lnTo>
                <a:lnTo>
                  <a:pt x="3304032" y="2691384"/>
                </a:lnTo>
                <a:close/>
              </a:path>
              <a:path w="7315200" h="2894330">
                <a:moveTo>
                  <a:pt x="3304032" y="2484120"/>
                </a:moveTo>
                <a:lnTo>
                  <a:pt x="2756916" y="2484120"/>
                </a:lnTo>
                <a:lnTo>
                  <a:pt x="2756916" y="2686812"/>
                </a:lnTo>
                <a:lnTo>
                  <a:pt x="3304032" y="2686812"/>
                </a:lnTo>
                <a:lnTo>
                  <a:pt x="3304032" y="2484120"/>
                </a:lnTo>
                <a:close/>
              </a:path>
              <a:path w="7315200" h="2894330">
                <a:moveTo>
                  <a:pt x="3304032" y="2276856"/>
                </a:moveTo>
                <a:lnTo>
                  <a:pt x="2756916" y="2276856"/>
                </a:lnTo>
                <a:lnTo>
                  <a:pt x="2756916" y="2481072"/>
                </a:lnTo>
                <a:lnTo>
                  <a:pt x="3304032" y="2481072"/>
                </a:lnTo>
                <a:lnTo>
                  <a:pt x="3304032" y="2276856"/>
                </a:lnTo>
                <a:close/>
              </a:path>
              <a:path w="7315200" h="2894330">
                <a:moveTo>
                  <a:pt x="3304032" y="2069592"/>
                </a:moveTo>
                <a:lnTo>
                  <a:pt x="2756916" y="2069592"/>
                </a:lnTo>
                <a:lnTo>
                  <a:pt x="2756916" y="2273808"/>
                </a:lnTo>
                <a:lnTo>
                  <a:pt x="3304032" y="2273808"/>
                </a:lnTo>
                <a:lnTo>
                  <a:pt x="3304032" y="2069592"/>
                </a:lnTo>
                <a:close/>
              </a:path>
              <a:path w="7315200" h="2894330">
                <a:moveTo>
                  <a:pt x="3304032" y="1862328"/>
                </a:moveTo>
                <a:lnTo>
                  <a:pt x="2756916" y="1862328"/>
                </a:lnTo>
                <a:lnTo>
                  <a:pt x="2756916" y="2066544"/>
                </a:lnTo>
                <a:lnTo>
                  <a:pt x="3304032" y="2066544"/>
                </a:lnTo>
                <a:lnTo>
                  <a:pt x="3304032" y="1862328"/>
                </a:lnTo>
                <a:close/>
              </a:path>
              <a:path w="7315200" h="2894330">
                <a:moveTo>
                  <a:pt x="3304032" y="1655064"/>
                </a:moveTo>
                <a:lnTo>
                  <a:pt x="2756916" y="1655064"/>
                </a:lnTo>
                <a:lnTo>
                  <a:pt x="2756916" y="1859280"/>
                </a:lnTo>
                <a:lnTo>
                  <a:pt x="3304032" y="1859280"/>
                </a:lnTo>
                <a:lnTo>
                  <a:pt x="3304032" y="1655064"/>
                </a:lnTo>
                <a:close/>
              </a:path>
              <a:path w="7315200" h="2894330">
                <a:moveTo>
                  <a:pt x="3304032" y="1449324"/>
                </a:moveTo>
                <a:lnTo>
                  <a:pt x="2756916" y="1449324"/>
                </a:lnTo>
                <a:lnTo>
                  <a:pt x="2756916" y="1652016"/>
                </a:lnTo>
                <a:lnTo>
                  <a:pt x="3304032" y="1652016"/>
                </a:lnTo>
                <a:lnTo>
                  <a:pt x="3304032" y="1449324"/>
                </a:lnTo>
                <a:close/>
              </a:path>
              <a:path w="7315200" h="2894330">
                <a:moveTo>
                  <a:pt x="3304032" y="1242060"/>
                </a:moveTo>
                <a:lnTo>
                  <a:pt x="2756916" y="1242060"/>
                </a:lnTo>
                <a:lnTo>
                  <a:pt x="2756916" y="1446276"/>
                </a:lnTo>
                <a:lnTo>
                  <a:pt x="3304032" y="1446276"/>
                </a:lnTo>
                <a:lnTo>
                  <a:pt x="3304032" y="1242060"/>
                </a:lnTo>
                <a:close/>
              </a:path>
              <a:path w="7315200" h="2894330">
                <a:moveTo>
                  <a:pt x="3998976" y="2691384"/>
                </a:moveTo>
                <a:lnTo>
                  <a:pt x="3307080" y="2691384"/>
                </a:lnTo>
                <a:lnTo>
                  <a:pt x="3307080" y="2894076"/>
                </a:lnTo>
                <a:lnTo>
                  <a:pt x="3998976" y="2894076"/>
                </a:lnTo>
                <a:lnTo>
                  <a:pt x="3998976" y="2691384"/>
                </a:lnTo>
                <a:close/>
              </a:path>
              <a:path w="7315200" h="2894330">
                <a:moveTo>
                  <a:pt x="3998976" y="2484120"/>
                </a:moveTo>
                <a:lnTo>
                  <a:pt x="3307080" y="2484120"/>
                </a:lnTo>
                <a:lnTo>
                  <a:pt x="3307080" y="2686812"/>
                </a:lnTo>
                <a:lnTo>
                  <a:pt x="3998976" y="2686812"/>
                </a:lnTo>
                <a:lnTo>
                  <a:pt x="3998976" y="2484120"/>
                </a:lnTo>
                <a:close/>
              </a:path>
              <a:path w="7315200" h="2894330">
                <a:moveTo>
                  <a:pt x="3998976" y="2276856"/>
                </a:moveTo>
                <a:lnTo>
                  <a:pt x="3307080" y="2276856"/>
                </a:lnTo>
                <a:lnTo>
                  <a:pt x="3307080" y="2481072"/>
                </a:lnTo>
                <a:lnTo>
                  <a:pt x="3998976" y="2481072"/>
                </a:lnTo>
                <a:lnTo>
                  <a:pt x="3998976" y="2276856"/>
                </a:lnTo>
                <a:close/>
              </a:path>
              <a:path w="7315200" h="2894330">
                <a:moveTo>
                  <a:pt x="3998976" y="2069592"/>
                </a:moveTo>
                <a:lnTo>
                  <a:pt x="3307080" y="2069592"/>
                </a:lnTo>
                <a:lnTo>
                  <a:pt x="3307080" y="2273808"/>
                </a:lnTo>
                <a:lnTo>
                  <a:pt x="3998976" y="2273808"/>
                </a:lnTo>
                <a:lnTo>
                  <a:pt x="3998976" y="2069592"/>
                </a:lnTo>
                <a:close/>
              </a:path>
              <a:path w="7315200" h="2894330">
                <a:moveTo>
                  <a:pt x="3998976" y="1862328"/>
                </a:moveTo>
                <a:lnTo>
                  <a:pt x="3307080" y="1862328"/>
                </a:lnTo>
                <a:lnTo>
                  <a:pt x="3307080" y="2066544"/>
                </a:lnTo>
                <a:lnTo>
                  <a:pt x="3998976" y="2066544"/>
                </a:lnTo>
                <a:lnTo>
                  <a:pt x="3998976" y="1862328"/>
                </a:lnTo>
                <a:close/>
              </a:path>
              <a:path w="7315200" h="2894330">
                <a:moveTo>
                  <a:pt x="3998976" y="1655064"/>
                </a:moveTo>
                <a:lnTo>
                  <a:pt x="3307080" y="1655064"/>
                </a:lnTo>
                <a:lnTo>
                  <a:pt x="3307080" y="1859280"/>
                </a:lnTo>
                <a:lnTo>
                  <a:pt x="3998976" y="1859280"/>
                </a:lnTo>
                <a:lnTo>
                  <a:pt x="3998976" y="1655064"/>
                </a:lnTo>
                <a:close/>
              </a:path>
              <a:path w="7315200" h="2894330">
                <a:moveTo>
                  <a:pt x="3998976" y="1449324"/>
                </a:moveTo>
                <a:lnTo>
                  <a:pt x="3307080" y="1449324"/>
                </a:lnTo>
                <a:lnTo>
                  <a:pt x="3307080" y="1652016"/>
                </a:lnTo>
                <a:lnTo>
                  <a:pt x="3998976" y="1652016"/>
                </a:lnTo>
                <a:lnTo>
                  <a:pt x="3998976" y="1449324"/>
                </a:lnTo>
                <a:close/>
              </a:path>
              <a:path w="7315200" h="2894330">
                <a:moveTo>
                  <a:pt x="3998976" y="1242060"/>
                </a:moveTo>
                <a:lnTo>
                  <a:pt x="3307080" y="1242060"/>
                </a:lnTo>
                <a:lnTo>
                  <a:pt x="3307080" y="1446276"/>
                </a:lnTo>
                <a:lnTo>
                  <a:pt x="3998976" y="1446276"/>
                </a:lnTo>
                <a:lnTo>
                  <a:pt x="3998976" y="1242060"/>
                </a:lnTo>
                <a:close/>
              </a:path>
              <a:path w="7315200" h="2894330">
                <a:moveTo>
                  <a:pt x="4828032" y="2691384"/>
                </a:moveTo>
                <a:lnTo>
                  <a:pt x="4002024" y="2691384"/>
                </a:lnTo>
                <a:lnTo>
                  <a:pt x="4002024" y="2894076"/>
                </a:lnTo>
                <a:lnTo>
                  <a:pt x="4828032" y="2894076"/>
                </a:lnTo>
                <a:lnTo>
                  <a:pt x="4828032" y="2691384"/>
                </a:lnTo>
                <a:close/>
              </a:path>
              <a:path w="7315200" h="2894330">
                <a:moveTo>
                  <a:pt x="4828032" y="2484120"/>
                </a:moveTo>
                <a:lnTo>
                  <a:pt x="4002024" y="2484120"/>
                </a:lnTo>
                <a:lnTo>
                  <a:pt x="4002024" y="2686812"/>
                </a:lnTo>
                <a:lnTo>
                  <a:pt x="4828032" y="2686812"/>
                </a:lnTo>
                <a:lnTo>
                  <a:pt x="4828032" y="2484120"/>
                </a:lnTo>
                <a:close/>
              </a:path>
              <a:path w="7315200" h="2894330">
                <a:moveTo>
                  <a:pt x="4828032" y="2276856"/>
                </a:moveTo>
                <a:lnTo>
                  <a:pt x="4002024" y="2276856"/>
                </a:lnTo>
                <a:lnTo>
                  <a:pt x="4002024" y="2481072"/>
                </a:lnTo>
                <a:lnTo>
                  <a:pt x="4828032" y="2481072"/>
                </a:lnTo>
                <a:lnTo>
                  <a:pt x="4828032" y="2276856"/>
                </a:lnTo>
                <a:close/>
              </a:path>
              <a:path w="7315200" h="2894330">
                <a:moveTo>
                  <a:pt x="4828032" y="2069592"/>
                </a:moveTo>
                <a:lnTo>
                  <a:pt x="4002024" y="2069592"/>
                </a:lnTo>
                <a:lnTo>
                  <a:pt x="4002024" y="2273808"/>
                </a:lnTo>
                <a:lnTo>
                  <a:pt x="4828032" y="2273808"/>
                </a:lnTo>
                <a:lnTo>
                  <a:pt x="4828032" y="2069592"/>
                </a:lnTo>
                <a:close/>
              </a:path>
              <a:path w="7315200" h="2894330">
                <a:moveTo>
                  <a:pt x="4828032" y="1862328"/>
                </a:moveTo>
                <a:lnTo>
                  <a:pt x="4002024" y="1862328"/>
                </a:lnTo>
                <a:lnTo>
                  <a:pt x="4002024" y="2066544"/>
                </a:lnTo>
                <a:lnTo>
                  <a:pt x="4828032" y="2066544"/>
                </a:lnTo>
                <a:lnTo>
                  <a:pt x="4828032" y="1862328"/>
                </a:lnTo>
                <a:close/>
              </a:path>
              <a:path w="7315200" h="2894330">
                <a:moveTo>
                  <a:pt x="4828032" y="1655064"/>
                </a:moveTo>
                <a:lnTo>
                  <a:pt x="4002024" y="1655064"/>
                </a:lnTo>
                <a:lnTo>
                  <a:pt x="4002024" y="1859280"/>
                </a:lnTo>
                <a:lnTo>
                  <a:pt x="4828032" y="1859280"/>
                </a:lnTo>
                <a:lnTo>
                  <a:pt x="4828032" y="1655064"/>
                </a:lnTo>
                <a:close/>
              </a:path>
              <a:path w="7315200" h="2894330">
                <a:moveTo>
                  <a:pt x="4828032" y="1449324"/>
                </a:moveTo>
                <a:lnTo>
                  <a:pt x="4002024" y="1449324"/>
                </a:lnTo>
                <a:lnTo>
                  <a:pt x="4002024" y="1652016"/>
                </a:lnTo>
                <a:lnTo>
                  <a:pt x="4828032" y="1652016"/>
                </a:lnTo>
                <a:lnTo>
                  <a:pt x="4828032" y="1449324"/>
                </a:lnTo>
                <a:close/>
              </a:path>
              <a:path w="7315200" h="2894330">
                <a:moveTo>
                  <a:pt x="4828032" y="1242060"/>
                </a:moveTo>
                <a:lnTo>
                  <a:pt x="4002024" y="1242060"/>
                </a:lnTo>
                <a:lnTo>
                  <a:pt x="4002024" y="1446276"/>
                </a:lnTo>
                <a:lnTo>
                  <a:pt x="4828032" y="1446276"/>
                </a:lnTo>
                <a:lnTo>
                  <a:pt x="4828032" y="1242060"/>
                </a:lnTo>
                <a:close/>
              </a:path>
              <a:path w="7315200" h="2894330">
                <a:moveTo>
                  <a:pt x="5657088" y="2691384"/>
                </a:moveTo>
                <a:lnTo>
                  <a:pt x="4831080" y="2691384"/>
                </a:lnTo>
                <a:lnTo>
                  <a:pt x="4831080" y="2894076"/>
                </a:lnTo>
                <a:lnTo>
                  <a:pt x="5657088" y="2894076"/>
                </a:lnTo>
                <a:lnTo>
                  <a:pt x="5657088" y="2691384"/>
                </a:lnTo>
                <a:close/>
              </a:path>
              <a:path w="7315200" h="2894330">
                <a:moveTo>
                  <a:pt x="5657088" y="2484120"/>
                </a:moveTo>
                <a:lnTo>
                  <a:pt x="4831080" y="2484120"/>
                </a:lnTo>
                <a:lnTo>
                  <a:pt x="4831080" y="2686812"/>
                </a:lnTo>
                <a:lnTo>
                  <a:pt x="5657088" y="2686812"/>
                </a:lnTo>
                <a:lnTo>
                  <a:pt x="5657088" y="2484120"/>
                </a:lnTo>
                <a:close/>
              </a:path>
              <a:path w="7315200" h="2894330">
                <a:moveTo>
                  <a:pt x="5657088" y="2276856"/>
                </a:moveTo>
                <a:lnTo>
                  <a:pt x="4831080" y="2276856"/>
                </a:lnTo>
                <a:lnTo>
                  <a:pt x="4831080" y="2481072"/>
                </a:lnTo>
                <a:lnTo>
                  <a:pt x="5657088" y="2481072"/>
                </a:lnTo>
                <a:lnTo>
                  <a:pt x="5657088" y="2276856"/>
                </a:lnTo>
                <a:close/>
              </a:path>
              <a:path w="7315200" h="2894330">
                <a:moveTo>
                  <a:pt x="5657088" y="2069592"/>
                </a:moveTo>
                <a:lnTo>
                  <a:pt x="4831080" y="2069592"/>
                </a:lnTo>
                <a:lnTo>
                  <a:pt x="4831080" y="2273808"/>
                </a:lnTo>
                <a:lnTo>
                  <a:pt x="5657088" y="2273808"/>
                </a:lnTo>
                <a:lnTo>
                  <a:pt x="5657088" y="2069592"/>
                </a:lnTo>
                <a:close/>
              </a:path>
              <a:path w="7315200" h="2894330">
                <a:moveTo>
                  <a:pt x="5657088" y="1862328"/>
                </a:moveTo>
                <a:lnTo>
                  <a:pt x="4831080" y="1862328"/>
                </a:lnTo>
                <a:lnTo>
                  <a:pt x="4831080" y="2066544"/>
                </a:lnTo>
                <a:lnTo>
                  <a:pt x="5657088" y="2066544"/>
                </a:lnTo>
                <a:lnTo>
                  <a:pt x="5657088" y="1862328"/>
                </a:lnTo>
                <a:close/>
              </a:path>
              <a:path w="7315200" h="2894330">
                <a:moveTo>
                  <a:pt x="5657088" y="1655064"/>
                </a:moveTo>
                <a:lnTo>
                  <a:pt x="4831080" y="1655064"/>
                </a:lnTo>
                <a:lnTo>
                  <a:pt x="4831080" y="1859280"/>
                </a:lnTo>
                <a:lnTo>
                  <a:pt x="5657088" y="1859280"/>
                </a:lnTo>
                <a:lnTo>
                  <a:pt x="5657088" y="1655064"/>
                </a:lnTo>
                <a:close/>
              </a:path>
              <a:path w="7315200" h="2894330">
                <a:moveTo>
                  <a:pt x="5657088" y="1449324"/>
                </a:moveTo>
                <a:lnTo>
                  <a:pt x="4831080" y="1449324"/>
                </a:lnTo>
                <a:lnTo>
                  <a:pt x="4831080" y="1652016"/>
                </a:lnTo>
                <a:lnTo>
                  <a:pt x="5657088" y="1652016"/>
                </a:lnTo>
                <a:lnTo>
                  <a:pt x="5657088" y="1449324"/>
                </a:lnTo>
                <a:close/>
              </a:path>
              <a:path w="7315200" h="2894330">
                <a:moveTo>
                  <a:pt x="5657088" y="1242060"/>
                </a:moveTo>
                <a:lnTo>
                  <a:pt x="4831080" y="1242060"/>
                </a:lnTo>
                <a:lnTo>
                  <a:pt x="4831080" y="1446276"/>
                </a:lnTo>
                <a:lnTo>
                  <a:pt x="5657088" y="1446276"/>
                </a:lnTo>
                <a:lnTo>
                  <a:pt x="5657088" y="1242060"/>
                </a:lnTo>
                <a:close/>
              </a:path>
              <a:path w="7315200" h="2894330">
                <a:moveTo>
                  <a:pt x="6486144" y="2691384"/>
                </a:moveTo>
                <a:lnTo>
                  <a:pt x="5660136" y="2691384"/>
                </a:lnTo>
                <a:lnTo>
                  <a:pt x="5660136" y="2894076"/>
                </a:lnTo>
                <a:lnTo>
                  <a:pt x="6486144" y="2894076"/>
                </a:lnTo>
                <a:lnTo>
                  <a:pt x="6486144" y="2691384"/>
                </a:lnTo>
                <a:close/>
              </a:path>
              <a:path w="7315200" h="2894330">
                <a:moveTo>
                  <a:pt x="6486144" y="2484120"/>
                </a:moveTo>
                <a:lnTo>
                  <a:pt x="5660136" y="2484120"/>
                </a:lnTo>
                <a:lnTo>
                  <a:pt x="5660136" y="2686812"/>
                </a:lnTo>
                <a:lnTo>
                  <a:pt x="6486144" y="2686812"/>
                </a:lnTo>
                <a:lnTo>
                  <a:pt x="6486144" y="2484120"/>
                </a:lnTo>
                <a:close/>
              </a:path>
              <a:path w="7315200" h="2894330">
                <a:moveTo>
                  <a:pt x="6486144" y="2276856"/>
                </a:moveTo>
                <a:lnTo>
                  <a:pt x="5660136" y="2276856"/>
                </a:lnTo>
                <a:lnTo>
                  <a:pt x="5660136" y="2481072"/>
                </a:lnTo>
                <a:lnTo>
                  <a:pt x="6486144" y="2481072"/>
                </a:lnTo>
                <a:lnTo>
                  <a:pt x="6486144" y="2276856"/>
                </a:lnTo>
                <a:close/>
              </a:path>
              <a:path w="7315200" h="2894330">
                <a:moveTo>
                  <a:pt x="6486144" y="2069592"/>
                </a:moveTo>
                <a:lnTo>
                  <a:pt x="5660136" y="2069592"/>
                </a:lnTo>
                <a:lnTo>
                  <a:pt x="5660136" y="2273808"/>
                </a:lnTo>
                <a:lnTo>
                  <a:pt x="6486144" y="2273808"/>
                </a:lnTo>
                <a:lnTo>
                  <a:pt x="6486144" y="2069592"/>
                </a:lnTo>
                <a:close/>
              </a:path>
              <a:path w="7315200" h="2894330">
                <a:moveTo>
                  <a:pt x="6486144" y="1862328"/>
                </a:moveTo>
                <a:lnTo>
                  <a:pt x="5660136" y="1862328"/>
                </a:lnTo>
                <a:lnTo>
                  <a:pt x="5660136" y="2066544"/>
                </a:lnTo>
                <a:lnTo>
                  <a:pt x="6486144" y="2066544"/>
                </a:lnTo>
                <a:lnTo>
                  <a:pt x="6486144" y="1862328"/>
                </a:lnTo>
                <a:close/>
              </a:path>
              <a:path w="7315200" h="2894330">
                <a:moveTo>
                  <a:pt x="6486144" y="1655064"/>
                </a:moveTo>
                <a:lnTo>
                  <a:pt x="5660136" y="1655064"/>
                </a:lnTo>
                <a:lnTo>
                  <a:pt x="5660136" y="1859280"/>
                </a:lnTo>
                <a:lnTo>
                  <a:pt x="6486144" y="1859280"/>
                </a:lnTo>
                <a:lnTo>
                  <a:pt x="6486144" y="1655064"/>
                </a:lnTo>
                <a:close/>
              </a:path>
              <a:path w="7315200" h="2894330">
                <a:moveTo>
                  <a:pt x="6486144" y="1449324"/>
                </a:moveTo>
                <a:lnTo>
                  <a:pt x="5660136" y="1449324"/>
                </a:lnTo>
                <a:lnTo>
                  <a:pt x="5660136" y="1652016"/>
                </a:lnTo>
                <a:lnTo>
                  <a:pt x="6486144" y="1652016"/>
                </a:lnTo>
                <a:lnTo>
                  <a:pt x="6486144" y="1449324"/>
                </a:lnTo>
                <a:close/>
              </a:path>
              <a:path w="7315200" h="2894330">
                <a:moveTo>
                  <a:pt x="6486144" y="1242060"/>
                </a:moveTo>
                <a:lnTo>
                  <a:pt x="5660136" y="1242060"/>
                </a:lnTo>
                <a:lnTo>
                  <a:pt x="5660136" y="1446276"/>
                </a:lnTo>
                <a:lnTo>
                  <a:pt x="6486144" y="1446276"/>
                </a:lnTo>
                <a:lnTo>
                  <a:pt x="6486144" y="1242060"/>
                </a:lnTo>
                <a:close/>
              </a:path>
              <a:path w="7315200" h="2894330">
                <a:moveTo>
                  <a:pt x="6486144" y="1034796"/>
                </a:moveTo>
                <a:lnTo>
                  <a:pt x="5660136" y="1034796"/>
                </a:lnTo>
                <a:lnTo>
                  <a:pt x="5660136" y="1239012"/>
                </a:lnTo>
                <a:lnTo>
                  <a:pt x="6486144" y="1239012"/>
                </a:lnTo>
                <a:lnTo>
                  <a:pt x="6486144" y="1034796"/>
                </a:lnTo>
                <a:close/>
              </a:path>
              <a:path w="7315200" h="2894330">
                <a:moveTo>
                  <a:pt x="7315200" y="2691384"/>
                </a:moveTo>
                <a:lnTo>
                  <a:pt x="6489192" y="2691384"/>
                </a:lnTo>
                <a:lnTo>
                  <a:pt x="6489192" y="2894076"/>
                </a:lnTo>
                <a:lnTo>
                  <a:pt x="7315200" y="2894076"/>
                </a:lnTo>
                <a:lnTo>
                  <a:pt x="7315200" y="2691384"/>
                </a:lnTo>
                <a:close/>
              </a:path>
              <a:path w="7315200" h="2894330">
                <a:moveTo>
                  <a:pt x="7315200" y="2484120"/>
                </a:moveTo>
                <a:lnTo>
                  <a:pt x="6489192" y="2484120"/>
                </a:lnTo>
                <a:lnTo>
                  <a:pt x="6489192" y="2686812"/>
                </a:lnTo>
                <a:lnTo>
                  <a:pt x="7315200" y="2686812"/>
                </a:lnTo>
                <a:lnTo>
                  <a:pt x="7315200" y="2484120"/>
                </a:lnTo>
                <a:close/>
              </a:path>
              <a:path w="7315200" h="2894330">
                <a:moveTo>
                  <a:pt x="7315200" y="2276856"/>
                </a:moveTo>
                <a:lnTo>
                  <a:pt x="6489192" y="2276856"/>
                </a:lnTo>
                <a:lnTo>
                  <a:pt x="6489192" y="2481072"/>
                </a:lnTo>
                <a:lnTo>
                  <a:pt x="7315200" y="2481072"/>
                </a:lnTo>
                <a:lnTo>
                  <a:pt x="7315200" y="2276856"/>
                </a:lnTo>
                <a:close/>
              </a:path>
              <a:path w="7315200" h="2894330">
                <a:moveTo>
                  <a:pt x="7315200" y="2069592"/>
                </a:moveTo>
                <a:lnTo>
                  <a:pt x="6489192" y="2069592"/>
                </a:lnTo>
                <a:lnTo>
                  <a:pt x="6489192" y="2273808"/>
                </a:lnTo>
                <a:lnTo>
                  <a:pt x="7315200" y="2273808"/>
                </a:lnTo>
                <a:lnTo>
                  <a:pt x="7315200" y="2069592"/>
                </a:lnTo>
                <a:close/>
              </a:path>
              <a:path w="7315200" h="2894330">
                <a:moveTo>
                  <a:pt x="7315200" y="1862328"/>
                </a:moveTo>
                <a:lnTo>
                  <a:pt x="6489192" y="1862328"/>
                </a:lnTo>
                <a:lnTo>
                  <a:pt x="6489192" y="2066544"/>
                </a:lnTo>
                <a:lnTo>
                  <a:pt x="7315200" y="2066544"/>
                </a:lnTo>
                <a:lnTo>
                  <a:pt x="7315200" y="1862328"/>
                </a:lnTo>
                <a:close/>
              </a:path>
              <a:path w="7315200" h="2894330">
                <a:moveTo>
                  <a:pt x="7315200" y="1655064"/>
                </a:moveTo>
                <a:lnTo>
                  <a:pt x="6489192" y="1655064"/>
                </a:lnTo>
                <a:lnTo>
                  <a:pt x="6489192" y="1859280"/>
                </a:lnTo>
                <a:lnTo>
                  <a:pt x="7315200" y="1859280"/>
                </a:lnTo>
                <a:lnTo>
                  <a:pt x="7315200" y="1655064"/>
                </a:lnTo>
                <a:close/>
              </a:path>
              <a:path w="7315200" h="2894330">
                <a:moveTo>
                  <a:pt x="7315200" y="1449324"/>
                </a:moveTo>
                <a:lnTo>
                  <a:pt x="6489192" y="1449324"/>
                </a:lnTo>
                <a:lnTo>
                  <a:pt x="6489192" y="1652016"/>
                </a:lnTo>
                <a:lnTo>
                  <a:pt x="7315200" y="1652016"/>
                </a:lnTo>
                <a:lnTo>
                  <a:pt x="7315200" y="1449324"/>
                </a:lnTo>
                <a:close/>
              </a:path>
              <a:path w="7315200" h="2894330">
                <a:moveTo>
                  <a:pt x="7315200" y="1242060"/>
                </a:moveTo>
                <a:lnTo>
                  <a:pt x="6489192" y="1242060"/>
                </a:lnTo>
                <a:lnTo>
                  <a:pt x="6489192" y="1446276"/>
                </a:lnTo>
                <a:lnTo>
                  <a:pt x="7315200" y="1446276"/>
                </a:lnTo>
                <a:lnTo>
                  <a:pt x="7315200" y="1242060"/>
                </a:lnTo>
                <a:close/>
              </a:path>
              <a:path w="7315200" h="2894330">
                <a:moveTo>
                  <a:pt x="7315200" y="1034796"/>
                </a:moveTo>
                <a:lnTo>
                  <a:pt x="6489192" y="1034796"/>
                </a:lnTo>
                <a:lnTo>
                  <a:pt x="6489192" y="1239012"/>
                </a:lnTo>
                <a:lnTo>
                  <a:pt x="7315200" y="1239012"/>
                </a:lnTo>
                <a:lnTo>
                  <a:pt x="7315200" y="1034796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10</xdr:col>
      <xdr:colOff>536321</xdr:colOff>
      <xdr:row>25</xdr:row>
      <xdr:rowOff>0</xdr:rowOff>
    </xdr:from>
    <xdr:ext cx="702945" cy="3929379"/>
    <xdr:sp macro="" textlink="">
      <xdr:nvSpPr>
        <xdr:cNvPr id="60" name="Shape 60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/>
      </xdr:nvSpPr>
      <xdr:spPr>
        <a:xfrm>
          <a:off x="0" y="0"/>
          <a:ext cx="702945" cy="3929379"/>
        </a:xfrm>
        <a:custGeom>
          <a:avLst/>
          <a:gdLst/>
          <a:ahLst/>
          <a:cxnLst/>
          <a:rect l="0" t="0" r="0" b="0"/>
          <a:pathLst>
            <a:path w="702945" h="3929379">
              <a:moveTo>
                <a:pt x="702564" y="3726180"/>
              </a:moveTo>
              <a:lnTo>
                <a:pt x="0" y="3726180"/>
              </a:lnTo>
              <a:lnTo>
                <a:pt x="0" y="3928872"/>
              </a:lnTo>
              <a:lnTo>
                <a:pt x="702564" y="3928872"/>
              </a:lnTo>
              <a:lnTo>
                <a:pt x="702564" y="3726180"/>
              </a:lnTo>
              <a:close/>
            </a:path>
            <a:path w="702945" h="3929379">
              <a:moveTo>
                <a:pt x="702564" y="3518916"/>
              </a:moveTo>
              <a:lnTo>
                <a:pt x="0" y="3518916"/>
              </a:lnTo>
              <a:lnTo>
                <a:pt x="0" y="3721608"/>
              </a:lnTo>
              <a:lnTo>
                <a:pt x="702564" y="3721608"/>
              </a:lnTo>
              <a:lnTo>
                <a:pt x="702564" y="3518916"/>
              </a:lnTo>
              <a:close/>
            </a:path>
            <a:path w="702945" h="3929379">
              <a:moveTo>
                <a:pt x="702564" y="3311652"/>
              </a:moveTo>
              <a:lnTo>
                <a:pt x="0" y="3311652"/>
              </a:lnTo>
              <a:lnTo>
                <a:pt x="0" y="3515868"/>
              </a:lnTo>
              <a:lnTo>
                <a:pt x="702564" y="3515868"/>
              </a:lnTo>
              <a:lnTo>
                <a:pt x="702564" y="3311652"/>
              </a:lnTo>
              <a:close/>
            </a:path>
            <a:path w="702945" h="3929379">
              <a:moveTo>
                <a:pt x="702564" y="3104388"/>
              </a:moveTo>
              <a:lnTo>
                <a:pt x="0" y="3104388"/>
              </a:lnTo>
              <a:lnTo>
                <a:pt x="0" y="3308604"/>
              </a:lnTo>
              <a:lnTo>
                <a:pt x="702564" y="3308604"/>
              </a:lnTo>
              <a:lnTo>
                <a:pt x="702564" y="3104388"/>
              </a:lnTo>
              <a:close/>
            </a:path>
            <a:path w="702945" h="3929379">
              <a:moveTo>
                <a:pt x="702564" y="2897124"/>
              </a:moveTo>
              <a:lnTo>
                <a:pt x="0" y="2897124"/>
              </a:lnTo>
              <a:lnTo>
                <a:pt x="0" y="3101340"/>
              </a:lnTo>
              <a:lnTo>
                <a:pt x="702564" y="3101340"/>
              </a:lnTo>
              <a:lnTo>
                <a:pt x="702564" y="2897124"/>
              </a:lnTo>
              <a:close/>
            </a:path>
            <a:path w="702945" h="3929379">
              <a:moveTo>
                <a:pt x="702564" y="2689860"/>
              </a:moveTo>
              <a:lnTo>
                <a:pt x="0" y="2689860"/>
              </a:lnTo>
              <a:lnTo>
                <a:pt x="0" y="2894076"/>
              </a:lnTo>
              <a:lnTo>
                <a:pt x="702564" y="2894076"/>
              </a:lnTo>
              <a:lnTo>
                <a:pt x="702564" y="2689860"/>
              </a:lnTo>
              <a:close/>
            </a:path>
            <a:path w="702945" h="3929379">
              <a:moveTo>
                <a:pt x="702564" y="2484120"/>
              </a:moveTo>
              <a:lnTo>
                <a:pt x="0" y="2484120"/>
              </a:lnTo>
              <a:lnTo>
                <a:pt x="0" y="2686812"/>
              </a:lnTo>
              <a:lnTo>
                <a:pt x="702564" y="2686812"/>
              </a:lnTo>
              <a:lnTo>
                <a:pt x="702564" y="2484120"/>
              </a:lnTo>
              <a:close/>
            </a:path>
            <a:path w="702945" h="3929379">
              <a:moveTo>
                <a:pt x="702564" y="2276856"/>
              </a:moveTo>
              <a:lnTo>
                <a:pt x="0" y="2276856"/>
              </a:lnTo>
              <a:lnTo>
                <a:pt x="0" y="2481072"/>
              </a:lnTo>
              <a:lnTo>
                <a:pt x="702564" y="2481072"/>
              </a:lnTo>
              <a:lnTo>
                <a:pt x="702564" y="2276856"/>
              </a:lnTo>
              <a:close/>
            </a:path>
            <a:path w="702945" h="3929379">
              <a:moveTo>
                <a:pt x="702564" y="2069592"/>
              </a:moveTo>
              <a:lnTo>
                <a:pt x="0" y="2069592"/>
              </a:lnTo>
              <a:lnTo>
                <a:pt x="0" y="2273808"/>
              </a:lnTo>
              <a:lnTo>
                <a:pt x="702564" y="2273808"/>
              </a:lnTo>
              <a:lnTo>
                <a:pt x="702564" y="2069592"/>
              </a:lnTo>
              <a:close/>
            </a:path>
            <a:path w="702945" h="3929379">
              <a:moveTo>
                <a:pt x="702564" y="1862328"/>
              </a:moveTo>
              <a:lnTo>
                <a:pt x="0" y="1862328"/>
              </a:lnTo>
              <a:lnTo>
                <a:pt x="0" y="2066544"/>
              </a:lnTo>
              <a:lnTo>
                <a:pt x="702564" y="2066544"/>
              </a:lnTo>
              <a:lnTo>
                <a:pt x="702564" y="1862328"/>
              </a:lnTo>
              <a:close/>
            </a:path>
            <a:path w="702945" h="3929379">
              <a:moveTo>
                <a:pt x="702564" y="1656588"/>
              </a:moveTo>
              <a:lnTo>
                <a:pt x="0" y="1656588"/>
              </a:lnTo>
              <a:lnTo>
                <a:pt x="0" y="1859280"/>
              </a:lnTo>
              <a:lnTo>
                <a:pt x="702564" y="1859280"/>
              </a:lnTo>
              <a:lnTo>
                <a:pt x="702564" y="1656588"/>
              </a:lnTo>
              <a:close/>
            </a:path>
            <a:path w="702945" h="3929379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3929379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3929379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3929379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3929379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3929379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3929379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3929379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541909</xdr:colOff>
      <xdr:row>14</xdr:row>
      <xdr:rowOff>0</xdr:rowOff>
    </xdr:from>
    <xdr:ext cx="3313429" cy="375285"/>
    <xdr:sp macro="" textlink="">
      <xdr:nvSpPr>
        <xdr:cNvPr id="61" name="Shape 61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/>
      </xdr:nvSpPr>
      <xdr:spPr>
        <a:xfrm>
          <a:off x="0" y="0"/>
          <a:ext cx="3313429" cy="375285"/>
        </a:xfrm>
        <a:custGeom>
          <a:avLst/>
          <a:gdLst/>
          <a:ahLst/>
          <a:cxnLst/>
          <a:rect l="0" t="0" r="0" b="0"/>
          <a:pathLst>
            <a:path w="3313429" h="375285">
              <a:moveTo>
                <a:pt x="826008" y="0"/>
              </a:moveTo>
              <a:lnTo>
                <a:pt x="0" y="0"/>
              </a:lnTo>
              <a:lnTo>
                <a:pt x="0" y="374904"/>
              </a:lnTo>
              <a:lnTo>
                <a:pt x="826008" y="374904"/>
              </a:lnTo>
              <a:lnTo>
                <a:pt x="826008" y="0"/>
              </a:lnTo>
              <a:close/>
            </a:path>
            <a:path w="3313429" h="375285">
              <a:moveTo>
                <a:pt x="1655064" y="0"/>
              </a:moveTo>
              <a:lnTo>
                <a:pt x="829056" y="0"/>
              </a:lnTo>
              <a:lnTo>
                <a:pt x="829056" y="374904"/>
              </a:lnTo>
              <a:lnTo>
                <a:pt x="1655064" y="374904"/>
              </a:lnTo>
              <a:lnTo>
                <a:pt x="1655064" y="0"/>
              </a:lnTo>
              <a:close/>
            </a:path>
            <a:path w="3313429" h="375285">
              <a:moveTo>
                <a:pt x="2484120" y="0"/>
              </a:moveTo>
              <a:lnTo>
                <a:pt x="1658112" y="0"/>
              </a:lnTo>
              <a:lnTo>
                <a:pt x="1658112" y="374904"/>
              </a:lnTo>
              <a:lnTo>
                <a:pt x="2484120" y="374904"/>
              </a:lnTo>
              <a:lnTo>
                <a:pt x="2484120" y="0"/>
              </a:lnTo>
              <a:close/>
            </a:path>
            <a:path w="3313429" h="375285">
              <a:moveTo>
                <a:pt x="3313176" y="0"/>
              </a:moveTo>
              <a:lnTo>
                <a:pt x="2487168" y="0"/>
              </a:lnTo>
              <a:lnTo>
                <a:pt x="2487168" y="374904"/>
              </a:lnTo>
              <a:lnTo>
                <a:pt x="3313176" y="374904"/>
              </a:lnTo>
              <a:lnTo>
                <a:pt x="3313176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5</xdr:col>
      <xdr:colOff>332219</xdr:colOff>
      <xdr:row>3</xdr:row>
      <xdr:rowOff>49142</xdr:rowOff>
    </xdr:from>
    <xdr:ext cx="193523" cy="290285"/>
    <xdr:pic>
      <xdr:nvPicPr>
        <xdr:cNvPr id="62" name="image1.jpeg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93523" cy="290285"/>
        </a:xfrm>
        <a:prstGeom prst="rect">
          <a:avLst/>
        </a:prstGeom>
      </xdr:spPr>
    </xdr:pic>
    <xdr:clientData/>
  </xdr:oneCellAnchor>
  <xdr:oneCellAnchor>
    <xdr:from>
      <xdr:col>6</xdr:col>
      <xdr:colOff>233934</xdr:colOff>
      <xdr:row>3</xdr:row>
      <xdr:rowOff>49142</xdr:rowOff>
    </xdr:from>
    <xdr:ext cx="381000" cy="290285"/>
    <xdr:pic>
      <xdr:nvPicPr>
        <xdr:cNvPr id="63" name="image2.jpeg">
          <a:extLst>
            <a:ext uri="{FF2B5EF4-FFF2-40B4-BE49-F238E27FC236}">
              <a16:creationId xmlns:a16="http://schemas.microsoft.com/office/drawing/2014/main" id="{00000000-0008-0000-06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7</xdr:col>
      <xdr:colOff>235458</xdr:colOff>
      <xdr:row>3</xdr:row>
      <xdr:rowOff>49142</xdr:rowOff>
    </xdr:from>
    <xdr:ext cx="381000" cy="290285"/>
    <xdr:pic>
      <xdr:nvPicPr>
        <xdr:cNvPr id="64" name="image3.jpeg">
          <a:extLst>
            <a:ext uri="{FF2B5EF4-FFF2-40B4-BE49-F238E27FC236}">
              <a16:creationId xmlns:a16="http://schemas.microsoft.com/office/drawing/2014/main" id="{00000000-0008-0000-06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290285"/>
        </a:xfrm>
        <a:prstGeom prst="rect">
          <a:avLst/>
        </a:prstGeom>
      </xdr:spPr>
    </xdr:pic>
    <xdr:clientData/>
  </xdr:oneCellAnchor>
  <xdr:oneCellAnchor>
    <xdr:from>
      <xdr:col>8</xdr:col>
      <xdr:colOff>235457</xdr:colOff>
      <xdr:row>3</xdr:row>
      <xdr:rowOff>762</xdr:rowOff>
    </xdr:from>
    <xdr:ext cx="381000" cy="381000"/>
    <xdr:pic>
      <xdr:nvPicPr>
        <xdr:cNvPr id="65" name="image4.jpeg">
          <a:extLst>
            <a:ext uri="{FF2B5EF4-FFF2-40B4-BE49-F238E27FC236}">
              <a16:creationId xmlns:a16="http://schemas.microsoft.com/office/drawing/2014/main" id="{00000000-0008-0000-06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81000" cy="381000"/>
        </a:xfrm>
        <a:prstGeom prst="rect">
          <a:avLst/>
        </a:prstGeom>
      </xdr:spPr>
    </xdr:pic>
    <xdr:clientData/>
  </xdr:oneCellAnchor>
  <xdr:oneCellAnchor>
    <xdr:from>
      <xdr:col>1</xdr:col>
      <xdr:colOff>198755</xdr:colOff>
      <xdr:row>15</xdr:row>
      <xdr:rowOff>0</xdr:rowOff>
    </xdr:from>
    <xdr:ext cx="7315200" cy="1861185"/>
    <xdr:sp macro="" textlink="">
      <xdr:nvSpPr>
        <xdr:cNvPr id="66" name="Shape 66">
          <a:extLst>
            <a:ext uri="{FF2B5EF4-FFF2-40B4-BE49-F238E27FC236}">
              <a16:creationId xmlns:a16="http://schemas.microsoft.com/office/drawing/2014/main" id="{00000000-0008-0000-0600-000042000000}"/>
            </a:ext>
          </a:extLst>
        </xdr:cNvPr>
        <xdr:cNvSpPr/>
      </xdr:nvSpPr>
      <xdr:spPr>
        <a:xfrm>
          <a:off x="0" y="0"/>
          <a:ext cx="7315200" cy="1861185"/>
        </a:xfrm>
        <a:custGeom>
          <a:avLst/>
          <a:gdLst/>
          <a:ahLst/>
          <a:cxnLst/>
          <a:rect l="0" t="0" r="0" b="0"/>
          <a:pathLst>
            <a:path w="7315200" h="1861185">
              <a:moveTo>
                <a:pt x="339852" y="1449324"/>
              </a:moveTo>
              <a:lnTo>
                <a:pt x="0" y="1449324"/>
              </a:lnTo>
              <a:lnTo>
                <a:pt x="0" y="1860804"/>
              </a:lnTo>
              <a:lnTo>
                <a:pt x="339852" y="1860804"/>
              </a:lnTo>
              <a:lnTo>
                <a:pt x="339852" y="1449324"/>
              </a:lnTo>
              <a:close/>
            </a:path>
            <a:path w="7315200" h="1861185">
              <a:moveTo>
                <a:pt x="339852" y="827532"/>
              </a:moveTo>
              <a:lnTo>
                <a:pt x="0" y="827532"/>
              </a:lnTo>
              <a:lnTo>
                <a:pt x="0" y="1446276"/>
              </a:lnTo>
              <a:lnTo>
                <a:pt x="339852" y="1446276"/>
              </a:lnTo>
              <a:lnTo>
                <a:pt x="339852" y="827532"/>
              </a:lnTo>
              <a:close/>
            </a:path>
            <a:path w="7315200" h="1861185">
              <a:moveTo>
                <a:pt x="339852" y="0"/>
              </a:moveTo>
              <a:lnTo>
                <a:pt x="0" y="0"/>
              </a:lnTo>
              <a:lnTo>
                <a:pt x="0" y="824484"/>
              </a:lnTo>
              <a:lnTo>
                <a:pt x="339852" y="824484"/>
              </a:lnTo>
              <a:lnTo>
                <a:pt x="339852" y="0"/>
              </a:lnTo>
              <a:close/>
            </a:path>
            <a:path w="7315200" h="1861185">
              <a:moveTo>
                <a:pt x="1376172" y="1449324"/>
              </a:moveTo>
              <a:lnTo>
                <a:pt x="342900" y="1449324"/>
              </a:lnTo>
              <a:lnTo>
                <a:pt x="342900" y="1860804"/>
              </a:lnTo>
              <a:lnTo>
                <a:pt x="1376172" y="1860804"/>
              </a:lnTo>
              <a:lnTo>
                <a:pt x="1376172" y="1449324"/>
              </a:lnTo>
              <a:close/>
            </a:path>
            <a:path w="7315200" h="1861185">
              <a:moveTo>
                <a:pt x="1376172" y="827532"/>
              </a:moveTo>
              <a:lnTo>
                <a:pt x="342900" y="827532"/>
              </a:lnTo>
              <a:lnTo>
                <a:pt x="342900" y="1446276"/>
              </a:lnTo>
              <a:lnTo>
                <a:pt x="1376172" y="1446276"/>
              </a:lnTo>
              <a:lnTo>
                <a:pt x="1376172" y="827532"/>
              </a:lnTo>
              <a:close/>
            </a:path>
            <a:path w="7315200" h="1861185">
              <a:moveTo>
                <a:pt x="1376172" y="0"/>
              </a:moveTo>
              <a:lnTo>
                <a:pt x="342900" y="0"/>
              </a:lnTo>
              <a:lnTo>
                <a:pt x="342900" y="824484"/>
              </a:lnTo>
              <a:lnTo>
                <a:pt x="1376172" y="824484"/>
              </a:lnTo>
              <a:lnTo>
                <a:pt x="1376172" y="0"/>
              </a:lnTo>
              <a:close/>
            </a:path>
            <a:path w="7315200" h="1861185">
              <a:moveTo>
                <a:pt x="2753868" y="1449324"/>
              </a:moveTo>
              <a:lnTo>
                <a:pt x="1379220" y="1449324"/>
              </a:lnTo>
              <a:lnTo>
                <a:pt x="1379220" y="1860804"/>
              </a:lnTo>
              <a:lnTo>
                <a:pt x="2753868" y="1860804"/>
              </a:lnTo>
              <a:lnTo>
                <a:pt x="2753868" y="1449324"/>
              </a:lnTo>
              <a:close/>
            </a:path>
            <a:path w="7315200" h="1861185">
              <a:moveTo>
                <a:pt x="2753868" y="827532"/>
              </a:moveTo>
              <a:lnTo>
                <a:pt x="1379220" y="827532"/>
              </a:lnTo>
              <a:lnTo>
                <a:pt x="1379220" y="1446276"/>
              </a:lnTo>
              <a:lnTo>
                <a:pt x="2753868" y="1446276"/>
              </a:lnTo>
              <a:lnTo>
                <a:pt x="2753868" y="827532"/>
              </a:lnTo>
              <a:close/>
            </a:path>
            <a:path w="7315200" h="1861185">
              <a:moveTo>
                <a:pt x="2753868" y="0"/>
              </a:moveTo>
              <a:lnTo>
                <a:pt x="1379220" y="0"/>
              </a:lnTo>
              <a:lnTo>
                <a:pt x="1379220" y="824484"/>
              </a:lnTo>
              <a:lnTo>
                <a:pt x="2753868" y="824484"/>
              </a:lnTo>
              <a:lnTo>
                <a:pt x="2753868" y="0"/>
              </a:lnTo>
              <a:close/>
            </a:path>
            <a:path w="7315200" h="1861185">
              <a:moveTo>
                <a:pt x="3304032" y="1656588"/>
              </a:moveTo>
              <a:lnTo>
                <a:pt x="2756916" y="1656588"/>
              </a:lnTo>
              <a:lnTo>
                <a:pt x="2756916" y="1860804"/>
              </a:lnTo>
              <a:lnTo>
                <a:pt x="3304032" y="1860804"/>
              </a:lnTo>
              <a:lnTo>
                <a:pt x="3304032" y="1656588"/>
              </a:lnTo>
              <a:close/>
            </a:path>
            <a:path w="7315200" h="1861185">
              <a:moveTo>
                <a:pt x="3304032" y="1449324"/>
              </a:moveTo>
              <a:lnTo>
                <a:pt x="2756916" y="1449324"/>
              </a:lnTo>
              <a:lnTo>
                <a:pt x="2756916" y="1653540"/>
              </a:lnTo>
              <a:lnTo>
                <a:pt x="3304032" y="1653540"/>
              </a:lnTo>
              <a:lnTo>
                <a:pt x="3304032" y="1449324"/>
              </a:lnTo>
              <a:close/>
            </a:path>
            <a:path w="7315200" h="1861185">
              <a:moveTo>
                <a:pt x="3304032" y="1242060"/>
              </a:moveTo>
              <a:lnTo>
                <a:pt x="2756916" y="1242060"/>
              </a:lnTo>
              <a:lnTo>
                <a:pt x="2756916" y="1446276"/>
              </a:lnTo>
              <a:lnTo>
                <a:pt x="3304032" y="1446276"/>
              </a:lnTo>
              <a:lnTo>
                <a:pt x="3304032" y="1242060"/>
              </a:lnTo>
              <a:close/>
            </a:path>
            <a:path w="7315200" h="1861185">
              <a:moveTo>
                <a:pt x="3304032" y="1034796"/>
              </a:moveTo>
              <a:lnTo>
                <a:pt x="2756916" y="1034796"/>
              </a:lnTo>
              <a:lnTo>
                <a:pt x="2756916" y="1239012"/>
              </a:lnTo>
              <a:lnTo>
                <a:pt x="3304032" y="1239012"/>
              </a:lnTo>
              <a:lnTo>
                <a:pt x="3304032" y="1034796"/>
              </a:lnTo>
              <a:close/>
            </a:path>
            <a:path w="7315200" h="1861185">
              <a:moveTo>
                <a:pt x="3304032" y="827532"/>
              </a:moveTo>
              <a:lnTo>
                <a:pt x="2756916" y="827532"/>
              </a:lnTo>
              <a:lnTo>
                <a:pt x="2756916" y="1031748"/>
              </a:lnTo>
              <a:lnTo>
                <a:pt x="3304032" y="1031748"/>
              </a:lnTo>
              <a:lnTo>
                <a:pt x="3304032" y="827532"/>
              </a:lnTo>
              <a:close/>
            </a:path>
            <a:path w="7315200" h="1861185">
              <a:moveTo>
                <a:pt x="3304032" y="620268"/>
              </a:moveTo>
              <a:lnTo>
                <a:pt x="2756916" y="620268"/>
              </a:lnTo>
              <a:lnTo>
                <a:pt x="2756916" y="824484"/>
              </a:lnTo>
              <a:lnTo>
                <a:pt x="3304032" y="824484"/>
              </a:lnTo>
              <a:lnTo>
                <a:pt x="3304032" y="620268"/>
              </a:lnTo>
              <a:close/>
            </a:path>
            <a:path w="7315200" h="1861185">
              <a:moveTo>
                <a:pt x="3304032" y="414528"/>
              </a:moveTo>
              <a:lnTo>
                <a:pt x="2756916" y="414528"/>
              </a:lnTo>
              <a:lnTo>
                <a:pt x="2756916" y="617220"/>
              </a:lnTo>
              <a:lnTo>
                <a:pt x="3304032" y="617220"/>
              </a:lnTo>
              <a:lnTo>
                <a:pt x="3304032" y="414528"/>
              </a:lnTo>
              <a:close/>
            </a:path>
            <a:path w="7315200" h="1861185">
              <a:moveTo>
                <a:pt x="3304032" y="207264"/>
              </a:moveTo>
              <a:lnTo>
                <a:pt x="2756916" y="207264"/>
              </a:lnTo>
              <a:lnTo>
                <a:pt x="2756916" y="411480"/>
              </a:lnTo>
              <a:lnTo>
                <a:pt x="3304032" y="411480"/>
              </a:lnTo>
              <a:lnTo>
                <a:pt x="3304032" y="207264"/>
              </a:lnTo>
              <a:close/>
            </a:path>
            <a:path w="7315200" h="1861185">
              <a:moveTo>
                <a:pt x="3304032" y="0"/>
              </a:moveTo>
              <a:lnTo>
                <a:pt x="2756916" y="0"/>
              </a:lnTo>
              <a:lnTo>
                <a:pt x="2756916" y="204216"/>
              </a:lnTo>
              <a:lnTo>
                <a:pt x="3304032" y="204216"/>
              </a:lnTo>
              <a:lnTo>
                <a:pt x="3304032" y="0"/>
              </a:lnTo>
              <a:close/>
            </a:path>
            <a:path w="7315200" h="1861185">
              <a:moveTo>
                <a:pt x="3998976" y="1656588"/>
              </a:moveTo>
              <a:lnTo>
                <a:pt x="3307080" y="1656588"/>
              </a:lnTo>
              <a:lnTo>
                <a:pt x="3307080" y="1860804"/>
              </a:lnTo>
              <a:lnTo>
                <a:pt x="3998976" y="1860804"/>
              </a:lnTo>
              <a:lnTo>
                <a:pt x="3998976" y="1656588"/>
              </a:lnTo>
              <a:close/>
            </a:path>
            <a:path w="7315200" h="1861185">
              <a:moveTo>
                <a:pt x="3998976" y="1449324"/>
              </a:moveTo>
              <a:lnTo>
                <a:pt x="3307080" y="1449324"/>
              </a:lnTo>
              <a:lnTo>
                <a:pt x="3307080" y="1653540"/>
              </a:lnTo>
              <a:lnTo>
                <a:pt x="3998976" y="1653540"/>
              </a:lnTo>
              <a:lnTo>
                <a:pt x="3998976" y="1449324"/>
              </a:lnTo>
              <a:close/>
            </a:path>
            <a:path w="7315200" h="1861185">
              <a:moveTo>
                <a:pt x="3998976" y="1242060"/>
              </a:moveTo>
              <a:lnTo>
                <a:pt x="3307080" y="1242060"/>
              </a:lnTo>
              <a:lnTo>
                <a:pt x="3307080" y="1446276"/>
              </a:lnTo>
              <a:lnTo>
                <a:pt x="3998976" y="1446276"/>
              </a:lnTo>
              <a:lnTo>
                <a:pt x="3998976" y="1242060"/>
              </a:lnTo>
              <a:close/>
            </a:path>
            <a:path w="7315200" h="1861185">
              <a:moveTo>
                <a:pt x="3998976" y="1034796"/>
              </a:moveTo>
              <a:lnTo>
                <a:pt x="3307080" y="1034796"/>
              </a:lnTo>
              <a:lnTo>
                <a:pt x="3307080" y="1239012"/>
              </a:lnTo>
              <a:lnTo>
                <a:pt x="3998976" y="1239012"/>
              </a:lnTo>
              <a:lnTo>
                <a:pt x="3998976" y="1034796"/>
              </a:lnTo>
              <a:close/>
            </a:path>
            <a:path w="7315200" h="1861185">
              <a:moveTo>
                <a:pt x="3998976" y="827532"/>
              </a:moveTo>
              <a:lnTo>
                <a:pt x="3307080" y="827532"/>
              </a:lnTo>
              <a:lnTo>
                <a:pt x="3307080" y="1031748"/>
              </a:lnTo>
              <a:lnTo>
                <a:pt x="3998976" y="1031748"/>
              </a:lnTo>
              <a:lnTo>
                <a:pt x="3998976" y="827532"/>
              </a:lnTo>
              <a:close/>
            </a:path>
            <a:path w="7315200" h="1861185">
              <a:moveTo>
                <a:pt x="3998976" y="620268"/>
              </a:moveTo>
              <a:lnTo>
                <a:pt x="3307080" y="620268"/>
              </a:lnTo>
              <a:lnTo>
                <a:pt x="3307080" y="824484"/>
              </a:lnTo>
              <a:lnTo>
                <a:pt x="3998976" y="824484"/>
              </a:lnTo>
              <a:lnTo>
                <a:pt x="3998976" y="620268"/>
              </a:lnTo>
              <a:close/>
            </a:path>
            <a:path w="7315200" h="1861185">
              <a:moveTo>
                <a:pt x="3998976" y="414528"/>
              </a:moveTo>
              <a:lnTo>
                <a:pt x="3307080" y="414528"/>
              </a:lnTo>
              <a:lnTo>
                <a:pt x="3307080" y="617220"/>
              </a:lnTo>
              <a:lnTo>
                <a:pt x="3998976" y="617220"/>
              </a:lnTo>
              <a:lnTo>
                <a:pt x="3998976" y="414528"/>
              </a:lnTo>
              <a:close/>
            </a:path>
            <a:path w="7315200" h="1861185">
              <a:moveTo>
                <a:pt x="3998976" y="207264"/>
              </a:moveTo>
              <a:lnTo>
                <a:pt x="3307080" y="207264"/>
              </a:lnTo>
              <a:lnTo>
                <a:pt x="3307080" y="411480"/>
              </a:lnTo>
              <a:lnTo>
                <a:pt x="3998976" y="411480"/>
              </a:lnTo>
              <a:lnTo>
                <a:pt x="3998976" y="207264"/>
              </a:lnTo>
              <a:close/>
            </a:path>
            <a:path w="7315200" h="1861185">
              <a:moveTo>
                <a:pt x="3998976" y="0"/>
              </a:moveTo>
              <a:lnTo>
                <a:pt x="3307080" y="0"/>
              </a:lnTo>
              <a:lnTo>
                <a:pt x="3307080" y="204216"/>
              </a:lnTo>
              <a:lnTo>
                <a:pt x="3998976" y="204216"/>
              </a:lnTo>
              <a:lnTo>
                <a:pt x="3998976" y="0"/>
              </a:lnTo>
              <a:close/>
            </a:path>
            <a:path w="7315200" h="1861185">
              <a:moveTo>
                <a:pt x="4828032" y="1656588"/>
              </a:moveTo>
              <a:lnTo>
                <a:pt x="4002024" y="1656588"/>
              </a:lnTo>
              <a:lnTo>
                <a:pt x="4002024" y="1860804"/>
              </a:lnTo>
              <a:lnTo>
                <a:pt x="4828032" y="1860804"/>
              </a:lnTo>
              <a:lnTo>
                <a:pt x="4828032" y="1656588"/>
              </a:lnTo>
              <a:close/>
            </a:path>
            <a:path w="7315200" h="1861185">
              <a:moveTo>
                <a:pt x="4828032" y="1449324"/>
              </a:moveTo>
              <a:lnTo>
                <a:pt x="4002024" y="1449324"/>
              </a:lnTo>
              <a:lnTo>
                <a:pt x="4002024" y="1653540"/>
              </a:lnTo>
              <a:lnTo>
                <a:pt x="4828032" y="1653540"/>
              </a:lnTo>
              <a:lnTo>
                <a:pt x="4828032" y="1449324"/>
              </a:lnTo>
              <a:close/>
            </a:path>
            <a:path w="7315200" h="1861185">
              <a:moveTo>
                <a:pt x="4828032" y="1242060"/>
              </a:moveTo>
              <a:lnTo>
                <a:pt x="4002024" y="1242060"/>
              </a:lnTo>
              <a:lnTo>
                <a:pt x="4002024" y="1446276"/>
              </a:lnTo>
              <a:lnTo>
                <a:pt x="4828032" y="1446276"/>
              </a:lnTo>
              <a:lnTo>
                <a:pt x="4828032" y="1242060"/>
              </a:lnTo>
              <a:close/>
            </a:path>
            <a:path w="7315200" h="1861185">
              <a:moveTo>
                <a:pt x="4828032" y="1034796"/>
              </a:moveTo>
              <a:lnTo>
                <a:pt x="4002024" y="1034796"/>
              </a:lnTo>
              <a:lnTo>
                <a:pt x="4002024" y="1239012"/>
              </a:lnTo>
              <a:lnTo>
                <a:pt x="4828032" y="1239012"/>
              </a:lnTo>
              <a:lnTo>
                <a:pt x="4828032" y="1034796"/>
              </a:lnTo>
              <a:close/>
            </a:path>
            <a:path w="7315200" h="1861185">
              <a:moveTo>
                <a:pt x="4828032" y="827532"/>
              </a:moveTo>
              <a:lnTo>
                <a:pt x="4002024" y="827532"/>
              </a:lnTo>
              <a:lnTo>
                <a:pt x="4002024" y="1031748"/>
              </a:lnTo>
              <a:lnTo>
                <a:pt x="4828032" y="1031748"/>
              </a:lnTo>
              <a:lnTo>
                <a:pt x="4828032" y="827532"/>
              </a:lnTo>
              <a:close/>
            </a:path>
            <a:path w="7315200" h="1861185">
              <a:moveTo>
                <a:pt x="4828032" y="620268"/>
              </a:moveTo>
              <a:lnTo>
                <a:pt x="4002024" y="620268"/>
              </a:lnTo>
              <a:lnTo>
                <a:pt x="4002024" y="824484"/>
              </a:lnTo>
              <a:lnTo>
                <a:pt x="4828032" y="824484"/>
              </a:lnTo>
              <a:lnTo>
                <a:pt x="4828032" y="620268"/>
              </a:lnTo>
              <a:close/>
            </a:path>
            <a:path w="7315200" h="1861185">
              <a:moveTo>
                <a:pt x="4828032" y="414528"/>
              </a:moveTo>
              <a:lnTo>
                <a:pt x="4002024" y="414528"/>
              </a:lnTo>
              <a:lnTo>
                <a:pt x="4002024" y="617220"/>
              </a:lnTo>
              <a:lnTo>
                <a:pt x="4828032" y="617220"/>
              </a:lnTo>
              <a:lnTo>
                <a:pt x="4828032" y="414528"/>
              </a:lnTo>
              <a:close/>
            </a:path>
            <a:path w="7315200" h="1861185">
              <a:moveTo>
                <a:pt x="4828032" y="207264"/>
              </a:moveTo>
              <a:lnTo>
                <a:pt x="4002024" y="207264"/>
              </a:lnTo>
              <a:lnTo>
                <a:pt x="4002024" y="411480"/>
              </a:lnTo>
              <a:lnTo>
                <a:pt x="4828032" y="411480"/>
              </a:lnTo>
              <a:lnTo>
                <a:pt x="4828032" y="207264"/>
              </a:lnTo>
              <a:close/>
            </a:path>
            <a:path w="7315200" h="1861185">
              <a:moveTo>
                <a:pt x="4828032" y="0"/>
              </a:moveTo>
              <a:lnTo>
                <a:pt x="4002024" y="0"/>
              </a:lnTo>
              <a:lnTo>
                <a:pt x="4002024" y="204216"/>
              </a:lnTo>
              <a:lnTo>
                <a:pt x="4828032" y="204216"/>
              </a:lnTo>
              <a:lnTo>
                <a:pt x="4828032" y="0"/>
              </a:lnTo>
              <a:close/>
            </a:path>
            <a:path w="7315200" h="1861185">
              <a:moveTo>
                <a:pt x="5657088" y="1656588"/>
              </a:moveTo>
              <a:lnTo>
                <a:pt x="4831080" y="1656588"/>
              </a:lnTo>
              <a:lnTo>
                <a:pt x="4831080" y="1860804"/>
              </a:lnTo>
              <a:lnTo>
                <a:pt x="5657088" y="1860804"/>
              </a:lnTo>
              <a:lnTo>
                <a:pt x="5657088" y="1656588"/>
              </a:lnTo>
              <a:close/>
            </a:path>
            <a:path w="7315200" h="1861185">
              <a:moveTo>
                <a:pt x="5657088" y="1449324"/>
              </a:moveTo>
              <a:lnTo>
                <a:pt x="4831080" y="1449324"/>
              </a:lnTo>
              <a:lnTo>
                <a:pt x="4831080" y="1653540"/>
              </a:lnTo>
              <a:lnTo>
                <a:pt x="5657088" y="1653540"/>
              </a:lnTo>
              <a:lnTo>
                <a:pt x="5657088" y="1449324"/>
              </a:lnTo>
              <a:close/>
            </a:path>
            <a:path w="7315200" h="1861185">
              <a:moveTo>
                <a:pt x="5657088" y="1242060"/>
              </a:moveTo>
              <a:lnTo>
                <a:pt x="4831080" y="1242060"/>
              </a:lnTo>
              <a:lnTo>
                <a:pt x="4831080" y="1446276"/>
              </a:lnTo>
              <a:lnTo>
                <a:pt x="5657088" y="1446276"/>
              </a:lnTo>
              <a:lnTo>
                <a:pt x="5657088" y="1242060"/>
              </a:lnTo>
              <a:close/>
            </a:path>
            <a:path w="7315200" h="1861185">
              <a:moveTo>
                <a:pt x="5657088" y="1034796"/>
              </a:moveTo>
              <a:lnTo>
                <a:pt x="4831080" y="1034796"/>
              </a:lnTo>
              <a:lnTo>
                <a:pt x="4831080" y="1239012"/>
              </a:lnTo>
              <a:lnTo>
                <a:pt x="5657088" y="1239012"/>
              </a:lnTo>
              <a:lnTo>
                <a:pt x="5657088" y="1034796"/>
              </a:lnTo>
              <a:close/>
            </a:path>
            <a:path w="7315200" h="1861185">
              <a:moveTo>
                <a:pt x="5657088" y="827532"/>
              </a:moveTo>
              <a:lnTo>
                <a:pt x="4831080" y="827532"/>
              </a:lnTo>
              <a:lnTo>
                <a:pt x="4831080" y="1031748"/>
              </a:lnTo>
              <a:lnTo>
                <a:pt x="5657088" y="1031748"/>
              </a:lnTo>
              <a:lnTo>
                <a:pt x="5657088" y="827532"/>
              </a:lnTo>
              <a:close/>
            </a:path>
            <a:path w="7315200" h="1861185">
              <a:moveTo>
                <a:pt x="5657088" y="620268"/>
              </a:moveTo>
              <a:lnTo>
                <a:pt x="4831080" y="620268"/>
              </a:lnTo>
              <a:lnTo>
                <a:pt x="4831080" y="824484"/>
              </a:lnTo>
              <a:lnTo>
                <a:pt x="5657088" y="824484"/>
              </a:lnTo>
              <a:lnTo>
                <a:pt x="5657088" y="620268"/>
              </a:lnTo>
              <a:close/>
            </a:path>
            <a:path w="7315200" h="1861185">
              <a:moveTo>
                <a:pt x="5657088" y="414528"/>
              </a:moveTo>
              <a:lnTo>
                <a:pt x="4831080" y="414528"/>
              </a:lnTo>
              <a:lnTo>
                <a:pt x="4831080" y="617220"/>
              </a:lnTo>
              <a:lnTo>
                <a:pt x="5657088" y="617220"/>
              </a:lnTo>
              <a:lnTo>
                <a:pt x="5657088" y="414528"/>
              </a:lnTo>
              <a:close/>
            </a:path>
            <a:path w="7315200" h="1861185">
              <a:moveTo>
                <a:pt x="5657088" y="207264"/>
              </a:moveTo>
              <a:lnTo>
                <a:pt x="4831080" y="207264"/>
              </a:lnTo>
              <a:lnTo>
                <a:pt x="4831080" y="411480"/>
              </a:lnTo>
              <a:lnTo>
                <a:pt x="5657088" y="411480"/>
              </a:lnTo>
              <a:lnTo>
                <a:pt x="5657088" y="207264"/>
              </a:lnTo>
              <a:close/>
            </a:path>
            <a:path w="7315200" h="1861185">
              <a:moveTo>
                <a:pt x="5657088" y="0"/>
              </a:moveTo>
              <a:lnTo>
                <a:pt x="4831080" y="0"/>
              </a:lnTo>
              <a:lnTo>
                <a:pt x="4831080" y="204216"/>
              </a:lnTo>
              <a:lnTo>
                <a:pt x="5657088" y="204216"/>
              </a:lnTo>
              <a:lnTo>
                <a:pt x="5657088" y="0"/>
              </a:lnTo>
              <a:close/>
            </a:path>
            <a:path w="7315200" h="1861185">
              <a:moveTo>
                <a:pt x="6486144" y="1656588"/>
              </a:moveTo>
              <a:lnTo>
                <a:pt x="5660136" y="1656588"/>
              </a:lnTo>
              <a:lnTo>
                <a:pt x="5660136" y="1860804"/>
              </a:lnTo>
              <a:lnTo>
                <a:pt x="6486144" y="1860804"/>
              </a:lnTo>
              <a:lnTo>
                <a:pt x="6486144" y="1656588"/>
              </a:lnTo>
              <a:close/>
            </a:path>
            <a:path w="7315200" h="1861185">
              <a:moveTo>
                <a:pt x="6486144" y="1449324"/>
              </a:moveTo>
              <a:lnTo>
                <a:pt x="5660136" y="1449324"/>
              </a:lnTo>
              <a:lnTo>
                <a:pt x="5660136" y="1653540"/>
              </a:lnTo>
              <a:lnTo>
                <a:pt x="6486144" y="1653540"/>
              </a:lnTo>
              <a:lnTo>
                <a:pt x="6486144" y="1449324"/>
              </a:lnTo>
              <a:close/>
            </a:path>
            <a:path w="7315200" h="1861185">
              <a:moveTo>
                <a:pt x="6486144" y="1242060"/>
              </a:moveTo>
              <a:lnTo>
                <a:pt x="5660136" y="1242060"/>
              </a:lnTo>
              <a:lnTo>
                <a:pt x="5660136" y="1446276"/>
              </a:lnTo>
              <a:lnTo>
                <a:pt x="6486144" y="1446276"/>
              </a:lnTo>
              <a:lnTo>
                <a:pt x="6486144" y="1242060"/>
              </a:lnTo>
              <a:close/>
            </a:path>
            <a:path w="7315200" h="1861185">
              <a:moveTo>
                <a:pt x="6486144" y="1034796"/>
              </a:moveTo>
              <a:lnTo>
                <a:pt x="5660136" y="1034796"/>
              </a:lnTo>
              <a:lnTo>
                <a:pt x="5660136" y="1239012"/>
              </a:lnTo>
              <a:lnTo>
                <a:pt x="6486144" y="1239012"/>
              </a:lnTo>
              <a:lnTo>
                <a:pt x="6486144" y="1034796"/>
              </a:lnTo>
              <a:close/>
            </a:path>
            <a:path w="7315200" h="1861185">
              <a:moveTo>
                <a:pt x="6486144" y="827532"/>
              </a:moveTo>
              <a:lnTo>
                <a:pt x="5660136" y="827532"/>
              </a:lnTo>
              <a:lnTo>
                <a:pt x="5660136" y="1031748"/>
              </a:lnTo>
              <a:lnTo>
                <a:pt x="6486144" y="1031748"/>
              </a:lnTo>
              <a:lnTo>
                <a:pt x="6486144" y="827532"/>
              </a:lnTo>
              <a:close/>
            </a:path>
            <a:path w="7315200" h="1861185">
              <a:moveTo>
                <a:pt x="6486144" y="620268"/>
              </a:moveTo>
              <a:lnTo>
                <a:pt x="5660136" y="620268"/>
              </a:lnTo>
              <a:lnTo>
                <a:pt x="5660136" y="824484"/>
              </a:lnTo>
              <a:lnTo>
                <a:pt x="6486144" y="824484"/>
              </a:lnTo>
              <a:lnTo>
                <a:pt x="6486144" y="620268"/>
              </a:lnTo>
              <a:close/>
            </a:path>
            <a:path w="7315200" h="1861185">
              <a:moveTo>
                <a:pt x="6486144" y="414528"/>
              </a:moveTo>
              <a:lnTo>
                <a:pt x="5660136" y="414528"/>
              </a:lnTo>
              <a:lnTo>
                <a:pt x="5660136" y="617220"/>
              </a:lnTo>
              <a:lnTo>
                <a:pt x="6486144" y="617220"/>
              </a:lnTo>
              <a:lnTo>
                <a:pt x="6486144" y="414528"/>
              </a:lnTo>
              <a:close/>
            </a:path>
            <a:path w="7315200" h="1861185">
              <a:moveTo>
                <a:pt x="6486144" y="207264"/>
              </a:moveTo>
              <a:lnTo>
                <a:pt x="5660136" y="207264"/>
              </a:lnTo>
              <a:lnTo>
                <a:pt x="5660136" y="411480"/>
              </a:lnTo>
              <a:lnTo>
                <a:pt x="6486144" y="411480"/>
              </a:lnTo>
              <a:lnTo>
                <a:pt x="6486144" y="207264"/>
              </a:lnTo>
              <a:close/>
            </a:path>
            <a:path w="7315200" h="1861185">
              <a:moveTo>
                <a:pt x="6486144" y="0"/>
              </a:moveTo>
              <a:lnTo>
                <a:pt x="5660136" y="0"/>
              </a:lnTo>
              <a:lnTo>
                <a:pt x="5660136" y="204216"/>
              </a:lnTo>
              <a:lnTo>
                <a:pt x="6486144" y="204216"/>
              </a:lnTo>
              <a:lnTo>
                <a:pt x="6486144" y="0"/>
              </a:lnTo>
              <a:close/>
            </a:path>
            <a:path w="7315200" h="1861185">
              <a:moveTo>
                <a:pt x="7315200" y="1656588"/>
              </a:moveTo>
              <a:lnTo>
                <a:pt x="6489192" y="1656588"/>
              </a:lnTo>
              <a:lnTo>
                <a:pt x="6489192" y="1860804"/>
              </a:lnTo>
              <a:lnTo>
                <a:pt x="7315200" y="1860804"/>
              </a:lnTo>
              <a:lnTo>
                <a:pt x="7315200" y="1656588"/>
              </a:lnTo>
              <a:close/>
            </a:path>
            <a:path w="7315200" h="1861185">
              <a:moveTo>
                <a:pt x="7315200" y="1449324"/>
              </a:moveTo>
              <a:lnTo>
                <a:pt x="6489192" y="1449324"/>
              </a:lnTo>
              <a:lnTo>
                <a:pt x="6489192" y="1653540"/>
              </a:lnTo>
              <a:lnTo>
                <a:pt x="7315200" y="1653540"/>
              </a:lnTo>
              <a:lnTo>
                <a:pt x="7315200" y="1449324"/>
              </a:lnTo>
              <a:close/>
            </a:path>
            <a:path w="7315200" h="1861185">
              <a:moveTo>
                <a:pt x="7315200" y="1242060"/>
              </a:moveTo>
              <a:lnTo>
                <a:pt x="6489192" y="1242060"/>
              </a:lnTo>
              <a:lnTo>
                <a:pt x="6489192" y="1446276"/>
              </a:lnTo>
              <a:lnTo>
                <a:pt x="7315200" y="1446276"/>
              </a:lnTo>
              <a:lnTo>
                <a:pt x="7315200" y="1242060"/>
              </a:lnTo>
              <a:close/>
            </a:path>
            <a:path w="7315200" h="1861185">
              <a:moveTo>
                <a:pt x="7315200" y="1034796"/>
              </a:moveTo>
              <a:lnTo>
                <a:pt x="6489192" y="1034796"/>
              </a:lnTo>
              <a:lnTo>
                <a:pt x="6489192" y="1239012"/>
              </a:lnTo>
              <a:lnTo>
                <a:pt x="7315200" y="1239012"/>
              </a:lnTo>
              <a:lnTo>
                <a:pt x="7315200" y="1034796"/>
              </a:lnTo>
              <a:close/>
            </a:path>
            <a:path w="7315200" h="1861185">
              <a:moveTo>
                <a:pt x="7315200" y="827532"/>
              </a:moveTo>
              <a:lnTo>
                <a:pt x="6489192" y="827532"/>
              </a:lnTo>
              <a:lnTo>
                <a:pt x="6489192" y="1031748"/>
              </a:lnTo>
              <a:lnTo>
                <a:pt x="7315200" y="1031748"/>
              </a:lnTo>
              <a:lnTo>
                <a:pt x="7315200" y="827532"/>
              </a:lnTo>
              <a:close/>
            </a:path>
            <a:path w="7315200" h="1861185">
              <a:moveTo>
                <a:pt x="7315200" y="620268"/>
              </a:moveTo>
              <a:lnTo>
                <a:pt x="6489192" y="620268"/>
              </a:lnTo>
              <a:lnTo>
                <a:pt x="6489192" y="824484"/>
              </a:lnTo>
              <a:lnTo>
                <a:pt x="7315200" y="824484"/>
              </a:lnTo>
              <a:lnTo>
                <a:pt x="7315200" y="620268"/>
              </a:lnTo>
              <a:close/>
            </a:path>
            <a:path w="7315200" h="1861185">
              <a:moveTo>
                <a:pt x="7315200" y="414528"/>
              </a:moveTo>
              <a:lnTo>
                <a:pt x="6489192" y="414528"/>
              </a:lnTo>
              <a:lnTo>
                <a:pt x="6489192" y="617220"/>
              </a:lnTo>
              <a:lnTo>
                <a:pt x="7315200" y="617220"/>
              </a:lnTo>
              <a:lnTo>
                <a:pt x="7315200" y="414528"/>
              </a:lnTo>
              <a:close/>
            </a:path>
            <a:path w="7315200" h="1861185">
              <a:moveTo>
                <a:pt x="7315200" y="207264"/>
              </a:moveTo>
              <a:lnTo>
                <a:pt x="6489192" y="207264"/>
              </a:lnTo>
              <a:lnTo>
                <a:pt x="6489192" y="411480"/>
              </a:lnTo>
              <a:lnTo>
                <a:pt x="7315200" y="411480"/>
              </a:lnTo>
              <a:lnTo>
                <a:pt x="7315200" y="207264"/>
              </a:lnTo>
              <a:close/>
            </a:path>
            <a:path w="7315200" h="1861185">
              <a:moveTo>
                <a:pt x="7315200" y="0"/>
              </a:moveTo>
              <a:lnTo>
                <a:pt x="6489192" y="0"/>
              </a:lnTo>
              <a:lnTo>
                <a:pt x="6489192" y="204216"/>
              </a:lnTo>
              <a:lnTo>
                <a:pt x="7315200" y="204216"/>
              </a:lnTo>
              <a:lnTo>
                <a:pt x="7315200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10</xdr:col>
      <xdr:colOff>536321</xdr:colOff>
      <xdr:row>16</xdr:row>
      <xdr:rowOff>0</xdr:rowOff>
    </xdr:from>
    <xdr:ext cx="702945" cy="1861185"/>
    <xdr:sp macro="" textlink="">
      <xdr:nvSpPr>
        <xdr:cNvPr id="67" name="Shape 67">
          <a:extLst>
            <a:ext uri="{FF2B5EF4-FFF2-40B4-BE49-F238E27FC236}">
              <a16:creationId xmlns:a16="http://schemas.microsoft.com/office/drawing/2014/main" id="{00000000-0008-0000-0600-000043000000}"/>
            </a:ext>
          </a:extLst>
        </xdr:cNvPr>
        <xdr:cNvSpPr/>
      </xdr:nvSpPr>
      <xdr:spPr>
        <a:xfrm>
          <a:off x="0" y="0"/>
          <a:ext cx="702945" cy="1861185"/>
        </a:xfrm>
        <a:custGeom>
          <a:avLst/>
          <a:gdLst/>
          <a:ahLst/>
          <a:cxnLst/>
          <a:rect l="0" t="0" r="0" b="0"/>
          <a:pathLst>
            <a:path w="702945" h="1861185">
              <a:moveTo>
                <a:pt x="702564" y="1656588"/>
              </a:moveTo>
              <a:lnTo>
                <a:pt x="0" y="1656588"/>
              </a:lnTo>
              <a:lnTo>
                <a:pt x="0" y="1860804"/>
              </a:lnTo>
              <a:lnTo>
                <a:pt x="702564" y="1860804"/>
              </a:lnTo>
              <a:lnTo>
                <a:pt x="702564" y="1656588"/>
              </a:lnTo>
              <a:close/>
            </a:path>
            <a:path w="702945" h="1861185">
              <a:moveTo>
                <a:pt x="702564" y="1449324"/>
              </a:moveTo>
              <a:lnTo>
                <a:pt x="0" y="1449324"/>
              </a:lnTo>
              <a:lnTo>
                <a:pt x="0" y="1653540"/>
              </a:lnTo>
              <a:lnTo>
                <a:pt x="702564" y="1653540"/>
              </a:lnTo>
              <a:lnTo>
                <a:pt x="702564" y="1449324"/>
              </a:lnTo>
              <a:close/>
            </a:path>
            <a:path w="702945" h="1861185">
              <a:moveTo>
                <a:pt x="702564" y="1242060"/>
              </a:moveTo>
              <a:lnTo>
                <a:pt x="0" y="1242060"/>
              </a:lnTo>
              <a:lnTo>
                <a:pt x="0" y="1446276"/>
              </a:lnTo>
              <a:lnTo>
                <a:pt x="702564" y="1446276"/>
              </a:lnTo>
              <a:lnTo>
                <a:pt x="702564" y="1242060"/>
              </a:lnTo>
              <a:close/>
            </a:path>
            <a:path w="702945" h="1861185">
              <a:moveTo>
                <a:pt x="702564" y="1034796"/>
              </a:moveTo>
              <a:lnTo>
                <a:pt x="0" y="1034796"/>
              </a:lnTo>
              <a:lnTo>
                <a:pt x="0" y="1239012"/>
              </a:lnTo>
              <a:lnTo>
                <a:pt x="702564" y="1239012"/>
              </a:lnTo>
              <a:lnTo>
                <a:pt x="702564" y="1034796"/>
              </a:lnTo>
              <a:close/>
            </a:path>
            <a:path w="702945" h="1861185">
              <a:moveTo>
                <a:pt x="702564" y="827532"/>
              </a:moveTo>
              <a:lnTo>
                <a:pt x="0" y="827532"/>
              </a:lnTo>
              <a:lnTo>
                <a:pt x="0" y="1031748"/>
              </a:lnTo>
              <a:lnTo>
                <a:pt x="702564" y="1031748"/>
              </a:lnTo>
              <a:lnTo>
                <a:pt x="702564" y="827532"/>
              </a:lnTo>
              <a:close/>
            </a:path>
            <a:path w="702945" h="1861185">
              <a:moveTo>
                <a:pt x="702564" y="620268"/>
              </a:moveTo>
              <a:lnTo>
                <a:pt x="0" y="620268"/>
              </a:lnTo>
              <a:lnTo>
                <a:pt x="0" y="824484"/>
              </a:lnTo>
              <a:lnTo>
                <a:pt x="702564" y="824484"/>
              </a:lnTo>
              <a:lnTo>
                <a:pt x="702564" y="620268"/>
              </a:lnTo>
              <a:close/>
            </a:path>
            <a:path w="702945" h="1861185">
              <a:moveTo>
                <a:pt x="702564" y="414528"/>
              </a:moveTo>
              <a:lnTo>
                <a:pt x="0" y="414528"/>
              </a:lnTo>
              <a:lnTo>
                <a:pt x="0" y="617220"/>
              </a:lnTo>
              <a:lnTo>
                <a:pt x="702564" y="617220"/>
              </a:lnTo>
              <a:lnTo>
                <a:pt x="702564" y="414528"/>
              </a:lnTo>
              <a:close/>
            </a:path>
            <a:path w="702945" h="1861185">
              <a:moveTo>
                <a:pt x="702564" y="207264"/>
              </a:moveTo>
              <a:lnTo>
                <a:pt x="0" y="207264"/>
              </a:lnTo>
              <a:lnTo>
                <a:pt x="0" y="411480"/>
              </a:lnTo>
              <a:lnTo>
                <a:pt x="702564" y="411480"/>
              </a:lnTo>
              <a:lnTo>
                <a:pt x="702564" y="207264"/>
              </a:lnTo>
              <a:close/>
            </a:path>
            <a:path w="702945" h="1861185">
              <a:moveTo>
                <a:pt x="702564" y="0"/>
              </a:moveTo>
              <a:lnTo>
                <a:pt x="0" y="0"/>
              </a:lnTo>
              <a:lnTo>
                <a:pt x="0" y="204216"/>
              </a:lnTo>
              <a:lnTo>
                <a:pt x="702564" y="204216"/>
              </a:lnTo>
              <a:lnTo>
                <a:pt x="70256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AE3E-193F-465E-8509-68FA606B766F}">
  <dimension ref="A1:AF114"/>
  <sheetViews>
    <sheetView topLeftCell="K10" workbookViewId="0">
      <selection activeCell="AF47" sqref="AF47"/>
    </sheetView>
  </sheetViews>
  <sheetFormatPr defaultRowHeight="13.2" x14ac:dyDescent="0.25"/>
  <cols>
    <col min="1" max="3" width="6" bestFit="1" customWidth="1"/>
    <col min="4" max="8" width="4" bestFit="1" customWidth="1"/>
    <col min="9" max="9" width="7" bestFit="1" customWidth="1"/>
    <col min="10" max="12" width="6" bestFit="1" customWidth="1"/>
    <col min="13" max="13" width="7.33203125" bestFit="1" customWidth="1"/>
  </cols>
  <sheetData>
    <row r="1" spans="1:32" x14ac:dyDescent="0.25">
      <c r="A1" s="22" t="s">
        <v>195</v>
      </c>
      <c r="B1" s="22" t="s">
        <v>196</v>
      </c>
      <c r="C1" s="22" t="s">
        <v>197</v>
      </c>
      <c r="D1" s="24" t="s">
        <v>285</v>
      </c>
      <c r="E1" s="24" t="s">
        <v>286</v>
      </c>
      <c r="F1" s="24" t="s">
        <v>287</v>
      </c>
      <c r="G1" s="24" t="s">
        <v>288</v>
      </c>
      <c r="H1" s="24" t="s">
        <v>289</v>
      </c>
      <c r="I1" s="24" t="s">
        <v>290</v>
      </c>
      <c r="J1" s="24" t="s">
        <v>291</v>
      </c>
      <c r="K1" s="24" t="s">
        <v>292</v>
      </c>
      <c r="L1" s="24" t="s">
        <v>293</v>
      </c>
      <c r="M1" s="24" t="s">
        <v>294</v>
      </c>
    </row>
    <row r="2" spans="1:32" x14ac:dyDescent="0.25">
      <c r="A2" s="23">
        <v>0.17711171662125341</v>
      </c>
      <c r="B2" s="23">
        <v>0.26430517711171664</v>
      </c>
      <c r="C2" s="23">
        <v>0.55040871934604907</v>
      </c>
      <c r="D2" s="24">
        <v>449</v>
      </c>
      <c r="E2" s="24">
        <v>1</v>
      </c>
      <c r="F2" s="24">
        <v>0</v>
      </c>
      <c r="G2" s="24">
        <v>0</v>
      </c>
      <c r="H2" s="24">
        <v>450</v>
      </c>
      <c r="I2" s="27">
        <v>0.99777777777777776</v>
      </c>
      <c r="J2" s="27">
        <v>2.2222222222222222E-3</v>
      </c>
      <c r="K2" s="27">
        <v>0</v>
      </c>
      <c r="L2" s="27">
        <v>0</v>
      </c>
      <c r="M2" s="25">
        <v>59.355555555555554</v>
      </c>
      <c r="O2" s="29" t="s">
        <v>104</v>
      </c>
    </row>
    <row r="3" spans="1:32" x14ac:dyDescent="0.25">
      <c r="A3" s="23">
        <v>0.15366430260047281</v>
      </c>
      <c r="B3" s="23">
        <v>0.38297872340425532</v>
      </c>
      <c r="C3" s="23">
        <v>0.45153664302600471</v>
      </c>
      <c r="D3" s="24">
        <v>537</v>
      </c>
      <c r="E3" s="24">
        <v>0</v>
      </c>
      <c r="F3" s="24">
        <v>0</v>
      </c>
      <c r="G3" s="24">
        <v>0</v>
      </c>
      <c r="H3" s="24">
        <v>537</v>
      </c>
      <c r="I3" s="27">
        <v>1</v>
      </c>
      <c r="J3" s="27">
        <v>0</v>
      </c>
      <c r="K3" s="27">
        <v>0</v>
      </c>
      <c r="L3" s="27">
        <v>0</v>
      </c>
      <c r="M3" s="25">
        <v>30.251396648044693</v>
      </c>
    </row>
    <row r="4" spans="1:32" x14ac:dyDescent="0.25">
      <c r="A4" s="23">
        <v>0.43795620437956206</v>
      </c>
      <c r="B4" s="23">
        <v>0.10583941605839416</v>
      </c>
      <c r="C4" s="23">
        <v>0.41970802919708028</v>
      </c>
      <c r="D4" s="24">
        <v>127</v>
      </c>
      <c r="E4" s="24">
        <v>227</v>
      </c>
      <c r="F4" s="24">
        <v>17</v>
      </c>
      <c r="G4" s="24">
        <v>23</v>
      </c>
      <c r="H4" s="24">
        <v>394</v>
      </c>
      <c r="I4" s="27">
        <v>0.32233502538071068</v>
      </c>
      <c r="J4" s="27">
        <v>0.57614213197969544</v>
      </c>
      <c r="K4" s="27">
        <v>4.3147208121827409E-2</v>
      </c>
      <c r="L4" s="27">
        <v>5.8375634517766499E-2</v>
      </c>
      <c r="M4" s="25">
        <v>65.096446700507613</v>
      </c>
      <c r="W4" s="29" t="s">
        <v>298</v>
      </c>
      <c r="AF4" s="29" t="s">
        <v>299</v>
      </c>
    </row>
    <row r="5" spans="1:32" x14ac:dyDescent="0.25">
      <c r="A5" s="23">
        <v>0.23102310231023102</v>
      </c>
      <c r="B5" s="23">
        <v>0.13861386138613863</v>
      </c>
      <c r="C5" s="23">
        <v>0.59405940594059403</v>
      </c>
      <c r="D5" s="24">
        <v>189</v>
      </c>
      <c r="E5" s="24">
        <v>80</v>
      </c>
      <c r="F5" s="24">
        <v>30</v>
      </c>
      <c r="G5" s="24">
        <v>96</v>
      </c>
      <c r="H5" s="24">
        <v>395</v>
      </c>
      <c r="I5" s="27">
        <v>0.47848101265822784</v>
      </c>
      <c r="J5" s="27">
        <v>0.20253164556962025</v>
      </c>
      <c r="K5" s="27">
        <v>7.5949367088607597E-2</v>
      </c>
      <c r="L5" s="27">
        <v>0.24303797468354429</v>
      </c>
      <c r="M5" s="25">
        <v>31.984810126582278</v>
      </c>
    </row>
    <row r="6" spans="1:32" x14ac:dyDescent="0.25">
      <c r="A6" s="23">
        <v>0.24649859943977592</v>
      </c>
      <c r="B6" s="23">
        <v>9.8039215686274508E-2</v>
      </c>
      <c r="C6" s="23">
        <v>0.63585434173669464</v>
      </c>
      <c r="D6" s="24">
        <v>316</v>
      </c>
      <c r="E6" s="24">
        <v>112</v>
      </c>
      <c r="F6" s="24">
        <v>22</v>
      </c>
      <c r="G6" s="24">
        <v>0</v>
      </c>
      <c r="H6" s="24">
        <v>450</v>
      </c>
      <c r="I6" s="27">
        <v>0.70222222222222219</v>
      </c>
      <c r="J6" s="27">
        <v>0.24888888888888888</v>
      </c>
      <c r="K6" s="27">
        <v>4.8888888888888891E-2</v>
      </c>
      <c r="L6" s="27">
        <v>0</v>
      </c>
      <c r="M6" s="25">
        <v>66.577777777777783</v>
      </c>
      <c r="W6" s="31">
        <f>-0.6631+0.7536</f>
        <v>9.0500000000000025E-2</v>
      </c>
      <c r="AF6" s="31">
        <f>0.7471+0.136</f>
        <v>0.8831</v>
      </c>
    </row>
    <row r="7" spans="1:32" x14ac:dyDescent="0.25">
      <c r="A7" s="23">
        <v>0.39285714285714285</v>
      </c>
      <c r="B7" s="23">
        <v>0.19047619047619047</v>
      </c>
      <c r="C7" s="23">
        <v>0.39761904761904759</v>
      </c>
      <c r="D7" s="24">
        <v>334</v>
      </c>
      <c r="E7" s="24">
        <v>185</v>
      </c>
      <c r="F7" s="24">
        <v>42</v>
      </c>
      <c r="G7" s="24">
        <v>6</v>
      </c>
      <c r="H7" s="24">
        <v>567</v>
      </c>
      <c r="I7" s="27">
        <v>0.58906525573192237</v>
      </c>
      <c r="J7" s="27">
        <v>0.32627865961199293</v>
      </c>
      <c r="K7" s="27">
        <v>7.407407407407407E-2</v>
      </c>
      <c r="L7" s="27">
        <v>1.0582010582010581E-2</v>
      </c>
      <c r="M7" s="25">
        <v>50.564373897707227</v>
      </c>
    </row>
    <row r="8" spans="1:32" x14ac:dyDescent="0.25">
      <c r="A8" s="23">
        <v>0.34108527131782945</v>
      </c>
      <c r="B8" s="23">
        <v>0.26098191214470284</v>
      </c>
      <c r="C8" s="23">
        <v>0.37984496124031009</v>
      </c>
      <c r="D8" s="24">
        <v>359</v>
      </c>
      <c r="E8" s="24">
        <v>166</v>
      </c>
      <c r="F8" s="24">
        <v>40</v>
      </c>
      <c r="G8" s="24">
        <v>2</v>
      </c>
      <c r="H8" s="24">
        <v>567</v>
      </c>
      <c r="I8" s="27">
        <v>0.63315696649029984</v>
      </c>
      <c r="J8" s="27">
        <v>0.29276895943562609</v>
      </c>
      <c r="K8" s="27">
        <v>7.0546737213403876E-2</v>
      </c>
      <c r="L8" s="27">
        <v>3.5273368606701938E-3</v>
      </c>
      <c r="M8" s="25">
        <v>36.832451499118164</v>
      </c>
    </row>
    <row r="9" spans="1:32" x14ac:dyDescent="0.25">
      <c r="A9" s="23">
        <v>0.3154034229828851</v>
      </c>
      <c r="B9" s="23">
        <v>0.27383863080684595</v>
      </c>
      <c r="C9" s="23">
        <v>0.40831295843520782</v>
      </c>
      <c r="D9" s="24">
        <v>431</v>
      </c>
      <c r="E9" s="24">
        <v>101</v>
      </c>
      <c r="F9" s="24">
        <v>34</v>
      </c>
      <c r="G9" s="24">
        <v>1</v>
      </c>
      <c r="H9" s="24">
        <v>567</v>
      </c>
      <c r="I9" s="27">
        <v>0.76014109347442682</v>
      </c>
      <c r="J9" s="27">
        <v>0.17813051146384479</v>
      </c>
      <c r="K9" s="27">
        <v>5.9964726631393295E-2</v>
      </c>
      <c r="L9" s="27">
        <v>1.7636684303350969E-3</v>
      </c>
      <c r="M9" s="25">
        <v>24.550264550264551</v>
      </c>
    </row>
    <row r="10" spans="1:32" x14ac:dyDescent="0.25">
      <c r="A10" s="23">
        <v>0.2880886426592798</v>
      </c>
      <c r="B10" s="23">
        <v>5.5401662049861494E-2</v>
      </c>
      <c r="C10" s="23">
        <v>0.61772853185595566</v>
      </c>
      <c r="D10" s="24">
        <v>218</v>
      </c>
      <c r="E10" s="24">
        <v>141</v>
      </c>
      <c r="F10" s="24">
        <v>3</v>
      </c>
      <c r="G10" s="24">
        <v>88</v>
      </c>
      <c r="H10" s="24">
        <v>450</v>
      </c>
      <c r="I10" s="27">
        <v>0.48444444444444446</v>
      </c>
      <c r="J10" s="27">
        <v>0.31333333333333335</v>
      </c>
      <c r="K10" s="27">
        <v>6.6666666666666671E-3</v>
      </c>
      <c r="L10" s="27">
        <v>0.19555555555555557</v>
      </c>
      <c r="M10" s="25">
        <v>62.80222222222222</v>
      </c>
    </row>
    <row r="11" spans="1:32" x14ac:dyDescent="0.25">
      <c r="A11" s="23">
        <v>0.109375</v>
      </c>
      <c r="B11" s="23">
        <v>0.11607142857142858</v>
      </c>
      <c r="C11" s="23">
        <v>0.7544642857142857</v>
      </c>
      <c r="D11" s="24">
        <v>346</v>
      </c>
      <c r="E11" s="24">
        <v>73</v>
      </c>
      <c r="F11" s="24">
        <v>2</v>
      </c>
      <c r="G11" s="24">
        <v>212</v>
      </c>
      <c r="H11" s="24">
        <v>633</v>
      </c>
      <c r="I11" s="27">
        <v>0.54660347551342814</v>
      </c>
      <c r="J11" s="27">
        <v>0.11532385466034756</v>
      </c>
      <c r="K11" s="27">
        <v>3.1595576619273301E-3</v>
      </c>
      <c r="L11" s="27">
        <v>0.33491311216429698</v>
      </c>
      <c r="M11" s="25">
        <v>42.333333333333336</v>
      </c>
    </row>
    <row r="12" spans="1:32" x14ac:dyDescent="0.25">
      <c r="A12" s="23">
        <v>7.370517928286853E-2</v>
      </c>
      <c r="B12" s="23">
        <v>9.5617529880478086E-2</v>
      </c>
      <c r="C12" s="23">
        <v>0.81474103585657376</v>
      </c>
      <c r="D12" s="24">
        <v>361</v>
      </c>
      <c r="E12" s="24">
        <v>45</v>
      </c>
      <c r="F12" s="24">
        <v>46</v>
      </c>
      <c r="G12" s="24">
        <v>181</v>
      </c>
      <c r="H12" s="24">
        <v>633</v>
      </c>
      <c r="I12" s="27">
        <v>0.57030015797788314</v>
      </c>
      <c r="J12" s="27">
        <v>7.1090047393364927E-2</v>
      </c>
      <c r="K12" s="27">
        <v>7.266982622432859E-2</v>
      </c>
      <c r="L12" s="27">
        <v>0.28593996840442337</v>
      </c>
      <c r="M12" s="25">
        <v>26.137440758293838</v>
      </c>
    </row>
    <row r="13" spans="1:32" x14ac:dyDescent="0.25">
      <c r="A13" s="23">
        <v>0.68831168831168832</v>
      </c>
      <c r="B13" s="23">
        <v>3.2467532467532464E-2</v>
      </c>
      <c r="C13" s="23">
        <v>0.2564935064935065</v>
      </c>
      <c r="D13" s="24">
        <v>41</v>
      </c>
      <c r="E13" s="24">
        <v>403</v>
      </c>
      <c r="F13" s="24">
        <v>5</v>
      </c>
      <c r="G13" s="24">
        <v>1</v>
      </c>
      <c r="H13" s="24">
        <v>450</v>
      </c>
      <c r="I13" s="27">
        <v>9.1111111111111115E-2</v>
      </c>
      <c r="J13" s="27">
        <v>0.89555555555555555</v>
      </c>
      <c r="K13" s="27">
        <v>1.1111111111111112E-2</v>
      </c>
      <c r="L13" s="27">
        <v>2.2222222222222222E-3</v>
      </c>
      <c r="M13" s="25">
        <v>74.906666666666666</v>
      </c>
    </row>
    <row r="14" spans="1:32" x14ac:dyDescent="0.25">
      <c r="A14" s="23">
        <v>0.74853801169590639</v>
      </c>
      <c r="B14" s="23">
        <v>1.7543859649122806E-2</v>
      </c>
      <c r="C14" s="23">
        <v>0.21929824561403508</v>
      </c>
      <c r="D14" s="24">
        <v>34</v>
      </c>
      <c r="E14" s="24">
        <v>412</v>
      </c>
      <c r="F14" s="24">
        <v>4</v>
      </c>
      <c r="G14" s="24">
        <v>0</v>
      </c>
      <c r="H14" s="24">
        <v>450</v>
      </c>
      <c r="I14" s="27">
        <v>7.5555555555555556E-2</v>
      </c>
      <c r="J14" s="27">
        <v>0.91555555555555557</v>
      </c>
      <c r="K14" s="27">
        <v>8.8888888888888889E-3</v>
      </c>
      <c r="L14" s="27">
        <v>0</v>
      </c>
      <c r="M14" s="25">
        <v>68.813333333333333</v>
      </c>
    </row>
    <row r="15" spans="1:32" x14ac:dyDescent="0.25">
      <c r="A15" s="23">
        <v>0.77298850574712641</v>
      </c>
      <c r="B15" s="23">
        <v>1.4367816091954023E-2</v>
      </c>
      <c r="C15" s="23">
        <v>0.20402298850574713</v>
      </c>
      <c r="D15" s="24">
        <v>46</v>
      </c>
      <c r="E15" s="24">
        <v>400</v>
      </c>
      <c r="F15" s="24">
        <v>4</v>
      </c>
      <c r="G15" s="24">
        <v>0</v>
      </c>
      <c r="H15" s="24">
        <v>450</v>
      </c>
      <c r="I15" s="27">
        <v>0.10222222222222223</v>
      </c>
      <c r="J15" s="27">
        <v>0.88888888888888884</v>
      </c>
      <c r="K15" s="27">
        <v>8.8888888888888889E-3</v>
      </c>
      <c r="L15" s="27">
        <v>0</v>
      </c>
      <c r="M15" s="25">
        <v>61.117777777777775</v>
      </c>
    </row>
    <row r="16" spans="1:32" x14ac:dyDescent="0.25">
      <c r="A16" s="23">
        <v>0.77079107505070998</v>
      </c>
      <c r="B16" s="23">
        <v>4.665314401622718E-2</v>
      </c>
      <c r="C16" s="23">
        <v>0.17241379310344829</v>
      </c>
      <c r="D16" s="24">
        <v>76</v>
      </c>
      <c r="E16" s="24">
        <v>602</v>
      </c>
      <c r="F16" s="24">
        <v>10</v>
      </c>
      <c r="G16" s="24">
        <v>1</v>
      </c>
      <c r="H16" s="24">
        <v>689</v>
      </c>
      <c r="I16" s="27">
        <v>0.11030478955007257</v>
      </c>
      <c r="J16" s="27">
        <v>0.8737300435413643</v>
      </c>
      <c r="K16" s="27">
        <v>1.4513788098693759E-2</v>
      </c>
      <c r="L16" s="27">
        <v>1.4513788098693759E-3</v>
      </c>
      <c r="M16" s="25">
        <v>53.20174165457184</v>
      </c>
    </row>
    <row r="17" spans="1:23" x14ac:dyDescent="0.25">
      <c r="A17" s="23">
        <v>0.74593495934959353</v>
      </c>
      <c r="B17" s="23">
        <v>8.1300813008130079E-2</v>
      </c>
      <c r="C17" s="23">
        <v>0.16463414634146342</v>
      </c>
      <c r="D17" s="24">
        <v>132</v>
      </c>
      <c r="E17" s="24">
        <v>539</v>
      </c>
      <c r="F17" s="24">
        <v>17</v>
      </c>
      <c r="G17" s="24">
        <v>1</v>
      </c>
      <c r="H17" s="24">
        <v>689</v>
      </c>
      <c r="I17" s="27">
        <v>0.19158200290275762</v>
      </c>
      <c r="J17" s="27">
        <v>0.78229317851959357</v>
      </c>
      <c r="K17" s="27">
        <v>2.4673439767779391E-2</v>
      </c>
      <c r="L17" s="27">
        <v>1.4513788098693759E-3</v>
      </c>
      <c r="M17" s="25">
        <v>44.078374455732948</v>
      </c>
    </row>
    <row r="18" spans="1:23" x14ac:dyDescent="0.25">
      <c r="A18" s="23">
        <v>0.67334669338677355</v>
      </c>
      <c r="B18" s="23">
        <v>0.11222444889779559</v>
      </c>
      <c r="C18" s="23">
        <v>0.20841683366733466</v>
      </c>
      <c r="D18" s="24">
        <v>184</v>
      </c>
      <c r="E18" s="24">
        <v>490</v>
      </c>
      <c r="F18" s="24">
        <v>14</v>
      </c>
      <c r="G18" s="24">
        <v>1</v>
      </c>
      <c r="H18" s="24">
        <v>689</v>
      </c>
      <c r="I18" s="27">
        <v>0.26705370101596515</v>
      </c>
      <c r="J18" s="27">
        <v>0.71117561683599417</v>
      </c>
      <c r="K18" s="27">
        <v>2.0319303338171262E-2</v>
      </c>
      <c r="L18" s="27">
        <v>1.4513788098693759E-3</v>
      </c>
      <c r="M18" s="25">
        <v>35.785195936139331</v>
      </c>
    </row>
    <row r="19" spans="1:23" x14ac:dyDescent="0.25">
      <c r="A19" s="23">
        <v>0.7258382642998028</v>
      </c>
      <c r="B19" s="23">
        <v>8.0867850098619326E-2</v>
      </c>
      <c r="C19" s="23">
        <v>0.1893491124260355</v>
      </c>
      <c r="D19" s="24">
        <v>138</v>
      </c>
      <c r="E19" s="24">
        <v>538</v>
      </c>
      <c r="F19" s="24">
        <v>12</v>
      </c>
      <c r="G19" s="24">
        <v>2</v>
      </c>
      <c r="H19" s="24">
        <v>690</v>
      </c>
      <c r="I19" s="27">
        <v>0.2</v>
      </c>
      <c r="J19" s="27">
        <v>0.77971014492753621</v>
      </c>
      <c r="K19" s="27">
        <v>1.7391304347826087E-2</v>
      </c>
      <c r="L19" s="27">
        <v>2.8985507246376812E-3</v>
      </c>
      <c r="M19" s="25">
        <v>25.41449275362319</v>
      </c>
    </row>
    <row r="20" spans="1:23" x14ac:dyDescent="0.25">
      <c r="A20" s="23">
        <v>0.49856733524355301</v>
      </c>
      <c r="B20" s="23">
        <v>4.0114613180515762E-2</v>
      </c>
      <c r="C20" s="23">
        <v>0.44412607449856734</v>
      </c>
      <c r="D20" s="24">
        <v>167</v>
      </c>
      <c r="E20" s="24">
        <v>278</v>
      </c>
      <c r="F20" s="24">
        <v>5</v>
      </c>
      <c r="G20" s="24">
        <v>0</v>
      </c>
      <c r="H20" s="24">
        <v>450</v>
      </c>
      <c r="I20" s="27">
        <v>0.37111111111111111</v>
      </c>
      <c r="J20" s="27">
        <v>0.61777777777777776</v>
      </c>
      <c r="K20" s="27">
        <v>1.1111111111111112E-2</v>
      </c>
      <c r="L20" s="27">
        <v>0</v>
      </c>
      <c r="M20" s="25">
        <v>68.251111111111115</v>
      </c>
    </row>
    <row r="21" spans="1:23" x14ac:dyDescent="0.25">
      <c r="A21" s="23">
        <v>0.53904282115869018</v>
      </c>
      <c r="B21" s="23">
        <v>0.13098236775818639</v>
      </c>
      <c r="C21" s="23">
        <v>0.32493702770780858</v>
      </c>
      <c r="D21" s="24">
        <v>260</v>
      </c>
      <c r="E21" s="24">
        <v>281</v>
      </c>
      <c r="F21" s="24">
        <v>5</v>
      </c>
      <c r="G21" s="24">
        <v>1</v>
      </c>
      <c r="H21" s="24">
        <v>547</v>
      </c>
      <c r="I21" s="27">
        <v>0.47531992687385738</v>
      </c>
      <c r="J21" s="27">
        <v>0.51371115173674586</v>
      </c>
      <c r="K21" s="27">
        <v>9.140767824497258E-3</v>
      </c>
      <c r="L21" s="27">
        <v>1.8281535648994515E-3</v>
      </c>
      <c r="M21" s="25">
        <v>46.819012797074954</v>
      </c>
      <c r="O21" s="29" t="s">
        <v>105</v>
      </c>
    </row>
    <row r="22" spans="1:23" x14ac:dyDescent="0.25">
      <c r="A22" s="23">
        <v>0.27225130890052357</v>
      </c>
      <c r="B22" s="23">
        <v>0.2486910994764398</v>
      </c>
      <c r="C22" s="23">
        <v>0.47643979057591623</v>
      </c>
      <c r="D22" s="24">
        <v>419</v>
      </c>
      <c r="E22" s="24">
        <v>123</v>
      </c>
      <c r="F22" s="24">
        <v>3</v>
      </c>
      <c r="G22" s="24">
        <v>2</v>
      </c>
      <c r="H22" s="24">
        <v>547</v>
      </c>
      <c r="I22" s="27">
        <v>0.76599634369287017</v>
      </c>
      <c r="J22" s="27">
        <v>0.22486288848263253</v>
      </c>
      <c r="K22" s="27">
        <v>5.4844606946983544E-3</v>
      </c>
      <c r="L22" s="27">
        <v>3.6563071297989031E-3</v>
      </c>
      <c r="M22" s="25">
        <v>29.062157221206583</v>
      </c>
    </row>
    <row r="23" spans="1:23" x14ac:dyDescent="0.25">
      <c r="A23" s="23">
        <v>7.6923076923076927E-2</v>
      </c>
      <c r="B23" s="23">
        <v>0.16923076923076924</v>
      </c>
      <c r="C23" s="23">
        <v>0.72</v>
      </c>
      <c r="D23" s="24">
        <v>391</v>
      </c>
      <c r="E23" s="24">
        <v>1</v>
      </c>
      <c r="F23" s="24">
        <v>2</v>
      </c>
      <c r="G23" s="24">
        <v>1</v>
      </c>
      <c r="H23" s="24">
        <v>395</v>
      </c>
      <c r="I23" s="27">
        <v>0.98987341772151893</v>
      </c>
      <c r="J23" s="27">
        <v>2.5316455696202532E-3</v>
      </c>
      <c r="K23" s="27">
        <v>5.0632911392405064E-3</v>
      </c>
      <c r="L23" s="27">
        <v>2.5316455696202532E-3</v>
      </c>
      <c r="M23" s="25">
        <v>44.612658227848101</v>
      </c>
    </row>
    <row r="24" spans="1:23" x14ac:dyDescent="0.25">
      <c r="A24" s="23">
        <v>0.59021406727828751</v>
      </c>
      <c r="B24" s="23">
        <v>4.2813455657492352E-2</v>
      </c>
      <c r="C24" s="23">
        <v>0.34250764525993882</v>
      </c>
      <c r="D24" s="24">
        <v>120</v>
      </c>
      <c r="E24" s="24">
        <v>314</v>
      </c>
      <c r="F24" s="24">
        <v>15</v>
      </c>
      <c r="G24" s="24">
        <v>1</v>
      </c>
      <c r="H24" s="24">
        <v>450</v>
      </c>
      <c r="I24" s="27">
        <v>0.26666666666666666</v>
      </c>
      <c r="J24" s="27">
        <v>0.69777777777777783</v>
      </c>
      <c r="K24" s="27">
        <v>3.3333333333333333E-2</v>
      </c>
      <c r="L24" s="27">
        <v>2.2222222222222222E-3</v>
      </c>
      <c r="M24" s="25">
        <v>73.328888888888883</v>
      </c>
    </row>
    <row r="25" spans="1:23" x14ac:dyDescent="0.25">
      <c r="A25" s="23">
        <v>0.57493188010899188</v>
      </c>
      <c r="B25" s="23">
        <v>8.7193460490463212E-2</v>
      </c>
      <c r="C25" s="23">
        <v>0.32152588555858308</v>
      </c>
      <c r="D25" s="24">
        <v>155</v>
      </c>
      <c r="E25" s="24">
        <v>281</v>
      </c>
      <c r="F25" s="24">
        <v>14</v>
      </c>
      <c r="G25" s="24">
        <v>0</v>
      </c>
      <c r="H25" s="24">
        <v>450</v>
      </c>
      <c r="I25" s="27">
        <v>0.34444444444444444</v>
      </c>
      <c r="J25" s="27">
        <v>0.62444444444444447</v>
      </c>
      <c r="K25" s="27">
        <v>3.111111111111111E-2</v>
      </c>
      <c r="L25" s="27">
        <v>0</v>
      </c>
      <c r="M25" s="25">
        <v>61.924444444444447</v>
      </c>
      <c r="W25" s="29" t="s">
        <v>296</v>
      </c>
    </row>
    <row r="26" spans="1:23" x14ac:dyDescent="0.25">
      <c r="A26" s="23">
        <v>0.56505576208178443</v>
      </c>
      <c r="B26" s="23">
        <v>0.14869888475836432</v>
      </c>
      <c r="C26" s="23">
        <v>0.27137546468401486</v>
      </c>
      <c r="D26" s="24">
        <v>302</v>
      </c>
      <c r="E26" s="24">
        <v>391</v>
      </c>
      <c r="F26" s="24">
        <v>15</v>
      </c>
      <c r="G26" s="24">
        <v>1</v>
      </c>
      <c r="H26" s="24">
        <v>709</v>
      </c>
      <c r="I26" s="27">
        <v>0.42595204513399154</v>
      </c>
      <c r="J26" s="27">
        <v>0.5514809590973202</v>
      </c>
      <c r="K26" s="27">
        <v>2.1156558533145273E-2</v>
      </c>
      <c r="L26" s="27">
        <v>1.4104372355430183E-3</v>
      </c>
      <c r="M26" s="25">
        <v>47.779971791255292</v>
      </c>
    </row>
    <row r="27" spans="1:23" x14ac:dyDescent="0.25">
      <c r="A27" s="23">
        <v>0.43478260869565216</v>
      </c>
      <c r="B27" s="23">
        <v>0.24869565217391304</v>
      </c>
      <c r="C27" s="23">
        <v>0.30434782608695654</v>
      </c>
      <c r="D27" s="24">
        <v>420</v>
      </c>
      <c r="E27" s="24">
        <v>279</v>
      </c>
      <c r="F27" s="24">
        <v>9</v>
      </c>
      <c r="G27" s="24">
        <v>2</v>
      </c>
      <c r="H27" s="24">
        <v>710</v>
      </c>
      <c r="I27" s="27">
        <v>0.59154929577464788</v>
      </c>
      <c r="J27" s="27">
        <v>0.39295774647887322</v>
      </c>
      <c r="K27" s="27">
        <v>1.2676056338028169E-2</v>
      </c>
      <c r="L27" s="27">
        <v>2.8169014084507044E-3</v>
      </c>
      <c r="M27" s="25">
        <v>29.004225352112677</v>
      </c>
      <c r="W27" s="31">
        <f>0.2916+0.0035</f>
        <v>0.29510000000000003</v>
      </c>
    </row>
    <row r="28" spans="1:23" x14ac:dyDescent="0.25">
      <c r="A28" s="23">
        <v>0.11627906976744186</v>
      </c>
      <c r="B28" s="23">
        <v>0.38837209302325582</v>
      </c>
      <c r="C28" s="23">
        <v>0.47209302325581393</v>
      </c>
      <c r="D28" s="24">
        <v>520</v>
      </c>
      <c r="E28" s="24">
        <v>0</v>
      </c>
      <c r="F28" s="24">
        <v>1</v>
      </c>
      <c r="G28" s="24">
        <v>6</v>
      </c>
      <c r="H28" s="24">
        <v>527</v>
      </c>
      <c r="I28" s="27">
        <v>0.98671726755218214</v>
      </c>
      <c r="J28" s="27">
        <v>0</v>
      </c>
      <c r="K28" s="27">
        <v>1.8975332068311196E-3</v>
      </c>
      <c r="L28" s="27">
        <v>1.1385199240986717E-2</v>
      </c>
      <c r="M28" s="25">
        <v>45.297912713472485</v>
      </c>
    </row>
    <row r="29" spans="1:23" x14ac:dyDescent="0.25">
      <c r="A29" s="23">
        <v>0.28368794326241137</v>
      </c>
      <c r="B29" s="23">
        <v>0.23049645390070922</v>
      </c>
      <c r="C29" s="23">
        <v>0.46453900709219859</v>
      </c>
      <c r="D29" s="24">
        <v>333</v>
      </c>
      <c r="E29" s="24">
        <v>1</v>
      </c>
      <c r="F29" s="24">
        <v>0</v>
      </c>
      <c r="G29" s="24">
        <v>0</v>
      </c>
      <c r="H29" s="24">
        <v>334</v>
      </c>
      <c r="I29" s="27">
        <v>0.99700598802395213</v>
      </c>
      <c r="J29" s="27">
        <v>2.9940119760479044E-3</v>
      </c>
      <c r="K29" s="27">
        <v>0</v>
      </c>
      <c r="L29" s="27">
        <v>0</v>
      </c>
      <c r="M29" s="25">
        <v>58.206586826347305</v>
      </c>
    </row>
    <row r="30" spans="1:23" x14ac:dyDescent="0.25">
      <c r="A30" s="23">
        <v>0.22348484848484848</v>
      </c>
      <c r="B30" s="23">
        <v>0.42045454545454547</v>
      </c>
      <c r="C30" s="23">
        <v>0.34848484848484851</v>
      </c>
      <c r="D30" s="24">
        <v>335</v>
      </c>
      <c r="E30" s="24">
        <v>0</v>
      </c>
      <c r="F30" s="24">
        <v>0</v>
      </c>
      <c r="G30" s="24">
        <v>0</v>
      </c>
      <c r="H30" s="24">
        <v>335</v>
      </c>
      <c r="I30" s="27">
        <v>1</v>
      </c>
      <c r="J30" s="27">
        <v>0</v>
      </c>
      <c r="K30" s="27">
        <v>0</v>
      </c>
      <c r="L30" s="27">
        <v>0</v>
      </c>
      <c r="M30" s="25">
        <v>31.185074626865671</v>
      </c>
    </row>
    <row r="31" spans="1:23" x14ac:dyDescent="0.25">
      <c r="A31" s="23">
        <v>0.18279569892473119</v>
      </c>
      <c r="B31" s="23">
        <v>7.5268817204301078E-2</v>
      </c>
      <c r="C31" s="23">
        <v>0.71505376344086025</v>
      </c>
      <c r="D31" s="24">
        <v>310</v>
      </c>
      <c r="E31" s="24">
        <v>19</v>
      </c>
      <c r="F31" s="24">
        <v>20</v>
      </c>
      <c r="G31" s="24">
        <v>101</v>
      </c>
      <c r="H31" s="24">
        <v>450</v>
      </c>
      <c r="I31" s="27">
        <v>0.68888888888888888</v>
      </c>
      <c r="J31" s="27">
        <v>4.2222222222222223E-2</v>
      </c>
      <c r="K31" s="27">
        <v>4.4444444444444446E-2</v>
      </c>
      <c r="L31" s="27">
        <v>0.22444444444444445</v>
      </c>
      <c r="M31" s="25">
        <v>59.313333333333333</v>
      </c>
    </row>
    <row r="32" spans="1:23" x14ac:dyDescent="0.25">
      <c r="A32" s="23">
        <v>0.13471502590673576</v>
      </c>
      <c r="B32" s="23">
        <v>0.20466321243523317</v>
      </c>
      <c r="C32" s="23">
        <v>0.63989637305699487</v>
      </c>
      <c r="D32" s="24">
        <v>340</v>
      </c>
      <c r="E32" s="24">
        <v>7</v>
      </c>
      <c r="F32" s="24">
        <v>10</v>
      </c>
      <c r="G32" s="24">
        <v>145</v>
      </c>
      <c r="H32" s="24">
        <v>502</v>
      </c>
      <c r="I32" s="27">
        <v>0.67729083665338641</v>
      </c>
      <c r="J32" s="27">
        <v>1.3944223107569721E-2</v>
      </c>
      <c r="K32" s="27">
        <v>1.9920318725099601E-2</v>
      </c>
      <c r="L32" s="27">
        <v>0.28884462151394424</v>
      </c>
      <c r="M32" s="25">
        <v>39.408366533864545</v>
      </c>
    </row>
    <row r="33" spans="1:32" x14ac:dyDescent="0.25">
      <c r="A33" s="23">
        <v>0.13896457765667575</v>
      </c>
      <c r="B33" s="23">
        <v>0.18801089918256131</v>
      </c>
      <c r="C33" s="23">
        <v>0.66212534059945505</v>
      </c>
      <c r="D33" s="24">
        <v>418</v>
      </c>
      <c r="E33" s="24">
        <v>14</v>
      </c>
      <c r="F33" s="24">
        <v>22</v>
      </c>
      <c r="G33" s="24">
        <v>48</v>
      </c>
      <c r="H33" s="24">
        <v>502</v>
      </c>
      <c r="I33" s="27">
        <v>0.83266932270916338</v>
      </c>
      <c r="J33" s="27">
        <v>2.7888446215139442E-2</v>
      </c>
      <c r="K33" s="27">
        <v>4.3824701195219126E-2</v>
      </c>
      <c r="L33" s="27">
        <v>9.5617529880478086E-2</v>
      </c>
      <c r="M33" s="25">
        <v>26.388446215139442</v>
      </c>
    </row>
    <row r="34" spans="1:32" x14ac:dyDescent="0.25">
      <c r="A34" s="23">
        <v>0.13031914893617022</v>
      </c>
      <c r="B34" s="23">
        <v>0.12234042553191489</v>
      </c>
      <c r="C34" s="23">
        <v>0.71542553191489366</v>
      </c>
      <c r="D34" s="24">
        <v>445</v>
      </c>
      <c r="E34" s="24">
        <v>0</v>
      </c>
      <c r="F34" s="24">
        <v>3</v>
      </c>
      <c r="G34" s="24">
        <v>2</v>
      </c>
      <c r="H34" s="24">
        <v>450</v>
      </c>
      <c r="I34" s="27">
        <v>0.98888888888888893</v>
      </c>
      <c r="J34" s="27">
        <v>0</v>
      </c>
      <c r="K34" s="27">
        <v>6.6666666666666671E-3</v>
      </c>
      <c r="L34" s="27">
        <v>4.4444444444444444E-3</v>
      </c>
      <c r="M34" s="25">
        <v>66.206666666666663</v>
      </c>
    </row>
    <row r="35" spans="1:32" x14ac:dyDescent="0.25">
      <c r="A35" s="23">
        <v>0.11064718162839249</v>
      </c>
      <c r="B35" s="23">
        <v>0.34237995824634654</v>
      </c>
      <c r="C35" s="23">
        <v>0.5365344467640919</v>
      </c>
      <c r="D35" s="24">
        <v>611</v>
      </c>
      <c r="E35" s="24">
        <v>0</v>
      </c>
      <c r="F35" s="24">
        <v>4</v>
      </c>
      <c r="G35" s="24">
        <v>3</v>
      </c>
      <c r="H35" s="24">
        <v>618</v>
      </c>
      <c r="I35" s="27">
        <v>0.98867313915857602</v>
      </c>
      <c r="J35" s="27">
        <v>0</v>
      </c>
      <c r="K35" s="27">
        <v>6.4724919093851136E-3</v>
      </c>
      <c r="L35" s="27">
        <v>4.8543689320388345E-3</v>
      </c>
      <c r="M35" s="25">
        <v>44.266990291262132</v>
      </c>
    </row>
    <row r="36" spans="1:32" x14ac:dyDescent="0.25">
      <c r="A36" s="23">
        <v>9.4650205761316872E-2</v>
      </c>
      <c r="B36" s="23">
        <v>0.36213991769547327</v>
      </c>
      <c r="C36" s="23">
        <v>0.53292181069958844</v>
      </c>
      <c r="D36" s="24">
        <v>619</v>
      </c>
      <c r="E36" s="24">
        <v>0</v>
      </c>
      <c r="F36" s="24">
        <v>0</v>
      </c>
      <c r="G36" s="24">
        <v>0</v>
      </c>
      <c r="H36" s="24">
        <v>619</v>
      </c>
      <c r="I36" s="27">
        <v>1</v>
      </c>
      <c r="J36" s="27">
        <v>0</v>
      </c>
      <c r="K36" s="27">
        <v>0</v>
      </c>
      <c r="L36" s="27">
        <v>0</v>
      </c>
      <c r="M36" s="25">
        <v>30.156704361873992</v>
      </c>
    </row>
    <row r="37" spans="1:32" x14ac:dyDescent="0.25">
      <c r="A37" s="23">
        <v>7.8212290502793297E-2</v>
      </c>
      <c r="B37" s="23">
        <v>0.10335195530726257</v>
      </c>
      <c r="C37" s="23">
        <v>0.78491620111731841</v>
      </c>
      <c r="D37" s="24">
        <v>440</v>
      </c>
      <c r="E37" s="24">
        <v>2</v>
      </c>
      <c r="F37" s="24">
        <v>4</v>
      </c>
      <c r="G37" s="24">
        <v>4</v>
      </c>
      <c r="H37" s="24">
        <v>450</v>
      </c>
      <c r="I37" s="27">
        <v>0.97777777777777775</v>
      </c>
      <c r="J37" s="27">
        <v>4.4444444444444444E-3</v>
      </c>
      <c r="K37" s="27">
        <v>8.8888888888888889E-3</v>
      </c>
      <c r="L37" s="27">
        <v>8.8888888888888889E-3</v>
      </c>
      <c r="M37" s="25">
        <v>68.48</v>
      </c>
    </row>
    <row r="38" spans="1:32" x14ac:dyDescent="0.25">
      <c r="A38" s="23">
        <v>0.11797752808988764</v>
      </c>
      <c r="B38" s="23">
        <v>0.26685393258426965</v>
      </c>
      <c r="C38" s="23">
        <v>0.5870786516853933</v>
      </c>
      <c r="D38" s="24">
        <v>443</v>
      </c>
      <c r="E38" s="24">
        <v>1</v>
      </c>
      <c r="F38" s="24">
        <v>1</v>
      </c>
      <c r="G38" s="24">
        <v>5</v>
      </c>
      <c r="H38" s="24">
        <v>450</v>
      </c>
      <c r="I38" s="27">
        <v>0.98444444444444446</v>
      </c>
      <c r="J38" s="27">
        <v>2.2222222222222222E-3</v>
      </c>
      <c r="K38" s="27">
        <v>2.2222222222222222E-3</v>
      </c>
      <c r="L38" s="27">
        <v>1.1111111111111112E-2</v>
      </c>
      <c r="M38" s="25">
        <v>55.677777777777777</v>
      </c>
    </row>
    <row r="39" spans="1:32" x14ac:dyDescent="0.25">
      <c r="A39" s="23">
        <v>7.5650118203309691E-2</v>
      </c>
      <c r="B39" s="23">
        <v>0.36406619385342792</v>
      </c>
      <c r="C39" s="23">
        <v>0.55082742316784872</v>
      </c>
      <c r="D39" s="24">
        <v>569</v>
      </c>
      <c r="E39" s="24">
        <v>0</v>
      </c>
      <c r="F39" s="24">
        <v>0</v>
      </c>
      <c r="G39" s="24">
        <v>0</v>
      </c>
      <c r="H39" s="24">
        <v>569</v>
      </c>
      <c r="I39" s="27">
        <v>1</v>
      </c>
      <c r="J39" s="27">
        <v>0</v>
      </c>
      <c r="K39" s="27">
        <v>0</v>
      </c>
      <c r="L39" s="27">
        <v>0</v>
      </c>
      <c r="M39" s="25">
        <v>43.908611599297011</v>
      </c>
    </row>
    <row r="40" spans="1:32" x14ac:dyDescent="0.25">
      <c r="A40" s="23">
        <v>6.0532687651331719E-2</v>
      </c>
      <c r="B40" s="23">
        <v>0.36561743341404357</v>
      </c>
      <c r="C40" s="23">
        <v>0.55932203389830504</v>
      </c>
      <c r="D40" s="24">
        <v>563</v>
      </c>
      <c r="E40" s="24">
        <v>2</v>
      </c>
      <c r="F40" s="24">
        <v>0</v>
      </c>
      <c r="G40" s="24">
        <v>4</v>
      </c>
      <c r="H40" s="24">
        <v>569</v>
      </c>
      <c r="I40" s="27">
        <v>0.98945518453427062</v>
      </c>
      <c r="J40" s="27">
        <v>3.5149384885764497E-3</v>
      </c>
      <c r="K40" s="27">
        <v>0</v>
      </c>
      <c r="L40" s="27">
        <v>7.0298769771528994E-3</v>
      </c>
      <c r="M40" s="25">
        <v>36.311072056239013</v>
      </c>
      <c r="O40" s="29" t="s">
        <v>103</v>
      </c>
    </row>
    <row r="41" spans="1:32" x14ac:dyDescent="0.25">
      <c r="A41" s="23">
        <v>0.10208816705336426</v>
      </c>
      <c r="B41" s="23">
        <v>0.38283062645011601</v>
      </c>
      <c r="C41" s="23">
        <v>0.51044083526682138</v>
      </c>
      <c r="D41" s="24">
        <v>547</v>
      </c>
      <c r="E41" s="24">
        <v>0</v>
      </c>
      <c r="F41" s="24">
        <v>3</v>
      </c>
      <c r="G41" s="24">
        <v>20</v>
      </c>
      <c r="H41" s="24">
        <v>570</v>
      </c>
      <c r="I41" s="27">
        <v>0.95964912280701753</v>
      </c>
      <c r="J41" s="27">
        <v>0</v>
      </c>
      <c r="K41" s="27">
        <v>5.263157894736842E-3</v>
      </c>
      <c r="L41" s="27">
        <v>3.5087719298245612E-2</v>
      </c>
      <c r="M41" s="25">
        <v>24.87017543859649</v>
      </c>
    </row>
    <row r="42" spans="1:32" x14ac:dyDescent="0.25">
      <c r="A42" s="23">
        <v>0.58188153310104529</v>
      </c>
      <c r="B42" s="23">
        <v>4.1811846689895474E-2</v>
      </c>
      <c r="C42" s="23">
        <v>0.35540069686411152</v>
      </c>
      <c r="D42" s="24">
        <v>53</v>
      </c>
      <c r="E42" s="24">
        <v>279</v>
      </c>
      <c r="F42" s="24">
        <v>115</v>
      </c>
      <c r="G42" s="24">
        <v>3</v>
      </c>
      <c r="H42" s="24">
        <v>450</v>
      </c>
      <c r="I42" s="27">
        <v>0.11777777777777777</v>
      </c>
      <c r="J42" s="27">
        <v>0.62</v>
      </c>
      <c r="K42" s="27">
        <v>0.25555555555555554</v>
      </c>
      <c r="L42" s="27">
        <v>6.6666666666666671E-3</v>
      </c>
      <c r="M42" s="25">
        <v>70.306666666666672</v>
      </c>
    </row>
    <row r="43" spans="1:32" x14ac:dyDescent="0.25">
      <c r="A43" s="23">
        <v>0.62352941176470589</v>
      </c>
      <c r="B43" s="23">
        <v>4.1176470588235294E-2</v>
      </c>
      <c r="C43" s="23">
        <v>0.29411764705882354</v>
      </c>
      <c r="D43" s="24">
        <v>78</v>
      </c>
      <c r="E43" s="24">
        <v>231</v>
      </c>
      <c r="F43" s="24">
        <v>121</v>
      </c>
      <c r="G43" s="24">
        <v>20</v>
      </c>
      <c r="H43" s="24">
        <v>450</v>
      </c>
      <c r="I43" s="27">
        <v>0.17333333333333334</v>
      </c>
      <c r="J43" s="27">
        <v>0.51333333333333331</v>
      </c>
      <c r="K43" s="27">
        <v>0.2688888888888889</v>
      </c>
      <c r="L43" s="27">
        <v>4.4444444444444446E-2</v>
      </c>
      <c r="M43" s="25">
        <v>59.242222222222225</v>
      </c>
    </row>
    <row r="44" spans="1:32" x14ac:dyDescent="0.25">
      <c r="A44" s="23">
        <v>0.63157894736842102</v>
      </c>
      <c r="B44" s="23">
        <v>6.8421052631578952E-2</v>
      </c>
      <c r="C44" s="23">
        <v>0.28157894736842104</v>
      </c>
      <c r="D44" s="24">
        <v>100</v>
      </c>
      <c r="E44" s="24">
        <v>284</v>
      </c>
      <c r="F44" s="24">
        <v>132</v>
      </c>
      <c r="G44" s="24">
        <v>38</v>
      </c>
      <c r="H44" s="24">
        <v>554</v>
      </c>
      <c r="I44" s="27">
        <v>0.18050541516245489</v>
      </c>
      <c r="J44" s="27">
        <v>0.5126353790613718</v>
      </c>
      <c r="K44" s="27">
        <v>0.23826714801444043</v>
      </c>
      <c r="L44" s="27">
        <v>6.8592057761732855E-2</v>
      </c>
      <c r="M44" s="25">
        <v>46.761732851985556</v>
      </c>
    </row>
    <row r="45" spans="1:32" x14ac:dyDescent="0.25">
      <c r="A45" s="23">
        <v>0.56657223796033995</v>
      </c>
      <c r="B45" s="23">
        <v>0.11614730878186968</v>
      </c>
      <c r="C45" s="23">
        <v>0.30594900849858359</v>
      </c>
      <c r="D45" s="24">
        <v>141</v>
      </c>
      <c r="E45" s="24">
        <v>218</v>
      </c>
      <c r="F45" s="24">
        <v>163</v>
      </c>
      <c r="G45" s="24">
        <v>32</v>
      </c>
      <c r="H45" s="24">
        <v>554</v>
      </c>
      <c r="I45" s="27">
        <v>0.25451263537906138</v>
      </c>
      <c r="J45" s="27">
        <v>0.39350180505415161</v>
      </c>
      <c r="K45" s="27">
        <v>0.29422382671480146</v>
      </c>
      <c r="L45" s="27">
        <v>5.7761732851985562E-2</v>
      </c>
      <c r="M45" s="25">
        <v>35.575812274368232</v>
      </c>
      <c r="W45" s="29" t="s">
        <v>297</v>
      </c>
      <c r="AF45" s="29" t="s">
        <v>300</v>
      </c>
    </row>
    <row r="46" spans="1:32" x14ac:dyDescent="0.25">
      <c r="A46" s="23">
        <v>0.50131926121372028</v>
      </c>
      <c r="B46" s="23">
        <v>0.14511873350923482</v>
      </c>
      <c r="C46" s="23">
        <v>0.35356200527704484</v>
      </c>
      <c r="D46" s="24">
        <v>197</v>
      </c>
      <c r="E46" s="24">
        <v>181</v>
      </c>
      <c r="F46" s="24">
        <v>160</v>
      </c>
      <c r="G46" s="24">
        <v>16</v>
      </c>
      <c r="H46" s="24">
        <v>554</v>
      </c>
      <c r="I46" s="27">
        <v>0.3555956678700361</v>
      </c>
      <c r="J46" s="27">
        <v>0.3267148014440433</v>
      </c>
      <c r="K46" s="27">
        <v>0.28880866425992779</v>
      </c>
      <c r="L46" s="27">
        <v>2.8880866425992781E-2</v>
      </c>
      <c r="M46" s="25">
        <v>24.581227436823106</v>
      </c>
    </row>
    <row r="47" spans="1:32" x14ac:dyDescent="0.25">
      <c r="A47" s="23">
        <v>0.17127071823204421</v>
      </c>
      <c r="B47" s="23">
        <v>0.17127071823204421</v>
      </c>
      <c r="C47" s="23">
        <v>0.65193370165745856</v>
      </c>
      <c r="D47" s="24">
        <v>449</v>
      </c>
      <c r="E47" s="24">
        <v>0</v>
      </c>
      <c r="F47" s="24">
        <v>0</v>
      </c>
      <c r="G47" s="24">
        <v>1</v>
      </c>
      <c r="H47" s="24">
        <v>450</v>
      </c>
      <c r="I47" s="27">
        <v>0.99777777777777776</v>
      </c>
      <c r="J47" s="27">
        <v>0</v>
      </c>
      <c r="K47" s="27">
        <v>0</v>
      </c>
      <c r="L47" s="27">
        <v>2.2222222222222222E-3</v>
      </c>
      <c r="M47" s="25">
        <v>60.575555555555553</v>
      </c>
      <c r="W47" s="31">
        <f>0.3754+0.2227</f>
        <v>0.59810000000000008</v>
      </c>
      <c r="AF47" s="31">
        <f>-0.4631+0.5817</f>
        <v>0.11859999999999998</v>
      </c>
    </row>
    <row r="48" spans="1:32" x14ac:dyDescent="0.25">
      <c r="A48" s="23">
        <v>0.20913461538461539</v>
      </c>
      <c r="B48" s="23">
        <v>0.29326923076923078</v>
      </c>
      <c r="C48" s="23">
        <v>0.49278846153846156</v>
      </c>
      <c r="D48" s="24">
        <v>547</v>
      </c>
      <c r="E48" s="24">
        <v>1</v>
      </c>
      <c r="F48" s="24">
        <v>0</v>
      </c>
      <c r="G48" s="24">
        <v>1</v>
      </c>
      <c r="H48" s="24">
        <v>549</v>
      </c>
      <c r="I48" s="27">
        <v>0.99635701275045541</v>
      </c>
      <c r="J48" s="27">
        <v>1.8214936247723133E-3</v>
      </c>
      <c r="K48" s="27">
        <v>0</v>
      </c>
      <c r="L48" s="27">
        <v>1.8214936247723133E-3</v>
      </c>
      <c r="M48" s="25">
        <v>33.03096539162113</v>
      </c>
    </row>
    <row r="49" spans="1:13" x14ac:dyDescent="0.25">
      <c r="A49" s="23">
        <v>0.7682539682539683</v>
      </c>
      <c r="B49" s="23">
        <v>4.1269841269841269E-2</v>
      </c>
      <c r="C49" s="23">
        <v>0.17460317460317459</v>
      </c>
      <c r="D49" s="24">
        <v>51</v>
      </c>
      <c r="E49" s="24">
        <v>375</v>
      </c>
      <c r="F49" s="24">
        <v>24</v>
      </c>
      <c r="G49" s="24">
        <v>0</v>
      </c>
      <c r="H49" s="24">
        <v>450</v>
      </c>
      <c r="I49" s="27">
        <v>0.11333333333333333</v>
      </c>
      <c r="J49" s="27">
        <v>0.83333333333333337</v>
      </c>
      <c r="K49" s="27">
        <v>5.3333333333333337E-2</v>
      </c>
      <c r="L49" s="27">
        <v>0</v>
      </c>
      <c r="M49" s="25">
        <v>70.36888888888889</v>
      </c>
    </row>
    <row r="50" spans="1:13" x14ac:dyDescent="0.25">
      <c r="A50" s="23">
        <v>0.7801857585139319</v>
      </c>
      <c r="B50" s="23">
        <v>4.6439628482972138E-2</v>
      </c>
      <c r="C50" s="23">
        <v>0.15479876160990713</v>
      </c>
      <c r="D50" s="24">
        <v>67</v>
      </c>
      <c r="E50" s="24">
        <v>365</v>
      </c>
      <c r="F50" s="24">
        <v>17</v>
      </c>
      <c r="G50" s="24">
        <v>1</v>
      </c>
      <c r="H50" s="24">
        <v>450</v>
      </c>
      <c r="I50" s="27">
        <v>0.14888888888888888</v>
      </c>
      <c r="J50" s="27">
        <v>0.81111111111111112</v>
      </c>
      <c r="K50" s="27">
        <v>3.7777777777777778E-2</v>
      </c>
      <c r="L50" s="27">
        <v>2.2222222222222222E-3</v>
      </c>
      <c r="M50" s="25">
        <v>54.897777777777776</v>
      </c>
    </row>
    <row r="51" spans="1:13" x14ac:dyDescent="0.25">
      <c r="A51" s="23">
        <v>0.67142857142857137</v>
      </c>
      <c r="B51" s="23">
        <v>9.6428571428571433E-2</v>
      </c>
      <c r="C51" s="23">
        <v>0.21785714285714286</v>
      </c>
      <c r="D51" s="24">
        <v>103</v>
      </c>
      <c r="E51" s="24">
        <v>317</v>
      </c>
      <c r="F51" s="24">
        <v>31</v>
      </c>
      <c r="G51" s="24">
        <v>9</v>
      </c>
      <c r="H51" s="24">
        <v>460</v>
      </c>
      <c r="I51" s="27">
        <v>0.22391304347826088</v>
      </c>
      <c r="J51" s="27">
        <v>0.68913043478260871</v>
      </c>
      <c r="K51" s="27">
        <v>6.7391304347826086E-2</v>
      </c>
      <c r="L51" s="27">
        <v>1.9565217391304349E-2</v>
      </c>
      <c r="M51" s="25">
        <v>40.628260869565217</v>
      </c>
    </row>
    <row r="52" spans="1:13" x14ac:dyDescent="0.25">
      <c r="A52" s="23">
        <v>0.61774744027303752</v>
      </c>
      <c r="B52" s="23">
        <v>0.15358361774744028</v>
      </c>
      <c r="C52" s="23">
        <v>0.22525597269624573</v>
      </c>
      <c r="D52" s="24">
        <v>136</v>
      </c>
      <c r="E52" s="24">
        <v>297</v>
      </c>
      <c r="F52" s="24">
        <v>27</v>
      </c>
      <c r="G52" s="24">
        <v>0</v>
      </c>
      <c r="H52" s="24">
        <v>460</v>
      </c>
      <c r="I52" s="27">
        <v>0.29565217391304349</v>
      </c>
      <c r="J52" s="27">
        <v>0.64565217391304353</v>
      </c>
      <c r="K52" s="27">
        <v>5.8695652173913045E-2</v>
      </c>
      <c r="L52" s="27">
        <v>0</v>
      </c>
      <c r="M52" s="25">
        <v>26.804347826086957</v>
      </c>
    </row>
    <row r="53" spans="1:13" x14ac:dyDescent="0.25">
      <c r="A53" s="23">
        <v>0.17447916666666666</v>
      </c>
      <c r="B53" s="23">
        <v>0.1796875</v>
      </c>
      <c r="C53" s="23">
        <v>0.63802083333333337</v>
      </c>
      <c r="D53" s="24">
        <v>332</v>
      </c>
      <c r="E53" s="24">
        <v>2</v>
      </c>
      <c r="F53" s="24">
        <v>0</v>
      </c>
      <c r="G53" s="24">
        <v>116</v>
      </c>
      <c r="H53" s="24">
        <v>450</v>
      </c>
      <c r="I53" s="27">
        <v>0.73777777777777775</v>
      </c>
      <c r="J53" s="27">
        <v>4.4444444444444444E-3</v>
      </c>
      <c r="K53" s="27">
        <v>0</v>
      </c>
      <c r="L53" s="27">
        <v>0.25777777777777777</v>
      </c>
      <c r="M53" s="25">
        <v>58.966666666666669</v>
      </c>
    </row>
    <row r="54" spans="1:13" x14ac:dyDescent="0.25">
      <c r="A54" s="23">
        <v>0.1575492341356674</v>
      </c>
      <c r="B54" s="23">
        <v>0.23413566739606126</v>
      </c>
      <c r="C54" s="23">
        <v>0.5908096280087527</v>
      </c>
      <c r="D54" s="24">
        <v>421</v>
      </c>
      <c r="E54" s="24">
        <v>1</v>
      </c>
      <c r="F54" s="24">
        <v>25</v>
      </c>
      <c r="G54" s="24">
        <v>144</v>
      </c>
      <c r="H54" s="24">
        <v>591</v>
      </c>
      <c r="I54" s="27">
        <v>0.71235194585448391</v>
      </c>
      <c r="J54" s="27">
        <v>1.6920473773265651E-3</v>
      </c>
      <c r="K54" s="27">
        <v>4.2301184433164128E-2</v>
      </c>
      <c r="L54" s="27">
        <v>0.24365482233502539</v>
      </c>
      <c r="M54" s="25">
        <v>30.375634517766496</v>
      </c>
    </row>
    <row r="55" spans="1:13" x14ac:dyDescent="0.25">
      <c r="A55" s="23">
        <v>0.28660436137071649</v>
      </c>
      <c r="B55" s="23">
        <v>8.7227414330218064E-2</v>
      </c>
      <c r="C55" s="23">
        <v>0.59190031152647971</v>
      </c>
      <c r="D55" s="24">
        <v>215</v>
      </c>
      <c r="E55" s="24">
        <v>149</v>
      </c>
      <c r="F55" s="24">
        <v>12</v>
      </c>
      <c r="G55" s="24">
        <v>59</v>
      </c>
      <c r="H55" s="24">
        <v>435</v>
      </c>
      <c r="I55" s="27">
        <v>0.4942528735632184</v>
      </c>
      <c r="J55" s="27">
        <v>0.34252873563218389</v>
      </c>
      <c r="K55" s="27">
        <v>2.7586206896551724E-2</v>
      </c>
      <c r="L55" s="27">
        <v>0.13563218390804599</v>
      </c>
      <c r="M55" s="25">
        <v>64.073563218390802</v>
      </c>
    </row>
    <row r="56" spans="1:13" x14ac:dyDescent="0.25">
      <c r="A56" s="23">
        <v>0.27491408934707906</v>
      </c>
      <c r="B56" s="23">
        <v>0.14089347079037801</v>
      </c>
      <c r="C56" s="23">
        <v>0.55670103092783507</v>
      </c>
      <c r="D56" s="24">
        <v>181</v>
      </c>
      <c r="E56" s="24">
        <v>99</v>
      </c>
      <c r="F56" s="24">
        <v>11</v>
      </c>
      <c r="G56" s="24">
        <v>145</v>
      </c>
      <c r="H56" s="24">
        <v>436</v>
      </c>
      <c r="I56" s="27">
        <v>0.41513761467889909</v>
      </c>
      <c r="J56" s="27">
        <v>0.22706422018348624</v>
      </c>
      <c r="K56" s="27">
        <v>2.5229357798165139E-2</v>
      </c>
      <c r="L56" s="27">
        <v>0.33256880733944955</v>
      </c>
      <c r="M56" s="25">
        <v>41.871559633027523</v>
      </c>
    </row>
    <row r="57" spans="1:13" x14ac:dyDescent="0.25">
      <c r="A57" s="23">
        <v>0.25475285171102663</v>
      </c>
      <c r="B57" s="23">
        <v>0.13688212927756654</v>
      </c>
      <c r="C57" s="23">
        <v>0.56273764258555137</v>
      </c>
      <c r="D57" s="24">
        <v>261</v>
      </c>
      <c r="E57" s="24">
        <v>89</v>
      </c>
      <c r="F57" s="24">
        <v>28</v>
      </c>
      <c r="G57" s="24">
        <v>58</v>
      </c>
      <c r="H57" s="24">
        <v>436</v>
      </c>
      <c r="I57" s="27">
        <v>0.59862385321100919</v>
      </c>
      <c r="J57" s="27">
        <v>0.20412844036697247</v>
      </c>
      <c r="K57" s="27">
        <v>6.4220183486238536E-2</v>
      </c>
      <c r="L57" s="27">
        <v>0.13302752293577982</v>
      </c>
      <c r="M57" s="25">
        <v>26.194954128440369</v>
      </c>
    </row>
    <row r="58" spans="1:13" x14ac:dyDescent="0.25">
      <c r="A58" s="23">
        <v>0.1392757660167131</v>
      </c>
      <c r="B58" s="23">
        <v>0.11699164345403899</v>
      </c>
      <c r="C58" s="23">
        <v>0.69637883008356549</v>
      </c>
      <c r="D58" s="24">
        <v>372</v>
      </c>
      <c r="E58" s="24">
        <v>26</v>
      </c>
      <c r="F58" s="24">
        <v>51</v>
      </c>
      <c r="G58" s="24">
        <v>1</v>
      </c>
      <c r="H58" s="24">
        <v>450</v>
      </c>
      <c r="I58" s="27">
        <v>0.82666666666666666</v>
      </c>
      <c r="J58" s="27">
        <v>5.7777777777777775E-2</v>
      </c>
      <c r="K58" s="27">
        <v>0.11333333333333333</v>
      </c>
      <c r="L58" s="27">
        <v>2.2222222222222222E-3</v>
      </c>
      <c r="M58" s="25">
        <v>68.044444444444451</v>
      </c>
    </row>
    <row r="59" spans="1:13" x14ac:dyDescent="0.25">
      <c r="A59" s="23">
        <v>0.16758241758241757</v>
      </c>
      <c r="B59" s="23">
        <v>0.16758241758241757</v>
      </c>
      <c r="C59" s="23">
        <v>0.64560439560439564</v>
      </c>
      <c r="D59" s="24">
        <v>365</v>
      </c>
      <c r="E59" s="24">
        <v>21</v>
      </c>
      <c r="F59" s="24">
        <v>63</v>
      </c>
      <c r="G59" s="24">
        <v>1</v>
      </c>
      <c r="H59" s="24">
        <v>450</v>
      </c>
      <c r="I59" s="27">
        <v>0.81111111111111112</v>
      </c>
      <c r="J59" s="27">
        <v>4.6666666666666669E-2</v>
      </c>
      <c r="K59" s="27">
        <v>0.14000000000000001</v>
      </c>
      <c r="L59" s="27">
        <v>2.2222222222222222E-3</v>
      </c>
      <c r="M59" s="25">
        <v>57.202222222222225</v>
      </c>
    </row>
    <row r="60" spans="1:13" x14ac:dyDescent="0.25">
      <c r="A60" s="23">
        <v>0.13422818791946309</v>
      </c>
      <c r="B60" s="23">
        <v>0.36912751677852351</v>
      </c>
      <c r="C60" s="23">
        <v>0.48769574944071586</v>
      </c>
      <c r="D60" s="24">
        <v>562</v>
      </c>
      <c r="E60" s="24">
        <v>24</v>
      </c>
      <c r="F60" s="24">
        <v>42</v>
      </c>
      <c r="G60" s="24">
        <v>0</v>
      </c>
      <c r="H60" s="24">
        <v>628</v>
      </c>
      <c r="I60" s="27">
        <v>0.89490445859872614</v>
      </c>
      <c r="J60" s="27">
        <v>3.8216560509554139E-2</v>
      </c>
      <c r="K60" s="27">
        <v>6.6878980891719744E-2</v>
      </c>
      <c r="L60" s="27">
        <v>0</v>
      </c>
      <c r="M60" s="25">
        <v>42.366242038216562</v>
      </c>
    </row>
    <row r="61" spans="1:13" x14ac:dyDescent="0.25">
      <c r="A61" s="23">
        <v>0.1050228310502283</v>
      </c>
      <c r="B61" s="23">
        <v>0.4269406392694064</v>
      </c>
      <c r="C61" s="23">
        <v>0.45205479452054792</v>
      </c>
      <c r="D61" s="24">
        <v>580</v>
      </c>
      <c r="E61" s="24">
        <v>17</v>
      </c>
      <c r="F61" s="24">
        <v>31</v>
      </c>
      <c r="G61" s="24">
        <v>1</v>
      </c>
      <c r="H61" s="24">
        <v>629</v>
      </c>
      <c r="I61" s="27">
        <v>0.92209856915739263</v>
      </c>
      <c r="J61" s="27">
        <v>2.7027027027027029E-2</v>
      </c>
      <c r="K61" s="27">
        <v>4.9284578696343402E-2</v>
      </c>
      <c r="L61" s="27">
        <v>1.589825119236884E-3</v>
      </c>
      <c r="M61" s="25">
        <v>35.658187599364069</v>
      </c>
    </row>
    <row r="62" spans="1:13" x14ac:dyDescent="0.25">
      <c r="A62" s="23">
        <v>0.1348314606741573</v>
      </c>
      <c r="B62" s="23">
        <v>0.38651685393258428</v>
      </c>
      <c r="C62" s="23">
        <v>0.46966292134831461</v>
      </c>
      <c r="D62" s="24">
        <v>536</v>
      </c>
      <c r="E62" s="24">
        <v>20</v>
      </c>
      <c r="F62" s="24">
        <v>73</v>
      </c>
      <c r="G62" s="24">
        <v>0</v>
      </c>
      <c r="H62" s="24">
        <v>629</v>
      </c>
      <c r="I62" s="27">
        <v>0.85214626391096981</v>
      </c>
      <c r="J62" s="27">
        <v>3.1796502384737677E-2</v>
      </c>
      <c r="K62" s="27">
        <v>0.11605723370429252</v>
      </c>
      <c r="L62" s="27">
        <v>0</v>
      </c>
      <c r="M62" s="25">
        <v>24.93799682034976</v>
      </c>
    </row>
    <row r="63" spans="1:13" x14ac:dyDescent="0.25">
      <c r="A63" s="23">
        <v>0.11221945137157108</v>
      </c>
      <c r="B63" s="23">
        <v>0.16708229426433915</v>
      </c>
      <c r="C63" s="23">
        <v>0.69825436408977559</v>
      </c>
      <c r="D63" s="24">
        <v>407</v>
      </c>
      <c r="E63" s="24">
        <v>12</v>
      </c>
      <c r="F63" s="24">
        <v>30</v>
      </c>
      <c r="G63" s="24">
        <v>1</v>
      </c>
      <c r="H63" s="24">
        <v>450</v>
      </c>
      <c r="I63" s="27">
        <v>0.9044444444444445</v>
      </c>
      <c r="J63" s="27">
        <v>2.6666666666666668E-2</v>
      </c>
      <c r="K63" s="27">
        <v>6.6666666666666666E-2</v>
      </c>
      <c r="L63" s="27">
        <v>2.2222222222222222E-3</v>
      </c>
      <c r="M63" s="25">
        <v>58.633333333333333</v>
      </c>
    </row>
    <row r="64" spans="1:13" x14ac:dyDescent="0.25">
      <c r="A64" s="23">
        <v>0.10133843212237094</v>
      </c>
      <c r="B64" s="23">
        <v>0.384321223709369</v>
      </c>
      <c r="C64" s="23">
        <v>0.50286806883365198</v>
      </c>
      <c r="D64" s="24">
        <v>660</v>
      </c>
      <c r="E64" s="24">
        <v>19</v>
      </c>
      <c r="F64" s="24">
        <v>20</v>
      </c>
      <c r="G64" s="24">
        <v>1</v>
      </c>
      <c r="H64" s="24">
        <v>700</v>
      </c>
      <c r="I64" s="27">
        <v>0.94285714285714284</v>
      </c>
      <c r="J64" s="27">
        <v>2.7142857142857142E-2</v>
      </c>
      <c r="K64" s="27">
        <v>2.8571428571428571E-2</v>
      </c>
      <c r="L64" s="27">
        <v>1.4285714285714286E-3</v>
      </c>
      <c r="M64" s="25">
        <v>33.274285714285718</v>
      </c>
    </row>
    <row r="65" spans="1:13" x14ac:dyDescent="0.25">
      <c r="A65" s="23">
        <v>5.0761421319796954E-2</v>
      </c>
      <c r="B65" s="23">
        <v>0.1548223350253807</v>
      </c>
      <c r="C65" s="23">
        <v>0.76395939086294418</v>
      </c>
      <c r="D65" s="24">
        <v>438</v>
      </c>
      <c r="E65" s="24">
        <v>0</v>
      </c>
      <c r="F65" s="24">
        <v>11</v>
      </c>
      <c r="G65" s="24">
        <v>1</v>
      </c>
      <c r="H65" s="24">
        <v>450</v>
      </c>
      <c r="I65" s="27">
        <v>0.97333333333333338</v>
      </c>
      <c r="J65" s="27">
        <v>0</v>
      </c>
      <c r="K65" s="27">
        <v>2.4444444444444446E-2</v>
      </c>
      <c r="L65" s="27">
        <v>2.2222222222222222E-3</v>
      </c>
      <c r="M65" s="25">
        <v>63.44</v>
      </c>
    </row>
    <row r="66" spans="1:13" x14ac:dyDescent="0.25">
      <c r="A66" s="23">
        <v>7.3791348600508899E-2</v>
      </c>
      <c r="B66" s="23">
        <v>0.17302798982188294</v>
      </c>
      <c r="C66" s="23">
        <v>0.70737913486005088</v>
      </c>
      <c r="D66" s="24">
        <v>436</v>
      </c>
      <c r="E66" s="24">
        <v>1</v>
      </c>
      <c r="F66" s="24">
        <v>13</v>
      </c>
      <c r="G66" s="24">
        <v>0</v>
      </c>
      <c r="H66" s="24">
        <v>450</v>
      </c>
      <c r="I66" s="27">
        <v>0.96888888888888891</v>
      </c>
      <c r="J66" s="27">
        <v>2.2222222222222222E-3</v>
      </c>
      <c r="K66" s="27">
        <v>2.8888888888888888E-2</v>
      </c>
      <c r="L66" s="27">
        <v>0</v>
      </c>
      <c r="M66" s="25">
        <v>58.371111111111112</v>
      </c>
    </row>
    <row r="67" spans="1:13" x14ac:dyDescent="0.25">
      <c r="A67" s="23">
        <v>9.2077087794432549E-2</v>
      </c>
      <c r="B67" s="23">
        <v>0.32119914346895073</v>
      </c>
      <c r="C67" s="23">
        <v>0.57173447537473232</v>
      </c>
      <c r="D67" s="24">
        <v>620</v>
      </c>
      <c r="E67" s="24">
        <v>0</v>
      </c>
      <c r="F67" s="24">
        <v>16</v>
      </c>
      <c r="G67" s="24">
        <v>0</v>
      </c>
      <c r="H67" s="24">
        <v>636</v>
      </c>
      <c r="I67" s="27">
        <v>0.97484276729559749</v>
      </c>
      <c r="J67" s="27">
        <v>0</v>
      </c>
      <c r="K67" s="27">
        <v>2.5157232704402517E-2</v>
      </c>
      <c r="L67" s="27">
        <v>0</v>
      </c>
      <c r="M67" s="25">
        <v>40.446540880503143</v>
      </c>
    </row>
    <row r="68" spans="1:13" x14ac:dyDescent="0.25">
      <c r="A68" s="23">
        <v>4.7722342733188719E-2</v>
      </c>
      <c r="B68" s="23">
        <v>0.40780911062906722</v>
      </c>
      <c r="C68" s="23">
        <v>0.53362255965292837</v>
      </c>
      <c r="D68" s="24">
        <v>634</v>
      </c>
      <c r="E68" s="24">
        <v>1</v>
      </c>
      <c r="F68" s="24">
        <v>2</v>
      </c>
      <c r="G68" s="24">
        <v>0</v>
      </c>
      <c r="H68" s="24">
        <v>637</v>
      </c>
      <c r="I68" s="27">
        <v>0.9952904238618524</v>
      </c>
      <c r="J68" s="27">
        <v>1.5698587127158557E-3</v>
      </c>
      <c r="K68" s="27">
        <v>3.1397174254317113E-3</v>
      </c>
      <c r="L68" s="27">
        <v>0</v>
      </c>
      <c r="M68" s="25">
        <v>34.340659340659343</v>
      </c>
    </row>
    <row r="69" spans="1:13" x14ac:dyDescent="0.25">
      <c r="A69" s="23">
        <v>6.9958847736625515E-2</v>
      </c>
      <c r="B69" s="23">
        <v>0.35185185185185186</v>
      </c>
      <c r="C69" s="23">
        <v>0.57818930041152261</v>
      </c>
      <c r="D69" s="24">
        <v>623</v>
      </c>
      <c r="E69" s="24">
        <v>0</v>
      </c>
      <c r="F69" s="24">
        <v>14</v>
      </c>
      <c r="G69" s="24">
        <v>0</v>
      </c>
      <c r="H69" s="24">
        <v>637</v>
      </c>
      <c r="I69" s="27">
        <v>0.97802197802197799</v>
      </c>
      <c r="J69" s="27">
        <v>0</v>
      </c>
      <c r="K69" s="27">
        <v>2.197802197802198E-2</v>
      </c>
      <c r="L69" s="27">
        <v>0</v>
      </c>
      <c r="M69" s="25">
        <v>25.536891679748823</v>
      </c>
    </row>
    <row r="70" spans="1:13" x14ac:dyDescent="0.25">
      <c r="A70" s="23">
        <v>6.7796610169491525E-2</v>
      </c>
      <c r="B70" s="23">
        <v>0.4519774011299435</v>
      </c>
      <c r="C70" s="23">
        <v>0.47457627118644069</v>
      </c>
      <c r="D70" s="24">
        <v>294</v>
      </c>
      <c r="E70" s="24">
        <v>0</v>
      </c>
      <c r="F70" s="24">
        <v>11</v>
      </c>
      <c r="G70" s="24">
        <v>10</v>
      </c>
      <c r="H70" s="24">
        <v>315</v>
      </c>
      <c r="I70" s="27">
        <v>0.93333333333333335</v>
      </c>
      <c r="J70" s="27">
        <v>0</v>
      </c>
      <c r="K70" s="27">
        <v>3.4920634920634921E-2</v>
      </c>
      <c r="L70" s="27">
        <v>3.1746031746031744E-2</v>
      </c>
      <c r="M70" s="25">
        <v>37.558730158730157</v>
      </c>
    </row>
    <row r="71" spans="1:13" x14ac:dyDescent="0.25">
      <c r="A71" s="23">
        <v>0.45344129554655871</v>
      </c>
      <c r="B71" s="23">
        <v>0.10931174089068826</v>
      </c>
      <c r="C71" s="23">
        <v>0.42105263157894735</v>
      </c>
      <c r="D71" s="24">
        <v>115</v>
      </c>
      <c r="E71" s="24">
        <v>20</v>
      </c>
      <c r="F71" s="24">
        <v>241</v>
      </c>
      <c r="G71" s="24">
        <v>1</v>
      </c>
      <c r="H71" s="24">
        <v>377</v>
      </c>
      <c r="I71" s="27">
        <v>0.30503978779840851</v>
      </c>
      <c r="J71" s="27">
        <v>5.3050397877984087E-2</v>
      </c>
      <c r="K71" s="27">
        <v>0.63925729442970824</v>
      </c>
      <c r="L71" s="27">
        <v>2.6525198938992041E-3</v>
      </c>
      <c r="M71" s="25">
        <v>46.400530503978779</v>
      </c>
    </row>
    <row r="72" spans="1:13" x14ac:dyDescent="0.25">
      <c r="A72" s="23">
        <v>0.3987730061349693</v>
      </c>
      <c r="B72" s="23">
        <v>7.0552147239263799E-2</v>
      </c>
      <c r="C72" s="23">
        <v>0.49079754601226994</v>
      </c>
      <c r="D72" s="24">
        <v>216</v>
      </c>
      <c r="E72" s="24">
        <v>177</v>
      </c>
      <c r="F72" s="24">
        <v>57</v>
      </c>
      <c r="G72" s="24">
        <v>0</v>
      </c>
      <c r="H72" s="24">
        <v>450</v>
      </c>
      <c r="I72" s="27">
        <v>0.48</v>
      </c>
      <c r="J72" s="27">
        <v>0.39333333333333331</v>
      </c>
      <c r="K72" s="27">
        <v>0.12666666666666668</v>
      </c>
      <c r="L72" s="27">
        <v>0</v>
      </c>
      <c r="M72" s="25">
        <v>68.024444444444441</v>
      </c>
    </row>
    <row r="73" spans="1:13" x14ac:dyDescent="0.25">
      <c r="A73" s="23">
        <v>0.41340782122905029</v>
      </c>
      <c r="B73" s="23">
        <v>0.12569832402234637</v>
      </c>
      <c r="C73" s="23">
        <v>0.44413407821229051</v>
      </c>
      <c r="D73" s="24">
        <v>252</v>
      </c>
      <c r="E73" s="24">
        <v>109</v>
      </c>
      <c r="F73" s="24">
        <v>89</v>
      </c>
      <c r="G73" s="24">
        <v>0</v>
      </c>
      <c r="H73" s="24">
        <v>450</v>
      </c>
      <c r="I73" s="27">
        <v>0.56000000000000005</v>
      </c>
      <c r="J73" s="27">
        <v>0.24222222222222223</v>
      </c>
      <c r="K73" s="27">
        <v>0.19777777777777777</v>
      </c>
      <c r="L73" s="27">
        <v>0</v>
      </c>
      <c r="M73" s="25">
        <v>54.731111111111112</v>
      </c>
    </row>
    <row r="74" spans="1:13" x14ac:dyDescent="0.25">
      <c r="A74" s="23">
        <v>0.46</v>
      </c>
      <c r="B74" s="23">
        <v>0.19800000000000001</v>
      </c>
      <c r="C74" s="23">
        <v>0.33</v>
      </c>
      <c r="D74" s="24">
        <v>395</v>
      </c>
      <c r="E74" s="24">
        <v>227</v>
      </c>
      <c r="F74" s="24">
        <v>110</v>
      </c>
      <c r="G74" s="24">
        <v>0</v>
      </c>
      <c r="H74" s="24">
        <v>732</v>
      </c>
      <c r="I74" s="27">
        <v>0.5396174863387978</v>
      </c>
      <c r="J74" s="27">
        <v>0.31010928961748635</v>
      </c>
      <c r="K74" s="27">
        <v>0.15027322404371585</v>
      </c>
      <c r="L74" s="27">
        <v>0</v>
      </c>
      <c r="M74" s="25">
        <v>39.868852459016395</v>
      </c>
    </row>
    <row r="75" spans="1:13" x14ac:dyDescent="0.25">
      <c r="A75" s="23">
        <v>0.33394495412844039</v>
      </c>
      <c r="B75" s="23">
        <v>0.28623853211009176</v>
      </c>
      <c r="C75" s="23">
        <v>0.37431192660550461</v>
      </c>
      <c r="D75" s="24">
        <v>486</v>
      </c>
      <c r="E75" s="24">
        <v>133</v>
      </c>
      <c r="F75" s="24">
        <v>114</v>
      </c>
      <c r="G75" s="24">
        <v>0</v>
      </c>
      <c r="H75" s="24">
        <v>733</v>
      </c>
      <c r="I75" s="27">
        <v>0.66302864938608463</v>
      </c>
      <c r="J75" s="27">
        <v>0.18144611186903137</v>
      </c>
      <c r="K75" s="27">
        <v>0.15552523874488403</v>
      </c>
      <c r="L75" s="27">
        <v>0</v>
      </c>
      <c r="M75" s="25">
        <v>24.889495225102319</v>
      </c>
    </row>
    <row r="76" spans="1:13" x14ac:dyDescent="0.25">
      <c r="A76" s="23">
        <v>7.2423398328690811E-2</v>
      </c>
      <c r="B76" s="23">
        <v>0.2116991643454039</v>
      </c>
      <c r="C76" s="23">
        <v>0.70473537604456826</v>
      </c>
      <c r="D76" s="24">
        <v>447</v>
      </c>
      <c r="E76" s="24">
        <v>0</v>
      </c>
      <c r="F76" s="24">
        <v>3</v>
      </c>
      <c r="G76" s="24">
        <v>0</v>
      </c>
      <c r="H76" s="24">
        <v>450</v>
      </c>
      <c r="I76" s="27">
        <v>0.99333333333333329</v>
      </c>
      <c r="J76" s="27">
        <v>0</v>
      </c>
      <c r="K76" s="27">
        <v>6.6666666666666671E-3</v>
      </c>
      <c r="L76" s="27">
        <v>0</v>
      </c>
      <c r="M76" s="25">
        <v>57.18</v>
      </c>
    </row>
    <row r="77" spans="1:13" x14ac:dyDescent="0.25">
      <c r="A77" s="23">
        <v>9.5684803001876179E-2</v>
      </c>
      <c r="B77" s="23">
        <v>0.38461538461538464</v>
      </c>
      <c r="C77" s="23">
        <v>0.51782363977485923</v>
      </c>
      <c r="D77" s="24">
        <v>687</v>
      </c>
      <c r="E77" s="24">
        <v>0</v>
      </c>
      <c r="F77" s="24">
        <v>2</v>
      </c>
      <c r="G77" s="24">
        <v>0</v>
      </c>
      <c r="H77" s="24">
        <v>689</v>
      </c>
      <c r="I77" s="27">
        <v>0.99709724238026121</v>
      </c>
      <c r="J77" s="27">
        <v>0</v>
      </c>
      <c r="K77" s="27">
        <v>2.9027576197387518E-3</v>
      </c>
      <c r="L77" s="27">
        <v>0</v>
      </c>
      <c r="M77" s="25">
        <v>31.918722786647315</v>
      </c>
    </row>
    <row r="78" spans="1:13" x14ac:dyDescent="0.25">
      <c r="A78" s="23">
        <v>6.2663185378590072E-2</v>
      </c>
      <c r="B78" s="23">
        <v>0.13577023498694518</v>
      </c>
      <c r="C78" s="23">
        <v>0.76762402088772841</v>
      </c>
      <c r="D78" s="24">
        <v>447</v>
      </c>
      <c r="E78" s="24">
        <v>1</v>
      </c>
      <c r="F78" s="24">
        <v>2</v>
      </c>
      <c r="G78" s="24">
        <v>0</v>
      </c>
      <c r="H78" s="24">
        <v>450</v>
      </c>
      <c r="I78" s="27">
        <v>0.99333333333333329</v>
      </c>
      <c r="J78" s="27">
        <v>2.2222222222222222E-3</v>
      </c>
      <c r="K78" s="27">
        <v>4.4444444444444444E-3</v>
      </c>
      <c r="L78" s="27">
        <v>0</v>
      </c>
      <c r="M78" s="25">
        <v>68.135555555555555</v>
      </c>
    </row>
    <row r="79" spans="1:13" x14ac:dyDescent="0.25">
      <c r="A79" s="23">
        <v>0.14168937329700274</v>
      </c>
      <c r="B79" s="23">
        <v>0.17983651226158037</v>
      </c>
      <c r="C79" s="23">
        <v>0.66485013623978206</v>
      </c>
      <c r="D79" s="24">
        <v>448</v>
      </c>
      <c r="E79" s="24">
        <v>0</v>
      </c>
      <c r="F79" s="24">
        <v>1</v>
      </c>
      <c r="G79" s="24">
        <v>1</v>
      </c>
      <c r="H79" s="24">
        <v>450</v>
      </c>
      <c r="I79" s="27">
        <v>0.99555555555555553</v>
      </c>
      <c r="J79" s="27">
        <v>0</v>
      </c>
      <c r="K79" s="27">
        <v>2.2222222222222222E-3</v>
      </c>
      <c r="L79" s="27">
        <v>2.2222222222222222E-3</v>
      </c>
      <c r="M79" s="25">
        <v>56.06666666666667</v>
      </c>
    </row>
    <row r="80" spans="1:13" x14ac:dyDescent="0.25">
      <c r="A80" s="23">
        <v>6.6810344827586202E-2</v>
      </c>
      <c r="B80" s="23">
        <v>0.36637931034482757</v>
      </c>
      <c r="C80" s="23">
        <v>0.55172413793103448</v>
      </c>
      <c r="D80" s="24">
        <v>618</v>
      </c>
      <c r="E80" s="24">
        <v>0</v>
      </c>
      <c r="F80" s="24">
        <v>1</v>
      </c>
      <c r="G80" s="24">
        <v>1</v>
      </c>
      <c r="H80" s="24">
        <v>620</v>
      </c>
      <c r="I80" s="27">
        <v>0.99677419354838714</v>
      </c>
      <c r="J80" s="27">
        <v>0</v>
      </c>
      <c r="K80" s="27">
        <v>1.6129032258064516E-3</v>
      </c>
      <c r="L80" s="27">
        <v>1.6129032258064516E-3</v>
      </c>
      <c r="M80" s="25">
        <v>43.906451612903226</v>
      </c>
    </row>
    <row r="81" spans="1:13" x14ac:dyDescent="0.25">
      <c r="A81" s="23">
        <v>7.415730337078652E-2</v>
      </c>
      <c r="B81" s="23">
        <v>0.38876404494382022</v>
      </c>
      <c r="C81" s="23">
        <v>0.53258426966292138</v>
      </c>
      <c r="D81" s="24">
        <v>621</v>
      </c>
      <c r="E81" s="24">
        <v>0</v>
      </c>
      <c r="F81" s="24">
        <v>0</v>
      </c>
      <c r="G81" s="24">
        <v>0</v>
      </c>
      <c r="H81" s="24">
        <v>621</v>
      </c>
      <c r="I81" s="27">
        <v>1</v>
      </c>
      <c r="J81" s="27">
        <v>0</v>
      </c>
      <c r="K81" s="27">
        <v>0</v>
      </c>
      <c r="L81" s="27">
        <v>0</v>
      </c>
      <c r="M81" s="25">
        <v>37.074074074074076</v>
      </c>
    </row>
    <row r="82" spans="1:13" x14ac:dyDescent="0.25">
      <c r="A82" s="23">
        <v>7.4152542372881353E-2</v>
      </c>
      <c r="B82" s="23">
        <v>0.41101694915254239</v>
      </c>
      <c r="C82" s="23">
        <v>0.51271186440677963</v>
      </c>
      <c r="D82" s="24">
        <v>621</v>
      </c>
      <c r="E82" s="24">
        <v>0</v>
      </c>
      <c r="F82" s="24">
        <v>0</v>
      </c>
      <c r="G82" s="24">
        <v>0</v>
      </c>
      <c r="H82" s="24">
        <v>621</v>
      </c>
      <c r="I82" s="27">
        <v>1</v>
      </c>
      <c r="J82" s="27">
        <v>0</v>
      </c>
      <c r="K82" s="27">
        <v>0</v>
      </c>
      <c r="L82" s="27">
        <v>0</v>
      </c>
      <c r="M82" s="25">
        <v>25.640901771336555</v>
      </c>
    </row>
    <row r="83" spans="1:13" x14ac:dyDescent="0.25">
      <c r="A83" s="23">
        <v>0.1002710027100271</v>
      </c>
      <c r="B83" s="23">
        <v>0.13550135501355012</v>
      </c>
      <c r="C83" s="23">
        <v>0.72628726287262868</v>
      </c>
      <c r="D83" s="24">
        <v>449</v>
      </c>
      <c r="E83" s="24">
        <v>0</v>
      </c>
      <c r="F83" s="24">
        <v>1</v>
      </c>
      <c r="G83" s="24">
        <v>0</v>
      </c>
      <c r="H83" s="24">
        <v>450</v>
      </c>
      <c r="I83" s="27">
        <v>0.99777777777777776</v>
      </c>
      <c r="J83" s="27">
        <v>0</v>
      </c>
      <c r="K83" s="27">
        <v>2.2222222222222222E-3</v>
      </c>
      <c r="L83" s="27">
        <v>0</v>
      </c>
      <c r="M83" s="25">
        <v>67.691111111111113</v>
      </c>
    </row>
    <row r="84" spans="1:13" x14ac:dyDescent="0.25">
      <c r="A84" s="23">
        <v>9.9415204678362568E-2</v>
      </c>
      <c r="B84" s="23">
        <v>0.34795321637426901</v>
      </c>
      <c r="C84" s="23">
        <v>0.52631578947368418</v>
      </c>
      <c r="D84" s="24">
        <v>447</v>
      </c>
      <c r="E84" s="24">
        <v>0</v>
      </c>
      <c r="F84" s="24">
        <v>3</v>
      </c>
      <c r="G84" s="24">
        <v>0</v>
      </c>
      <c r="H84" s="24">
        <v>450</v>
      </c>
      <c r="I84" s="27">
        <v>0.99333333333333329</v>
      </c>
      <c r="J84" s="27">
        <v>0</v>
      </c>
      <c r="K84" s="27">
        <v>6.6666666666666671E-3</v>
      </c>
      <c r="L84" s="27">
        <v>0</v>
      </c>
      <c r="M84" s="25">
        <v>49.568888888888885</v>
      </c>
    </row>
    <row r="85" spans="1:13" x14ac:dyDescent="0.25">
      <c r="A85" s="23">
        <v>6.2068965517241378E-2</v>
      </c>
      <c r="B85" s="23">
        <v>0.38620689655172413</v>
      </c>
      <c r="C85" s="23">
        <v>0.54252873563218396</v>
      </c>
      <c r="D85" s="24">
        <v>584</v>
      </c>
      <c r="E85" s="24">
        <v>0</v>
      </c>
      <c r="F85" s="24">
        <v>0</v>
      </c>
      <c r="G85" s="24">
        <v>0</v>
      </c>
      <c r="H85" s="24">
        <v>584</v>
      </c>
      <c r="I85" s="27">
        <v>1</v>
      </c>
      <c r="J85" s="27">
        <v>0</v>
      </c>
      <c r="K85" s="27">
        <v>0</v>
      </c>
      <c r="L85" s="27">
        <v>0</v>
      </c>
      <c r="M85" s="25">
        <v>39.81849315068493</v>
      </c>
    </row>
    <row r="86" spans="1:13" x14ac:dyDescent="0.25">
      <c r="A86" s="23">
        <v>0.10440835266821345</v>
      </c>
      <c r="B86" s="23">
        <v>0.43155452436194897</v>
      </c>
      <c r="C86" s="23">
        <v>0.46403712296983757</v>
      </c>
      <c r="D86" s="24">
        <v>584</v>
      </c>
      <c r="E86" s="24">
        <v>0</v>
      </c>
      <c r="F86" s="24">
        <v>0</v>
      </c>
      <c r="G86" s="24">
        <v>0</v>
      </c>
      <c r="H86" s="24">
        <v>584</v>
      </c>
      <c r="I86" s="27">
        <v>1</v>
      </c>
      <c r="J86" s="27">
        <v>0</v>
      </c>
      <c r="K86" s="27">
        <v>0</v>
      </c>
      <c r="L86" s="27">
        <v>0</v>
      </c>
      <c r="M86" s="25">
        <v>27.128424657534246</v>
      </c>
    </row>
    <row r="87" spans="1:13" x14ac:dyDescent="0.25">
      <c r="A87" s="23">
        <v>0.35174418604651164</v>
      </c>
      <c r="B87" s="23">
        <v>8.1395348837209308E-2</v>
      </c>
      <c r="C87" s="23">
        <v>0.50872093023255816</v>
      </c>
      <c r="D87" s="24">
        <v>108</v>
      </c>
      <c r="E87" s="24">
        <v>6</v>
      </c>
      <c r="F87" s="24">
        <v>220</v>
      </c>
      <c r="G87" s="24">
        <v>116</v>
      </c>
      <c r="H87" s="24">
        <v>450</v>
      </c>
      <c r="I87" s="27">
        <v>0.24</v>
      </c>
      <c r="J87" s="27">
        <v>1.3333333333333334E-2</v>
      </c>
      <c r="K87" s="27">
        <v>0.48888888888888887</v>
      </c>
      <c r="L87" s="27">
        <v>0.25777777777777777</v>
      </c>
      <c r="M87" s="25">
        <v>63.097777777777779</v>
      </c>
    </row>
    <row r="88" spans="1:13" x14ac:dyDescent="0.25">
      <c r="A88" s="23">
        <v>0.39037433155080214</v>
      </c>
      <c r="B88" s="23">
        <v>9.8930481283422467E-2</v>
      </c>
      <c r="C88" s="23">
        <v>0.47860962566844922</v>
      </c>
      <c r="D88" s="24">
        <v>106</v>
      </c>
      <c r="E88" s="24">
        <v>1</v>
      </c>
      <c r="F88" s="24">
        <v>156</v>
      </c>
      <c r="G88" s="24">
        <v>280</v>
      </c>
      <c r="H88" s="24">
        <v>543</v>
      </c>
      <c r="I88" s="27">
        <v>0.19521178637200737</v>
      </c>
      <c r="J88" s="27">
        <v>1.841620626151013E-3</v>
      </c>
      <c r="K88" s="27">
        <v>0.287292817679558</v>
      </c>
      <c r="L88" s="27">
        <v>0.51565377532228363</v>
      </c>
      <c r="M88" s="25">
        <v>42.692449355432778</v>
      </c>
    </row>
    <row r="89" spans="1:13" x14ac:dyDescent="0.25">
      <c r="A89" s="23">
        <v>0.35128205128205126</v>
      </c>
      <c r="B89" s="23">
        <v>0.23333333333333334</v>
      </c>
      <c r="C89" s="23">
        <v>0.3923076923076923</v>
      </c>
      <c r="D89" s="24">
        <v>305</v>
      </c>
      <c r="E89" s="24">
        <v>5</v>
      </c>
      <c r="F89" s="24">
        <v>152</v>
      </c>
      <c r="G89" s="24">
        <v>81</v>
      </c>
      <c r="H89" s="24">
        <v>543</v>
      </c>
      <c r="I89" s="27">
        <v>0.56169429097605894</v>
      </c>
      <c r="J89" s="27">
        <v>9.2081031307550652E-3</v>
      </c>
      <c r="K89" s="27">
        <v>0.27992633517495397</v>
      </c>
      <c r="L89" s="27">
        <v>0.14917127071823205</v>
      </c>
      <c r="M89" s="25">
        <v>25.67219152854512</v>
      </c>
    </row>
    <row r="90" spans="1:13" x14ac:dyDescent="0.25">
      <c r="A90" s="23">
        <v>0.17847025495750707</v>
      </c>
      <c r="B90" s="23">
        <v>0.17280453257790368</v>
      </c>
      <c r="C90" s="23">
        <v>0.63172804532577909</v>
      </c>
      <c r="D90" s="24">
        <v>439</v>
      </c>
      <c r="E90" s="24">
        <v>9</v>
      </c>
      <c r="F90" s="24">
        <v>2</v>
      </c>
      <c r="G90" s="24">
        <v>0</v>
      </c>
      <c r="H90" s="24">
        <v>450</v>
      </c>
      <c r="I90" s="27">
        <v>0.97555555555555551</v>
      </c>
      <c r="J90" s="27">
        <v>0.02</v>
      </c>
      <c r="K90" s="27">
        <v>4.4444444444444444E-3</v>
      </c>
      <c r="L90" s="27">
        <v>0</v>
      </c>
      <c r="M90" s="25">
        <v>64.597777777777779</v>
      </c>
    </row>
    <row r="91" spans="1:13" x14ac:dyDescent="0.25">
      <c r="A91" s="23">
        <v>0.17043121149897331</v>
      </c>
      <c r="B91" s="23">
        <v>0.39835728952772076</v>
      </c>
      <c r="C91" s="23">
        <v>0.41889117043121149</v>
      </c>
      <c r="D91" s="24">
        <v>619</v>
      </c>
      <c r="E91" s="24">
        <v>1</v>
      </c>
      <c r="F91" s="24">
        <v>0</v>
      </c>
      <c r="G91" s="24">
        <v>1</v>
      </c>
      <c r="H91" s="24">
        <v>621</v>
      </c>
      <c r="I91" s="27">
        <v>0.9967793880837359</v>
      </c>
      <c r="J91" s="27">
        <v>1.6103059581320451E-3</v>
      </c>
      <c r="K91" s="27">
        <v>0</v>
      </c>
      <c r="L91" s="27">
        <v>1.6103059581320451E-3</v>
      </c>
      <c r="M91" s="25">
        <v>34.0402576489533</v>
      </c>
    </row>
    <row r="92" spans="1:13" x14ac:dyDescent="0.25">
      <c r="A92" s="23">
        <v>0.74509803921568629</v>
      </c>
      <c r="B92" s="23">
        <v>1.3071895424836602E-2</v>
      </c>
      <c r="C92" s="23">
        <v>0.21241830065359477</v>
      </c>
      <c r="D92" s="24">
        <v>46</v>
      </c>
      <c r="E92" s="24">
        <v>370</v>
      </c>
      <c r="F92" s="24">
        <v>34</v>
      </c>
      <c r="G92" s="24">
        <v>0</v>
      </c>
      <c r="H92" s="24">
        <v>450</v>
      </c>
      <c r="I92" s="27">
        <v>0.10222222222222223</v>
      </c>
      <c r="J92" s="27">
        <v>0.82222222222222219</v>
      </c>
      <c r="K92" s="27">
        <v>7.5555555555555556E-2</v>
      </c>
      <c r="L92" s="27">
        <v>0</v>
      </c>
      <c r="M92" s="25">
        <v>72.055555555555557</v>
      </c>
    </row>
    <row r="93" spans="1:13" x14ac:dyDescent="0.25">
      <c r="A93" s="23">
        <v>0.70903954802259883</v>
      </c>
      <c r="B93" s="23">
        <v>4.519774011299435E-2</v>
      </c>
      <c r="C93" s="23">
        <v>0.2288135593220339</v>
      </c>
      <c r="D93" s="24">
        <v>88</v>
      </c>
      <c r="E93" s="24">
        <v>334</v>
      </c>
      <c r="F93" s="24">
        <v>26</v>
      </c>
      <c r="G93" s="24">
        <v>2</v>
      </c>
      <c r="H93" s="24">
        <v>450</v>
      </c>
      <c r="I93" s="27">
        <v>0.19555555555555557</v>
      </c>
      <c r="J93" s="27">
        <v>0.74222222222222223</v>
      </c>
      <c r="K93" s="27">
        <v>5.7777777777777775E-2</v>
      </c>
      <c r="L93" s="27">
        <v>4.4444444444444444E-3</v>
      </c>
      <c r="M93" s="25">
        <v>62.922222222222224</v>
      </c>
    </row>
    <row r="94" spans="1:13" x14ac:dyDescent="0.25">
      <c r="A94" s="23">
        <v>0.73829787234042554</v>
      </c>
      <c r="B94" s="23">
        <v>4.4680851063829789E-2</v>
      </c>
      <c r="C94" s="23">
        <v>0.19787234042553192</v>
      </c>
      <c r="D94" s="24">
        <v>107</v>
      </c>
      <c r="E94" s="24">
        <v>472</v>
      </c>
      <c r="F94" s="24">
        <v>25</v>
      </c>
      <c r="G94" s="24">
        <v>2</v>
      </c>
      <c r="H94" s="24">
        <v>606</v>
      </c>
      <c r="I94" s="27">
        <v>0.17656765676567657</v>
      </c>
      <c r="J94" s="27">
        <v>0.77887788778877887</v>
      </c>
      <c r="K94" s="27">
        <v>4.1254125412541254E-2</v>
      </c>
      <c r="L94" s="27">
        <v>3.3003300330033004E-3</v>
      </c>
      <c r="M94" s="25">
        <v>51.777227722772274</v>
      </c>
    </row>
    <row r="95" spans="1:13" x14ac:dyDescent="0.25">
      <c r="A95" s="23">
        <v>0.69856459330143539</v>
      </c>
      <c r="B95" s="23">
        <v>8.1339712918660281E-2</v>
      </c>
      <c r="C95" s="23">
        <v>0.21291866028708134</v>
      </c>
      <c r="D95" s="24">
        <v>146</v>
      </c>
      <c r="E95" s="24">
        <v>416</v>
      </c>
      <c r="F95" s="24">
        <v>44</v>
      </c>
      <c r="G95" s="24">
        <v>0</v>
      </c>
      <c r="H95" s="24">
        <v>606</v>
      </c>
      <c r="I95" s="27">
        <v>0.24092409240924093</v>
      </c>
      <c r="J95" s="27">
        <v>0.68646864686468645</v>
      </c>
      <c r="K95" s="27">
        <v>7.2607260726072612E-2</v>
      </c>
      <c r="L95" s="27">
        <v>0</v>
      </c>
      <c r="M95" s="25">
        <v>41.965346534653463</v>
      </c>
    </row>
    <row r="96" spans="1:13" x14ac:dyDescent="0.25">
      <c r="A96" s="23">
        <v>0.61009174311926606</v>
      </c>
      <c r="B96" s="23">
        <v>0.13302752293577982</v>
      </c>
      <c r="C96" s="23">
        <v>0.25229357798165136</v>
      </c>
      <c r="D96" s="24">
        <v>233</v>
      </c>
      <c r="E96" s="24">
        <v>338</v>
      </c>
      <c r="F96" s="24">
        <v>36</v>
      </c>
      <c r="G96" s="24">
        <v>0</v>
      </c>
      <c r="H96" s="24">
        <v>607</v>
      </c>
      <c r="I96" s="27">
        <v>0.38385502471169686</v>
      </c>
      <c r="J96" s="27">
        <v>0.55683690280065901</v>
      </c>
      <c r="K96" s="27">
        <v>5.9308072487644151E-2</v>
      </c>
      <c r="L96" s="27">
        <v>0</v>
      </c>
      <c r="M96" s="25">
        <v>34.222405271828663</v>
      </c>
    </row>
    <row r="97" spans="1:13" x14ac:dyDescent="0.25">
      <c r="A97" s="23">
        <v>0.5665137614678899</v>
      </c>
      <c r="B97" s="23">
        <v>0.17889908256880735</v>
      </c>
      <c r="C97" s="23">
        <v>0.24770642201834864</v>
      </c>
      <c r="D97" s="24">
        <v>271</v>
      </c>
      <c r="E97" s="24">
        <v>308</v>
      </c>
      <c r="F97" s="24">
        <v>28</v>
      </c>
      <c r="G97" s="24">
        <v>0</v>
      </c>
      <c r="H97" s="24">
        <v>607</v>
      </c>
      <c r="I97" s="27">
        <v>0.44645799011532128</v>
      </c>
      <c r="J97" s="27">
        <v>0.5074135090609555</v>
      </c>
      <c r="K97" s="27">
        <v>4.6128500823723231E-2</v>
      </c>
      <c r="L97" s="27">
        <v>0</v>
      </c>
      <c r="M97" s="25">
        <v>27.331136738056014</v>
      </c>
    </row>
    <row r="98" spans="1:13" x14ac:dyDescent="0.25">
      <c r="A98" s="23">
        <v>0.39059304703476483</v>
      </c>
      <c r="B98" s="23">
        <v>0.23312883435582821</v>
      </c>
      <c r="C98" s="23">
        <v>0.35378323108384457</v>
      </c>
      <c r="D98" s="24">
        <v>362</v>
      </c>
      <c r="E98" s="24">
        <v>218</v>
      </c>
      <c r="F98" s="24">
        <v>27</v>
      </c>
      <c r="G98" s="24">
        <v>0</v>
      </c>
      <c r="H98" s="24">
        <v>607</v>
      </c>
      <c r="I98" s="27">
        <v>0.59637561779242176</v>
      </c>
      <c r="J98" s="27">
        <v>0.35914332784184516</v>
      </c>
      <c r="K98" s="27">
        <v>4.4481054365733116E-2</v>
      </c>
      <c r="L98" s="27">
        <v>0</v>
      </c>
      <c r="M98" s="25">
        <v>21.187808896210875</v>
      </c>
    </row>
    <row r="99" spans="1:13" x14ac:dyDescent="0.25">
      <c r="A99" s="23">
        <v>0.1424731182795699</v>
      </c>
      <c r="B99" s="23">
        <v>0.16935483870967741</v>
      </c>
      <c r="C99" s="23">
        <v>0.67204301075268813</v>
      </c>
      <c r="D99" s="24">
        <v>432</v>
      </c>
      <c r="E99" s="24">
        <v>0</v>
      </c>
      <c r="F99" s="24">
        <v>1</v>
      </c>
      <c r="G99" s="24">
        <v>1</v>
      </c>
      <c r="H99" s="24">
        <v>434</v>
      </c>
      <c r="I99" s="27">
        <v>0.99539170506912444</v>
      </c>
      <c r="J99" s="27">
        <v>0</v>
      </c>
      <c r="K99" s="27">
        <v>2.304147465437788E-3</v>
      </c>
      <c r="L99" s="27">
        <v>2.304147465437788E-3</v>
      </c>
      <c r="M99" s="25">
        <v>62.527649769585253</v>
      </c>
    </row>
    <row r="100" spans="1:13" x14ac:dyDescent="0.25">
      <c r="A100" s="23">
        <v>0.12747875354107649</v>
      </c>
      <c r="B100" s="23">
        <v>0.32011331444759206</v>
      </c>
      <c r="C100" s="23">
        <v>0.5439093484419264</v>
      </c>
      <c r="D100" s="24">
        <v>434</v>
      </c>
      <c r="E100" s="24">
        <v>0</v>
      </c>
      <c r="F100" s="24">
        <v>0</v>
      </c>
      <c r="G100" s="24">
        <v>0</v>
      </c>
      <c r="H100" s="24">
        <v>434</v>
      </c>
      <c r="I100" s="27">
        <v>1</v>
      </c>
      <c r="J100" s="27">
        <v>0</v>
      </c>
      <c r="K100" s="27">
        <v>0</v>
      </c>
      <c r="L100" s="27">
        <v>0</v>
      </c>
      <c r="M100" s="25">
        <v>32.905529953917053</v>
      </c>
    </row>
    <row r="101" spans="1:13" x14ac:dyDescent="0.25">
      <c r="A101" s="23">
        <v>0.19003115264797507</v>
      </c>
      <c r="B101" s="23">
        <v>0.11214953271028037</v>
      </c>
      <c r="C101" s="23">
        <v>0.66666666666666663</v>
      </c>
      <c r="D101" s="24">
        <v>396</v>
      </c>
      <c r="E101" s="24">
        <v>35</v>
      </c>
      <c r="F101" s="24">
        <v>17</v>
      </c>
      <c r="G101" s="24">
        <v>2</v>
      </c>
      <c r="H101" s="24">
        <v>450</v>
      </c>
      <c r="I101" s="27">
        <v>0.88</v>
      </c>
      <c r="J101" s="27">
        <v>7.7777777777777779E-2</v>
      </c>
      <c r="K101" s="27">
        <v>3.7777777777777778E-2</v>
      </c>
      <c r="L101" s="27">
        <v>4.4444444444444444E-3</v>
      </c>
      <c r="M101" s="25">
        <v>68.557777777777773</v>
      </c>
    </row>
    <row r="102" spans="1:13" x14ac:dyDescent="0.25">
      <c r="A102" s="23">
        <v>0.25065274151436029</v>
      </c>
      <c r="B102" s="23">
        <v>0.17493472584856398</v>
      </c>
      <c r="C102" s="23">
        <v>0.56135770234986948</v>
      </c>
      <c r="D102" s="24">
        <v>367</v>
      </c>
      <c r="E102" s="24">
        <v>53</v>
      </c>
      <c r="F102" s="24">
        <v>22</v>
      </c>
      <c r="G102" s="24">
        <v>8</v>
      </c>
      <c r="H102" s="24">
        <v>450</v>
      </c>
      <c r="I102" s="27">
        <v>0.81555555555555559</v>
      </c>
      <c r="J102" s="27">
        <v>0.11777777777777777</v>
      </c>
      <c r="K102" s="27">
        <v>4.8888888888888891E-2</v>
      </c>
      <c r="L102" s="27">
        <v>1.7777777777777778E-2</v>
      </c>
      <c r="M102" s="25">
        <v>59.146666666666668</v>
      </c>
    </row>
    <row r="103" spans="1:13" x14ac:dyDescent="0.25">
      <c r="A103" s="23">
        <v>0.3170289855072464</v>
      </c>
      <c r="B103" s="23">
        <v>0.23007246376811594</v>
      </c>
      <c r="C103" s="23">
        <v>0.44021739130434784</v>
      </c>
      <c r="D103" s="24">
        <v>518</v>
      </c>
      <c r="E103" s="24">
        <v>126</v>
      </c>
      <c r="F103" s="24">
        <v>36</v>
      </c>
      <c r="G103" s="24">
        <v>15</v>
      </c>
      <c r="H103" s="24">
        <v>695</v>
      </c>
      <c r="I103" s="27">
        <v>0.74532374100719423</v>
      </c>
      <c r="J103" s="27">
        <v>0.18129496402877698</v>
      </c>
      <c r="K103" s="27">
        <v>5.1798561151079135E-2</v>
      </c>
      <c r="L103" s="27">
        <v>2.1582733812949641E-2</v>
      </c>
      <c r="M103" s="25">
        <v>47.120863309352515</v>
      </c>
    </row>
    <row r="104" spans="1:13" x14ac:dyDescent="0.25">
      <c r="A104" s="23">
        <v>0.25563909774436089</v>
      </c>
      <c r="B104" s="23">
        <v>0.2857142857142857</v>
      </c>
      <c r="C104" s="23">
        <v>0.45112781954887216</v>
      </c>
      <c r="D104" s="24">
        <v>567</v>
      </c>
      <c r="E104" s="24">
        <v>99</v>
      </c>
      <c r="F104" s="24">
        <v>13</v>
      </c>
      <c r="G104" s="24">
        <v>16</v>
      </c>
      <c r="H104" s="24">
        <v>695</v>
      </c>
      <c r="I104" s="27">
        <v>0.81582733812949637</v>
      </c>
      <c r="J104" s="27">
        <v>0.14244604316546763</v>
      </c>
      <c r="K104" s="27">
        <v>1.870503597122302E-2</v>
      </c>
      <c r="L104" s="27">
        <v>2.302158273381295E-2</v>
      </c>
      <c r="M104" s="25">
        <v>34.958273381294966</v>
      </c>
    </row>
    <row r="105" spans="1:13" x14ac:dyDescent="0.25">
      <c r="A105" s="23">
        <v>0.26335174953959484</v>
      </c>
      <c r="B105" s="23">
        <v>0.26703499079189685</v>
      </c>
      <c r="C105" s="23">
        <v>0.4567219152854512</v>
      </c>
      <c r="D105" s="24">
        <v>564</v>
      </c>
      <c r="E105" s="24">
        <v>87</v>
      </c>
      <c r="F105" s="24">
        <v>32</v>
      </c>
      <c r="G105" s="24">
        <v>12</v>
      </c>
      <c r="H105" s="24">
        <v>695</v>
      </c>
      <c r="I105" s="27">
        <v>0.81151079136690651</v>
      </c>
      <c r="J105" s="27">
        <v>0.1251798561151079</v>
      </c>
      <c r="K105" s="27">
        <v>4.60431654676259E-2</v>
      </c>
      <c r="L105" s="27">
        <v>1.7266187050359712E-2</v>
      </c>
      <c r="M105" s="25">
        <v>23.943884892086331</v>
      </c>
    </row>
    <row r="106" spans="1:13" x14ac:dyDescent="0.25">
      <c r="A106" s="23">
        <v>0.51418439716312059</v>
      </c>
      <c r="B106" s="23">
        <v>6.3829787234042548E-2</v>
      </c>
      <c r="C106" s="23">
        <v>0.39361702127659576</v>
      </c>
      <c r="D106" s="24">
        <v>132</v>
      </c>
      <c r="E106" s="24">
        <v>252</v>
      </c>
      <c r="F106" s="24">
        <v>63</v>
      </c>
      <c r="G106" s="24">
        <v>3</v>
      </c>
      <c r="H106" s="24">
        <v>450</v>
      </c>
      <c r="I106" s="27">
        <v>0.29333333333333333</v>
      </c>
      <c r="J106" s="27">
        <v>0.56000000000000005</v>
      </c>
      <c r="K106" s="27">
        <v>0.14000000000000001</v>
      </c>
      <c r="L106" s="27">
        <v>6.6666666666666671E-3</v>
      </c>
      <c r="M106" s="25">
        <v>73.277777777777771</v>
      </c>
    </row>
    <row r="107" spans="1:13" x14ac:dyDescent="0.25">
      <c r="A107" s="23">
        <v>0.51327433628318586</v>
      </c>
      <c r="B107" s="23">
        <v>0.12094395280235988</v>
      </c>
      <c r="C107" s="23">
        <v>0.34513274336283184</v>
      </c>
      <c r="D107" s="24">
        <v>212</v>
      </c>
      <c r="E107" s="24">
        <v>186</v>
      </c>
      <c r="F107" s="24">
        <v>50</v>
      </c>
      <c r="G107" s="24">
        <v>2</v>
      </c>
      <c r="H107" s="24">
        <v>450</v>
      </c>
      <c r="I107" s="27">
        <v>0.47111111111111109</v>
      </c>
      <c r="J107" s="27">
        <v>0.41333333333333333</v>
      </c>
      <c r="K107" s="27">
        <v>0.1111111111111111</v>
      </c>
      <c r="L107" s="27">
        <v>4.4444444444444444E-3</v>
      </c>
      <c r="M107" s="25">
        <v>58.373333333333335</v>
      </c>
    </row>
    <row r="108" spans="1:13" x14ac:dyDescent="0.25">
      <c r="A108" s="23">
        <v>0.51461988304093564</v>
      </c>
      <c r="B108" s="23">
        <v>0.13742690058479531</v>
      </c>
      <c r="C108" s="23">
        <v>0.33625730994152048</v>
      </c>
      <c r="D108" s="24">
        <v>231</v>
      </c>
      <c r="E108" s="24">
        <v>218</v>
      </c>
      <c r="F108" s="24">
        <v>14</v>
      </c>
      <c r="G108" s="24">
        <v>0</v>
      </c>
      <c r="H108" s="24">
        <v>463</v>
      </c>
      <c r="I108" s="27">
        <v>0.49892008639308855</v>
      </c>
      <c r="J108" s="27">
        <v>0.47084233261339092</v>
      </c>
      <c r="K108" s="27">
        <v>3.0237580993520519E-2</v>
      </c>
      <c r="L108" s="27">
        <v>0</v>
      </c>
      <c r="M108" s="25">
        <v>41.557235421166304</v>
      </c>
    </row>
    <row r="109" spans="1:13" x14ac:dyDescent="0.25">
      <c r="A109" s="23">
        <v>0.4599406528189911</v>
      </c>
      <c r="B109" s="23">
        <v>0.18694362017804153</v>
      </c>
      <c r="C109" s="23">
        <v>0.33827893175074186</v>
      </c>
      <c r="D109" s="24">
        <v>291</v>
      </c>
      <c r="E109" s="24">
        <v>156</v>
      </c>
      <c r="F109" s="24">
        <v>15</v>
      </c>
      <c r="G109" s="24">
        <v>1</v>
      </c>
      <c r="H109" s="24">
        <v>463</v>
      </c>
      <c r="I109" s="27">
        <v>0.62850971922246224</v>
      </c>
      <c r="J109" s="27">
        <v>0.33693304535637147</v>
      </c>
      <c r="K109" s="27">
        <v>3.2397408207343416E-2</v>
      </c>
      <c r="L109" s="27">
        <v>2.1598272138228943E-3</v>
      </c>
      <c r="M109" s="25">
        <v>25.900647948164146</v>
      </c>
    </row>
    <row r="110" spans="1:13" x14ac:dyDescent="0.25">
      <c r="A110" s="23">
        <v>0.19526627218934911</v>
      </c>
      <c r="B110" s="23">
        <v>0.12721893491124261</v>
      </c>
      <c r="C110" s="23">
        <v>0.64792899408284022</v>
      </c>
      <c r="D110" s="24">
        <v>422</v>
      </c>
      <c r="E110" s="24">
        <v>3</v>
      </c>
      <c r="F110" s="24">
        <v>4</v>
      </c>
      <c r="G110" s="24">
        <v>7</v>
      </c>
      <c r="H110" s="24">
        <v>436</v>
      </c>
      <c r="I110" s="27">
        <v>0.9678899082568807</v>
      </c>
      <c r="J110" s="27">
        <v>6.8807339449541288E-3</v>
      </c>
      <c r="K110" s="27">
        <v>9.1743119266055051E-3</v>
      </c>
      <c r="L110" s="27">
        <v>1.6055045871559634E-2</v>
      </c>
      <c r="M110" s="25">
        <v>66.176605504587158</v>
      </c>
    </row>
    <row r="111" spans="1:13" x14ac:dyDescent="0.25">
      <c r="A111" s="23">
        <v>0.16374269005847952</v>
      </c>
      <c r="B111" s="23">
        <v>0.33625730994152048</v>
      </c>
      <c r="C111" s="23">
        <v>0.47953216374269003</v>
      </c>
      <c r="D111" s="24">
        <v>420</v>
      </c>
      <c r="E111" s="24">
        <v>1</v>
      </c>
      <c r="F111" s="24">
        <v>0</v>
      </c>
      <c r="G111" s="24">
        <v>15</v>
      </c>
      <c r="H111" s="24">
        <v>436</v>
      </c>
      <c r="I111" s="27">
        <v>0.96330275229357798</v>
      </c>
      <c r="J111" s="27">
        <v>2.2935779816513763E-3</v>
      </c>
      <c r="K111" s="27">
        <v>0</v>
      </c>
      <c r="L111" s="27">
        <v>3.4403669724770644E-2</v>
      </c>
      <c r="M111" s="25">
        <v>45.571100917431195</v>
      </c>
    </row>
    <row r="112" spans="1:13" x14ac:dyDescent="0.25">
      <c r="A112" s="23">
        <v>0.18786127167630057</v>
      </c>
      <c r="B112" s="23">
        <v>0.3554913294797688</v>
      </c>
      <c r="C112" s="23">
        <v>0.42485549132947975</v>
      </c>
      <c r="D112" s="24">
        <v>423</v>
      </c>
      <c r="E112" s="24">
        <v>0</v>
      </c>
      <c r="F112" s="24">
        <v>5</v>
      </c>
      <c r="G112" s="24">
        <v>9</v>
      </c>
      <c r="H112" s="24">
        <v>437</v>
      </c>
      <c r="I112" s="27">
        <v>0.96796338672768878</v>
      </c>
      <c r="J112" s="27">
        <v>0</v>
      </c>
      <c r="K112" s="27">
        <v>1.1441647597254004E-2</v>
      </c>
      <c r="L112" s="27">
        <v>2.0594965675057208E-2</v>
      </c>
      <c r="M112" s="25">
        <v>27.805491990846683</v>
      </c>
    </row>
    <row r="113" spans="1:13" x14ac:dyDescent="0.25">
      <c r="A113" s="23">
        <v>0.1246376811594203</v>
      </c>
      <c r="B113" s="23">
        <v>0.18260869565217391</v>
      </c>
      <c r="C113" s="23">
        <v>0.66666666666666663</v>
      </c>
      <c r="D113" s="24">
        <v>389</v>
      </c>
      <c r="E113" s="24">
        <v>0</v>
      </c>
      <c r="F113" s="24">
        <v>0</v>
      </c>
      <c r="G113" s="24">
        <v>29</v>
      </c>
      <c r="H113" s="24">
        <v>418</v>
      </c>
      <c r="I113" s="27">
        <v>0.93062200956937802</v>
      </c>
      <c r="J113" s="27">
        <v>0</v>
      </c>
      <c r="K113" s="27">
        <v>0</v>
      </c>
      <c r="L113" s="27">
        <v>6.9377990430622011E-2</v>
      </c>
      <c r="M113" s="25">
        <v>61.155502392344495</v>
      </c>
    </row>
    <row r="114" spans="1:13" x14ac:dyDescent="0.25">
      <c r="A114" s="23">
        <v>9.5238095238095233E-2</v>
      </c>
      <c r="B114" s="23">
        <v>0.2767857142857143</v>
      </c>
      <c r="C114" s="23">
        <v>0.61904761904761907</v>
      </c>
      <c r="D114" s="24">
        <v>360</v>
      </c>
      <c r="E114" s="24">
        <v>2</v>
      </c>
      <c r="F114" s="24">
        <v>3</v>
      </c>
      <c r="G114" s="24">
        <v>53</v>
      </c>
      <c r="H114" s="24">
        <v>418</v>
      </c>
      <c r="I114" s="27">
        <v>0.86124401913875603</v>
      </c>
      <c r="J114" s="27">
        <v>4.7846889952153108E-3</v>
      </c>
      <c r="K114" s="27">
        <v>7.1770334928229667E-3</v>
      </c>
      <c r="L114" s="27">
        <v>0.12679425837320574</v>
      </c>
      <c r="M114" s="25">
        <v>30.894736842105264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B45B0-927D-4B8A-85F7-44F7DE822198}">
  <dimension ref="A1:AB128"/>
  <sheetViews>
    <sheetView workbookViewId="0">
      <pane xSplit="4" ySplit="1" topLeftCell="N109" activePane="bottomRight" state="frozen"/>
      <selection pane="topRight" activeCell="E1" sqref="E1"/>
      <selection pane="bottomLeft" activeCell="A2" sqref="A2"/>
      <selection pane="bottomRight" activeCell="N8" sqref="N8:P34"/>
    </sheetView>
  </sheetViews>
  <sheetFormatPr defaultRowHeight="13.2" x14ac:dyDescent="0.25"/>
  <cols>
    <col min="1" max="1" width="8.44140625" bestFit="1" customWidth="1"/>
    <col min="2" max="2" width="37.88671875" bestFit="1" customWidth="1"/>
    <col min="3" max="3" width="59.5546875" bestFit="1" customWidth="1"/>
    <col min="4" max="4" width="6.5546875" bestFit="1" customWidth="1"/>
    <col min="5" max="5" width="24.44140625" bestFit="1" customWidth="1"/>
    <col min="6" max="6" width="9.21875" bestFit="1" customWidth="1"/>
    <col min="7" max="8" width="6" bestFit="1" customWidth="1"/>
    <col min="9" max="9" width="5" bestFit="1" customWidth="1"/>
    <col min="10" max="10" width="22" bestFit="1" customWidth="1"/>
    <col min="11" max="11" width="29.21875" bestFit="1" customWidth="1"/>
    <col min="12" max="12" width="10.44140625" bestFit="1" customWidth="1"/>
    <col min="13" max="13" width="19.109375" bestFit="1" customWidth="1"/>
    <col min="14" max="16" width="6" bestFit="1" customWidth="1"/>
    <col min="17" max="17" width="6" customWidth="1"/>
    <col min="18" max="19" width="6" bestFit="1" customWidth="1"/>
    <col min="20" max="21" width="5" bestFit="1" customWidth="1"/>
    <col min="22" max="22" width="6" bestFit="1" customWidth="1"/>
    <col min="23" max="23" width="7" bestFit="1" customWidth="1"/>
    <col min="24" max="26" width="6" bestFit="1" customWidth="1"/>
    <col min="27" max="27" width="7.33203125" bestFit="1" customWidth="1"/>
  </cols>
  <sheetData>
    <row r="1" spans="1:28" x14ac:dyDescent="0.25">
      <c r="A1" s="22" t="s">
        <v>106</v>
      </c>
      <c r="B1" s="22" t="s">
        <v>128</v>
      </c>
      <c r="C1" s="22" t="s">
        <v>107</v>
      </c>
      <c r="D1" s="22" t="s">
        <v>129</v>
      </c>
      <c r="E1" s="22" t="s">
        <v>130</v>
      </c>
      <c r="F1" s="22" t="s">
        <v>102</v>
      </c>
      <c r="G1" s="22" t="s">
        <v>103</v>
      </c>
      <c r="H1" s="22" t="s">
        <v>104</v>
      </c>
      <c r="I1" s="22" t="s">
        <v>105</v>
      </c>
      <c r="J1" s="22" t="s">
        <v>108</v>
      </c>
      <c r="K1" s="22" t="s">
        <v>126</v>
      </c>
      <c r="L1" s="22" t="s">
        <v>194</v>
      </c>
      <c r="M1" s="22" t="s">
        <v>127</v>
      </c>
      <c r="N1" s="22" t="s">
        <v>195</v>
      </c>
      <c r="O1" s="22" t="s">
        <v>196</v>
      </c>
      <c r="P1" s="22" t="s">
        <v>197</v>
      </c>
      <c r="Q1" s="22" t="s">
        <v>102</v>
      </c>
      <c r="R1" s="24" t="s">
        <v>285</v>
      </c>
      <c r="S1" s="24" t="s">
        <v>286</v>
      </c>
      <c r="T1" s="24" t="s">
        <v>287</v>
      </c>
      <c r="U1" s="24" t="s">
        <v>288</v>
      </c>
      <c r="V1" s="24" t="s">
        <v>289</v>
      </c>
      <c r="W1" s="24" t="s">
        <v>290</v>
      </c>
      <c r="X1" s="24" t="s">
        <v>291</v>
      </c>
      <c r="Y1" s="24" t="s">
        <v>292</v>
      </c>
      <c r="Z1" s="24" t="s">
        <v>293</v>
      </c>
      <c r="AA1" s="24" t="s">
        <v>294</v>
      </c>
      <c r="AB1" s="23" t="s">
        <v>301</v>
      </c>
    </row>
    <row r="2" spans="1:28" s="37" customFormat="1" x14ac:dyDescent="0.25">
      <c r="A2" s="32">
        <v>1</v>
      </c>
      <c r="B2" s="32" t="s">
        <v>109</v>
      </c>
      <c r="C2" s="32"/>
      <c r="D2" s="32"/>
      <c r="E2" s="32">
        <v>1245</v>
      </c>
      <c r="F2" s="32">
        <v>5</v>
      </c>
      <c r="G2" s="32">
        <v>599</v>
      </c>
      <c r="H2" s="32">
        <v>168</v>
      </c>
      <c r="I2" s="32">
        <v>299</v>
      </c>
      <c r="J2" s="32">
        <v>1071</v>
      </c>
      <c r="K2" s="32">
        <v>75</v>
      </c>
      <c r="L2" s="32">
        <f>K2+J2</f>
        <v>1146</v>
      </c>
      <c r="M2" s="32">
        <v>99</v>
      </c>
      <c r="N2" s="33">
        <f>H2/L2</f>
        <v>0.14659685863874344</v>
      </c>
      <c r="O2" s="33">
        <f>I2/L2</f>
        <v>0.26090750436300175</v>
      </c>
      <c r="P2" s="33">
        <f>G2/L2</f>
        <v>0.52268760907504364</v>
      </c>
      <c r="Q2" s="33">
        <f>F2/L2</f>
        <v>4.3630017452006981E-3</v>
      </c>
      <c r="R2" s="34">
        <v>4</v>
      </c>
      <c r="S2" s="34">
        <v>0</v>
      </c>
      <c r="T2" s="34">
        <v>0</v>
      </c>
      <c r="U2" s="34">
        <v>0</v>
      </c>
      <c r="V2" s="34">
        <v>4</v>
      </c>
      <c r="W2" s="35">
        <v>1</v>
      </c>
      <c r="X2" s="35">
        <v>0</v>
      </c>
      <c r="Y2" s="35">
        <v>0</v>
      </c>
      <c r="Z2" s="35">
        <v>0</v>
      </c>
      <c r="AA2" s="36">
        <v>37.833333333333336</v>
      </c>
      <c r="AB2" s="33">
        <f>L2/V2</f>
        <v>286.5</v>
      </c>
    </row>
    <row r="3" spans="1:28" s="37" customFormat="1" x14ac:dyDescent="0.25">
      <c r="A3" s="32">
        <v>2</v>
      </c>
      <c r="B3" s="32" t="s">
        <v>110</v>
      </c>
      <c r="C3" s="32" t="s">
        <v>111</v>
      </c>
      <c r="D3" s="32">
        <v>1</v>
      </c>
      <c r="E3" s="32">
        <v>21</v>
      </c>
      <c r="F3" s="32">
        <v>0</v>
      </c>
      <c r="G3" s="32">
        <v>17</v>
      </c>
      <c r="H3" s="32">
        <v>0</v>
      </c>
      <c r="I3" s="32">
        <v>4</v>
      </c>
      <c r="J3" s="32">
        <v>21</v>
      </c>
      <c r="K3" s="32">
        <v>0</v>
      </c>
      <c r="L3" s="32">
        <f t="shared" ref="L3:L66" si="0">K3+J3</f>
        <v>21</v>
      </c>
      <c r="M3" s="32">
        <v>0</v>
      </c>
      <c r="N3" s="33">
        <f t="shared" ref="N3:N66" si="1">H3/L3</f>
        <v>0</v>
      </c>
      <c r="O3" s="33">
        <f t="shared" ref="O3:O66" si="2">I3/L3</f>
        <v>0.19047619047619047</v>
      </c>
      <c r="P3" s="33">
        <f t="shared" ref="P3:P66" si="3">G3/L3</f>
        <v>0.80952380952380953</v>
      </c>
      <c r="Q3" s="33">
        <f t="shared" ref="Q3:Q66" si="4">F3/L3</f>
        <v>0</v>
      </c>
      <c r="R3" s="34">
        <v>22</v>
      </c>
      <c r="S3" s="34">
        <v>0</v>
      </c>
      <c r="T3" s="34">
        <v>1</v>
      </c>
      <c r="U3" s="34">
        <v>3</v>
      </c>
      <c r="V3" s="34">
        <v>26</v>
      </c>
      <c r="W3" s="35">
        <v>0.84615384615384615</v>
      </c>
      <c r="X3" s="35">
        <v>0</v>
      </c>
      <c r="Y3" s="35">
        <v>3.8461538461538464E-2</v>
      </c>
      <c r="Z3" s="35">
        <v>0.11538461538461539</v>
      </c>
      <c r="AA3" s="36">
        <v>37.06666666666667</v>
      </c>
      <c r="AB3" s="33">
        <f t="shared" ref="AB3:AB66" si="5">L3/V3</f>
        <v>0.80769230769230771</v>
      </c>
    </row>
    <row r="4" spans="1:28" s="37" customFormat="1" x14ac:dyDescent="0.25">
      <c r="A4" s="32">
        <v>3</v>
      </c>
      <c r="B4" s="32" t="s">
        <v>112</v>
      </c>
      <c r="C4" s="32" t="s">
        <v>113</v>
      </c>
      <c r="D4" s="32">
        <v>1</v>
      </c>
      <c r="E4" s="32">
        <v>13</v>
      </c>
      <c r="F4" s="32">
        <v>0</v>
      </c>
      <c r="G4" s="32">
        <v>9</v>
      </c>
      <c r="H4" s="32">
        <v>1</v>
      </c>
      <c r="I4" s="32">
        <v>3</v>
      </c>
      <c r="J4" s="32">
        <v>13</v>
      </c>
      <c r="K4" s="32">
        <v>0</v>
      </c>
      <c r="L4" s="32">
        <f t="shared" si="0"/>
        <v>13</v>
      </c>
      <c r="M4" s="32">
        <v>0</v>
      </c>
      <c r="N4" s="33">
        <f t="shared" si="1"/>
        <v>7.6923076923076927E-2</v>
      </c>
      <c r="O4" s="33">
        <f t="shared" si="2"/>
        <v>0.23076923076923078</v>
      </c>
      <c r="P4" s="33">
        <f t="shared" si="3"/>
        <v>0.69230769230769229</v>
      </c>
      <c r="Q4" s="33">
        <f t="shared" si="4"/>
        <v>0</v>
      </c>
      <c r="R4" s="34">
        <v>13</v>
      </c>
      <c r="S4" s="34">
        <v>0</v>
      </c>
      <c r="T4" s="34">
        <v>0</v>
      </c>
      <c r="U4" s="34">
        <v>0</v>
      </c>
      <c r="V4" s="34">
        <v>13</v>
      </c>
      <c r="W4" s="35">
        <v>1</v>
      </c>
      <c r="X4" s="35">
        <v>0</v>
      </c>
      <c r="Y4" s="35">
        <v>0</v>
      </c>
      <c r="Z4" s="35">
        <v>0</v>
      </c>
      <c r="AA4" s="36">
        <v>32.266666666666666</v>
      </c>
      <c r="AB4" s="33">
        <f t="shared" si="5"/>
        <v>1</v>
      </c>
    </row>
    <row r="5" spans="1:28" s="37" customFormat="1" x14ac:dyDescent="0.25">
      <c r="A5" s="32">
        <v>4</v>
      </c>
      <c r="B5" s="32" t="s">
        <v>114</v>
      </c>
      <c r="C5" s="32" t="s">
        <v>115</v>
      </c>
      <c r="D5" s="32">
        <v>1</v>
      </c>
      <c r="E5" s="32">
        <v>177</v>
      </c>
      <c r="F5" s="32">
        <v>1</v>
      </c>
      <c r="G5" s="32">
        <v>101</v>
      </c>
      <c r="H5" s="32">
        <v>9</v>
      </c>
      <c r="I5" s="32">
        <v>65</v>
      </c>
      <c r="J5" s="32">
        <v>176</v>
      </c>
      <c r="K5" s="32">
        <v>1</v>
      </c>
      <c r="L5" s="32">
        <f t="shared" si="0"/>
        <v>177</v>
      </c>
      <c r="M5" s="32">
        <v>0</v>
      </c>
      <c r="N5" s="33">
        <f t="shared" si="1"/>
        <v>5.0847457627118647E-2</v>
      </c>
      <c r="O5" s="33">
        <f t="shared" si="2"/>
        <v>0.3672316384180791</v>
      </c>
      <c r="P5" s="33">
        <f t="shared" si="3"/>
        <v>0.57062146892655363</v>
      </c>
      <c r="Q5" s="33">
        <f t="shared" si="4"/>
        <v>5.6497175141242938E-3</v>
      </c>
      <c r="R5" s="34">
        <v>227</v>
      </c>
      <c r="S5" s="34">
        <v>4</v>
      </c>
      <c r="T5" s="34">
        <v>7</v>
      </c>
      <c r="U5" s="34">
        <v>11</v>
      </c>
      <c r="V5" s="34">
        <v>249</v>
      </c>
      <c r="W5" s="35">
        <v>0.91164658634538154</v>
      </c>
      <c r="X5" s="35">
        <v>1.6064257028112448E-2</v>
      </c>
      <c r="Y5" s="35">
        <v>2.8112449799196786E-2</v>
      </c>
      <c r="Z5" s="35">
        <v>4.4176706827309238E-2</v>
      </c>
      <c r="AA5" s="36">
        <v>37.410878661087871</v>
      </c>
      <c r="AB5" s="33">
        <f t="shared" si="5"/>
        <v>0.71084337349397586</v>
      </c>
    </row>
    <row r="6" spans="1:28" s="37" customFormat="1" x14ac:dyDescent="0.25">
      <c r="A6" s="32"/>
      <c r="B6" s="32"/>
      <c r="C6" s="32"/>
      <c r="D6" s="32">
        <v>2</v>
      </c>
      <c r="E6" s="32">
        <v>146</v>
      </c>
      <c r="F6" s="32">
        <v>0</v>
      </c>
      <c r="G6" s="32">
        <v>95</v>
      </c>
      <c r="H6" s="32">
        <v>6</v>
      </c>
      <c r="I6" s="32">
        <v>45</v>
      </c>
      <c r="J6" s="32">
        <v>146</v>
      </c>
      <c r="K6" s="32">
        <v>0</v>
      </c>
      <c r="L6" s="32">
        <f t="shared" si="0"/>
        <v>146</v>
      </c>
      <c r="M6" s="32">
        <v>0</v>
      </c>
      <c r="N6" s="33">
        <f t="shared" si="1"/>
        <v>4.1095890410958902E-2</v>
      </c>
      <c r="O6" s="33">
        <f t="shared" si="2"/>
        <v>0.30821917808219179</v>
      </c>
      <c r="P6" s="33">
        <f t="shared" si="3"/>
        <v>0.65068493150684936</v>
      </c>
      <c r="Q6" s="33">
        <f t="shared" si="4"/>
        <v>0</v>
      </c>
      <c r="R6" s="34">
        <v>231</v>
      </c>
      <c r="S6" s="34">
        <v>4</v>
      </c>
      <c r="T6" s="34">
        <v>6</v>
      </c>
      <c r="U6" s="34">
        <v>9</v>
      </c>
      <c r="V6" s="34">
        <v>250</v>
      </c>
      <c r="W6" s="35">
        <v>0.92400000000000004</v>
      </c>
      <c r="X6" s="35">
        <v>1.6E-2</v>
      </c>
      <c r="Y6" s="35">
        <v>2.4E-2</v>
      </c>
      <c r="Z6" s="35">
        <v>3.5999999999999997E-2</v>
      </c>
      <c r="AA6" s="36">
        <v>35.946712018140595</v>
      </c>
      <c r="AB6" s="33">
        <f t="shared" si="5"/>
        <v>0.58399999999999996</v>
      </c>
    </row>
    <row r="7" spans="1:28" s="37" customFormat="1" x14ac:dyDescent="0.25">
      <c r="A7" s="32">
        <v>5</v>
      </c>
      <c r="B7" s="32" t="s">
        <v>116</v>
      </c>
      <c r="C7" s="32" t="s">
        <v>117</v>
      </c>
      <c r="D7" s="32">
        <v>1</v>
      </c>
      <c r="E7" s="32">
        <v>186</v>
      </c>
      <c r="F7" s="32">
        <v>1</v>
      </c>
      <c r="G7" s="32">
        <v>128</v>
      </c>
      <c r="H7" s="32">
        <v>6</v>
      </c>
      <c r="I7" s="32">
        <v>49</v>
      </c>
      <c r="J7" s="32">
        <v>184</v>
      </c>
      <c r="K7" s="32">
        <v>2</v>
      </c>
      <c r="L7" s="32">
        <f t="shared" si="0"/>
        <v>186</v>
      </c>
      <c r="M7" s="32">
        <v>0</v>
      </c>
      <c r="N7" s="33">
        <f t="shared" si="1"/>
        <v>3.2258064516129031E-2</v>
      </c>
      <c r="O7" s="33">
        <f t="shared" si="2"/>
        <v>0.26344086021505375</v>
      </c>
      <c r="P7" s="33">
        <f t="shared" si="3"/>
        <v>0.68817204301075274</v>
      </c>
      <c r="Q7" s="33">
        <f t="shared" si="4"/>
        <v>5.3763440860215058E-3</v>
      </c>
      <c r="R7" s="34">
        <v>182</v>
      </c>
      <c r="S7" s="34">
        <v>2</v>
      </c>
      <c r="T7" s="34">
        <v>10</v>
      </c>
      <c r="U7" s="34">
        <v>7</v>
      </c>
      <c r="V7" s="34">
        <v>201</v>
      </c>
      <c r="W7" s="35">
        <v>0.90547263681592038</v>
      </c>
      <c r="X7" s="35">
        <v>9.9502487562189053E-3</v>
      </c>
      <c r="Y7" s="35">
        <v>4.975124378109453E-2</v>
      </c>
      <c r="Z7" s="35">
        <v>3.482587064676617E-2</v>
      </c>
      <c r="AA7" s="36">
        <v>35.805970149253731</v>
      </c>
      <c r="AB7" s="33">
        <f t="shared" si="5"/>
        <v>0.92537313432835822</v>
      </c>
    </row>
    <row r="8" spans="1:28" x14ac:dyDescent="0.25">
      <c r="A8" s="39">
        <v>6</v>
      </c>
      <c r="B8" s="39" t="s">
        <v>118</v>
      </c>
      <c r="C8" s="39" t="s">
        <v>119</v>
      </c>
      <c r="D8" s="39">
        <v>1</v>
      </c>
      <c r="E8" s="39">
        <v>367</v>
      </c>
      <c r="F8" s="39">
        <v>1</v>
      </c>
      <c r="G8" s="39">
        <v>202</v>
      </c>
      <c r="H8" s="39">
        <v>65</v>
      </c>
      <c r="I8" s="39">
        <v>97</v>
      </c>
      <c r="J8" s="39">
        <v>365</v>
      </c>
      <c r="K8" s="39">
        <v>2</v>
      </c>
      <c r="L8" s="39">
        <f t="shared" si="0"/>
        <v>367</v>
      </c>
      <c r="M8" s="39">
        <v>0</v>
      </c>
      <c r="N8" s="40">
        <f t="shared" si="1"/>
        <v>0.17711171662125341</v>
      </c>
      <c r="O8" s="40">
        <f t="shared" si="2"/>
        <v>0.26430517711171664</v>
      </c>
      <c r="P8" s="40">
        <f t="shared" si="3"/>
        <v>0.55040871934604907</v>
      </c>
      <c r="Q8" s="40">
        <f t="shared" si="4"/>
        <v>2.7247956403269754E-3</v>
      </c>
      <c r="R8" s="41">
        <v>449</v>
      </c>
      <c r="S8" s="41">
        <v>1</v>
      </c>
      <c r="T8" s="41">
        <v>0</v>
      </c>
      <c r="U8" s="41">
        <v>0</v>
      </c>
      <c r="V8" s="41">
        <v>450</v>
      </c>
      <c r="W8" s="42">
        <v>0.99777777777777776</v>
      </c>
      <c r="X8" s="42">
        <v>2.2222222222222222E-3</v>
      </c>
      <c r="Y8" s="42">
        <v>0</v>
      </c>
      <c r="Z8" s="42">
        <v>0</v>
      </c>
      <c r="AA8" s="43">
        <v>59.355555555555554</v>
      </c>
      <c r="AB8" s="40">
        <f t="shared" si="5"/>
        <v>0.81555555555555559</v>
      </c>
    </row>
    <row r="9" spans="1:28" x14ac:dyDescent="0.25">
      <c r="A9" s="39"/>
      <c r="B9" s="39"/>
      <c r="C9" s="39"/>
      <c r="D9" s="39">
        <v>2</v>
      </c>
      <c r="E9" s="39">
        <v>423</v>
      </c>
      <c r="F9" s="39">
        <v>1</v>
      </c>
      <c r="G9" s="39">
        <v>191</v>
      </c>
      <c r="H9" s="39">
        <v>65</v>
      </c>
      <c r="I9" s="39">
        <v>162</v>
      </c>
      <c r="J9" s="39">
        <v>419</v>
      </c>
      <c r="K9" s="39">
        <v>4</v>
      </c>
      <c r="L9" s="39">
        <f t="shared" si="0"/>
        <v>423</v>
      </c>
      <c r="M9" s="39">
        <v>0</v>
      </c>
      <c r="N9" s="40">
        <f t="shared" si="1"/>
        <v>0.15366430260047281</v>
      </c>
      <c r="O9" s="40">
        <f t="shared" si="2"/>
        <v>0.38297872340425532</v>
      </c>
      <c r="P9" s="40">
        <f t="shared" si="3"/>
        <v>0.45153664302600471</v>
      </c>
      <c r="Q9" s="40">
        <f t="shared" si="4"/>
        <v>2.3640661938534278E-3</v>
      </c>
      <c r="R9" s="41">
        <v>537</v>
      </c>
      <c r="S9" s="41">
        <v>0</v>
      </c>
      <c r="T9" s="41">
        <v>0</v>
      </c>
      <c r="U9" s="41">
        <v>0</v>
      </c>
      <c r="V9" s="41">
        <v>537</v>
      </c>
      <c r="W9" s="42">
        <v>1</v>
      </c>
      <c r="X9" s="42">
        <v>0</v>
      </c>
      <c r="Y9" s="42">
        <v>0</v>
      </c>
      <c r="Z9" s="42">
        <v>0</v>
      </c>
      <c r="AA9" s="43">
        <v>30.251396648044693</v>
      </c>
      <c r="AB9" s="40">
        <f t="shared" si="5"/>
        <v>0.78770949720670391</v>
      </c>
    </row>
    <row r="10" spans="1:28" x14ac:dyDescent="0.25">
      <c r="A10" s="39">
        <v>7</v>
      </c>
      <c r="B10" s="39" t="s">
        <v>120</v>
      </c>
      <c r="C10" s="39" t="s">
        <v>121</v>
      </c>
      <c r="D10" s="39">
        <v>1</v>
      </c>
      <c r="E10" s="39">
        <v>274</v>
      </c>
      <c r="F10" s="39">
        <v>0</v>
      </c>
      <c r="G10" s="39">
        <v>115</v>
      </c>
      <c r="H10" s="39">
        <v>120</v>
      </c>
      <c r="I10" s="39">
        <v>29</v>
      </c>
      <c r="J10" s="39">
        <v>264</v>
      </c>
      <c r="K10" s="39">
        <v>10</v>
      </c>
      <c r="L10" s="39">
        <f t="shared" si="0"/>
        <v>274</v>
      </c>
      <c r="M10" s="39">
        <v>0</v>
      </c>
      <c r="N10" s="40">
        <f t="shared" si="1"/>
        <v>0.43795620437956206</v>
      </c>
      <c r="O10" s="40">
        <f t="shared" si="2"/>
        <v>0.10583941605839416</v>
      </c>
      <c r="P10" s="40">
        <f t="shared" si="3"/>
        <v>0.41970802919708028</v>
      </c>
      <c r="Q10" s="40">
        <f t="shared" si="4"/>
        <v>0</v>
      </c>
      <c r="R10" s="41">
        <v>127</v>
      </c>
      <c r="S10" s="41">
        <v>227</v>
      </c>
      <c r="T10" s="41">
        <v>17</v>
      </c>
      <c r="U10" s="41">
        <v>23</v>
      </c>
      <c r="V10" s="41">
        <v>394</v>
      </c>
      <c r="W10" s="42">
        <v>0.32233502538071068</v>
      </c>
      <c r="X10" s="42">
        <v>0.57614213197969544</v>
      </c>
      <c r="Y10" s="42">
        <v>4.3147208121827409E-2</v>
      </c>
      <c r="Z10" s="42">
        <v>5.8375634517766499E-2</v>
      </c>
      <c r="AA10" s="43">
        <v>65.096446700507613</v>
      </c>
      <c r="AB10" s="40">
        <f t="shared" si="5"/>
        <v>0.69543147208121825</v>
      </c>
    </row>
    <row r="11" spans="1:28" x14ac:dyDescent="0.25">
      <c r="A11" s="39"/>
      <c r="B11" s="39"/>
      <c r="C11" s="39"/>
      <c r="D11" s="39">
        <v>2</v>
      </c>
      <c r="E11" s="39">
        <v>303</v>
      </c>
      <c r="F11" s="39">
        <v>1</v>
      </c>
      <c r="G11" s="39">
        <v>180</v>
      </c>
      <c r="H11" s="39">
        <v>70</v>
      </c>
      <c r="I11" s="39">
        <v>42</v>
      </c>
      <c r="J11" s="39">
        <v>293</v>
      </c>
      <c r="K11" s="39">
        <v>10</v>
      </c>
      <c r="L11" s="39">
        <f t="shared" si="0"/>
        <v>303</v>
      </c>
      <c r="M11" s="39">
        <v>0</v>
      </c>
      <c r="N11" s="40">
        <f t="shared" si="1"/>
        <v>0.23102310231023102</v>
      </c>
      <c r="O11" s="40">
        <f t="shared" si="2"/>
        <v>0.13861386138613863</v>
      </c>
      <c r="P11" s="40">
        <f t="shared" si="3"/>
        <v>0.59405940594059403</v>
      </c>
      <c r="Q11" s="40">
        <f t="shared" si="4"/>
        <v>3.3003300330033004E-3</v>
      </c>
      <c r="R11" s="41">
        <v>189</v>
      </c>
      <c r="S11" s="41">
        <v>80</v>
      </c>
      <c r="T11" s="41">
        <v>30</v>
      </c>
      <c r="U11" s="41">
        <v>96</v>
      </c>
      <c r="V11" s="41">
        <v>395</v>
      </c>
      <c r="W11" s="42">
        <v>0.47848101265822784</v>
      </c>
      <c r="X11" s="42">
        <v>0.20253164556962025</v>
      </c>
      <c r="Y11" s="42">
        <v>7.5949367088607597E-2</v>
      </c>
      <c r="Z11" s="42">
        <v>0.24303797468354429</v>
      </c>
      <c r="AA11" s="43">
        <v>31.984810126582278</v>
      </c>
      <c r="AB11" s="40">
        <f t="shared" si="5"/>
        <v>0.76708860759493669</v>
      </c>
    </row>
    <row r="12" spans="1:28" x14ac:dyDescent="0.25">
      <c r="A12" s="39">
        <v>8</v>
      </c>
      <c r="B12" s="39" t="s">
        <v>122</v>
      </c>
      <c r="C12" s="39" t="s">
        <v>123</v>
      </c>
      <c r="D12" s="39">
        <v>1</v>
      </c>
      <c r="E12" s="39">
        <v>357</v>
      </c>
      <c r="F12" s="39">
        <v>3</v>
      </c>
      <c r="G12" s="39">
        <v>227</v>
      </c>
      <c r="H12" s="39">
        <v>88</v>
      </c>
      <c r="I12" s="39">
        <v>35</v>
      </c>
      <c r="J12" s="39">
        <v>353</v>
      </c>
      <c r="K12" s="39">
        <v>4</v>
      </c>
      <c r="L12" s="39">
        <f t="shared" si="0"/>
        <v>357</v>
      </c>
      <c r="M12" s="39">
        <v>0</v>
      </c>
      <c r="N12" s="40">
        <f t="shared" si="1"/>
        <v>0.24649859943977592</v>
      </c>
      <c r="O12" s="40">
        <f t="shared" si="2"/>
        <v>9.8039215686274508E-2</v>
      </c>
      <c r="P12" s="40">
        <f t="shared" si="3"/>
        <v>0.63585434173669464</v>
      </c>
      <c r="Q12" s="40">
        <f t="shared" si="4"/>
        <v>8.4033613445378148E-3</v>
      </c>
      <c r="R12" s="41">
        <v>316</v>
      </c>
      <c r="S12" s="41">
        <v>112</v>
      </c>
      <c r="T12" s="41">
        <v>22</v>
      </c>
      <c r="U12" s="41">
        <v>0</v>
      </c>
      <c r="V12" s="41">
        <v>450</v>
      </c>
      <c r="W12" s="42">
        <v>0.70222222222222219</v>
      </c>
      <c r="X12" s="42">
        <v>0.24888888888888888</v>
      </c>
      <c r="Y12" s="42">
        <v>4.8888888888888891E-2</v>
      </c>
      <c r="Z12" s="42">
        <v>0</v>
      </c>
      <c r="AA12" s="43">
        <v>66.577777777777783</v>
      </c>
      <c r="AB12" s="40">
        <f t="shared" si="5"/>
        <v>0.79333333333333333</v>
      </c>
    </row>
    <row r="13" spans="1:28" x14ac:dyDescent="0.25">
      <c r="A13" s="39"/>
      <c r="B13" s="39"/>
      <c r="C13" s="39"/>
      <c r="D13" s="39">
        <v>2</v>
      </c>
      <c r="E13" s="39">
        <v>420</v>
      </c>
      <c r="F13" s="39">
        <v>2</v>
      </c>
      <c r="G13" s="39">
        <v>167</v>
      </c>
      <c r="H13" s="39">
        <v>165</v>
      </c>
      <c r="I13" s="39">
        <v>80</v>
      </c>
      <c r="J13" s="39">
        <v>414</v>
      </c>
      <c r="K13" s="39">
        <v>6</v>
      </c>
      <c r="L13" s="39">
        <f t="shared" si="0"/>
        <v>420</v>
      </c>
      <c r="M13" s="39">
        <v>0</v>
      </c>
      <c r="N13" s="40">
        <f t="shared" si="1"/>
        <v>0.39285714285714285</v>
      </c>
      <c r="O13" s="40">
        <f t="shared" si="2"/>
        <v>0.19047619047619047</v>
      </c>
      <c r="P13" s="40">
        <f t="shared" si="3"/>
        <v>0.39761904761904759</v>
      </c>
      <c r="Q13" s="40">
        <f t="shared" si="4"/>
        <v>4.7619047619047623E-3</v>
      </c>
      <c r="R13" s="41">
        <v>334</v>
      </c>
      <c r="S13" s="41">
        <v>185</v>
      </c>
      <c r="T13" s="41">
        <v>42</v>
      </c>
      <c r="U13" s="41">
        <v>6</v>
      </c>
      <c r="V13" s="41">
        <v>567</v>
      </c>
      <c r="W13" s="42">
        <v>0.58906525573192237</v>
      </c>
      <c r="X13" s="42">
        <v>0.32627865961199293</v>
      </c>
      <c r="Y13" s="42">
        <v>7.407407407407407E-2</v>
      </c>
      <c r="Z13" s="42">
        <v>1.0582010582010581E-2</v>
      </c>
      <c r="AA13" s="43">
        <v>50.564373897707227</v>
      </c>
      <c r="AB13" s="40">
        <f t="shared" si="5"/>
        <v>0.7407407407407407</v>
      </c>
    </row>
    <row r="14" spans="1:28" x14ac:dyDescent="0.25">
      <c r="A14" s="39"/>
      <c r="B14" s="39"/>
      <c r="C14" s="39"/>
      <c r="D14" s="39">
        <v>3</v>
      </c>
      <c r="E14" s="39">
        <v>387</v>
      </c>
      <c r="F14" s="39">
        <v>4</v>
      </c>
      <c r="G14" s="39">
        <v>147</v>
      </c>
      <c r="H14" s="39">
        <v>132</v>
      </c>
      <c r="I14" s="39">
        <v>101</v>
      </c>
      <c r="J14" s="39">
        <v>384</v>
      </c>
      <c r="K14" s="39">
        <v>3</v>
      </c>
      <c r="L14" s="39">
        <f t="shared" si="0"/>
        <v>387</v>
      </c>
      <c r="M14" s="39">
        <v>0</v>
      </c>
      <c r="N14" s="40">
        <f t="shared" si="1"/>
        <v>0.34108527131782945</v>
      </c>
      <c r="O14" s="40">
        <f t="shared" si="2"/>
        <v>0.26098191214470284</v>
      </c>
      <c r="P14" s="40">
        <f t="shared" si="3"/>
        <v>0.37984496124031009</v>
      </c>
      <c r="Q14" s="40">
        <f t="shared" si="4"/>
        <v>1.0335917312661499E-2</v>
      </c>
      <c r="R14" s="41">
        <v>359</v>
      </c>
      <c r="S14" s="41">
        <v>166</v>
      </c>
      <c r="T14" s="41">
        <v>40</v>
      </c>
      <c r="U14" s="41">
        <v>2</v>
      </c>
      <c r="V14" s="41">
        <v>567</v>
      </c>
      <c r="W14" s="42">
        <v>0.63315696649029984</v>
      </c>
      <c r="X14" s="42">
        <v>0.29276895943562609</v>
      </c>
      <c r="Y14" s="42">
        <v>7.0546737213403876E-2</v>
      </c>
      <c r="Z14" s="42">
        <v>3.5273368606701938E-3</v>
      </c>
      <c r="AA14" s="43">
        <v>36.832451499118164</v>
      </c>
      <c r="AB14" s="40">
        <f t="shared" si="5"/>
        <v>0.68253968253968256</v>
      </c>
    </row>
    <row r="15" spans="1:28" x14ac:dyDescent="0.25">
      <c r="A15" s="39"/>
      <c r="B15" s="39"/>
      <c r="C15" s="39"/>
      <c r="D15" s="39">
        <v>4</v>
      </c>
      <c r="E15" s="39">
        <v>409</v>
      </c>
      <c r="F15" s="39">
        <v>0</v>
      </c>
      <c r="G15" s="39">
        <v>167</v>
      </c>
      <c r="H15" s="39">
        <v>129</v>
      </c>
      <c r="I15" s="39">
        <v>112</v>
      </c>
      <c r="J15" s="39">
        <v>408</v>
      </c>
      <c r="K15" s="39">
        <v>1</v>
      </c>
      <c r="L15" s="39">
        <f t="shared" si="0"/>
        <v>409</v>
      </c>
      <c r="M15" s="39">
        <v>0</v>
      </c>
      <c r="N15" s="40">
        <f t="shared" si="1"/>
        <v>0.3154034229828851</v>
      </c>
      <c r="O15" s="40">
        <f t="shared" si="2"/>
        <v>0.27383863080684595</v>
      </c>
      <c r="P15" s="40">
        <f t="shared" si="3"/>
        <v>0.40831295843520782</v>
      </c>
      <c r="Q15" s="40">
        <f t="shared" si="4"/>
        <v>0</v>
      </c>
      <c r="R15" s="41">
        <v>431</v>
      </c>
      <c r="S15" s="41">
        <v>101</v>
      </c>
      <c r="T15" s="41">
        <v>34</v>
      </c>
      <c r="U15" s="41">
        <v>1</v>
      </c>
      <c r="V15" s="41">
        <v>567</v>
      </c>
      <c r="W15" s="42">
        <v>0.76014109347442682</v>
      </c>
      <c r="X15" s="42">
        <v>0.17813051146384479</v>
      </c>
      <c r="Y15" s="42">
        <v>5.9964726631393295E-2</v>
      </c>
      <c r="Z15" s="42">
        <v>1.7636684303350969E-3</v>
      </c>
      <c r="AA15" s="43">
        <v>24.550264550264551</v>
      </c>
      <c r="AB15" s="40">
        <f t="shared" si="5"/>
        <v>0.72134038800705469</v>
      </c>
    </row>
    <row r="16" spans="1:28" x14ac:dyDescent="0.25">
      <c r="A16" s="39">
        <v>9</v>
      </c>
      <c r="B16" s="39" t="s">
        <v>124</v>
      </c>
      <c r="C16" s="39" t="s">
        <v>125</v>
      </c>
      <c r="D16" s="39">
        <v>1</v>
      </c>
      <c r="E16" s="39">
        <v>361</v>
      </c>
      <c r="F16" s="39">
        <v>2</v>
      </c>
      <c r="G16" s="39">
        <v>223</v>
      </c>
      <c r="H16" s="39">
        <v>104</v>
      </c>
      <c r="I16" s="39">
        <v>20</v>
      </c>
      <c r="J16" s="39">
        <v>349</v>
      </c>
      <c r="K16" s="39">
        <v>12</v>
      </c>
      <c r="L16" s="39">
        <f t="shared" si="0"/>
        <v>361</v>
      </c>
      <c r="M16" s="39">
        <v>0</v>
      </c>
      <c r="N16" s="40">
        <f t="shared" si="1"/>
        <v>0.2880886426592798</v>
      </c>
      <c r="O16" s="40">
        <f t="shared" si="2"/>
        <v>5.5401662049861494E-2</v>
      </c>
      <c r="P16" s="40">
        <f t="shared" si="3"/>
        <v>0.61772853185595566</v>
      </c>
      <c r="Q16" s="40">
        <f t="shared" si="4"/>
        <v>5.5401662049861496E-3</v>
      </c>
      <c r="R16" s="41">
        <v>218</v>
      </c>
      <c r="S16" s="41">
        <v>141</v>
      </c>
      <c r="T16" s="41">
        <v>3</v>
      </c>
      <c r="U16" s="41">
        <v>88</v>
      </c>
      <c r="V16" s="41">
        <v>450</v>
      </c>
      <c r="W16" s="42">
        <v>0.48444444444444446</v>
      </c>
      <c r="X16" s="42">
        <v>0.31333333333333335</v>
      </c>
      <c r="Y16" s="42">
        <v>6.6666666666666671E-3</v>
      </c>
      <c r="Z16" s="42">
        <v>0.19555555555555557</v>
      </c>
      <c r="AA16" s="43">
        <v>62.80222222222222</v>
      </c>
      <c r="AB16" s="40">
        <f t="shared" si="5"/>
        <v>0.80222222222222217</v>
      </c>
    </row>
    <row r="17" spans="1:28" x14ac:dyDescent="0.25">
      <c r="A17" s="39"/>
      <c r="B17" s="39"/>
      <c r="C17" s="39"/>
      <c r="D17" s="39">
        <v>2</v>
      </c>
      <c r="E17" s="39">
        <v>448</v>
      </c>
      <c r="F17" s="39">
        <v>3</v>
      </c>
      <c r="G17" s="39">
        <v>338</v>
      </c>
      <c r="H17" s="39">
        <v>49</v>
      </c>
      <c r="I17" s="39">
        <v>52</v>
      </c>
      <c r="J17" s="39">
        <v>442</v>
      </c>
      <c r="K17" s="39">
        <v>6</v>
      </c>
      <c r="L17" s="39">
        <f t="shared" si="0"/>
        <v>448</v>
      </c>
      <c r="M17" s="39">
        <v>0</v>
      </c>
      <c r="N17" s="40">
        <f t="shared" si="1"/>
        <v>0.109375</v>
      </c>
      <c r="O17" s="40">
        <f t="shared" si="2"/>
        <v>0.11607142857142858</v>
      </c>
      <c r="P17" s="40">
        <f t="shared" si="3"/>
        <v>0.7544642857142857</v>
      </c>
      <c r="Q17" s="40">
        <f t="shared" si="4"/>
        <v>6.6964285714285711E-3</v>
      </c>
      <c r="R17" s="41">
        <v>346</v>
      </c>
      <c r="S17" s="41">
        <v>73</v>
      </c>
      <c r="T17" s="41">
        <v>2</v>
      </c>
      <c r="U17" s="41">
        <v>212</v>
      </c>
      <c r="V17" s="41">
        <v>633</v>
      </c>
      <c r="W17" s="42">
        <v>0.54660347551342814</v>
      </c>
      <c r="X17" s="42">
        <v>0.11532385466034756</v>
      </c>
      <c r="Y17" s="42">
        <v>3.1595576619273301E-3</v>
      </c>
      <c r="Z17" s="42">
        <v>0.33491311216429698</v>
      </c>
      <c r="AA17" s="43">
        <v>42.333333333333336</v>
      </c>
      <c r="AB17" s="40">
        <f t="shared" si="5"/>
        <v>0.70774091627172198</v>
      </c>
    </row>
    <row r="18" spans="1:28" x14ac:dyDescent="0.25">
      <c r="A18" s="39"/>
      <c r="B18" s="39"/>
      <c r="C18" s="39"/>
      <c r="D18" s="39">
        <v>3</v>
      </c>
      <c r="E18" s="39">
        <v>502</v>
      </c>
      <c r="F18" s="39">
        <v>1</v>
      </c>
      <c r="G18" s="39">
        <v>409</v>
      </c>
      <c r="H18" s="39">
        <v>37</v>
      </c>
      <c r="I18" s="39">
        <v>48</v>
      </c>
      <c r="J18" s="39">
        <v>495</v>
      </c>
      <c r="K18" s="39">
        <v>7</v>
      </c>
      <c r="L18" s="39">
        <f t="shared" si="0"/>
        <v>502</v>
      </c>
      <c r="M18" s="39">
        <v>0</v>
      </c>
      <c r="N18" s="40">
        <f t="shared" si="1"/>
        <v>7.370517928286853E-2</v>
      </c>
      <c r="O18" s="40">
        <f t="shared" si="2"/>
        <v>9.5617529880478086E-2</v>
      </c>
      <c r="P18" s="40">
        <f t="shared" si="3"/>
        <v>0.81474103585657376</v>
      </c>
      <c r="Q18" s="40">
        <f t="shared" si="4"/>
        <v>1.9920318725099601E-3</v>
      </c>
      <c r="R18" s="41">
        <v>361</v>
      </c>
      <c r="S18" s="41">
        <v>45</v>
      </c>
      <c r="T18" s="41">
        <v>46</v>
      </c>
      <c r="U18" s="41">
        <v>181</v>
      </c>
      <c r="V18" s="41">
        <v>633</v>
      </c>
      <c r="W18" s="42">
        <v>0.57030015797788314</v>
      </c>
      <c r="X18" s="42">
        <v>7.1090047393364927E-2</v>
      </c>
      <c r="Y18" s="42">
        <v>7.266982622432859E-2</v>
      </c>
      <c r="Z18" s="42">
        <v>0.28593996840442337</v>
      </c>
      <c r="AA18" s="43">
        <v>26.137440758293838</v>
      </c>
      <c r="AB18" s="40">
        <f t="shared" si="5"/>
        <v>0.79304897314375988</v>
      </c>
    </row>
    <row r="19" spans="1:28" x14ac:dyDescent="0.25">
      <c r="A19" s="39">
        <v>10</v>
      </c>
      <c r="B19" s="39" t="s">
        <v>131</v>
      </c>
      <c r="C19" s="39" t="s">
        <v>132</v>
      </c>
      <c r="D19" s="39">
        <v>1</v>
      </c>
      <c r="E19" s="39">
        <v>308</v>
      </c>
      <c r="F19" s="39">
        <v>3</v>
      </c>
      <c r="G19" s="39">
        <v>79</v>
      </c>
      <c r="H19" s="39">
        <v>212</v>
      </c>
      <c r="I19" s="39">
        <v>10</v>
      </c>
      <c r="J19" s="39">
        <v>304</v>
      </c>
      <c r="K19" s="39">
        <v>4</v>
      </c>
      <c r="L19" s="39">
        <f t="shared" si="0"/>
        <v>308</v>
      </c>
      <c r="M19" s="39">
        <v>0</v>
      </c>
      <c r="N19" s="40">
        <f t="shared" si="1"/>
        <v>0.68831168831168832</v>
      </c>
      <c r="O19" s="40">
        <f t="shared" si="2"/>
        <v>3.2467532467532464E-2</v>
      </c>
      <c r="P19" s="40">
        <f t="shared" si="3"/>
        <v>0.2564935064935065</v>
      </c>
      <c r="Q19" s="40">
        <f t="shared" si="4"/>
        <v>9.74025974025974E-3</v>
      </c>
      <c r="R19" s="41">
        <v>41</v>
      </c>
      <c r="S19" s="41">
        <v>403</v>
      </c>
      <c r="T19" s="41">
        <v>5</v>
      </c>
      <c r="U19" s="41">
        <v>1</v>
      </c>
      <c r="V19" s="41">
        <v>450</v>
      </c>
      <c r="W19" s="42">
        <v>9.1111111111111115E-2</v>
      </c>
      <c r="X19" s="42">
        <v>0.89555555555555555</v>
      </c>
      <c r="Y19" s="42">
        <v>1.1111111111111112E-2</v>
      </c>
      <c r="Z19" s="42">
        <v>2.2222222222222222E-3</v>
      </c>
      <c r="AA19" s="43">
        <v>74.906666666666666</v>
      </c>
      <c r="AB19" s="40">
        <f t="shared" si="5"/>
        <v>0.68444444444444441</v>
      </c>
    </row>
    <row r="20" spans="1:28" x14ac:dyDescent="0.25">
      <c r="A20" s="39"/>
      <c r="B20" s="39"/>
      <c r="C20" s="39"/>
      <c r="D20" s="39">
        <v>2</v>
      </c>
      <c r="E20" s="39">
        <v>342</v>
      </c>
      <c r="F20" s="39">
        <v>1</v>
      </c>
      <c r="G20" s="39">
        <v>75</v>
      </c>
      <c r="H20" s="39">
        <v>256</v>
      </c>
      <c r="I20" s="39">
        <v>6</v>
      </c>
      <c r="J20" s="39">
        <v>338</v>
      </c>
      <c r="K20" s="39">
        <v>4</v>
      </c>
      <c r="L20" s="39">
        <f t="shared" si="0"/>
        <v>342</v>
      </c>
      <c r="M20" s="39">
        <v>0</v>
      </c>
      <c r="N20" s="40">
        <f t="shared" si="1"/>
        <v>0.74853801169590639</v>
      </c>
      <c r="O20" s="40">
        <f t="shared" si="2"/>
        <v>1.7543859649122806E-2</v>
      </c>
      <c r="P20" s="40">
        <f t="shared" si="3"/>
        <v>0.21929824561403508</v>
      </c>
      <c r="Q20" s="40">
        <f t="shared" si="4"/>
        <v>2.9239766081871343E-3</v>
      </c>
      <c r="R20" s="41">
        <v>34</v>
      </c>
      <c r="S20" s="41">
        <v>412</v>
      </c>
      <c r="T20" s="41">
        <v>4</v>
      </c>
      <c r="U20" s="41">
        <v>0</v>
      </c>
      <c r="V20" s="41">
        <v>450</v>
      </c>
      <c r="W20" s="42">
        <v>7.5555555555555556E-2</v>
      </c>
      <c r="X20" s="42">
        <v>0.91555555555555557</v>
      </c>
      <c r="Y20" s="42">
        <v>8.8888888888888889E-3</v>
      </c>
      <c r="Z20" s="42">
        <v>0</v>
      </c>
      <c r="AA20" s="43">
        <v>68.813333333333333</v>
      </c>
      <c r="AB20" s="40">
        <f t="shared" si="5"/>
        <v>0.76</v>
      </c>
    </row>
    <row r="21" spans="1:28" x14ac:dyDescent="0.25">
      <c r="A21" s="39"/>
      <c r="B21" s="39"/>
      <c r="C21" s="39"/>
      <c r="D21" s="39">
        <v>3</v>
      </c>
      <c r="E21" s="39">
        <v>348</v>
      </c>
      <c r="F21" s="39">
        <v>0</v>
      </c>
      <c r="G21" s="39">
        <v>71</v>
      </c>
      <c r="H21" s="39">
        <v>269</v>
      </c>
      <c r="I21" s="39">
        <v>5</v>
      </c>
      <c r="J21" s="39">
        <v>345</v>
      </c>
      <c r="K21" s="39">
        <v>3</v>
      </c>
      <c r="L21" s="39">
        <f t="shared" si="0"/>
        <v>348</v>
      </c>
      <c r="M21" s="39">
        <v>0</v>
      </c>
      <c r="N21" s="40">
        <f t="shared" si="1"/>
        <v>0.77298850574712641</v>
      </c>
      <c r="O21" s="40">
        <f t="shared" si="2"/>
        <v>1.4367816091954023E-2</v>
      </c>
      <c r="P21" s="40">
        <f t="shared" si="3"/>
        <v>0.20402298850574713</v>
      </c>
      <c r="Q21" s="40">
        <f t="shared" si="4"/>
        <v>0</v>
      </c>
      <c r="R21" s="41">
        <v>46</v>
      </c>
      <c r="S21" s="41">
        <v>400</v>
      </c>
      <c r="T21" s="41">
        <v>4</v>
      </c>
      <c r="U21" s="41">
        <v>0</v>
      </c>
      <c r="V21" s="41">
        <v>450</v>
      </c>
      <c r="W21" s="42">
        <v>0.10222222222222223</v>
      </c>
      <c r="X21" s="42">
        <v>0.88888888888888884</v>
      </c>
      <c r="Y21" s="42">
        <v>8.8888888888888889E-3</v>
      </c>
      <c r="Z21" s="42">
        <v>0</v>
      </c>
      <c r="AA21" s="43">
        <v>61.117777777777775</v>
      </c>
      <c r="AB21" s="40">
        <f t="shared" si="5"/>
        <v>0.77333333333333332</v>
      </c>
    </row>
    <row r="22" spans="1:28" x14ac:dyDescent="0.25">
      <c r="A22" s="39"/>
      <c r="B22" s="39"/>
      <c r="C22" s="39"/>
      <c r="D22" s="39">
        <v>4</v>
      </c>
      <c r="E22" s="39">
        <v>493</v>
      </c>
      <c r="F22" s="39">
        <v>1</v>
      </c>
      <c r="G22" s="39">
        <v>85</v>
      </c>
      <c r="H22" s="39">
        <v>380</v>
      </c>
      <c r="I22" s="39">
        <v>23</v>
      </c>
      <c r="J22" s="39">
        <v>489</v>
      </c>
      <c r="K22" s="39">
        <v>4</v>
      </c>
      <c r="L22" s="39">
        <f t="shared" si="0"/>
        <v>493</v>
      </c>
      <c r="M22" s="39">
        <v>0</v>
      </c>
      <c r="N22" s="40">
        <f t="shared" si="1"/>
        <v>0.77079107505070998</v>
      </c>
      <c r="O22" s="40">
        <f t="shared" si="2"/>
        <v>4.665314401622718E-2</v>
      </c>
      <c r="P22" s="40">
        <f t="shared" si="3"/>
        <v>0.17241379310344829</v>
      </c>
      <c r="Q22" s="40">
        <f t="shared" si="4"/>
        <v>2.0283975659229209E-3</v>
      </c>
      <c r="R22" s="41">
        <v>76</v>
      </c>
      <c r="S22" s="41">
        <v>602</v>
      </c>
      <c r="T22" s="41">
        <v>10</v>
      </c>
      <c r="U22" s="41">
        <v>1</v>
      </c>
      <c r="V22" s="41">
        <v>689</v>
      </c>
      <c r="W22" s="42">
        <v>0.11030478955007257</v>
      </c>
      <c r="X22" s="42">
        <v>0.8737300435413643</v>
      </c>
      <c r="Y22" s="42">
        <v>1.4513788098693759E-2</v>
      </c>
      <c r="Z22" s="42">
        <v>1.4513788098693759E-3</v>
      </c>
      <c r="AA22" s="43">
        <v>53.20174165457184</v>
      </c>
      <c r="AB22" s="40">
        <f t="shared" si="5"/>
        <v>0.71552975326560231</v>
      </c>
    </row>
    <row r="23" spans="1:28" x14ac:dyDescent="0.25">
      <c r="A23" s="39"/>
      <c r="B23" s="39"/>
      <c r="C23" s="39"/>
      <c r="D23" s="39">
        <v>5</v>
      </c>
      <c r="E23" s="39">
        <v>492</v>
      </c>
      <c r="F23" s="39">
        <v>0</v>
      </c>
      <c r="G23" s="39">
        <v>81</v>
      </c>
      <c r="H23" s="39">
        <v>367</v>
      </c>
      <c r="I23" s="39">
        <v>40</v>
      </c>
      <c r="J23" s="39">
        <v>488</v>
      </c>
      <c r="K23" s="39">
        <v>4</v>
      </c>
      <c r="L23" s="39">
        <f t="shared" si="0"/>
        <v>492</v>
      </c>
      <c r="M23" s="39">
        <v>0</v>
      </c>
      <c r="N23" s="40">
        <f t="shared" si="1"/>
        <v>0.74593495934959353</v>
      </c>
      <c r="O23" s="40">
        <f t="shared" si="2"/>
        <v>8.1300813008130079E-2</v>
      </c>
      <c r="P23" s="40">
        <f t="shared" si="3"/>
        <v>0.16463414634146342</v>
      </c>
      <c r="Q23" s="40">
        <f t="shared" si="4"/>
        <v>0</v>
      </c>
      <c r="R23" s="41">
        <v>132</v>
      </c>
      <c r="S23" s="41">
        <v>539</v>
      </c>
      <c r="T23" s="41">
        <v>17</v>
      </c>
      <c r="U23" s="41">
        <v>1</v>
      </c>
      <c r="V23" s="41">
        <v>689</v>
      </c>
      <c r="W23" s="42">
        <v>0.19158200290275762</v>
      </c>
      <c r="X23" s="42">
        <v>0.78229317851959357</v>
      </c>
      <c r="Y23" s="42">
        <v>2.4673439767779391E-2</v>
      </c>
      <c r="Z23" s="42">
        <v>1.4513788098693759E-3</v>
      </c>
      <c r="AA23" s="43">
        <v>44.078374455732948</v>
      </c>
      <c r="AB23" s="40">
        <f t="shared" si="5"/>
        <v>0.71407837445573297</v>
      </c>
    </row>
    <row r="24" spans="1:28" x14ac:dyDescent="0.25">
      <c r="A24" s="39"/>
      <c r="B24" s="39"/>
      <c r="C24" s="39"/>
      <c r="D24" s="39">
        <v>6</v>
      </c>
      <c r="E24" s="39">
        <v>499</v>
      </c>
      <c r="F24" s="39">
        <v>2</v>
      </c>
      <c r="G24" s="39">
        <v>104</v>
      </c>
      <c r="H24" s="39">
        <v>336</v>
      </c>
      <c r="I24" s="39">
        <v>56</v>
      </c>
      <c r="J24" s="39">
        <v>498</v>
      </c>
      <c r="K24" s="39">
        <v>1</v>
      </c>
      <c r="L24" s="39">
        <f t="shared" si="0"/>
        <v>499</v>
      </c>
      <c r="M24" s="39">
        <v>0</v>
      </c>
      <c r="N24" s="40">
        <f t="shared" si="1"/>
        <v>0.67334669338677355</v>
      </c>
      <c r="O24" s="40">
        <f t="shared" si="2"/>
        <v>0.11222444889779559</v>
      </c>
      <c r="P24" s="40">
        <f t="shared" si="3"/>
        <v>0.20841683366733466</v>
      </c>
      <c r="Q24" s="40">
        <f t="shared" si="4"/>
        <v>4.0080160320641279E-3</v>
      </c>
      <c r="R24" s="41">
        <v>184</v>
      </c>
      <c r="S24" s="41">
        <v>490</v>
      </c>
      <c r="T24" s="41">
        <v>14</v>
      </c>
      <c r="U24" s="41">
        <v>1</v>
      </c>
      <c r="V24" s="41">
        <v>689</v>
      </c>
      <c r="W24" s="42">
        <v>0.26705370101596515</v>
      </c>
      <c r="X24" s="42">
        <v>0.71117561683599417</v>
      </c>
      <c r="Y24" s="42">
        <v>2.0319303338171262E-2</v>
      </c>
      <c r="Z24" s="42">
        <v>1.4513788098693759E-3</v>
      </c>
      <c r="AA24" s="43">
        <v>35.785195936139331</v>
      </c>
      <c r="AB24" s="40">
        <f t="shared" si="5"/>
        <v>0.72423802612481858</v>
      </c>
    </row>
    <row r="25" spans="1:28" x14ac:dyDescent="0.25">
      <c r="A25" s="39"/>
      <c r="B25" s="39"/>
      <c r="C25" s="39"/>
      <c r="D25" s="39">
        <v>7</v>
      </c>
      <c r="E25" s="39">
        <v>507</v>
      </c>
      <c r="F25" s="39">
        <v>0</v>
      </c>
      <c r="G25" s="39">
        <v>96</v>
      </c>
      <c r="H25" s="39">
        <v>368</v>
      </c>
      <c r="I25" s="39">
        <v>41</v>
      </c>
      <c r="J25" s="39">
        <v>505</v>
      </c>
      <c r="K25" s="39">
        <v>2</v>
      </c>
      <c r="L25" s="39">
        <f t="shared" si="0"/>
        <v>507</v>
      </c>
      <c r="M25" s="39">
        <v>0</v>
      </c>
      <c r="N25" s="40">
        <f t="shared" si="1"/>
        <v>0.7258382642998028</v>
      </c>
      <c r="O25" s="40">
        <f t="shared" si="2"/>
        <v>8.0867850098619326E-2</v>
      </c>
      <c r="P25" s="40">
        <f t="shared" si="3"/>
        <v>0.1893491124260355</v>
      </c>
      <c r="Q25" s="40">
        <f t="shared" si="4"/>
        <v>0</v>
      </c>
      <c r="R25" s="41">
        <v>138</v>
      </c>
      <c r="S25" s="41">
        <v>538</v>
      </c>
      <c r="T25" s="41">
        <v>12</v>
      </c>
      <c r="U25" s="41">
        <v>2</v>
      </c>
      <c r="V25" s="41">
        <v>690</v>
      </c>
      <c r="W25" s="42">
        <v>0.2</v>
      </c>
      <c r="X25" s="42">
        <v>0.77971014492753621</v>
      </c>
      <c r="Y25" s="42">
        <v>1.7391304347826087E-2</v>
      </c>
      <c r="Z25" s="42">
        <v>2.8985507246376812E-3</v>
      </c>
      <c r="AA25" s="43">
        <v>25.41449275362319</v>
      </c>
      <c r="AB25" s="40">
        <f t="shared" si="5"/>
        <v>0.73478260869565215</v>
      </c>
    </row>
    <row r="26" spans="1:28" x14ac:dyDescent="0.25">
      <c r="A26" s="39">
        <v>11</v>
      </c>
      <c r="B26" s="39" t="s">
        <v>133</v>
      </c>
      <c r="C26" s="39" t="s">
        <v>134</v>
      </c>
      <c r="D26" s="39">
        <v>1</v>
      </c>
      <c r="E26" s="39">
        <v>349</v>
      </c>
      <c r="F26" s="39">
        <v>4</v>
      </c>
      <c r="G26" s="39">
        <v>155</v>
      </c>
      <c r="H26" s="39">
        <v>174</v>
      </c>
      <c r="I26" s="39">
        <v>14</v>
      </c>
      <c r="J26" s="39">
        <v>347</v>
      </c>
      <c r="K26" s="39">
        <v>2</v>
      </c>
      <c r="L26" s="39">
        <f t="shared" si="0"/>
        <v>349</v>
      </c>
      <c r="M26" s="39">
        <v>0</v>
      </c>
      <c r="N26" s="40">
        <f t="shared" si="1"/>
        <v>0.49856733524355301</v>
      </c>
      <c r="O26" s="40">
        <f t="shared" si="2"/>
        <v>4.0114613180515762E-2</v>
      </c>
      <c r="P26" s="40">
        <f t="shared" si="3"/>
        <v>0.44412607449856734</v>
      </c>
      <c r="Q26" s="40">
        <f t="shared" si="4"/>
        <v>1.1461318051575931E-2</v>
      </c>
      <c r="R26" s="41">
        <v>167</v>
      </c>
      <c r="S26" s="41">
        <v>278</v>
      </c>
      <c r="T26" s="41">
        <v>5</v>
      </c>
      <c r="U26" s="41">
        <v>0</v>
      </c>
      <c r="V26" s="41">
        <v>450</v>
      </c>
      <c r="W26" s="42">
        <v>0.37111111111111111</v>
      </c>
      <c r="X26" s="42">
        <v>0.61777777777777776</v>
      </c>
      <c r="Y26" s="42">
        <v>1.1111111111111112E-2</v>
      </c>
      <c r="Z26" s="42">
        <v>0</v>
      </c>
      <c r="AA26" s="43">
        <v>68.251111111111115</v>
      </c>
      <c r="AB26" s="40">
        <f t="shared" si="5"/>
        <v>0.77555555555555555</v>
      </c>
    </row>
    <row r="27" spans="1:28" x14ac:dyDescent="0.25">
      <c r="A27" s="39"/>
      <c r="B27" s="39"/>
      <c r="C27" s="39"/>
      <c r="D27" s="39">
        <v>2</v>
      </c>
      <c r="E27" s="39">
        <v>397</v>
      </c>
      <c r="F27" s="39">
        <v>1</v>
      </c>
      <c r="G27" s="39">
        <v>129</v>
      </c>
      <c r="H27" s="39">
        <v>214</v>
      </c>
      <c r="I27" s="39">
        <v>52</v>
      </c>
      <c r="J27" s="39">
        <v>396</v>
      </c>
      <c r="K27" s="39">
        <v>1</v>
      </c>
      <c r="L27" s="39">
        <f t="shared" si="0"/>
        <v>397</v>
      </c>
      <c r="M27" s="39">
        <v>0</v>
      </c>
      <c r="N27" s="40">
        <f t="shared" si="1"/>
        <v>0.53904282115869018</v>
      </c>
      <c r="O27" s="40">
        <f t="shared" si="2"/>
        <v>0.13098236775818639</v>
      </c>
      <c r="P27" s="40">
        <f t="shared" si="3"/>
        <v>0.32493702770780858</v>
      </c>
      <c r="Q27" s="40">
        <f t="shared" si="4"/>
        <v>2.5188916876574307E-3</v>
      </c>
      <c r="R27" s="41">
        <v>260</v>
      </c>
      <c r="S27" s="41">
        <v>281</v>
      </c>
      <c r="T27" s="41">
        <v>5</v>
      </c>
      <c r="U27" s="41">
        <v>1</v>
      </c>
      <c r="V27" s="41">
        <v>547</v>
      </c>
      <c r="W27" s="42">
        <v>0.47531992687385738</v>
      </c>
      <c r="X27" s="42">
        <v>0.51371115173674586</v>
      </c>
      <c r="Y27" s="42">
        <v>9.140767824497258E-3</v>
      </c>
      <c r="Z27" s="42">
        <v>1.8281535648994515E-3</v>
      </c>
      <c r="AA27" s="43">
        <v>46.819012797074954</v>
      </c>
      <c r="AB27" s="40">
        <f t="shared" si="5"/>
        <v>0.72577696526508229</v>
      </c>
    </row>
    <row r="28" spans="1:28" x14ac:dyDescent="0.25">
      <c r="A28" s="39"/>
      <c r="B28" s="39"/>
      <c r="C28" s="39"/>
      <c r="D28" s="39">
        <v>3</v>
      </c>
      <c r="E28" s="39">
        <v>382</v>
      </c>
      <c r="F28" s="39">
        <v>0</v>
      </c>
      <c r="G28" s="39">
        <v>182</v>
      </c>
      <c r="H28" s="39">
        <v>104</v>
      </c>
      <c r="I28" s="39">
        <v>95</v>
      </c>
      <c r="J28" s="39">
        <v>381</v>
      </c>
      <c r="K28" s="39">
        <v>1</v>
      </c>
      <c r="L28" s="39">
        <f t="shared" si="0"/>
        <v>382</v>
      </c>
      <c r="M28" s="39">
        <v>0</v>
      </c>
      <c r="N28" s="40">
        <f t="shared" si="1"/>
        <v>0.27225130890052357</v>
      </c>
      <c r="O28" s="40">
        <f t="shared" si="2"/>
        <v>0.2486910994764398</v>
      </c>
      <c r="P28" s="40">
        <f t="shared" si="3"/>
        <v>0.47643979057591623</v>
      </c>
      <c r="Q28" s="40">
        <f t="shared" si="4"/>
        <v>0</v>
      </c>
      <c r="R28" s="41">
        <v>419</v>
      </c>
      <c r="S28" s="41">
        <v>123</v>
      </c>
      <c r="T28" s="41">
        <v>3</v>
      </c>
      <c r="U28" s="41">
        <v>2</v>
      </c>
      <c r="V28" s="41">
        <v>547</v>
      </c>
      <c r="W28" s="42">
        <v>0.76599634369287017</v>
      </c>
      <c r="X28" s="42">
        <v>0.22486288848263253</v>
      </c>
      <c r="Y28" s="42">
        <v>5.4844606946983544E-3</v>
      </c>
      <c r="Z28" s="42">
        <v>3.6563071297989031E-3</v>
      </c>
      <c r="AA28" s="43">
        <v>29.062157221206583</v>
      </c>
      <c r="AB28" s="40">
        <f t="shared" si="5"/>
        <v>0.69835466179159045</v>
      </c>
    </row>
    <row r="29" spans="1:28" x14ac:dyDescent="0.25">
      <c r="A29" s="39">
        <v>12</v>
      </c>
      <c r="B29" s="39" t="s">
        <v>135</v>
      </c>
      <c r="C29" s="39" t="s">
        <v>136</v>
      </c>
      <c r="D29" s="39">
        <v>1</v>
      </c>
      <c r="E29" s="39">
        <v>325</v>
      </c>
      <c r="F29" s="39">
        <v>3</v>
      </c>
      <c r="G29" s="39">
        <v>234</v>
      </c>
      <c r="H29" s="39">
        <v>25</v>
      </c>
      <c r="I29" s="39">
        <v>55</v>
      </c>
      <c r="J29" s="39">
        <v>317</v>
      </c>
      <c r="K29" s="39">
        <v>8</v>
      </c>
      <c r="L29" s="39">
        <f t="shared" si="0"/>
        <v>325</v>
      </c>
      <c r="M29" s="39">
        <v>0</v>
      </c>
      <c r="N29" s="40">
        <f t="shared" si="1"/>
        <v>7.6923076923076927E-2</v>
      </c>
      <c r="O29" s="40">
        <f t="shared" si="2"/>
        <v>0.16923076923076924</v>
      </c>
      <c r="P29" s="40">
        <f t="shared" si="3"/>
        <v>0.72</v>
      </c>
      <c r="Q29" s="40">
        <f t="shared" si="4"/>
        <v>9.2307692307692316E-3</v>
      </c>
      <c r="R29" s="41">
        <v>391</v>
      </c>
      <c r="S29" s="41">
        <v>1</v>
      </c>
      <c r="T29" s="41">
        <v>2</v>
      </c>
      <c r="U29" s="41">
        <v>1</v>
      </c>
      <c r="V29" s="41">
        <v>395</v>
      </c>
      <c r="W29" s="42">
        <v>0.98987341772151893</v>
      </c>
      <c r="X29" s="42">
        <v>2.5316455696202532E-3</v>
      </c>
      <c r="Y29" s="42">
        <v>5.0632911392405064E-3</v>
      </c>
      <c r="Z29" s="42">
        <v>2.5316455696202532E-3</v>
      </c>
      <c r="AA29" s="43">
        <v>44.612658227848101</v>
      </c>
      <c r="AB29" s="40">
        <f t="shared" si="5"/>
        <v>0.82278481012658233</v>
      </c>
    </row>
    <row r="30" spans="1:28" x14ac:dyDescent="0.25">
      <c r="A30" s="39">
        <v>13</v>
      </c>
      <c r="B30" s="39" t="s">
        <v>137</v>
      </c>
      <c r="C30" s="39" t="s">
        <v>138</v>
      </c>
      <c r="D30" s="39">
        <v>1</v>
      </c>
      <c r="E30" s="39">
        <v>327</v>
      </c>
      <c r="F30" s="39">
        <v>1</v>
      </c>
      <c r="G30" s="39">
        <v>112</v>
      </c>
      <c r="H30" s="39">
        <v>193</v>
      </c>
      <c r="I30" s="39">
        <v>14</v>
      </c>
      <c r="J30" s="39">
        <v>320</v>
      </c>
      <c r="K30" s="39">
        <v>7</v>
      </c>
      <c r="L30" s="39">
        <f t="shared" si="0"/>
        <v>327</v>
      </c>
      <c r="M30" s="39">
        <v>0</v>
      </c>
      <c r="N30" s="40">
        <f t="shared" si="1"/>
        <v>0.59021406727828751</v>
      </c>
      <c r="O30" s="40">
        <f t="shared" si="2"/>
        <v>4.2813455657492352E-2</v>
      </c>
      <c r="P30" s="40">
        <f t="shared" si="3"/>
        <v>0.34250764525993882</v>
      </c>
      <c r="Q30" s="40">
        <f t="shared" si="4"/>
        <v>3.0581039755351682E-3</v>
      </c>
      <c r="R30" s="41">
        <v>120</v>
      </c>
      <c r="S30" s="41">
        <v>314</v>
      </c>
      <c r="T30" s="41">
        <v>15</v>
      </c>
      <c r="U30" s="41">
        <v>1</v>
      </c>
      <c r="V30" s="41">
        <v>450</v>
      </c>
      <c r="W30" s="42">
        <v>0.26666666666666666</v>
      </c>
      <c r="X30" s="42">
        <v>0.69777777777777783</v>
      </c>
      <c r="Y30" s="42">
        <v>3.3333333333333333E-2</v>
      </c>
      <c r="Z30" s="42">
        <v>2.2222222222222222E-3</v>
      </c>
      <c r="AA30" s="43">
        <v>73.328888888888883</v>
      </c>
      <c r="AB30" s="40">
        <f t="shared" si="5"/>
        <v>0.72666666666666668</v>
      </c>
    </row>
    <row r="31" spans="1:28" x14ac:dyDescent="0.25">
      <c r="A31" s="39"/>
      <c r="B31" s="39"/>
      <c r="C31" s="39"/>
      <c r="D31" s="39">
        <v>2</v>
      </c>
      <c r="E31" s="39">
        <v>367</v>
      </c>
      <c r="F31" s="39">
        <v>1</v>
      </c>
      <c r="G31" s="39">
        <v>118</v>
      </c>
      <c r="H31" s="39">
        <v>211</v>
      </c>
      <c r="I31" s="39">
        <v>32</v>
      </c>
      <c r="J31" s="39">
        <v>362</v>
      </c>
      <c r="K31" s="39">
        <v>5</v>
      </c>
      <c r="L31" s="39">
        <f t="shared" si="0"/>
        <v>367</v>
      </c>
      <c r="M31" s="39">
        <v>0</v>
      </c>
      <c r="N31" s="40">
        <f t="shared" si="1"/>
        <v>0.57493188010899188</v>
      </c>
      <c r="O31" s="40">
        <f t="shared" si="2"/>
        <v>8.7193460490463212E-2</v>
      </c>
      <c r="P31" s="40">
        <f t="shared" si="3"/>
        <v>0.32152588555858308</v>
      </c>
      <c r="Q31" s="40">
        <f t="shared" si="4"/>
        <v>2.7247956403269754E-3</v>
      </c>
      <c r="R31" s="41">
        <v>155</v>
      </c>
      <c r="S31" s="41">
        <v>281</v>
      </c>
      <c r="T31" s="41">
        <v>14</v>
      </c>
      <c r="U31" s="41">
        <v>0</v>
      </c>
      <c r="V31" s="41">
        <v>450</v>
      </c>
      <c r="W31" s="42">
        <v>0.34444444444444444</v>
      </c>
      <c r="X31" s="42">
        <v>0.62444444444444447</v>
      </c>
      <c r="Y31" s="42">
        <v>3.111111111111111E-2</v>
      </c>
      <c r="Z31" s="42">
        <v>0</v>
      </c>
      <c r="AA31" s="43">
        <v>61.924444444444447</v>
      </c>
      <c r="AB31" s="40">
        <f t="shared" si="5"/>
        <v>0.81555555555555559</v>
      </c>
    </row>
    <row r="32" spans="1:28" x14ac:dyDescent="0.25">
      <c r="A32" s="39"/>
      <c r="B32" s="39"/>
      <c r="C32" s="39"/>
      <c r="D32" s="39">
        <v>3</v>
      </c>
      <c r="E32" s="39">
        <v>538</v>
      </c>
      <c r="F32" s="39">
        <v>4</v>
      </c>
      <c r="G32" s="39">
        <v>146</v>
      </c>
      <c r="H32" s="39">
        <v>304</v>
      </c>
      <c r="I32" s="39">
        <v>80</v>
      </c>
      <c r="J32" s="39">
        <v>534</v>
      </c>
      <c r="K32" s="39">
        <v>4</v>
      </c>
      <c r="L32" s="39">
        <f t="shared" si="0"/>
        <v>538</v>
      </c>
      <c r="M32" s="39">
        <v>0</v>
      </c>
      <c r="N32" s="40">
        <f t="shared" si="1"/>
        <v>0.56505576208178443</v>
      </c>
      <c r="O32" s="40">
        <f t="shared" si="2"/>
        <v>0.14869888475836432</v>
      </c>
      <c r="P32" s="40">
        <f t="shared" si="3"/>
        <v>0.27137546468401486</v>
      </c>
      <c r="Q32" s="40">
        <f t="shared" si="4"/>
        <v>7.4349442379182153E-3</v>
      </c>
      <c r="R32" s="41">
        <v>302</v>
      </c>
      <c r="S32" s="41">
        <v>391</v>
      </c>
      <c r="T32" s="41">
        <v>15</v>
      </c>
      <c r="U32" s="41">
        <v>1</v>
      </c>
      <c r="V32" s="41">
        <v>709</v>
      </c>
      <c r="W32" s="42">
        <v>0.42595204513399154</v>
      </c>
      <c r="X32" s="42">
        <v>0.5514809590973202</v>
      </c>
      <c r="Y32" s="42">
        <v>2.1156558533145273E-2</v>
      </c>
      <c r="Z32" s="42">
        <v>1.4104372355430183E-3</v>
      </c>
      <c r="AA32" s="43">
        <v>47.779971791255292</v>
      </c>
      <c r="AB32" s="40">
        <f t="shared" si="5"/>
        <v>0.75881523272214391</v>
      </c>
    </row>
    <row r="33" spans="1:28" x14ac:dyDescent="0.25">
      <c r="A33" s="39"/>
      <c r="B33" s="39"/>
      <c r="C33" s="39"/>
      <c r="D33" s="39">
        <v>4</v>
      </c>
      <c r="E33" s="39">
        <v>576</v>
      </c>
      <c r="F33" s="39">
        <v>3</v>
      </c>
      <c r="G33" s="39">
        <v>175</v>
      </c>
      <c r="H33" s="39">
        <v>250</v>
      </c>
      <c r="I33" s="39">
        <v>143</v>
      </c>
      <c r="J33" s="39">
        <v>571</v>
      </c>
      <c r="K33" s="39">
        <v>4</v>
      </c>
      <c r="L33" s="39">
        <f t="shared" si="0"/>
        <v>575</v>
      </c>
      <c r="M33" s="39">
        <v>1</v>
      </c>
      <c r="N33" s="40">
        <f t="shared" si="1"/>
        <v>0.43478260869565216</v>
      </c>
      <c r="O33" s="40">
        <f t="shared" si="2"/>
        <v>0.24869565217391304</v>
      </c>
      <c r="P33" s="40">
        <f t="shared" si="3"/>
        <v>0.30434782608695654</v>
      </c>
      <c r="Q33" s="40">
        <f t="shared" si="4"/>
        <v>5.2173913043478265E-3</v>
      </c>
      <c r="R33" s="41">
        <v>420</v>
      </c>
      <c r="S33" s="41">
        <v>279</v>
      </c>
      <c r="T33" s="41">
        <v>9</v>
      </c>
      <c r="U33" s="41">
        <v>2</v>
      </c>
      <c r="V33" s="41">
        <v>710</v>
      </c>
      <c r="W33" s="42">
        <v>0.59154929577464788</v>
      </c>
      <c r="X33" s="42">
        <v>0.39295774647887322</v>
      </c>
      <c r="Y33" s="42">
        <v>1.2676056338028169E-2</v>
      </c>
      <c r="Z33" s="42">
        <v>2.8169014084507044E-3</v>
      </c>
      <c r="AA33" s="43">
        <v>29.004225352112677</v>
      </c>
      <c r="AB33" s="40">
        <f t="shared" si="5"/>
        <v>0.8098591549295775</v>
      </c>
    </row>
    <row r="34" spans="1:28" x14ac:dyDescent="0.25">
      <c r="A34" s="39">
        <v>14</v>
      </c>
      <c r="B34" s="39" t="s">
        <v>139</v>
      </c>
      <c r="C34" s="39" t="s">
        <v>140</v>
      </c>
      <c r="D34" s="39">
        <v>1</v>
      </c>
      <c r="E34" s="39">
        <v>430</v>
      </c>
      <c r="F34" s="39">
        <v>2</v>
      </c>
      <c r="G34" s="39">
        <v>203</v>
      </c>
      <c r="H34" s="39">
        <v>50</v>
      </c>
      <c r="I34" s="39">
        <v>167</v>
      </c>
      <c r="J34" s="39">
        <v>422</v>
      </c>
      <c r="K34" s="39">
        <v>8</v>
      </c>
      <c r="L34" s="39">
        <f t="shared" si="0"/>
        <v>430</v>
      </c>
      <c r="M34" s="39">
        <v>0</v>
      </c>
      <c r="N34" s="40">
        <f t="shared" si="1"/>
        <v>0.11627906976744186</v>
      </c>
      <c r="O34" s="40">
        <f t="shared" si="2"/>
        <v>0.38837209302325582</v>
      </c>
      <c r="P34" s="40">
        <f t="shared" si="3"/>
        <v>0.47209302325581393</v>
      </c>
      <c r="Q34" s="40">
        <f t="shared" si="4"/>
        <v>4.6511627906976744E-3</v>
      </c>
      <c r="R34" s="41">
        <v>520</v>
      </c>
      <c r="S34" s="41">
        <v>0</v>
      </c>
      <c r="T34" s="41">
        <v>1</v>
      </c>
      <c r="U34" s="41">
        <v>6</v>
      </c>
      <c r="V34" s="41">
        <v>527</v>
      </c>
      <c r="W34" s="42">
        <v>0.98671726755218214</v>
      </c>
      <c r="X34" s="42">
        <v>0</v>
      </c>
      <c r="Y34" s="42">
        <v>1.8975332068311196E-3</v>
      </c>
      <c r="Z34" s="42">
        <v>1.1385199240986717E-2</v>
      </c>
      <c r="AA34" s="43">
        <v>45.297912713472485</v>
      </c>
      <c r="AB34" s="40">
        <f t="shared" si="5"/>
        <v>0.81593927893738138</v>
      </c>
    </row>
    <row r="35" spans="1:28" x14ac:dyDescent="0.25">
      <c r="A35" s="22">
        <v>15</v>
      </c>
      <c r="B35" s="22" t="s">
        <v>141</v>
      </c>
      <c r="C35" s="22" t="s">
        <v>142</v>
      </c>
      <c r="D35" s="22">
        <v>1</v>
      </c>
      <c r="E35" s="22">
        <v>282</v>
      </c>
      <c r="F35" s="22">
        <v>3</v>
      </c>
      <c r="G35" s="22">
        <v>131</v>
      </c>
      <c r="H35" s="22">
        <v>80</v>
      </c>
      <c r="I35" s="22">
        <v>65</v>
      </c>
      <c r="J35" s="22">
        <v>279</v>
      </c>
      <c r="K35" s="22">
        <v>3</v>
      </c>
      <c r="L35" s="22">
        <f t="shared" si="0"/>
        <v>282</v>
      </c>
      <c r="M35" s="22">
        <v>0</v>
      </c>
      <c r="N35" s="23">
        <f t="shared" si="1"/>
        <v>0.28368794326241137</v>
      </c>
      <c r="O35" s="23">
        <f t="shared" si="2"/>
        <v>0.23049645390070922</v>
      </c>
      <c r="P35" s="23">
        <f t="shared" si="3"/>
        <v>0.46453900709219859</v>
      </c>
      <c r="Q35" s="23">
        <f t="shared" si="4"/>
        <v>1.0638297872340425E-2</v>
      </c>
      <c r="R35" s="24">
        <v>333</v>
      </c>
      <c r="S35" s="24">
        <v>1</v>
      </c>
      <c r="T35" s="24">
        <v>0</v>
      </c>
      <c r="U35" s="24">
        <v>0</v>
      </c>
      <c r="V35" s="24">
        <v>334</v>
      </c>
      <c r="W35" s="27">
        <v>0.99700598802395213</v>
      </c>
      <c r="X35" s="27">
        <v>2.9940119760479044E-3</v>
      </c>
      <c r="Y35" s="27">
        <v>0</v>
      </c>
      <c r="Z35" s="27">
        <v>0</v>
      </c>
      <c r="AA35" s="25">
        <v>58.206586826347305</v>
      </c>
      <c r="AB35" s="23">
        <f t="shared" si="5"/>
        <v>0.84431137724550898</v>
      </c>
    </row>
    <row r="36" spans="1:28" x14ac:dyDescent="0.25">
      <c r="A36" s="22"/>
      <c r="B36" s="22"/>
      <c r="C36" s="22"/>
      <c r="D36" s="22">
        <v>2</v>
      </c>
      <c r="E36" s="22">
        <v>264</v>
      </c>
      <c r="F36" s="22">
        <v>0</v>
      </c>
      <c r="G36" s="22">
        <v>92</v>
      </c>
      <c r="H36" s="22">
        <v>59</v>
      </c>
      <c r="I36" s="22">
        <v>111</v>
      </c>
      <c r="J36" s="22">
        <v>262</v>
      </c>
      <c r="K36" s="22">
        <v>2</v>
      </c>
      <c r="L36" s="22">
        <f t="shared" si="0"/>
        <v>264</v>
      </c>
      <c r="M36" s="22">
        <v>0</v>
      </c>
      <c r="N36" s="23">
        <f t="shared" si="1"/>
        <v>0.22348484848484848</v>
      </c>
      <c r="O36" s="23">
        <f t="shared" si="2"/>
        <v>0.42045454545454547</v>
      </c>
      <c r="P36" s="23">
        <f t="shared" si="3"/>
        <v>0.34848484848484851</v>
      </c>
      <c r="Q36" s="23">
        <f t="shared" si="4"/>
        <v>0</v>
      </c>
      <c r="R36" s="24">
        <v>335</v>
      </c>
      <c r="S36" s="24">
        <v>0</v>
      </c>
      <c r="T36" s="24">
        <v>0</v>
      </c>
      <c r="U36" s="24">
        <v>0</v>
      </c>
      <c r="V36" s="24">
        <v>335</v>
      </c>
      <c r="W36" s="27">
        <v>1</v>
      </c>
      <c r="X36" s="27">
        <v>0</v>
      </c>
      <c r="Y36" s="27">
        <v>0</v>
      </c>
      <c r="Z36" s="27">
        <v>0</v>
      </c>
      <c r="AA36" s="25">
        <v>31.185074626865671</v>
      </c>
      <c r="AB36" s="23">
        <f t="shared" si="5"/>
        <v>0.78805970149253735</v>
      </c>
    </row>
    <row r="37" spans="1:28" x14ac:dyDescent="0.25">
      <c r="A37" s="22">
        <v>16</v>
      </c>
      <c r="B37" s="22" t="s">
        <v>143</v>
      </c>
      <c r="C37" s="22" t="s">
        <v>144</v>
      </c>
      <c r="D37" s="22">
        <v>1</v>
      </c>
      <c r="E37" s="22">
        <v>372</v>
      </c>
      <c r="F37" s="22">
        <v>2</v>
      </c>
      <c r="G37" s="22">
        <v>266</v>
      </c>
      <c r="H37" s="22">
        <v>68</v>
      </c>
      <c r="I37" s="22">
        <v>28</v>
      </c>
      <c r="J37" s="22">
        <v>364</v>
      </c>
      <c r="K37" s="22">
        <v>8</v>
      </c>
      <c r="L37" s="22">
        <f t="shared" si="0"/>
        <v>372</v>
      </c>
      <c r="M37" s="22">
        <v>0</v>
      </c>
      <c r="N37" s="23">
        <f t="shared" si="1"/>
        <v>0.18279569892473119</v>
      </c>
      <c r="O37" s="23">
        <f t="shared" si="2"/>
        <v>7.5268817204301078E-2</v>
      </c>
      <c r="P37" s="23">
        <f t="shared" si="3"/>
        <v>0.71505376344086025</v>
      </c>
      <c r="Q37" s="23">
        <f t="shared" si="4"/>
        <v>5.3763440860215058E-3</v>
      </c>
      <c r="R37" s="24">
        <v>310</v>
      </c>
      <c r="S37" s="24">
        <v>19</v>
      </c>
      <c r="T37" s="24">
        <v>20</v>
      </c>
      <c r="U37" s="24">
        <v>101</v>
      </c>
      <c r="V37" s="24">
        <v>450</v>
      </c>
      <c r="W37" s="27">
        <v>0.68888888888888888</v>
      </c>
      <c r="X37" s="27">
        <v>4.2222222222222223E-2</v>
      </c>
      <c r="Y37" s="27">
        <v>4.4444444444444446E-2</v>
      </c>
      <c r="Z37" s="27">
        <v>0.22444444444444445</v>
      </c>
      <c r="AA37" s="25">
        <v>59.313333333333333</v>
      </c>
      <c r="AB37" s="23">
        <f t="shared" si="5"/>
        <v>0.82666666666666666</v>
      </c>
    </row>
    <row r="38" spans="1:28" x14ac:dyDescent="0.25">
      <c r="A38" s="22"/>
      <c r="B38" s="22"/>
      <c r="C38" s="22"/>
      <c r="D38" s="22">
        <v>2</v>
      </c>
      <c r="E38" s="22">
        <v>386</v>
      </c>
      <c r="F38" s="22">
        <v>2</v>
      </c>
      <c r="G38" s="22">
        <v>247</v>
      </c>
      <c r="H38" s="22">
        <v>52</v>
      </c>
      <c r="I38" s="22">
        <v>79</v>
      </c>
      <c r="J38" s="22">
        <v>380</v>
      </c>
      <c r="K38" s="22">
        <v>6</v>
      </c>
      <c r="L38" s="22">
        <f t="shared" si="0"/>
        <v>386</v>
      </c>
      <c r="M38" s="22">
        <v>0</v>
      </c>
      <c r="N38" s="23">
        <f t="shared" si="1"/>
        <v>0.13471502590673576</v>
      </c>
      <c r="O38" s="23">
        <f t="shared" si="2"/>
        <v>0.20466321243523317</v>
      </c>
      <c r="P38" s="23">
        <f t="shared" si="3"/>
        <v>0.63989637305699487</v>
      </c>
      <c r="Q38" s="23">
        <f t="shared" si="4"/>
        <v>5.1813471502590676E-3</v>
      </c>
      <c r="R38" s="24">
        <v>340</v>
      </c>
      <c r="S38" s="24">
        <v>7</v>
      </c>
      <c r="T38" s="24">
        <v>10</v>
      </c>
      <c r="U38" s="24">
        <v>145</v>
      </c>
      <c r="V38" s="24">
        <v>502</v>
      </c>
      <c r="W38" s="27">
        <v>0.67729083665338641</v>
      </c>
      <c r="X38" s="27">
        <v>1.3944223107569721E-2</v>
      </c>
      <c r="Y38" s="27">
        <v>1.9920318725099601E-2</v>
      </c>
      <c r="Z38" s="27">
        <v>0.28884462151394424</v>
      </c>
      <c r="AA38" s="25">
        <v>39.408366533864545</v>
      </c>
      <c r="AB38" s="23">
        <f t="shared" si="5"/>
        <v>0.7689243027888446</v>
      </c>
    </row>
    <row r="39" spans="1:28" x14ac:dyDescent="0.25">
      <c r="A39" s="22"/>
      <c r="B39" s="22"/>
      <c r="C39" s="22"/>
      <c r="D39" s="22">
        <v>3</v>
      </c>
      <c r="E39" s="22">
        <v>367</v>
      </c>
      <c r="F39" s="22">
        <v>1</v>
      </c>
      <c r="G39" s="22">
        <v>243</v>
      </c>
      <c r="H39" s="22">
        <v>51</v>
      </c>
      <c r="I39" s="22">
        <v>69</v>
      </c>
      <c r="J39" s="22">
        <v>364</v>
      </c>
      <c r="K39" s="22">
        <v>3</v>
      </c>
      <c r="L39" s="22">
        <f t="shared" si="0"/>
        <v>367</v>
      </c>
      <c r="M39" s="22">
        <v>0</v>
      </c>
      <c r="N39" s="23">
        <f t="shared" si="1"/>
        <v>0.13896457765667575</v>
      </c>
      <c r="O39" s="23">
        <f t="shared" si="2"/>
        <v>0.18801089918256131</v>
      </c>
      <c r="P39" s="23">
        <f t="shared" si="3"/>
        <v>0.66212534059945505</v>
      </c>
      <c r="Q39" s="23">
        <f t="shared" si="4"/>
        <v>2.7247956403269754E-3</v>
      </c>
      <c r="R39" s="24">
        <v>418</v>
      </c>
      <c r="S39" s="24">
        <v>14</v>
      </c>
      <c r="T39" s="24">
        <v>22</v>
      </c>
      <c r="U39" s="24">
        <v>48</v>
      </c>
      <c r="V39" s="24">
        <v>502</v>
      </c>
      <c r="W39" s="27">
        <v>0.83266932270916338</v>
      </c>
      <c r="X39" s="27">
        <v>2.7888446215139442E-2</v>
      </c>
      <c r="Y39" s="27">
        <v>4.3824701195219126E-2</v>
      </c>
      <c r="Z39" s="27">
        <v>9.5617529880478086E-2</v>
      </c>
      <c r="AA39" s="25">
        <v>26.388446215139442</v>
      </c>
      <c r="AB39" s="23">
        <f t="shared" si="5"/>
        <v>0.7310756972111554</v>
      </c>
    </row>
    <row r="40" spans="1:28" x14ac:dyDescent="0.25">
      <c r="A40" s="22">
        <v>17</v>
      </c>
      <c r="B40" s="22" t="s">
        <v>145</v>
      </c>
      <c r="C40" s="22" t="s">
        <v>146</v>
      </c>
      <c r="D40" s="22">
        <v>1</v>
      </c>
      <c r="E40" s="22">
        <v>376</v>
      </c>
      <c r="F40" s="22">
        <v>3</v>
      </c>
      <c r="G40" s="22">
        <v>269</v>
      </c>
      <c r="H40" s="22">
        <v>49</v>
      </c>
      <c r="I40" s="22">
        <v>46</v>
      </c>
      <c r="J40" s="22">
        <v>367</v>
      </c>
      <c r="K40" s="22">
        <v>9</v>
      </c>
      <c r="L40" s="22">
        <f t="shared" si="0"/>
        <v>376</v>
      </c>
      <c r="M40" s="22">
        <v>0</v>
      </c>
      <c r="N40" s="23">
        <f t="shared" si="1"/>
        <v>0.13031914893617022</v>
      </c>
      <c r="O40" s="23">
        <f t="shared" si="2"/>
        <v>0.12234042553191489</v>
      </c>
      <c r="P40" s="23">
        <f t="shared" si="3"/>
        <v>0.71542553191489366</v>
      </c>
      <c r="Q40" s="23">
        <f t="shared" si="4"/>
        <v>7.9787234042553185E-3</v>
      </c>
      <c r="R40" s="24">
        <v>445</v>
      </c>
      <c r="S40" s="24">
        <v>0</v>
      </c>
      <c r="T40" s="24">
        <v>3</v>
      </c>
      <c r="U40" s="24">
        <v>2</v>
      </c>
      <c r="V40" s="24">
        <v>450</v>
      </c>
      <c r="W40" s="27">
        <v>0.98888888888888893</v>
      </c>
      <c r="X40" s="27">
        <v>0</v>
      </c>
      <c r="Y40" s="27">
        <v>6.6666666666666671E-3</v>
      </c>
      <c r="Z40" s="27">
        <v>4.4444444444444444E-3</v>
      </c>
      <c r="AA40" s="25">
        <v>66.206666666666663</v>
      </c>
      <c r="AB40" s="23">
        <f t="shared" si="5"/>
        <v>0.83555555555555561</v>
      </c>
    </row>
    <row r="41" spans="1:28" x14ac:dyDescent="0.25">
      <c r="A41" s="22"/>
      <c r="B41" s="22"/>
      <c r="C41" s="22"/>
      <c r="D41" s="22">
        <v>2</v>
      </c>
      <c r="E41" s="22">
        <v>479</v>
      </c>
      <c r="F41" s="22">
        <v>2</v>
      </c>
      <c r="G41" s="22">
        <v>257</v>
      </c>
      <c r="H41" s="22">
        <v>53</v>
      </c>
      <c r="I41" s="22">
        <v>164</v>
      </c>
      <c r="J41" s="22">
        <v>476</v>
      </c>
      <c r="K41" s="22">
        <v>3</v>
      </c>
      <c r="L41" s="22">
        <f t="shared" si="0"/>
        <v>479</v>
      </c>
      <c r="M41" s="22">
        <v>0</v>
      </c>
      <c r="N41" s="23">
        <f t="shared" si="1"/>
        <v>0.11064718162839249</v>
      </c>
      <c r="O41" s="23">
        <f t="shared" si="2"/>
        <v>0.34237995824634654</v>
      </c>
      <c r="P41" s="23">
        <f t="shared" si="3"/>
        <v>0.5365344467640919</v>
      </c>
      <c r="Q41" s="23">
        <f t="shared" si="4"/>
        <v>4.1753653444676405E-3</v>
      </c>
      <c r="R41" s="24">
        <v>611</v>
      </c>
      <c r="S41" s="24">
        <v>0</v>
      </c>
      <c r="T41" s="24">
        <v>4</v>
      </c>
      <c r="U41" s="24">
        <v>3</v>
      </c>
      <c r="V41" s="24">
        <v>618</v>
      </c>
      <c r="W41" s="27">
        <v>0.98867313915857602</v>
      </c>
      <c r="X41" s="27">
        <v>0</v>
      </c>
      <c r="Y41" s="27">
        <v>6.4724919093851136E-3</v>
      </c>
      <c r="Z41" s="27">
        <v>4.8543689320388345E-3</v>
      </c>
      <c r="AA41" s="25">
        <v>44.266990291262132</v>
      </c>
      <c r="AB41" s="23">
        <f t="shared" si="5"/>
        <v>0.77508090614886727</v>
      </c>
    </row>
    <row r="42" spans="1:28" x14ac:dyDescent="0.25">
      <c r="A42" s="22"/>
      <c r="B42" s="22"/>
      <c r="C42" s="22"/>
      <c r="D42" s="22">
        <v>3</v>
      </c>
      <c r="E42" s="22">
        <v>486</v>
      </c>
      <c r="F42" s="22">
        <v>3</v>
      </c>
      <c r="G42" s="22">
        <v>259</v>
      </c>
      <c r="H42" s="22">
        <v>46</v>
      </c>
      <c r="I42" s="22">
        <v>176</v>
      </c>
      <c r="J42" s="22">
        <v>484</v>
      </c>
      <c r="K42" s="22">
        <v>2</v>
      </c>
      <c r="L42" s="22">
        <f t="shared" si="0"/>
        <v>486</v>
      </c>
      <c r="M42" s="22">
        <v>0</v>
      </c>
      <c r="N42" s="23">
        <f t="shared" si="1"/>
        <v>9.4650205761316872E-2</v>
      </c>
      <c r="O42" s="23">
        <f t="shared" si="2"/>
        <v>0.36213991769547327</v>
      </c>
      <c r="P42" s="23">
        <f t="shared" si="3"/>
        <v>0.53292181069958844</v>
      </c>
      <c r="Q42" s="23">
        <f t="shared" si="4"/>
        <v>6.1728395061728392E-3</v>
      </c>
      <c r="R42" s="24">
        <v>619</v>
      </c>
      <c r="S42" s="24">
        <v>0</v>
      </c>
      <c r="T42" s="24">
        <v>0</v>
      </c>
      <c r="U42" s="24">
        <v>0</v>
      </c>
      <c r="V42" s="24">
        <v>619</v>
      </c>
      <c r="W42" s="27">
        <v>1</v>
      </c>
      <c r="X42" s="27">
        <v>0</v>
      </c>
      <c r="Y42" s="27">
        <v>0</v>
      </c>
      <c r="Z42" s="27">
        <v>0</v>
      </c>
      <c r="AA42" s="25">
        <v>30.156704361873992</v>
      </c>
      <c r="AB42" s="23">
        <f t="shared" si="5"/>
        <v>0.78513731825525035</v>
      </c>
    </row>
    <row r="43" spans="1:28" x14ac:dyDescent="0.25">
      <c r="A43" s="22">
        <v>18</v>
      </c>
      <c r="B43" s="22" t="s">
        <v>147</v>
      </c>
      <c r="C43" s="22" t="s">
        <v>148</v>
      </c>
      <c r="D43" s="22">
        <v>1</v>
      </c>
      <c r="E43" s="22">
        <v>358</v>
      </c>
      <c r="F43" s="22">
        <v>5</v>
      </c>
      <c r="G43" s="22">
        <v>281</v>
      </c>
      <c r="H43" s="22">
        <v>28</v>
      </c>
      <c r="I43" s="22">
        <v>37</v>
      </c>
      <c r="J43" s="22">
        <v>351</v>
      </c>
      <c r="K43" s="22">
        <v>7</v>
      </c>
      <c r="L43" s="22">
        <f t="shared" si="0"/>
        <v>358</v>
      </c>
      <c r="M43" s="22">
        <v>0</v>
      </c>
      <c r="N43" s="23">
        <f t="shared" si="1"/>
        <v>7.8212290502793297E-2</v>
      </c>
      <c r="O43" s="23">
        <f t="shared" si="2"/>
        <v>0.10335195530726257</v>
      </c>
      <c r="P43" s="23">
        <f t="shared" si="3"/>
        <v>0.78491620111731841</v>
      </c>
      <c r="Q43" s="23">
        <f t="shared" si="4"/>
        <v>1.3966480446927373E-2</v>
      </c>
      <c r="R43" s="24">
        <v>440</v>
      </c>
      <c r="S43" s="24">
        <v>2</v>
      </c>
      <c r="T43" s="24">
        <v>4</v>
      </c>
      <c r="U43" s="24">
        <v>4</v>
      </c>
      <c r="V43" s="24">
        <v>450</v>
      </c>
      <c r="W43" s="27">
        <v>0.97777777777777775</v>
      </c>
      <c r="X43" s="27">
        <v>4.4444444444444444E-3</v>
      </c>
      <c r="Y43" s="27">
        <v>8.8888888888888889E-3</v>
      </c>
      <c r="Z43" s="27">
        <v>8.8888888888888889E-3</v>
      </c>
      <c r="AA43" s="25">
        <v>68.48</v>
      </c>
      <c r="AB43" s="23">
        <f t="shared" si="5"/>
        <v>0.79555555555555557</v>
      </c>
    </row>
    <row r="44" spans="1:28" x14ac:dyDescent="0.25">
      <c r="A44" s="22"/>
      <c r="B44" s="22"/>
      <c r="C44" s="22"/>
      <c r="D44" s="22">
        <v>2</v>
      </c>
      <c r="E44" s="22">
        <v>356</v>
      </c>
      <c r="F44" s="22">
        <v>2</v>
      </c>
      <c r="G44" s="22">
        <v>209</v>
      </c>
      <c r="H44" s="22">
        <v>42</v>
      </c>
      <c r="I44" s="22">
        <v>95</v>
      </c>
      <c r="J44" s="22">
        <v>348</v>
      </c>
      <c r="K44" s="22">
        <v>8</v>
      </c>
      <c r="L44" s="22">
        <f t="shared" si="0"/>
        <v>356</v>
      </c>
      <c r="M44" s="22">
        <v>0</v>
      </c>
      <c r="N44" s="23">
        <f t="shared" si="1"/>
        <v>0.11797752808988764</v>
      </c>
      <c r="O44" s="23">
        <f t="shared" si="2"/>
        <v>0.26685393258426965</v>
      </c>
      <c r="P44" s="23">
        <f t="shared" si="3"/>
        <v>0.5870786516853933</v>
      </c>
      <c r="Q44" s="23">
        <f t="shared" si="4"/>
        <v>5.6179775280898875E-3</v>
      </c>
      <c r="R44" s="24">
        <v>443</v>
      </c>
      <c r="S44" s="24">
        <v>1</v>
      </c>
      <c r="T44" s="24">
        <v>1</v>
      </c>
      <c r="U44" s="24">
        <v>5</v>
      </c>
      <c r="V44" s="24">
        <v>450</v>
      </c>
      <c r="W44" s="27">
        <v>0.98444444444444446</v>
      </c>
      <c r="X44" s="27">
        <v>2.2222222222222222E-3</v>
      </c>
      <c r="Y44" s="27">
        <v>2.2222222222222222E-3</v>
      </c>
      <c r="Z44" s="27">
        <v>1.1111111111111112E-2</v>
      </c>
      <c r="AA44" s="25">
        <v>55.677777777777777</v>
      </c>
      <c r="AB44" s="23">
        <f t="shared" si="5"/>
        <v>0.7911111111111111</v>
      </c>
    </row>
    <row r="45" spans="1:28" x14ac:dyDescent="0.25">
      <c r="A45" s="22"/>
      <c r="B45" s="22"/>
      <c r="C45" s="22"/>
      <c r="D45" s="22">
        <v>3</v>
      </c>
      <c r="E45" s="22">
        <v>423</v>
      </c>
      <c r="F45" s="22">
        <v>1</v>
      </c>
      <c r="G45" s="22">
        <v>233</v>
      </c>
      <c r="H45" s="22">
        <v>32</v>
      </c>
      <c r="I45" s="22">
        <v>154</v>
      </c>
      <c r="J45" s="22">
        <v>420</v>
      </c>
      <c r="K45" s="22">
        <v>3</v>
      </c>
      <c r="L45" s="22">
        <f t="shared" si="0"/>
        <v>423</v>
      </c>
      <c r="M45" s="22">
        <v>0</v>
      </c>
      <c r="N45" s="23">
        <f t="shared" si="1"/>
        <v>7.5650118203309691E-2</v>
      </c>
      <c r="O45" s="23">
        <f t="shared" si="2"/>
        <v>0.36406619385342792</v>
      </c>
      <c r="P45" s="23">
        <f t="shared" si="3"/>
        <v>0.55082742316784872</v>
      </c>
      <c r="Q45" s="23">
        <f t="shared" si="4"/>
        <v>2.3640661938534278E-3</v>
      </c>
      <c r="R45" s="24">
        <v>569</v>
      </c>
      <c r="S45" s="24">
        <v>0</v>
      </c>
      <c r="T45" s="24">
        <v>0</v>
      </c>
      <c r="U45" s="24">
        <v>0</v>
      </c>
      <c r="V45" s="24">
        <v>569</v>
      </c>
      <c r="W45" s="27">
        <v>1</v>
      </c>
      <c r="X45" s="27">
        <v>0</v>
      </c>
      <c r="Y45" s="27">
        <v>0</v>
      </c>
      <c r="Z45" s="27">
        <v>0</v>
      </c>
      <c r="AA45" s="25">
        <v>43.908611599297011</v>
      </c>
      <c r="AB45" s="23">
        <f t="shared" si="5"/>
        <v>0.74340949033391912</v>
      </c>
    </row>
    <row r="46" spans="1:28" x14ac:dyDescent="0.25">
      <c r="A46" s="22"/>
      <c r="B46" s="22"/>
      <c r="C46" s="22"/>
      <c r="D46" s="22">
        <v>4</v>
      </c>
      <c r="E46" s="22">
        <v>413</v>
      </c>
      <c r="F46" s="22">
        <v>5</v>
      </c>
      <c r="G46" s="22">
        <v>231</v>
      </c>
      <c r="H46" s="22">
        <v>25</v>
      </c>
      <c r="I46" s="22">
        <v>151</v>
      </c>
      <c r="J46" s="22">
        <v>412</v>
      </c>
      <c r="K46" s="22">
        <v>1</v>
      </c>
      <c r="L46" s="22">
        <f t="shared" si="0"/>
        <v>413</v>
      </c>
      <c r="M46" s="22">
        <v>0</v>
      </c>
      <c r="N46" s="23">
        <f t="shared" si="1"/>
        <v>6.0532687651331719E-2</v>
      </c>
      <c r="O46" s="23">
        <f t="shared" si="2"/>
        <v>0.36561743341404357</v>
      </c>
      <c r="P46" s="23">
        <f t="shared" si="3"/>
        <v>0.55932203389830504</v>
      </c>
      <c r="Q46" s="23">
        <f t="shared" si="4"/>
        <v>1.2106537530266344E-2</v>
      </c>
      <c r="R46" s="24">
        <v>563</v>
      </c>
      <c r="S46" s="24">
        <v>2</v>
      </c>
      <c r="T46" s="24">
        <v>0</v>
      </c>
      <c r="U46" s="24">
        <v>4</v>
      </c>
      <c r="V46" s="24">
        <v>569</v>
      </c>
      <c r="W46" s="27">
        <v>0.98945518453427062</v>
      </c>
      <c r="X46" s="27">
        <v>3.5149384885764497E-3</v>
      </c>
      <c r="Y46" s="27">
        <v>0</v>
      </c>
      <c r="Z46" s="27">
        <v>7.0298769771528994E-3</v>
      </c>
      <c r="AA46" s="25">
        <v>36.311072056239013</v>
      </c>
      <c r="AB46" s="23">
        <f t="shared" si="5"/>
        <v>0.72583479789103689</v>
      </c>
    </row>
    <row r="47" spans="1:28" x14ac:dyDescent="0.25">
      <c r="A47" s="22"/>
      <c r="B47" s="22"/>
      <c r="C47" s="22"/>
      <c r="D47" s="22">
        <v>5</v>
      </c>
      <c r="E47" s="22">
        <v>431</v>
      </c>
      <c r="F47" s="22">
        <v>2</v>
      </c>
      <c r="G47" s="22">
        <v>220</v>
      </c>
      <c r="H47" s="22">
        <v>44</v>
      </c>
      <c r="I47" s="22">
        <v>165</v>
      </c>
      <c r="J47" s="22">
        <v>431</v>
      </c>
      <c r="K47" s="22">
        <v>0</v>
      </c>
      <c r="L47" s="22">
        <f t="shared" si="0"/>
        <v>431</v>
      </c>
      <c r="M47" s="22">
        <v>0</v>
      </c>
      <c r="N47" s="23">
        <f t="shared" si="1"/>
        <v>0.10208816705336426</v>
      </c>
      <c r="O47" s="23">
        <f t="shared" si="2"/>
        <v>0.38283062645011601</v>
      </c>
      <c r="P47" s="23">
        <f t="shared" si="3"/>
        <v>0.51044083526682138</v>
      </c>
      <c r="Q47" s="23">
        <f t="shared" si="4"/>
        <v>4.6403712296983757E-3</v>
      </c>
      <c r="R47" s="24">
        <v>547</v>
      </c>
      <c r="S47" s="24">
        <v>0</v>
      </c>
      <c r="T47" s="24">
        <v>3</v>
      </c>
      <c r="U47" s="24">
        <v>20</v>
      </c>
      <c r="V47" s="24">
        <v>570</v>
      </c>
      <c r="W47" s="27">
        <v>0.95964912280701753</v>
      </c>
      <c r="X47" s="27">
        <v>0</v>
      </c>
      <c r="Y47" s="27">
        <v>5.263157894736842E-3</v>
      </c>
      <c r="Z47" s="27">
        <v>3.5087719298245612E-2</v>
      </c>
      <c r="AA47" s="25">
        <v>24.87017543859649</v>
      </c>
      <c r="AB47" s="23">
        <f t="shared" si="5"/>
        <v>0.756140350877193</v>
      </c>
    </row>
    <row r="48" spans="1:28" x14ac:dyDescent="0.25">
      <c r="A48" s="22">
        <v>19</v>
      </c>
      <c r="B48" s="22" t="s">
        <v>149</v>
      </c>
      <c r="C48" s="22" t="s">
        <v>150</v>
      </c>
      <c r="D48" s="22">
        <v>1</v>
      </c>
      <c r="E48" s="22">
        <v>287</v>
      </c>
      <c r="F48" s="22">
        <v>1</v>
      </c>
      <c r="G48" s="22">
        <v>102</v>
      </c>
      <c r="H48" s="22">
        <v>167</v>
      </c>
      <c r="I48" s="22">
        <v>12</v>
      </c>
      <c r="J48" s="22">
        <v>282</v>
      </c>
      <c r="K48" s="22">
        <v>5</v>
      </c>
      <c r="L48" s="22">
        <f t="shared" si="0"/>
        <v>287</v>
      </c>
      <c r="M48" s="22">
        <v>0</v>
      </c>
      <c r="N48" s="23">
        <f t="shared" si="1"/>
        <v>0.58188153310104529</v>
      </c>
      <c r="O48" s="23">
        <f t="shared" si="2"/>
        <v>4.1811846689895474E-2</v>
      </c>
      <c r="P48" s="23">
        <f t="shared" si="3"/>
        <v>0.35540069686411152</v>
      </c>
      <c r="Q48" s="23">
        <f t="shared" si="4"/>
        <v>3.4843205574912892E-3</v>
      </c>
      <c r="R48" s="24">
        <v>53</v>
      </c>
      <c r="S48" s="24">
        <v>279</v>
      </c>
      <c r="T48" s="24">
        <v>115</v>
      </c>
      <c r="U48" s="24">
        <v>3</v>
      </c>
      <c r="V48" s="24">
        <v>450</v>
      </c>
      <c r="W48" s="27">
        <v>0.11777777777777777</v>
      </c>
      <c r="X48" s="27">
        <v>0.62</v>
      </c>
      <c r="Y48" s="27">
        <v>0.25555555555555554</v>
      </c>
      <c r="Z48" s="27">
        <v>6.6666666666666671E-3</v>
      </c>
      <c r="AA48" s="25">
        <v>70.306666666666672</v>
      </c>
      <c r="AB48" s="23">
        <f t="shared" si="5"/>
        <v>0.63777777777777778</v>
      </c>
    </row>
    <row r="49" spans="1:28" x14ac:dyDescent="0.25">
      <c r="A49" s="22"/>
      <c r="B49" s="22"/>
      <c r="C49" s="22"/>
      <c r="D49" s="22">
        <v>2</v>
      </c>
      <c r="E49" s="22">
        <v>340</v>
      </c>
      <c r="F49" s="22">
        <v>3</v>
      </c>
      <c r="G49" s="22">
        <v>100</v>
      </c>
      <c r="H49" s="22">
        <v>212</v>
      </c>
      <c r="I49" s="22">
        <v>14</v>
      </c>
      <c r="J49" s="22">
        <v>329</v>
      </c>
      <c r="K49" s="22">
        <v>11</v>
      </c>
      <c r="L49" s="22">
        <f t="shared" si="0"/>
        <v>340</v>
      </c>
      <c r="M49" s="22">
        <v>0</v>
      </c>
      <c r="N49" s="23">
        <f t="shared" si="1"/>
        <v>0.62352941176470589</v>
      </c>
      <c r="O49" s="23">
        <f t="shared" si="2"/>
        <v>4.1176470588235294E-2</v>
      </c>
      <c r="P49" s="23">
        <f t="shared" si="3"/>
        <v>0.29411764705882354</v>
      </c>
      <c r="Q49" s="23">
        <f t="shared" si="4"/>
        <v>8.8235294117647058E-3</v>
      </c>
      <c r="R49" s="24">
        <v>78</v>
      </c>
      <c r="S49" s="24">
        <v>231</v>
      </c>
      <c r="T49" s="24">
        <v>121</v>
      </c>
      <c r="U49" s="24">
        <v>20</v>
      </c>
      <c r="V49" s="24">
        <v>450</v>
      </c>
      <c r="W49" s="27">
        <v>0.17333333333333334</v>
      </c>
      <c r="X49" s="27">
        <v>0.51333333333333331</v>
      </c>
      <c r="Y49" s="27">
        <v>0.2688888888888889</v>
      </c>
      <c r="Z49" s="27">
        <v>4.4444444444444446E-2</v>
      </c>
      <c r="AA49" s="25">
        <v>59.242222222222225</v>
      </c>
      <c r="AB49" s="23">
        <f t="shared" si="5"/>
        <v>0.75555555555555554</v>
      </c>
    </row>
    <row r="50" spans="1:28" x14ac:dyDescent="0.25">
      <c r="A50" s="22"/>
      <c r="B50" s="22"/>
      <c r="C50" s="22"/>
      <c r="D50" s="22">
        <v>3</v>
      </c>
      <c r="E50" s="22">
        <v>380</v>
      </c>
      <c r="F50" s="22">
        <v>2</v>
      </c>
      <c r="G50" s="22">
        <v>107</v>
      </c>
      <c r="H50" s="22">
        <v>240</v>
      </c>
      <c r="I50" s="22">
        <v>26</v>
      </c>
      <c r="J50" s="22">
        <v>375</v>
      </c>
      <c r="K50" s="22">
        <v>5</v>
      </c>
      <c r="L50" s="22">
        <f t="shared" si="0"/>
        <v>380</v>
      </c>
      <c r="M50" s="22">
        <v>0</v>
      </c>
      <c r="N50" s="23">
        <f t="shared" si="1"/>
        <v>0.63157894736842102</v>
      </c>
      <c r="O50" s="23">
        <f t="shared" si="2"/>
        <v>6.8421052631578952E-2</v>
      </c>
      <c r="P50" s="23">
        <f t="shared" si="3"/>
        <v>0.28157894736842104</v>
      </c>
      <c r="Q50" s="23">
        <f t="shared" si="4"/>
        <v>5.263157894736842E-3</v>
      </c>
      <c r="R50" s="24">
        <v>100</v>
      </c>
      <c r="S50" s="24">
        <v>284</v>
      </c>
      <c r="T50" s="24">
        <v>132</v>
      </c>
      <c r="U50" s="24">
        <v>38</v>
      </c>
      <c r="V50" s="24">
        <v>554</v>
      </c>
      <c r="W50" s="27">
        <v>0.18050541516245489</v>
      </c>
      <c r="X50" s="27">
        <v>0.5126353790613718</v>
      </c>
      <c r="Y50" s="27">
        <v>0.23826714801444043</v>
      </c>
      <c r="Z50" s="27">
        <v>6.8592057761732855E-2</v>
      </c>
      <c r="AA50" s="25">
        <v>46.761732851985556</v>
      </c>
      <c r="AB50" s="23">
        <f t="shared" si="5"/>
        <v>0.6859205776173285</v>
      </c>
    </row>
    <row r="51" spans="1:28" x14ac:dyDescent="0.25">
      <c r="A51" s="22"/>
      <c r="B51" s="22"/>
      <c r="C51" s="22"/>
      <c r="D51" s="22">
        <v>4</v>
      </c>
      <c r="E51" s="22">
        <v>353</v>
      </c>
      <c r="F51" s="22">
        <v>1</v>
      </c>
      <c r="G51" s="22">
        <v>108</v>
      </c>
      <c r="H51" s="22">
        <v>200</v>
      </c>
      <c r="I51" s="22">
        <v>41</v>
      </c>
      <c r="J51" s="22">
        <v>350</v>
      </c>
      <c r="K51" s="22">
        <v>3</v>
      </c>
      <c r="L51" s="22">
        <f t="shared" si="0"/>
        <v>353</v>
      </c>
      <c r="M51" s="22">
        <v>0</v>
      </c>
      <c r="N51" s="23">
        <f t="shared" si="1"/>
        <v>0.56657223796033995</v>
      </c>
      <c r="O51" s="23">
        <f t="shared" si="2"/>
        <v>0.11614730878186968</v>
      </c>
      <c r="P51" s="23">
        <f t="shared" si="3"/>
        <v>0.30594900849858359</v>
      </c>
      <c r="Q51" s="23">
        <f t="shared" si="4"/>
        <v>2.8328611898016999E-3</v>
      </c>
      <c r="R51" s="24">
        <v>141</v>
      </c>
      <c r="S51" s="24">
        <v>218</v>
      </c>
      <c r="T51" s="24">
        <v>163</v>
      </c>
      <c r="U51" s="24">
        <v>32</v>
      </c>
      <c r="V51" s="24">
        <v>554</v>
      </c>
      <c r="W51" s="27">
        <v>0.25451263537906138</v>
      </c>
      <c r="X51" s="27">
        <v>0.39350180505415161</v>
      </c>
      <c r="Y51" s="27">
        <v>0.29422382671480146</v>
      </c>
      <c r="Z51" s="27">
        <v>5.7761732851985562E-2</v>
      </c>
      <c r="AA51" s="25">
        <v>35.575812274368232</v>
      </c>
      <c r="AB51" s="23">
        <f t="shared" si="5"/>
        <v>0.63718411552346566</v>
      </c>
    </row>
    <row r="52" spans="1:28" x14ac:dyDescent="0.25">
      <c r="A52" s="22"/>
      <c r="B52" s="22"/>
      <c r="C52" s="22"/>
      <c r="D52" s="22">
        <v>5</v>
      </c>
      <c r="E52" s="22">
        <v>379</v>
      </c>
      <c r="F52" s="22">
        <v>0</v>
      </c>
      <c r="G52" s="22">
        <v>134</v>
      </c>
      <c r="H52" s="22">
        <v>190</v>
      </c>
      <c r="I52" s="22">
        <v>55</v>
      </c>
      <c r="J52" s="22">
        <v>379</v>
      </c>
      <c r="K52" s="22">
        <v>0</v>
      </c>
      <c r="L52" s="22">
        <f t="shared" si="0"/>
        <v>379</v>
      </c>
      <c r="M52" s="22">
        <v>0</v>
      </c>
      <c r="N52" s="23">
        <f t="shared" si="1"/>
        <v>0.50131926121372028</v>
      </c>
      <c r="O52" s="23">
        <f t="shared" si="2"/>
        <v>0.14511873350923482</v>
      </c>
      <c r="P52" s="23">
        <f t="shared" si="3"/>
        <v>0.35356200527704484</v>
      </c>
      <c r="Q52" s="23">
        <f t="shared" si="4"/>
        <v>0</v>
      </c>
      <c r="R52" s="24">
        <v>197</v>
      </c>
      <c r="S52" s="24">
        <v>181</v>
      </c>
      <c r="T52" s="24">
        <v>160</v>
      </c>
      <c r="U52" s="24">
        <v>16</v>
      </c>
      <c r="V52" s="24">
        <v>554</v>
      </c>
      <c r="W52" s="27">
        <v>0.3555956678700361</v>
      </c>
      <c r="X52" s="27">
        <v>0.3267148014440433</v>
      </c>
      <c r="Y52" s="27">
        <v>0.28880866425992779</v>
      </c>
      <c r="Z52" s="27">
        <v>2.8880866425992781E-2</v>
      </c>
      <c r="AA52" s="25">
        <v>24.581227436823106</v>
      </c>
      <c r="AB52" s="23">
        <f t="shared" si="5"/>
        <v>0.68411552346570392</v>
      </c>
    </row>
    <row r="53" spans="1:28" x14ac:dyDescent="0.25">
      <c r="A53" s="22">
        <v>20</v>
      </c>
      <c r="B53" s="22" t="s">
        <v>151</v>
      </c>
      <c r="C53" s="22" t="s">
        <v>152</v>
      </c>
      <c r="D53" s="22">
        <v>1</v>
      </c>
      <c r="E53" s="22">
        <v>362</v>
      </c>
      <c r="F53" s="22">
        <v>1</v>
      </c>
      <c r="G53" s="22">
        <v>236</v>
      </c>
      <c r="H53" s="22">
        <v>62</v>
      </c>
      <c r="I53" s="22">
        <v>62</v>
      </c>
      <c r="J53" s="22">
        <v>361</v>
      </c>
      <c r="K53" s="22">
        <v>1</v>
      </c>
      <c r="L53" s="22">
        <f t="shared" si="0"/>
        <v>362</v>
      </c>
      <c r="M53" s="22">
        <v>0</v>
      </c>
      <c r="N53" s="23">
        <f t="shared" si="1"/>
        <v>0.17127071823204421</v>
      </c>
      <c r="O53" s="23">
        <f t="shared" si="2"/>
        <v>0.17127071823204421</v>
      </c>
      <c r="P53" s="23">
        <f t="shared" si="3"/>
        <v>0.65193370165745856</v>
      </c>
      <c r="Q53" s="23">
        <f t="shared" si="4"/>
        <v>2.7624309392265192E-3</v>
      </c>
      <c r="R53" s="24">
        <v>449</v>
      </c>
      <c r="S53" s="24">
        <v>0</v>
      </c>
      <c r="T53" s="24">
        <v>0</v>
      </c>
      <c r="U53" s="24">
        <v>1</v>
      </c>
      <c r="V53" s="24">
        <v>450</v>
      </c>
      <c r="W53" s="27">
        <v>0.99777777777777776</v>
      </c>
      <c r="X53" s="27">
        <v>0</v>
      </c>
      <c r="Y53" s="27">
        <v>0</v>
      </c>
      <c r="Z53" s="27">
        <v>2.2222222222222222E-3</v>
      </c>
      <c r="AA53" s="25">
        <v>60.575555555555553</v>
      </c>
      <c r="AB53" s="23">
        <f t="shared" si="5"/>
        <v>0.80444444444444441</v>
      </c>
    </row>
    <row r="54" spans="1:28" x14ac:dyDescent="0.25">
      <c r="A54" s="22"/>
      <c r="B54" s="22"/>
      <c r="C54" s="22"/>
      <c r="D54" s="22">
        <v>2</v>
      </c>
      <c r="E54" s="22">
        <v>416</v>
      </c>
      <c r="F54" s="22">
        <v>1</v>
      </c>
      <c r="G54" s="22">
        <v>205</v>
      </c>
      <c r="H54" s="22">
        <v>87</v>
      </c>
      <c r="I54" s="22">
        <v>122</v>
      </c>
      <c r="J54" s="22">
        <v>415</v>
      </c>
      <c r="K54" s="22">
        <v>1</v>
      </c>
      <c r="L54" s="22">
        <f t="shared" si="0"/>
        <v>416</v>
      </c>
      <c r="M54" s="22">
        <v>0</v>
      </c>
      <c r="N54" s="23">
        <f t="shared" si="1"/>
        <v>0.20913461538461539</v>
      </c>
      <c r="O54" s="23">
        <f t="shared" si="2"/>
        <v>0.29326923076923078</v>
      </c>
      <c r="P54" s="23">
        <f t="shared" si="3"/>
        <v>0.49278846153846156</v>
      </c>
      <c r="Q54" s="23">
        <f t="shared" si="4"/>
        <v>2.403846153846154E-3</v>
      </c>
      <c r="R54" s="24">
        <v>547</v>
      </c>
      <c r="S54" s="24">
        <v>1</v>
      </c>
      <c r="T54" s="24">
        <v>0</v>
      </c>
      <c r="U54" s="24">
        <v>1</v>
      </c>
      <c r="V54" s="24">
        <v>549</v>
      </c>
      <c r="W54" s="27">
        <v>0.99635701275045541</v>
      </c>
      <c r="X54" s="27">
        <v>1.8214936247723133E-3</v>
      </c>
      <c r="Y54" s="27">
        <v>0</v>
      </c>
      <c r="Z54" s="27">
        <v>1.8214936247723133E-3</v>
      </c>
      <c r="AA54" s="25">
        <v>33.03096539162113</v>
      </c>
      <c r="AB54" s="23">
        <f t="shared" si="5"/>
        <v>0.75774134790528236</v>
      </c>
    </row>
    <row r="55" spans="1:28" x14ac:dyDescent="0.25">
      <c r="A55" s="22">
        <v>21</v>
      </c>
      <c r="B55" s="22" t="s">
        <v>153</v>
      </c>
      <c r="C55" s="22" t="s">
        <v>154</v>
      </c>
      <c r="D55" s="22">
        <v>1</v>
      </c>
      <c r="E55" s="22">
        <v>315</v>
      </c>
      <c r="F55" s="22">
        <v>0</v>
      </c>
      <c r="G55" s="22">
        <v>55</v>
      </c>
      <c r="H55" s="22">
        <v>242</v>
      </c>
      <c r="I55" s="22">
        <v>13</v>
      </c>
      <c r="J55" s="22">
        <v>310</v>
      </c>
      <c r="K55" s="22">
        <v>5</v>
      </c>
      <c r="L55" s="22">
        <f t="shared" si="0"/>
        <v>315</v>
      </c>
      <c r="M55" s="22">
        <v>0</v>
      </c>
      <c r="N55" s="23">
        <f t="shared" si="1"/>
        <v>0.7682539682539683</v>
      </c>
      <c r="O55" s="23">
        <f t="shared" si="2"/>
        <v>4.1269841269841269E-2</v>
      </c>
      <c r="P55" s="23">
        <f t="shared" si="3"/>
        <v>0.17460317460317459</v>
      </c>
      <c r="Q55" s="23">
        <f t="shared" si="4"/>
        <v>0</v>
      </c>
      <c r="R55" s="24">
        <v>51</v>
      </c>
      <c r="S55" s="24">
        <v>375</v>
      </c>
      <c r="T55" s="24">
        <v>24</v>
      </c>
      <c r="U55" s="24">
        <v>0</v>
      </c>
      <c r="V55" s="24">
        <v>450</v>
      </c>
      <c r="W55" s="27">
        <v>0.11333333333333333</v>
      </c>
      <c r="X55" s="27">
        <v>0.83333333333333337</v>
      </c>
      <c r="Y55" s="27">
        <v>5.3333333333333337E-2</v>
      </c>
      <c r="Z55" s="27">
        <v>0</v>
      </c>
      <c r="AA55" s="25">
        <v>70.36888888888889</v>
      </c>
      <c r="AB55" s="23">
        <f t="shared" si="5"/>
        <v>0.7</v>
      </c>
    </row>
    <row r="56" spans="1:28" x14ac:dyDescent="0.25">
      <c r="A56" s="22"/>
      <c r="B56" s="22"/>
      <c r="C56" s="22"/>
      <c r="D56" s="22">
        <v>2</v>
      </c>
      <c r="E56" s="22">
        <v>323</v>
      </c>
      <c r="F56" s="22">
        <v>0</v>
      </c>
      <c r="G56" s="22">
        <v>50</v>
      </c>
      <c r="H56" s="22">
        <v>252</v>
      </c>
      <c r="I56" s="22">
        <v>15</v>
      </c>
      <c r="J56" s="22">
        <v>317</v>
      </c>
      <c r="K56" s="22">
        <v>6</v>
      </c>
      <c r="L56" s="22">
        <f t="shared" si="0"/>
        <v>323</v>
      </c>
      <c r="M56" s="22">
        <v>0</v>
      </c>
      <c r="N56" s="23">
        <f t="shared" si="1"/>
        <v>0.7801857585139319</v>
      </c>
      <c r="O56" s="23">
        <f t="shared" si="2"/>
        <v>4.6439628482972138E-2</v>
      </c>
      <c r="P56" s="23">
        <f t="shared" si="3"/>
        <v>0.15479876160990713</v>
      </c>
      <c r="Q56" s="23">
        <f t="shared" si="4"/>
        <v>0</v>
      </c>
      <c r="R56" s="24">
        <v>67</v>
      </c>
      <c r="S56" s="24">
        <v>365</v>
      </c>
      <c r="T56" s="24">
        <v>17</v>
      </c>
      <c r="U56" s="24">
        <v>1</v>
      </c>
      <c r="V56" s="24">
        <v>450</v>
      </c>
      <c r="W56" s="27">
        <v>0.14888888888888888</v>
      </c>
      <c r="X56" s="27">
        <v>0.81111111111111112</v>
      </c>
      <c r="Y56" s="27">
        <v>3.7777777777777778E-2</v>
      </c>
      <c r="Z56" s="27">
        <v>2.2222222222222222E-3</v>
      </c>
      <c r="AA56" s="25">
        <v>54.897777777777776</v>
      </c>
      <c r="AB56" s="23">
        <f t="shared" si="5"/>
        <v>0.71777777777777774</v>
      </c>
    </row>
    <row r="57" spans="1:28" x14ac:dyDescent="0.25">
      <c r="A57" s="22"/>
      <c r="B57" s="22"/>
      <c r="C57" s="22"/>
      <c r="D57" s="22">
        <v>3</v>
      </c>
      <c r="E57" s="22">
        <v>280</v>
      </c>
      <c r="F57" s="22">
        <v>2</v>
      </c>
      <c r="G57" s="22">
        <v>61</v>
      </c>
      <c r="H57" s="22">
        <v>188</v>
      </c>
      <c r="I57" s="22">
        <v>27</v>
      </c>
      <c r="J57" s="22">
        <v>278</v>
      </c>
      <c r="K57" s="22">
        <v>2</v>
      </c>
      <c r="L57" s="22">
        <f t="shared" si="0"/>
        <v>280</v>
      </c>
      <c r="M57" s="22">
        <v>0</v>
      </c>
      <c r="N57" s="23">
        <f t="shared" si="1"/>
        <v>0.67142857142857137</v>
      </c>
      <c r="O57" s="23">
        <f t="shared" si="2"/>
        <v>9.6428571428571433E-2</v>
      </c>
      <c r="P57" s="23">
        <f t="shared" si="3"/>
        <v>0.21785714285714286</v>
      </c>
      <c r="Q57" s="23">
        <f t="shared" si="4"/>
        <v>7.1428571428571426E-3</v>
      </c>
      <c r="R57" s="24">
        <v>103</v>
      </c>
      <c r="S57" s="24">
        <v>317</v>
      </c>
      <c r="T57" s="24">
        <v>31</v>
      </c>
      <c r="U57" s="24">
        <v>9</v>
      </c>
      <c r="V57" s="24">
        <v>460</v>
      </c>
      <c r="W57" s="27">
        <v>0.22391304347826088</v>
      </c>
      <c r="X57" s="27">
        <v>0.68913043478260871</v>
      </c>
      <c r="Y57" s="27">
        <v>6.7391304347826086E-2</v>
      </c>
      <c r="Z57" s="27">
        <v>1.9565217391304349E-2</v>
      </c>
      <c r="AA57" s="25">
        <v>40.628260869565217</v>
      </c>
      <c r="AB57" s="23">
        <f t="shared" si="5"/>
        <v>0.60869565217391308</v>
      </c>
    </row>
    <row r="58" spans="1:28" x14ac:dyDescent="0.25">
      <c r="A58" s="22"/>
      <c r="B58" s="22"/>
      <c r="C58" s="22"/>
      <c r="D58" s="22">
        <v>4</v>
      </c>
      <c r="E58" s="22">
        <v>293</v>
      </c>
      <c r="F58" s="22">
        <v>1</v>
      </c>
      <c r="G58" s="22">
        <v>66</v>
      </c>
      <c r="H58" s="22">
        <v>181</v>
      </c>
      <c r="I58" s="22">
        <v>45</v>
      </c>
      <c r="J58" s="22">
        <v>293</v>
      </c>
      <c r="K58" s="22">
        <v>0</v>
      </c>
      <c r="L58" s="22">
        <f t="shared" si="0"/>
        <v>293</v>
      </c>
      <c r="M58" s="22">
        <v>0</v>
      </c>
      <c r="N58" s="23">
        <f t="shared" si="1"/>
        <v>0.61774744027303752</v>
      </c>
      <c r="O58" s="23">
        <f t="shared" si="2"/>
        <v>0.15358361774744028</v>
      </c>
      <c r="P58" s="23">
        <f t="shared" si="3"/>
        <v>0.22525597269624573</v>
      </c>
      <c r="Q58" s="23">
        <f t="shared" si="4"/>
        <v>3.4129692832764505E-3</v>
      </c>
      <c r="R58" s="24">
        <v>136</v>
      </c>
      <c r="S58" s="24">
        <v>297</v>
      </c>
      <c r="T58" s="24">
        <v>27</v>
      </c>
      <c r="U58" s="24">
        <v>0</v>
      </c>
      <c r="V58" s="24">
        <v>460</v>
      </c>
      <c r="W58" s="27">
        <v>0.29565217391304349</v>
      </c>
      <c r="X58" s="27">
        <v>0.64565217391304353</v>
      </c>
      <c r="Y58" s="27">
        <v>5.8695652173913045E-2</v>
      </c>
      <c r="Z58" s="27">
        <v>0</v>
      </c>
      <c r="AA58" s="25">
        <v>26.804347826086957</v>
      </c>
      <c r="AB58" s="23">
        <f t="shared" si="5"/>
        <v>0.63695652173913042</v>
      </c>
    </row>
    <row r="59" spans="1:28" x14ac:dyDescent="0.25">
      <c r="A59" s="22">
        <v>22</v>
      </c>
      <c r="B59" s="22" t="s">
        <v>155</v>
      </c>
      <c r="C59" s="22" t="s">
        <v>156</v>
      </c>
      <c r="D59" s="22">
        <v>1</v>
      </c>
      <c r="E59" s="22">
        <v>384</v>
      </c>
      <c r="F59" s="22">
        <v>0</v>
      </c>
      <c r="G59" s="22">
        <v>245</v>
      </c>
      <c r="H59" s="22">
        <v>67</v>
      </c>
      <c r="I59" s="22">
        <v>69</v>
      </c>
      <c r="J59" s="22">
        <v>381</v>
      </c>
      <c r="K59" s="22">
        <v>3</v>
      </c>
      <c r="L59" s="22">
        <f t="shared" si="0"/>
        <v>384</v>
      </c>
      <c r="M59" s="22">
        <v>0</v>
      </c>
      <c r="N59" s="23">
        <f t="shared" si="1"/>
        <v>0.17447916666666666</v>
      </c>
      <c r="O59" s="23">
        <f t="shared" si="2"/>
        <v>0.1796875</v>
      </c>
      <c r="P59" s="23">
        <f t="shared" si="3"/>
        <v>0.63802083333333337</v>
      </c>
      <c r="Q59" s="23">
        <f t="shared" si="4"/>
        <v>0</v>
      </c>
      <c r="R59" s="24">
        <v>332</v>
      </c>
      <c r="S59" s="24">
        <v>2</v>
      </c>
      <c r="T59" s="24">
        <v>0</v>
      </c>
      <c r="U59" s="24">
        <v>116</v>
      </c>
      <c r="V59" s="24">
        <v>450</v>
      </c>
      <c r="W59" s="27">
        <v>0.73777777777777775</v>
      </c>
      <c r="X59" s="27">
        <v>4.4444444444444444E-3</v>
      </c>
      <c r="Y59" s="27">
        <v>0</v>
      </c>
      <c r="Z59" s="27">
        <v>0.25777777777777777</v>
      </c>
      <c r="AA59" s="25">
        <v>58.966666666666669</v>
      </c>
      <c r="AB59" s="23">
        <f t="shared" si="5"/>
        <v>0.85333333333333339</v>
      </c>
    </row>
    <row r="60" spans="1:28" x14ac:dyDescent="0.25">
      <c r="A60" s="22"/>
      <c r="B60" s="22"/>
      <c r="C60" s="22"/>
      <c r="D60" s="22">
        <v>2</v>
      </c>
      <c r="E60" s="22">
        <v>457</v>
      </c>
      <c r="F60" s="22">
        <v>1</v>
      </c>
      <c r="G60" s="22">
        <v>270</v>
      </c>
      <c r="H60" s="22">
        <v>72</v>
      </c>
      <c r="I60" s="22">
        <v>107</v>
      </c>
      <c r="J60" s="22">
        <v>450</v>
      </c>
      <c r="K60" s="22">
        <v>7</v>
      </c>
      <c r="L60" s="22">
        <f t="shared" si="0"/>
        <v>457</v>
      </c>
      <c r="M60" s="22">
        <v>0</v>
      </c>
      <c r="N60" s="23">
        <f t="shared" si="1"/>
        <v>0.1575492341356674</v>
      </c>
      <c r="O60" s="23">
        <f t="shared" si="2"/>
        <v>0.23413566739606126</v>
      </c>
      <c r="P60" s="23">
        <f t="shared" si="3"/>
        <v>0.5908096280087527</v>
      </c>
      <c r="Q60" s="23">
        <f t="shared" si="4"/>
        <v>2.1881838074398249E-3</v>
      </c>
      <c r="R60" s="24">
        <v>421</v>
      </c>
      <c r="S60" s="24">
        <v>1</v>
      </c>
      <c r="T60" s="24">
        <v>25</v>
      </c>
      <c r="U60" s="24">
        <v>144</v>
      </c>
      <c r="V60" s="24">
        <v>591</v>
      </c>
      <c r="W60" s="27">
        <v>0.71235194585448391</v>
      </c>
      <c r="X60" s="27">
        <v>1.6920473773265651E-3</v>
      </c>
      <c r="Y60" s="27">
        <v>4.2301184433164128E-2</v>
      </c>
      <c r="Z60" s="27">
        <v>0.24365482233502539</v>
      </c>
      <c r="AA60" s="25">
        <v>30.375634517766496</v>
      </c>
      <c r="AB60" s="23">
        <f t="shared" si="5"/>
        <v>0.77326565143824022</v>
      </c>
    </row>
    <row r="61" spans="1:28" x14ac:dyDescent="0.25">
      <c r="A61" s="22">
        <v>23</v>
      </c>
      <c r="B61" s="22" t="s">
        <v>157</v>
      </c>
      <c r="C61" s="22" t="s">
        <v>158</v>
      </c>
      <c r="D61" s="22">
        <v>1</v>
      </c>
      <c r="E61" s="22">
        <v>321</v>
      </c>
      <c r="F61" s="22">
        <v>5</v>
      </c>
      <c r="G61" s="22">
        <v>190</v>
      </c>
      <c r="H61" s="22">
        <v>92</v>
      </c>
      <c r="I61" s="22">
        <v>28</v>
      </c>
      <c r="J61" s="22">
        <v>315</v>
      </c>
      <c r="K61" s="22">
        <v>6</v>
      </c>
      <c r="L61" s="22">
        <f t="shared" si="0"/>
        <v>321</v>
      </c>
      <c r="M61" s="22">
        <v>0</v>
      </c>
      <c r="N61" s="23">
        <f t="shared" si="1"/>
        <v>0.28660436137071649</v>
      </c>
      <c r="O61" s="23">
        <f t="shared" si="2"/>
        <v>8.7227414330218064E-2</v>
      </c>
      <c r="P61" s="23">
        <f t="shared" si="3"/>
        <v>0.59190031152647971</v>
      </c>
      <c r="Q61" s="23">
        <f t="shared" si="4"/>
        <v>1.5576323987538941E-2</v>
      </c>
      <c r="R61" s="24">
        <v>215</v>
      </c>
      <c r="S61" s="24">
        <v>149</v>
      </c>
      <c r="T61" s="24">
        <v>12</v>
      </c>
      <c r="U61" s="24">
        <v>59</v>
      </c>
      <c r="V61" s="24">
        <v>435</v>
      </c>
      <c r="W61" s="27">
        <v>0.4942528735632184</v>
      </c>
      <c r="X61" s="27">
        <v>0.34252873563218389</v>
      </c>
      <c r="Y61" s="27">
        <v>2.7586206896551724E-2</v>
      </c>
      <c r="Z61" s="27">
        <v>0.13563218390804599</v>
      </c>
      <c r="AA61" s="25">
        <v>64.073563218390802</v>
      </c>
      <c r="AB61" s="23">
        <f t="shared" si="5"/>
        <v>0.73793103448275865</v>
      </c>
    </row>
    <row r="62" spans="1:28" x14ac:dyDescent="0.25">
      <c r="A62" s="22"/>
      <c r="B62" s="22"/>
      <c r="C62" s="22"/>
      <c r="D62" s="22">
        <v>2</v>
      </c>
      <c r="E62" s="22">
        <v>291</v>
      </c>
      <c r="F62" s="22">
        <v>2</v>
      </c>
      <c r="G62" s="22">
        <v>162</v>
      </c>
      <c r="H62" s="22">
        <v>80</v>
      </c>
      <c r="I62" s="22">
        <v>41</v>
      </c>
      <c r="J62" s="22">
        <v>285</v>
      </c>
      <c r="K62" s="22">
        <v>6</v>
      </c>
      <c r="L62" s="22">
        <f t="shared" si="0"/>
        <v>291</v>
      </c>
      <c r="M62" s="22">
        <v>0</v>
      </c>
      <c r="N62" s="23">
        <f t="shared" si="1"/>
        <v>0.27491408934707906</v>
      </c>
      <c r="O62" s="23">
        <f t="shared" si="2"/>
        <v>0.14089347079037801</v>
      </c>
      <c r="P62" s="23">
        <f t="shared" si="3"/>
        <v>0.55670103092783507</v>
      </c>
      <c r="Q62" s="23">
        <f t="shared" si="4"/>
        <v>6.8728522336769758E-3</v>
      </c>
      <c r="R62" s="24">
        <v>181</v>
      </c>
      <c r="S62" s="24">
        <v>99</v>
      </c>
      <c r="T62" s="24">
        <v>11</v>
      </c>
      <c r="U62" s="24">
        <v>145</v>
      </c>
      <c r="V62" s="24">
        <v>436</v>
      </c>
      <c r="W62" s="27">
        <v>0.41513761467889909</v>
      </c>
      <c r="X62" s="27">
        <v>0.22706422018348624</v>
      </c>
      <c r="Y62" s="27">
        <v>2.5229357798165139E-2</v>
      </c>
      <c r="Z62" s="27">
        <v>0.33256880733944955</v>
      </c>
      <c r="AA62" s="25">
        <v>41.871559633027523</v>
      </c>
      <c r="AB62" s="23">
        <f t="shared" si="5"/>
        <v>0.66743119266055051</v>
      </c>
    </row>
    <row r="63" spans="1:28" x14ac:dyDescent="0.25">
      <c r="A63" s="22"/>
      <c r="B63" s="22"/>
      <c r="C63" s="22"/>
      <c r="D63" s="22">
        <v>3</v>
      </c>
      <c r="E63" s="22">
        <v>263</v>
      </c>
      <c r="F63" s="22">
        <v>0</v>
      </c>
      <c r="G63" s="22">
        <v>148</v>
      </c>
      <c r="H63" s="22">
        <v>67</v>
      </c>
      <c r="I63" s="22">
        <v>36</v>
      </c>
      <c r="J63" s="22">
        <v>251</v>
      </c>
      <c r="K63" s="22">
        <v>12</v>
      </c>
      <c r="L63" s="22">
        <f t="shared" si="0"/>
        <v>263</v>
      </c>
      <c r="M63" s="22">
        <v>0</v>
      </c>
      <c r="N63" s="23">
        <f t="shared" si="1"/>
        <v>0.25475285171102663</v>
      </c>
      <c r="O63" s="23">
        <f t="shared" si="2"/>
        <v>0.13688212927756654</v>
      </c>
      <c r="P63" s="23">
        <f t="shared" si="3"/>
        <v>0.56273764258555137</v>
      </c>
      <c r="Q63" s="23">
        <f t="shared" si="4"/>
        <v>0</v>
      </c>
      <c r="R63" s="24">
        <v>261</v>
      </c>
      <c r="S63" s="24">
        <v>89</v>
      </c>
      <c r="T63" s="24">
        <v>28</v>
      </c>
      <c r="U63" s="24">
        <v>58</v>
      </c>
      <c r="V63" s="24">
        <v>436</v>
      </c>
      <c r="W63" s="27">
        <v>0.59862385321100919</v>
      </c>
      <c r="X63" s="27">
        <v>0.20412844036697247</v>
      </c>
      <c r="Y63" s="27">
        <v>6.4220183486238536E-2</v>
      </c>
      <c r="Z63" s="27">
        <v>0.13302752293577982</v>
      </c>
      <c r="AA63" s="25">
        <v>26.194954128440369</v>
      </c>
      <c r="AB63" s="23">
        <f t="shared" si="5"/>
        <v>0.60321100917431192</v>
      </c>
    </row>
    <row r="64" spans="1:28" x14ac:dyDescent="0.25">
      <c r="A64" s="22">
        <v>24</v>
      </c>
      <c r="B64" s="22" t="s">
        <v>159</v>
      </c>
      <c r="C64" s="22" t="s">
        <v>160</v>
      </c>
      <c r="D64" s="22">
        <v>1</v>
      </c>
      <c r="E64" s="22">
        <v>359</v>
      </c>
      <c r="F64" s="22">
        <v>6</v>
      </c>
      <c r="G64" s="22">
        <v>250</v>
      </c>
      <c r="H64" s="22">
        <v>50</v>
      </c>
      <c r="I64" s="22">
        <v>42</v>
      </c>
      <c r="J64" s="22">
        <v>348</v>
      </c>
      <c r="K64" s="22">
        <v>11</v>
      </c>
      <c r="L64" s="22">
        <f t="shared" si="0"/>
        <v>359</v>
      </c>
      <c r="M64" s="22">
        <v>0</v>
      </c>
      <c r="N64" s="23">
        <f t="shared" si="1"/>
        <v>0.1392757660167131</v>
      </c>
      <c r="O64" s="23">
        <f t="shared" si="2"/>
        <v>0.11699164345403899</v>
      </c>
      <c r="P64" s="23">
        <f t="shared" si="3"/>
        <v>0.69637883008356549</v>
      </c>
      <c r="Q64" s="23">
        <f t="shared" si="4"/>
        <v>1.6713091922005572E-2</v>
      </c>
      <c r="R64" s="24">
        <v>372</v>
      </c>
      <c r="S64" s="24">
        <v>26</v>
      </c>
      <c r="T64" s="24">
        <v>51</v>
      </c>
      <c r="U64" s="24">
        <v>1</v>
      </c>
      <c r="V64" s="24">
        <v>450</v>
      </c>
      <c r="W64" s="27">
        <v>0.82666666666666666</v>
      </c>
      <c r="X64" s="27">
        <v>5.7777777777777775E-2</v>
      </c>
      <c r="Y64" s="27">
        <v>0.11333333333333333</v>
      </c>
      <c r="Z64" s="27">
        <v>2.2222222222222222E-3</v>
      </c>
      <c r="AA64" s="25">
        <v>68.044444444444451</v>
      </c>
      <c r="AB64" s="23">
        <f t="shared" si="5"/>
        <v>0.79777777777777781</v>
      </c>
    </row>
    <row r="65" spans="1:28" x14ac:dyDescent="0.25">
      <c r="A65" s="22"/>
      <c r="B65" s="22"/>
      <c r="C65" s="22"/>
      <c r="D65" s="22">
        <v>2</v>
      </c>
      <c r="E65" s="22">
        <v>364</v>
      </c>
      <c r="F65" s="22">
        <v>1</v>
      </c>
      <c r="G65" s="22">
        <v>235</v>
      </c>
      <c r="H65" s="22">
        <v>61</v>
      </c>
      <c r="I65" s="22">
        <v>61</v>
      </c>
      <c r="J65" s="22">
        <v>358</v>
      </c>
      <c r="K65" s="22">
        <v>6</v>
      </c>
      <c r="L65" s="22">
        <f t="shared" si="0"/>
        <v>364</v>
      </c>
      <c r="M65" s="22">
        <v>0</v>
      </c>
      <c r="N65" s="23">
        <f t="shared" si="1"/>
        <v>0.16758241758241757</v>
      </c>
      <c r="O65" s="23">
        <f t="shared" si="2"/>
        <v>0.16758241758241757</v>
      </c>
      <c r="P65" s="23">
        <f t="shared" si="3"/>
        <v>0.64560439560439564</v>
      </c>
      <c r="Q65" s="23">
        <f t="shared" si="4"/>
        <v>2.7472527472527475E-3</v>
      </c>
      <c r="R65" s="24">
        <v>365</v>
      </c>
      <c r="S65" s="24">
        <v>21</v>
      </c>
      <c r="T65" s="24">
        <v>63</v>
      </c>
      <c r="U65" s="24">
        <v>1</v>
      </c>
      <c r="V65" s="24">
        <v>450</v>
      </c>
      <c r="W65" s="27">
        <v>0.81111111111111112</v>
      </c>
      <c r="X65" s="27">
        <v>4.6666666666666669E-2</v>
      </c>
      <c r="Y65" s="27">
        <v>0.14000000000000001</v>
      </c>
      <c r="Z65" s="27">
        <v>2.2222222222222222E-3</v>
      </c>
      <c r="AA65" s="25">
        <v>57.202222222222225</v>
      </c>
      <c r="AB65" s="23">
        <f t="shared" si="5"/>
        <v>0.80888888888888888</v>
      </c>
    </row>
    <row r="66" spans="1:28" x14ac:dyDescent="0.25">
      <c r="A66" s="22"/>
      <c r="B66" s="22"/>
      <c r="C66" s="22"/>
      <c r="D66" s="22">
        <v>3</v>
      </c>
      <c r="E66" s="22">
        <v>447</v>
      </c>
      <c r="F66" s="22">
        <v>3</v>
      </c>
      <c r="G66" s="22">
        <v>218</v>
      </c>
      <c r="H66" s="22">
        <v>60</v>
      </c>
      <c r="I66" s="22">
        <v>165</v>
      </c>
      <c r="J66" s="22">
        <v>446</v>
      </c>
      <c r="K66" s="22">
        <v>1</v>
      </c>
      <c r="L66" s="22">
        <f t="shared" si="0"/>
        <v>447</v>
      </c>
      <c r="M66" s="22">
        <v>0</v>
      </c>
      <c r="N66" s="23">
        <f t="shared" si="1"/>
        <v>0.13422818791946309</v>
      </c>
      <c r="O66" s="23">
        <f t="shared" si="2"/>
        <v>0.36912751677852351</v>
      </c>
      <c r="P66" s="23">
        <f t="shared" si="3"/>
        <v>0.48769574944071586</v>
      </c>
      <c r="Q66" s="23">
        <f t="shared" si="4"/>
        <v>6.7114093959731542E-3</v>
      </c>
      <c r="R66" s="24">
        <v>562</v>
      </c>
      <c r="S66" s="24">
        <v>24</v>
      </c>
      <c r="T66" s="24">
        <v>42</v>
      </c>
      <c r="U66" s="24">
        <v>0</v>
      </c>
      <c r="V66" s="24">
        <v>628</v>
      </c>
      <c r="W66" s="27">
        <v>0.89490445859872614</v>
      </c>
      <c r="X66" s="27">
        <v>3.8216560509554139E-2</v>
      </c>
      <c r="Y66" s="27">
        <v>6.6878980891719744E-2</v>
      </c>
      <c r="Z66" s="27">
        <v>0</v>
      </c>
      <c r="AA66" s="25">
        <v>42.366242038216562</v>
      </c>
      <c r="AB66" s="23">
        <f t="shared" si="5"/>
        <v>0.71178343949044587</v>
      </c>
    </row>
    <row r="67" spans="1:28" x14ac:dyDescent="0.25">
      <c r="A67" s="22"/>
      <c r="B67" s="22"/>
      <c r="C67" s="22"/>
      <c r="D67" s="22">
        <v>4</v>
      </c>
      <c r="E67" s="22">
        <v>438</v>
      </c>
      <c r="F67" s="22">
        <v>1</v>
      </c>
      <c r="G67" s="22">
        <v>198</v>
      </c>
      <c r="H67" s="22">
        <v>46</v>
      </c>
      <c r="I67" s="22">
        <v>187</v>
      </c>
      <c r="J67" s="22">
        <v>432</v>
      </c>
      <c r="K67" s="22">
        <v>6</v>
      </c>
      <c r="L67" s="22">
        <f t="shared" ref="L67:L121" si="6">K67+J67</f>
        <v>438</v>
      </c>
      <c r="M67" s="22">
        <v>0</v>
      </c>
      <c r="N67" s="23">
        <f t="shared" ref="N67:N121" si="7">H67/L67</f>
        <v>0.1050228310502283</v>
      </c>
      <c r="O67" s="23">
        <f t="shared" ref="O67:O121" si="8">I67/L67</f>
        <v>0.4269406392694064</v>
      </c>
      <c r="P67" s="23">
        <f t="shared" ref="P67:P121" si="9">G67/L67</f>
        <v>0.45205479452054792</v>
      </c>
      <c r="Q67" s="23">
        <f t="shared" ref="Q67:Q121" si="10">F67/L67</f>
        <v>2.2831050228310501E-3</v>
      </c>
      <c r="R67" s="24">
        <v>580</v>
      </c>
      <c r="S67" s="24">
        <v>17</v>
      </c>
      <c r="T67" s="24">
        <v>31</v>
      </c>
      <c r="U67" s="24">
        <v>1</v>
      </c>
      <c r="V67" s="24">
        <v>629</v>
      </c>
      <c r="W67" s="27">
        <v>0.92209856915739263</v>
      </c>
      <c r="X67" s="27">
        <v>2.7027027027027029E-2</v>
      </c>
      <c r="Y67" s="27">
        <v>4.9284578696343402E-2</v>
      </c>
      <c r="Z67" s="27">
        <v>1.589825119236884E-3</v>
      </c>
      <c r="AA67" s="25">
        <v>35.658187599364069</v>
      </c>
      <c r="AB67" s="23">
        <f t="shared" ref="AB67:AB121" si="11">L67/V67</f>
        <v>0.69634340222575519</v>
      </c>
    </row>
    <row r="68" spans="1:28" x14ac:dyDescent="0.25">
      <c r="A68" s="22"/>
      <c r="B68" s="22"/>
      <c r="C68" s="22"/>
      <c r="D68" s="22">
        <v>5</v>
      </c>
      <c r="E68" s="22">
        <v>445</v>
      </c>
      <c r="F68" s="22">
        <v>1</v>
      </c>
      <c r="G68" s="22">
        <v>209</v>
      </c>
      <c r="H68" s="22">
        <v>60</v>
      </c>
      <c r="I68" s="22">
        <v>172</v>
      </c>
      <c r="J68" s="22">
        <v>442</v>
      </c>
      <c r="K68" s="22">
        <v>3</v>
      </c>
      <c r="L68" s="22">
        <f t="shared" si="6"/>
        <v>445</v>
      </c>
      <c r="M68" s="22">
        <v>0</v>
      </c>
      <c r="N68" s="23">
        <f t="shared" si="7"/>
        <v>0.1348314606741573</v>
      </c>
      <c r="O68" s="23">
        <f t="shared" si="8"/>
        <v>0.38651685393258428</v>
      </c>
      <c r="P68" s="23">
        <f t="shared" si="9"/>
        <v>0.46966292134831461</v>
      </c>
      <c r="Q68" s="23">
        <f t="shared" si="10"/>
        <v>2.2471910112359553E-3</v>
      </c>
      <c r="R68" s="24">
        <v>536</v>
      </c>
      <c r="S68" s="24">
        <v>20</v>
      </c>
      <c r="T68" s="24">
        <v>73</v>
      </c>
      <c r="U68" s="24">
        <v>0</v>
      </c>
      <c r="V68" s="24">
        <v>629</v>
      </c>
      <c r="W68" s="27">
        <v>0.85214626391096981</v>
      </c>
      <c r="X68" s="27">
        <v>3.1796502384737677E-2</v>
      </c>
      <c r="Y68" s="27">
        <v>0.11605723370429252</v>
      </c>
      <c r="Z68" s="27">
        <v>0</v>
      </c>
      <c r="AA68" s="25">
        <v>24.93799682034976</v>
      </c>
      <c r="AB68" s="23">
        <f t="shared" si="11"/>
        <v>0.7074721780604134</v>
      </c>
    </row>
    <row r="69" spans="1:28" x14ac:dyDescent="0.25">
      <c r="A69" s="22">
        <v>25</v>
      </c>
      <c r="B69" s="22" t="s">
        <v>161</v>
      </c>
      <c r="C69" s="22" t="s">
        <v>162</v>
      </c>
      <c r="D69" s="22">
        <v>1</v>
      </c>
      <c r="E69" s="22">
        <v>401</v>
      </c>
      <c r="F69" s="22">
        <v>3</v>
      </c>
      <c r="G69" s="22">
        <v>280</v>
      </c>
      <c r="H69" s="22">
        <v>45</v>
      </c>
      <c r="I69" s="22">
        <v>67</v>
      </c>
      <c r="J69" s="22">
        <v>395</v>
      </c>
      <c r="K69" s="22">
        <v>6</v>
      </c>
      <c r="L69" s="22">
        <f t="shared" si="6"/>
        <v>401</v>
      </c>
      <c r="M69" s="22">
        <v>0</v>
      </c>
      <c r="N69" s="23">
        <f t="shared" si="7"/>
        <v>0.11221945137157108</v>
      </c>
      <c r="O69" s="23">
        <f t="shared" si="8"/>
        <v>0.16708229426433915</v>
      </c>
      <c r="P69" s="23">
        <f t="shared" si="9"/>
        <v>0.69825436408977559</v>
      </c>
      <c r="Q69" s="23">
        <f t="shared" si="10"/>
        <v>7.481296758104738E-3</v>
      </c>
      <c r="R69" s="24">
        <v>407</v>
      </c>
      <c r="S69" s="24">
        <v>12</v>
      </c>
      <c r="T69" s="24">
        <v>30</v>
      </c>
      <c r="U69" s="24">
        <v>1</v>
      </c>
      <c r="V69" s="24">
        <v>450</v>
      </c>
      <c r="W69" s="27">
        <v>0.9044444444444445</v>
      </c>
      <c r="X69" s="27">
        <v>2.6666666666666668E-2</v>
      </c>
      <c r="Y69" s="27">
        <v>6.6666666666666666E-2</v>
      </c>
      <c r="Z69" s="27">
        <v>2.2222222222222222E-3</v>
      </c>
      <c r="AA69" s="25">
        <v>58.633333333333333</v>
      </c>
      <c r="AB69" s="23">
        <f t="shared" si="11"/>
        <v>0.89111111111111108</v>
      </c>
    </row>
    <row r="70" spans="1:28" x14ac:dyDescent="0.25">
      <c r="A70" s="22"/>
      <c r="B70" s="22"/>
      <c r="C70" s="22"/>
      <c r="D70" s="22">
        <v>2</v>
      </c>
      <c r="E70" s="22">
        <v>523</v>
      </c>
      <c r="F70" s="22">
        <v>3</v>
      </c>
      <c r="G70" s="22">
        <v>263</v>
      </c>
      <c r="H70" s="22">
        <v>53</v>
      </c>
      <c r="I70" s="22">
        <v>201</v>
      </c>
      <c r="J70" s="22">
        <v>520</v>
      </c>
      <c r="K70" s="22">
        <v>3</v>
      </c>
      <c r="L70" s="22">
        <f t="shared" si="6"/>
        <v>523</v>
      </c>
      <c r="M70" s="22">
        <v>0</v>
      </c>
      <c r="N70" s="23">
        <f t="shared" si="7"/>
        <v>0.10133843212237094</v>
      </c>
      <c r="O70" s="23">
        <f t="shared" si="8"/>
        <v>0.384321223709369</v>
      </c>
      <c r="P70" s="23">
        <f t="shared" si="9"/>
        <v>0.50286806883365198</v>
      </c>
      <c r="Q70" s="23">
        <f t="shared" si="10"/>
        <v>5.7361376673040155E-3</v>
      </c>
      <c r="R70" s="24">
        <v>660</v>
      </c>
      <c r="S70" s="24">
        <v>19</v>
      </c>
      <c r="T70" s="24">
        <v>20</v>
      </c>
      <c r="U70" s="24">
        <v>1</v>
      </c>
      <c r="V70" s="24">
        <v>700</v>
      </c>
      <c r="W70" s="27">
        <v>0.94285714285714284</v>
      </c>
      <c r="X70" s="27">
        <v>2.7142857142857142E-2</v>
      </c>
      <c r="Y70" s="27">
        <v>2.8571428571428571E-2</v>
      </c>
      <c r="Z70" s="27">
        <v>1.4285714285714286E-3</v>
      </c>
      <c r="AA70" s="25">
        <v>33.274285714285718</v>
      </c>
      <c r="AB70" s="23">
        <f t="shared" si="11"/>
        <v>0.74714285714285711</v>
      </c>
    </row>
    <row r="71" spans="1:28" x14ac:dyDescent="0.25">
      <c r="A71" s="22">
        <v>26</v>
      </c>
      <c r="B71" s="22" t="s">
        <v>163</v>
      </c>
      <c r="C71" s="22" t="s">
        <v>164</v>
      </c>
      <c r="D71" s="22">
        <v>1</v>
      </c>
      <c r="E71" s="22">
        <v>394</v>
      </c>
      <c r="F71" s="22">
        <v>2</v>
      </c>
      <c r="G71" s="22">
        <v>301</v>
      </c>
      <c r="H71" s="22">
        <v>20</v>
      </c>
      <c r="I71" s="22">
        <v>61</v>
      </c>
      <c r="J71" s="22">
        <v>384</v>
      </c>
      <c r="K71" s="22">
        <v>10</v>
      </c>
      <c r="L71" s="22">
        <f t="shared" si="6"/>
        <v>394</v>
      </c>
      <c r="M71" s="22">
        <v>0</v>
      </c>
      <c r="N71" s="23">
        <f t="shared" si="7"/>
        <v>5.0761421319796954E-2</v>
      </c>
      <c r="O71" s="23">
        <f t="shared" si="8"/>
        <v>0.1548223350253807</v>
      </c>
      <c r="P71" s="23">
        <f t="shared" si="9"/>
        <v>0.76395939086294418</v>
      </c>
      <c r="Q71" s="23">
        <f t="shared" si="10"/>
        <v>5.076142131979695E-3</v>
      </c>
      <c r="R71" s="24">
        <v>438</v>
      </c>
      <c r="S71" s="24">
        <v>0</v>
      </c>
      <c r="T71" s="24">
        <v>11</v>
      </c>
      <c r="U71" s="24">
        <v>1</v>
      </c>
      <c r="V71" s="24">
        <v>450</v>
      </c>
      <c r="W71" s="27">
        <v>0.97333333333333338</v>
      </c>
      <c r="X71" s="27">
        <v>0</v>
      </c>
      <c r="Y71" s="27">
        <v>2.4444444444444446E-2</v>
      </c>
      <c r="Z71" s="27">
        <v>2.2222222222222222E-3</v>
      </c>
      <c r="AA71" s="25">
        <v>63.44</v>
      </c>
      <c r="AB71" s="23">
        <f t="shared" si="11"/>
        <v>0.87555555555555553</v>
      </c>
    </row>
    <row r="72" spans="1:28" x14ac:dyDescent="0.25">
      <c r="A72" s="22"/>
      <c r="B72" s="22"/>
      <c r="C72" s="22"/>
      <c r="D72" s="22">
        <v>2</v>
      </c>
      <c r="E72" s="22">
        <v>393</v>
      </c>
      <c r="F72" s="22">
        <v>2</v>
      </c>
      <c r="G72" s="22">
        <v>278</v>
      </c>
      <c r="H72" s="22">
        <v>29</v>
      </c>
      <c r="I72" s="22">
        <v>68</v>
      </c>
      <c r="J72" s="22">
        <v>377</v>
      </c>
      <c r="K72" s="22">
        <v>16</v>
      </c>
      <c r="L72" s="22">
        <f t="shared" si="6"/>
        <v>393</v>
      </c>
      <c r="M72" s="22">
        <v>0</v>
      </c>
      <c r="N72" s="23">
        <f t="shared" si="7"/>
        <v>7.3791348600508899E-2</v>
      </c>
      <c r="O72" s="23">
        <f t="shared" si="8"/>
        <v>0.17302798982188294</v>
      </c>
      <c r="P72" s="23">
        <f t="shared" si="9"/>
        <v>0.70737913486005088</v>
      </c>
      <c r="Q72" s="23">
        <f t="shared" si="10"/>
        <v>5.0890585241730284E-3</v>
      </c>
      <c r="R72" s="24">
        <v>436</v>
      </c>
      <c r="S72" s="24">
        <v>1</v>
      </c>
      <c r="T72" s="24">
        <v>13</v>
      </c>
      <c r="U72" s="24">
        <v>0</v>
      </c>
      <c r="V72" s="24">
        <v>450</v>
      </c>
      <c r="W72" s="27">
        <v>0.96888888888888891</v>
      </c>
      <c r="X72" s="27">
        <v>2.2222222222222222E-3</v>
      </c>
      <c r="Y72" s="27">
        <v>2.8888888888888888E-2</v>
      </c>
      <c r="Z72" s="27">
        <v>0</v>
      </c>
      <c r="AA72" s="25">
        <v>58.371111111111112</v>
      </c>
      <c r="AB72" s="23">
        <f t="shared" si="11"/>
        <v>0.87333333333333329</v>
      </c>
    </row>
    <row r="73" spans="1:28" x14ac:dyDescent="0.25">
      <c r="A73" s="22"/>
      <c r="B73" s="22"/>
      <c r="C73" s="22"/>
      <c r="D73" s="22">
        <v>3</v>
      </c>
      <c r="E73" s="22">
        <v>467</v>
      </c>
      <c r="F73" s="22">
        <v>6</v>
      </c>
      <c r="G73" s="22">
        <v>267</v>
      </c>
      <c r="H73" s="22">
        <v>43</v>
      </c>
      <c r="I73" s="22">
        <v>150</v>
      </c>
      <c r="J73" s="22">
        <v>466</v>
      </c>
      <c r="K73" s="22">
        <v>1</v>
      </c>
      <c r="L73" s="22">
        <f t="shared" si="6"/>
        <v>467</v>
      </c>
      <c r="M73" s="22">
        <v>0</v>
      </c>
      <c r="N73" s="23">
        <f t="shared" si="7"/>
        <v>9.2077087794432549E-2</v>
      </c>
      <c r="O73" s="23">
        <f t="shared" si="8"/>
        <v>0.32119914346895073</v>
      </c>
      <c r="P73" s="23">
        <f t="shared" si="9"/>
        <v>0.57173447537473232</v>
      </c>
      <c r="Q73" s="23">
        <f t="shared" si="10"/>
        <v>1.284796573875803E-2</v>
      </c>
      <c r="R73" s="24">
        <v>620</v>
      </c>
      <c r="S73" s="24">
        <v>0</v>
      </c>
      <c r="T73" s="24">
        <v>16</v>
      </c>
      <c r="U73" s="24">
        <v>0</v>
      </c>
      <c r="V73" s="24">
        <v>636</v>
      </c>
      <c r="W73" s="27">
        <v>0.97484276729559749</v>
      </c>
      <c r="X73" s="27">
        <v>0</v>
      </c>
      <c r="Y73" s="27">
        <v>2.5157232704402517E-2</v>
      </c>
      <c r="Z73" s="27">
        <v>0</v>
      </c>
      <c r="AA73" s="25">
        <v>40.446540880503143</v>
      </c>
      <c r="AB73" s="23">
        <f t="shared" si="11"/>
        <v>0.73427672955974843</v>
      </c>
    </row>
    <row r="74" spans="1:28" x14ac:dyDescent="0.25">
      <c r="A74" s="22"/>
      <c r="B74" s="22"/>
      <c r="C74" s="22"/>
      <c r="D74" s="22">
        <v>4</v>
      </c>
      <c r="E74" s="22">
        <v>461</v>
      </c>
      <c r="F74" s="22">
        <v>2</v>
      </c>
      <c r="G74" s="22">
        <v>246</v>
      </c>
      <c r="H74" s="22">
        <v>22</v>
      </c>
      <c r="I74" s="22">
        <v>188</v>
      </c>
      <c r="J74" s="22">
        <v>458</v>
      </c>
      <c r="K74" s="22">
        <v>3</v>
      </c>
      <c r="L74" s="22">
        <f t="shared" si="6"/>
        <v>461</v>
      </c>
      <c r="M74" s="22">
        <v>0</v>
      </c>
      <c r="N74" s="23">
        <f t="shared" si="7"/>
        <v>4.7722342733188719E-2</v>
      </c>
      <c r="O74" s="23">
        <f t="shared" si="8"/>
        <v>0.40780911062906722</v>
      </c>
      <c r="P74" s="23">
        <f t="shared" si="9"/>
        <v>0.53362255965292837</v>
      </c>
      <c r="Q74" s="23">
        <f t="shared" si="10"/>
        <v>4.3383947939262474E-3</v>
      </c>
      <c r="R74" s="24">
        <v>634</v>
      </c>
      <c r="S74" s="24">
        <v>1</v>
      </c>
      <c r="T74" s="24">
        <v>2</v>
      </c>
      <c r="U74" s="24">
        <v>0</v>
      </c>
      <c r="V74" s="24">
        <v>637</v>
      </c>
      <c r="W74" s="27">
        <v>0.9952904238618524</v>
      </c>
      <c r="X74" s="27">
        <v>1.5698587127158557E-3</v>
      </c>
      <c r="Y74" s="27">
        <v>3.1397174254317113E-3</v>
      </c>
      <c r="Z74" s="27">
        <v>0</v>
      </c>
      <c r="AA74" s="25">
        <v>34.340659340659343</v>
      </c>
      <c r="AB74" s="23">
        <f t="shared" si="11"/>
        <v>0.72370486656200939</v>
      </c>
    </row>
    <row r="75" spans="1:28" x14ac:dyDescent="0.25">
      <c r="A75" s="22"/>
      <c r="B75" s="22"/>
      <c r="C75" s="22"/>
      <c r="D75" s="22">
        <v>5</v>
      </c>
      <c r="E75" s="22">
        <v>486</v>
      </c>
      <c r="F75" s="22">
        <v>0</v>
      </c>
      <c r="G75" s="22">
        <v>281</v>
      </c>
      <c r="H75" s="22">
        <v>34</v>
      </c>
      <c r="I75" s="22">
        <v>171</v>
      </c>
      <c r="J75" s="22">
        <v>486</v>
      </c>
      <c r="K75" s="22">
        <v>0</v>
      </c>
      <c r="L75" s="22">
        <f t="shared" si="6"/>
        <v>486</v>
      </c>
      <c r="M75" s="22">
        <v>0</v>
      </c>
      <c r="N75" s="23">
        <f t="shared" si="7"/>
        <v>6.9958847736625515E-2</v>
      </c>
      <c r="O75" s="23">
        <f t="shared" si="8"/>
        <v>0.35185185185185186</v>
      </c>
      <c r="P75" s="23">
        <f t="shared" si="9"/>
        <v>0.57818930041152261</v>
      </c>
      <c r="Q75" s="23">
        <f t="shared" si="10"/>
        <v>0</v>
      </c>
      <c r="R75" s="24">
        <v>623</v>
      </c>
      <c r="S75" s="24">
        <v>0</v>
      </c>
      <c r="T75" s="24">
        <v>14</v>
      </c>
      <c r="U75" s="24">
        <v>0</v>
      </c>
      <c r="V75" s="24">
        <v>637</v>
      </c>
      <c r="W75" s="27">
        <v>0.97802197802197799</v>
      </c>
      <c r="X75" s="27">
        <v>0</v>
      </c>
      <c r="Y75" s="27">
        <v>2.197802197802198E-2</v>
      </c>
      <c r="Z75" s="27">
        <v>0</v>
      </c>
      <c r="AA75" s="25">
        <v>25.536891679748823</v>
      </c>
      <c r="AB75" s="23">
        <f t="shared" si="11"/>
        <v>0.76295133437990581</v>
      </c>
    </row>
    <row r="76" spans="1:28" x14ac:dyDescent="0.25">
      <c r="A76" s="22">
        <v>27</v>
      </c>
      <c r="B76" s="22" t="s">
        <v>165</v>
      </c>
      <c r="C76" s="22" t="s">
        <v>166</v>
      </c>
      <c r="D76" s="22">
        <v>1</v>
      </c>
      <c r="E76" s="22">
        <v>177</v>
      </c>
      <c r="F76" s="22">
        <v>0</v>
      </c>
      <c r="G76" s="22">
        <v>84</v>
      </c>
      <c r="H76" s="22">
        <v>12</v>
      </c>
      <c r="I76" s="22">
        <v>80</v>
      </c>
      <c r="J76" s="22">
        <v>176</v>
      </c>
      <c r="K76" s="22">
        <v>1</v>
      </c>
      <c r="L76" s="22">
        <f t="shared" si="6"/>
        <v>177</v>
      </c>
      <c r="M76" s="22">
        <v>0</v>
      </c>
      <c r="N76" s="23">
        <f t="shared" si="7"/>
        <v>6.7796610169491525E-2</v>
      </c>
      <c r="O76" s="23">
        <f t="shared" si="8"/>
        <v>0.4519774011299435</v>
      </c>
      <c r="P76" s="23">
        <f t="shared" si="9"/>
        <v>0.47457627118644069</v>
      </c>
      <c r="Q76" s="23">
        <f t="shared" si="10"/>
        <v>0</v>
      </c>
      <c r="R76" s="24">
        <v>294</v>
      </c>
      <c r="S76" s="24">
        <v>0</v>
      </c>
      <c r="T76" s="24">
        <v>11</v>
      </c>
      <c r="U76" s="24">
        <v>10</v>
      </c>
      <c r="V76" s="24">
        <v>315</v>
      </c>
      <c r="W76" s="27">
        <v>0.93333333333333335</v>
      </c>
      <c r="X76" s="27">
        <v>0</v>
      </c>
      <c r="Y76" s="27">
        <v>3.4920634920634921E-2</v>
      </c>
      <c r="Z76" s="27">
        <v>3.1746031746031744E-2</v>
      </c>
      <c r="AA76" s="25">
        <v>37.558730158730157</v>
      </c>
      <c r="AB76" s="23">
        <f t="shared" si="11"/>
        <v>0.56190476190476191</v>
      </c>
    </row>
    <row r="77" spans="1:28" x14ac:dyDescent="0.25">
      <c r="A77" s="22">
        <v>28</v>
      </c>
      <c r="B77" s="22" t="s">
        <v>167</v>
      </c>
      <c r="C77" s="22" t="s">
        <v>168</v>
      </c>
      <c r="D77" s="22">
        <v>1</v>
      </c>
      <c r="E77" s="22">
        <v>247</v>
      </c>
      <c r="F77" s="22">
        <v>0</v>
      </c>
      <c r="G77" s="22">
        <v>104</v>
      </c>
      <c r="H77" s="22">
        <v>112</v>
      </c>
      <c r="I77" s="22">
        <v>27</v>
      </c>
      <c r="J77" s="22">
        <v>243</v>
      </c>
      <c r="K77" s="22">
        <v>4</v>
      </c>
      <c r="L77" s="22">
        <f t="shared" si="6"/>
        <v>247</v>
      </c>
      <c r="M77" s="22">
        <v>0</v>
      </c>
      <c r="N77" s="23">
        <f t="shared" si="7"/>
        <v>0.45344129554655871</v>
      </c>
      <c r="O77" s="23">
        <f t="shared" si="8"/>
        <v>0.10931174089068826</v>
      </c>
      <c r="P77" s="23">
        <f t="shared" si="9"/>
        <v>0.42105263157894735</v>
      </c>
      <c r="Q77" s="23">
        <f t="shared" si="10"/>
        <v>0</v>
      </c>
      <c r="R77" s="24">
        <v>115</v>
      </c>
      <c r="S77" s="24">
        <v>20</v>
      </c>
      <c r="T77" s="24">
        <v>241</v>
      </c>
      <c r="U77" s="24">
        <v>1</v>
      </c>
      <c r="V77" s="24">
        <v>377</v>
      </c>
      <c r="W77" s="27">
        <v>0.30503978779840851</v>
      </c>
      <c r="X77" s="27">
        <v>5.3050397877984087E-2</v>
      </c>
      <c r="Y77" s="27">
        <v>0.63925729442970824</v>
      </c>
      <c r="Z77" s="27">
        <v>2.6525198938992041E-3</v>
      </c>
      <c r="AA77" s="25">
        <v>46.400530503978779</v>
      </c>
      <c r="AB77" s="23">
        <f t="shared" si="11"/>
        <v>0.65517241379310343</v>
      </c>
    </row>
    <row r="78" spans="1:28" x14ac:dyDescent="0.25">
      <c r="A78" s="22">
        <v>29</v>
      </c>
      <c r="B78" s="22" t="s">
        <v>169</v>
      </c>
      <c r="C78" s="22" t="s">
        <v>170</v>
      </c>
      <c r="D78" s="22">
        <v>1</v>
      </c>
      <c r="E78" s="22">
        <v>326</v>
      </c>
      <c r="F78" s="22">
        <v>5</v>
      </c>
      <c r="G78" s="22">
        <v>160</v>
      </c>
      <c r="H78" s="22">
        <v>130</v>
      </c>
      <c r="I78" s="22">
        <v>23</v>
      </c>
      <c r="J78" s="22">
        <v>318</v>
      </c>
      <c r="K78" s="22">
        <v>8</v>
      </c>
      <c r="L78" s="22">
        <f t="shared" si="6"/>
        <v>326</v>
      </c>
      <c r="M78" s="22">
        <v>0</v>
      </c>
      <c r="N78" s="23">
        <f t="shared" si="7"/>
        <v>0.3987730061349693</v>
      </c>
      <c r="O78" s="23">
        <f t="shared" si="8"/>
        <v>7.0552147239263799E-2</v>
      </c>
      <c r="P78" s="23">
        <f t="shared" si="9"/>
        <v>0.49079754601226994</v>
      </c>
      <c r="Q78" s="23">
        <f t="shared" si="10"/>
        <v>1.5337423312883436E-2</v>
      </c>
      <c r="R78" s="24">
        <v>216</v>
      </c>
      <c r="S78" s="24">
        <v>177</v>
      </c>
      <c r="T78" s="24">
        <v>57</v>
      </c>
      <c r="U78" s="24">
        <v>0</v>
      </c>
      <c r="V78" s="24">
        <v>450</v>
      </c>
      <c r="W78" s="27">
        <v>0.48</v>
      </c>
      <c r="X78" s="27">
        <v>0.39333333333333331</v>
      </c>
      <c r="Y78" s="27">
        <v>0.12666666666666668</v>
      </c>
      <c r="Z78" s="27">
        <v>0</v>
      </c>
      <c r="AA78" s="25">
        <v>68.024444444444441</v>
      </c>
      <c r="AB78" s="23">
        <f t="shared" si="11"/>
        <v>0.72444444444444445</v>
      </c>
    </row>
    <row r="79" spans="1:28" x14ac:dyDescent="0.25">
      <c r="A79" s="22"/>
      <c r="B79" s="22"/>
      <c r="C79" s="22"/>
      <c r="D79" s="22">
        <v>2</v>
      </c>
      <c r="E79" s="22">
        <v>358</v>
      </c>
      <c r="F79" s="22">
        <v>2</v>
      </c>
      <c r="G79" s="22">
        <v>159</v>
      </c>
      <c r="H79" s="22">
        <v>148</v>
      </c>
      <c r="I79" s="22">
        <v>45</v>
      </c>
      <c r="J79" s="22">
        <v>354</v>
      </c>
      <c r="K79" s="22">
        <v>4</v>
      </c>
      <c r="L79" s="22">
        <f t="shared" si="6"/>
        <v>358</v>
      </c>
      <c r="M79" s="22">
        <v>0</v>
      </c>
      <c r="N79" s="23">
        <f t="shared" si="7"/>
        <v>0.41340782122905029</v>
      </c>
      <c r="O79" s="23">
        <f t="shared" si="8"/>
        <v>0.12569832402234637</v>
      </c>
      <c r="P79" s="23">
        <f t="shared" si="9"/>
        <v>0.44413407821229051</v>
      </c>
      <c r="Q79" s="23">
        <f t="shared" si="10"/>
        <v>5.5865921787709499E-3</v>
      </c>
      <c r="R79" s="24">
        <v>252</v>
      </c>
      <c r="S79" s="24">
        <v>109</v>
      </c>
      <c r="T79" s="24">
        <v>89</v>
      </c>
      <c r="U79" s="24">
        <v>0</v>
      </c>
      <c r="V79" s="24">
        <v>450</v>
      </c>
      <c r="W79" s="27">
        <v>0.56000000000000005</v>
      </c>
      <c r="X79" s="27">
        <v>0.24222222222222223</v>
      </c>
      <c r="Y79" s="27">
        <v>0.19777777777777777</v>
      </c>
      <c r="Z79" s="27">
        <v>0</v>
      </c>
      <c r="AA79" s="25">
        <v>54.731111111111112</v>
      </c>
      <c r="AB79" s="23">
        <f t="shared" si="11"/>
        <v>0.79555555555555557</v>
      </c>
    </row>
    <row r="80" spans="1:28" x14ac:dyDescent="0.25">
      <c r="A80" s="22"/>
      <c r="B80" s="22"/>
      <c r="C80" s="22"/>
      <c r="D80" s="22">
        <v>3</v>
      </c>
      <c r="E80" s="22">
        <v>500</v>
      </c>
      <c r="F80" s="22">
        <v>2</v>
      </c>
      <c r="G80" s="22">
        <v>165</v>
      </c>
      <c r="H80" s="22">
        <v>230</v>
      </c>
      <c r="I80" s="22">
        <v>99</v>
      </c>
      <c r="J80" s="22">
        <v>496</v>
      </c>
      <c r="K80" s="22">
        <v>4</v>
      </c>
      <c r="L80" s="22">
        <f t="shared" si="6"/>
        <v>500</v>
      </c>
      <c r="M80" s="22">
        <v>0</v>
      </c>
      <c r="N80" s="23">
        <f t="shared" si="7"/>
        <v>0.46</v>
      </c>
      <c r="O80" s="23">
        <f t="shared" si="8"/>
        <v>0.19800000000000001</v>
      </c>
      <c r="P80" s="23">
        <f t="shared" si="9"/>
        <v>0.33</v>
      </c>
      <c r="Q80" s="23">
        <f t="shared" si="10"/>
        <v>4.0000000000000001E-3</v>
      </c>
      <c r="R80" s="24">
        <v>395</v>
      </c>
      <c r="S80" s="24">
        <v>227</v>
      </c>
      <c r="T80" s="24">
        <v>110</v>
      </c>
      <c r="U80" s="24">
        <v>0</v>
      </c>
      <c r="V80" s="24">
        <v>732</v>
      </c>
      <c r="W80" s="27">
        <v>0.5396174863387978</v>
      </c>
      <c r="X80" s="27">
        <v>0.31010928961748635</v>
      </c>
      <c r="Y80" s="27">
        <v>0.15027322404371585</v>
      </c>
      <c r="Z80" s="27">
        <v>0</v>
      </c>
      <c r="AA80" s="25">
        <v>39.868852459016395</v>
      </c>
      <c r="AB80" s="23">
        <f t="shared" si="11"/>
        <v>0.68306010928961747</v>
      </c>
    </row>
    <row r="81" spans="1:28" x14ac:dyDescent="0.25">
      <c r="A81" s="22"/>
      <c r="B81" s="22"/>
      <c r="C81" s="22"/>
      <c r="D81" s="22">
        <v>4</v>
      </c>
      <c r="E81" s="22">
        <v>545</v>
      </c>
      <c r="F81" s="22">
        <v>2</v>
      </c>
      <c r="G81" s="22">
        <v>204</v>
      </c>
      <c r="H81" s="22">
        <v>182</v>
      </c>
      <c r="I81" s="22">
        <v>156</v>
      </c>
      <c r="J81" s="22">
        <v>544</v>
      </c>
      <c r="K81" s="22">
        <v>1</v>
      </c>
      <c r="L81" s="22">
        <f t="shared" si="6"/>
        <v>545</v>
      </c>
      <c r="M81" s="22">
        <v>0</v>
      </c>
      <c r="N81" s="23">
        <f t="shared" si="7"/>
        <v>0.33394495412844039</v>
      </c>
      <c r="O81" s="23">
        <f t="shared" si="8"/>
        <v>0.28623853211009176</v>
      </c>
      <c r="P81" s="23">
        <f t="shared" si="9"/>
        <v>0.37431192660550461</v>
      </c>
      <c r="Q81" s="23">
        <f t="shared" si="10"/>
        <v>3.669724770642202E-3</v>
      </c>
      <c r="R81" s="24">
        <v>486</v>
      </c>
      <c r="S81" s="24">
        <v>133</v>
      </c>
      <c r="T81" s="24">
        <v>114</v>
      </c>
      <c r="U81" s="24">
        <v>0</v>
      </c>
      <c r="V81" s="24">
        <v>733</v>
      </c>
      <c r="W81" s="27">
        <v>0.66302864938608463</v>
      </c>
      <c r="X81" s="27">
        <v>0.18144611186903137</v>
      </c>
      <c r="Y81" s="27">
        <v>0.15552523874488403</v>
      </c>
      <c r="Z81" s="27">
        <v>0</v>
      </c>
      <c r="AA81" s="25">
        <v>24.889495225102319</v>
      </c>
      <c r="AB81" s="23">
        <f t="shared" si="11"/>
        <v>0.74351978171896316</v>
      </c>
    </row>
    <row r="82" spans="1:28" x14ac:dyDescent="0.25">
      <c r="A82" s="22">
        <v>30</v>
      </c>
      <c r="B82" s="22" t="s">
        <v>171</v>
      </c>
      <c r="C82" s="22" t="s">
        <v>172</v>
      </c>
      <c r="D82" s="22">
        <v>1</v>
      </c>
      <c r="E82" s="22">
        <v>359</v>
      </c>
      <c r="F82" s="22">
        <v>0</v>
      </c>
      <c r="G82" s="22">
        <v>253</v>
      </c>
      <c r="H82" s="22">
        <v>26</v>
      </c>
      <c r="I82" s="22">
        <v>76</v>
      </c>
      <c r="J82" s="22">
        <v>355</v>
      </c>
      <c r="K82" s="22">
        <v>4</v>
      </c>
      <c r="L82" s="22">
        <f t="shared" si="6"/>
        <v>359</v>
      </c>
      <c r="M82" s="22">
        <v>0</v>
      </c>
      <c r="N82" s="23">
        <f t="shared" si="7"/>
        <v>7.2423398328690811E-2</v>
      </c>
      <c r="O82" s="23">
        <f t="shared" si="8"/>
        <v>0.2116991643454039</v>
      </c>
      <c r="P82" s="23">
        <f t="shared" si="9"/>
        <v>0.70473537604456826</v>
      </c>
      <c r="Q82" s="23">
        <f t="shared" si="10"/>
        <v>0</v>
      </c>
      <c r="R82" s="24">
        <v>447</v>
      </c>
      <c r="S82" s="24">
        <v>0</v>
      </c>
      <c r="T82" s="24">
        <v>3</v>
      </c>
      <c r="U82" s="24">
        <v>0</v>
      </c>
      <c r="V82" s="24">
        <v>450</v>
      </c>
      <c r="W82" s="27">
        <v>0.99333333333333329</v>
      </c>
      <c r="X82" s="27">
        <v>0</v>
      </c>
      <c r="Y82" s="27">
        <v>6.6666666666666671E-3</v>
      </c>
      <c r="Z82" s="27">
        <v>0</v>
      </c>
      <c r="AA82" s="25">
        <v>57.18</v>
      </c>
      <c r="AB82" s="23">
        <f t="shared" si="11"/>
        <v>0.79777777777777781</v>
      </c>
    </row>
    <row r="83" spans="1:28" x14ac:dyDescent="0.25">
      <c r="A83" s="22"/>
      <c r="B83" s="22"/>
      <c r="C83" s="22"/>
      <c r="D83" s="22">
        <v>2</v>
      </c>
      <c r="E83" s="22">
        <v>533</v>
      </c>
      <c r="F83" s="22">
        <v>1</v>
      </c>
      <c r="G83" s="22">
        <v>276</v>
      </c>
      <c r="H83" s="22">
        <v>51</v>
      </c>
      <c r="I83" s="22">
        <v>205</v>
      </c>
      <c r="J83" s="22">
        <v>533</v>
      </c>
      <c r="K83" s="22">
        <v>0</v>
      </c>
      <c r="L83" s="22">
        <f t="shared" si="6"/>
        <v>533</v>
      </c>
      <c r="M83" s="22">
        <v>0</v>
      </c>
      <c r="N83" s="23">
        <f t="shared" si="7"/>
        <v>9.5684803001876179E-2</v>
      </c>
      <c r="O83" s="23">
        <f t="shared" si="8"/>
        <v>0.38461538461538464</v>
      </c>
      <c r="P83" s="23">
        <f t="shared" si="9"/>
        <v>0.51782363977485923</v>
      </c>
      <c r="Q83" s="23">
        <f t="shared" si="10"/>
        <v>1.876172607879925E-3</v>
      </c>
      <c r="R83" s="24">
        <v>687</v>
      </c>
      <c r="S83" s="24">
        <v>0</v>
      </c>
      <c r="T83" s="24">
        <v>2</v>
      </c>
      <c r="U83" s="24">
        <v>0</v>
      </c>
      <c r="V83" s="24">
        <v>689</v>
      </c>
      <c r="W83" s="27">
        <v>0.99709724238026121</v>
      </c>
      <c r="X83" s="27">
        <v>0</v>
      </c>
      <c r="Y83" s="27">
        <v>2.9027576197387518E-3</v>
      </c>
      <c r="Z83" s="27">
        <v>0</v>
      </c>
      <c r="AA83" s="25">
        <v>31.918722786647315</v>
      </c>
      <c r="AB83" s="23">
        <f t="shared" si="11"/>
        <v>0.77358490566037741</v>
      </c>
    </row>
    <row r="84" spans="1:28" x14ac:dyDescent="0.25">
      <c r="A84" s="22">
        <v>31</v>
      </c>
      <c r="B84" s="22" t="s">
        <v>173</v>
      </c>
      <c r="C84" s="22" t="s">
        <v>174</v>
      </c>
      <c r="D84" s="22">
        <v>1</v>
      </c>
      <c r="E84" s="22">
        <v>383</v>
      </c>
      <c r="F84" s="22">
        <v>6</v>
      </c>
      <c r="G84" s="22">
        <v>294</v>
      </c>
      <c r="H84" s="22">
        <v>24</v>
      </c>
      <c r="I84" s="22">
        <v>52</v>
      </c>
      <c r="J84" s="22">
        <v>376</v>
      </c>
      <c r="K84" s="22">
        <v>7</v>
      </c>
      <c r="L84" s="22">
        <f t="shared" si="6"/>
        <v>383</v>
      </c>
      <c r="M84" s="22">
        <v>0</v>
      </c>
      <c r="N84" s="23">
        <f t="shared" si="7"/>
        <v>6.2663185378590072E-2</v>
      </c>
      <c r="O84" s="23">
        <f t="shared" si="8"/>
        <v>0.13577023498694518</v>
      </c>
      <c r="P84" s="23">
        <f t="shared" si="9"/>
        <v>0.76762402088772841</v>
      </c>
      <c r="Q84" s="23">
        <f t="shared" si="10"/>
        <v>1.5665796344647518E-2</v>
      </c>
      <c r="R84" s="24">
        <v>447</v>
      </c>
      <c r="S84" s="24">
        <v>1</v>
      </c>
      <c r="T84" s="24">
        <v>2</v>
      </c>
      <c r="U84" s="24">
        <v>0</v>
      </c>
      <c r="V84" s="24">
        <v>450</v>
      </c>
      <c r="W84" s="27">
        <v>0.99333333333333329</v>
      </c>
      <c r="X84" s="27">
        <v>2.2222222222222222E-3</v>
      </c>
      <c r="Y84" s="27">
        <v>4.4444444444444444E-3</v>
      </c>
      <c r="Z84" s="27">
        <v>0</v>
      </c>
      <c r="AA84" s="25">
        <v>68.135555555555555</v>
      </c>
      <c r="AB84" s="23">
        <f t="shared" si="11"/>
        <v>0.85111111111111115</v>
      </c>
    </row>
    <row r="85" spans="1:28" x14ac:dyDescent="0.25">
      <c r="A85" s="22"/>
      <c r="B85" s="22"/>
      <c r="C85" s="22"/>
      <c r="D85" s="22">
        <v>2</v>
      </c>
      <c r="E85" s="22">
        <v>367</v>
      </c>
      <c r="F85" s="22">
        <v>2</v>
      </c>
      <c r="G85" s="22">
        <v>244</v>
      </c>
      <c r="H85" s="22">
        <v>52</v>
      </c>
      <c r="I85" s="22">
        <v>66</v>
      </c>
      <c r="J85" s="22">
        <v>364</v>
      </c>
      <c r="K85" s="22">
        <v>3</v>
      </c>
      <c r="L85" s="22">
        <f t="shared" si="6"/>
        <v>367</v>
      </c>
      <c r="M85" s="22">
        <v>0</v>
      </c>
      <c r="N85" s="23">
        <f t="shared" si="7"/>
        <v>0.14168937329700274</v>
      </c>
      <c r="O85" s="23">
        <f t="shared" si="8"/>
        <v>0.17983651226158037</v>
      </c>
      <c r="P85" s="23">
        <f t="shared" si="9"/>
        <v>0.66485013623978206</v>
      </c>
      <c r="Q85" s="23">
        <f t="shared" si="10"/>
        <v>5.4495912806539508E-3</v>
      </c>
      <c r="R85" s="24">
        <v>448</v>
      </c>
      <c r="S85" s="24">
        <v>0</v>
      </c>
      <c r="T85" s="24">
        <v>1</v>
      </c>
      <c r="U85" s="24">
        <v>1</v>
      </c>
      <c r="V85" s="24">
        <v>450</v>
      </c>
      <c r="W85" s="27">
        <v>0.99555555555555553</v>
      </c>
      <c r="X85" s="27">
        <v>0</v>
      </c>
      <c r="Y85" s="27">
        <v>2.2222222222222222E-3</v>
      </c>
      <c r="Z85" s="27">
        <v>2.2222222222222222E-3</v>
      </c>
      <c r="AA85" s="25">
        <v>56.06666666666667</v>
      </c>
      <c r="AB85" s="23">
        <f t="shared" si="11"/>
        <v>0.81555555555555559</v>
      </c>
    </row>
    <row r="86" spans="1:28" x14ac:dyDescent="0.25">
      <c r="A86" s="22"/>
      <c r="B86" s="22"/>
      <c r="C86" s="22"/>
      <c r="D86" s="22">
        <v>3</v>
      </c>
      <c r="E86" s="22">
        <v>464</v>
      </c>
      <c r="F86" s="22">
        <v>2</v>
      </c>
      <c r="G86" s="22">
        <v>256</v>
      </c>
      <c r="H86" s="22">
        <v>31</v>
      </c>
      <c r="I86" s="22">
        <v>170</v>
      </c>
      <c r="J86" s="22">
        <v>459</v>
      </c>
      <c r="K86" s="22">
        <v>5</v>
      </c>
      <c r="L86" s="22">
        <f t="shared" si="6"/>
        <v>464</v>
      </c>
      <c r="M86" s="22">
        <v>0</v>
      </c>
      <c r="N86" s="23">
        <f t="shared" si="7"/>
        <v>6.6810344827586202E-2</v>
      </c>
      <c r="O86" s="23">
        <f t="shared" si="8"/>
        <v>0.36637931034482757</v>
      </c>
      <c r="P86" s="23">
        <f t="shared" si="9"/>
        <v>0.55172413793103448</v>
      </c>
      <c r="Q86" s="23">
        <f t="shared" si="10"/>
        <v>4.3103448275862068E-3</v>
      </c>
      <c r="R86" s="24">
        <v>618</v>
      </c>
      <c r="S86" s="24">
        <v>0</v>
      </c>
      <c r="T86" s="24">
        <v>1</v>
      </c>
      <c r="U86" s="24">
        <v>1</v>
      </c>
      <c r="V86" s="24">
        <v>620</v>
      </c>
      <c r="W86" s="27">
        <v>0.99677419354838714</v>
      </c>
      <c r="X86" s="27">
        <v>0</v>
      </c>
      <c r="Y86" s="27">
        <v>1.6129032258064516E-3</v>
      </c>
      <c r="Z86" s="27">
        <v>1.6129032258064516E-3</v>
      </c>
      <c r="AA86" s="25">
        <v>43.906451612903226</v>
      </c>
      <c r="AB86" s="23">
        <f t="shared" si="11"/>
        <v>0.74838709677419357</v>
      </c>
    </row>
    <row r="87" spans="1:28" x14ac:dyDescent="0.25">
      <c r="A87" s="22"/>
      <c r="B87" s="22"/>
      <c r="C87" s="22"/>
      <c r="D87" s="22">
        <v>4</v>
      </c>
      <c r="E87" s="22">
        <v>445</v>
      </c>
      <c r="F87" s="22">
        <v>1</v>
      </c>
      <c r="G87" s="22">
        <v>237</v>
      </c>
      <c r="H87" s="22">
        <v>33</v>
      </c>
      <c r="I87" s="22">
        <v>173</v>
      </c>
      <c r="J87" s="22">
        <v>444</v>
      </c>
      <c r="K87" s="22">
        <v>1</v>
      </c>
      <c r="L87" s="22">
        <f t="shared" si="6"/>
        <v>445</v>
      </c>
      <c r="M87" s="22">
        <v>0</v>
      </c>
      <c r="N87" s="23">
        <f t="shared" si="7"/>
        <v>7.415730337078652E-2</v>
      </c>
      <c r="O87" s="23">
        <f t="shared" si="8"/>
        <v>0.38876404494382022</v>
      </c>
      <c r="P87" s="23">
        <f t="shared" si="9"/>
        <v>0.53258426966292138</v>
      </c>
      <c r="Q87" s="23">
        <f t="shared" si="10"/>
        <v>2.2471910112359553E-3</v>
      </c>
      <c r="R87" s="24">
        <v>621</v>
      </c>
      <c r="S87" s="24">
        <v>0</v>
      </c>
      <c r="T87" s="24">
        <v>0</v>
      </c>
      <c r="U87" s="24">
        <v>0</v>
      </c>
      <c r="V87" s="24">
        <v>621</v>
      </c>
      <c r="W87" s="27">
        <v>1</v>
      </c>
      <c r="X87" s="27">
        <v>0</v>
      </c>
      <c r="Y87" s="27">
        <v>0</v>
      </c>
      <c r="Z87" s="27">
        <v>0</v>
      </c>
      <c r="AA87" s="25">
        <v>37.074074074074076</v>
      </c>
      <c r="AB87" s="23">
        <f t="shared" si="11"/>
        <v>0.71658615136876003</v>
      </c>
    </row>
    <row r="88" spans="1:28" x14ac:dyDescent="0.25">
      <c r="A88" s="22"/>
      <c r="B88" s="22"/>
      <c r="C88" s="22"/>
      <c r="D88" s="22">
        <v>5</v>
      </c>
      <c r="E88" s="22">
        <v>472</v>
      </c>
      <c r="F88" s="22">
        <v>0</v>
      </c>
      <c r="G88" s="22">
        <v>242</v>
      </c>
      <c r="H88" s="22">
        <v>35</v>
      </c>
      <c r="I88" s="22">
        <v>194</v>
      </c>
      <c r="J88" s="22">
        <v>471</v>
      </c>
      <c r="K88" s="22">
        <v>1</v>
      </c>
      <c r="L88" s="22">
        <f t="shared" si="6"/>
        <v>472</v>
      </c>
      <c r="M88" s="22">
        <v>0</v>
      </c>
      <c r="N88" s="23">
        <f t="shared" si="7"/>
        <v>7.4152542372881353E-2</v>
      </c>
      <c r="O88" s="23">
        <f t="shared" si="8"/>
        <v>0.41101694915254239</v>
      </c>
      <c r="P88" s="23">
        <f t="shared" si="9"/>
        <v>0.51271186440677963</v>
      </c>
      <c r="Q88" s="23">
        <f t="shared" si="10"/>
        <v>0</v>
      </c>
      <c r="R88" s="24">
        <v>621</v>
      </c>
      <c r="S88" s="24">
        <v>0</v>
      </c>
      <c r="T88" s="24">
        <v>0</v>
      </c>
      <c r="U88" s="24">
        <v>0</v>
      </c>
      <c r="V88" s="24">
        <v>621</v>
      </c>
      <c r="W88" s="27">
        <v>1</v>
      </c>
      <c r="X88" s="27">
        <v>0</v>
      </c>
      <c r="Y88" s="27">
        <v>0</v>
      </c>
      <c r="Z88" s="27">
        <v>0</v>
      </c>
      <c r="AA88" s="25">
        <v>25.640901771336555</v>
      </c>
      <c r="AB88" s="23">
        <f t="shared" si="11"/>
        <v>0.76006441223832533</v>
      </c>
    </row>
    <row r="89" spans="1:28" x14ac:dyDescent="0.25">
      <c r="A89" s="22">
        <v>32</v>
      </c>
      <c r="B89" s="22" t="s">
        <v>175</v>
      </c>
      <c r="C89" s="22" t="s">
        <v>176</v>
      </c>
      <c r="D89" s="22">
        <v>1</v>
      </c>
      <c r="E89" s="22">
        <v>369</v>
      </c>
      <c r="F89" s="22">
        <v>5</v>
      </c>
      <c r="G89" s="22">
        <v>268</v>
      </c>
      <c r="H89" s="22">
        <v>37</v>
      </c>
      <c r="I89" s="22">
        <v>50</v>
      </c>
      <c r="J89" s="22">
        <v>360</v>
      </c>
      <c r="K89" s="22">
        <v>9</v>
      </c>
      <c r="L89" s="22">
        <f t="shared" si="6"/>
        <v>369</v>
      </c>
      <c r="M89" s="22">
        <v>0</v>
      </c>
      <c r="N89" s="23">
        <f t="shared" si="7"/>
        <v>0.1002710027100271</v>
      </c>
      <c r="O89" s="23">
        <f t="shared" si="8"/>
        <v>0.13550135501355012</v>
      </c>
      <c r="P89" s="23">
        <f t="shared" si="9"/>
        <v>0.72628726287262868</v>
      </c>
      <c r="Q89" s="23">
        <f t="shared" si="10"/>
        <v>1.3550135501355014E-2</v>
      </c>
      <c r="R89" s="24">
        <v>449</v>
      </c>
      <c r="S89" s="24">
        <v>0</v>
      </c>
      <c r="T89" s="24">
        <v>1</v>
      </c>
      <c r="U89" s="24">
        <v>0</v>
      </c>
      <c r="V89" s="24">
        <v>450</v>
      </c>
      <c r="W89" s="27">
        <v>0.99777777777777776</v>
      </c>
      <c r="X89" s="27">
        <v>0</v>
      </c>
      <c r="Y89" s="27">
        <v>2.2222222222222222E-3</v>
      </c>
      <c r="Z89" s="27">
        <v>0</v>
      </c>
      <c r="AA89" s="25">
        <v>67.691111111111113</v>
      </c>
      <c r="AB89" s="23">
        <f t="shared" si="11"/>
        <v>0.82</v>
      </c>
    </row>
    <row r="90" spans="1:28" x14ac:dyDescent="0.25">
      <c r="A90" s="22"/>
      <c r="B90" s="22"/>
      <c r="C90" s="22"/>
      <c r="D90" s="22">
        <v>2</v>
      </c>
      <c r="E90" s="22">
        <v>342</v>
      </c>
      <c r="F90" s="22">
        <v>3</v>
      </c>
      <c r="G90" s="22">
        <v>180</v>
      </c>
      <c r="H90" s="22">
        <v>34</v>
      </c>
      <c r="I90" s="22">
        <v>119</v>
      </c>
      <c r="J90" s="22">
        <v>336</v>
      </c>
      <c r="K90" s="22">
        <v>6</v>
      </c>
      <c r="L90" s="22">
        <f t="shared" si="6"/>
        <v>342</v>
      </c>
      <c r="M90" s="22">
        <v>0</v>
      </c>
      <c r="N90" s="23">
        <f t="shared" si="7"/>
        <v>9.9415204678362568E-2</v>
      </c>
      <c r="O90" s="23">
        <f t="shared" si="8"/>
        <v>0.34795321637426901</v>
      </c>
      <c r="P90" s="23">
        <f t="shared" si="9"/>
        <v>0.52631578947368418</v>
      </c>
      <c r="Q90" s="23">
        <f t="shared" si="10"/>
        <v>8.771929824561403E-3</v>
      </c>
      <c r="R90" s="24">
        <v>447</v>
      </c>
      <c r="S90" s="24">
        <v>0</v>
      </c>
      <c r="T90" s="24">
        <v>3</v>
      </c>
      <c r="U90" s="24">
        <v>0</v>
      </c>
      <c r="V90" s="24">
        <v>450</v>
      </c>
      <c r="W90" s="27">
        <v>0.99333333333333329</v>
      </c>
      <c r="X90" s="27">
        <v>0</v>
      </c>
      <c r="Y90" s="27">
        <v>6.6666666666666671E-3</v>
      </c>
      <c r="Z90" s="27">
        <v>0</v>
      </c>
      <c r="AA90" s="25">
        <v>49.568888888888885</v>
      </c>
      <c r="AB90" s="23">
        <f t="shared" si="11"/>
        <v>0.76</v>
      </c>
    </row>
    <row r="91" spans="1:28" x14ac:dyDescent="0.25">
      <c r="A91" s="22"/>
      <c r="B91" s="22"/>
      <c r="C91" s="22"/>
      <c r="D91" s="22">
        <v>3</v>
      </c>
      <c r="E91" s="22">
        <v>435</v>
      </c>
      <c r="F91" s="22">
        <v>1</v>
      </c>
      <c r="G91" s="22">
        <v>236</v>
      </c>
      <c r="H91" s="22">
        <v>27</v>
      </c>
      <c r="I91" s="22">
        <v>168</v>
      </c>
      <c r="J91" s="22">
        <v>432</v>
      </c>
      <c r="K91" s="22">
        <v>3</v>
      </c>
      <c r="L91" s="22">
        <f t="shared" si="6"/>
        <v>435</v>
      </c>
      <c r="M91" s="22">
        <v>0</v>
      </c>
      <c r="N91" s="23">
        <f t="shared" si="7"/>
        <v>6.2068965517241378E-2</v>
      </c>
      <c r="O91" s="23">
        <f t="shared" si="8"/>
        <v>0.38620689655172413</v>
      </c>
      <c r="P91" s="23">
        <f t="shared" si="9"/>
        <v>0.54252873563218396</v>
      </c>
      <c r="Q91" s="23">
        <f t="shared" si="10"/>
        <v>2.2988505747126436E-3</v>
      </c>
      <c r="R91" s="24">
        <v>584</v>
      </c>
      <c r="S91" s="24">
        <v>0</v>
      </c>
      <c r="T91" s="24">
        <v>0</v>
      </c>
      <c r="U91" s="24">
        <v>0</v>
      </c>
      <c r="V91" s="24">
        <v>584</v>
      </c>
      <c r="W91" s="27">
        <v>1</v>
      </c>
      <c r="X91" s="27">
        <v>0</v>
      </c>
      <c r="Y91" s="27">
        <v>0</v>
      </c>
      <c r="Z91" s="27">
        <v>0</v>
      </c>
      <c r="AA91" s="25">
        <v>39.81849315068493</v>
      </c>
      <c r="AB91" s="23">
        <f t="shared" si="11"/>
        <v>0.74486301369863017</v>
      </c>
    </row>
    <row r="92" spans="1:28" x14ac:dyDescent="0.25">
      <c r="A92" s="22"/>
      <c r="B92" s="22"/>
      <c r="C92" s="22"/>
      <c r="D92" s="22">
        <v>4</v>
      </c>
      <c r="E92" s="22">
        <v>431</v>
      </c>
      <c r="F92" s="22">
        <v>0</v>
      </c>
      <c r="G92" s="22">
        <v>200</v>
      </c>
      <c r="H92" s="22">
        <v>45</v>
      </c>
      <c r="I92" s="22">
        <v>186</v>
      </c>
      <c r="J92" s="22">
        <v>431</v>
      </c>
      <c r="K92" s="22">
        <v>0</v>
      </c>
      <c r="L92" s="22">
        <f t="shared" si="6"/>
        <v>431</v>
      </c>
      <c r="M92" s="22">
        <v>0</v>
      </c>
      <c r="N92" s="23">
        <f t="shared" si="7"/>
        <v>0.10440835266821345</v>
      </c>
      <c r="O92" s="23">
        <f t="shared" si="8"/>
        <v>0.43155452436194897</v>
      </c>
      <c r="P92" s="23">
        <f t="shared" si="9"/>
        <v>0.46403712296983757</v>
      </c>
      <c r="Q92" s="23">
        <f t="shared" si="10"/>
        <v>0</v>
      </c>
      <c r="R92" s="24">
        <v>584</v>
      </c>
      <c r="S92" s="24">
        <v>0</v>
      </c>
      <c r="T92" s="24">
        <v>0</v>
      </c>
      <c r="U92" s="24">
        <v>0</v>
      </c>
      <c r="V92" s="24">
        <v>584</v>
      </c>
      <c r="W92" s="27">
        <v>1</v>
      </c>
      <c r="X92" s="27">
        <v>0</v>
      </c>
      <c r="Y92" s="27">
        <v>0</v>
      </c>
      <c r="Z92" s="27">
        <v>0</v>
      </c>
      <c r="AA92" s="25">
        <v>27.128424657534246</v>
      </c>
      <c r="AB92" s="23">
        <f t="shared" si="11"/>
        <v>0.73801369863013699</v>
      </c>
    </row>
    <row r="93" spans="1:28" x14ac:dyDescent="0.25">
      <c r="A93" s="22">
        <v>33</v>
      </c>
      <c r="B93" s="22" t="s">
        <v>177</v>
      </c>
      <c r="C93" s="22" t="s">
        <v>178</v>
      </c>
      <c r="D93" s="22">
        <v>1</v>
      </c>
      <c r="E93" s="22">
        <v>344</v>
      </c>
      <c r="F93" s="22">
        <v>10</v>
      </c>
      <c r="G93" s="22">
        <v>175</v>
      </c>
      <c r="H93" s="22">
        <v>121</v>
      </c>
      <c r="I93" s="22">
        <v>28</v>
      </c>
      <c r="J93" s="22">
        <v>334</v>
      </c>
      <c r="K93" s="22">
        <v>10</v>
      </c>
      <c r="L93" s="22">
        <f t="shared" si="6"/>
        <v>344</v>
      </c>
      <c r="M93" s="22">
        <v>0</v>
      </c>
      <c r="N93" s="23">
        <f t="shared" si="7"/>
        <v>0.35174418604651164</v>
      </c>
      <c r="O93" s="23">
        <f t="shared" si="8"/>
        <v>8.1395348837209308E-2</v>
      </c>
      <c r="P93" s="23">
        <f t="shared" si="9"/>
        <v>0.50872093023255816</v>
      </c>
      <c r="Q93" s="23">
        <f t="shared" si="10"/>
        <v>2.9069767441860465E-2</v>
      </c>
      <c r="R93" s="24">
        <v>108</v>
      </c>
      <c r="S93" s="24">
        <v>6</v>
      </c>
      <c r="T93" s="24">
        <v>220</v>
      </c>
      <c r="U93" s="24">
        <v>116</v>
      </c>
      <c r="V93" s="24">
        <v>450</v>
      </c>
      <c r="W93" s="27">
        <v>0.24</v>
      </c>
      <c r="X93" s="27">
        <v>1.3333333333333334E-2</v>
      </c>
      <c r="Y93" s="27">
        <v>0.48888888888888887</v>
      </c>
      <c r="Z93" s="27">
        <v>0.25777777777777777</v>
      </c>
      <c r="AA93" s="25">
        <v>63.097777777777779</v>
      </c>
      <c r="AB93" s="23">
        <f t="shared" si="11"/>
        <v>0.76444444444444448</v>
      </c>
    </row>
    <row r="94" spans="1:28" x14ac:dyDescent="0.25">
      <c r="A94" s="22"/>
      <c r="B94" s="22"/>
      <c r="C94" s="22"/>
      <c r="D94" s="22">
        <v>2</v>
      </c>
      <c r="E94" s="22">
        <v>374</v>
      </c>
      <c r="F94" s="22">
        <v>1</v>
      </c>
      <c r="G94" s="22">
        <v>179</v>
      </c>
      <c r="H94" s="22">
        <v>146</v>
      </c>
      <c r="I94" s="22">
        <v>37</v>
      </c>
      <c r="J94" s="22">
        <v>363</v>
      </c>
      <c r="K94" s="22">
        <v>11</v>
      </c>
      <c r="L94" s="22">
        <f t="shared" si="6"/>
        <v>374</v>
      </c>
      <c r="M94" s="22">
        <v>0</v>
      </c>
      <c r="N94" s="23">
        <f t="shared" si="7"/>
        <v>0.39037433155080214</v>
      </c>
      <c r="O94" s="23">
        <f t="shared" si="8"/>
        <v>9.8930481283422467E-2</v>
      </c>
      <c r="P94" s="23">
        <f t="shared" si="9"/>
        <v>0.47860962566844922</v>
      </c>
      <c r="Q94" s="23">
        <f t="shared" si="10"/>
        <v>2.6737967914438501E-3</v>
      </c>
      <c r="R94" s="24">
        <v>106</v>
      </c>
      <c r="S94" s="24">
        <v>1</v>
      </c>
      <c r="T94" s="24">
        <v>156</v>
      </c>
      <c r="U94" s="24">
        <v>280</v>
      </c>
      <c r="V94" s="24">
        <v>543</v>
      </c>
      <c r="W94" s="27">
        <v>0.19521178637200737</v>
      </c>
      <c r="X94" s="27">
        <v>1.841620626151013E-3</v>
      </c>
      <c r="Y94" s="27">
        <v>0.287292817679558</v>
      </c>
      <c r="Z94" s="27">
        <v>0.51565377532228363</v>
      </c>
      <c r="AA94" s="25">
        <v>42.692449355432778</v>
      </c>
      <c r="AB94" s="23">
        <f t="shared" si="11"/>
        <v>0.68876611418047884</v>
      </c>
    </row>
    <row r="95" spans="1:28" x14ac:dyDescent="0.25">
      <c r="A95" s="22"/>
      <c r="B95" s="22"/>
      <c r="C95" s="22"/>
      <c r="D95" s="22">
        <v>3</v>
      </c>
      <c r="E95" s="22">
        <v>390</v>
      </c>
      <c r="F95" s="22">
        <v>1</v>
      </c>
      <c r="G95" s="22">
        <v>153</v>
      </c>
      <c r="H95" s="22">
        <v>137</v>
      </c>
      <c r="I95" s="22">
        <v>91</v>
      </c>
      <c r="J95" s="22">
        <v>382</v>
      </c>
      <c r="K95" s="22">
        <v>8</v>
      </c>
      <c r="L95" s="22">
        <f t="shared" si="6"/>
        <v>390</v>
      </c>
      <c r="M95" s="22">
        <v>0</v>
      </c>
      <c r="N95" s="23">
        <f t="shared" si="7"/>
        <v>0.35128205128205126</v>
      </c>
      <c r="O95" s="23">
        <f t="shared" si="8"/>
        <v>0.23333333333333334</v>
      </c>
      <c r="P95" s="23">
        <f t="shared" si="9"/>
        <v>0.3923076923076923</v>
      </c>
      <c r="Q95" s="23">
        <f t="shared" si="10"/>
        <v>2.5641025641025641E-3</v>
      </c>
      <c r="R95" s="24">
        <v>305</v>
      </c>
      <c r="S95" s="24">
        <v>5</v>
      </c>
      <c r="T95" s="24">
        <v>152</v>
      </c>
      <c r="U95" s="24">
        <v>81</v>
      </c>
      <c r="V95" s="24">
        <v>543</v>
      </c>
      <c r="W95" s="27">
        <v>0.56169429097605894</v>
      </c>
      <c r="X95" s="27">
        <v>9.2081031307550652E-3</v>
      </c>
      <c r="Y95" s="27">
        <v>0.27992633517495397</v>
      </c>
      <c r="Z95" s="27">
        <v>0.14917127071823205</v>
      </c>
      <c r="AA95" s="25">
        <v>25.67219152854512</v>
      </c>
      <c r="AB95" s="23">
        <f t="shared" si="11"/>
        <v>0.71823204419889508</v>
      </c>
    </row>
    <row r="96" spans="1:28" x14ac:dyDescent="0.25">
      <c r="A96" s="22">
        <v>34</v>
      </c>
      <c r="B96" s="22" t="s">
        <v>179</v>
      </c>
      <c r="C96" s="22" t="s">
        <v>180</v>
      </c>
      <c r="D96" s="22">
        <v>1</v>
      </c>
      <c r="E96" s="22">
        <v>353</v>
      </c>
      <c r="F96" s="22">
        <v>2</v>
      </c>
      <c r="G96" s="22">
        <v>223</v>
      </c>
      <c r="H96" s="22">
        <v>63</v>
      </c>
      <c r="I96" s="22">
        <v>61</v>
      </c>
      <c r="J96" s="22">
        <v>349</v>
      </c>
      <c r="K96" s="22">
        <v>4</v>
      </c>
      <c r="L96" s="22">
        <f t="shared" si="6"/>
        <v>353</v>
      </c>
      <c r="M96" s="22">
        <v>0</v>
      </c>
      <c r="N96" s="23">
        <f t="shared" si="7"/>
        <v>0.17847025495750707</v>
      </c>
      <c r="O96" s="23">
        <f t="shared" si="8"/>
        <v>0.17280453257790368</v>
      </c>
      <c r="P96" s="23">
        <f t="shared" si="9"/>
        <v>0.63172804532577909</v>
      </c>
      <c r="Q96" s="23">
        <f t="shared" si="10"/>
        <v>5.6657223796033997E-3</v>
      </c>
      <c r="R96" s="24">
        <v>439</v>
      </c>
      <c r="S96" s="24">
        <v>9</v>
      </c>
      <c r="T96" s="24">
        <v>2</v>
      </c>
      <c r="U96" s="24">
        <v>0</v>
      </c>
      <c r="V96" s="24">
        <v>450</v>
      </c>
      <c r="W96" s="27">
        <v>0.97555555555555551</v>
      </c>
      <c r="X96" s="27">
        <v>0.02</v>
      </c>
      <c r="Y96" s="27">
        <v>4.4444444444444444E-3</v>
      </c>
      <c r="Z96" s="27">
        <v>0</v>
      </c>
      <c r="AA96" s="25">
        <v>64.597777777777779</v>
      </c>
      <c r="AB96" s="23">
        <f t="shared" si="11"/>
        <v>0.7844444444444445</v>
      </c>
    </row>
    <row r="97" spans="1:28" x14ac:dyDescent="0.25">
      <c r="A97" s="22"/>
      <c r="B97" s="22"/>
      <c r="C97" s="22"/>
      <c r="D97" s="22">
        <v>2</v>
      </c>
      <c r="E97" s="22">
        <v>487</v>
      </c>
      <c r="F97" s="22">
        <v>2</v>
      </c>
      <c r="G97" s="22">
        <v>204</v>
      </c>
      <c r="H97" s="22">
        <v>83</v>
      </c>
      <c r="I97" s="22">
        <v>194</v>
      </c>
      <c r="J97" s="22">
        <v>483</v>
      </c>
      <c r="K97" s="22">
        <v>4</v>
      </c>
      <c r="L97" s="22">
        <f t="shared" si="6"/>
        <v>487</v>
      </c>
      <c r="M97" s="22">
        <v>0</v>
      </c>
      <c r="N97" s="23">
        <f t="shared" si="7"/>
        <v>0.17043121149897331</v>
      </c>
      <c r="O97" s="23">
        <f t="shared" si="8"/>
        <v>0.39835728952772076</v>
      </c>
      <c r="P97" s="23">
        <f t="shared" si="9"/>
        <v>0.41889117043121149</v>
      </c>
      <c r="Q97" s="23">
        <f t="shared" si="10"/>
        <v>4.1067761806981521E-3</v>
      </c>
      <c r="R97" s="24">
        <v>619</v>
      </c>
      <c r="S97" s="24">
        <v>1</v>
      </c>
      <c r="T97" s="24">
        <v>0</v>
      </c>
      <c r="U97" s="24">
        <v>1</v>
      </c>
      <c r="V97" s="24">
        <v>621</v>
      </c>
      <c r="W97" s="27">
        <v>0.9967793880837359</v>
      </c>
      <c r="X97" s="27">
        <v>1.6103059581320451E-3</v>
      </c>
      <c r="Y97" s="27">
        <v>0</v>
      </c>
      <c r="Z97" s="27">
        <v>1.6103059581320451E-3</v>
      </c>
      <c r="AA97" s="25">
        <v>34.0402576489533</v>
      </c>
      <c r="AB97" s="23">
        <f t="shared" si="11"/>
        <v>0.784219001610306</v>
      </c>
    </row>
    <row r="98" spans="1:28" x14ac:dyDescent="0.25">
      <c r="A98" s="22">
        <v>35</v>
      </c>
      <c r="B98" s="22" t="s">
        <v>181</v>
      </c>
      <c r="C98" s="22" t="s">
        <v>182</v>
      </c>
      <c r="D98" s="22">
        <v>1</v>
      </c>
      <c r="E98" s="22">
        <v>306</v>
      </c>
      <c r="F98" s="22">
        <v>5</v>
      </c>
      <c r="G98" s="22">
        <v>65</v>
      </c>
      <c r="H98" s="22">
        <v>228</v>
      </c>
      <c r="I98" s="22">
        <v>4</v>
      </c>
      <c r="J98" s="22">
        <v>302</v>
      </c>
      <c r="K98" s="22">
        <v>4</v>
      </c>
      <c r="L98" s="22">
        <f t="shared" si="6"/>
        <v>306</v>
      </c>
      <c r="M98" s="22">
        <v>0</v>
      </c>
      <c r="N98" s="23">
        <f t="shared" si="7"/>
        <v>0.74509803921568629</v>
      </c>
      <c r="O98" s="23">
        <f t="shared" si="8"/>
        <v>1.3071895424836602E-2</v>
      </c>
      <c r="P98" s="23">
        <f t="shared" si="9"/>
        <v>0.21241830065359477</v>
      </c>
      <c r="Q98" s="23">
        <f t="shared" si="10"/>
        <v>1.6339869281045753E-2</v>
      </c>
      <c r="R98" s="24">
        <v>46</v>
      </c>
      <c r="S98" s="24">
        <v>370</v>
      </c>
      <c r="T98" s="24">
        <v>34</v>
      </c>
      <c r="U98" s="24">
        <v>0</v>
      </c>
      <c r="V98" s="24">
        <v>450</v>
      </c>
      <c r="W98" s="27">
        <v>0.10222222222222223</v>
      </c>
      <c r="X98" s="27">
        <v>0.82222222222222219</v>
      </c>
      <c r="Y98" s="27">
        <v>7.5555555555555556E-2</v>
      </c>
      <c r="Z98" s="27">
        <v>0</v>
      </c>
      <c r="AA98" s="25">
        <v>72.055555555555557</v>
      </c>
      <c r="AB98" s="23">
        <f t="shared" si="11"/>
        <v>0.68</v>
      </c>
    </row>
    <row r="99" spans="1:28" x14ac:dyDescent="0.25">
      <c r="A99" s="22"/>
      <c r="B99" s="22"/>
      <c r="C99" s="22"/>
      <c r="D99" s="22">
        <v>2</v>
      </c>
      <c r="E99" s="22">
        <v>354</v>
      </c>
      <c r="F99" s="22">
        <v>3</v>
      </c>
      <c r="G99" s="22">
        <v>81</v>
      </c>
      <c r="H99" s="22">
        <v>251</v>
      </c>
      <c r="I99" s="22">
        <v>16</v>
      </c>
      <c r="J99" s="22">
        <v>351</v>
      </c>
      <c r="K99" s="22">
        <v>3</v>
      </c>
      <c r="L99" s="22">
        <f t="shared" si="6"/>
        <v>354</v>
      </c>
      <c r="M99" s="22">
        <v>0</v>
      </c>
      <c r="N99" s="23">
        <f t="shared" si="7"/>
        <v>0.70903954802259883</v>
      </c>
      <c r="O99" s="23">
        <f t="shared" si="8"/>
        <v>4.519774011299435E-2</v>
      </c>
      <c r="P99" s="23">
        <f t="shared" si="9"/>
        <v>0.2288135593220339</v>
      </c>
      <c r="Q99" s="23">
        <f t="shared" si="10"/>
        <v>8.4745762711864406E-3</v>
      </c>
      <c r="R99" s="24">
        <v>88</v>
      </c>
      <c r="S99" s="24">
        <v>334</v>
      </c>
      <c r="T99" s="24">
        <v>26</v>
      </c>
      <c r="U99" s="24">
        <v>2</v>
      </c>
      <c r="V99" s="24">
        <v>450</v>
      </c>
      <c r="W99" s="27">
        <v>0.19555555555555557</v>
      </c>
      <c r="X99" s="27">
        <v>0.74222222222222223</v>
      </c>
      <c r="Y99" s="27">
        <v>5.7777777777777775E-2</v>
      </c>
      <c r="Z99" s="27">
        <v>4.4444444444444444E-3</v>
      </c>
      <c r="AA99" s="25">
        <v>62.922222222222224</v>
      </c>
      <c r="AB99" s="23">
        <f t="shared" si="11"/>
        <v>0.78666666666666663</v>
      </c>
    </row>
    <row r="100" spans="1:28" x14ac:dyDescent="0.25">
      <c r="A100" s="22"/>
      <c r="B100" s="22"/>
      <c r="C100" s="22"/>
      <c r="D100" s="22">
        <v>3</v>
      </c>
      <c r="E100" s="22">
        <v>470</v>
      </c>
      <c r="F100" s="22">
        <v>4</v>
      </c>
      <c r="G100" s="22">
        <v>93</v>
      </c>
      <c r="H100" s="22">
        <v>347</v>
      </c>
      <c r="I100" s="22">
        <v>21</v>
      </c>
      <c r="J100" s="22">
        <v>465</v>
      </c>
      <c r="K100" s="22">
        <v>5</v>
      </c>
      <c r="L100" s="22">
        <f t="shared" si="6"/>
        <v>470</v>
      </c>
      <c r="M100" s="22">
        <v>0</v>
      </c>
      <c r="N100" s="23">
        <f t="shared" si="7"/>
        <v>0.73829787234042554</v>
      </c>
      <c r="O100" s="23">
        <f t="shared" si="8"/>
        <v>4.4680851063829789E-2</v>
      </c>
      <c r="P100" s="23">
        <f t="shared" si="9"/>
        <v>0.19787234042553192</v>
      </c>
      <c r="Q100" s="23">
        <f t="shared" si="10"/>
        <v>8.5106382978723406E-3</v>
      </c>
      <c r="R100" s="24">
        <v>107</v>
      </c>
      <c r="S100" s="24">
        <v>472</v>
      </c>
      <c r="T100" s="24">
        <v>25</v>
      </c>
      <c r="U100" s="24">
        <v>2</v>
      </c>
      <c r="V100" s="24">
        <v>606</v>
      </c>
      <c r="W100" s="27">
        <v>0.17656765676567657</v>
      </c>
      <c r="X100" s="27">
        <v>0.77887788778877887</v>
      </c>
      <c r="Y100" s="27">
        <v>4.1254125412541254E-2</v>
      </c>
      <c r="Z100" s="27">
        <v>3.3003300330033004E-3</v>
      </c>
      <c r="AA100" s="25">
        <v>51.777227722772274</v>
      </c>
      <c r="AB100" s="23">
        <f t="shared" si="11"/>
        <v>0.77557755775577553</v>
      </c>
    </row>
    <row r="101" spans="1:28" x14ac:dyDescent="0.25">
      <c r="A101" s="22"/>
      <c r="B101" s="22"/>
      <c r="C101" s="22"/>
      <c r="D101" s="22">
        <v>4</v>
      </c>
      <c r="E101" s="22">
        <v>418</v>
      </c>
      <c r="F101" s="22">
        <v>0</v>
      </c>
      <c r="G101" s="22">
        <v>89</v>
      </c>
      <c r="H101" s="22">
        <v>292</v>
      </c>
      <c r="I101" s="22">
        <v>34</v>
      </c>
      <c r="J101" s="22">
        <v>415</v>
      </c>
      <c r="K101" s="22">
        <v>3</v>
      </c>
      <c r="L101" s="22">
        <f t="shared" si="6"/>
        <v>418</v>
      </c>
      <c r="M101" s="22">
        <v>0</v>
      </c>
      <c r="N101" s="23">
        <f t="shared" si="7"/>
        <v>0.69856459330143539</v>
      </c>
      <c r="O101" s="23">
        <f t="shared" si="8"/>
        <v>8.1339712918660281E-2</v>
      </c>
      <c r="P101" s="23">
        <f t="shared" si="9"/>
        <v>0.21291866028708134</v>
      </c>
      <c r="Q101" s="23">
        <f t="shared" si="10"/>
        <v>0</v>
      </c>
      <c r="R101" s="24">
        <v>146</v>
      </c>
      <c r="S101" s="24">
        <v>416</v>
      </c>
      <c r="T101" s="24">
        <v>44</v>
      </c>
      <c r="U101" s="24">
        <v>0</v>
      </c>
      <c r="V101" s="24">
        <v>606</v>
      </c>
      <c r="W101" s="27">
        <v>0.24092409240924093</v>
      </c>
      <c r="X101" s="27">
        <v>0.68646864686468645</v>
      </c>
      <c r="Y101" s="27">
        <v>7.2607260726072612E-2</v>
      </c>
      <c r="Z101" s="27">
        <v>0</v>
      </c>
      <c r="AA101" s="25">
        <v>41.965346534653463</v>
      </c>
      <c r="AB101" s="23">
        <f t="shared" si="11"/>
        <v>0.68976897689768979</v>
      </c>
    </row>
    <row r="102" spans="1:28" x14ac:dyDescent="0.25">
      <c r="A102" s="22"/>
      <c r="B102" s="22"/>
      <c r="C102" s="22"/>
      <c r="D102" s="22">
        <v>5</v>
      </c>
      <c r="E102" s="22">
        <v>436</v>
      </c>
      <c r="F102" s="22">
        <v>1</v>
      </c>
      <c r="G102" s="22">
        <v>110</v>
      </c>
      <c r="H102" s="22">
        <v>266</v>
      </c>
      <c r="I102" s="22">
        <v>58</v>
      </c>
      <c r="J102" s="22">
        <v>435</v>
      </c>
      <c r="K102" s="22">
        <v>1</v>
      </c>
      <c r="L102" s="22">
        <f t="shared" si="6"/>
        <v>436</v>
      </c>
      <c r="M102" s="22">
        <v>0</v>
      </c>
      <c r="N102" s="23">
        <f t="shared" si="7"/>
        <v>0.61009174311926606</v>
      </c>
      <c r="O102" s="23">
        <f t="shared" si="8"/>
        <v>0.13302752293577982</v>
      </c>
      <c r="P102" s="23">
        <f t="shared" si="9"/>
        <v>0.25229357798165136</v>
      </c>
      <c r="Q102" s="23">
        <f t="shared" si="10"/>
        <v>2.2935779816513763E-3</v>
      </c>
      <c r="R102" s="24">
        <v>233</v>
      </c>
      <c r="S102" s="24">
        <v>338</v>
      </c>
      <c r="T102" s="24">
        <v>36</v>
      </c>
      <c r="U102" s="24">
        <v>0</v>
      </c>
      <c r="V102" s="24">
        <v>607</v>
      </c>
      <c r="W102" s="27">
        <v>0.38385502471169686</v>
      </c>
      <c r="X102" s="27">
        <v>0.55683690280065901</v>
      </c>
      <c r="Y102" s="27">
        <v>5.9308072487644151E-2</v>
      </c>
      <c r="Z102" s="27">
        <v>0</v>
      </c>
      <c r="AA102" s="25">
        <v>34.222405271828663</v>
      </c>
      <c r="AB102" s="23">
        <f t="shared" si="11"/>
        <v>0.71828665568369032</v>
      </c>
    </row>
    <row r="103" spans="1:28" x14ac:dyDescent="0.25">
      <c r="A103" s="22"/>
      <c r="B103" s="22"/>
      <c r="C103" s="22"/>
      <c r="D103" s="22">
        <v>6</v>
      </c>
      <c r="E103" s="22">
        <v>436</v>
      </c>
      <c r="F103" s="22">
        <v>2</v>
      </c>
      <c r="G103" s="22">
        <v>108</v>
      </c>
      <c r="H103" s="22">
        <v>247</v>
      </c>
      <c r="I103" s="22">
        <v>78</v>
      </c>
      <c r="J103" s="22">
        <v>435</v>
      </c>
      <c r="K103" s="22">
        <v>1</v>
      </c>
      <c r="L103" s="22">
        <f t="shared" si="6"/>
        <v>436</v>
      </c>
      <c r="M103" s="22">
        <v>0</v>
      </c>
      <c r="N103" s="23">
        <f t="shared" si="7"/>
        <v>0.5665137614678899</v>
      </c>
      <c r="O103" s="23">
        <f t="shared" si="8"/>
        <v>0.17889908256880735</v>
      </c>
      <c r="P103" s="23">
        <f t="shared" si="9"/>
        <v>0.24770642201834864</v>
      </c>
      <c r="Q103" s="23">
        <f t="shared" si="10"/>
        <v>4.5871559633027525E-3</v>
      </c>
      <c r="R103" s="24">
        <v>271</v>
      </c>
      <c r="S103" s="24">
        <v>308</v>
      </c>
      <c r="T103" s="24">
        <v>28</v>
      </c>
      <c r="U103" s="24">
        <v>0</v>
      </c>
      <c r="V103" s="24">
        <v>607</v>
      </c>
      <c r="W103" s="27">
        <v>0.44645799011532128</v>
      </c>
      <c r="X103" s="27">
        <v>0.5074135090609555</v>
      </c>
      <c r="Y103" s="27">
        <v>4.6128500823723231E-2</v>
      </c>
      <c r="Z103" s="27">
        <v>0</v>
      </c>
      <c r="AA103" s="25">
        <v>27.331136738056014</v>
      </c>
      <c r="AB103" s="23">
        <f t="shared" si="11"/>
        <v>0.71828665568369032</v>
      </c>
    </row>
    <row r="104" spans="1:28" x14ac:dyDescent="0.25">
      <c r="A104" s="22"/>
      <c r="B104" s="22"/>
      <c r="C104" s="22"/>
      <c r="D104" s="22">
        <v>7</v>
      </c>
      <c r="E104" s="22">
        <v>489</v>
      </c>
      <c r="F104" s="22">
        <v>6</v>
      </c>
      <c r="G104" s="22">
        <v>173</v>
      </c>
      <c r="H104" s="22">
        <v>191</v>
      </c>
      <c r="I104" s="22">
        <v>114</v>
      </c>
      <c r="J104" s="22">
        <v>484</v>
      </c>
      <c r="K104" s="22">
        <v>5</v>
      </c>
      <c r="L104" s="22">
        <f t="shared" si="6"/>
        <v>489</v>
      </c>
      <c r="M104" s="22">
        <v>0</v>
      </c>
      <c r="N104" s="23">
        <f t="shared" si="7"/>
        <v>0.39059304703476483</v>
      </c>
      <c r="O104" s="23">
        <f t="shared" si="8"/>
        <v>0.23312883435582821</v>
      </c>
      <c r="P104" s="23">
        <f t="shared" si="9"/>
        <v>0.35378323108384457</v>
      </c>
      <c r="Q104" s="23">
        <f t="shared" si="10"/>
        <v>1.2269938650306749E-2</v>
      </c>
      <c r="R104" s="24">
        <v>362</v>
      </c>
      <c r="S104" s="24">
        <v>218</v>
      </c>
      <c r="T104" s="24">
        <v>27</v>
      </c>
      <c r="U104" s="24">
        <v>0</v>
      </c>
      <c r="V104" s="24">
        <v>607</v>
      </c>
      <c r="W104" s="27">
        <v>0.59637561779242176</v>
      </c>
      <c r="X104" s="27">
        <v>0.35914332784184516</v>
      </c>
      <c r="Y104" s="27">
        <v>4.4481054365733116E-2</v>
      </c>
      <c r="Z104" s="27">
        <v>0</v>
      </c>
      <c r="AA104" s="25">
        <v>21.187808896210875</v>
      </c>
      <c r="AB104" s="23">
        <f t="shared" si="11"/>
        <v>0.80560131795716639</v>
      </c>
    </row>
    <row r="105" spans="1:28" x14ac:dyDescent="0.25">
      <c r="A105" s="22">
        <v>36</v>
      </c>
      <c r="B105" s="22" t="s">
        <v>183</v>
      </c>
      <c r="C105" s="22" t="s">
        <v>184</v>
      </c>
      <c r="D105" s="22">
        <v>1</v>
      </c>
      <c r="E105" s="22">
        <v>372</v>
      </c>
      <c r="F105" s="22">
        <v>6</v>
      </c>
      <c r="G105" s="22">
        <v>250</v>
      </c>
      <c r="H105" s="22">
        <v>53</v>
      </c>
      <c r="I105" s="22">
        <v>63</v>
      </c>
      <c r="J105" s="22">
        <v>372</v>
      </c>
      <c r="K105" s="22">
        <v>0</v>
      </c>
      <c r="L105" s="22">
        <f t="shared" si="6"/>
        <v>372</v>
      </c>
      <c r="M105" s="22">
        <v>0</v>
      </c>
      <c r="N105" s="23">
        <f t="shared" si="7"/>
        <v>0.1424731182795699</v>
      </c>
      <c r="O105" s="23">
        <f t="shared" si="8"/>
        <v>0.16935483870967741</v>
      </c>
      <c r="P105" s="23">
        <f t="shared" si="9"/>
        <v>0.67204301075268813</v>
      </c>
      <c r="Q105" s="23">
        <f t="shared" si="10"/>
        <v>1.6129032258064516E-2</v>
      </c>
      <c r="R105" s="24">
        <v>432</v>
      </c>
      <c r="S105" s="24">
        <v>0</v>
      </c>
      <c r="T105" s="24">
        <v>1</v>
      </c>
      <c r="U105" s="24">
        <v>1</v>
      </c>
      <c r="V105" s="24">
        <v>434</v>
      </c>
      <c r="W105" s="27">
        <v>0.99539170506912444</v>
      </c>
      <c r="X105" s="27">
        <v>0</v>
      </c>
      <c r="Y105" s="27">
        <v>2.304147465437788E-3</v>
      </c>
      <c r="Z105" s="27">
        <v>2.304147465437788E-3</v>
      </c>
      <c r="AA105" s="25">
        <v>62.527649769585253</v>
      </c>
      <c r="AB105" s="23">
        <f t="shared" si="11"/>
        <v>0.8571428571428571</v>
      </c>
    </row>
    <row r="106" spans="1:28" x14ac:dyDescent="0.25">
      <c r="A106" s="22"/>
      <c r="B106" s="22"/>
      <c r="C106" s="22"/>
      <c r="D106" s="22">
        <v>2</v>
      </c>
      <c r="E106" s="22">
        <v>353</v>
      </c>
      <c r="F106" s="22">
        <v>1</v>
      </c>
      <c r="G106" s="22">
        <v>192</v>
      </c>
      <c r="H106" s="22">
        <v>45</v>
      </c>
      <c r="I106" s="22">
        <v>113</v>
      </c>
      <c r="J106" s="22">
        <v>351</v>
      </c>
      <c r="K106" s="22">
        <v>2</v>
      </c>
      <c r="L106" s="22">
        <f t="shared" si="6"/>
        <v>353</v>
      </c>
      <c r="M106" s="22">
        <v>0</v>
      </c>
      <c r="N106" s="23">
        <f t="shared" si="7"/>
        <v>0.12747875354107649</v>
      </c>
      <c r="O106" s="23">
        <f t="shared" si="8"/>
        <v>0.32011331444759206</v>
      </c>
      <c r="P106" s="23">
        <f t="shared" si="9"/>
        <v>0.5439093484419264</v>
      </c>
      <c r="Q106" s="23">
        <f t="shared" si="10"/>
        <v>2.8328611898016999E-3</v>
      </c>
      <c r="R106" s="24">
        <v>434</v>
      </c>
      <c r="S106" s="24">
        <v>0</v>
      </c>
      <c r="T106" s="24">
        <v>0</v>
      </c>
      <c r="U106" s="24">
        <v>0</v>
      </c>
      <c r="V106" s="24">
        <v>434</v>
      </c>
      <c r="W106" s="27">
        <v>1</v>
      </c>
      <c r="X106" s="27">
        <v>0</v>
      </c>
      <c r="Y106" s="27">
        <v>0</v>
      </c>
      <c r="Z106" s="27">
        <v>0</v>
      </c>
      <c r="AA106" s="25">
        <v>32.905529953917053</v>
      </c>
      <c r="AB106" s="23">
        <f t="shared" si="11"/>
        <v>0.81336405529953915</v>
      </c>
    </row>
    <row r="107" spans="1:28" x14ac:dyDescent="0.25">
      <c r="A107" s="22">
        <v>37</v>
      </c>
      <c r="B107" s="22" t="s">
        <v>185</v>
      </c>
      <c r="C107" s="22" t="s">
        <v>186</v>
      </c>
      <c r="D107" s="22">
        <v>1</v>
      </c>
      <c r="E107" s="22">
        <v>321</v>
      </c>
      <c r="F107" s="22">
        <v>2</v>
      </c>
      <c r="G107" s="22">
        <v>214</v>
      </c>
      <c r="H107" s="22">
        <v>61</v>
      </c>
      <c r="I107" s="22">
        <v>36</v>
      </c>
      <c r="J107" s="22">
        <v>313</v>
      </c>
      <c r="K107" s="22">
        <v>8</v>
      </c>
      <c r="L107" s="22">
        <f t="shared" si="6"/>
        <v>321</v>
      </c>
      <c r="M107" s="22">
        <v>0</v>
      </c>
      <c r="N107" s="23">
        <f t="shared" si="7"/>
        <v>0.19003115264797507</v>
      </c>
      <c r="O107" s="23">
        <f t="shared" si="8"/>
        <v>0.11214953271028037</v>
      </c>
      <c r="P107" s="23">
        <f t="shared" si="9"/>
        <v>0.66666666666666663</v>
      </c>
      <c r="Q107" s="23">
        <f t="shared" si="10"/>
        <v>6.2305295950155761E-3</v>
      </c>
      <c r="R107" s="24">
        <v>396</v>
      </c>
      <c r="S107" s="24">
        <v>35</v>
      </c>
      <c r="T107" s="24">
        <v>17</v>
      </c>
      <c r="U107" s="24">
        <v>2</v>
      </c>
      <c r="V107" s="24">
        <v>450</v>
      </c>
      <c r="W107" s="27">
        <v>0.88</v>
      </c>
      <c r="X107" s="27">
        <v>7.7777777777777779E-2</v>
      </c>
      <c r="Y107" s="27">
        <v>3.7777777777777778E-2</v>
      </c>
      <c r="Z107" s="27">
        <v>4.4444444444444444E-3</v>
      </c>
      <c r="AA107" s="25">
        <v>68.557777777777773</v>
      </c>
      <c r="AB107" s="23">
        <f t="shared" si="11"/>
        <v>0.71333333333333337</v>
      </c>
    </row>
    <row r="108" spans="1:28" x14ac:dyDescent="0.25">
      <c r="A108" s="22"/>
      <c r="B108" s="22"/>
      <c r="C108" s="22"/>
      <c r="D108" s="22">
        <v>2</v>
      </c>
      <c r="E108" s="22">
        <v>383</v>
      </c>
      <c r="F108" s="22">
        <v>2</v>
      </c>
      <c r="G108" s="22">
        <v>215</v>
      </c>
      <c r="H108" s="22">
        <v>96</v>
      </c>
      <c r="I108" s="22">
        <v>67</v>
      </c>
      <c r="J108" s="22">
        <v>380</v>
      </c>
      <c r="K108" s="22">
        <v>3</v>
      </c>
      <c r="L108" s="22">
        <f t="shared" si="6"/>
        <v>383</v>
      </c>
      <c r="M108" s="22">
        <v>0</v>
      </c>
      <c r="N108" s="23">
        <f t="shared" si="7"/>
        <v>0.25065274151436029</v>
      </c>
      <c r="O108" s="23">
        <f t="shared" si="8"/>
        <v>0.17493472584856398</v>
      </c>
      <c r="P108" s="23">
        <f t="shared" si="9"/>
        <v>0.56135770234986948</v>
      </c>
      <c r="Q108" s="23">
        <f t="shared" si="10"/>
        <v>5.2219321148825066E-3</v>
      </c>
      <c r="R108" s="24">
        <v>367</v>
      </c>
      <c r="S108" s="24">
        <v>53</v>
      </c>
      <c r="T108" s="24">
        <v>22</v>
      </c>
      <c r="U108" s="24">
        <v>8</v>
      </c>
      <c r="V108" s="24">
        <v>450</v>
      </c>
      <c r="W108" s="27">
        <v>0.81555555555555559</v>
      </c>
      <c r="X108" s="27">
        <v>0.11777777777777777</v>
      </c>
      <c r="Y108" s="27">
        <v>4.8888888888888891E-2</v>
      </c>
      <c r="Z108" s="27">
        <v>1.7777777777777778E-2</v>
      </c>
      <c r="AA108" s="25">
        <v>59.146666666666668</v>
      </c>
      <c r="AB108" s="23">
        <f t="shared" si="11"/>
        <v>0.85111111111111115</v>
      </c>
    </row>
    <row r="109" spans="1:28" x14ac:dyDescent="0.25">
      <c r="A109" s="22"/>
      <c r="B109" s="22"/>
      <c r="C109" s="22"/>
      <c r="D109" s="22">
        <v>3</v>
      </c>
      <c r="E109" s="22">
        <v>552</v>
      </c>
      <c r="F109" s="22">
        <v>4</v>
      </c>
      <c r="G109" s="22">
        <v>243</v>
      </c>
      <c r="H109" s="22">
        <v>175</v>
      </c>
      <c r="I109" s="22">
        <v>127</v>
      </c>
      <c r="J109" s="22">
        <v>549</v>
      </c>
      <c r="K109" s="22">
        <v>3</v>
      </c>
      <c r="L109" s="22">
        <f t="shared" si="6"/>
        <v>552</v>
      </c>
      <c r="M109" s="22">
        <v>0</v>
      </c>
      <c r="N109" s="23">
        <f t="shared" si="7"/>
        <v>0.3170289855072464</v>
      </c>
      <c r="O109" s="23">
        <f t="shared" si="8"/>
        <v>0.23007246376811594</v>
      </c>
      <c r="P109" s="23">
        <f t="shared" si="9"/>
        <v>0.44021739130434784</v>
      </c>
      <c r="Q109" s="23">
        <f t="shared" si="10"/>
        <v>7.246376811594203E-3</v>
      </c>
      <c r="R109" s="24">
        <v>518</v>
      </c>
      <c r="S109" s="24">
        <v>126</v>
      </c>
      <c r="T109" s="24">
        <v>36</v>
      </c>
      <c r="U109" s="24">
        <v>15</v>
      </c>
      <c r="V109" s="24">
        <v>695</v>
      </c>
      <c r="W109" s="27">
        <v>0.74532374100719423</v>
      </c>
      <c r="X109" s="27">
        <v>0.18129496402877698</v>
      </c>
      <c r="Y109" s="27">
        <v>5.1798561151079135E-2</v>
      </c>
      <c r="Z109" s="27">
        <v>2.1582733812949641E-2</v>
      </c>
      <c r="AA109" s="25">
        <v>47.120863309352515</v>
      </c>
      <c r="AB109" s="23">
        <f t="shared" si="11"/>
        <v>0.79424460431654675</v>
      </c>
    </row>
    <row r="110" spans="1:28" x14ac:dyDescent="0.25">
      <c r="A110" s="22"/>
      <c r="B110" s="22"/>
      <c r="C110" s="22"/>
      <c r="D110" s="22">
        <v>4</v>
      </c>
      <c r="E110" s="22">
        <v>532</v>
      </c>
      <c r="F110" s="22">
        <v>2</v>
      </c>
      <c r="G110" s="22">
        <v>240</v>
      </c>
      <c r="H110" s="22">
        <v>136</v>
      </c>
      <c r="I110" s="22">
        <v>152</v>
      </c>
      <c r="J110" s="22">
        <v>530</v>
      </c>
      <c r="K110" s="22">
        <v>2</v>
      </c>
      <c r="L110" s="22">
        <f t="shared" si="6"/>
        <v>532</v>
      </c>
      <c r="M110" s="22">
        <v>0</v>
      </c>
      <c r="N110" s="23">
        <f t="shared" si="7"/>
        <v>0.25563909774436089</v>
      </c>
      <c r="O110" s="23">
        <f t="shared" si="8"/>
        <v>0.2857142857142857</v>
      </c>
      <c r="P110" s="23">
        <f t="shared" si="9"/>
        <v>0.45112781954887216</v>
      </c>
      <c r="Q110" s="23">
        <f t="shared" si="10"/>
        <v>3.7593984962406013E-3</v>
      </c>
      <c r="R110" s="24">
        <v>567</v>
      </c>
      <c r="S110" s="24">
        <v>99</v>
      </c>
      <c r="T110" s="24">
        <v>13</v>
      </c>
      <c r="U110" s="24">
        <v>16</v>
      </c>
      <c r="V110" s="24">
        <v>695</v>
      </c>
      <c r="W110" s="27">
        <v>0.81582733812949637</v>
      </c>
      <c r="X110" s="27">
        <v>0.14244604316546763</v>
      </c>
      <c r="Y110" s="27">
        <v>1.870503597122302E-2</v>
      </c>
      <c r="Z110" s="27">
        <v>2.302158273381295E-2</v>
      </c>
      <c r="AA110" s="25">
        <v>34.958273381294966</v>
      </c>
      <c r="AB110" s="23">
        <f t="shared" si="11"/>
        <v>0.76546762589928052</v>
      </c>
    </row>
    <row r="111" spans="1:28" x14ac:dyDescent="0.25">
      <c r="A111" s="22"/>
      <c r="B111" s="22"/>
      <c r="C111" s="22"/>
      <c r="D111" s="22">
        <v>5</v>
      </c>
      <c r="E111" s="22">
        <v>543</v>
      </c>
      <c r="F111" s="22">
        <v>3</v>
      </c>
      <c r="G111" s="22">
        <v>248</v>
      </c>
      <c r="H111" s="22">
        <v>143</v>
      </c>
      <c r="I111" s="22">
        <v>145</v>
      </c>
      <c r="J111" s="22">
        <v>539</v>
      </c>
      <c r="K111" s="22">
        <v>4</v>
      </c>
      <c r="L111" s="22">
        <f t="shared" si="6"/>
        <v>543</v>
      </c>
      <c r="M111" s="22">
        <v>0</v>
      </c>
      <c r="N111" s="23">
        <f t="shared" si="7"/>
        <v>0.26335174953959484</v>
      </c>
      <c r="O111" s="23">
        <f t="shared" si="8"/>
        <v>0.26703499079189685</v>
      </c>
      <c r="P111" s="23">
        <f t="shared" si="9"/>
        <v>0.4567219152854512</v>
      </c>
      <c r="Q111" s="23">
        <f t="shared" si="10"/>
        <v>5.5248618784530384E-3</v>
      </c>
      <c r="R111" s="24">
        <v>564</v>
      </c>
      <c r="S111" s="24">
        <v>87</v>
      </c>
      <c r="T111" s="24">
        <v>32</v>
      </c>
      <c r="U111" s="24">
        <v>12</v>
      </c>
      <c r="V111" s="24">
        <v>695</v>
      </c>
      <c r="W111" s="27">
        <v>0.81151079136690651</v>
      </c>
      <c r="X111" s="27">
        <v>0.1251798561151079</v>
      </c>
      <c r="Y111" s="27">
        <v>4.60431654676259E-2</v>
      </c>
      <c r="Z111" s="27">
        <v>1.7266187050359712E-2</v>
      </c>
      <c r="AA111" s="25">
        <v>23.943884892086331</v>
      </c>
      <c r="AB111" s="23">
        <f t="shared" si="11"/>
        <v>0.78129496402877696</v>
      </c>
    </row>
    <row r="112" spans="1:28" x14ac:dyDescent="0.25">
      <c r="A112" s="22">
        <v>38</v>
      </c>
      <c r="B112" s="22" t="s">
        <v>187</v>
      </c>
      <c r="C112" s="22" t="s">
        <v>188</v>
      </c>
      <c r="D112" s="22">
        <v>1</v>
      </c>
      <c r="E112" s="22">
        <v>282</v>
      </c>
      <c r="F112" s="22">
        <v>4</v>
      </c>
      <c r="G112" s="22">
        <v>111</v>
      </c>
      <c r="H112" s="22">
        <v>145</v>
      </c>
      <c r="I112" s="22">
        <v>18</v>
      </c>
      <c r="J112" s="22">
        <v>278</v>
      </c>
      <c r="K112" s="22">
        <v>4</v>
      </c>
      <c r="L112" s="22">
        <f t="shared" si="6"/>
        <v>282</v>
      </c>
      <c r="M112" s="22">
        <v>0</v>
      </c>
      <c r="N112" s="23">
        <f t="shared" si="7"/>
        <v>0.51418439716312059</v>
      </c>
      <c r="O112" s="23">
        <f t="shared" si="8"/>
        <v>6.3829787234042548E-2</v>
      </c>
      <c r="P112" s="23">
        <f t="shared" si="9"/>
        <v>0.39361702127659576</v>
      </c>
      <c r="Q112" s="23">
        <f t="shared" si="10"/>
        <v>1.4184397163120567E-2</v>
      </c>
      <c r="R112" s="24">
        <v>132</v>
      </c>
      <c r="S112" s="24">
        <v>252</v>
      </c>
      <c r="T112" s="24">
        <v>63</v>
      </c>
      <c r="U112" s="24">
        <v>3</v>
      </c>
      <c r="V112" s="24">
        <v>450</v>
      </c>
      <c r="W112" s="27">
        <v>0.29333333333333333</v>
      </c>
      <c r="X112" s="27">
        <v>0.56000000000000005</v>
      </c>
      <c r="Y112" s="27">
        <v>0.14000000000000001</v>
      </c>
      <c r="Z112" s="27">
        <v>6.6666666666666671E-3</v>
      </c>
      <c r="AA112" s="25">
        <v>73.277777777777771</v>
      </c>
      <c r="AB112" s="23">
        <f t="shared" si="11"/>
        <v>0.62666666666666671</v>
      </c>
    </row>
    <row r="113" spans="1:28" x14ac:dyDescent="0.25">
      <c r="A113" s="22"/>
      <c r="B113" s="22"/>
      <c r="C113" s="22"/>
      <c r="D113" s="22">
        <v>2</v>
      </c>
      <c r="E113" s="22">
        <v>339</v>
      </c>
      <c r="F113" s="22">
        <v>1</v>
      </c>
      <c r="G113" s="22">
        <v>117</v>
      </c>
      <c r="H113" s="22">
        <v>174</v>
      </c>
      <c r="I113" s="22">
        <v>41</v>
      </c>
      <c r="J113" s="22">
        <v>333</v>
      </c>
      <c r="K113" s="22">
        <v>6</v>
      </c>
      <c r="L113" s="22">
        <f t="shared" si="6"/>
        <v>339</v>
      </c>
      <c r="M113" s="22">
        <v>0</v>
      </c>
      <c r="N113" s="23">
        <f t="shared" si="7"/>
        <v>0.51327433628318586</v>
      </c>
      <c r="O113" s="23">
        <f t="shared" si="8"/>
        <v>0.12094395280235988</v>
      </c>
      <c r="P113" s="23">
        <f t="shared" si="9"/>
        <v>0.34513274336283184</v>
      </c>
      <c r="Q113" s="23">
        <f t="shared" si="10"/>
        <v>2.9498525073746312E-3</v>
      </c>
      <c r="R113" s="24">
        <v>212</v>
      </c>
      <c r="S113" s="24">
        <v>186</v>
      </c>
      <c r="T113" s="24">
        <v>50</v>
      </c>
      <c r="U113" s="24">
        <v>2</v>
      </c>
      <c r="V113" s="24">
        <v>450</v>
      </c>
      <c r="W113" s="27">
        <v>0.47111111111111109</v>
      </c>
      <c r="X113" s="27">
        <v>0.41333333333333333</v>
      </c>
      <c r="Y113" s="27">
        <v>0.1111111111111111</v>
      </c>
      <c r="Z113" s="27">
        <v>4.4444444444444444E-3</v>
      </c>
      <c r="AA113" s="25">
        <v>58.373333333333335</v>
      </c>
      <c r="AB113" s="23">
        <f t="shared" si="11"/>
        <v>0.7533333333333333</v>
      </c>
    </row>
    <row r="114" spans="1:28" x14ac:dyDescent="0.25">
      <c r="A114" s="22"/>
      <c r="B114" s="22"/>
      <c r="C114" s="22"/>
      <c r="D114" s="22">
        <v>3</v>
      </c>
      <c r="E114" s="22">
        <v>343</v>
      </c>
      <c r="F114" s="22">
        <v>1</v>
      </c>
      <c r="G114" s="22">
        <v>115</v>
      </c>
      <c r="H114" s="22">
        <v>176</v>
      </c>
      <c r="I114" s="22">
        <v>47</v>
      </c>
      <c r="J114" s="22">
        <v>339</v>
      </c>
      <c r="K114" s="22">
        <v>3</v>
      </c>
      <c r="L114" s="22">
        <f t="shared" si="6"/>
        <v>342</v>
      </c>
      <c r="M114" s="22">
        <v>1</v>
      </c>
      <c r="N114" s="23">
        <f t="shared" si="7"/>
        <v>0.51461988304093564</v>
      </c>
      <c r="O114" s="23">
        <f t="shared" si="8"/>
        <v>0.13742690058479531</v>
      </c>
      <c r="P114" s="23">
        <f t="shared" si="9"/>
        <v>0.33625730994152048</v>
      </c>
      <c r="Q114" s="23">
        <f t="shared" si="10"/>
        <v>2.9239766081871343E-3</v>
      </c>
      <c r="R114" s="24">
        <v>231</v>
      </c>
      <c r="S114" s="24">
        <v>218</v>
      </c>
      <c r="T114" s="24">
        <v>14</v>
      </c>
      <c r="U114" s="24">
        <v>0</v>
      </c>
      <c r="V114" s="24">
        <v>463</v>
      </c>
      <c r="W114" s="27">
        <v>0.49892008639308855</v>
      </c>
      <c r="X114" s="27">
        <v>0.47084233261339092</v>
      </c>
      <c r="Y114" s="27">
        <v>3.0237580993520519E-2</v>
      </c>
      <c r="Z114" s="27">
        <v>0</v>
      </c>
      <c r="AA114" s="25">
        <v>41.557235421166304</v>
      </c>
      <c r="AB114" s="23">
        <f t="shared" si="11"/>
        <v>0.73866090712742982</v>
      </c>
    </row>
    <row r="115" spans="1:28" x14ac:dyDescent="0.25">
      <c r="A115" s="22"/>
      <c r="B115" s="22"/>
      <c r="C115" s="22"/>
      <c r="D115" s="22">
        <v>4</v>
      </c>
      <c r="E115" s="22">
        <v>337</v>
      </c>
      <c r="F115" s="22">
        <v>3</v>
      </c>
      <c r="G115" s="22">
        <v>114</v>
      </c>
      <c r="H115" s="22">
        <v>155</v>
      </c>
      <c r="I115" s="22">
        <v>63</v>
      </c>
      <c r="J115" s="22">
        <v>335</v>
      </c>
      <c r="K115" s="22">
        <v>2</v>
      </c>
      <c r="L115" s="22">
        <f t="shared" si="6"/>
        <v>337</v>
      </c>
      <c r="M115" s="22">
        <v>0</v>
      </c>
      <c r="N115" s="23">
        <f t="shared" si="7"/>
        <v>0.4599406528189911</v>
      </c>
      <c r="O115" s="23">
        <f t="shared" si="8"/>
        <v>0.18694362017804153</v>
      </c>
      <c r="P115" s="23">
        <f t="shared" si="9"/>
        <v>0.33827893175074186</v>
      </c>
      <c r="Q115" s="23">
        <f t="shared" si="10"/>
        <v>8.9020771513353119E-3</v>
      </c>
      <c r="R115" s="24">
        <v>291</v>
      </c>
      <c r="S115" s="24">
        <v>156</v>
      </c>
      <c r="T115" s="24">
        <v>15</v>
      </c>
      <c r="U115" s="24">
        <v>1</v>
      </c>
      <c r="V115" s="24">
        <v>463</v>
      </c>
      <c r="W115" s="27">
        <v>0.62850971922246224</v>
      </c>
      <c r="X115" s="27">
        <v>0.33693304535637147</v>
      </c>
      <c r="Y115" s="27">
        <v>3.2397408207343416E-2</v>
      </c>
      <c r="Z115" s="27">
        <v>2.1598272138228943E-3</v>
      </c>
      <c r="AA115" s="25">
        <v>25.900647948164146</v>
      </c>
      <c r="AB115" s="23">
        <f t="shared" si="11"/>
        <v>0.72786177105831529</v>
      </c>
    </row>
    <row r="116" spans="1:28" x14ac:dyDescent="0.25">
      <c r="A116" s="22">
        <v>39</v>
      </c>
      <c r="B116" s="22" t="s">
        <v>189</v>
      </c>
      <c r="C116" s="22" t="s">
        <v>190</v>
      </c>
      <c r="D116" s="22">
        <v>1</v>
      </c>
      <c r="E116" s="22">
        <v>338</v>
      </c>
      <c r="F116" s="22">
        <v>4</v>
      </c>
      <c r="G116" s="22">
        <v>219</v>
      </c>
      <c r="H116" s="22">
        <v>66</v>
      </c>
      <c r="I116" s="22">
        <v>43</v>
      </c>
      <c r="J116" s="22">
        <v>332</v>
      </c>
      <c r="K116" s="22">
        <v>6</v>
      </c>
      <c r="L116" s="22">
        <f t="shared" si="6"/>
        <v>338</v>
      </c>
      <c r="M116" s="22">
        <v>0</v>
      </c>
      <c r="N116" s="23">
        <f t="shared" si="7"/>
        <v>0.19526627218934911</v>
      </c>
      <c r="O116" s="23">
        <f t="shared" si="8"/>
        <v>0.12721893491124261</v>
      </c>
      <c r="P116" s="23">
        <f t="shared" si="9"/>
        <v>0.64792899408284022</v>
      </c>
      <c r="Q116" s="23">
        <f t="shared" si="10"/>
        <v>1.1834319526627219E-2</v>
      </c>
      <c r="R116" s="24">
        <v>422</v>
      </c>
      <c r="S116" s="24">
        <v>3</v>
      </c>
      <c r="T116" s="24">
        <v>4</v>
      </c>
      <c r="U116" s="24">
        <v>7</v>
      </c>
      <c r="V116" s="24">
        <v>436</v>
      </c>
      <c r="W116" s="27">
        <v>0.9678899082568807</v>
      </c>
      <c r="X116" s="27">
        <v>6.8807339449541288E-3</v>
      </c>
      <c r="Y116" s="27">
        <v>9.1743119266055051E-3</v>
      </c>
      <c r="Z116" s="27">
        <v>1.6055045871559634E-2</v>
      </c>
      <c r="AA116" s="25">
        <v>66.176605504587158</v>
      </c>
      <c r="AB116" s="23">
        <f t="shared" si="11"/>
        <v>0.77522935779816515</v>
      </c>
    </row>
    <row r="117" spans="1:28" x14ac:dyDescent="0.25">
      <c r="A117" s="22"/>
      <c r="B117" s="22"/>
      <c r="C117" s="22"/>
      <c r="D117" s="22">
        <v>2</v>
      </c>
      <c r="E117" s="22">
        <v>342</v>
      </c>
      <c r="F117" s="22">
        <v>7</v>
      </c>
      <c r="G117" s="22">
        <v>164</v>
      </c>
      <c r="H117" s="22">
        <v>56</v>
      </c>
      <c r="I117" s="22">
        <v>115</v>
      </c>
      <c r="J117" s="22">
        <v>342</v>
      </c>
      <c r="K117" s="22">
        <v>0</v>
      </c>
      <c r="L117" s="22">
        <f t="shared" si="6"/>
        <v>342</v>
      </c>
      <c r="M117" s="22">
        <v>0</v>
      </c>
      <c r="N117" s="23">
        <f t="shared" si="7"/>
        <v>0.16374269005847952</v>
      </c>
      <c r="O117" s="23">
        <f t="shared" si="8"/>
        <v>0.33625730994152048</v>
      </c>
      <c r="P117" s="23">
        <f t="shared" si="9"/>
        <v>0.47953216374269003</v>
      </c>
      <c r="Q117" s="23">
        <f t="shared" si="10"/>
        <v>2.046783625730994E-2</v>
      </c>
      <c r="R117" s="24">
        <v>420</v>
      </c>
      <c r="S117" s="24">
        <v>1</v>
      </c>
      <c r="T117" s="24">
        <v>0</v>
      </c>
      <c r="U117" s="24">
        <v>15</v>
      </c>
      <c r="V117" s="24">
        <v>436</v>
      </c>
      <c r="W117" s="27">
        <v>0.96330275229357798</v>
      </c>
      <c r="X117" s="27">
        <v>2.2935779816513763E-3</v>
      </c>
      <c r="Y117" s="27">
        <v>0</v>
      </c>
      <c r="Z117" s="27">
        <v>3.4403669724770644E-2</v>
      </c>
      <c r="AA117" s="25">
        <v>45.571100917431195</v>
      </c>
      <c r="AB117" s="23">
        <f t="shared" si="11"/>
        <v>0.7844036697247706</v>
      </c>
    </row>
    <row r="118" spans="1:28" x14ac:dyDescent="0.25">
      <c r="A118" s="22"/>
      <c r="B118" s="22"/>
      <c r="C118" s="22"/>
      <c r="D118" s="22">
        <v>3</v>
      </c>
      <c r="E118" s="22">
        <v>346</v>
      </c>
      <c r="F118" s="22">
        <v>7</v>
      </c>
      <c r="G118" s="22">
        <v>147</v>
      </c>
      <c r="H118" s="22">
        <v>65</v>
      </c>
      <c r="I118" s="22">
        <v>123</v>
      </c>
      <c r="J118" s="22">
        <v>342</v>
      </c>
      <c r="K118" s="22">
        <v>4</v>
      </c>
      <c r="L118" s="22">
        <f t="shared" si="6"/>
        <v>346</v>
      </c>
      <c r="M118" s="22">
        <v>0</v>
      </c>
      <c r="N118" s="23">
        <f t="shared" si="7"/>
        <v>0.18786127167630057</v>
      </c>
      <c r="O118" s="23">
        <f t="shared" si="8"/>
        <v>0.3554913294797688</v>
      </c>
      <c r="P118" s="23">
        <f t="shared" si="9"/>
        <v>0.42485549132947975</v>
      </c>
      <c r="Q118" s="23">
        <f t="shared" si="10"/>
        <v>2.023121387283237E-2</v>
      </c>
      <c r="R118" s="24">
        <v>423</v>
      </c>
      <c r="S118" s="24">
        <v>0</v>
      </c>
      <c r="T118" s="24">
        <v>5</v>
      </c>
      <c r="U118" s="24">
        <v>9</v>
      </c>
      <c r="V118" s="24">
        <v>437</v>
      </c>
      <c r="W118" s="27">
        <v>0.96796338672768878</v>
      </c>
      <c r="X118" s="27">
        <v>0</v>
      </c>
      <c r="Y118" s="27">
        <v>1.1441647597254004E-2</v>
      </c>
      <c r="Z118" s="27">
        <v>2.0594965675057208E-2</v>
      </c>
      <c r="AA118" s="25">
        <v>27.805491990846683</v>
      </c>
      <c r="AB118" s="23">
        <f t="shared" si="11"/>
        <v>0.79176201372997712</v>
      </c>
    </row>
    <row r="119" spans="1:28" x14ac:dyDescent="0.25">
      <c r="A119" s="22">
        <v>40</v>
      </c>
      <c r="B119" s="22" t="s">
        <v>191</v>
      </c>
      <c r="C119" s="22" t="s">
        <v>192</v>
      </c>
      <c r="D119" s="22">
        <v>1</v>
      </c>
      <c r="E119" s="22">
        <v>345</v>
      </c>
      <c r="F119" s="22">
        <v>4</v>
      </c>
      <c r="G119" s="22">
        <v>230</v>
      </c>
      <c r="H119" s="22">
        <v>43</v>
      </c>
      <c r="I119" s="22">
        <v>63</v>
      </c>
      <c r="J119" s="22">
        <v>340</v>
      </c>
      <c r="K119" s="22">
        <v>5</v>
      </c>
      <c r="L119" s="22">
        <f t="shared" si="6"/>
        <v>345</v>
      </c>
      <c r="M119" s="22">
        <v>0</v>
      </c>
      <c r="N119" s="23">
        <f t="shared" si="7"/>
        <v>0.1246376811594203</v>
      </c>
      <c r="O119" s="23">
        <f t="shared" si="8"/>
        <v>0.18260869565217391</v>
      </c>
      <c r="P119" s="23">
        <f t="shared" si="9"/>
        <v>0.66666666666666663</v>
      </c>
      <c r="Q119" s="23">
        <f t="shared" si="10"/>
        <v>1.1594202898550725E-2</v>
      </c>
      <c r="R119" s="24">
        <v>389</v>
      </c>
      <c r="S119" s="24">
        <v>0</v>
      </c>
      <c r="T119" s="24">
        <v>0</v>
      </c>
      <c r="U119" s="24">
        <v>29</v>
      </c>
      <c r="V119" s="24">
        <v>418</v>
      </c>
      <c r="W119" s="27">
        <v>0.93062200956937802</v>
      </c>
      <c r="X119" s="27">
        <v>0</v>
      </c>
      <c r="Y119" s="27">
        <v>0</v>
      </c>
      <c r="Z119" s="27">
        <v>6.9377990430622011E-2</v>
      </c>
      <c r="AA119" s="25">
        <v>61.155502392344495</v>
      </c>
      <c r="AB119" s="23">
        <f t="shared" si="11"/>
        <v>0.82535885167464118</v>
      </c>
    </row>
    <row r="120" spans="1:28" x14ac:dyDescent="0.25">
      <c r="A120" s="22"/>
      <c r="B120" s="22"/>
      <c r="C120" s="22"/>
      <c r="D120" s="22">
        <v>2</v>
      </c>
      <c r="E120" s="22">
        <v>336</v>
      </c>
      <c r="F120" s="22">
        <v>1</v>
      </c>
      <c r="G120" s="22">
        <v>208</v>
      </c>
      <c r="H120" s="22">
        <v>32</v>
      </c>
      <c r="I120" s="22">
        <v>93</v>
      </c>
      <c r="J120" s="22">
        <v>334</v>
      </c>
      <c r="K120" s="22">
        <v>2</v>
      </c>
      <c r="L120" s="22">
        <f t="shared" si="6"/>
        <v>336</v>
      </c>
      <c r="M120" s="22">
        <v>0</v>
      </c>
      <c r="N120" s="23">
        <f t="shared" si="7"/>
        <v>9.5238095238095233E-2</v>
      </c>
      <c r="O120" s="23">
        <f t="shared" si="8"/>
        <v>0.2767857142857143</v>
      </c>
      <c r="P120" s="23">
        <f t="shared" si="9"/>
        <v>0.61904761904761907</v>
      </c>
      <c r="Q120" s="23">
        <f t="shared" si="10"/>
        <v>2.976190476190476E-3</v>
      </c>
      <c r="R120" s="24">
        <v>360</v>
      </c>
      <c r="S120" s="24">
        <v>2</v>
      </c>
      <c r="T120" s="24">
        <v>3</v>
      </c>
      <c r="U120" s="24">
        <v>53</v>
      </c>
      <c r="V120" s="24">
        <v>418</v>
      </c>
      <c r="W120" s="27">
        <v>0.86124401913875603</v>
      </c>
      <c r="X120" s="27">
        <v>4.7846889952153108E-3</v>
      </c>
      <c r="Y120" s="27">
        <v>7.1770334928229667E-3</v>
      </c>
      <c r="Z120" s="27">
        <v>0.12679425837320574</v>
      </c>
      <c r="AA120" s="25">
        <v>30.894736842105264</v>
      </c>
      <c r="AB120" s="23">
        <f t="shared" si="11"/>
        <v>0.80382775119617222</v>
      </c>
    </row>
    <row r="121" spans="1:28" x14ac:dyDescent="0.25">
      <c r="A121" s="22" t="s">
        <v>193</v>
      </c>
      <c r="B121" s="22"/>
      <c r="C121" s="22"/>
      <c r="D121" s="22">
        <v>119</v>
      </c>
      <c r="E121" s="22">
        <v>46008</v>
      </c>
      <c r="F121" s="22">
        <v>253</v>
      </c>
      <c r="G121" s="22">
        <v>21805</v>
      </c>
      <c r="H121" s="22">
        <v>13680</v>
      </c>
      <c r="I121" s="22">
        <v>9596</v>
      </c>
      <c r="J121" s="22">
        <v>45334</v>
      </c>
      <c r="K121" s="22">
        <v>573</v>
      </c>
      <c r="L121" s="22">
        <f t="shared" si="6"/>
        <v>45907</v>
      </c>
      <c r="M121" s="22">
        <v>101</v>
      </c>
      <c r="N121" s="23">
        <f t="shared" si="7"/>
        <v>0.29799377001328775</v>
      </c>
      <c r="O121" s="23">
        <f t="shared" si="8"/>
        <v>0.2090313024157536</v>
      </c>
      <c r="P121" s="23">
        <f t="shared" si="9"/>
        <v>0.47498202888448382</v>
      </c>
      <c r="Q121" s="23">
        <f t="shared" si="10"/>
        <v>5.5111420916200147E-3</v>
      </c>
      <c r="R121" s="24">
        <v>39988</v>
      </c>
      <c r="S121" s="24">
        <v>13911</v>
      </c>
      <c r="T121" s="24">
        <v>3354</v>
      </c>
      <c r="U121" s="24">
        <v>2308</v>
      </c>
      <c r="V121" s="24">
        <v>59561</v>
      </c>
      <c r="W121" s="27">
        <v>0.67137892244925368</v>
      </c>
      <c r="X121" s="27">
        <v>0.23355887241651416</v>
      </c>
      <c r="Y121" s="27">
        <v>5.6312016252245599E-2</v>
      </c>
      <c r="Z121" s="27">
        <v>3.8750188881986537E-2</v>
      </c>
      <c r="AA121" s="25">
        <v>45.304073122174231</v>
      </c>
      <c r="AB121" s="23">
        <f t="shared" si="11"/>
        <v>0.77075603163143669</v>
      </c>
    </row>
    <row r="123" spans="1:28" x14ac:dyDescent="0.25">
      <c r="A123" s="22"/>
      <c r="B123" s="22"/>
      <c r="C123" s="22" t="s">
        <v>302</v>
      </c>
      <c r="D123" s="22"/>
      <c r="E123" s="22">
        <f>SUM(E3:E7)</f>
        <v>543</v>
      </c>
      <c r="F123" s="22">
        <f t="shared" ref="F123:M123" si="12">SUM(F3:F7)</f>
        <v>2</v>
      </c>
      <c r="G123" s="22">
        <f t="shared" si="12"/>
        <v>350</v>
      </c>
      <c r="H123" s="22">
        <f t="shared" si="12"/>
        <v>22</v>
      </c>
      <c r="I123" s="22">
        <f t="shared" si="12"/>
        <v>166</v>
      </c>
      <c r="J123" s="22">
        <f t="shared" si="12"/>
        <v>540</v>
      </c>
      <c r="K123" s="22">
        <f t="shared" si="12"/>
        <v>3</v>
      </c>
      <c r="L123" s="22">
        <f t="shared" si="12"/>
        <v>543</v>
      </c>
      <c r="M123" s="22">
        <f t="shared" si="12"/>
        <v>0</v>
      </c>
      <c r="N123" s="23">
        <f>H123/L123</f>
        <v>4.0515653775322284E-2</v>
      </c>
      <c r="O123" s="23">
        <f>I123/L123</f>
        <v>0.30570902394106814</v>
      </c>
      <c r="P123" s="23">
        <f>G123/L123</f>
        <v>0.64456721915285453</v>
      </c>
      <c r="Q123" s="23">
        <f>F123/L123</f>
        <v>3.6832412523020259E-3</v>
      </c>
      <c r="R123" s="22">
        <f>SUM(R3:R7)</f>
        <v>675</v>
      </c>
      <c r="S123" s="22">
        <f>SUM(S3:S7)</f>
        <v>10</v>
      </c>
      <c r="T123" s="22">
        <f>SUM(T3:T7)</f>
        <v>24</v>
      </c>
      <c r="U123" s="22">
        <f>SUM(U3:U7)</f>
        <v>30</v>
      </c>
      <c r="V123" s="22">
        <f>SUM(V3:V7)</f>
        <v>739</v>
      </c>
      <c r="W123" s="23">
        <f>R123/V123</f>
        <v>0.91339648173207033</v>
      </c>
      <c r="X123" s="23">
        <f>S123/V123</f>
        <v>1.3531799729364006E-2</v>
      </c>
      <c r="Y123" s="23">
        <f>T123/V123</f>
        <v>3.2476319350473612E-2</v>
      </c>
      <c r="Z123" s="23">
        <f>U123/V123</f>
        <v>4.0595399188092018E-2</v>
      </c>
      <c r="AA123" s="28">
        <f>AVERAGE(AA3:AA7)</f>
        <v>35.699378832363109</v>
      </c>
      <c r="AB123" s="23">
        <f>J123/V123</f>
        <v>0.73071718538565633</v>
      </c>
    </row>
    <row r="125" spans="1:28" ht="13.8" x14ac:dyDescent="0.3">
      <c r="B125" s="38" t="s">
        <v>303</v>
      </c>
      <c r="C125" s="38" t="s">
        <v>304</v>
      </c>
      <c r="D125" s="22"/>
      <c r="E125" s="22">
        <f>SUM(E8:E34)</f>
        <v>10931</v>
      </c>
      <c r="F125" s="22">
        <f t="shared" ref="F125:M125" si="13">SUM(F8:F34)</f>
        <v>44</v>
      </c>
      <c r="G125" s="22">
        <f t="shared" si="13"/>
        <v>4411</v>
      </c>
      <c r="H125" s="22">
        <f t="shared" si="13"/>
        <v>4737</v>
      </c>
      <c r="I125" s="22">
        <f t="shared" si="13"/>
        <v>1611</v>
      </c>
      <c r="J125" s="22">
        <f t="shared" si="13"/>
        <v>10803</v>
      </c>
      <c r="K125" s="22">
        <f t="shared" si="13"/>
        <v>127</v>
      </c>
      <c r="L125" s="22">
        <f t="shared" si="13"/>
        <v>10930</v>
      </c>
      <c r="M125" s="22">
        <f t="shared" si="13"/>
        <v>1</v>
      </c>
      <c r="N125" s="23">
        <f>H125/L125</f>
        <v>0.43339432753888379</v>
      </c>
      <c r="O125" s="23">
        <f>I125/L125</f>
        <v>0.14739249771271729</v>
      </c>
      <c r="P125" s="23">
        <f>G125/L125</f>
        <v>0.40356816102470267</v>
      </c>
      <c r="Q125" s="23">
        <f>F125/L125</f>
        <v>4.0256175663311985E-3</v>
      </c>
      <c r="R125" s="22">
        <f>SUM(R8:R34)</f>
        <v>7072</v>
      </c>
      <c r="S125" s="22">
        <f>SUM(S8:S34)</f>
        <v>6463</v>
      </c>
      <c r="T125" s="22">
        <f>SUM(T8:T34)</f>
        <v>371</v>
      </c>
      <c r="U125" s="22">
        <f>SUM(U8:U34)</f>
        <v>629</v>
      </c>
      <c r="V125" s="22">
        <f>SUM(V8:V34)</f>
        <v>14535</v>
      </c>
      <c r="W125" s="23">
        <f>R125/V125</f>
        <v>0.48654970760233918</v>
      </c>
      <c r="X125" s="23">
        <f>S125/V125</f>
        <v>0.44465084279325767</v>
      </c>
      <c r="Y125" s="23">
        <f>T125/V125</f>
        <v>2.5524595803233574E-2</v>
      </c>
      <c r="Z125" s="23">
        <f>U125/V125</f>
        <v>4.3274853801169591E-2</v>
      </c>
      <c r="AA125" s="28"/>
      <c r="AB125" s="23">
        <f>J125/V125</f>
        <v>0.74324045407636741</v>
      </c>
    </row>
    <row r="126" spans="1:28" ht="13.8" x14ac:dyDescent="0.3">
      <c r="B126" s="38" t="s">
        <v>305</v>
      </c>
      <c r="C126" s="38" t="s">
        <v>306</v>
      </c>
      <c r="D126" s="22"/>
      <c r="E126" s="22">
        <f>SUM(E35:E60)</f>
        <v>9562</v>
      </c>
      <c r="F126" s="22">
        <f t="shared" ref="F126:M126" si="14">SUM(F35:F60)</f>
        <v>44</v>
      </c>
      <c r="G126" s="22">
        <f t="shared" si="14"/>
        <v>4677</v>
      </c>
      <c r="H126" s="22">
        <f t="shared" si="14"/>
        <v>2789</v>
      </c>
      <c r="I126" s="22">
        <f t="shared" si="14"/>
        <v>1948</v>
      </c>
      <c r="J126" s="22">
        <f t="shared" si="14"/>
        <v>9458</v>
      </c>
      <c r="K126" s="22">
        <f t="shared" si="14"/>
        <v>104</v>
      </c>
      <c r="L126" s="22">
        <f t="shared" si="14"/>
        <v>9562</v>
      </c>
      <c r="M126" s="22">
        <f t="shared" si="14"/>
        <v>0</v>
      </c>
      <c r="N126" s="23">
        <f>H126/L126</f>
        <v>0.29167538171930557</v>
      </c>
      <c r="O126" s="23">
        <f>I126/L126</f>
        <v>0.20372307048734575</v>
      </c>
      <c r="P126" s="23">
        <f>G126/L126</f>
        <v>0.48912361430663043</v>
      </c>
      <c r="Q126" s="23">
        <f>F126/L126</f>
        <v>4.6015477933486716E-3</v>
      </c>
      <c r="R126" s="22">
        <f>SUM(R35:R60)</f>
        <v>8648</v>
      </c>
      <c r="S126" s="22">
        <f>SUM(S35:S60)</f>
        <v>2597</v>
      </c>
      <c r="T126" s="22">
        <f>SUM(T35:T60)</f>
        <v>882</v>
      </c>
      <c r="U126" s="22">
        <f>SUM(U35:U60)</f>
        <v>713</v>
      </c>
      <c r="V126" s="22">
        <f>SUM(V35:V60)</f>
        <v>12840</v>
      </c>
      <c r="W126" s="23">
        <f>R126/V126</f>
        <v>0.67352024922118381</v>
      </c>
      <c r="X126" s="23">
        <f>S126/V126</f>
        <v>0.20225856697819314</v>
      </c>
      <c r="Y126" s="23">
        <f>T126/V126</f>
        <v>6.8691588785046734E-2</v>
      </c>
      <c r="Z126" s="23">
        <f>U126/V126</f>
        <v>5.5529595015576326E-2</v>
      </c>
      <c r="AA126" s="28"/>
      <c r="AB126" s="23">
        <f>J126/V126</f>
        <v>0.7366043613707165</v>
      </c>
    </row>
    <row r="127" spans="1:28" ht="13.8" x14ac:dyDescent="0.3">
      <c r="B127" s="38" t="s">
        <v>307</v>
      </c>
      <c r="C127" s="38" t="s">
        <v>308</v>
      </c>
      <c r="D127" s="22"/>
      <c r="E127" s="22">
        <f>SUM(E61:E95)</f>
        <v>13914</v>
      </c>
      <c r="F127" s="22">
        <f t="shared" ref="F127:M127" si="15">SUM(F61:F95)</f>
        <v>81</v>
      </c>
      <c r="G127" s="22">
        <f t="shared" si="15"/>
        <v>7595</v>
      </c>
      <c r="H127" s="22">
        <f t="shared" si="15"/>
        <v>2375</v>
      </c>
      <c r="I127" s="22">
        <f t="shared" si="15"/>
        <v>3683</v>
      </c>
      <c r="J127" s="22">
        <f t="shared" si="15"/>
        <v>13734</v>
      </c>
      <c r="K127" s="22">
        <f t="shared" si="15"/>
        <v>180</v>
      </c>
      <c r="L127" s="22">
        <f t="shared" si="15"/>
        <v>13914</v>
      </c>
      <c r="M127" s="22">
        <f t="shared" si="15"/>
        <v>0</v>
      </c>
      <c r="N127" s="23">
        <f>H127/L127</f>
        <v>0.17069138996693978</v>
      </c>
      <c r="O127" s="23">
        <f>I127/L127</f>
        <v>0.2646974270518902</v>
      </c>
      <c r="P127" s="23">
        <f>G127/L127</f>
        <v>0.54585309759954004</v>
      </c>
      <c r="Q127" s="23">
        <f>F127/L127</f>
        <v>5.8214747736093147E-3</v>
      </c>
      <c r="R127" s="22">
        <f>SUM(R61:R95)</f>
        <v>15120</v>
      </c>
      <c r="S127" s="22">
        <f>SUM(S61:S95)</f>
        <v>1157</v>
      </c>
      <c r="T127" s="22">
        <f>SUM(T61:T95)</f>
        <v>1580</v>
      </c>
      <c r="U127" s="22">
        <f>SUM(U61:U95)</f>
        <v>758</v>
      </c>
      <c r="V127" s="22">
        <f>SUM(V61:V95)</f>
        <v>18615</v>
      </c>
      <c r="W127" s="23">
        <f>R127/V127</f>
        <v>0.81224818694601131</v>
      </c>
      <c r="X127" s="23">
        <f>S127/V127</f>
        <v>6.2154176739188827E-2</v>
      </c>
      <c r="Y127" s="23">
        <f>T127/V127</f>
        <v>8.4877786731130805E-2</v>
      </c>
      <c r="Z127" s="23">
        <f>U127/V127</f>
        <v>4.0719849583669081E-2</v>
      </c>
      <c r="AA127" s="28"/>
      <c r="AB127" s="23">
        <f>J127/V127</f>
        <v>0.73779210314262689</v>
      </c>
    </row>
    <row r="128" spans="1:28" ht="13.8" x14ac:dyDescent="0.3">
      <c r="B128" s="38" t="s">
        <v>309</v>
      </c>
      <c r="C128" s="38" t="s">
        <v>310</v>
      </c>
      <c r="D128" s="22"/>
      <c r="E128" s="22">
        <f>SUM(E107:E120)</f>
        <v>5339</v>
      </c>
      <c r="F128" s="22">
        <f t="shared" ref="F128:M128" si="16">SUM(F107:F120)</f>
        <v>45</v>
      </c>
      <c r="G128" s="22">
        <f t="shared" si="16"/>
        <v>2585</v>
      </c>
      <c r="H128" s="22">
        <f t="shared" si="16"/>
        <v>1523</v>
      </c>
      <c r="I128" s="22">
        <f t="shared" si="16"/>
        <v>1133</v>
      </c>
      <c r="J128" s="22">
        <f t="shared" si="16"/>
        <v>5286</v>
      </c>
      <c r="K128" s="22">
        <f t="shared" si="16"/>
        <v>52</v>
      </c>
      <c r="L128" s="22">
        <f t="shared" si="16"/>
        <v>5338</v>
      </c>
      <c r="M128" s="22">
        <f t="shared" si="16"/>
        <v>1</v>
      </c>
      <c r="N128" s="23">
        <f>H128/L128</f>
        <v>0.28531285125515177</v>
      </c>
      <c r="O128" s="23">
        <f>I128/L128</f>
        <v>0.21225177969276882</v>
      </c>
      <c r="P128" s="23">
        <f>G128/L128</f>
        <v>0.4842637692019483</v>
      </c>
      <c r="Q128" s="23">
        <f>F128/L128</f>
        <v>8.4301236418134126E-3</v>
      </c>
      <c r="R128" s="22">
        <f>SUM(R107:R120)</f>
        <v>5292</v>
      </c>
      <c r="S128" s="22">
        <f>SUM(S107:S120)</f>
        <v>1218</v>
      </c>
      <c r="T128" s="22">
        <f>SUM(T107:T120)</f>
        <v>274</v>
      </c>
      <c r="U128" s="22">
        <f>SUM(U107:U120)</f>
        <v>172</v>
      </c>
      <c r="V128" s="22">
        <f>SUM(V107:V120)</f>
        <v>6956</v>
      </c>
      <c r="W128" s="23">
        <f>R128/V128</f>
        <v>0.76078205865439907</v>
      </c>
      <c r="X128" s="23">
        <f>S128/V128</f>
        <v>0.17510063254744107</v>
      </c>
      <c r="Y128" s="23">
        <f>T128/V128</f>
        <v>3.9390454284071307E-2</v>
      </c>
      <c r="Z128" s="23">
        <f>U128/V128</f>
        <v>2.4726854514088556E-2</v>
      </c>
      <c r="AA128" s="28"/>
      <c r="AB128" s="23">
        <f>J128/V128</f>
        <v>0.75991949396204717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CCE3-B052-4C32-B2EC-322A7FCEB71E}">
  <dimension ref="A1:AB28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J5" sqref="J5"/>
    </sheetView>
  </sheetViews>
  <sheetFormatPr defaultRowHeight="13.2" x14ac:dyDescent="0.25"/>
  <cols>
    <col min="1" max="1" width="8.44140625" bestFit="1" customWidth="1"/>
    <col min="2" max="4" width="6" bestFit="1" customWidth="1"/>
    <col min="5" max="5" width="7" bestFit="1" customWidth="1"/>
    <col min="6" max="6" width="6" bestFit="1" customWidth="1"/>
    <col min="7" max="7" width="5" bestFit="1" customWidth="1"/>
    <col min="8" max="8" width="6" bestFit="1" customWidth="1"/>
    <col min="9" max="9" width="7.33203125" bestFit="1" customWidth="1"/>
  </cols>
  <sheetData>
    <row r="1" spans="1:28" x14ac:dyDescent="0.25">
      <c r="A1" s="22" t="s">
        <v>301</v>
      </c>
      <c r="B1" s="22" t="s">
        <v>195</v>
      </c>
      <c r="C1" s="22" t="s">
        <v>196</v>
      </c>
      <c r="D1" s="22" t="s">
        <v>197</v>
      </c>
      <c r="E1" s="22" t="s">
        <v>290</v>
      </c>
      <c r="F1" s="22" t="s">
        <v>291</v>
      </c>
      <c r="G1" s="22" t="s">
        <v>292</v>
      </c>
      <c r="H1" s="22" t="s">
        <v>293</v>
      </c>
      <c r="I1" s="22" t="s">
        <v>294</v>
      </c>
    </row>
    <row r="2" spans="1:28" x14ac:dyDescent="0.25">
      <c r="A2" s="40">
        <v>0.81555555555555559</v>
      </c>
      <c r="B2" s="40">
        <v>0.17711171662125341</v>
      </c>
      <c r="C2" s="40">
        <v>0.26430517711171664</v>
      </c>
      <c r="D2" s="40">
        <v>0.55040871934604907</v>
      </c>
      <c r="E2" s="42">
        <v>0.99777777777777776</v>
      </c>
      <c r="F2" s="42">
        <v>2.2222222222222222E-3</v>
      </c>
      <c r="G2" s="42">
        <v>0</v>
      </c>
      <c r="H2" s="42">
        <v>0</v>
      </c>
      <c r="I2" s="43">
        <v>59.355555555555554</v>
      </c>
    </row>
    <row r="3" spans="1:28" x14ac:dyDescent="0.25">
      <c r="A3" s="40">
        <v>0.78770949720670391</v>
      </c>
      <c r="B3" s="40">
        <v>0.15366430260047281</v>
      </c>
      <c r="C3" s="40">
        <v>0.38297872340425532</v>
      </c>
      <c r="D3" s="40">
        <v>0.45153664302600471</v>
      </c>
      <c r="E3" s="42">
        <v>1</v>
      </c>
      <c r="F3" s="42">
        <v>0</v>
      </c>
      <c r="G3" s="42">
        <v>0</v>
      </c>
      <c r="H3" s="42">
        <v>0</v>
      </c>
      <c r="I3" s="43">
        <v>30.251396648044693</v>
      </c>
      <c r="K3" t="s">
        <v>311</v>
      </c>
      <c r="T3" t="s">
        <v>313</v>
      </c>
    </row>
    <row r="4" spans="1:28" x14ac:dyDescent="0.25">
      <c r="A4" s="40">
        <v>0.69543147208121825</v>
      </c>
      <c r="B4" s="40">
        <v>0.43795620437956206</v>
      </c>
      <c r="C4" s="40">
        <v>0.10583941605839416</v>
      </c>
      <c r="D4" s="40">
        <v>0.41970802919708028</v>
      </c>
      <c r="E4" s="42">
        <v>0.32233502538071068</v>
      </c>
      <c r="F4" s="42">
        <v>0.57614213197969544</v>
      </c>
      <c r="G4" s="42">
        <v>4.3147208121827409E-2</v>
      </c>
      <c r="H4" s="42">
        <v>5.8375634517766499E-2</v>
      </c>
      <c r="I4" s="43">
        <v>65.096446700507613</v>
      </c>
    </row>
    <row r="5" spans="1:28" x14ac:dyDescent="0.25">
      <c r="A5" s="40">
        <v>0.76708860759493669</v>
      </c>
      <c r="B5" s="40">
        <v>0.23102310231023102</v>
      </c>
      <c r="C5" s="40">
        <v>0.13861386138613863</v>
      </c>
      <c r="D5" s="40">
        <v>0.59405940594059403</v>
      </c>
      <c r="E5" s="42">
        <v>0.47848101265822784</v>
      </c>
      <c r="F5" s="42">
        <v>0.20253164556962025</v>
      </c>
      <c r="G5" s="42">
        <v>7.5949367088607597E-2</v>
      </c>
      <c r="H5" s="42">
        <v>0.24303797468354429</v>
      </c>
      <c r="I5" s="43">
        <v>31.984810126582278</v>
      </c>
    </row>
    <row r="6" spans="1:28" x14ac:dyDescent="0.25">
      <c r="A6" s="40">
        <v>0.79333333333333333</v>
      </c>
      <c r="B6" s="40">
        <v>0.24649859943977592</v>
      </c>
      <c r="C6" s="40">
        <v>9.8039215686274508E-2</v>
      </c>
      <c r="D6" s="40">
        <v>0.63585434173669464</v>
      </c>
      <c r="E6" s="42">
        <v>0.70222222222222219</v>
      </c>
      <c r="F6" s="42">
        <v>0.24888888888888888</v>
      </c>
      <c r="G6" s="42">
        <v>4.8888888888888891E-2</v>
      </c>
      <c r="H6" s="42">
        <v>0</v>
      </c>
      <c r="I6" s="43">
        <v>66.577777777777783</v>
      </c>
    </row>
    <row r="7" spans="1:28" x14ac:dyDescent="0.25">
      <c r="A7" s="40">
        <v>0.7407407407407407</v>
      </c>
      <c r="B7" s="40">
        <v>0.39285714285714285</v>
      </c>
      <c r="C7" s="40">
        <v>0.19047619047619047</v>
      </c>
      <c r="D7" s="40">
        <v>0.39761904761904759</v>
      </c>
      <c r="E7" s="42">
        <v>0.58906525573192237</v>
      </c>
      <c r="F7" s="42">
        <v>0.32627865961199293</v>
      </c>
      <c r="G7" s="42">
        <v>7.407407407407407E-2</v>
      </c>
      <c r="H7" s="42">
        <v>1.0582010582010581E-2</v>
      </c>
      <c r="I7" s="43">
        <v>50.564373897707227</v>
      </c>
      <c r="S7" s="31">
        <f>0.0688+0.7202</f>
        <v>0.78899999999999992</v>
      </c>
      <c r="AB7" s="31">
        <f>-0.7115+0.7797</f>
        <v>6.8199999999999927E-2</v>
      </c>
    </row>
    <row r="8" spans="1:28" x14ac:dyDescent="0.25">
      <c r="A8" s="40">
        <v>0.68253968253968256</v>
      </c>
      <c r="B8" s="40">
        <v>0.34108527131782945</v>
      </c>
      <c r="C8" s="40">
        <v>0.26098191214470284</v>
      </c>
      <c r="D8" s="40">
        <v>0.37984496124031009</v>
      </c>
      <c r="E8" s="42">
        <v>0.63315696649029984</v>
      </c>
      <c r="F8" s="42">
        <v>0.29276895943562609</v>
      </c>
      <c r="G8" s="42">
        <v>7.0546737213403876E-2</v>
      </c>
      <c r="H8" s="42">
        <v>3.5273368606701938E-3</v>
      </c>
      <c r="I8" s="43">
        <v>36.832451499118164</v>
      </c>
    </row>
    <row r="9" spans="1:28" x14ac:dyDescent="0.25">
      <c r="A9" s="40">
        <v>0.72134038800705469</v>
      </c>
      <c r="B9" s="40">
        <v>0.3154034229828851</v>
      </c>
      <c r="C9" s="40">
        <v>0.27383863080684595</v>
      </c>
      <c r="D9" s="40">
        <v>0.40831295843520782</v>
      </c>
      <c r="E9" s="42">
        <v>0.76014109347442682</v>
      </c>
      <c r="F9" s="42">
        <v>0.17813051146384479</v>
      </c>
      <c r="G9" s="42">
        <v>5.9964726631393295E-2</v>
      </c>
      <c r="H9" s="42">
        <v>1.7636684303350969E-3</v>
      </c>
      <c r="I9" s="43">
        <v>24.550264550264551</v>
      </c>
    </row>
    <row r="10" spans="1:28" x14ac:dyDescent="0.25">
      <c r="A10" s="40">
        <v>0.80222222222222217</v>
      </c>
      <c r="B10" s="40">
        <v>0.2880886426592798</v>
      </c>
      <c r="C10" s="40">
        <v>5.5401662049861494E-2</v>
      </c>
      <c r="D10" s="40">
        <v>0.61772853185595566</v>
      </c>
      <c r="E10" s="42">
        <v>0.48444444444444446</v>
      </c>
      <c r="F10" s="42">
        <v>0.31333333333333335</v>
      </c>
      <c r="G10" s="42">
        <v>6.6666666666666671E-3</v>
      </c>
      <c r="H10" s="42">
        <v>0.19555555555555557</v>
      </c>
      <c r="I10" s="43">
        <v>62.80222222222222</v>
      </c>
    </row>
    <row r="11" spans="1:28" x14ac:dyDescent="0.25">
      <c r="A11" s="40">
        <v>0.70774091627172198</v>
      </c>
      <c r="B11" s="40">
        <v>0.109375</v>
      </c>
      <c r="C11" s="40">
        <v>0.11607142857142858</v>
      </c>
      <c r="D11" s="40">
        <v>0.7544642857142857</v>
      </c>
      <c r="E11" s="42">
        <v>0.54660347551342814</v>
      </c>
      <c r="F11" s="42">
        <v>0.11532385466034756</v>
      </c>
      <c r="G11" s="42">
        <v>3.1595576619273301E-3</v>
      </c>
      <c r="H11" s="42">
        <v>0.33491311216429698</v>
      </c>
      <c r="I11" s="43">
        <v>42.333333333333336</v>
      </c>
    </row>
    <row r="12" spans="1:28" x14ac:dyDescent="0.25">
      <c r="A12" s="40">
        <v>0.79304897314375988</v>
      </c>
      <c r="B12" s="40">
        <v>7.370517928286853E-2</v>
      </c>
      <c r="C12" s="40">
        <v>9.5617529880478086E-2</v>
      </c>
      <c r="D12" s="40">
        <v>0.81474103585657376</v>
      </c>
      <c r="E12" s="42">
        <v>0.57030015797788314</v>
      </c>
      <c r="F12" s="42">
        <v>7.1090047393364927E-2</v>
      </c>
      <c r="G12" s="42">
        <v>7.266982622432859E-2</v>
      </c>
      <c r="H12" s="42">
        <v>0.28593996840442337</v>
      </c>
      <c r="I12" s="43">
        <v>26.137440758293838</v>
      </c>
    </row>
    <row r="13" spans="1:28" x14ac:dyDescent="0.25">
      <c r="A13" s="40">
        <v>0.68444444444444441</v>
      </c>
      <c r="B13" s="40">
        <v>0.68831168831168832</v>
      </c>
      <c r="C13" s="40">
        <v>3.2467532467532464E-2</v>
      </c>
      <c r="D13" s="40">
        <v>0.2564935064935065</v>
      </c>
      <c r="E13" s="42">
        <v>9.1111111111111115E-2</v>
      </c>
      <c r="F13" s="42">
        <v>0.89555555555555555</v>
      </c>
      <c r="G13" s="42">
        <v>1.1111111111111112E-2</v>
      </c>
      <c r="H13" s="42">
        <v>2.2222222222222222E-3</v>
      </c>
      <c r="I13" s="43">
        <v>74.906666666666666</v>
      </c>
    </row>
    <row r="14" spans="1:28" x14ac:dyDescent="0.25">
      <c r="A14" s="40">
        <v>0.76</v>
      </c>
      <c r="B14" s="40">
        <v>0.74853801169590639</v>
      </c>
      <c r="C14" s="40">
        <v>1.7543859649122806E-2</v>
      </c>
      <c r="D14" s="40">
        <v>0.21929824561403508</v>
      </c>
      <c r="E14" s="42">
        <v>7.5555555555555556E-2</v>
      </c>
      <c r="F14" s="42">
        <v>0.91555555555555557</v>
      </c>
      <c r="G14" s="42">
        <v>8.8888888888888889E-3</v>
      </c>
      <c r="H14" s="42">
        <v>0</v>
      </c>
      <c r="I14" s="43">
        <v>68.813333333333333</v>
      </c>
    </row>
    <row r="15" spans="1:28" x14ac:dyDescent="0.25">
      <c r="A15" s="40">
        <v>0.77333333333333332</v>
      </c>
      <c r="B15" s="40">
        <v>0.77298850574712641</v>
      </c>
      <c r="C15" s="40">
        <v>1.4367816091954023E-2</v>
      </c>
      <c r="D15" s="40">
        <v>0.20402298850574713</v>
      </c>
      <c r="E15" s="42">
        <v>0.10222222222222223</v>
      </c>
      <c r="F15" s="42">
        <v>0.88888888888888884</v>
      </c>
      <c r="G15" s="42">
        <v>8.8888888888888889E-3</v>
      </c>
      <c r="H15" s="42">
        <v>0</v>
      </c>
      <c r="I15" s="43">
        <v>61.117777777777775</v>
      </c>
    </row>
    <row r="16" spans="1:28" x14ac:dyDescent="0.25">
      <c r="A16" s="40">
        <v>0.71552975326560231</v>
      </c>
      <c r="B16" s="40">
        <v>0.77079107505070998</v>
      </c>
      <c r="C16" s="40">
        <v>4.665314401622718E-2</v>
      </c>
      <c r="D16" s="40">
        <v>0.17241379310344829</v>
      </c>
      <c r="E16" s="42">
        <v>0.11030478955007257</v>
      </c>
      <c r="F16" s="42">
        <v>0.8737300435413643</v>
      </c>
      <c r="G16" s="42">
        <v>1.4513788098693759E-2</v>
      </c>
      <c r="H16" s="42">
        <v>1.4513788098693759E-3</v>
      </c>
      <c r="I16" s="43">
        <v>53.20174165457184</v>
      </c>
    </row>
    <row r="17" spans="1:28" x14ac:dyDescent="0.25">
      <c r="A17" s="40">
        <v>0.71407837445573297</v>
      </c>
      <c r="B17" s="40">
        <v>0.74593495934959353</v>
      </c>
      <c r="C17" s="40">
        <v>8.1300813008130079E-2</v>
      </c>
      <c r="D17" s="40">
        <v>0.16463414634146342</v>
      </c>
      <c r="E17" s="42">
        <v>0.19158200290275762</v>
      </c>
      <c r="F17" s="42">
        <v>0.78229317851959357</v>
      </c>
      <c r="G17" s="42">
        <v>2.4673439767779391E-2</v>
      </c>
      <c r="H17" s="42">
        <v>1.4513788098693759E-3</v>
      </c>
      <c r="I17" s="43">
        <v>44.078374455732948</v>
      </c>
    </row>
    <row r="18" spans="1:28" x14ac:dyDescent="0.25">
      <c r="A18" s="40">
        <v>0.72423802612481858</v>
      </c>
      <c r="B18" s="40">
        <v>0.67334669338677355</v>
      </c>
      <c r="C18" s="40">
        <v>0.11222444889779559</v>
      </c>
      <c r="D18" s="40">
        <v>0.20841683366733466</v>
      </c>
      <c r="E18" s="42">
        <v>0.26705370101596515</v>
      </c>
      <c r="F18" s="42">
        <v>0.71117561683599417</v>
      </c>
      <c r="G18" s="42">
        <v>2.0319303338171262E-2</v>
      </c>
      <c r="H18" s="42">
        <v>1.4513788098693759E-3</v>
      </c>
      <c r="I18" s="43">
        <v>35.785195936139331</v>
      </c>
    </row>
    <row r="19" spans="1:28" x14ac:dyDescent="0.25">
      <c r="A19" s="40">
        <v>0.73478260869565215</v>
      </c>
      <c r="B19" s="40">
        <v>0.7258382642998028</v>
      </c>
      <c r="C19" s="40">
        <v>8.0867850098619326E-2</v>
      </c>
      <c r="D19" s="40">
        <v>0.1893491124260355</v>
      </c>
      <c r="E19" s="42">
        <v>0.2</v>
      </c>
      <c r="F19" s="42">
        <v>0.77971014492753621</v>
      </c>
      <c r="G19" s="42">
        <v>1.7391304347826087E-2</v>
      </c>
      <c r="H19" s="42">
        <v>2.8985507246376812E-3</v>
      </c>
      <c r="I19" s="43">
        <v>25.41449275362319</v>
      </c>
    </row>
    <row r="20" spans="1:28" x14ac:dyDescent="0.25">
      <c r="A20" s="40">
        <v>0.77555555555555555</v>
      </c>
      <c r="B20" s="40">
        <v>0.49856733524355301</v>
      </c>
      <c r="C20" s="40">
        <v>4.0114613180515762E-2</v>
      </c>
      <c r="D20" s="40">
        <v>0.44412607449856734</v>
      </c>
      <c r="E20" s="42">
        <v>0.37111111111111111</v>
      </c>
      <c r="F20" s="42">
        <v>0.61777777777777776</v>
      </c>
      <c r="G20" s="42">
        <v>1.1111111111111112E-2</v>
      </c>
      <c r="H20" s="42">
        <v>0</v>
      </c>
      <c r="I20" s="43">
        <v>68.251111111111115</v>
      </c>
    </row>
    <row r="21" spans="1:28" x14ac:dyDescent="0.25">
      <c r="A21" s="40">
        <v>0.72577696526508229</v>
      </c>
      <c r="B21" s="40">
        <v>0.53904282115869018</v>
      </c>
      <c r="C21" s="40">
        <v>0.13098236775818639</v>
      </c>
      <c r="D21" s="40">
        <v>0.32493702770780858</v>
      </c>
      <c r="E21" s="42">
        <v>0.47531992687385738</v>
      </c>
      <c r="F21" s="42">
        <v>0.51371115173674586</v>
      </c>
      <c r="G21" s="42">
        <v>9.140767824497258E-3</v>
      </c>
      <c r="H21" s="42">
        <v>1.8281535648994515E-3</v>
      </c>
      <c r="I21" s="43">
        <v>46.819012797074954</v>
      </c>
    </row>
    <row r="22" spans="1:28" x14ac:dyDescent="0.25">
      <c r="A22" s="40">
        <v>0.69835466179159045</v>
      </c>
      <c r="B22" s="40">
        <v>0.27225130890052357</v>
      </c>
      <c r="C22" s="40">
        <v>0.2486910994764398</v>
      </c>
      <c r="D22" s="40">
        <v>0.47643979057591623</v>
      </c>
      <c r="E22" s="42">
        <v>0.76599634369287017</v>
      </c>
      <c r="F22" s="42">
        <v>0.22486288848263253</v>
      </c>
      <c r="G22" s="42">
        <v>5.4844606946983544E-3</v>
      </c>
      <c r="H22" s="42">
        <v>3.6563071297989031E-3</v>
      </c>
      <c r="I22" s="43">
        <v>29.062157221206583</v>
      </c>
      <c r="K22" t="s">
        <v>312</v>
      </c>
      <c r="T22" t="s">
        <v>314</v>
      </c>
    </row>
    <row r="23" spans="1:28" x14ac:dyDescent="0.25">
      <c r="A23" s="40">
        <v>0.82278481012658233</v>
      </c>
      <c r="B23" s="40">
        <v>7.6923076923076927E-2</v>
      </c>
      <c r="C23" s="40">
        <v>0.16923076923076924</v>
      </c>
      <c r="D23" s="40">
        <v>0.72</v>
      </c>
      <c r="E23" s="42">
        <v>0.98987341772151893</v>
      </c>
      <c r="F23" s="42">
        <v>2.5316455696202532E-3</v>
      </c>
      <c r="G23" s="42">
        <v>5.0632911392405064E-3</v>
      </c>
      <c r="H23" s="42">
        <v>2.5316455696202532E-3</v>
      </c>
      <c r="I23" s="43">
        <v>44.612658227848101</v>
      </c>
    </row>
    <row r="24" spans="1:28" x14ac:dyDescent="0.25">
      <c r="A24" s="40">
        <v>0.72666666666666668</v>
      </c>
      <c r="B24" s="40">
        <v>0.59021406727828751</v>
      </c>
      <c r="C24" s="40">
        <v>4.2813455657492352E-2</v>
      </c>
      <c r="D24" s="40">
        <v>0.34250764525993882</v>
      </c>
      <c r="E24" s="42">
        <v>0.26666666666666666</v>
      </c>
      <c r="F24" s="42">
        <v>0.69777777777777783</v>
      </c>
      <c r="G24" s="42">
        <v>3.3333333333333333E-2</v>
      </c>
      <c r="H24" s="42">
        <v>2.2222222222222222E-3</v>
      </c>
      <c r="I24" s="43">
        <v>73.328888888888883</v>
      </c>
    </row>
    <row r="25" spans="1:28" x14ac:dyDescent="0.25">
      <c r="A25" s="40">
        <v>0.81555555555555559</v>
      </c>
      <c r="B25" s="40">
        <v>0.57493188010899188</v>
      </c>
      <c r="C25" s="40">
        <v>8.7193460490463212E-2</v>
      </c>
      <c r="D25" s="40">
        <v>0.32152588555858308</v>
      </c>
      <c r="E25" s="42">
        <v>0.34444444444444444</v>
      </c>
      <c r="F25" s="42">
        <v>0.62444444444444447</v>
      </c>
      <c r="G25" s="42">
        <v>3.111111111111111E-2</v>
      </c>
      <c r="H25" s="42">
        <v>0</v>
      </c>
      <c r="I25" s="43">
        <v>61.924444444444447</v>
      </c>
    </row>
    <row r="26" spans="1:28" x14ac:dyDescent="0.25">
      <c r="A26" s="40">
        <v>0.75881523272214391</v>
      </c>
      <c r="B26" s="40">
        <v>0.56505576208178443</v>
      </c>
      <c r="C26" s="40">
        <v>0.14869888475836432</v>
      </c>
      <c r="D26" s="40">
        <v>0.27137546468401486</v>
      </c>
      <c r="E26" s="42">
        <v>0.42595204513399154</v>
      </c>
      <c r="F26" s="42">
        <v>0.5514809590973202</v>
      </c>
      <c r="G26" s="42">
        <v>2.1156558533145273E-2</v>
      </c>
      <c r="H26" s="42">
        <v>1.4104372355430183E-3</v>
      </c>
      <c r="I26" s="43">
        <v>47.779971791255292</v>
      </c>
      <c r="S26" s="31">
        <f>-0.0591+0.78</f>
        <v>0.72089999999999999</v>
      </c>
      <c r="AB26" s="31">
        <f>0.736+0.1065</f>
        <v>0.84250000000000003</v>
      </c>
    </row>
    <row r="27" spans="1:28" x14ac:dyDescent="0.25">
      <c r="A27" s="40">
        <v>0.8098591549295775</v>
      </c>
      <c r="B27" s="40">
        <v>0.43478260869565216</v>
      </c>
      <c r="C27" s="40">
        <v>0.24869565217391304</v>
      </c>
      <c r="D27" s="40">
        <v>0.30434782608695654</v>
      </c>
      <c r="E27" s="42">
        <v>0.59154929577464788</v>
      </c>
      <c r="F27" s="42">
        <v>0.39295774647887322</v>
      </c>
      <c r="G27" s="42">
        <v>1.2676056338028169E-2</v>
      </c>
      <c r="H27" s="42">
        <v>2.8169014084507044E-3</v>
      </c>
      <c r="I27" s="43">
        <v>29.004225352112677</v>
      </c>
    </row>
    <row r="28" spans="1:28" x14ac:dyDescent="0.25">
      <c r="A28" s="40">
        <v>0.81593927893738138</v>
      </c>
      <c r="B28" s="40">
        <v>0.11627906976744186</v>
      </c>
      <c r="C28" s="40">
        <v>0.38837209302325582</v>
      </c>
      <c r="D28" s="40">
        <v>0.47209302325581393</v>
      </c>
      <c r="E28" s="42">
        <v>0.98671726755218214</v>
      </c>
      <c r="F28" s="42">
        <v>0</v>
      </c>
      <c r="G28" s="42">
        <v>1.8975332068311196E-3</v>
      </c>
      <c r="H28" s="42">
        <v>1.1385199240986717E-2</v>
      </c>
      <c r="I28" s="43">
        <v>45.297912713472485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760FE-50AD-4965-B0AF-4A4D53096173}">
  <dimension ref="A1:Y137"/>
  <sheetViews>
    <sheetView workbookViewId="0">
      <pane xSplit="4" ySplit="1" topLeftCell="M99" activePane="bottomRight" state="frozen"/>
      <selection pane="topRight" activeCell="E1" sqref="E1"/>
      <selection pane="bottomLeft" activeCell="A2" sqref="A2"/>
      <selection pane="bottomRight" activeCell="P2" sqref="P2:Y115"/>
    </sheetView>
  </sheetViews>
  <sheetFormatPr defaultRowHeight="13.2" x14ac:dyDescent="0.25"/>
  <cols>
    <col min="1" max="1" width="8" bestFit="1" customWidth="1"/>
    <col min="2" max="2" width="29" bestFit="1" customWidth="1"/>
    <col min="3" max="3" width="59.5546875" bestFit="1" customWidth="1"/>
    <col min="4" max="4" width="8.21875" bestFit="1" customWidth="1"/>
    <col min="5" max="5" width="8.5546875" bestFit="1" customWidth="1"/>
    <col min="6" max="6" width="13.77734375" bestFit="1" customWidth="1"/>
    <col min="7" max="7" width="15.5546875" bestFit="1" customWidth="1"/>
    <col min="8" max="8" width="6" bestFit="1" customWidth="1"/>
    <col min="9" max="9" width="5" bestFit="1" customWidth="1"/>
    <col min="10" max="10" width="7.5546875" bestFit="1" customWidth="1"/>
    <col min="11" max="11" width="6.44140625" bestFit="1" customWidth="1"/>
    <col min="13" max="13" width="7.6640625" bestFit="1" customWidth="1"/>
    <col min="14" max="14" width="7" style="26" bestFit="1" customWidth="1"/>
    <col min="15" max="15" width="14.109375" bestFit="1" customWidth="1"/>
    <col min="16" max="17" width="6" bestFit="1" customWidth="1"/>
    <col min="18" max="19" width="5" bestFit="1" customWidth="1"/>
    <col min="20" max="20" width="6" bestFit="1" customWidth="1"/>
    <col min="21" max="21" width="7" bestFit="1" customWidth="1"/>
    <col min="22" max="24" width="6" bestFit="1" customWidth="1"/>
    <col min="25" max="25" width="7.33203125" bestFit="1" customWidth="1"/>
  </cols>
  <sheetData>
    <row r="1" spans="1:25" x14ac:dyDescent="0.25">
      <c r="A1" s="24" t="s">
        <v>198</v>
      </c>
      <c r="B1" s="24" t="s">
        <v>199</v>
      </c>
      <c r="C1" s="24" t="s">
        <v>200</v>
      </c>
      <c r="D1" s="24" t="s">
        <v>201</v>
      </c>
      <c r="E1" s="24" t="s">
        <v>202</v>
      </c>
      <c r="F1" s="24" t="s">
        <v>203</v>
      </c>
      <c r="G1" s="24" t="s">
        <v>204</v>
      </c>
      <c r="H1" s="24" t="s">
        <v>205</v>
      </c>
      <c r="I1" s="24" t="s">
        <v>206</v>
      </c>
      <c r="J1" s="24" t="s">
        <v>207</v>
      </c>
      <c r="K1" s="24" t="s">
        <v>208</v>
      </c>
      <c r="L1" s="24" t="s">
        <v>209</v>
      </c>
      <c r="M1" s="24" t="s">
        <v>210</v>
      </c>
      <c r="N1" s="25" t="s">
        <v>211</v>
      </c>
      <c r="O1" s="24" t="s">
        <v>212</v>
      </c>
      <c r="P1" s="24" t="s">
        <v>285</v>
      </c>
      <c r="Q1" s="24" t="s">
        <v>286</v>
      </c>
      <c r="R1" s="24" t="s">
        <v>287</v>
      </c>
      <c r="S1" s="24" t="s">
        <v>288</v>
      </c>
      <c r="T1" s="24" t="s">
        <v>289</v>
      </c>
      <c r="U1" s="24" t="s">
        <v>290</v>
      </c>
      <c r="V1" s="24" t="s">
        <v>291</v>
      </c>
      <c r="W1" s="24" t="s">
        <v>292</v>
      </c>
      <c r="X1" s="24" t="s">
        <v>293</v>
      </c>
      <c r="Y1" s="24" t="s">
        <v>294</v>
      </c>
    </row>
    <row r="2" spans="1:25" x14ac:dyDescent="0.25">
      <c r="A2" s="24" t="s">
        <v>213</v>
      </c>
      <c r="B2" s="24" t="s">
        <v>214</v>
      </c>
      <c r="C2" s="24" t="s">
        <v>119</v>
      </c>
      <c r="D2" s="24">
        <v>1</v>
      </c>
      <c r="E2" s="24"/>
      <c r="F2" s="24"/>
      <c r="G2" s="24"/>
      <c r="H2" s="24">
        <v>1</v>
      </c>
      <c r="I2" s="24"/>
      <c r="J2" s="24"/>
      <c r="K2" s="24">
        <v>449</v>
      </c>
      <c r="L2" s="24"/>
      <c r="M2" s="24">
        <v>450</v>
      </c>
      <c r="N2" s="25">
        <v>59.355555555555554</v>
      </c>
      <c r="O2" s="24" t="s">
        <v>215</v>
      </c>
      <c r="P2" s="24">
        <f>K2</f>
        <v>449</v>
      </c>
      <c r="Q2" s="24">
        <f>H2</f>
        <v>1</v>
      </c>
      <c r="R2" s="24">
        <f>I2</f>
        <v>0</v>
      </c>
      <c r="S2" s="24">
        <f>M2-SUM(P2:R2)</f>
        <v>0</v>
      </c>
      <c r="T2" s="24">
        <f>SUM(P2:S2)</f>
        <v>450</v>
      </c>
      <c r="U2" s="27">
        <f>P2/M2</f>
        <v>0.99777777777777776</v>
      </c>
      <c r="V2" s="27">
        <f>Q2/M2</f>
        <v>2.2222222222222222E-3</v>
      </c>
      <c r="W2" s="27">
        <f>R2/M2</f>
        <v>0</v>
      </c>
      <c r="X2" s="27">
        <f>S2/M2</f>
        <v>0</v>
      </c>
      <c r="Y2" s="25">
        <f>N2</f>
        <v>59.355555555555554</v>
      </c>
    </row>
    <row r="3" spans="1:25" x14ac:dyDescent="0.25">
      <c r="A3" s="24" t="s">
        <v>213</v>
      </c>
      <c r="B3" s="24" t="s">
        <v>214</v>
      </c>
      <c r="C3" s="24" t="s">
        <v>119</v>
      </c>
      <c r="D3" s="24">
        <v>2</v>
      </c>
      <c r="E3" s="24"/>
      <c r="F3" s="24"/>
      <c r="G3" s="24"/>
      <c r="H3" s="24"/>
      <c r="I3" s="24"/>
      <c r="J3" s="24"/>
      <c r="K3" s="24">
        <v>537</v>
      </c>
      <c r="L3" s="24"/>
      <c r="M3" s="24">
        <v>537</v>
      </c>
      <c r="N3" s="25">
        <v>30.251396648044693</v>
      </c>
      <c r="O3" s="24" t="s">
        <v>215</v>
      </c>
      <c r="P3" s="24">
        <f t="shared" ref="P3:P58" si="0">K3</f>
        <v>537</v>
      </c>
      <c r="Q3" s="24">
        <f t="shared" ref="Q3:Q58" si="1">H3</f>
        <v>0</v>
      </c>
      <c r="R3" s="24">
        <f t="shared" ref="R3:R58" si="2">I3</f>
        <v>0</v>
      </c>
      <c r="S3" s="24">
        <f t="shared" ref="S3:S58" si="3">M3-SUM(P3:R3)</f>
        <v>0</v>
      </c>
      <c r="T3" s="24">
        <f t="shared" ref="T3:T58" si="4">SUM(P3:S3)</f>
        <v>537</v>
      </c>
      <c r="U3" s="27">
        <f t="shared" ref="U3:U58" si="5">P3/M3</f>
        <v>1</v>
      </c>
      <c r="V3" s="27">
        <f t="shared" ref="V3:V58" si="6">Q3/M3</f>
        <v>0</v>
      </c>
      <c r="W3" s="27">
        <f t="shared" ref="W3:W58" si="7">R3/M3</f>
        <v>0</v>
      </c>
      <c r="X3" s="27">
        <f t="shared" ref="X3:X58" si="8">S3/M3</f>
        <v>0</v>
      </c>
      <c r="Y3" s="25">
        <f t="shared" ref="Y3:Y58" si="9">N3</f>
        <v>30.251396648044693</v>
      </c>
    </row>
    <row r="4" spans="1:25" x14ac:dyDescent="0.25">
      <c r="A4" s="24" t="s">
        <v>216</v>
      </c>
      <c r="B4" s="24" t="s">
        <v>217</v>
      </c>
      <c r="C4" s="24" t="s">
        <v>121</v>
      </c>
      <c r="D4" s="24">
        <v>1</v>
      </c>
      <c r="E4" s="24"/>
      <c r="F4" s="24"/>
      <c r="G4" s="24">
        <v>1</v>
      </c>
      <c r="H4" s="24">
        <v>227</v>
      </c>
      <c r="I4" s="24">
        <v>17</v>
      </c>
      <c r="J4" s="24"/>
      <c r="K4" s="24">
        <v>127</v>
      </c>
      <c r="L4" s="24">
        <v>22</v>
      </c>
      <c r="M4" s="24">
        <v>394</v>
      </c>
      <c r="N4" s="25">
        <v>65.096446700507613</v>
      </c>
      <c r="O4" s="24" t="s">
        <v>215</v>
      </c>
      <c r="P4" s="24">
        <f t="shared" si="0"/>
        <v>127</v>
      </c>
      <c r="Q4" s="24">
        <f t="shared" si="1"/>
        <v>227</v>
      </c>
      <c r="R4" s="24">
        <f t="shared" si="2"/>
        <v>17</v>
      </c>
      <c r="S4" s="24">
        <f t="shared" si="3"/>
        <v>23</v>
      </c>
      <c r="T4" s="24">
        <f t="shared" si="4"/>
        <v>394</v>
      </c>
      <c r="U4" s="27">
        <f t="shared" si="5"/>
        <v>0.32233502538071068</v>
      </c>
      <c r="V4" s="27">
        <f t="shared" si="6"/>
        <v>0.57614213197969544</v>
      </c>
      <c r="W4" s="27">
        <f t="shared" si="7"/>
        <v>4.3147208121827409E-2</v>
      </c>
      <c r="X4" s="27">
        <f t="shared" si="8"/>
        <v>5.8375634517766499E-2</v>
      </c>
      <c r="Y4" s="25">
        <f t="shared" si="9"/>
        <v>65.096446700507613</v>
      </c>
    </row>
    <row r="5" spans="1:25" x14ac:dyDescent="0.25">
      <c r="A5" s="24" t="s">
        <v>216</v>
      </c>
      <c r="B5" s="24" t="s">
        <v>217</v>
      </c>
      <c r="C5" s="24" t="s">
        <v>121</v>
      </c>
      <c r="D5" s="24">
        <v>2</v>
      </c>
      <c r="E5" s="24">
        <v>22</v>
      </c>
      <c r="F5" s="24"/>
      <c r="G5" s="24"/>
      <c r="H5" s="24">
        <v>80</v>
      </c>
      <c r="I5" s="24">
        <v>30</v>
      </c>
      <c r="J5" s="24"/>
      <c r="K5" s="24">
        <v>189</v>
      </c>
      <c r="L5" s="24">
        <v>74</v>
      </c>
      <c r="M5" s="24">
        <v>395</v>
      </c>
      <c r="N5" s="25">
        <v>31.984810126582278</v>
      </c>
      <c r="O5" s="24" t="s">
        <v>215</v>
      </c>
      <c r="P5" s="24">
        <f t="shared" si="0"/>
        <v>189</v>
      </c>
      <c r="Q5" s="24">
        <f t="shared" si="1"/>
        <v>80</v>
      </c>
      <c r="R5" s="24">
        <f t="shared" si="2"/>
        <v>30</v>
      </c>
      <c r="S5" s="24">
        <f t="shared" si="3"/>
        <v>96</v>
      </c>
      <c r="T5" s="24">
        <f t="shared" si="4"/>
        <v>395</v>
      </c>
      <c r="U5" s="27">
        <f t="shared" si="5"/>
        <v>0.47848101265822784</v>
      </c>
      <c r="V5" s="27">
        <f t="shared" si="6"/>
        <v>0.20253164556962025</v>
      </c>
      <c r="W5" s="27">
        <f t="shared" si="7"/>
        <v>7.5949367088607597E-2</v>
      </c>
      <c r="X5" s="27">
        <f t="shared" si="8"/>
        <v>0.24303797468354429</v>
      </c>
      <c r="Y5" s="25">
        <f t="shared" si="9"/>
        <v>31.984810126582278</v>
      </c>
    </row>
    <row r="6" spans="1:25" x14ac:dyDescent="0.25">
      <c r="A6" s="24" t="s">
        <v>218</v>
      </c>
      <c r="B6" s="24" t="s">
        <v>219</v>
      </c>
      <c r="C6" s="24" t="s">
        <v>123</v>
      </c>
      <c r="D6" s="24">
        <v>1</v>
      </c>
      <c r="E6" s="24"/>
      <c r="F6" s="24"/>
      <c r="G6" s="24"/>
      <c r="H6" s="24">
        <v>112</v>
      </c>
      <c r="I6" s="24">
        <v>22</v>
      </c>
      <c r="J6" s="24"/>
      <c r="K6" s="24">
        <v>316</v>
      </c>
      <c r="L6" s="24"/>
      <c r="M6" s="24">
        <v>450</v>
      </c>
      <c r="N6" s="25">
        <v>66.577777777777783</v>
      </c>
      <c r="O6" s="24" t="s">
        <v>215</v>
      </c>
      <c r="P6" s="24">
        <f t="shared" si="0"/>
        <v>316</v>
      </c>
      <c r="Q6" s="24">
        <f t="shared" si="1"/>
        <v>112</v>
      </c>
      <c r="R6" s="24">
        <f t="shared" si="2"/>
        <v>22</v>
      </c>
      <c r="S6" s="24">
        <f t="shared" si="3"/>
        <v>0</v>
      </c>
      <c r="T6" s="24">
        <f t="shared" si="4"/>
        <v>450</v>
      </c>
      <c r="U6" s="27">
        <f t="shared" si="5"/>
        <v>0.70222222222222219</v>
      </c>
      <c r="V6" s="27">
        <f t="shared" si="6"/>
        <v>0.24888888888888888</v>
      </c>
      <c r="W6" s="27">
        <f t="shared" si="7"/>
        <v>4.8888888888888891E-2</v>
      </c>
      <c r="X6" s="27">
        <f t="shared" si="8"/>
        <v>0</v>
      </c>
      <c r="Y6" s="25">
        <f t="shared" si="9"/>
        <v>66.577777777777783</v>
      </c>
    </row>
    <row r="7" spans="1:25" x14ac:dyDescent="0.25">
      <c r="A7" s="24" t="s">
        <v>218</v>
      </c>
      <c r="B7" s="24" t="s">
        <v>219</v>
      </c>
      <c r="C7" s="24" t="s">
        <v>123</v>
      </c>
      <c r="D7" s="24">
        <v>2</v>
      </c>
      <c r="E7" s="24"/>
      <c r="F7" s="24">
        <v>1</v>
      </c>
      <c r="G7" s="24"/>
      <c r="H7" s="24">
        <v>185</v>
      </c>
      <c r="I7" s="24">
        <v>42</v>
      </c>
      <c r="J7" s="24"/>
      <c r="K7" s="24">
        <v>334</v>
      </c>
      <c r="L7" s="24">
        <v>5</v>
      </c>
      <c r="M7" s="24">
        <v>567</v>
      </c>
      <c r="N7" s="25">
        <v>50.564373897707227</v>
      </c>
      <c r="O7" s="24" t="s">
        <v>215</v>
      </c>
      <c r="P7" s="24">
        <f t="shared" si="0"/>
        <v>334</v>
      </c>
      <c r="Q7" s="24">
        <f t="shared" si="1"/>
        <v>185</v>
      </c>
      <c r="R7" s="24">
        <f t="shared" si="2"/>
        <v>42</v>
      </c>
      <c r="S7" s="24">
        <f t="shared" si="3"/>
        <v>6</v>
      </c>
      <c r="T7" s="24">
        <f t="shared" si="4"/>
        <v>567</v>
      </c>
      <c r="U7" s="27">
        <f t="shared" si="5"/>
        <v>0.58906525573192237</v>
      </c>
      <c r="V7" s="27">
        <f t="shared" si="6"/>
        <v>0.32627865961199293</v>
      </c>
      <c r="W7" s="27">
        <f t="shared" si="7"/>
        <v>7.407407407407407E-2</v>
      </c>
      <c r="X7" s="27">
        <f t="shared" si="8"/>
        <v>1.0582010582010581E-2</v>
      </c>
      <c r="Y7" s="25">
        <f t="shared" si="9"/>
        <v>50.564373897707227</v>
      </c>
    </row>
    <row r="8" spans="1:25" x14ac:dyDescent="0.25">
      <c r="A8" s="24" t="s">
        <v>218</v>
      </c>
      <c r="B8" s="24" t="s">
        <v>219</v>
      </c>
      <c r="C8" s="24" t="s">
        <v>123</v>
      </c>
      <c r="D8" s="24">
        <v>3</v>
      </c>
      <c r="E8" s="24"/>
      <c r="F8" s="24"/>
      <c r="G8" s="24"/>
      <c r="H8" s="24">
        <v>166</v>
      </c>
      <c r="I8" s="24">
        <v>40</v>
      </c>
      <c r="J8" s="24"/>
      <c r="K8" s="24">
        <v>359</v>
      </c>
      <c r="L8" s="24">
        <v>2</v>
      </c>
      <c r="M8" s="24">
        <v>567</v>
      </c>
      <c r="N8" s="25">
        <v>36.832451499118164</v>
      </c>
      <c r="O8" s="24" t="s">
        <v>215</v>
      </c>
      <c r="P8" s="24">
        <f t="shared" si="0"/>
        <v>359</v>
      </c>
      <c r="Q8" s="24">
        <f t="shared" si="1"/>
        <v>166</v>
      </c>
      <c r="R8" s="24">
        <f t="shared" si="2"/>
        <v>40</v>
      </c>
      <c r="S8" s="24">
        <f t="shared" si="3"/>
        <v>2</v>
      </c>
      <c r="T8" s="24">
        <f t="shared" si="4"/>
        <v>567</v>
      </c>
      <c r="U8" s="27">
        <f t="shared" si="5"/>
        <v>0.63315696649029984</v>
      </c>
      <c r="V8" s="27">
        <f t="shared" si="6"/>
        <v>0.29276895943562609</v>
      </c>
      <c r="W8" s="27">
        <f t="shared" si="7"/>
        <v>7.0546737213403876E-2</v>
      </c>
      <c r="X8" s="27">
        <f t="shared" si="8"/>
        <v>3.5273368606701938E-3</v>
      </c>
      <c r="Y8" s="25">
        <f t="shared" si="9"/>
        <v>36.832451499118164</v>
      </c>
    </row>
    <row r="9" spans="1:25" x14ac:dyDescent="0.25">
      <c r="A9" s="24" t="s">
        <v>218</v>
      </c>
      <c r="B9" s="24" t="s">
        <v>219</v>
      </c>
      <c r="C9" s="24" t="s">
        <v>123</v>
      </c>
      <c r="D9" s="24">
        <v>4</v>
      </c>
      <c r="E9" s="24"/>
      <c r="F9" s="24"/>
      <c r="G9" s="24"/>
      <c r="H9" s="24">
        <v>101</v>
      </c>
      <c r="I9" s="24">
        <v>34</v>
      </c>
      <c r="J9" s="24">
        <v>1</v>
      </c>
      <c r="K9" s="24">
        <v>431</v>
      </c>
      <c r="L9" s="24"/>
      <c r="M9" s="24">
        <v>567</v>
      </c>
      <c r="N9" s="25">
        <v>24.550264550264551</v>
      </c>
      <c r="O9" s="24" t="s">
        <v>215</v>
      </c>
      <c r="P9" s="24">
        <f t="shared" si="0"/>
        <v>431</v>
      </c>
      <c r="Q9" s="24">
        <f t="shared" si="1"/>
        <v>101</v>
      </c>
      <c r="R9" s="24">
        <f t="shared" si="2"/>
        <v>34</v>
      </c>
      <c r="S9" s="24">
        <f t="shared" si="3"/>
        <v>1</v>
      </c>
      <c r="T9" s="24">
        <f t="shared" si="4"/>
        <v>567</v>
      </c>
      <c r="U9" s="27">
        <f t="shared" si="5"/>
        <v>0.76014109347442682</v>
      </c>
      <c r="V9" s="27">
        <f t="shared" si="6"/>
        <v>0.17813051146384479</v>
      </c>
      <c r="W9" s="27">
        <f t="shared" si="7"/>
        <v>5.9964726631393295E-2</v>
      </c>
      <c r="X9" s="27">
        <f t="shared" si="8"/>
        <v>1.7636684303350969E-3</v>
      </c>
      <c r="Y9" s="25">
        <f t="shared" si="9"/>
        <v>24.550264550264551</v>
      </c>
    </row>
    <row r="10" spans="1:25" x14ac:dyDescent="0.25">
      <c r="A10" s="24" t="s">
        <v>220</v>
      </c>
      <c r="B10" s="24" t="s">
        <v>221</v>
      </c>
      <c r="C10" s="24" t="s">
        <v>125</v>
      </c>
      <c r="D10" s="24">
        <v>1</v>
      </c>
      <c r="E10" s="24"/>
      <c r="F10" s="24"/>
      <c r="G10" s="24">
        <v>1</v>
      </c>
      <c r="H10" s="24">
        <v>141</v>
      </c>
      <c r="I10" s="24">
        <v>3</v>
      </c>
      <c r="J10" s="24"/>
      <c r="K10" s="24">
        <v>218</v>
      </c>
      <c r="L10" s="24">
        <v>87</v>
      </c>
      <c r="M10" s="24">
        <v>450</v>
      </c>
      <c r="N10" s="25">
        <v>62.80222222222222</v>
      </c>
      <c r="O10" s="24" t="s">
        <v>215</v>
      </c>
      <c r="P10" s="24">
        <f t="shared" si="0"/>
        <v>218</v>
      </c>
      <c r="Q10" s="24">
        <f t="shared" si="1"/>
        <v>141</v>
      </c>
      <c r="R10" s="24">
        <f t="shared" si="2"/>
        <v>3</v>
      </c>
      <c r="S10" s="24">
        <f t="shared" si="3"/>
        <v>88</v>
      </c>
      <c r="T10" s="24">
        <f t="shared" si="4"/>
        <v>450</v>
      </c>
      <c r="U10" s="27">
        <f t="shared" si="5"/>
        <v>0.48444444444444446</v>
      </c>
      <c r="V10" s="27">
        <f t="shared" si="6"/>
        <v>0.31333333333333335</v>
      </c>
      <c r="W10" s="27">
        <f t="shared" si="7"/>
        <v>6.6666666666666671E-3</v>
      </c>
      <c r="X10" s="27">
        <f t="shared" si="8"/>
        <v>0.19555555555555557</v>
      </c>
      <c r="Y10" s="25">
        <f t="shared" si="9"/>
        <v>62.80222222222222</v>
      </c>
    </row>
    <row r="11" spans="1:25" x14ac:dyDescent="0.25">
      <c r="A11" s="24" t="s">
        <v>220</v>
      </c>
      <c r="B11" s="24" t="s">
        <v>221</v>
      </c>
      <c r="C11" s="24" t="s">
        <v>125</v>
      </c>
      <c r="D11" s="24">
        <v>2</v>
      </c>
      <c r="E11" s="24">
        <v>4</v>
      </c>
      <c r="F11" s="24">
        <v>1</v>
      </c>
      <c r="G11" s="24"/>
      <c r="H11" s="24">
        <v>73</v>
      </c>
      <c r="I11" s="24">
        <v>2</v>
      </c>
      <c r="J11" s="24">
        <v>1</v>
      </c>
      <c r="K11" s="24">
        <v>346</v>
      </c>
      <c r="L11" s="24">
        <v>206</v>
      </c>
      <c r="M11" s="24">
        <v>633</v>
      </c>
      <c r="N11" s="25">
        <v>42.333333333333336</v>
      </c>
      <c r="O11" s="24" t="s">
        <v>215</v>
      </c>
      <c r="P11" s="24">
        <f t="shared" si="0"/>
        <v>346</v>
      </c>
      <c r="Q11" s="24">
        <f t="shared" si="1"/>
        <v>73</v>
      </c>
      <c r="R11" s="24">
        <f t="shared" si="2"/>
        <v>2</v>
      </c>
      <c r="S11" s="24">
        <f t="shared" si="3"/>
        <v>212</v>
      </c>
      <c r="T11" s="24">
        <f t="shared" si="4"/>
        <v>633</v>
      </c>
      <c r="U11" s="27">
        <f t="shared" si="5"/>
        <v>0.54660347551342814</v>
      </c>
      <c r="V11" s="27">
        <f t="shared" si="6"/>
        <v>0.11532385466034756</v>
      </c>
      <c r="W11" s="27">
        <f t="shared" si="7"/>
        <v>3.1595576619273301E-3</v>
      </c>
      <c r="X11" s="27">
        <f t="shared" si="8"/>
        <v>0.33491311216429698</v>
      </c>
      <c r="Y11" s="25">
        <f t="shared" si="9"/>
        <v>42.333333333333336</v>
      </c>
    </row>
    <row r="12" spans="1:25" x14ac:dyDescent="0.25">
      <c r="A12" s="24" t="s">
        <v>220</v>
      </c>
      <c r="B12" s="24" t="s">
        <v>221</v>
      </c>
      <c r="C12" s="24" t="s">
        <v>125</v>
      </c>
      <c r="D12" s="24">
        <v>3</v>
      </c>
      <c r="E12" s="24">
        <v>85</v>
      </c>
      <c r="F12" s="24">
        <v>1</v>
      </c>
      <c r="G12" s="24">
        <v>3</v>
      </c>
      <c r="H12" s="24">
        <v>45</v>
      </c>
      <c r="I12" s="24">
        <v>46</v>
      </c>
      <c r="J12" s="24"/>
      <c r="K12" s="24">
        <v>361</v>
      </c>
      <c r="L12" s="24">
        <v>92</v>
      </c>
      <c r="M12" s="24">
        <v>633</v>
      </c>
      <c r="N12" s="25">
        <v>26.137440758293838</v>
      </c>
      <c r="O12" s="24" t="s">
        <v>215</v>
      </c>
      <c r="P12" s="24">
        <f t="shared" si="0"/>
        <v>361</v>
      </c>
      <c r="Q12" s="24">
        <f t="shared" si="1"/>
        <v>45</v>
      </c>
      <c r="R12" s="24">
        <f t="shared" si="2"/>
        <v>46</v>
      </c>
      <c r="S12" s="24">
        <f t="shared" si="3"/>
        <v>181</v>
      </c>
      <c r="T12" s="24">
        <f t="shared" si="4"/>
        <v>633</v>
      </c>
      <c r="U12" s="27">
        <f t="shared" si="5"/>
        <v>0.57030015797788314</v>
      </c>
      <c r="V12" s="27">
        <f t="shared" si="6"/>
        <v>7.1090047393364927E-2</v>
      </c>
      <c r="W12" s="27">
        <f t="shared" si="7"/>
        <v>7.266982622432859E-2</v>
      </c>
      <c r="X12" s="27">
        <f t="shared" si="8"/>
        <v>0.28593996840442337</v>
      </c>
      <c r="Y12" s="25">
        <f t="shared" si="9"/>
        <v>26.137440758293838</v>
      </c>
    </row>
    <row r="13" spans="1:25" x14ac:dyDescent="0.25">
      <c r="A13" s="24" t="s">
        <v>222</v>
      </c>
      <c r="B13" s="24" t="s">
        <v>223</v>
      </c>
      <c r="C13" s="24" t="s">
        <v>132</v>
      </c>
      <c r="D13" s="24">
        <v>1</v>
      </c>
      <c r="E13" s="24"/>
      <c r="F13" s="24"/>
      <c r="G13" s="24"/>
      <c r="H13" s="24">
        <v>403</v>
      </c>
      <c r="I13" s="24">
        <v>5</v>
      </c>
      <c r="J13" s="24">
        <v>1</v>
      </c>
      <c r="K13" s="24">
        <v>41</v>
      </c>
      <c r="L13" s="24"/>
      <c r="M13" s="24">
        <v>450</v>
      </c>
      <c r="N13" s="25">
        <v>74.906666666666666</v>
      </c>
      <c r="O13" s="24" t="s">
        <v>215</v>
      </c>
      <c r="P13" s="24">
        <f t="shared" si="0"/>
        <v>41</v>
      </c>
      <c r="Q13" s="24">
        <f t="shared" si="1"/>
        <v>403</v>
      </c>
      <c r="R13" s="24">
        <f t="shared" si="2"/>
        <v>5</v>
      </c>
      <c r="S13" s="24">
        <f t="shared" si="3"/>
        <v>1</v>
      </c>
      <c r="T13" s="24">
        <f t="shared" si="4"/>
        <v>450</v>
      </c>
      <c r="U13" s="27">
        <f t="shared" si="5"/>
        <v>9.1111111111111115E-2</v>
      </c>
      <c r="V13" s="27">
        <f t="shared" si="6"/>
        <v>0.89555555555555555</v>
      </c>
      <c r="W13" s="27">
        <f t="shared" si="7"/>
        <v>1.1111111111111112E-2</v>
      </c>
      <c r="X13" s="27">
        <f t="shared" si="8"/>
        <v>2.2222222222222222E-3</v>
      </c>
      <c r="Y13" s="25">
        <f t="shared" si="9"/>
        <v>74.906666666666666</v>
      </c>
    </row>
    <row r="14" spans="1:25" x14ac:dyDescent="0.25">
      <c r="A14" s="24" t="s">
        <v>222</v>
      </c>
      <c r="B14" s="24" t="s">
        <v>223</v>
      </c>
      <c r="C14" s="24" t="s">
        <v>132</v>
      </c>
      <c r="D14" s="24">
        <v>2</v>
      </c>
      <c r="E14" s="24"/>
      <c r="F14" s="24"/>
      <c r="G14" s="24"/>
      <c r="H14" s="24">
        <v>412</v>
      </c>
      <c r="I14" s="24">
        <v>4</v>
      </c>
      <c r="J14" s="24"/>
      <c r="K14" s="24">
        <v>34</v>
      </c>
      <c r="L14" s="24"/>
      <c r="M14" s="24">
        <v>450</v>
      </c>
      <c r="N14" s="25">
        <v>68.813333333333333</v>
      </c>
      <c r="O14" s="24" t="s">
        <v>215</v>
      </c>
      <c r="P14" s="24">
        <f t="shared" si="0"/>
        <v>34</v>
      </c>
      <c r="Q14" s="24">
        <f t="shared" si="1"/>
        <v>412</v>
      </c>
      <c r="R14" s="24">
        <f t="shared" si="2"/>
        <v>4</v>
      </c>
      <c r="S14" s="24">
        <f t="shared" si="3"/>
        <v>0</v>
      </c>
      <c r="T14" s="24">
        <f t="shared" si="4"/>
        <v>450</v>
      </c>
      <c r="U14" s="27">
        <f t="shared" si="5"/>
        <v>7.5555555555555556E-2</v>
      </c>
      <c r="V14" s="27">
        <f t="shared" si="6"/>
        <v>0.91555555555555557</v>
      </c>
      <c r="W14" s="27">
        <f t="shared" si="7"/>
        <v>8.8888888888888889E-3</v>
      </c>
      <c r="X14" s="27">
        <f t="shared" si="8"/>
        <v>0</v>
      </c>
      <c r="Y14" s="25">
        <f t="shared" si="9"/>
        <v>68.813333333333333</v>
      </c>
    </row>
    <row r="15" spans="1:25" x14ac:dyDescent="0.25">
      <c r="A15" s="24" t="s">
        <v>222</v>
      </c>
      <c r="B15" s="24" t="s">
        <v>223</v>
      </c>
      <c r="C15" s="24" t="s">
        <v>132</v>
      </c>
      <c r="D15" s="24">
        <v>3</v>
      </c>
      <c r="E15" s="24"/>
      <c r="F15" s="24"/>
      <c r="G15" s="24"/>
      <c r="H15" s="24">
        <v>400</v>
      </c>
      <c r="I15" s="24">
        <v>4</v>
      </c>
      <c r="J15" s="24"/>
      <c r="K15" s="24">
        <v>46</v>
      </c>
      <c r="L15" s="24"/>
      <c r="M15" s="24">
        <v>450</v>
      </c>
      <c r="N15" s="25">
        <v>61.117777777777775</v>
      </c>
      <c r="O15" s="24" t="s">
        <v>215</v>
      </c>
      <c r="P15" s="24">
        <f t="shared" si="0"/>
        <v>46</v>
      </c>
      <c r="Q15" s="24">
        <f t="shared" si="1"/>
        <v>400</v>
      </c>
      <c r="R15" s="24">
        <f t="shared" si="2"/>
        <v>4</v>
      </c>
      <c r="S15" s="24">
        <f t="shared" si="3"/>
        <v>0</v>
      </c>
      <c r="T15" s="24">
        <f t="shared" si="4"/>
        <v>450</v>
      </c>
      <c r="U15" s="27">
        <f t="shared" si="5"/>
        <v>0.10222222222222223</v>
      </c>
      <c r="V15" s="27">
        <f t="shared" si="6"/>
        <v>0.88888888888888884</v>
      </c>
      <c r="W15" s="27">
        <f t="shared" si="7"/>
        <v>8.8888888888888889E-3</v>
      </c>
      <c r="X15" s="27">
        <f t="shared" si="8"/>
        <v>0</v>
      </c>
      <c r="Y15" s="25">
        <f t="shared" si="9"/>
        <v>61.117777777777775</v>
      </c>
    </row>
    <row r="16" spans="1:25" x14ac:dyDescent="0.25">
      <c r="A16" s="24" t="s">
        <v>222</v>
      </c>
      <c r="B16" s="24" t="s">
        <v>223</v>
      </c>
      <c r="C16" s="24" t="s">
        <v>132</v>
      </c>
      <c r="D16" s="24">
        <v>4</v>
      </c>
      <c r="E16" s="24">
        <v>1</v>
      </c>
      <c r="F16" s="24"/>
      <c r="G16" s="24"/>
      <c r="H16" s="24">
        <v>602</v>
      </c>
      <c r="I16" s="24">
        <v>10</v>
      </c>
      <c r="J16" s="24"/>
      <c r="K16" s="24">
        <v>76</v>
      </c>
      <c r="L16" s="24"/>
      <c r="M16" s="24">
        <v>689</v>
      </c>
      <c r="N16" s="25">
        <v>53.20174165457184</v>
      </c>
      <c r="O16" s="24" t="s">
        <v>215</v>
      </c>
      <c r="P16" s="24">
        <f t="shared" si="0"/>
        <v>76</v>
      </c>
      <c r="Q16" s="24">
        <f t="shared" si="1"/>
        <v>602</v>
      </c>
      <c r="R16" s="24">
        <f t="shared" si="2"/>
        <v>10</v>
      </c>
      <c r="S16" s="24">
        <f t="shared" si="3"/>
        <v>1</v>
      </c>
      <c r="T16" s="24">
        <f t="shared" si="4"/>
        <v>689</v>
      </c>
      <c r="U16" s="27">
        <f t="shared" si="5"/>
        <v>0.11030478955007257</v>
      </c>
      <c r="V16" s="27">
        <f t="shared" si="6"/>
        <v>0.8737300435413643</v>
      </c>
      <c r="W16" s="27">
        <f t="shared" si="7"/>
        <v>1.4513788098693759E-2</v>
      </c>
      <c r="X16" s="27">
        <f t="shared" si="8"/>
        <v>1.4513788098693759E-3</v>
      </c>
      <c r="Y16" s="25">
        <f t="shared" si="9"/>
        <v>53.20174165457184</v>
      </c>
    </row>
    <row r="17" spans="1:25" x14ac:dyDescent="0.25">
      <c r="A17" s="24" t="s">
        <v>222</v>
      </c>
      <c r="B17" s="24" t="s">
        <v>223</v>
      </c>
      <c r="C17" s="24" t="s">
        <v>132</v>
      </c>
      <c r="D17" s="24">
        <v>5</v>
      </c>
      <c r="E17" s="24"/>
      <c r="F17" s="24"/>
      <c r="G17" s="24"/>
      <c r="H17" s="24">
        <v>539</v>
      </c>
      <c r="I17" s="24">
        <v>17</v>
      </c>
      <c r="J17" s="24">
        <v>1</v>
      </c>
      <c r="K17" s="24">
        <v>132</v>
      </c>
      <c r="L17" s="24"/>
      <c r="M17" s="24">
        <v>689</v>
      </c>
      <c r="N17" s="25">
        <v>44.078374455732948</v>
      </c>
      <c r="O17" s="24" t="s">
        <v>215</v>
      </c>
      <c r="P17" s="24">
        <f t="shared" si="0"/>
        <v>132</v>
      </c>
      <c r="Q17" s="24">
        <f t="shared" si="1"/>
        <v>539</v>
      </c>
      <c r="R17" s="24">
        <f t="shared" si="2"/>
        <v>17</v>
      </c>
      <c r="S17" s="24">
        <f t="shared" si="3"/>
        <v>1</v>
      </c>
      <c r="T17" s="24">
        <f t="shared" si="4"/>
        <v>689</v>
      </c>
      <c r="U17" s="27">
        <f t="shared" si="5"/>
        <v>0.19158200290275762</v>
      </c>
      <c r="V17" s="27">
        <f t="shared" si="6"/>
        <v>0.78229317851959357</v>
      </c>
      <c r="W17" s="27">
        <f t="shared" si="7"/>
        <v>2.4673439767779391E-2</v>
      </c>
      <c r="X17" s="27">
        <f t="shared" si="8"/>
        <v>1.4513788098693759E-3</v>
      </c>
      <c r="Y17" s="25">
        <f t="shared" si="9"/>
        <v>44.078374455732948</v>
      </c>
    </row>
    <row r="18" spans="1:25" x14ac:dyDescent="0.25">
      <c r="A18" s="24" t="s">
        <v>222</v>
      </c>
      <c r="B18" s="24" t="s">
        <v>223</v>
      </c>
      <c r="C18" s="24" t="s">
        <v>132</v>
      </c>
      <c r="D18" s="24">
        <v>6</v>
      </c>
      <c r="E18" s="24"/>
      <c r="F18" s="24"/>
      <c r="G18" s="24">
        <v>1</v>
      </c>
      <c r="H18" s="24">
        <v>490</v>
      </c>
      <c r="I18" s="24">
        <v>14</v>
      </c>
      <c r="J18" s="24"/>
      <c r="K18" s="24">
        <v>184</v>
      </c>
      <c r="L18" s="24"/>
      <c r="M18" s="24">
        <v>689</v>
      </c>
      <c r="N18" s="25">
        <v>35.785195936139331</v>
      </c>
      <c r="O18" s="24" t="s">
        <v>215</v>
      </c>
      <c r="P18" s="24">
        <f t="shared" si="0"/>
        <v>184</v>
      </c>
      <c r="Q18" s="24">
        <f t="shared" si="1"/>
        <v>490</v>
      </c>
      <c r="R18" s="24">
        <f t="shared" si="2"/>
        <v>14</v>
      </c>
      <c r="S18" s="24">
        <f t="shared" si="3"/>
        <v>1</v>
      </c>
      <c r="T18" s="24">
        <f t="shared" si="4"/>
        <v>689</v>
      </c>
      <c r="U18" s="27">
        <f t="shared" si="5"/>
        <v>0.26705370101596515</v>
      </c>
      <c r="V18" s="27">
        <f t="shared" si="6"/>
        <v>0.71117561683599417</v>
      </c>
      <c r="W18" s="27">
        <f t="shared" si="7"/>
        <v>2.0319303338171262E-2</v>
      </c>
      <c r="X18" s="27">
        <f t="shared" si="8"/>
        <v>1.4513788098693759E-3</v>
      </c>
      <c r="Y18" s="25">
        <f t="shared" si="9"/>
        <v>35.785195936139331</v>
      </c>
    </row>
    <row r="19" spans="1:25" x14ac:dyDescent="0.25">
      <c r="A19" s="24" t="s">
        <v>222</v>
      </c>
      <c r="B19" s="24" t="s">
        <v>223</v>
      </c>
      <c r="C19" s="24" t="s">
        <v>132</v>
      </c>
      <c r="D19" s="24">
        <v>7</v>
      </c>
      <c r="E19" s="24">
        <v>2</v>
      </c>
      <c r="F19" s="24"/>
      <c r="G19" s="24"/>
      <c r="H19" s="24">
        <v>538</v>
      </c>
      <c r="I19" s="24">
        <v>12</v>
      </c>
      <c r="J19" s="24"/>
      <c r="K19" s="24">
        <v>138</v>
      </c>
      <c r="L19" s="24"/>
      <c r="M19" s="24">
        <v>690</v>
      </c>
      <c r="N19" s="25">
        <v>25.41449275362319</v>
      </c>
      <c r="O19" s="24" t="s">
        <v>215</v>
      </c>
      <c r="P19" s="24">
        <f t="shared" si="0"/>
        <v>138</v>
      </c>
      <c r="Q19" s="24">
        <f t="shared" si="1"/>
        <v>538</v>
      </c>
      <c r="R19" s="24">
        <f t="shared" si="2"/>
        <v>12</v>
      </c>
      <c r="S19" s="24">
        <f t="shared" si="3"/>
        <v>2</v>
      </c>
      <c r="T19" s="24">
        <f t="shared" si="4"/>
        <v>690</v>
      </c>
      <c r="U19" s="27">
        <f t="shared" si="5"/>
        <v>0.2</v>
      </c>
      <c r="V19" s="27">
        <f t="shared" si="6"/>
        <v>0.77971014492753621</v>
      </c>
      <c r="W19" s="27">
        <f t="shared" si="7"/>
        <v>1.7391304347826087E-2</v>
      </c>
      <c r="X19" s="27">
        <f t="shared" si="8"/>
        <v>2.8985507246376812E-3</v>
      </c>
      <c r="Y19" s="25">
        <f t="shared" si="9"/>
        <v>25.41449275362319</v>
      </c>
    </row>
    <row r="20" spans="1:25" x14ac:dyDescent="0.25">
      <c r="A20" s="24" t="s">
        <v>224</v>
      </c>
      <c r="B20" s="24" t="s">
        <v>225</v>
      </c>
      <c r="C20" s="24" t="s">
        <v>134</v>
      </c>
      <c r="D20" s="24">
        <v>1</v>
      </c>
      <c r="E20" s="24"/>
      <c r="F20" s="24"/>
      <c r="G20" s="24"/>
      <c r="H20" s="24">
        <v>278</v>
      </c>
      <c r="I20" s="24">
        <v>5</v>
      </c>
      <c r="J20" s="24"/>
      <c r="K20" s="24">
        <v>167</v>
      </c>
      <c r="L20" s="24"/>
      <c r="M20" s="24">
        <v>450</v>
      </c>
      <c r="N20" s="25">
        <v>68.251111111111115</v>
      </c>
      <c r="O20" s="24" t="s">
        <v>215</v>
      </c>
      <c r="P20" s="24">
        <f t="shared" si="0"/>
        <v>167</v>
      </c>
      <c r="Q20" s="24">
        <f t="shared" si="1"/>
        <v>278</v>
      </c>
      <c r="R20" s="24">
        <f t="shared" si="2"/>
        <v>5</v>
      </c>
      <c r="S20" s="24">
        <f t="shared" si="3"/>
        <v>0</v>
      </c>
      <c r="T20" s="24">
        <f t="shared" si="4"/>
        <v>450</v>
      </c>
      <c r="U20" s="27">
        <f t="shared" si="5"/>
        <v>0.37111111111111111</v>
      </c>
      <c r="V20" s="27">
        <f t="shared" si="6"/>
        <v>0.61777777777777776</v>
      </c>
      <c r="W20" s="27">
        <f t="shared" si="7"/>
        <v>1.1111111111111112E-2</v>
      </c>
      <c r="X20" s="27">
        <f t="shared" si="8"/>
        <v>0</v>
      </c>
      <c r="Y20" s="25">
        <f t="shared" si="9"/>
        <v>68.251111111111115</v>
      </c>
    </row>
    <row r="21" spans="1:25" x14ac:dyDescent="0.25">
      <c r="A21" s="24" t="s">
        <v>224</v>
      </c>
      <c r="B21" s="24" t="s">
        <v>225</v>
      </c>
      <c r="C21" s="24" t="s">
        <v>134</v>
      </c>
      <c r="D21" s="24">
        <v>2</v>
      </c>
      <c r="E21" s="24"/>
      <c r="F21" s="24"/>
      <c r="G21" s="24"/>
      <c r="H21" s="24">
        <v>281</v>
      </c>
      <c r="I21" s="24">
        <v>5</v>
      </c>
      <c r="J21" s="24"/>
      <c r="K21" s="24">
        <v>260</v>
      </c>
      <c r="L21" s="24">
        <v>1</v>
      </c>
      <c r="M21" s="24">
        <v>547</v>
      </c>
      <c r="N21" s="25">
        <v>46.819012797074954</v>
      </c>
      <c r="O21" s="24" t="s">
        <v>215</v>
      </c>
      <c r="P21" s="24">
        <f t="shared" si="0"/>
        <v>260</v>
      </c>
      <c r="Q21" s="24">
        <f t="shared" si="1"/>
        <v>281</v>
      </c>
      <c r="R21" s="24">
        <f t="shared" si="2"/>
        <v>5</v>
      </c>
      <c r="S21" s="24">
        <f t="shared" si="3"/>
        <v>1</v>
      </c>
      <c r="T21" s="24">
        <f t="shared" si="4"/>
        <v>547</v>
      </c>
      <c r="U21" s="27">
        <f t="shared" si="5"/>
        <v>0.47531992687385738</v>
      </c>
      <c r="V21" s="27">
        <f t="shared" si="6"/>
        <v>0.51371115173674586</v>
      </c>
      <c r="W21" s="27">
        <f t="shared" si="7"/>
        <v>9.140767824497258E-3</v>
      </c>
      <c r="X21" s="27">
        <f t="shared" si="8"/>
        <v>1.8281535648994515E-3</v>
      </c>
      <c r="Y21" s="25">
        <f t="shared" si="9"/>
        <v>46.819012797074954</v>
      </c>
    </row>
    <row r="22" spans="1:25" x14ac:dyDescent="0.25">
      <c r="A22" s="24" t="s">
        <v>224</v>
      </c>
      <c r="B22" s="24" t="s">
        <v>225</v>
      </c>
      <c r="C22" s="24" t="s">
        <v>134</v>
      </c>
      <c r="D22" s="24">
        <v>3</v>
      </c>
      <c r="E22" s="24">
        <v>1</v>
      </c>
      <c r="F22" s="24">
        <v>1</v>
      </c>
      <c r="G22" s="24"/>
      <c r="H22" s="24">
        <v>123</v>
      </c>
      <c r="I22" s="24">
        <v>3</v>
      </c>
      <c r="J22" s="24"/>
      <c r="K22" s="24">
        <v>419</v>
      </c>
      <c r="L22" s="24"/>
      <c r="M22" s="24">
        <v>547</v>
      </c>
      <c r="N22" s="25">
        <v>29.062157221206583</v>
      </c>
      <c r="O22" s="24" t="s">
        <v>215</v>
      </c>
      <c r="P22" s="24">
        <f t="shared" si="0"/>
        <v>419</v>
      </c>
      <c r="Q22" s="24">
        <f t="shared" si="1"/>
        <v>123</v>
      </c>
      <c r="R22" s="24">
        <f t="shared" si="2"/>
        <v>3</v>
      </c>
      <c r="S22" s="24">
        <f t="shared" si="3"/>
        <v>2</v>
      </c>
      <c r="T22" s="24">
        <f t="shared" si="4"/>
        <v>547</v>
      </c>
      <c r="U22" s="27">
        <f t="shared" si="5"/>
        <v>0.76599634369287017</v>
      </c>
      <c r="V22" s="27">
        <f t="shared" si="6"/>
        <v>0.22486288848263253</v>
      </c>
      <c r="W22" s="27">
        <f t="shared" si="7"/>
        <v>5.4844606946983544E-3</v>
      </c>
      <c r="X22" s="27">
        <f t="shared" si="8"/>
        <v>3.6563071297989031E-3</v>
      </c>
      <c r="Y22" s="25">
        <f t="shared" si="9"/>
        <v>29.062157221206583</v>
      </c>
    </row>
    <row r="23" spans="1:25" x14ac:dyDescent="0.25">
      <c r="A23" s="24" t="s">
        <v>226</v>
      </c>
      <c r="B23" s="24" t="s">
        <v>227</v>
      </c>
      <c r="C23" s="24" t="s">
        <v>136</v>
      </c>
      <c r="D23" s="24">
        <v>1</v>
      </c>
      <c r="E23" s="24"/>
      <c r="F23" s="24"/>
      <c r="G23" s="24"/>
      <c r="H23" s="24">
        <v>1</v>
      </c>
      <c r="I23" s="24">
        <v>2</v>
      </c>
      <c r="J23" s="24">
        <v>1</v>
      </c>
      <c r="K23" s="24">
        <v>391</v>
      </c>
      <c r="L23" s="24"/>
      <c r="M23" s="24">
        <v>395</v>
      </c>
      <c r="N23" s="25">
        <v>44.612658227848101</v>
      </c>
      <c r="O23" s="24" t="s">
        <v>215</v>
      </c>
      <c r="P23" s="24">
        <f t="shared" si="0"/>
        <v>391</v>
      </c>
      <c r="Q23" s="24">
        <f t="shared" si="1"/>
        <v>1</v>
      </c>
      <c r="R23" s="24">
        <f t="shared" si="2"/>
        <v>2</v>
      </c>
      <c r="S23" s="24">
        <f t="shared" si="3"/>
        <v>1</v>
      </c>
      <c r="T23" s="24">
        <f t="shared" si="4"/>
        <v>395</v>
      </c>
      <c r="U23" s="27">
        <f t="shared" si="5"/>
        <v>0.98987341772151893</v>
      </c>
      <c r="V23" s="27">
        <f t="shared" si="6"/>
        <v>2.5316455696202532E-3</v>
      </c>
      <c r="W23" s="27">
        <f t="shared" si="7"/>
        <v>5.0632911392405064E-3</v>
      </c>
      <c r="X23" s="27">
        <f t="shared" si="8"/>
        <v>2.5316455696202532E-3</v>
      </c>
      <c r="Y23" s="25">
        <f t="shared" si="9"/>
        <v>44.612658227848101</v>
      </c>
    </row>
    <row r="24" spans="1:25" x14ac:dyDescent="0.25">
      <c r="A24" s="24" t="s">
        <v>228</v>
      </c>
      <c r="B24" s="24" t="s">
        <v>229</v>
      </c>
      <c r="C24" s="24" t="s">
        <v>138</v>
      </c>
      <c r="D24" s="24">
        <v>1</v>
      </c>
      <c r="E24" s="24"/>
      <c r="F24" s="24"/>
      <c r="G24" s="24">
        <v>1</v>
      </c>
      <c r="H24" s="24">
        <v>314</v>
      </c>
      <c r="I24" s="24">
        <v>15</v>
      </c>
      <c r="J24" s="24"/>
      <c r="K24" s="24">
        <v>120</v>
      </c>
      <c r="L24" s="24"/>
      <c r="M24" s="24">
        <v>450</v>
      </c>
      <c r="N24" s="25">
        <v>73.328888888888883</v>
      </c>
      <c r="O24" s="24" t="s">
        <v>215</v>
      </c>
      <c r="P24" s="24">
        <f t="shared" si="0"/>
        <v>120</v>
      </c>
      <c r="Q24" s="24">
        <f t="shared" si="1"/>
        <v>314</v>
      </c>
      <c r="R24" s="24">
        <f t="shared" si="2"/>
        <v>15</v>
      </c>
      <c r="S24" s="24">
        <f t="shared" si="3"/>
        <v>1</v>
      </c>
      <c r="T24" s="24">
        <f t="shared" si="4"/>
        <v>450</v>
      </c>
      <c r="U24" s="27">
        <f t="shared" si="5"/>
        <v>0.26666666666666666</v>
      </c>
      <c r="V24" s="27">
        <f t="shared" si="6"/>
        <v>0.69777777777777783</v>
      </c>
      <c r="W24" s="27">
        <f t="shared" si="7"/>
        <v>3.3333333333333333E-2</v>
      </c>
      <c r="X24" s="27">
        <f t="shared" si="8"/>
        <v>2.2222222222222222E-3</v>
      </c>
      <c r="Y24" s="25">
        <f t="shared" si="9"/>
        <v>73.328888888888883</v>
      </c>
    </row>
    <row r="25" spans="1:25" x14ac:dyDescent="0.25">
      <c r="A25" s="24" t="s">
        <v>228</v>
      </c>
      <c r="B25" s="24" t="s">
        <v>229</v>
      </c>
      <c r="C25" s="24" t="s">
        <v>138</v>
      </c>
      <c r="D25" s="24">
        <v>2</v>
      </c>
      <c r="E25" s="24"/>
      <c r="F25" s="24"/>
      <c r="G25" s="24"/>
      <c r="H25" s="24">
        <v>281</v>
      </c>
      <c r="I25" s="24">
        <v>14</v>
      </c>
      <c r="J25" s="24"/>
      <c r="K25" s="24">
        <v>155</v>
      </c>
      <c r="L25" s="24"/>
      <c r="M25" s="24">
        <v>450</v>
      </c>
      <c r="N25" s="25">
        <v>61.924444444444447</v>
      </c>
      <c r="O25" s="24" t="s">
        <v>215</v>
      </c>
      <c r="P25" s="24">
        <f t="shared" si="0"/>
        <v>155</v>
      </c>
      <c r="Q25" s="24">
        <f t="shared" si="1"/>
        <v>281</v>
      </c>
      <c r="R25" s="24">
        <f t="shared" si="2"/>
        <v>14</v>
      </c>
      <c r="S25" s="24">
        <f t="shared" si="3"/>
        <v>0</v>
      </c>
      <c r="T25" s="24">
        <f t="shared" si="4"/>
        <v>450</v>
      </c>
      <c r="U25" s="27">
        <f t="shared" si="5"/>
        <v>0.34444444444444444</v>
      </c>
      <c r="V25" s="27">
        <f t="shared" si="6"/>
        <v>0.62444444444444447</v>
      </c>
      <c r="W25" s="27">
        <f t="shared" si="7"/>
        <v>3.111111111111111E-2</v>
      </c>
      <c r="X25" s="27">
        <f t="shared" si="8"/>
        <v>0</v>
      </c>
      <c r="Y25" s="25">
        <f t="shared" si="9"/>
        <v>61.924444444444447</v>
      </c>
    </row>
    <row r="26" spans="1:25" x14ac:dyDescent="0.25">
      <c r="A26" s="24" t="s">
        <v>228</v>
      </c>
      <c r="B26" s="24" t="s">
        <v>229</v>
      </c>
      <c r="C26" s="24" t="s">
        <v>138</v>
      </c>
      <c r="D26" s="24">
        <v>3</v>
      </c>
      <c r="E26" s="24"/>
      <c r="F26" s="24"/>
      <c r="G26" s="24"/>
      <c r="H26" s="24">
        <v>391</v>
      </c>
      <c r="I26" s="24">
        <v>15</v>
      </c>
      <c r="J26" s="24">
        <v>1</v>
      </c>
      <c r="K26" s="24">
        <v>302</v>
      </c>
      <c r="L26" s="24"/>
      <c r="M26" s="24">
        <v>709</v>
      </c>
      <c r="N26" s="25">
        <v>47.779971791255292</v>
      </c>
      <c r="O26" s="24" t="s">
        <v>215</v>
      </c>
      <c r="P26" s="24">
        <f t="shared" si="0"/>
        <v>302</v>
      </c>
      <c r="Q26" s="24">
        <f t="shared" si="1"/>
        <v>391</v>
      </c>
      <c r="R26" s="24">
        <f t="shared" si="2"/>
        <v>15</v>
      </c>
      <c r="S26" s="24">
        <f t="shared" si="3"/>
        <v>1</v>
      </c>
      <c r="T26" s="24">
        <f t="shared" si="4"/>
        <v>709</v>
      </c>
      <c r="U26" s="27">
        <f t="shared" si="5"/>
        <v>0.42595204513399154</v>
      </c>
      <c r="V26" s="27">
        <f t="shared" si="6"/>
        <v>0.5514809590973202</v>
      </c>
      <c r="W26" s="27">
        <f t="shared" si="7"/>
        <v>2.1156558533145273E-2</v>
      </c>
      <c r="X26" s="27">
        <f t="shared" si="8"/>
        <v>1.4104372355430183E-3</v>
      </c>
      <c r="Y26" s="25">
        <f t="shared" si="9"/>
        <v>47.779971791255292</v>
      </c>
    </row>
    <row r="27" spans="1:25" x14ac:dyDescent="0.25">
      <c r="A27" s="24" t="s">
        <v>228</v>
      </c>
      <c r="B27" s="24" t="s">
        <v>229</v>
      </c>
      <c r="C27" s="24" t="s">
        <v>138</v>
      </c>
      <c r="D27" s="24">
        <v>4</v>
      </c>
      <c r="E27" s="24"/>
      <c r="F27" s="24">
        <v>1</v>
      </c>
      <c r="G27" s="24"/>
      <c r="H27" s="24">
        <v>279</v>
      </c>
      <c r="I27" s="24">
        <v>9</v>
      </c>
      <c r="J27" s="24"/>
      <c r="K27" s="24">
        <v>420</v>
      </c>
      <c r="L27" s="24">
        <v>1</v>
      </c>
      <c r="M27" s="24">
        <v>710</v>
      </c>
      <c r="N27" s="25">
        <v>29.004225352112677</v>
      </c>
      <c r="O27" s="24" t="s">
        <v>215</v>
      </c>
      <c r="P27" s="24">
        <f t="shared" si="0"/>
        <v>420</v>
      </c>
      <c r="Q27" s="24">
        <f t="shared" si="1"/>
        <v>279</v>
      </c>
      <c r="R27" s="24">
        <f t="shared" si="2"/>
        <v>9</v>
      </c>
      <c r="S27" s="24">
        <f t="shared" si="3"/>
        <v>2</v>
      </c>
      <c r="T27" s="24">
        <f t="shared" si="4"/>
        <v>710</v>
      </c>
      <c r="U27" s="27">
        <f t="shared" si="5"/>
        <v>0.59154929577464788</v>
      </c>
      <c r="V27" s="27">
        <f t="shared" si="6"/>
        <v>0.39295774647887322</v>
      </c>
      <c r="W27" s="27">
        <f t="shared" si="7"/>
        <v>1.2676056338028169E-2</v>
      </c>
      <c r="X27" s="27">
        <f t="shared" si="8"/>
        <v>2.8169014084507044E-3</v>
      </c>
      <c r="Y27" s="25">
        <f t="shared" si="9"/>
        <v>29.004225352112677</v>
      </c>
    </row>
    <row r="28" spans="1:25" x14ac:dyDescent="0.25">
      <c r="A28" s="24" t="s">
        <v>230</v>
      </c>
      <c r="B28" s="24" t="s">
        <v>231</v>
      </c>
      <c r="C28" s="24" t="s">
        <v>140</v>
      </c>
      <c r="D28" s="24">
        <v>1</v>
      </c>
      <c r="E28" s="24"/>
      <c r="F28" s="24"/>
      <c r="G28" s="24"/>
      <c r="H28" s="24"/>
      <c r="I28" s="24">
        <v>1</v>
      </c>
      <c r="J28" s="24">
        <v>6</v>
      </c>
      <c r="K28" s="24">
        <v>520</v>
      </c>
      <c r="L28" s="24"/>
      <c r="M28" s="24">
        <v>527</v>
      </c>
      <c r="N28" s="25">
        <v>45.297912713472485</v>
      </c>
      <c r="O28" s="24" t="s">
        <v>215</v>
      </c>
      <c r="P28" s="24">
        <f t="shared" si="0"/>
        <v>520</v>
      </c>
      <c r="Q28" s="24">
        <f t="shared" si="1"/>
        <v>0</v>
      </c>
      <c r="R28" s="24">
        <f t="shared" si="2"/>
        <v>1</v>
      </c>
      <c r="S28" s="24">
        <f t="shared" si="3"/>
        <v>6</v>
      </c>
      <c r="T28" s="24">
        <f t="shared" si="4"/>
        <v>527</v>
      </c>
      <c r="U28" s="27">
        <f t="shared" si="5"/>
        <v>0.98671726755218214</v>
      </c>
      <c r="V28" s="27">
        <f t="shared" si="6"/>
        <v>0</v>
      </c>
      <c r="W28" s="27">
        <f t="shared" si="7"/>
        <v>1.8975332068311196E-3</v>
      </c>
      <c r="X28" s="27">
        <f t="shared" si="8"/>
        <v>1.1385199240986717E-2</v>
      </c>
      <c r="Y28" s="25">
        <f t="shared" si="9"/>
        <v>45.297912713472485</v>
      </c>
    </row>
    <row r="29" spans="1:25" x14ac:dyDescent="0.25">
      <c r="A29" s="24" t="s">
        <v>232</v>
      </c>
      <c r="B29" s="24" t="s">
        <v>233</v>
      </c>
      <c r="C29" s="24" t="s">
        <v>142</v>
      </c>
      <c r="D29" s="24">
        <v>1</v>
      </c>
      <c r="E29" s="24"/>
      <c r="F29" s="24"/>
      <c r="G29" s="24"/>
      <c r="H29" s="24">
        <v>1</v>
      </c>
      <c r="I29" s="24"/>
      <c r="J29" s="24"/>
      <c r="K29" s="24">
        <v>333</v>
      </c>
      <c r="L29" s="24"/>
      <c r="M29" s="24">
        <v>334</v>
      </c>
      <c r="N29" s="25">
        <v>58.206586826347305</v>
      </c>
      <c r="O29" s="24" t="s">
        <v>215</v>
      </c>
      <c r="P29" s="24">
        <f t="shared" si="0"/>
        <v>333</v>
      </c>
      <c r="Q29" s="24">
        <f t="shared" si="1"/>
        <v>1</v>
      </c>
      <c r="R29" s="24">
        <f t="shared" si="2"/>
        <v>0</v>
      </c>
      <c r="S29" s="24">
        <f t="shared" si="3"/>
        <v>0</v>
      </c>
      <c r="T29" s="24">
        <f t="shared" si="4"/>
        <v>334</v>
      </c>
      <c r="U29" s="27">
        <f t="shared" si="5"/>
        <v>0.99700598802395213</v>
      </c>
      <c r="V29" s="27">
        <f t="shared" si="6"/>
        <v>2.9940119760479044E-3</v>
      </c>
      <c r="W29" s="27">
        <f t="shared" si="7"/>
        <v>0</v>
      </c>
      <c r="X29" s="27">
        <f t="shared" si="8"/>
        <v>0</v>
      </c>
      <c r="Y29" s="25">
        <f t="shared" si="9"/>
        <v>58.206586826347305</v>
      </c>
    </row>
    <row r="30" spans="1:25" x14ac:dyDescent="0.25">
      <c r="A30" s="24" t="s">
        <v>232</v>
      </c>
      <c r="B30" s="24" t="s">
        <v>233</v>
      </c>
      <c r="C30" s="24" t="s">
        <v>142</v>
      </c>
      <c r="D30" s="24">
        <v>2</v>
      </c>
      <c r="E30" s="24"/>
      <c r="F30" s="24"/>
      <c r="G30" s="24"/>
      <c r="H30" s="24"/>
      <c r="I30" s="24"/>
      <c r="J30" s="24"/>
      <c r="K30" s="24">
        <v>335</v>
      </c>
      <c r="L30" s="24"/>
      <c r="M30" s="24">
        <v>335</v>
      </c>
      <c r="N30" s="25">
        <v>31.185074626865671</v>
      </c>
      <c r="O30" s="24" t="s">
        <v>215</v>
      </c>
      <c r="P30" s="24">
        <f t="shared" si="0"/>
        <v>335</v>
      </c>
      <c r="Q30" s="24">
        <f t="shared" si="1"/>
        <v>0</v>
      </c>
      <c r="R30" s="24">
        <f t="shared" si="2"/>
        <v>0</v>
      </c>
      <c r="S30" s="24">
        <f t="shared" si="3"/>
        <v>0</v>
      </c>
      <c r="T30" s="24">
        <f t="shared" si="4"/>
        <v>335</v>
      </c>
      <c r="U30" s="27">
        <f t="shared" si="5"/>
        <v>1</v>
      </c>
      <c r="V30" s="27">
        <f t="shared" si="6"/>
        <v>0</v>
      </c>
      <c r="W30" s="27">
        <f t="shared" si="7"/>
        <v>0</v>
      </c>
      <c r="X30" s="27">
        <f t="shared" si="8"/>
        <v>0</v>
      </c>
      <c r="Y30" s="25">
        <f t="shared" si="9"/>
        <v>31.185074626865671</v>
      </c>
    </row>
    <row r="31" spans="1:25" x14ac:dyDescent="0.25">
      <c r="A31" s="24" t="s">
        <v>234</v>
      </c>
      <c r="B31" s="24" t="s">
        <v>235</v>
      </c>
      <c r="C31" s="24" t="s">
        <v>144</v>
      </c>
      <c r="D31" s="24">
        <v>1</v>
      </c>
      <c r="E31" s="24"/>
      <c r="F31" s="24"/>
      <c r="G31" s="24"/>
      <c r="H31" s="24">
        <v>19</v>
      </c>
      <c r="I31" s="24">
        <v>20</v>
      </c>
      <c r="J31" s="24"/>
      <c r="K31" s="24">
        <v>310</v>
      </c>
      <c r="L31" s="24">
        <v>101</v>
      </c>
      <c r="M31" s="24">
        <v>450</v>
      </c>
      <c r="N31" s="25">
        <v>59.313333333333333</v>
      </c>
      <c r="O31" s="24" t="s">
        <v>215</v>
      </c>
      <c r="P31" s="24">
        <f t="shared" si="0"/>
        <v>310</v>
      </c>
      <c r="Q31" s="24">
        <f t="shared" si="1"/>
        <v>19</v>
      </c>
      <c r="R31" s="24">
        <f t="shared" si="2"/>
        <v>20</v>
      </c>
      <c r="S31" s="24">
        <f t="shared" si="3"/>
        <v>101</v>
      </c>
      <c r="T31" s="24">
        <f t="shared" si="4"/>
        <v>450</v>
      </c>
      <c r="U31" s="27">
        <f t="shared" si="5"/>
        <v>0.68888888888888888</v>
      </c>
      <c r="V31" s="27">
        <f t="shared" si="6"/>
        <v>4.2222222222222223E-2</v>
      </c>
      <c r="W31" s="27">
        <f t="shared" si="7"/>
        <v>4.4444444444444446E-2</v>
      </c>
      <c r="X31" s="27">
        <f t="shared" si="8"/>
        <v>0.22444444444444445</v>
      </c>
      <c r="Y31" s="25">
        <f t="shared" si="9"/>
        <v>59.313333333333333</v>
      </c>
    </row>
    <row r="32" spans="1:25" x14ac:dyDescent="0.25">
      <c r="A32" s="24" t="s">
        <v>234</v>
      </c>
      <c r="B32" s="24" t="s">
        <v>235</v>
      </c>
      <c r="C32" s="24" t="s">
        <v>144</v>
      </c>
      <c r="D32" s="24">
        <v>2</v>
      </c>
      <c r="E32" s="24">
        <v>3</v>
      </c>
      <c r="F32" s="24">
        <v>3</v>
      </c>
      <c r="G32" s="24">
        <v>1</v>
      </c>
      <c r="H32" s="24">
        <v>7</v>
      </c>
      <c r="I32" s="24">
        <v>10</v>
      </c>
      <c r="J32" s="24"/>
      <c r="K32" s="24">
        <v>340</v>
      </c>
      <c r="L32" s="24">
        <v>138</v>
      </c>
      <c r="M32" s="24">
        <v>502</v>
      </c>
      <c r="N32" s="25">
        <v>39.408366533864545</v>
      </c>
      <c r="O32" s="24" t="s">
        <v>215</v>
      </c>
      <c r="P32" s="24">
        <f t="shared" si="0"/>
        <v>340</v>
      </c>
      <c r="Q32" s="24">
        <f t="shared" si="1"/>
        <v>7</v>
      </c>
      <c r="R32" s="24">
        <f t="shared" si="2"/>
        <v>10</v>
      </c>
      <c r="S32" s="24">
        <f t="shared" si="3"/>
        <v>145</v>
      </c>
      <c r="T32" s="24">
        <f t="shared" si="4"/>
        <v>502</v>
      </c>
      <c r="U32" s="27">
        <f t="shared" si="5"/>
        <v>0.67729083665338641</v>
      </c>
      <c r="V32" s="27">
        <f t="shared" si="6"/>
        <v>1.3944223107569721E-2</v>
      </c>
      <c r="W32" s="27">
        <f t="shared" si="7"/>
        <v>1.9920318725099601E-2</v>
      </c>
      <c r="X32" s="27">
        <f t="shared" si="8"/>
        <v>0.28884462151394424</v>
      </c>
      <c r="Y32" s="25">
        <f t="shared" si="9"/>
        <v>39.408366533864545</v>
      </c>
    </row>
    <row r="33" spans="1:25" x14ac:dyDescent="0.25">
      <c r="A33" s="24" t="s">
        <v>234</v>
      </c>
      <c r="B33" s="24" t="s">
        <v>235</v>
      </c>
      <c r="C33" s="24" t="s">
        <v>144</v>
      </c>
      <c r="D33" s="24">
        <v>3</v>
      </c>
      <c r="E33" s="24">
        <v>21</v>
      </c>
      <c r="F33" s="24"/>
      <c r="G33" s="24">
        <v>1</v>
      </c>
      <c r="H33" s="24">
        <v>14</v>
      </c>
      <c r="I33" s="24">
        <v>22</v>
      </c>
      <c r="J33" s="24"/>
      <c r="K33" s="24">
        <v>418</v>
      </c>
      <c r="L33" s="24">
        <v>26</v>
      </c>
      <c r="M33" s="24">
        <v>502</v>
      </c>
      <c r="N33" s="25">
        <v>26.388446215139442</v>
      </c>
      <c r="O33" s="24" t="s">
        <v>215</v>
      </c>
      <c r="P33" s="24">
        <f t="shared" si="0"/>
        <v>418</v>
      </c>
      <c r="Q33" s="24">
        <f t="shared" si="1"/>
        <v>14</v>
      </c>
      <c r="R33" s="24">
        <f t="shared" si="2"/>
        <v>22</v>
      </c>
      <c r="S33" s="24">
        <f t="shared" si="3"/>
        <v>48</v>
      </c>
      <c r="T33" s="24">
        <f t="shared" si="4"/>
        <v>502</v>
      </c>
      <c r="U33" s="27">
        <f t="shared" si="5"/>
        <v>0.83266932270916338</v>
      </c>
      <c r="V33" s="27">
        <f t="shared" si="6"/>
        <v>2.7888446215139442E-2</v>
      </c>
      <c r="W33" s="27">
        <f t="shared" si="7"/>
        <v>4.3824701195219126E-2</v>
      </c>
      <c r="X33" s="27">
        <f t="shared" si="8"/>
        <v>9.5617529880478086E-2</v>
      </c>
      <c r="Y33" s="25">
        <f t="shared" si="9"/>
        <v>26.388446215139442</v>
      </c>
    </row>
    <row r="34" spans="1:25" x14ac:dyDescent="0.25">
      <c r="A34" s="24" t="s">
        <v>236</v>
      </c>
      <c r="B34" s="24" t="s">
        <v>237</v>
      </c>
      <c r="C34" s="24" t="s">
        <v>146</v>
      </c>
      <c r="D34" s="24">
        <v>1</v>
      </c>
      <c r="E34" s="24"/>
      <c r="F34" s="24"/>
      <c r="G34" s="24"/>
      <c r="H34" s="24"/>
      <c r="I34" s="24">
        <v>3</v>
      </c>
      <c r="J34" s="24">
        <v>2</v>
      </c>
      <c r="K34" s="24">
        <v>445</v>
      </c>
      <c r="L34" s="24"/>
      <c r="M34" s="24">
        <v>450</v>
      </c>
      <c r="N34" s="25">
        <v>66.206666666666663</v>
      </c>
      <c r="O34" s="24" t="s">
        <v>215</v>
      </c>
      <c r="P34" s="24">
        <f t="shared" si="0"/>
        <v>445</v>
      </c>
      <c r="Q34" s="24">
        <f t="shared" si="1"/>
        <v>0</v>
      </c>
      <c r="R34" s="24">
        <f t="shared" si="2"/>
        <v>3</v>
      </c>
      <c r="S34" s="24">
        <f t="shared" si="3"/>
        <v>2</v>
      </c>
      <c r="T34" s="24">
        <f t="shared" si="4"/>
        <v>450</v>
      </c>
      <c r="U34" s="27">
        <f t="shared" si="5"/>
        <v>0.98888888888888893</v>
      </c>
      <c r="V34" s="27">
        <f t="shared" si="6"/>
        <v>0</v>
      </c>
      <c r="W34" s="27">
        <f t="shared" si="7"/>
        <v>6.6666666666666671E-3</v>
      </c>
      <c r="X34" s="27">
        <f t="shared" si="8"/>
        <v>4.4444444444444444E-3</v>
      </c>
      <c r="Y34" s="25">
        <f t="shared" si="9"/>
        <v>66.206666666666663</v>
      </c>
    </row>
    <row r="35" spans="1:25" x14ac:dyDescent="0.25">
      <c r="A35" s="24" t="s">
        <v>236</v>
      </c>
      <c r="B35" s="24" t="s">
        <v>237</v>
      </c>
      <c r="C35" s="24" t="s">
        <v>146</v>
      </c>
      <c r="D35" s="24">
        <v>2</v>
      </c>
      <c r="E35" s="24"/>
      <c r="F35" s="24">
        <v>1</v>
      </c>
      <c r="G35" s="24"/>
      <c r="H35" s="24"/>
      <c r="I35" s="24">
        <v>4</v>
      </c>
      <c r="J35" s="24">
        <v>2</v>
      </c>
      <c r="K35" s="24">
        <v>611</v>
      </c>
      <c r="L35" s="24"/>
      <c r="M35" s="24">
        <v>618</v>
      </c>
      <c r="N35" s="25">
        <v>44.266990291262132</v>
      </c>
      <c r="O35" s="24" t="s">
        <v>215</v>
      </c>
      <c r="P35" s="24">
        <f t="shared" si="0"/>
        <v>611</v>
      </c>
      <c r="Q35" s="24">
        <f t="shared" si="1"/>
        <v>0</v>
      </c>
      <c r="R35" s="24">
        <f t="shared" si="2"/>
        <v>4</v>
      </c>
      <c r="S35" s="24">
        <f t="shared" si="3"/>
        <v>3</v>
      </c>
      <c r="T35" s="24">
        <f t="shared" si="4"/>
        <v>618</v>
      </c>
      <c r="U35" s="27">
        <f t="shared" si="5"/>
        <v>0.98867313915857602</v>
      </c>
      <c r="V35" s="27">
        <f t="shared" si="6"/>
        <v>0</v>
      </c>
      <c r="W35" s="27">
        <f t="shared" si="7"/>
        <v>6.4724919093851136E-3</v>
      </c>
      <c r="X35" s="27">
        <f t="shared" si="8"/>
        <v>4.8543689320388345E-3</v>
      </c>
      <c r="Y35" s="25">
        <f t="shared" si="9"/>
        <v>44.266990291262132</v>
      </c>
    </row>
    <row r="36" spans="1:25" x14ac:dyDescent="0.25">
      <c r="A36" s="24" t="s">
        <v>236</v>
      </c>
      <c r="B36" s="24" t="s">
        <v>237</v>
      </c>
      <c r="C36" s="24" t="s">
        <v>146</v>
      </c>
      <c r="D36" s="24">
        <v>3</v>
      </c>
      <c r="E36" s="24"/>
      <c r="F36" s="24"/>
      <c r="G36" s="24"/>
      <c r="H36" s="24"/>
      <c r="I36" s="24"/>
      <c r="J36" s="24"/>
      <c r="K36" s="24">
        <v>619</v>
      </c>
      <c r="L36" s="24"/>
      <c r="M36" s="24">
        <v>619</v>
      </c>
      <c r="N36" s="25">
        <v>30.156704361873992</v>
      </c>
      <c r="O36" s="24" t="s">
        <v>215</v>
      </c>
      <c r="P36" s="24">
        <f t="shared" si="0"/>
        <v>619</v>
      </c>
      <c r="Q36" s="24">
        <f t="shared" si="1"/>
        <v>0</v>
      </c>
      <c r="R36" s="24">
        <f t="shared" si="2"/>
        <v>0</v>
      </c>
      <c r="S36" s="24">
        <f t="shared" si="3"/>
        <v>0</v>
      </c>
      <c r="T36" s="24">
        <f t="shared" si="4"/>
        <v>619</v>
      </c>
      <c r="U36" s="27">
        <f t="shared" si="5"/>
        <v>1</v>
      </c>
      <c r="V36" s="27">
        <f t="shared" si="6"/>
        <v>0</v>
      </c>
      <c r="W36" s="27">
        <f t="shared" si="7"/>
        <v>0</v>
      </c>
      <c r="X36" s="27">
        <f t="shared" si="8"/>
        <v>0</v>
      </c>
      <c r="Y36" s="25">
        <f t="shared" si="9"/>
        <v>30.156704361873992</v>
      </c>
    </row>
    <row r="37" spans="1:25" x14ac:dyDescent="0.25">
      <c r="A37" s="24" t="s">
        <v>238</v>
      </c>
      <c r="B37" s="24" t="s">
        <v>239</v>
      </c>
      <c r="C37" s="24" t="s">
        <v>148</v>
      </c>
      <c r="D37" s="24">
        <v>1</v>
      </c>
      <c r="E37" s="24"/>
      <c r="F37" s="24"/>
      <c r="G37" s="24"/>
      <c r="H37" s="24">
        <v>2</v>
      </c>
      <c r="I37" s="24">
        <v>4</v>
      </c>
      <c r="J37" s="24"/>
      <c r="K37" s="24">
        <v>440</v>
      </c>
      <c r="L37" s="24">
        <v>4</v>
      </c>
      <c r="M37" s="24">
        <v>450</v>
      </c>
      <c r="N37" s="25">
        <v>68.48</v>
      </c>
      <c r="O37" s="24" t="s">
        <v>215</v>
      </c>
      <c r="P37" s="24">
        <f t="shared" si="0"/>
        <v>440</v>
      </c>
      <c r="Q37" s="24">
        <f t="shared" si="1"/>
        <v>2</v>
      </c>
      <c r="R37" s="24">
        <f t="shared" si="2"/>
        <v>4</v>
      </c>
      <c r="S37" s="24">
        <f t="shared" si="3"/>
        <v>4</v>
      </c>
      <c r="T37" s="24">
        <f t="shared" si="4"/>
        <v>450</v>
      </c>
      <c r="U37" s="27">
        <f t="shared" si="5"/>
        <v>0.97777777777777775</v>
      </c>
      <c r="V37" s="27">
        <f t="shared" si="6"/>
        <v>4.4444444444444444E-3</v>
      </c>
      <c r="W37" s="27">
        <f t="shared" si="7"/>
        <v>8.8888888888888889E-3</v>
      </c>
      <c r="X37" s="27">
        <f t="shared" si="8"/>
        <v>8.8888888888888889E-3</v>
      </c>
      <c r="Y37" s="25">
        <f t="shared" si="9"/>
        <v>68.48</v>
      </c>
    </row>
    <row r="38" spans="1:25" x14ac:dyDescent="0.25">
      <c r="A38" s="24" t="s">
        <v>238</v>
      </c>
      <c r="B38" s="24" t="s">
        <v>239</v>
      </c>
      <c r="C38" s="24" t="s">
        <v>148</v>
      </c>
      <c r="D38" s="24">
        <v>2</v>
      </c>
      <c r="E38" s="24">
        <v>2</v>
      </c>
      <c r="F38" s="24"/>
      <c r="G38" s="24"/>
      <c r="H38" s="24">
        <v>1</v>
      </c>
      <c r="I38" s="24">
        <v>1</v>
      </c>
      <c r="J38" s="24">
        <v>1</v>
      </c>
      <c r="K38" s="24">
        <v>443</v>
      </c>
      <c r="L38" s="24">
        <v>2</v>
      </c>
      <c r="M38" s="24">
        <v>450</v>
      </c>
      <c r="N38" s="25">
        <v>55.677777777777777</v>
      </c>
      <c r="O38" s="24" t="s">
        <v>215</v>
      </c>
      <c r="P38" s="24">
        <f t="shared" si="0"/>
        <v>443</v>
      </c>
      <c r="Q38" s="24">
        <f t="shared" si="1"/>
        <v>1</v>
      </c>
      <c r="R38" s="24">
        <f t="shared" si="2"/>
        <v>1</v>
      </c>
      <c r="S38" s="24">
        <f t="shared" si="3"/>
        <v>5</v>
      </c>
      <c r="T38" s="24">
        <f t="shared" si="4"/>
        <v>450</v>
      </c>
      <c r="U38" s="27">
        <f t="shared" si="5"/>
        <v>0.98444444444444446</v>
      </c>
      <c r="V38" s="27">
        <f t="shared" si="6"/>
        <v>2.2222222222222222E-3</v>
      </c>
      <c r="W38" s="27">
        <f t="shared" si="7"/>
        <v>2.2222222222222222E-3</v>
      </c>
      <c r="X38" s="27">
        <f t="shared" si="8"/>
        <v>1.1111111111111112E-2</v>
      </c>
      <c r="Y38" s="25">
        <f t="shared" si="9"/>
        <v>55.677777777777777</v>
      </c>
    </row>
    <row r="39" spans="1:25" x14ac:dyDescent="0.25">
      <c r="A39" s="24" t="s">
        <v>238</v>
      </c>
      <c r="B39" s="24" t="s">
        <v>239</v>
      </c>
      <c r="C39" s="24" t="s">
        <v>148</v>
      </c>
      <c r="D39" s="24">
        <v>3</v>
      </c>
      <c r="E39" s="24"/>
      <c r="F39" s="24"/>
      <c r="G39" s="24"/>
      <c r="H39" s="24"/>
      <c r="I39" s="24"/>
      <c r="J39" s="24"/>
      <c r="K39" s="24">
        <v>569</v>
      </c>
      <c r="L39" s="24"/>
      <c r="M39" s="24">
        <v>569</v>
      </c>
      <c r="N39" s="25">
        <v>43.908611599297011</v>
      </c>
      <c r="O39" s="24" t="s">
        <v>215</v>
      </c>
      <c r="P39" s="24">
        <f t="shared" si="0"/>
        <v>569</v>
      </c>
      <c r="Q39" s="24">
        <f t="shared" si="1"/>
        <v>0</v>
      </c>
      <c r="R39" s="24">
        <f t="shared" si="2"/>
        <v>0</v>
      </c>
      <c r="S39" s="24">
        <f t="shared" si="3"/>
        <v>0</v>
      </c>
      <c r="T39" s="24">
        <f t="shared" si="4"/>
        <v>569</v>
      </c>
      <c r="U39" s="27">
        <f t="shared" si="5"/>
        <v>1</v>
      </c>
      <c r="V39" s="27">
        <f t="shared" si="6"/>
        <v>0</v>
      </c>
      <c r="W39" s="27">
        <f t="shared" si="7"/>
        <v>0</v>
      </c>
      <c r="X39" s="27">
        <f t="shared" si="8"/>
        <v>0</v>
      </c>
      <c r="Y39" s="25">
        <f t="shared" si="9"/>
        <v>43.908611599297011</v>
      </c>
    </row>
    <row r="40" spans="1:25" x14ac:dyDescent="0.25">
      <c r="A40" s="24" t="s">
        <v>238</v>
      </c>
      <c r="B40" s="24" t="s">
        <v>239</v>
      </c>
      <c r="C40" s="24" t="s">
        <v>148</v>
      </c>
      <c r="D40" s="24">
        <v>4</v>
      </c>
      <c r="E40" s="24">
        <v>2</v>
      </c>
      <c r="F40" s="24"/>
      <c r="G40" s="24"/>
      <c r="H40" s="24">
        <v>2</v>
      </c>
      <c r="I40" s="24"/>
      <c r="J40" s="24">
        <v>1</v>
      </c>
      <c r="K40" s="24">
        <v>563</v>
      </c>
      <c r="L40" s="24">
        <v>1</v>
      </c>
      <c r="M40" s="24">
        <v>569</v>
      </c>
      <c r="N40" s="25">
        <v>36.311072056239013</v>
      </c>
      <c r="O40" s="24" t="s">
        <v>215</v>
      </c>
      <c r="P40" s="24">
        <f t="shared" si="0"/>
        <v>563</v>
      </c>
      <c r="Q40" s="24">
        <f t="shared" si="1"/>
        <v>2</v>
      </c>
      <c r="R40" s="24">
        <f t="shared" si="2"/>
        <v>0</v>
      </c>
      <c r="S40" s="24">
        <f t="shared" si="3"/>
        <v>4</v>
      </c>
      <c r="T40" s="24">
        <f t="shared" si="4"/>
        <v>569</v>
      </c>
      <c r="U40" s="27">
        <f t="shared" si="5"/>
        <v>0.98945518453427062</v>
      </c>
      <c r="V40" s="27">
        <f t="shared" si="6"/>
        <v>3.5149384885764497E-3</v>
      </c>
      <c r="W40" s="27">
        <f t="shared" si="7"/>
        <v>0</v>
      </c>
      <c r="X40" s="27">
        <f t="shared" si="8"/>
        <v>7.0298769771528994E-3</v>
      </c>
      <c r="Y40" s="25">
        <f t="shared" si="9"/>
        <v>36.311072056239013</v>
      </c>
    </row>
    <row r="41" spans="1:25" x14ac:dyDescent="0.25">
      <c r="A41" s="24" t="s">
        <v>238</v>
      </c>
      <c r="B41" s="24" t="s">
        <v>239</v>
      </c>
      <c r="C41" s="24" t="s">
        <v>148</v>
      </c>
      <c r="D41" s="24">
        <v>5</v>
      </c>
      <c r="E41" s="24">
        <v>17</v>
      </c>
      <c r="F41" s="24"/>
      <c r="G41" s="24"/>
      <c r="H41" s="24"/>
      <c r="I41" s="24">
        <v>3</v>
      </c>
      <c r="J41" s="24"/>
      <c r="K41" s="24">
        <v>547</v>
      </c>
      <c r="L41" s="24">
        <v>3</v>
      </c>
      <c r="M41" s="24">
        <v>570</v>
      </c>
      <c r="N41" s="25">
        <v>24.87017543859649</v>
      </c>
      <c r="O41" s="24" t="s">
        <v>215</v>
      </c>
      <c r="P41" s="24">
        <f t="shared" si="0"/>
        <v>547</v>
      </c>
      <c r="Q41" s="24">
        <f t="shared" si="1"/>
        <v>0</v>
      </c>
      <c r="R41" s="24">
        <f t="shared" si="2"/>
        <v>3</v>
      </c>
      <c r="S41" s="24">
        <f t="shared" si="3"/>
        <v>20</v>
      </c>
      <c r="T41" s="24">
        <f t="shared" si="4"/>
        <v>570</v>
      </c>
      <c r="U41" s="27">
        <f t="shared" si="5"/>
        <v>0.95964912280701753</v>
      </c>
      <c r="V41" s="27">
        <f t="shared" si="6"/>
        <v>0</v>
      </c>
      <c r="W41" s="27">
        <f t="shared" si="7"/>
        <v>5.263157894736842E-3</v>
      </c>
      <c r="X41" s="27">
        <f t="shared" si="8"/>
        <v>3.5087719298245612E-2</v>
      </c>
      <c r="Y41" s="25">
        <f t="shared" si="9"/>
        <v>24.87017543859649</v>
      </c>
    </row>
    <row r="42" spans="1:25" x14ac:dyDescent="0.25">
      <c r="A42" s="24" t="s">
        <v>241</v>
      </c>
      <c r="B42" s="24" t="s">
        <v>242</v>
      </c>
      <c r="C42" s="24" t="s">
        <v>150</v>
      </c>
      <c r="D42" s="24">
        <v>1</v>
      </c>
      <c r="E42" s="24"/>
      <c r="F42" s="24"/>
      <c r="G42" s="24"/>
      <c r="H42" s="24">
        <v>279</v>
      </c>
      <c r="I42" s="24">
        <v>115</v>
      </c>
      <c r="J42" s="24">
        <v>1</v>
      </c>
      <c r="K42" s="24">
        <v>53</v>
      </c>
      <c r="L42" s="24">
        <v>2</v>
      </c>
      <c r="M42" s="24">
        <v>450</v>
      </c>
      <c r="N42" s="25">
        <v>70.306666666666672</v>
      </c>
      <c r="O42" s="24" t="s">
        <v>215</v>
      </c>
      <c r="P42" s="24">
        <f t="shared" si="0"/>
        <v>53</v>
      </c>
      <c r="Q42" s="24">
        <f t="shared" si="1"/>
        <v>279</v>
      </c>
      <c r="R42" s="24">
        <f t="shared" si="2"/>
        <v>115</v>
      </c>
      <c r="S42" s="24">
        <f t="shared" si="3"/>
        <v>3</v>
      </c>
      <c r="T42" s="24">
        <f t="shared" si="4"/>
        <v>450</v>
      </c>
      <c r="U42" s="27">
        <f t="shared" si="5"/>
        <v>0.11777777777777777</v>
      </c>
      <c r="V42" s="27">
        <f t="shared" si="6"/>
        <v>0.62</v>
      </c>
      <c r="W42" s="27">
        <f t="shared" si="7"/>
        <v>0.25555555555555554</v>
      </c>
      <c r="X42" s="27">
        <f t="shared" si="8"/>
        <v>6.6666666666666671E-3</v>
      </c>
      <c r="Y42" s="25">
        <f t="shared" si="9"/>
        <v>70.306666666666672</v>
      </c>
    </row>
    <row r="43" spans="1:25" x14ac:dyDescent="0.25">
      <c r="A43" s="24" t="s">
        <v>241</v>
      </c>
      <c r="B43" s="24" t="s">
        <v>242</v>
      </c>
      <c r="C43" s="24" t="s">
        <v>150</v>
      </c>
      <c r="D43" s="24">
        <v>2</v>
      </c>
      <c r="E43" s="24"/>
      <c r="F43" s="24"/>
      <c r="G43" s="24"/>
      <c r="H43" s="24">
        <v>231</v>
      </c>
      <c r="I43" s="24">
        <v>121</v>
      </c>
      <c r="J43" s="24">
        <v>2</v>
      </c>
      <c r="K43" s="24">
        <v>78</v>
      </c>
      <c r="L43" s="24">
        <v>18</v>
      </c>
      <c r="M43" s="24">
        <v>450</v>
      </c>
      <c r="N43" s="25">
        <v>59.242222222222225</v>
      </c>
      <c r="O43" s="24" t="s">
        <v>215</v>
      </c>
      <c r="P43" s="24">
        <f t="shared" si="0"/>
        <v>78</v>
      </c>
      <c r="Q43" s="24">
        <f t="shared" si="1"/>
        <v>231</v>
      </c>
      <c r="R43" s="24">
        <f t="shared" si="2"/>
        <v>121</v>
      </c>
      <c r="S43" s="24">
        <f t="shared" si="3"/>
        <v>20</v>
      </c>
      <c r="T43" s="24">
        <f t="shared" si="4"/>
        <v>450</v>
      </c>
      <c r="U43" s="27">
        <f t="shared" si="5"/>
        <v>0.17333333333333334</v>
      </c>
      <c r="V43" s="27">
        <f t="shared" si="6"/>
        <v>0.51333333333333331</v>
      </c>
      <c r="W43" s="27">
        <f t="shared" si="7"/>
        <v>0.2688888888888889</v>
      </c>
      <c r="X43" s="27">
        <f t="shared" si="8"/>
        <v>4.4444444444444446E-2</v>
      </c>
      <c r="Y43" s="25">
        <f t="shared" si="9"/>
        <v>59.242222222222225</v>
      </c>
    </row>
    <row r="44" spans="1:25" x14ac:dyDescent="0.25">
      <c r="A44" s="24" t="s">
        <v>241</v>
      </c>
      <c r="B44" s="24" t="s">
        <v>242</v>
      </c>
      <c r="C44" s="24" t="s">
        <v>150</v>
      </c>
      <c r="D44" s="24">
        <v>3</v>
      </c>
      <c r="E44" s="24"/>
      <c r="F44" s="24"/>
      <c r="G44" s="24"/>
      <c r="H44" s="24">
        <v>284</v>
      </c>
      <c r="I44" s="24">
        <v>132</v>
      </c>
      <c r="J44" s="24"/>
      <c r="K44" s="24">
        <v>100</v>
      </c>
      <c r="L44" s="24">
        <v>38</v>
      </c>
      <c r="M44" s="24">
        <v>554</v>
      </c>
      <c r="N44" s="25">
        <v>46.761732851985556</v>
      </c>
      <c r="O44" s="24" t="s">
        <v>215</v>
      </c>
      <c r="P44" s="24">
        <f t="shared" si="0"/>
        <v>100</v>
      </c>
      <c r="Q44" s="24">
        <f t="shared" si="1"/>
        <v>284</v>
      </c>
      <c r="R44" s="24">
        <f t="shared" si="2"/>
        <v>132</v>
      </c>
      <c r="S44" s="24">
        <f t="shared" si="3"/>
        <v>38</v>
      </c>
      <c r="T44" s="24">
        <f t="shared" si="4"/>
        <v>554</v>
      </c>
      <c r="U44" s="27">
        <f t="shared" si="5"/>
        <v>0.18050541516245489</v>
      </c>
      <c r="V44" s="27">
        <f t="shared" si="6"/>
        <v>0.5126353790613718</v>
      </c>
      <c r="W44" s="27">
        <f t="shared" si="7"/>
        <v>0.23826714801444043</v>
      </c>
      <c r="X44" s="27">
        <f t="shared" si="8"/>
        <v>6.8592057761732855E-2</v>
      </c>
      <c r="Y44" s="25">
        <f t="shared" si="9"/>
        <v>46.761732851985556</v>
      </c>
    </row>
    <row r="45" spans="1:25" x14ac:dyDescent="0.25">
      <c r="A45" s="24" t="s">
        <v>241</v>
      </c>
      <c r="B45" s="24" t="s">
        <v>242</v>
      </c>
      <c r="C45" s="24" t="s">
        <v>150</v>
      </c>
      <c r="D45" s="24">
        <v>4</v>
      </c>
      <c r="E45" s="24">
        <v>4</v>
      </c>
      <c r="F45" s="24"/>
      <c r="G45" s="24"/>
      <c r="H45" s="24">
        <v>218</v>
      </c>
      <c r="I45" s="24">
        <v>163</v>
      </c>
      <c r="J45" s="24"/>
      <c r="K45" s="24">
        <v>141</v>
      </c>
      <c r="L45" s="24">
        <v>28</v>
      </c>
      <c r="M45" s="24">
        <v>554</v>
      </c>
      <c r="N45" s="25">
        <v>35.575812274368232</v>
      </c>
      <c r="O45" s="24" t="s">
        <v>215</v>
      </c>
      <c r="P45" s="24">
        <f t="shared" si="0"/>
        <v>141</v>
      </c>
      <c r="Q45" s="24">
        <f t="shared" si="1"/>
        <v>218</v>
      </c>
      <c r="R45" s="24">
        <f t="shared" si="2"/>
        <v>163</v>
      </c>
      <c r="S45" s="24">
        <f t="shared" si="3"/>
        <v>32</v>
      </c>
      <c r="T45" s="24">
        <f t="shared" si="4"/>
        <v>554</v>
      </c>
      <c r="U45" s="27">
        <f t="shared" si="5"/>
        <v>0.25451263537906138</v>
      </c>
      <c r="V45" s="27">
        <f t="shared" si="6"/>
        <v>0.39350180505415161</v>
      </c>
      <c r="W45" s="27">
        <f t="shared" si="7"/>
        <v>0.29422382671480146</v>
      </c>
      <c r="X45" s="27">
        <f t="shared" si="8"/>
        <v>5.7761732851985562E-2</v>
      </c>
      <c r="Y45" s="25">
        <f t="shared" si="9"/>
        <v>35.575812274368232</v>
      </c>
    </row>
    <row r="46" spans="1:25" x14ac:dyDescent="0.25">
      <c r="A46" s="24" t="s">
        <v>241</v>
      </c>
      <c r="B46" s="24" t="s">
        <v>242</v>
      </c>
      <c r="C46" s="24" t="s">
        <v>150</v>
      </c>
      <c r="D46" s="24">
        <v>5</v>
      </c>
      <c r="E46" s="24">
        <v>12</v>
      </c>
      <c r="F46" s="24"/>
      <c r="G46" s="24">
        <v>2</v>
      </c>
      <c r="H46" s="24">
        <v>181</v>
      </c>
      <c r="I46" s="24">
        <v>160</v>
      </c>
      <c r="J46" s="24">
        <v>1</v>
      </c>
      <c r="K46" s="24">
        <v>197</v>
      </c>
      <c r="L46" s="24">
        <v>1</v>
      </c>
      <c r="M46" s="24">
        <v>554</v>
      </c>
      <c r="N46" s="25">
        <v>24.581227436823106</v>
      </c>
      <c r="O46" s="24" t="s">
        <v>215</v>
      </c>
      <c r="P46" s="24">
        <f t="shared" si="0"/>
        <v>197</v>
      </c>
      <c r="Q46" s="24">
        <f t="shared" si="1"/>
        <v>181</v>
      </c>
      <c r="R46" s="24">
        <f t="shared" si="2"/>
        <v>160</v>
      </c>
      <c r="S46" s="24">
        <f t="shared" si="3"/>
        <v>16</v>
      </c>
      <c r="T46" s="24">
        <f t="shared" si="4"/>
        <v>554</v>
      </c>
      <c r="U46" s="27">
        <f t="shared" si="5"/>
        <v>0.3555956678700361</v>
      </c>
      <c r="V46" s="27">
        <f t="shared" si="6"/>
        <v>0.3267148014440433</v>
      </c>
      <c r="W46" s="27">
        <f t="shared" si="7"/>
        <v>0.28880866425992779</v>
      </c>
      <c r="X46" s="27">
        <f t="shared" si="8"/>
        <v>2.8880866425992781E-2</v>
      </c>
      <c r="Y46" s="25">
        <f t="shared" si="9"/>
        <v>24.581227436823106</v>
      </c>
    </row>
    <row r="47" spans="1:25" x14ac:dyDescent="0.25">
      <c r="A47" s="24" t="s">
        <v>243</v>
      </c>
      <c r="B47" s="24" t="s">
        <v>244</v>
      </c>
      <c r="C47" s="24" t="s">
        <v>152</v>
      </c>
      <c r="D47" s="24">
        <v>1</v>
      </c>
      <c r="E47" s="24"/>
      <c r="F47" s="24"/>
      <c r="G47" s="24">
        <v>1</v>
      </c>
      <c r="H47" s="24"/>
      <c r="I47" s="24"/>
      <c r="J47" s="24"/>
      <c r="K47" s="24">
        <v>449</v>
      </c>
      <c r="L47" s="24"/>
      <c r="M47" s="24">
        <v>450</v>
      </c>
      <c r="N47" s="25">
        <v>60.575555555555553</v>
      </c>
      <c r="O47" s="24" t="s">
        <v>215</v>
      </c>
      <c r="P47" s="24">
        <f t="shared" si="0"/>
        <v>449</v>
      </c>
      <c r="Q47" s="24">
        <f t="shared" si="1"/>
        <v>0</v>
      </c>
      <c r="R47" s="24">
        <f t="shared" si="2"/>
        <v>0</v>
      </c>
      <c r="S47" s="24">
        <f t="shared" si="3"/>
        <v>1</v>
      </c>
      <c r="T47" s="24">
        <f t="shared" si="4"/>
        <v>450</v>
      </c>
      <c r="U47" s="27">
        <f t="shared" si="5"/>
        <v>0.99777777777777776</v>
      </c>
      <c r="V47" s="27">
        <f t="shared" si="6"/>
        <v>0</v>
      </c>
      <c r="W47" s="27">
        <f t="shared" si="7"/>
        <v>0</v>
      </c>
      <c r="X47" s="27">
        <f t="shared" si="8"/>
        <v>2.2222222222222222E-3</v>
      </c>
      <c r="Y47" s="25">
        <f t="shared" si="9"/>
        <v>60.575555555555553</v>
      </c>
    </row>
    <row r="48" spans="1:25" x14ac:dyDescent="0.25">
      <c r="A48" s="24" t="s">
        <v>243</v>
      </c>
      <c r="B48" s="24" t="s">
        <v>244</v>
      </c>
      <c r="C48" s="24" t="s">
        <v>152</v>
      </c>
      <c r="D48" s="24">
        <v>2</v>
      </c>
      <c r="E48" s="24"/>
      <c r="F48" s="24"/>
      <c r="G48" s="24"/>
      <c r="H48" s="24">
        <v>1</v>
      </c>
      <c r="I48" s="24"/>
      <c r="J48" s="24"/>
      <c r="K48" s="24">
        <v>547</v>
      </c>
      <c r="L48" s="24">
        <v>1</v>
      </c>
      <c r="M48" s="24">
        <v>549</v>
      </c>
      <c r="N48" s="25">
        <v>33.03096539162113</v>
      </c>
      <c r="O48" s="24" t="s">
        <v>215</v>
      </c>
      <c r="P48" s="24">
        <f t="shared" si="0"/>
        <v>547</v>
      </c>
      <c r="Q48" s="24">
        <f t="shared" si="1"/>
        <v>1</v>
      </c>
      <c r="R48" s="24">
        <f t="shared" si="2"/>
        <v>0</v>
      </c>
      <c r="S48" s="24">
        <f t="shared" si="3"/>
        <v>1</v>
      </c>
      <c r="T48" s="24">
        <f t="shared" si="4"/>
        <v>549</v>
      </c>
      <c r="U48" s="27">
        <f t="shared" si="5"/>
        <v>0.99635701275045541</v>
      </c>
      <c r="V48" s="27">
        <f t="shared" si="6"/>
        <v>1.8214936247723133E-3</v>
      </c>
      <c r="W48" s="27">
        <f t="shared" si="7"/>
        <v>0</v>
      </c>
      <c r="X48" s="27">
        <f t="shared" si="8"/>
        <v>1.8214936247723133E-3</v>
      </c>
      <c r="Y48" s="25">
        <f t="shared" si="9"/>
        <v>33.03096539162113</v>
      </c>
    </row>
    <row r="49" spans="1:25" x14ac:dyDescent="0.25">
      <c r="A49" s="24" t="s">
        <v>245</v>
      </c>
      <c r="B49" s="24" t="s">
        <v>246</v>
      </c>
      <c r="C49" s="24" t="s">
        <v>154</v>
      </c>
      <c r="D49" s="24">
        <v>1</v>
      </c>
      <c r="E49" s="24"/>
      <c r="F49" s="24"/>
      <c r="G49" s="24"/>
      <c r="H49" s="24">
        <v>375</v>
      </c>
      <c r="I49" s="24">
        <v>24</v>
      </c>
      <c r="J49" s="24"/>
      <c r="K49" s="24">
        <v>51</v>
      </c>
      <c r="L49" s="24"/>
      <c r="M49" s="24">
        <v>450</v>
      </c>
      <c r="N49" s="25">
        <v>70.36888888888889</v>
      </c>
      <c r="O49" s="24" t="s">
        <v>215</v>
      </c>
      <c r="P49" s="24">
        <f t="shared" si="0"/>
        <v>51</v>
      </c>
      <c r="Q49" s="24">
        <f t="shared" si="1"/>
        <v>375</v>
      </c>
      <c r="R49" s="24">
        <f t="shared" si="2"/>
        <v>24</v>
      </c>
      <c r="S49" s="24">
        <f t="shared" si="3"/>
        <v>0</v>
      </c>
      <c r="T49" s="24">
        <f t="shared" si="4"/>
        <v>450</v>
      </c>
      <c r="U49" s="27">
        <f t="shared" si="5"/>
        <v>0.11333333333333333</v>
      </c>
      <c r="V49" s="27">
        <f t="shared" si="6"/>
        <v>0.83333333333333337</v>
      </c>
      <c r="W49" s="27">
        <f t="shared" si="7"/>
        <v>5.3333333333333337E-2</v>
      </c>
      <c r="X49" s="27">
        <f t="shared" si="8"/>
        <v>0</v>
      </c>
      <c r="Y49" s="25">
        <f t="shared" si="9"/>
        <v>70.36888888888889</v>
      </c>
    </row>
    <row r="50" spans="1:25" x14ac:dyDescent="0.25">
      <c r="A50" s="24" t="s">
        <v>245</v>
      </c>
      <c r="B50" s="24" t="s">
        <v>246</v>
      </c>
      <c r="C50" s="24" t="s">
        <v>154</v>
      </c>
      <c r="D50" s="24">
        <v>2</v>
      </c>
      <c r="E50" s="24"/>
      <c r="F50" s="24"/>
      <c r="G50" s="24"/>
      <c r="H50" s="24">
        <v>365</v>
      </c>
      <c r="I50" s="24">
        <v>17</v>
      </c>
      <c r="J50" s="24"/>
      <c r="K50" s="24">
        <v>67</v>
      </c>
      <c r="L50" s="24">
        <v>1</v>
      </c>
      <c r="M50" s="24">
        <v>450</v>
      </c>
      <c r="N50" s="25">
        <v>54.897777777777776</v>
      </c>
      <c r="O50" s="24" t="s">
        <v>215</v>
      </c>
      <c r="P50" s="24">
        <f t="shared" si="0"/>
        <v>67</v>
      </c>
      <c r="Q50" s="24">
        <f t="shared" si="1"/>
        <v>365</v>
      </c>
      <c r="R50" s="24">
        <f t="shared" si="2"/>
        <v>17</v>
      </c>
      <c r="S50" s="24">
        <f t="shared" si="3"/>
        <v>1</v>
      </c>
      <c r="T50" s="24">
        <f t="shared" si="4"/>
        <v>450</v>
      </c>
      <c r="U50" s="27">
        <f t="shared" si="5"/>
        <v>0.14888888888888888</v>
      </c>
      <c r="V50" s="27">
        <f t="shared" si="6"/>
        <v>0.81111111111111112</v>
      </c>
      <c r="W50" s="27">
        <f t="shared" si="7"/>
        <v>3.7777777777777778E-2</v>
      </c>
      <c r="X50" s="27">
        <f t="shared" si="8"/>
        <v>2.2222222222222222E-3</v>
      </c>
      <c r="Y50" s="25">
        <f t="shared" si="9"/>
        <v>54.897777777777776</v>
      </c>
    </row>
    <row r="51" spans="1:25" x14ac:dyDescent="0.25">
      <c r="A51" s="24" t="s">
        <v>245</v>
      </c>
      <c r="B51" s="24" t="s">
        <v>246</v>
      </c>
      <c r="C51" s="24" t="s">
        <v>154</v>
      </c>
      <c r="D51" s="24">
        <v>3</v>
      </c>
      <c r="E51" s="24"/>
      <c r="F51" s="24"/>
      <c r="G51" s="24"/>
      <c r="H51" s="24">
        <v>317</v>
      </c>
      <c r="I51" s="24">
        <v>31</v>
      </c>
      <c r="J51" s="24"/>
      <c r="K51" s="24">
        <v>103</v>
      </c>
      <c r="L51" s="24">
        <v>9</v>
      </c>
      <c r="M51" s="24">
        <v>460</v>
      </c>
      <c r="N51" s="25">
        <v>40.628260869565217</v>
      </c>
      <c r="O51" s="24" t="s">
        <v>215</v>
      </c>
      <c r="P51" s="24">
        <f t="shared" si="0"/>
        <v>103</v>
      </c>
      <c r="Q51" s="24">
        <f t="shared" si="1"/>
        <v>317</v>
      </c>
      <c r="R51" s="24">
        <f t="shared" si="2"/>
        <v>31</v>
      </c>
      <c r="S51" s="24">
        <f t="shared" si="3"/>
        <v>9</v>
      </c>
      <c r="T51" s="24">
        <f t="shared" si="4"/>
        <v>460</v>
      </c>
      <c r="U51" s="27">
        <f t="shared" si="5"/>
        <v>0.22391304347826088</v>
      </c>
      <c r="V51" s="27">
        <f t="shared" si="6"/>
        <v>0.68913043478260871</v>
      </c>
      <c r="W51" s="27">
        <f t="shared" si="7"/>
        <v>6.7391304347826086E-2</v>
      </c>
      <c r="X51" s="27">
        <f t="shared" si="8"/>
        <v>1.9565217391304349E-2</v>
      </c>
      <c r="Y51" s="25">
        <f t="shared" si="9"/>
        <v>40.628260869565217</v>
      </c>
    </row>
    <row r="52" spans="1:25" x14ac:dyDescent="0.25">
      <c r="A52" s="24" t="s">
        <v>245</v>
      </c>
      <c r="B52" s="24" t="s">
        <v>246</v>
      </c>
      <c r="C52" s="24" t="s">
        <v>154</v>
      </c>
      <c r="D52" s="24">
        <v>4</v>
      </c>
      <c r="E52" s="24"/>
      <c r="F52" s="24"/>
      <c r="G52" s="24"/>
      <c r="H52" s="24">
        <v>297</v>
      </c>
      <c r="I52" s="24">
        <v>27</v>
      </c>
      <c r="J52" s="24"/>
      <c r="K52" s="24">
        <v>136</v>
      </c>
      <c r="L52" s="24"/>
      <c r="M52" s="24">
        <v>460</v>
      </c>
      <c r="N52" s="25">
        <v>26.804347826086957</v>
      </c>
      <c r="O52" s="24" t="s">
        <v>215</v>
      </c>
      <c r="P52" s="24">
        <f t="shared" si="0"/>
        <v>136</v>
      </c>
      <c r="Q52" s="24">
        <f t="shared" si="1"/>
        <v>297</v>
      </c>
      <c r="R52" s="24">
        <f t="shared" si="2"/>
        <v>27</v>
      </c>
      <c r="S52" s="24">
        <f t="shared" si="3"/>
        <v>0</v>
      </c>
      <c r="T52" s="24">
        <f t="shared" si="4"/>
        <v>460</v>
      </c>
      <c r="U52" s="27">
        <f t="shared" si="5"/>
        <v>0.29565217391304349</v>
      </c>
      <c r="V52" s="27">
        <f t="shared" si="6"/>
        <v>0.64565217391304353</v>
      </c>
      <c r="W52" s="27">
        <f t="shared" si="7"/>
        <v>5.8695652173913045E-2</v>
      </c>
      <c r="X52" s="27">
        <f t="shared" si="8"/>
        <v>0</v>
      </c>
      <c r="Y52" s="25">
        <f t="shared" si="9"/>
        <v>26.804347826086957</v>
      </c>
    </row>
    <row r="53" spans="1:25" x14ac:dyDescent="0.25">
      <c r="A53" s="24" t="s">
        <v>247</v>
      </c>
      <c r="B53" s="24" t="s">
        <v>248</v>
      </c>
      <c r="C53" s="24" t="s">
        <v>156</v>
      </c>
      <c r="D53" s="24">
        <v>1</v>
      </c>
      <c r="E53" s="24">
        <v>2</v>
      </c>
      <c r="F53" s="24"/>
      <c r="G53" s="24"/>
      <c r="H53" s="24">
        <v>2</v>
      </c>
      <c r="I53" s="24"/>
      <c r="J53" s="24"/>
      <c r="K53" s="24">
        <v>332</v>
      </c>
      <c r="L53" s="24">
        <v>114</v>
      </c>
      <c r="M53" s="24">
        <v>450</v>
      </c>
      <c r="N53" s="25">
        <v>58.966666666666669</v>
      </c>
      <c r="O53" s="24" t="s">
        <v>215</v>
      </c>
      <c r="P53" s="24">
        <f t="shared" si="0"/>
        <v>332</v>
      </c>
      <c r="Q53" s="24">
        <f t="shared" si="1"/>
        <v>2</v>
      </c>
      <c r="R53" s="24">
        <f t="shared" si="2"/>
        <v>0</v>
      </c>
      <c r="S53" s="24">
        <f t="shared" si="3"/>
        <v>116</v>
      </c>
      <c r="T53" s="24">
        <f t="shared" si="4"/>
        <v>450</v>
      </c>
      <c r="U53" s="27">
        <f t="shared" si="5"/>
        <v>0.73777777777777775</v>
      </c>
      <c r="V53" s="27">
        <f t="shared" si="6"/>
        <v>4.4444444444444444E-3</v>
      </c>
      <c r="W53" s="27">
        <f t="shared" si="7"/>
        <v>0</v>
      </c>
      <c r="X53" s="27">
        <f t="shared" si="8"/>
        <v>0.25777777777777777</v>
      </c>
      <c r="Y53" s="25">
        <f t="shared" si="9"/>
        <v>58.966666666666669</v>
      </c>
    </row>
    <row r="54" spans="1:25" x14ac:dyDescent="0.25">
      <c r="A54" s="24" t="s">
        <v>247</v>
      </c>
      <c r="B54" s="24" t="s">
        <v>248</v>
      </c>
      <c r="C54" s="24" t="s">
        <v>156</v>
      </c>
      <c r="D54" s="24">
        <v>2</v>
      </c>
      <c r="E54" s="24">
        <v>29</v>
      </c>
      <c r="F54" s="24"/>
      <c r="G54" s="24">
        <v>2</v>
      </c>
      <c r="H54" s="24">
        <v>1</v>
      </c>
      <c r="I54" s="24">
        <v>25</v>
      </c>
      <c r="J54" s="24"/>
      <c r="K54" s="24">
        <v>421</v>
      </c>
      <c r="L54" s="24">
        <v>113</v>
      </c>
      <c r="M54" s="24">
        <v>591</v>
      </c>
      <c r="N54" s="25">
        <v>30.375634517766496</v>
      </c>
      <c r="O54" s="24" t="s">
        <v>215</v>
      </c>
      <c r="P54" s="24">
        <f t="shared" si="0"/>
        <v>421</v>
      </c>
      <c r="Q54" s="24">
        <f t="shared" si="1"/>
        <v>1</v>
      </c>
      <c r="R54" s="24">
        <f t="shared" si="2"/>
        <v>25</v>
      </c>
      <c r="S54" s="24">
        <f t="shared" si="3"/>
        <v>144</v>
      </c>
      <c r="T54" s="24">
        <f t="shared" si="4"/>
        <v>591</v>
      </c>
      <c r="U54" s="27">
        <f t="shared" si="5"/>
        <v>0.71235194585448391</v>
      </c>
      <c r="V54" s="27">
        <f t="shared" si="6"/>
        <v>1.6920473773265651E-3</v>
      </c>
      <c r="W54" s="27">
        <f t="shared" si="7"/>
        <v>4.2301184433164128E-2</v>
      </c>
      <c r="X54" s="27">
        <f t="shared" si="8"/>
        <v>0.24365482233502539</v>
      </c>
      <c r="Y54" s="25">
        <f t="shared" si="9"/>
        <v>30.375634517766496</v>
      </c>
    </row>
    <row r="55" spans="1:25" x14ac:dyDescent="0.25">
      <c r="A55" s="24" t="s">
        <v>249</v>
      </c>
      <c r="B55" s="24" t="s">
        <v>250</v>
      </c>
      <c r="C55" s="24" t="s">
        <v>158</v>
      </c>
      <c r="D55" s="24">
        <v>1</v>
      </c>
      <c r="E55" s="24"/>
      <c r="F55" s="24"/>
      <c r="G55" s="24"/>
      <c r="H55" s="24">
        <v>149</v>
      </c>
      <c r="I55" s="24">
        <v>12</v>
      </c>
      <c r="J55" s="24"/>
      <c r="K55" s="24">
        <v>215</v>
      </c>
      <c r="L55" s="24">
        <v>59</v>
      </c>
      <c r="M55" s="24">
        <v>435</v>
      </c>
      <c r="N55" s="25">
        <v>64.073563218390802</v>
      </c>
      <c r="O55" s="24" t="s">
        <v>215</v>
      </c>
      <c r="P55" s="24">
        <f t="shared" si="0"/>
        <v>215</v>
      </c>
      <c r="Q55" s="24">
        <f t="shared" si="1"/>
        <v>149</v>
      </c>
      <c r="R55" s="24">
        <f t="shared" si="2"/>
        <v>12</v>
      </c>
      <c r="S55" s="24">
        <f t="shared" si="3"/>
        <v>59</v>
      </c>
      <c r="T55" s="24">
        <f t="shared" si="4"/>
        <v>435</v>
      </c>
      <c r="U55" s="27">
        <f t="shared" si="5"/>
        <v>0.4942528735632184</v>
      </c>
      <c r="V55" s="27">
        <f t="shared" si="6"/>
        <v>0.34252873563218389</v>
      </c>
      <c r="W55" s="27">
        <f t="shared" si="7"/>
        <v>2.7586206896551724E-2</v>
      </c>
      <c r="X55" s="27">
        <f t="shared" si="8"/>
        <v>0.13563218390804599</v>
      </c>
      <c r="Y55" s="25">
        <f t="shared" si="9"/>
        <v>64.073563218390802</v>
      </c>
    </row>
    <row r="56" spans="1:25" x14ac:dyDescent="0.25">
      <c r="A56" s="24" t="s">
        <v>249</v>
      </c>
      <c r="B56" s="24" t="s">
        <v>250</v>
      </c>
      <c r="C56" s="24" t="s">
        <v>158</v>
      </c>
      <c r="D56" s="24">
        <v>2</v>
      </c>
      <c r="E56" s="24">
        <v>1</v>
      </c>
      <c r="F56" s="24"/>
      <c r="G56" s="24"/>
      <c r="H56" s="24">
        <v>99</v>
      </c>
      <c r="I56" s="24">
        <v>11</v>
      </c>
      <c r="J56" s="24"/>
      <c r="K56" s="24">
        <v>181</v>
      </c>
      <c r="L56" s="24">
        <v>144</v>
      </c>
      <c r="M56" s="24">
        <v>436</v>
      </c>
      <c r="N56" s="25">
        <v>41.871559633027523</v>
      </c>
      <c r="O56" s="24" t="s">
        <v>215</v>
      </c>
      <c r="P56" s="24">
        <f t="shared" si="0"/>
        <v>181</v>
      </c>
      <c r="Q56" s="24">
        <f t="shared" si="1"/>
        <v>99</v>
      </c>
      <c r="R56" s="24">
        <f t="shared" si="2"/>
        <v>11</v>
      </c>
      <c r="S56" s="24">
        <f t="shared" si="3"/>
        <v>145</v>
      </c>
      <c r="T56" s="24">
        <f t="shared" si="4"/>
        <v>436</v>
      </c>
      <c r="U56" s="27">
        <f t="shared" si="5"/>
        <v>0.41513761467889909</v>
      </c>
      <c r="V56" s="27">
        <f t="shared" si="6"/>
        <v>0.22706422018348624</v>
      </c>
      <c r="W56" s="27">
        <f t="shared" si="7"/>
        <v>2.5229357798165139E-2</v>
      </c>
      <c r="X56" s="27">
        <f t="shared" si="8"/>
        <v>0.33256880733944955</v>
      </c>
      <c r="Y56" s="25">
        <f t="shared" si="9"/>
        <v>41.871559633027523</v>
      </c>
    </row>
    <row r="57" spans="1:25" x14ac:dyDescent="0.25">
      <c r="A57" s="24" t="s">
        <v>249</v>
      </c>
      <c r="B57" s="24" t="s">
        <v>250</v>
      </c>
      <c r="C57" s="24" t="s">
        <v>158</v>
      </c>
      <c r="D57" s="24">
        <v>3</v>
      </c>
      <c r="E57" s="24">
        <v>16</v>
      </c>
      <c r="F57" s="24"/>
      <c r="G57" s="24"/>
      <c r="H57" s="24">
        <v>89</v>
      </c>
      <c r="I57" s="24">
        <v>28</v>
      </c>
      <c r="J57" s="24"/>
      <c r="K57" s="24">
        <v>261</v>
      </c>
      <c r="L57" s="24">
        <v>42</v>
      </c>
      <c r="M57" s="24">
        <v>436</v>
      </c>
      <c r="N57" s="25">
        <v>26.194954128440369</v>
      </c>
      <c r="O57" s="24" t="s">
        <v>215</v>
      </c>
      <c r="P57" s="24">
        <f t="shared" si="0"/>
        <v>261</v>
      </c>
      <c r="Q57" s="24">
        <f t="shared" si="1"/>
        <v>89</v>
      </c>
      <c r="R57" s="24">
        <f t="shared" si="2"/>
        <v>28</v>
      </c>
      <c r="S57" s="24">
        <f t="shared" si="3"/>
        <v>58</v>
      </c>
      <c r="T57" s="24">
        <f t="shared" si="4"/>
        <v>436</v>
      </c>
      <c r="U57" s="27">
        <f t="shared" si="5"/>
        <v>0.59862385321100919</v>
      </c>
      <c r="V57" s="27">
        <f t="shared" si="6"/>
        <v>0.20412844036697247</v>
      </c>
      <c r="W57" s="27">
        <f t="shared" si="7"/>
        <v>6.4220183486238536E-2</v>
      </c>
      <c r="X57" s="27">
        <f t="shared" si="8"/>
        <v>0.13302752293577982</v>
      </c>
      <c r="Y57" s="25">
        <f t="shared" si="9"/>
        <v>26.194954128440369</v>
      </c>
    </row>
    <row r="58" spans="1:25" x14ac:dyDescent="0.25">
      <c r="A58" s="24" t="s">
        <v>251</v>
      </c>
      <c r="B58" s="24" t="s">
        <v>252</v>
      </c>
      <c r="C58" s="24" t="s">
        <v>160</v>
      </c>
      <c r="D58" s="24">
        <v>1</v>
      </c>
      <c r="E58" s="24"/>
      <c r="F58" s="24"/>
      <c r="G58" s="24"/>
      <c r="H58" s="24">
        <v>26</v>
      </c>
      <c r="I58" s="24">
        <v>51</v>
      </c>
      <c r="J58" s="24">
        <v>1</v>
      </c>
      <c r="K58" s="24">
        <v>372</v>
      </c>
      <c r="L58" s="24"/>
      <c r="M58" s="24">
        <v>450</v>
      </c>
      <c r="N58" s="25">
        <v>68.044444444444451</v>
      </c>
      <c r="O58" s="24" t="s">
        <v>215</v>
      </c>
      <c r="P58" s="24">
        <f t="shared" si="0"/>
        <v>372</v>
      </c>
      <c r="Q58" s="24">
        <f t="shared" si="1"/>
        <v>26</v>
      </c>
      <c r="R58" s="24">
        <f t="shared" si="2"/>
        <v>51</v>
      </c>
      <c r="S58" s="24">
        <f t="shared" si="3"/>
        <v>1</v>
      </c>
      <c r="T58" s="24">
        <f t="shared" si="4"/>
        <v>450</v>
      </c>
      <c r="U58" s="27">
        <f t="shared" si="5"/>
        <v>0.82666666666666666</v>
      </c>
      <c r="V58" s="27">
        <f t="shared" si="6"/>
        <v>5.7777777777777775E-2</v>
      </c>
      <c r="W58" s="27">
        <f t="shared" si="7"/>
        <v>0.11333333333333333</v>
      </c>
      <c r="X58" s="27">
        <f t="shared" si="8"/>
        <v>2.2222222222222222E-3</v>
      </c>
      <c r="Y58" s="25">
        <f t="shared" si="9"/>
        <v>68.044444444444451</v>
      </c>
    </row>
    <row r="59" spans="1:25" x14ac:dyDescent="0.25">
      <c r="A59" s="24" t="s">
        <v>251</v>
      </c>
      <c r="B59" s="24" t="s">
        <v>252</v>
      </c>
      <c r="C59" s="24" t="s">
        <v>160</v>
      </c>
      <c r="D59" s="24">
        <v>2</v>
      </c>
      <c r="E59" s="24"/>
      <c r="F59" s="24">
        <v>1</v>
      </c>
      <c r="G59" s="24"/>
      <c r="H59" s="24">
        <v>21</v>
      </c>
      <c r="I59" s="24">
        <v>63</v>
      </c>
      <c r="J59" s="24"/>
      <c r="K59" s="24">
        <v>365</v>
      </c>
      <c r="L59" s="24"/>
      <c r="M59" s="24">
        <v>450</v>
      </c>
      <c r="N59" s="25">
        <v>57.202222222222225</v>
      </c>
      <c r="O59" s="24" t="s">
        <v>215</v>
      </c>
      <c r="P59" s="24">
        <f t="shared" ref="P59:P114" si="10">K59</f>
        <v>365</v>
      </c>
      <c r="Q59" s="24">
        <f t="shared" ref="Q59:Q114" si="11">H59</f>
        <v>21</v>
      </c>
      <c r="R59" s="24">
        <f t="shared" ref="R59:R114" si="12">I59</f>
        <v>63</v>
      </c>
      <c r="S59" s="24">
        <f t="shared" ref="S59:S114" si="13">M59-SUM(P59:R59)</f>
        <v>1</v>
      </c>
      <c r="T59" s="24">
        <f t="shared" ref="T59:T114" si="14">SUM(P59:S59)</f>
        <v>450</v>
      </c>
      <c r="U59" s="27">
        <f t="shared" ref="U59:U114" si="15">P59/M59</f>
        <v>0.81111111111111112</v>
      </c>
      <c r="V59" s="27">
        <f t="shared" ref="V59:V114" si="16">Q59/M59</f>
        <v>4.6666666666666669E-2</v>
      </c>
      <c r="W59" s="27">
        <f t="shared" ref="W59:W114" si="17">R59/M59</f>
        <v>0.14000000000000001</v>
      </c>
      <c r="X59" s="27">
        <f t="shared" ref="X59:X114" si="18">S59/M59</f>
        <v>2.2222222222222222E-3</v>
      </c>
      <c r="Y59" s="25">
        <f t="shared" ref="Y59:Y114" si="19">N59</f>
        <v>57.202222222222225</v>
      </c>
    </row>
    <row r="60" spans="1:25" x14ac:dyDescent="0.25">
      <c r="A60" s="24" t="s">
        <v>251</v>
      </c>
      <c r="B60" s="24" t="s">
        <v>252</v>
      </c>
      <c r="C60" s="24" t="s">
        <v>160</v>
      </c>
      <c r="D60" s="24">
        <v>3</v>
      </c>
      <c r="E60" s="24"/>
      <c r="F60" s="24"/>
      <c r="G60" s="24"/>
      <c r="H60" s="24">
        <v>24</v>
      </c>
      <c r="I60" s="24">
        <v>42</v>
      </c>
      <c r="J60" s="24"/>
      <c r="K60" s="24">
        <v>562</v>
      </c>
      <c r="L60" s="24"/>
      <c r="M60" s="24">
        <v>628</v>
      </c>
      <c r="N60" s="25">
        <v>42.366242038216562</v>
      </c>
      <c r="O60" s="24" t="s">
        <v>215</v>
      </c>
      <c r="P60" s="24">
        <f t="shared" si="10"/>
        <v>562</v>
      </c>
      <c r="Q60" s="24">
        <f t="shared" si="11"/>
        <v>24</v>
      </c>
      <c r="R60" s="24">
        <f t="shared" si="12"/>
        <v>42</v>
      </c>
      <c r="S60" s="24">
        <f t="shared" si="13"/>
        <v>0</v>
      </c>
      <c r="T60" s="24">
        <f t="shared" si="14"/>
        <v>628</v>
      </c>
      <c r="U60" s="27">
        <f t="shared" si="15"/>
        <v>0.89490445859872614</v>
      </c>
      <c r="V60" s="27">
        <f t="shared" si="16"/>
        <v>3.8216560509554139E-2</v>
      </c>
      <c r="W60" s="27">
        <f t="shared" si="17"/>
        <v>6.6878980891719744E-2</v>
      </c>
      <c r="X60" s="27">
        <f t="shared" si="18"/>
        <v>0</v>
      </c>
      <c r="Y60" s="25">
        <f t="shared" si="19"/>
        <v>42.366242038216562</v>
      </c>
    </row>
    <row r="61" spans="1:25" x14ac:dyDescent="0.25">
      <c r="A61" s="24" t="s">
        <v>251</v>
      </c>
      <c r="B61" s="24" t="s">
        <v>252</v>
      </c>
      <c r="C61" s="24" t="s">
        <v>160</v>
      </c>
      <c r="D61" s="24">
        <v>4</v>
      </c>
      <c r="E61" s="24"/>
      <c r="F61" s="24"/>
      <c r="G61" s="24"/>
      <c r="H61" s="24">
        <v>17</v>
      </c>
      <c r="I61" s="24">
        <v>31</v>
      </c>
      <c r="J61" s="24">
        <v>1</v>
      </c>
      <c r="K61" s="24">
        <v>580</v>
      </c>
      <c r="L61" s="24"/>
      <c r="M61" s="24">
        <v>629</v>
      </c>
      <c r="N61" s="25">
        <v>35.658187599364069</v>
      </c>
      <c r="O61" s="24" t="s">
        <v>215</v>
      </c>
      <c r="P61" s="24">
        <f t="shared" si="10"/>
        <v>580</v>
      </c>
      <c r="Q61" s="24">
        <f t="shared" si="11"/>
        <v>17</v>
      </c>
      <c r="R61" s="24">
        <f t="shared" si="12"/>
        <v>31</v>
      </c>
      <c r="S61" s="24">
        <f t="shared" si="13"/>
        <v>1</v>
      </c>
      <c r="T61" s="24">
        <f t="shared" si="14"/>
        <v>629</v>
      </c>
      <c r="U61" s="27">
        <f t="shared" si="15"/>
        <v>0.92209856915739263</v>
      </c>
      <c r="V61" s="27">
        <f t="shared" si="16"/>
        <v>2.7027027027027029E-2</v>
      </c>
      <c r="W61" s="27">
        <f t="shared" si="17"/>
        <v>4.9284578696343402E-2</v>
      </c>
      <c r="X61" s="27">
        <f t="shared" si="18"/>
        <v>1.589825119236884E-3</v>
      </c>
      <c r="Y61" s="25">
        <f t="shared" si="19"/>
        <v>35.658187599364069</v>
      </c>
    </row>
    <row r="62" spans="1:25" x14ac:dyDescent="0.25">
      <c r="A62" s="24" t="s">
        <v>251</v>
      </c>
      <c r="B62" s="24" t="s">
        <v>252</v>
      </c>
      <c r="C62" s="24" t="s">
        <v>160</v>
      </c>
      <c r="D62" s="24">
        <v>5</v>
      </c>
      <c r="E62" s="24"/>
      <c r="F62" s="24"/>
      <c r="G62" s="24"/>
      <c r="H62" s="24">
        <v>20</v>
      </c>
      <c r="I62" s="24">
        <v>73</v>
      </c>
      <c r="J62" s="24"/>
      <c r="K62" s="24">
        <v>536</v>
      </c>
      <c r="L62" s="24"/>
      <c r="M62" s="24">
        <v>629</v>
      </c>
      <c r="N62" s="25">
        <v>24.93799682034976</v>
      </c>
      <c r="O62" s="24" t="s">
        <v>215</v>
      </c>
      <c r="P62" s="24">
        <f t="shared" si="10"/>
        <v>536</v>
      </c>
      <c r="Q62" s="24">
        <f t="shared" si="11"/>
        <v>20</v>
      </c>
      <c r="R62" s="24">
        <f t="shared" si="12"/>
        <v>73</v>
      </c>
      <c r="S62" s="24">
        <f t="shared" si="13"/>
        <v>0</v>
      </c>
      <c r="T62" s="24">
        <f t="shared" si="14"/>
        <v>629</v>
      </c>
      <c r="U62" s="27">
        <f t="shared" si="15"/>
        <v>0.85214626391096981</v>
      </c>
      <c r="V62" s="27">
        <f t="shared" si="16"/>
        <v>3.1796502384737677E-2</v>
      </c>
      <c r="W62" s="27">
        <f t="shared" si="17"/>
        <v>0.11605723370429252</v>
      </c>
      <c r="X62" s="27">
        <f t="shared" si="18"/>
        <v>0</v>
      </c>
      <c r="Y62" s="25">
        <f t="shared" si="19"/>
        <v>24.93799682034976</v>
      </c>
    </row>
    <row r="63" spans="1:25" x14ac:dyDescent="0.25">
      <c r="A63" s="24" t="s">
        <v>253</v>
      </c>
      <c r="B63" s="24" t="s">
        <v>254</v>
      </c>
      <c r="C63" s="24" t="s">
        <v>162</v>
      </c>
      <c r="D63" s="24">
        <v>1</v>
      </c>
      <c r="E63" s="24"/>
      <c r="F63" s="24"/>
      <c r="G63" s="24"/>
      <c r="H63" s="24">
        <v>12</v>
      </c>
      <c r="I63" s="24">
        <v>30</v>
      </c>
      <c r="J63" s="24">
        <v>1</v>
      </c>
      <c r="K63" s="24">
        <v>407</v>
      </c>
      <c r="L63" s="24"/>
      <c r="M63" s="24">
        <v>450</v>
      </c>
      <c r="N63" s="25">
        <v>58.633333333333333</v>
      </c>
      <c r="O63" s="24" t="s">
        <v>215</v>
      </c>
      <c r="P63" s="24">
        <f t="shared" si="10"/>
        <v>407</v>
      </c>
      <c r="Q63" s="24">
        <f t="shared" si="11"/>
        <v>12</v>
      </c>
      <c r="R63" s="24">
        <f t="shared" si="12"/>
        <v>30</v>
      </c>
      <c r="S63" s="24">
        <f t="shared" si="13"/>
        <v>1</v>
      </c>
      <c r="T63" s="24">
        <f t="shared" si="14"/>
        <v>450</v>
      </c>
      <c r="U63" s="27">
        <f t="shared" si="15"/>
        <v>0.9044444444444445</v>
      </c>
      <c r="V63" s="27">
        <f t="shared" si="16"/>
        <v>2.6666666666666668E-2</v>
      </c>
      <c r="W63" s="27">
        <f t="shared" si="17"/>
        <v>6.6666666666666666E-2</v>
      </c>
      <c r="X63" s="27">
        <f t="shared" si="18"/>
        <v>2.2222222222222222E-3</v>
      </c>
      <c r="Y63" s="25">
        <f t="shared" si="19"/>
        <v>58.633333333333333</v>
      </c>
    </row>
    <row r="64" spans="1:25" x14ac:dyDescent="0.25">
      <c r="A64" s="24" t="s">
        <v>253</v>
      </c>
      <c r="B64" s="24" t="s">
        <v>254</v>
      </c>
      <c r="C64" s="24" t="s">
        <v>162</v>
      </c>
      <c r="D64" s="24">
        <v>2</v>
      </c>
      <c r="E64" s="24">
        <v>1</v>
      </c>
      <c r="F64" s="24"/>
      <c r="G64" s="24"/>
      <c r="H64" s="24">
        <v>19</v>
      </c>
      <c r="I64" s="24">
        <v>20</v>
      </c>
      <c r="J64" s="24"/>
      <c r="K64" s="24">
        <v>660</v>
      </c>
      <c r="L64" s="24"/>
      <c r="M64" s="24">
        <v>700</v>
      </c>
      <c r="N64" s="25">
        <v>33.274285714285718</v>
      </c>
      <c r="O64" s="24" t="s">
        <v>215</v>
      </c>
      <c r="P64" s="24">
        <f t="shared" si="10"/>
        <v>660</v>
      </c>
      <c r="Q64" s="24">
        <f t="shared" si="11"/>
        <v>19</v>
      </c>
      <c r="R64" s="24">
        <f t="shared" si="12"/>
        <v>20</v>
      </c>
      <c r="S64" s="24">
        <f t="shared" si="13"/>
        <v>1</v>
      </c>
      <c r="T64" s="24">
        <f t="shared" si="14"/>
        <v>700</v>
      </c>
      <c r="U64" s="27">
        <f t="shared" si="15"/>
        <v>0.94285714285714284</v>
      </c>
      <c r="V64" s="27">
        <f t="shared" si="16"/>
        <v>2.7142857142857142E-2</v>
      </c>
      <c r="W64" s="27">
        <f t="shared" si="17"/>
        <v>2.8571428571428571E-2</v>
      </c>
      <c r="X64" s="27">
        <f t="shared" si="18"/>
        <v>1.4285714285714286E-3</v>
      </c>
      <c r="Y64" s="25">
        <f t="shared" si="19"/>
        <v>33.274285714285718</v>
      </c>
    </row>
    <row r="65" spans="1:25" x14ac:dyDescent="0.25">
      <c r="A65" s="24" t="s">
        <v>255</v>
      </c>
      <c r="B65" s="24" t="s">
        <v>256</v>
      </c>
      <c r="C65" s="24" t="s">
        <v>164</v>
      </c>
      <c r="D65" s="24">
        <v>1</v>
      </c>
      <c r="E65" s="24"/>
      <c r="F65" s="24"/>
      <c r="G65" s="24"/>
      <c r="H65" s="24"/>
      <c r="I65" s="24">
        <v>11</v>
      </c>
      <c r="J65" s="24">
        <v>1</v>
      </c>
      <c r="K65" s="24">
        <v>438</v>
      </c>
      <c r="L65" s="24"/>
      <c r="M65" s="24">
        <v>450</v>
      </c>
      <c r="N65" s="25">
        <v>63.44</v>
      </c>
      <c r="O65" s="24" t="s">
        <v>215</v>
      </c>
      <c r="P65" s="24">
        <f t="shared" si="10"/>
        <v>438</v>
      </c>
      <c r="Q65" s="24">
        <f t="shared" si="11"/>
        <v>0</v>
      </c>
      <c r="R65" s="24">
        <f t="shared" si="12"/>
        <v>11</v>
      </c>
      <c r="S65" s="24">
        <f t="shared" si="13"/>
        <v>1</v>
      </c>
      <c r="T65" s="24">
        <f t="shared" si="14"/>
        <v>450</v>
      </c>
      <c r="U65" s="27">
        <f t="shared" si="15"/>
        <v>0.97333333333333338</v>
      </c>
      <c r="V65" s="27">
        <f t="shared" si="16"/>
        <v>0</v>
      </c>
      <c r="W65" s="27">
        <f t="shared" si="17"/>
        <v>2.4444444444444446E-2</v>
      </c>
      <c r="X65" s="27">
        <f t="shared" si="18"/>
        <v>2.2222222222222222E-3</v>
      </c>
      <c r="Y65" s="25">
        <f t="shared" si="19"/>
        <v>63.44</v>
      </c>
    </row>
    <row r="66" spans="1:25" x14ac:dyDescent="0.25">
      <c r="A66" s="24" t="s">
        <v>255</v>
      </c>
      <c r="B66" s="24" t="s">
        <v>256</v>
      </c>
      <c r="C66" s="24" t="s">
        <v>164</v>
      </c>
      <c r="D66" s="24">
        <v>2</v>
      </c>
      <c r="E66" s="24"/>
      <c r="F66" s="24"/>
      <c r="G66" s="24"/>
      <c r="H66" s="24">
        <v>1</v>
      </c>
      <c r="I66" s="24">
        <v>13</v>
      </c>
      <c r="J66" s="24"/>
      <c r="K66" s="24">
        <v>436</v>
      </c>
      <c r="L66" s="24"/>
      <c r="M66" s="24">
        <v>450</v>
      </c>
      <c r="N66" s="25">
        <v>58.371111111111112</v>
      </c>
      <c r="O66" s="24" t="s">
        <v>215</v>
      </c>
      <c r="P66" s="24">
        <f t="shared" si="10"/>
        <v>436</v>
      </c>
      <c r="Q66" s="24">
        <f t="shared" si="11"/>
        <v>1</v>
      </c>
      <c r="R66" s="24">
        <f t="shared" si="12"/>
        <v>13</v>
      </c>
      <c r="S66" s="24">
        <f t="shared" si="13"/>
        <v>0</v>
      </c>
      <c r="T66" s="24">
        <f t="shared" si="14"/>
        <v>450</v>
      </c>
      <c r="U66" s="27">
        <f t="shared" si="15"/>
        <v>0.96888888888888891</v>
      </c>
      <c r="V66" s="27">
        <f t="shared" si="16"/>
        <v>2.2222222222222222E-3</v>
      </c>
      <c r="W66" s="27">
        <f t="shared" si="17"/>
        <v>2.8888888888888888E-2</v>
      </c>
      <c r="X66" s="27">
        <f t="shared" si="18"/>
        <v>0</v>
      </c>
      <c r="Y66" s="25">
        <f t="shared" si="19"/>
        <v>58.371111111111112</v>
      </c>
    </row>
    <row r="67" spans="1:25" x14ac:dyDescent="0.25">
      <c r="A67" s="24" t="s">
        <v>255</v>
      </c>
      <c r="B67" s="24" t="s">
        <v>256</v>
      </c>
      <c r="C67" s="24" t="s">
        <v>164</v>
      </c>
      <c r="D67" s="24">
        <v>3</v>
      </c>
      <c r="E67" s="24"/>
      <c r="F67" s="24"/>
      <c r="G67" s="24"/>
      <c r="H67" s="24"/>
      <c r="I67" s="24">
        <v>16</v>
      </c>
      <c r="J67" s="24"/>
      <c r="K67" s="24">
        <v>620</v>
      </c>
      <c r="L67" s="24"/>
      <c r="M67" s="24">
        <v>636</v>
      </c>
      <c r="N67" s="25">
        <v>40.446540880503143</v>
      </c>
      <c r="O67" s="24" t="s">
        <v>215</v>
      </c>
      <c r="P67" s="24">
        <f t="shared" si="10"/>
        <v>620</v>
      </c>
      <c r="Q67" s="24">
        <f t="shared" si="11"/>
        <v>0</v>
      </c>
      <c r="R67" s="24">
        <f t="shared" si="12"/>
        <v>16</v>
      </c>
      <c r="S67" s="24">
        <f t="shared" si="13"/>
        <v>0</v>
      </c>
      <c r="T67" s="24">
        <f t="shared" si="14"/>
        <v>636</v>
      </c>
      <c r="U67" s="27">
        <f t="shared" si="15"/>
        <v>0.97484276729559749</v>
      </c>
      <c r="V67" s="27">
        <f t="shared" si="16"/>
        <v>0</v>
      </c>
      <c r="W67" s="27">
        <f t="shared" si="17"/>
        <v>2.5157232704402517E-2</v>
      </c>
      <c r="X67" s="27">
        <f t="shared" si="18"/>
        <v>0</v>
      </c>
      <c r="Y67" s="25">
        <f t="shared" si="19"/>
        <v>40.446540880503143</v>
      </c>
    </row>
    <row r="68" spans="1:25" x14ac:dyDescent="0.25">
      <c r="A68" s="24" t="s">
        <v>255</v>
      </c>
      <c r="B68" s="24" t="s">
        <v>256</v>
      </c>
      <c r="C68" s="24" t="s">
        <v>164</v>
      </c>
      <c r="D68" s="24">
        <v>4</v>
      </c>
      <c r="E68" s="24"/>
      <c r="F68" s="24"/>
      <c r="G68" s="24"/>
      <c r="H68" s="24">
        <v>1</v>
      </c>
      <c r="I68" s="24">
        <v>2</v>
      </c>
      <c r="J68" s="24"/>
      <c r="K68" s="24">
        <v>634</v>
      </c>
      <c r="L68" s="24"/>
      <c r="M68" s="24">
        <v>637</v>
      </c>
      <c r="N68" s="25">
        <v>34.340659340659343</v>
      </c>
      <c r="O68" s="24" t="s">
        <v>215</v>
      </c>
      <c r="P68" s="24">
        <f t="shared" si="10"/>
        <v>634</v>
      </c>
      <c r="Q68" s="24">
        <f t="shared" si="11"/>
        <v>1</v>
      </c>
      <c r="R68" s="24">
        <f t="shared" si="12"/>
        <v>2</v>
      </c>
      <c r="S68" s="24">
        <f t="shared" si="13"/>
        <v>0</v>
      </c>
      <c r="T68" s="24">
        <f t="shared" si="14"/>
        <v>637</v>
      </c>
      <c r="U68" s="27">
        <f t="shared" si="15"/>
        <v>0.9952904238618524</v>
      </c>
      <c r="V68" s="27">
        <f t="shared" si="16"/>
        <v>1.5698587127158557E-3</v>
      </c>
      <c r="W68" s="27">
        <f t="shared" si="17"/>
        <v>3.1397174254317113E-3</v>
      </c>
      <c r="X68" s="27">
        <f t="shared" si="18"/>
        <v>0</v>
      </c>
      <c r="Y68" s="25">
        <f t="shared" si="19"/>
        <v>34.340659340659343</v>
      </c>
    </row>
    <row r="69" spans="1:25" x14ac:dyDescent="0.25">
      <c r="A69" s="24" t="s">
        <v>255</v>
      </c>
      <c r="B69" s="24" t="s">
        <v>256</v>
      </c>
      <c r="C69" s="24" t="s">
        <v>164</v>
      </c>
      <c r="D69" s="24">
        <v>5</v>
      </c>
      <c r="E69" s="24"/>
      <c r="F69" s="24"/>
      <c r="G69" s="24"/>
      <c r="H69" s="24"/>
      <c r="I69" s="24">
        <v>14</v>
      </c>
      <c r="J69" s="24"/>
      <c r="K69" s="24">
        <v>623</v>
      </c>
      <c r="L69" s="24"/>
      <c r="M69" s="24">
        <v>637</v>
      </c>
      <c r="N69" s="25">
        <v>25.536891679748823</v>
      </c>
      <c r="O69" s="24" t="s">
        <v>215</v>
      </c>
      <c r="P69" s="24">
        <f t="shared" si="10"/>
        <v>623</v>
      </c>
      <c r="Q69" s="24">
        <f t="shared" si="11"/>
        <v>0</v>
      </c>
      <c r="R69" s="24">
        <f t="shared" si="12"/>
        <v>14</v>
      </c>
      <c r="S69" s="24">
        <f t="shared" si="13"/>
        <v>0</v>
      </c>
      <c r="T69" s="24">
        <f t="shared" si="14"/>
        <v>637</v>
      </c>
      <c r="U69" s="27">
        <f t="shared" si="15"/>
        <v>0.97802197802197799</v>
      </c>
      <c r="V69" s="27">
        <f t="shared" si="16"/>
        <v>0</v>
      </c>
      <c r="W69" s="27">
        <f t="shared" si="17"/>
        <v>2.197802197802198E-2</v>
      </c>
      <c r="X69" s="27">
        <f t="shared" si="18"/>
        <v>0</v>
      </c>
      <c r="Y69" s="25">
        <f t="shared" si="19"/>
        <v>25.536891679748823</v>
      </c>
    </row>
    <row r="70" spans="1:25" x14ac:dyDescent="0.25">
      <c r="A70" s="24" t="s">
        <v>257</v>
      </c>
      <c r="B70" s="24" t="s">
        <v>258</v>
      </c>
      <c r="C70" s="24" t="s">
        <v>166</v>
      </c>
      <c r="D70" s="24">
        <v>1</v>
      </c>
      <c r="E70" s="24"/>
      <c r="F70" s="24"/>
      <c r="G70" s="24">
        <v>1</v>
      </c>
      <c r="H70" s="24"/>
      <c r="I70" s="24">
        <v>11</v>
      </c>
      <c r="J70" s="24">
        <v>1</v>
      </c>
      <c r="K70" s="24">
        <v>294</v>
      </c>
      <c r="L70" s="24">
        <v>8</v>
      </c>
      <c r="M70" s="24">
        <v>315</v>
      </c>
      <c r="N70" s="25">
        <v>37.558730158730157</v>
      </c>
      <c r="O70" s="24" t="s">
        <v>215</v>
      </c>
      <c r="P70" s="24">
        <f t="shared" si="10"/>
        <v>294</v>
      </c>
      <c r="Q70" s="24">
        <f t="shared" si="11"/>
        <v>0</v>
      </c>
      <c r="R70" s="24">
        <f t="shared" si="12"/>
        <v>11</v>
      </c>
      <c r="S70" s="24">
        <f t="shared" si="13"/>
        <v>10</v>
      </c>
      <c r="T70" s="24">
        <f t="shared" si="14"/>
        <v>315</v>
      </c>
      <c r="U70" s="27">
        <f t="shared" si="15"/>
        <v>0.93333333333333335</v>
      </c>
      <c r="V70" s="27">
        <f t="shared" si="16"/>
        <v>0</v>
      </c>
      <c r="W70" s="27">
        <f t="shared" si="17"/>
        <v>3.4920634920634921E-2</v>
      </c>
      <c r="X70" s="27">
        <f t="shared" si="18"/>
        <v>3.1746031746031744E-2</v>
      </c>
      <c r="Y70" s="25">
        <f t="shared" si="19"/>
        <v>37.558730158730157</v>
      </c>
    </row>
    <row r="71" spans="1:25" x14ac:dyDescent="0.25">
      <c r="A71" s="24" t="s">
        <v>259</v>
      </c>
      <c r="B71" s="24" t="s">
        <v>260</v>
      </c>
      <c r="C71" s="24" t="s">
        <v>168</v>
      </c>
      <c r="D71" s="24">
        <v>1</v>
      </c>
      <c r="E71" s="24"/>
      <c r="F71" s="24"/>
      <c r="G71" s="24"/>
      <c r="H71" s="24">
        <v>20</v>
      </c>
      <c r="I71" s="24">
        <v>241</v>
      </c>
      <c r="J71" s="24"/>
      <c r="K71" s="24">
        <v>115</v>
      </c>
      <c r="L71" s="24">
        <v>1</v>
      </c>
      <c r="M71" s="24">
        <v>377</v>
      </c>
      <c r="N71" s="25">
        <v>46.400530503978779</v>
      </c>
      <c r="O71" s="24" t="s">
        <v>215</v>
      </c>
      <c r="P71" s="24">
        <f t="shared" si="10"/>
        <v>115</v>
      </c>
      <c r="Q71" s="24">
        <f t="shared" si="11"/>
        <v>20</v>
      </c>
      <c r="R71" s="24">
        <f t="shared" si="12"/>
        <v>241</v>
      </c>
      <c r="S71" s="24">
        <f t="shared" si="13"/>
        <v>1</v>
      </c>
      <c r="T71" s="24">
        <f t="shared" si="14"/>
        <v>377</v>
      </c>
      <c r="U71" s="27">
        <f t="shared" si="15"/>
        <v>0.30503978779840851</v>
      </c>
      <c r="V71" s="27">
        <f t="shared" si="16"/>
        <v>5.3050397877984087E-2</v>
      </c>
      <c r="W71" s="27">
        <f t="shared" si="17"/>
        <v>0.63925729442970824</v>
      </c>
      <c r="X71" s="27">
        <f t="shared" si="18"/>
        <v>2.6525198938992041E-3</v>
      </c>
      <c r="Y71" s="25">
        <f t="shared" si="19"/>
        <v>46.400530503978779</v>
      </c>
    </row>
    <row r="72" spans="1:25" x14ac:dyDescent="0.25">
      <c r="A72" s="24" t="s">
        <v>261</v>
      </c>
      <c r="B72" s="24" t="s">
        <v>262</v>
      </c>
      <c r="C72" s="24" t="s">
        <v>170</v>
      </c>
      <c r="D72" s="24">
        <v>1</v>
      </c>
      <c r="E72" s="24"/>
      <c r="F72" s="24"/>
      <c r="G72" s="24"/>
      <c r="H72" s="24">
        <v>177</v>
      </c>
      <c r="I72" s="24">
        <v>57</v>
      </c>
      <c r="J72" s="24"/>
      <c r="K72" s="24">
        <v>216</v>
      </c>
      <c r="L72" s="24"/>
      <c r="M72" s="24">
        <v>450</v>
      </c>
      <c r="N72" s="25">
        <v>68.024444444444441</v>
      </c>
      <c r="O72" s="24" t="s">
        <v>215</v>
      </c>
      <c r="P72" s="24">
        <f t="shared" si="10"/>
        <v>216</v>
      </c>
      <c r="Q72" s="24">
        <f t="shared" si="11"/>
        <v>177</v>
      </c>
      <c r="R72" s="24">
        <f t="shared" si="12"/>
        <v>57</v>
      </c>
      <c r="S72" s="24">
        <f t="shared" si="13"/>
        <v>0</v>
      </c>
      <c r="T72" s="24">
        <f t="shared" si="14"/>
        <v>450</v>
      </c>
      <c r="U72" s="27">
        <f t="shared" si="15"/>
        <v>0.48</v>
      </c>
      <c r="V72" s="27">
        <f t="shared" si="16"/>
        <v>0.39333333333333331</v>
      </c>
      <c r="W72" s="27">
        <f t="shared" si="17"/>
        <v>0.12666666666666668</v>
      </c>
      <c r="X72" s="27">
        <f t="shared" si="18"/>
        <v>0</v>
      </c>
      <c r="Y72" s="25">
        <f t="shared" si="19"/>
        <v>68.024444444444441</v>
      </c>
    </row>
    <row r="73" spans="1:25" x14ac:dyDescent="0.25">
      <c r="A73" s="24" t="s">
        <v>261</v>
      </c>
      <c r="B73" s="24" t="s">
        <v>262</v>
      </c>
      <c r="C73" s="24" t="s">
        <v>170</v>
      </c>
      <c r="D73" s="24">
        <v>2</v>
      </c>
      <c r="E73" s="24"/>
      <c r="F73" s="24"/>
      <c r="G73" s="24"/>
      <c r="H73" s="24">
        <v>109</v>
      </c>
      <c r="I73" s="24">
        <v>89</v>
      </c>
      <c r="J73" s="24"/>
      <c r="K73" s="24">
        <v>252</v>
      </c>
      <c r="L73" s="24"/>
      <c r="M73" s="24">
        <v>450</v>
      </c>
      <c r="N73" s="25">
        <v>54.731111111111112</v>
      </c>
      <c r="O73" s="24" t="s">
        <v>215</v>
      </c>
      <c r="P73" s="24">
        <f t="shared" si="10"/>
        <v>252</v>
      </c>
      <c r="Q73" s="24">
        <f t="shared" si="11"/>
        <v>109</v>
      </c>
      <c r="R73" s="24">
        <f t="shared" si="12"/>
        <v>89</v>
      </c>
      <c r="S73" s="24">
        <f t="shared" si="13"/>
        <v>0</v>
      </c>
      <c r="T73" s="24">
        <f t="shared" si="14"/>
        <v>450</v>
      </c>
      <c r="U73" s="27">
        <f t="shared" si="15"/>
        <v>0.56000000000000005</v>
      </c>
      <c r="V73" s="27">
        <f t="shared" si="16"/>
        <v>0.24222222222222223</v>
      </c>
      <c r="W73" s="27">
        <f t="shared" si="17"/>
        <v>0.19777777777777777</v>
      </c>
      <c r="X73" s="27">
        <f t="shared" si="18"/>
        <v>0</v>
      </c>
      <c r="Y73" s="25">
        <f t="shared" si="19"/>
        <v>54.731111111111112</v>
      </c>
    </row>
    <row r="74" spans="1:25" x14ac:dyDescent="0.25">
      <c r="A74" s="24" t="s">
        <v>261</v>
      </c>
      <c r="B74" s="24" t="s">
        <v>262</v>
      </c>
      <c r="C74" s="24" t="s">
        <v>170</v>
      </c>
      <c r="D74" s="24">
        <v>3</v>
      </c>
      <c r="E74" s="24"/>
      <c r="F74" s="24"/>
      <c r="G74" s="24"/>
      <c r="H74" s="24">
        <v>227</v>
      </c>
      <c r="I74" s="24">
        <v>110</v>
      </c>
      <c r="J74" s="24"/>
      <c r="K74" s="24">
        <v>395</v>
      </c>
      <c r="L74" s="24"/>
      <c r="M74" s="24">
        <v>732</v>
      </c>
      <c r="N74" s="25">
        <v>39.868852459016395</v>
      </c>
      <c r="O74" s="24" t="s">
        <v>215</v>
      </c>
      <c r="P74" s="24">
        <f t="shared" si="10"/>
        <v>395</v>
      </c>
      <c r="Q74" s="24">
        <f t="shared" si="11"/>
        <v>227</v>
      </c>
      <c r="R74" s="24">
        <f t="shared" si="12"/>
        <v>110</v>
      </c>
      <c r="S74" s="24">
        <f t="shared" si="13"/>
        <v>0</v>
      </c>
      <c r="T74" s="24">
        <f t="shared" si="14"/>
        <v>732</v>
      </c>
      <c r="U74" s="27">
        <f t="shared" si="15"/>
        <v>0.5396174863387978</v>
      </c>
      <c r="V74" s="27">
        <f t="shared" si="16"/>
        <v>0.31010928961748635</v>
      </c>
      <c r="W74" s="27">
        <f t="shared" si="17"/>
        <v>0.15027322404371585</v>
      </c>
      <c r="X74" s="27">
        <f t="shared" si="18"/>
        <v>0</v>
      </c>
      <c r="Y74" s="25">
        <f t="shared" si="19"/>
        <v>39.868852459016395</v>
      </c>
    </row>
    <row r="75" spans="1:25" x14ac:dyDescent="0.25">
      <c r="A75" s="24" t="s">
        <v>261</v>
      </c>
      <c r="B75" s="24" t="s">
        <v>262</v>
      </c>
      <c r="C75" s="24" t="s">
        <v>170</v>
      </c>
      <c r="D75" s="24">
        <v>4</v>
      </c>
      <c r="E75" s="24"/>
      <c r="F75" s="24"/>
      <c r="G75" s="24"/>
      <c r="H75" s="24">
        <v>133</v>
      </c>
      <c r="I75" s="24">
        <v>114</v>
      </c>
      <c r="J75" s="24"/>
      <c r="K75" s="24">
        <v>486</v>
      </c>
      <c r="L75" s="24"/>
      <c r="M75" s="24">
        <v>733</v>
      </c>
      <c r="N75" s="25">
        <v>24.889495225102319</v>
      </c>
      <c r="O75" s="24" t="s">
        <v>215</v>
      </c>
      <c r="P75" s="24">
        <f t="shared" si="10"/>
        <v>486</v>
      </c>
      <c r="Q75" s="24">
        <f t="shared" si="11"/>
        <v>133</v>
      </c>
      <c r="R75" s="24">
        <f t="shared" si="12"/>
        <v>114</v>
      </c>
      <c r="S75" s="24">
        <f t="shared" si="13"/>
        <v>0</v>
      </c>
      <c r="T75" s="24">
        <f t="shared" si="14"/>
        <v>733</v>
      </c>
      <c r="U75" s="27">
        <f t="shared" si="15"/>
        <v>0.66302864938608463</v>
      </c>
      <c r="V75" s="27">
        <f t="shared" si="16"/>
        <v>0.18144611186903137</v>
      </c>
      <c r="W75" s="27">
        <f t="shared" si="17"/>
        <v>0.15552523874488403</v>
      </c>
      <c r="X75" s="27">
        <f t="shared" si="18"/>
        <v>0</v>
      </c>
      <c r="Y75" s="25">
        <f t="shared" si="19"/>
        <v>24.889495225102319</v>
      </c>
    </row>
    <row r="76" spans="1:25" x14ac:dyDescent="0.25">
      <c r="A76" s="24" t="s">
        <v>263</v>
      </c>
      <c r="B76" s="24" t="s">
        <v>264</v>
      </c>
      <c r="C76" s="24" t="s">
        <v>172</v>
      </c>
      <c r="D76" s="24">
        <v>1</v>
      </c>
      <c r="E76" s="24"/>
      <c r="F76" s="24"/>
      <c r="G76" s="24"/>
      <c r="H76" s="24"/>
      <c r="I76" s="24">
        <v>3</v>
      </c>
      <c r="J76" s="24"/>
      <c r="K76" s="24">
        <v>447</v>
      </c>
      <c r="L76" s="24"/>
      <c r="M76" s="24">
        <v>450</v>
      </c>
      <c r="N76" s="25">
        <v>57.18</v>
      </c>
      <c r="O76" s="24" t="s">
        <v>215</v>
      </c>
      <c r="P76" s="24">
        <f t="shared" si="10"/>
        <v>447</v>
      </c>
      <c r="Q76" s="24">
        <f t="shared" si="11"/>
        <v>0</v>
      </c>
      <c r="R76" s="24">
        <f t="shared" si="12"/>
        <v>3</v>
      </c>
      <c r="S76" s="24">
        <f t="shared" si="13"/>
        <v>0</v>
      </c>
      <c r="T76" s="24">
        <f t="shared" si="14"/>
        <v>450</v>
      </c>
      <c r="U76" s="27">
        <f t="shared" si="15"/>
        <v>0.99333333333333329</v>
      </c>
      <c r="V76" s="27">
        <f t="shared" si="16"/>
        <v>0</v>
      </c>
      <c r="W76" s="27">
        <f t="shared" si="17"/>
        <v>6.6666666666666671E-3</v>
      </c>
      <c r="X76" s="27">
        <f t="shared" si="18"/>
        <v>0</v>
      </c>
      <c r="Y76" s="25">
        <f t="shared" si="19"/>
        <v>57.18</v>
      </c>
    </row>
    <row r="77" spans="1:25" x14ac:dyDescent="0.25">
      <c r="A77" s="24" t="s">
        <v>263</v>
      </c>
      <c r="B77" s="24" t="s">
        <v>264</v>
      </c>
      <c r="C77" s="24" t="s">
        <v>172</v>
      </c>
      <c r="D77" s="24">
        <v>2</v>
      </c>
      <c r="E77" s="24"/>
      <c r="F77" s="24"/>
      <c r="G77" s="24"/>
      <c r="H77" s="24"/>
      <c r="I77" s="24">
        <v>2</v>
      </c>
      <c r="J77" s="24"/>
      <c r="K77" s="24">
        <v>687</v>
      </c>
      <c r="L77" s="24"/>
      <c r="M77" s="24">
        <v>689</v>
      </c>
      <c r="N77" s="25">
        <v>31.918722786647315</v>
      </c>
      <c r="O77" s="24" t="s">
        <v>215</v>
      </c>
      <c r="P77" s="24">
        <f t="shared" si="10"/>
        <v>687</v>
      </c>
      <c r="Q77" s="24">
        <f t="shared" si="11"/>
        <v>0</v>
      </c>
      <c r="R77" s="24">
        <f t="shared" si="12"/>
        <v>2</v>
      </c>
      <c r="S77" s="24">
        <f t="shared" si="13"/>
        <v>0</v>
      </c>
      <c r="T77" s="24">
        <f t="shared" si="14"/>
        <v>689</v>
      </c>
      <c r="U77" s="27">
        <f t="shared" si="15"/>
        <v>0.99709724238026121</v>
      </c>
      <c r="V77" s="27">
        <f t="shared" si="16"/>
        <v>0</v>
      </c>
      <c r="W77" s="27">
        <f t="shared" si="17"/>
        <v>2.9027576197387518E-3</v>
      </c>
      <c r="X77" s="27">
        <f t="shared" si="18"/>
        <v>0</v>
      </c>
      <c r="Y77" s="25">
        <f t="shared" si="19"/>
        <v>31.918722786647315</v>
      </c>
    </row>
    <row r="78" spans="1:25" x14ac:dyDescent="0.25">
      <c r="A78" s="24" t="s">
        <v>265</v>
      </c>
      <c r="B78" s="24" t="s">
        <v>266</v>
      </c>
      <c r="C78" s="24" t="s">
        <v>174</v>
      </c>
      <c r="D78" s="24">
        <v>1</v>
      </c>
      <c r="E78" s="24"/>
      <c r="F78" s="24"/>
      <c r="G78" s="24"/>
      <c r="H78" s="24">
        <v>1</v>
      </c>
      <c r="I78" s="24">
        <v>2</v>
      </c>
      <c r="J78" s="24"/>
      <c r="K78" s="24">
        <v>447</v>
      </c>
      <c r="L78" s="24"/>
      <c r="M78" s="24">
        <v>450</v>
      </c>
      <c r="N78" s="25">
        <v>68.135555555555555</v>
      </c>
      <c r="O78" s="24" t="s">
        <v>215</v>
      </c>
      <c r="P78" s="24">
        <f t="shared" si="10"/>
        <v>447</v>
      </c>
      <c r="Q78" s="24">
        <f t="shared" si="11"/>
        <v>1</v>
      </c>
      <c r="R78" s="24">
        <f t="shared" si="12"/>
        <v>2</v>
      </c>
      <c r="S78" s="24">
        <f t="shared" si="13"/>
        <v>0</v>
      </c>
      <c r="T78" s="24">
        <f t="shared" si="14"/>
        <v>450</v>
      </c>
      <c r="U78" s="27">
        <f t="shared" si="15"/>
        <v>0.99333333333333329</v>
      </c>
      <c r="V78" s="27">
        <f t="shared" si="16"/>
        <v>2.2222222222222222E-3</v>
      </c>
      <c r="W78" s="27">
        <f t="shared" si="17"/>
        <v>4.4444444444444444E-3</v>
      </c>
      <c r="X78" s="27">
        <f t="shared" si="18"/>
        <v>0</v>
      </c>
      <c r="Y78" s="25">
        <f t="shared" si="19"/>
        <v>68.135555555555555</v>
      </c>
    </row>
    <row r="79" spans="1:25" x14ac:dyDescent="0.25">
      <c r="A79" s="24" t="s">
        <v>265</v>
      </c>
      <c r="B79" s="24" t="s">
        <v>266</v>
      </c>
      <c r="C79" s="24" t="s">
        <v>174</v>
      </c>
      <c r="D79" s="24">
        <v>2</v>
      </c>
      <c r="E79" s="24"/>
      <c r="F79" s="24"/>
      <c r="G79" s="24">
        <v>1</v>
      </c>
      <c r="H79" s="24"/>
      <c r="I79" s="24">
        <v>1</v>
      </c>
      <c r="J79" s="24"/>
      <c r="K79" s="24">
        <v>448</v>
      </c>
      <c r="L79" s="24"/>
      <c r="M79" s="24">
        <v>450</v>
      </c>
      <c r="N79" s="25">
        <v>56.06666666666667</v>
      </c>
      <c r="O79" s="24" t="s">
        <v>215</v>
      </c>
      <c r="P79" s="24">
        <f t="shared" si="10"/>
        <v>448</v>
      </c>
      <c r="Q79" s="24">
        <f t="shared" si="11"/>
        <v>0</v>
      </c>
      <c r="R79" s="24">
        <f t="shared" si="12"/>
        <v>1</v>
      </c>
      <c r="S79" s="24">
        <f t="shared" si="13"/>
        <v>1</v>
      </c>
      <c r="T79" s="24">
        <f t="shared" si="14"/>
        <v>450</v>
      </c>
      <c r="U79" s="27">
        <f t="shared" si="15"/>
        <v>0.99555555555555553</v>
      </c>
      <c r="V79" s="27">
        <f t="shared" si="16"/>
        <v>0</v>
      </c>
      <c r="W79" s="27">
        <f t="shared" si="17"/>
        <v>2.2222222222222222E-3</v>
      </c>
      <c r="X79" s="27">
        <f t="shared" si="18"/>
        <v>2.2222222222222222E-3</v>
      </c>
      <c r="Y79" s="25">
        <f t="shared" si="19"/>
        <v>56.06666666666667</v>
      </c>
    </row>
    <row r="80" spans="1:25" x14ac:dyDescent="0.25">
      <c r="A80" s="24" t="s">
        <v>265</v>
      </c>
      <c r="B80" s="24" t="s">
        <v>266</v>
      </c>
      <c r="C80" s="24" t="s">
        <v>174</v>
      </c>
      <c r="D80" s="24">
        <v>3</v>
      </c>
      <c r="E80" s="24"/>
      <c r="F80" s="24">
        <v>1</v>
      </c>
      <c r="G80" s="24"/>
      <c r="H80" s="24"/>
      <c r="I80" s="24">
        <v>1</v>
      </c>
      <c r="J80" s="24"/>
      <c r="K80" s="24">
        <v>618</v>
      </c>
      <c r="L80" s="24"/>
      <c r="M80" s="24">
        <v>620</v>
      </c>
      <c r="N80" s="25">
        <v>43.906451612903226</v>
      </c>
      <c r="O80" s="24" t="s">
        <v>215</v>
      </c>
      <c r="P80" s="24">
        <f t="shared" si="10"/>
        <v>618</v>
      </c>
      <c r="Q80" s="24">
        <f t="shared" si="11"/>
        <v>0</v>
      </c>
      <c r="R80" s="24">
        <f t="shared" si="12"/>
        <v>1</v>
      </c>
      <c r="S80" s="24">
        <f t="shared" si="13"/>
        <v>1</v>
      </c>
      <c r="T80" s="24">
        <f t="shared" si="14"/>
        <v>620</v>
      </c>
      <c r="U80" s="27">
        <f t="shared" si="15"/>
        <v>0.99677419354838714</v>
      </c>
      <c r="V80" s="27">
        <f t="shared" si="16"/>
        <v>0</v>
      </c>
      <c r="W80" s="27">
        <f t="shared" si="17"/>
        <v>1.6129032258064516E-3</v>
      </c>
      <c r="X80" s="27">
        <f t="shared" si="18"/>
        <v>1.6129032258064516E-3</v>
      </c>
      <c r="Y80" s="25">
        <f t="shared" si="19"/>
        <v>43.906451612903226</v>
      </c>
    </row>
    <row r="81" spans="1:25" x14ac:dyDescent="0.25">
      <c r="A81" s="24" t="s">
        <v>265</v>
      </c>
      <c r="B81" s="24" t="s">
        <v>266</v>
      </c>
      <c r="C81" s="24" t="s">
        <v>174</v>
      </c>
      <c r="D81" s="24">
        <v>4</v>
      </c>
      <c r="E81" s="24"/>
      <c r="F81" s="24"/>
      <c r="G81" s="24"/>
      <c r="H81" s="24"/>
      <c r="I81" s="24"/>
      <c r="J81" s="24"/>
      <c r="K81" s="24">
        <v>621</v>
      </c>
      <c r="L81" s="24"/>
      <c r="M81" s="24">
        <v>621</v>
      </c>
      <c r="N81" s="25">
        <v>37.074074074074076</v>
      </c>
      <c r="O81" s="24" t="s">
        <v>215</v>
      </c>
      <c r="P81" s="24">
        <f t="shared" si="10"/>
        <v>621</v>
      </c>
      <c r="Q81" s="24">
        <f t="shared" si="11"/>
        <v>0</v>
      </c>
      <c r="R81" s="24">
        <f t="shared" si="12"/>
        <v>0</v>
      </c>
      <c r="S81" s="24">
        <f t="shared" si="13"/>
        <v>0</v>
      </c>
      <c r="T81" s="24">
        <f t="shared" si="14"/>
        <v>621</v>
      </c>
      <c r="U81" s="27">
        <f t="shared" si="15"/>
        <v>1</v>
      </c>
      <c r="V81" s="27">
        <f t="shared" si="16"/>
        <v>0</v>
      </c>
      <c r="W81" s="27">
        <f t="shared" si="17"/>
        <v>0</v>
      </c>
      <c r="X81" s="27">
        <f t="shared" si="18"/>
        <v>0</v>
      </c>
      <c r="Y81" s="25">
        <f t="shared" si="19"/>
        <v>37.074074074074076</v>
      </c>
    </row>
    <row r="82" spans="1:25" x14ac:dyDescent="0.25">
      <c r="A82" s="24" t="s">
        <v>265</v>
      </c>
      <c r="B82" s="24" t="s">
        <v>266</v>
      </c>
      <c r="C82" s="24" t="s">
        <v>174</v>
      </c>
      <c r="D82" s="24">
        <v>5</v>
      </c>
      <c r="E82" s="24"/>
      <c r="F82" s="24"/>
      <c r="G82" s="24"/>
      <c r="H82" s="24"/>
      <c r="I82" s="24"/>
      <c r="J82" s="24"/>
      <c r="K82" s="24">
        <v>621</v>
      </c>
      <c r="L82" s="24"/>
      <c r="M82" s="24">
        <v>621</v>
      </c>
      <c r="N82" s="25">
        <v>25.640901771336555</v>
      </c>
      <c r="O82" s="24" t="s">
        <v>215</v>
      </c>
      <c r="P82" s="24">
        <f t="shared" si="10"/>
        <v>621</v>
      </c>
      <c r="Q82" s="24">
        <f t="shared" si="11"/>
        <v>0</v>
      </c>
      <c r="R82" s="24">
        <f t="shared" si="12"/>
        <v>0</v>
      </c>
      <c r="S82" s="24">
        <f t="shared" si="13"/>
        <v>0</v>
      </c>
      <c r="T82" s="24">
        <f t="shared" si="14"/>
        <v>621</v>
      </c>
      <c r="U82" s="27">
        <f t="shared" si="15"/>
        <v>1</v>
      </c>
      <c r="V82" s="27">
        <f t="shared" si="16"/>
        <v>0</v>
      </c>
      <c r="W82" s="27">
        <f t="shared" si="17"/>
        <v>0</v>
      </c>
      <c r="X82" s="27">
        <f t="shared" si="18"/>
        <v>0</v>
      </c>
      <c r="Y82" s="25">
        <f t="shared" si="19"/>
        <v>25.640901771336555</v>
      </c>
    </row>
    <row r="83" spans="1:25" x14ac:dyDescent="0.25">
      <c r="A83" s="24" t="s">
        <v>267</v>
      </c>
      <c r="B83" s="24" t="s">
        <v>268</v>
      </c>
      <c r="C83" s="24" t="s">
        <v>176</v>
      </c>
      <c r="D83" s="24">
        <v>1</v>
      </c>
      <c r="E83" s="24"/>
      <c r="F83" s="24"/>
      <c r="G83" s="24"/>
      <c r="H83" s="24"/>
      <c r="I83" s="24">
        <v>1</v>
      </c>
      <c r="J83" s="24"/>
      <c r="K83" s="24">
        <v>449</v>
      </c>
      <c r="L83" s="24"/>
      <c r="M83" s="24">
        <v>450</v>
      </c>
      <c r="N83" s="25">
        <v>67.691111111111113</v>
      </c>
      <c r="O83" s="24" t="s">
        <v>215</v>
      </c>
      <c r="P83" s="24">
        <f t="shared" si="10"/>
        <v>449</v>
      </c>
      <c r="Q83" s="24">
        <f t="shared" si="11"/>
        <v>0</v>
      </c>
      <c r="R83" s="24">
        <f t="shared" si="12"/>
        <v>1</v>
      </c>
      <c r="S83" s="24">
        <f t="shared" si="13"/>
        <v>0</v>
      </c>
      <c r="T83" s="24">
        <f t="shared" si="14"/>
        <v>450</v>
      </c>
      <c r="U83" s="27">
        <f t="shared" si="15"/>
        <v>0.99777777777777776</v>
      </c>
      <c r="V83" s="27">
        <f t="shared" si="16"/>
        <v>0</v>
      </c>
      <c r="W83" s="27">
        <f t="shared" si="17"/>
        <v>2.2222222222222222E-3</v>
      </c>
      <c r="X83" s="27">
        <f t="shared" si="18"/>
        <v>0</v>
      </c>
      <c r="Y83" s="25">
        <f t="shared" si="19"/>
        <v>67.691111111111113</v>
      </c>
    </row>
    <row r="84" spans="1:25" x14ac:dyDescent="0.25">
      <c r="A84" s="24" t="s">
        <v>267</v>
      </c>
      <c r="B84" s="24" t="s">
        <v>268</v>
      </c>
      <c r="C84" s="24" t="s">
        <v>176</v>
      </c>
      <c r="D84" s="24">
        <v>2</v>
      </c>
      <c r="E84" s="24"/>
      <c r="F84" s="24"/>
      <c r="G84" s="24"/>
      <c r="H84" s="24"/>
      <c r="I84" s="24">
        <v>3</v>
      </c>
      <c r="J84" s="24"/>
      <c r="K84" s="24">
        <v>447</v>
      </c>
      <c r="L84" s="24"/>
      <c r="M84" s="24">
        <v>450</v>
      </c>
      <c r="N84" s="25">
        <v>49.568888888888885</v>
      </c>
      <c r="O84" s="24" t="s">
        <v>215</v>
      </c>
      <c r="P84" s="24">
        <f t="shared" si="10"/>
        <v>447</v>
      </c>
      <c r="Q84" s="24">
        <f t="shared" si="11"/>
        <v>0</v>
      </c>
      <c r="R84" s="24">
        <f t="shared" si="12"/>
        <v>3</v>
      </c>
      <c r="S84" s="24">
        <f t="shared" si="13"/>
        <v>0</v>
      </c>
      <c r="T84" s="24">
        <f t="shared" si="14"/>
        <v>450</v>
      </c>
      <c r="U84" s="27">
        <f t="shared" si="15"/>
        <v>0.99333333333333329</v>
      </c>
      <c r="V84" s="27">
        <f t="shared" si="16"/>
        <v>0</v>
      </c>
      <c r="W84" s="27">
        <f t="shared" si="17"/>
        <v>6.6666666666666671E-3</v>
      </c>
      <c r="X84" s="27">
        <f t="shared" si="18"/>
        <v>0</v>
      </c>
      <c r="Y84" s="25">
        <f t="shared" si="19"/>
        <v>49.568888888888885</v>
      </c>
    </row>
    <row r="85" spans="1:25" x14ac:dyDescent="0.25">
      <c r="A85" s="24" t="s">
        <v>267</v>
      </c>
      <c r="B85" s="24" t="s">
        <v>268</v>
      </c>
      <c r="C85" s="24" t="s">
        <v>176</v>
      </c>
      <c r="D85" s="24">
        <v>3</v>
      </c>
      <c r="E85" s="24"/>
      <c r="F85" s="24"/>
      <c r="G85" s="24"/>
      <c r="H85" s="24"/>
      <c r="I85" s="24"/>
      <c r="J85" s="24"/>
      <c r="K85" s="24">
        <v>584</v>
      </c>
      <c r="L85" s="24"/>
      <c r="M85" s="24">
        <v>584</v>
      </c>
      <c r="N85" s="25">
        <v>39.81849315068493</v>
      </c>
      <c r="O85" s="24" t="s">
        <v>215</v>
      </c>
      <c r="P85" s="24">
        <f t="shared" si="10"/>
        <v>584</v>
      </c>
      <c r="Q85" s="24">
        <f t="shared" si="11"/>
        <v>0</v>
      </c>
      <c r="R85" s="24">
        <f t="shared" si="12"/>
        <v>0</v>
      </c>
      <c r="S85" s="24">
        <f t="shared" si="13"/>
        <v>0</v>
      </c>
      <c r="T85" s="24">
        <f t="shared" si="14"/>
        <v>584</v>
      </c>
      <c r="U85" s="27">
        <f t="shared" si="15"/>
        <v>1</v>
      </c>
      <c r="V85" s="27">
        <f t="shared" si="16"/>
        <v>0</v>
      </c>
      <c r="W85" s="27">
        <f t="shared" si="17"/>
        <v>0</v>
      </c>
      <c r="X85" s="27">
        <f t="shared" si="18"/>
        <v>0</v>
      </c>
      <c r="Y85" s="25">
        <f t="shared" si="19"/>
        <v>39.81849315068493</v>
      </c>
    </row>
    <row r="86" spans="1:25" x14ac:dyDescent="0.25">
      <c r="A86" s="24" t="s">
        <v>267</v>
      </c>
      <c r="B86" s="24" t="s">
        <v>268</v>
      </c>
      <c r="C86" s="24" t="s">
        <v>176</v>
      </c>
      <c r="D86" s="24">
        <v>4</v>
      </c>
      <c r="E86" s="24"/>
      <c r="F86" s="24"/>
      <c r="G86" s="24"/>
      <c r="H86" s="24"/>
      <c r="I86" s="24"/>
      <c r="J86" s="24"/>
      <c r="K86" s="24">
        <v>584</v>
      </c>
      <c r="L86" s="24"/>
      <c r="M86" s="24">
        <v>584</v>
      </c>
      <c r="N86" s="25">
        <v>27.128424657534246</v>
      </c>
      <c r="O86" s="24" t="s">
        <v>215</v>
      </c>
      <c r="P86" s="24">
        <f t="shared" si="10"/>
        <v>584</v>
      </c>
      <c r="Q86" s="24">
        <f t="shared" si="11"/>
        <v>0</v>
      </c>
      <c r="R86" s="24">
        <f t="shared" si="12"/>
        <v>0</v>
      </c>
      <c r="S86" s="24">
        <f t="shared" si="13"/>
        <v>0</v>
      </c>
      <c r="T86" s="24">
        <f t="shared" si="14"/>
        <v>584</v>
      </c>
      <c r="U86" s="27">
        <f t="shared" si="15"/>
        <v>1</v>
      </c>
      <c r="V86" s="27">
        <f t="shared" si="16"/>
        <v>0</v>
      </c>
      <c r="W86" s="27">
        <f t="shared" si="17"/>
        <v>0</v>
      </c>
      <c r="X86" s="27">
        <f t="shared" si="18"/>
        <v>0</v>
      </c>
      <c r="Y86" s="25">
        <f t="shared" si="19"/>
        <v>27.128424657534246</v>
      </c>
    </row>
    <row r="87" spans="1:25" x14ac:dyDescent="0.25">
      <c r="A87" s="24" t="s">
        <v>269</v>
      </c>
      <c r="B87" s="24" t="s">
        <v>270</v>
      </c>
      <c r="C87" s="24" t="s">
        <v>178</v>
      </c>
      <c r="D87" s="24">
        <v>1</v>
      </c>
      <c r="E87" s="24">
        <v>2</v>
      </c>
      <c r="F87" s="24"/>
      <c r="G87" s="24"/>
      <c r="H87" s="24">
        <v>6</v>
      </c>
      <c r="I87" s="24">
        <v>220</v>
      </c>
      <c r="J87" s="24">
        <v>2</v>
      </c>
      <c r="K87" s="24">
        <v>108</v>
      </c>
      <c r="L87" s="24">
        <v>112</v>
      </c>
      <c r="M87" s="24">
        <v>450</v>
      </c>
      <c r="N87" s="25">
        <v>63.097777777777779</v>
      </c>
      <c r="O87" s="24" t="s">
        <v>215</v>
      </c>
      <c r="P87" s="24">
        <f t="shared" si="10"/>
        <v>108</v>
      </c>
      <c r="Q87" s="24">
        <f t="shared" si="11"/>
        <v>6</v>
      </c>
      <c r="R87" s="24">
        <f t="shared" si="12"/>
        <v>220</v>
      </c>
      <c r="S87" s="24">
        <f t="shared" si="13"/>
        <v>116</v>
      </c>
      <c r="T87" s="24">
        <f t="shared" si="14"/>
        <v>450</v>
      </c>
      <c r="U87" s="27">
        <f t="shared" si="15"/>
        <v>0.24</v>
      </c>
      <c r="V87" s="27">
        <f t="shared" si="16"/>
        <v>1.3333333333333334E-2</v>
      </c>
      <c r="W87" s="27">
        <f t="shared" si="17"/>
        <v>0.48888888888888887</v>
      </c>
      <c r="X87" s="27">
        <f t="shared" si="18"/>
        <v>0.25777777777777777</v>
      </c>
      <c r="Y87" s="25">
        <f t="shared" si="19"/>
        <v>63.097777777777779</v>
      </c>
    </row>
    <row r="88" spans="1:25" x14ac:dyDescent="0.25">
      <c r="A88" s="24" t="s">
        <v>269</v>
      </c>
      <c r="B88" s="24" t="s">
        <v>270</v>
      </c>
      <c r="C88" s="24" t="s">
        <v>178</v>
      </c>
      <c r="D88" s="24">
        <v>2</v>
      </c>
      <c r="E88" s="24">
        <v>5</v>
      </c>
      <c r="F88" s="24"/>
      <c r="G88" s="24"/>
      <c r="H88" s="24">
        <v>1</v>
      </c>
      <c r="I88" s="24">
        <v>156</v>
      </c>
      <c r="J88" s="24"/>
      <c r="K88" s="24">
        <v>106</v>
      </c>
      <c r="L88" s="24">
        <v>275</v>
      </c>
      <c r="M88" s="24">
        <v>543</v>
      </c>
      <c r="N88" s="25">
        <v>42.692449355432778</v>
      </c>
      <c r="O88" s="24" t="s">
        <v>215</v>
      </c>
      <c r="P88" s="24">
        <f t="shared" si="10"/>
        <v>106</v>
      </c>
      <c r="Q88" s="24">
        <f t="shared" si="11"/>
        <v>1</v>
      </c>
      <c r="R88" s="24">
        <f t="shared" si="12"/>
        <v>156</v>
      </c>
      <c r="S88" s="24">
        <f t="shared" si="13"/>
        <v>280</v>
      </c>
      <c r="T88" s="24">
        <f t="shared" si="14"/>
        <v>543</v>
      </c>
      <c r="U88" s="27">
        <f t="shared" si="15"/>
        <v>0.19521178637200737</v>
      </c>
      <c r="V88" s="27">
        <f t="shared" si="16"/>
        <v>1.841620626151013E-3</v>
      </c>
      <c r="W88" s="27">
        <f t="shared" si="17"/>
        <v>0.287292817679558</v>
      </c>
      <c r="X88" s="27">
        <f t="shared" si="18"/>
        <v>0.51565377532228363</v>
      </c>
      <c r="Y88" s="25">
        <f t="shared" si="19"/>
        <v>42.692449355432778</v>
      </c>
    </row>
    <row r="89" spans="1:25" x14ac:dyDescent="0.25">
      <c r="A89" s="24" t="s">
        <v>269</v>
      </c>
      <c r="B89" s="24" t="s">
        <v>270</v>
      </c>
      <c r="C89" s="24" t="s">
        <v>178</v>
      </c>
      <c r="D89" s="24">
        <v>3</v>
      </c>
      <c r="E89" s="24">
        <v>34</v>
      </c>
      <c r="F89" s="24"/>
      <c r="G89" s="24">
        <v>4</v>
      </c>
      <c r="H89" s="24">
        <v>5</v>
      </c>
      <c r="I89" s="24">
        <v>152</v>
      </c>
      <c r="J89" s="24"/>
      <c r="K89" s="24">
        <v>305</v>
      </c>
      <c r="L89" s="24">
        <v>43</v>
      </c>
      <c r="M89" s="24">
        <v>543</v>
      </c>
      <c r="N89" s="25">
        <v>25.67219152854512</v>
      </c>
      <c r="O89" s="24" t="s">
        <v>215</v>
      </c>
      <c r="P89" s="24">
        <f t="shared" si="10"/>
        <v>305</v>
      </c>
      <c r="Q89" s="24">
        <f t="shared" si="11"/>
        <v>5</v>
      </c>
      <c r="R89" s="24">
        <f t="shared" si="12"/>
        <v>152</v>
      </c>
      <c r="S89" s="24">
        <f t="shared" si="13"/>
        <v>81</v>
      </c>
      <c r="T89" s="24">
        <f t="shared" si="14"/>
        <v>543</v>
      </c>
      <c r="U89" s="27">
        <f t="shared" si="15"/>
        <v>0.56169429097605894</v>
      </c>
      <c r="V89" s="27">
        <f t="shared" si="16"/>
        <v>9.2081031307550652E-3</v>
      </c>
      <c r="W89" s="27">
        <f t="shared" si="17"/>
        <v>0.27992633517495397</v>
      </c>
      <c r="X89" s="27">
        <f t="shared" si="18"/>
        <v>0.14917127071823205</v>
      </c>
      <c r="Y89" s="25">
        <f t="shared" si="19"/>
        <v>25.67219152854512</v>
      </c>
    </row>
    <row r="90" spans="1:25" x14ac:dyDescent="0.25">
      <c r="A90" s="24" t="s">
        <v>271</v>
      </c>
      <c r="B90" s="24" t="s">
        <v>272</v>
      </c>
      <c r="C90" s="24" t="s">
        <v>180</v>
      </c>
      <c r="D90" s="24">
        <v>1</v>
      </c>
      <c r="E90" s="24"/>
      <c r="F90" s="24"/>
      <c r="G90" s="24"/>
      <c r="H90" s="24">
        <v>9</v>
      </c>
      <c r="I90" s="24">
        <v>2</v>
      </c>
      <c r="J90" s="24"/>
      <c r="K90" s="24">
        <v>439</v>
      </c>
      <c r="L90" s="24"/>
      <c r="M90" s="24">
        <v>450</v>
      </c>
      <c r="N90" s="25">
        <v>64.597777777777779</v>
      </c>
      <c r="O90" s="24" t="s">
        <v>215</v>
      </c>
      <c r="P90" s="24">
        <f t="shared" si="10"/>
        <v>439</v>
      </c>
      <c r="Q90" s="24">
        <f t="shared" si="11"/>
        <v>9</v>
      </c>
      <c r="R90" s="24">
        <f t="shared" si="12"/>
        <v>2</v>
      </c>
      <c r="S90" s="24">
        <f t="shared" si="13"/>
        <v>0</v>
      </c>
      <c r="T90" s="24">
        <f t="shared" si="14"/>
        <v>450</v>
      </c>
      <c r="U90" s="27">
        <f t="shared" si="15"/>
        <v>0.97555555555555551</v>
      </c>
      <c r="V90" s="27">
        <f t="shared" si="16"/>
        <v>0.02</v>
      </c>
      <c r="W90" s="27">
        <f t="shared" si="17"/>
        <v>4.4444444444444444E-3</v>
      </c>
      <c r="X90" s="27">
        <f t="shared" si="18"/>
        <v>0</v>
      </c>
      <c r="Y90" s="25">
        <f t="shared" si="19"/>
        <v>64.597777777777779</v>
      </c>
    </row>
    <row r="91" spans="1:25" x14ac:dyDescent="0.25">
      <c r="A91" s="24" t="s">
        <v>271</v>
      </c>
      <c r="B91" s="24" t="s">
        <v>272</v>
      </c>
      <c r="C91" s="24" t="s">
        <v>180</v>
      </c>
      <c r="D91" s="24">
        <v>2</v>
      </c>
      <c r="E91" s="24"/>
      <c r="F91" s="24">
        <v>1</v>
      </c>
      <c r="G91" s="24"/>
      <c r="H91" s="24">
        <v>1</v>
      </c>
      <c r="I91" s="24"/>
      <c r="J91" s="24"/>
      <c r="K91" s="24">
        <v>619</v>
      </c>
      <c r="L91" s="24"/>
      <c r="M91" s="24">
        <v>621</v>
      </c>
      <c r="N91" s="25">
        <v>34.0402576489533</v>
      </c>
      <c r="O91" s="24" t="s">
        <v>215</v>
      </c>
      <c r="P91" s="24">
        <f t="shared" si="10"/>
        <v>619</v>
      </c>
      <c r="Q91" s="24">
        <f t="shared" si="11"/>
        <v>1</v>
      </c>
      <c r="R91" s="24">
        <f t="shared" si="12"/>
        <v>0</v>
      </c>
      <c r="S91" s="24">
        <f t="shared" si="13"/>
        <v>1</v>
      </c>
      <c r="T91" s="24">
        <f t="shared" si="14"/>
        <v>621</v>
      </c>
      <c r="U91" s="27">
        <f t="shared" si="15"/>
        <v>0.9967793880837359</v>
      </c>
      <c r="V91" s="27">
        <f t="shared" si="16"/>
        <v>1.6103059581320451E-3</v>
      </c>
      <c r="W91" s="27">
        <f t="shared" si="17"/>
        <v>0</v>
      </c>
      <c r="X91" s="27">
        <f t="shared" si="18"/>
        <v>1.6103059581320451E-3</v>
      </c>
      <c r="Y91" s="25">
        <f t="shared" si="19"/>
        <v>34.0402576489533</v>
      </c>
    </row>
    <row r="92" spans="1:25" x14ac:dyDescent="0.25">
      <c r="A92" s="24" t="s">
        <v>273</v>
      </c>
      <c r="B92" s="24" t="s">
        <v>274</v>
      </c>
      <c r="C92" s="24" t="s">
        <v>182</v>
      </c>
      <c r="D92" s="24">
        <v>1</v>
      </c>
      <c r="E92" s="24"/>
      <c r="F92" s="24"/>
      <c r="G92" s="24"/>
      <c r="H92" s="24">
        <v>370</v>
      </c>
      <c r="I92" s="24">
        <v>34</v>
      </c>
      <c r="J92" s="24"/>
      <c r="K92" s="24">
        <v>46</v>
      </c>
      <c r="L92" s="24"/>
      <c r="M92" s="24">
        <v>450</v>
      </c>
      <c r="N92" s="25">
        <v>72.055555555555557</v>
      </c>
      <c r="O92" s="24" t="s">
        <v>215</v>
      </c>
      <c r="P92" s="24">
        <f t="shared" si="10"/>
        <v>46</v>
      </c>
      <c r="Q92" s="24">
        <f t="shared" si="11"/>
        <v>370</v>
      </c>
      <c r="R92" s="24">
        <f t="shared" si="12"/>
        <v>34</v>
      </c>
      <c r="S92" s="24">
        <f t="shared" si="13"/>
        <v>0</v>
      </c>
      <c r="T92" s="24">
        <f t="shared" si="14"/>
        <v>450</v>
      </c>
      <c r="U92" s="27">
        <f t="shared" si="15"/>
        <v>0.10222222222222223</v>
      </c>
      <c r="V92" s="27">
        <f t="shared" si="16"/>
        <v>0.82222222222222219</v>
      </c>
      <c r="W92" s="27">
        <f t="shared" si="17"/>
        <v>7.5555555555555556E-2</v>
      </c>
      <c r="X92" s="27">
        <f t="shared" si="18"/>
        <v>0</v>
      </c>
      <c r="Y92" s="25">
        <f t="shared" si="19"/>
        <v>72.055555555555557</v>
      </c>
    </row>
    <row r="93" spans="1:25" x14ac:dyDescent="0.25">
      <c r="A93" s="24" t="s">
        <v>273</v>
      </c>
      <c r="B93" s="24" t="s">
        <v>274</v>
      </c>
      <c r="C93" s="24" t="s">
        <v>182</v>
      </c>
      <c r="D93" s="24">
        <v>2</v>
      </c>
      <c r="E93" s="24"/>
      <c r="F93" s="24"/>
      <c r="G93" s="24">
        <v>1</v>
      </c>
      <c r="H93" s="24">
        <v>334</v>
      </c>
      <c r="I93" s="24">
        <v>26</v>
      </c>
      <c r="J93" s="24"/>
      <c r="K93" s="24">
        <v>88</v>
      </c>
      <c r="L93" s="24">
        <v>1</v>
      </c>
      <c r="M93" s="24">
        <v>450</v>
      </c>
      <c r="N93" s="25">
        <v>62.922222222222224</v>
      </c>
      <c r="O93" s="24" t="s">
        <v>215</v>
      </c>
      <c r="P93" s="24">
        <f t="shared" si="10"/>
        <v>88</v>
      </c>
      <c r="Q93" s="24">
        <f t="shared" si="11"/>
        <v>334</v>
      </c>
      <c r="R93" s="24">
        <f t="shared" si="12"/>
        <v>26</v>
      </c>
      <c r="S93" s="24">
        <f t="shared" si="13"/>
        <v>2</v>
      </c>
      <c r="T93" s="24">
        <f t="shared" si="14"/>
        <v>450</v>
      </c>
      <c r="U93" s="27">
        <f t="shared" si="15"/>
        <v>0.19555555555555557</v>
      </c>
      <c r="V93" s="27">
        <f t="shared" si="16"/>
        <v>0.74222222222222223</v>
      </c>
      <c r="W93" s="27">
        <f t="shared" si="17"/>
        <v>5.7777777777777775E-2</v>
      </c>
      <c r="X93" s="27">
        <f t="shared" si="18"/>
        <v>4.4444444444444444E-3</v>
      </c>
      <c r="Y93" s="25">
        <f t="shared" si="19"/>
        <v>62.922222222222224</v>
      </c>
    </row>
    <row r="94" spans="1:25" x14ac:dyDescent="0.25">
      <c r="A94" s="24" t="s">
        <v>273</v>
      </c>
      <c r="B94" s="24" t="s">
        <v>274</v>
      </c>
      <c r="C94" s="24" t="s">
        <v>182</v>
      </c>
      <c r="D94" s="24">
        <v>3</v>
      </c>
      <c r="E94" s="24"/>
      <c r="F94" s="24">
        <v>1</v>
      </c>
      <c r="G94" s="24"/>
      <c r="H94" s="24">
        <v>472</v>
      </c>
      <c r="I94" s="24">
        <v>25</v>
      </c>
      <c r="J94" s="24">
        <v>1</v>
      </c>
      <c r="K94" s="24">
        <v>107</v>
      </c>
      <c r="L94" s="24"/>
      <c r="M94" s="24">
        <v>606</v>
      </c>
      <c r="N94" s="25">
        <v>51.777227722772274</v>
      </c>
      <c r="O94" s="24" t="s">
        <v>215</v>
      </c>
      <c r="P94" s="24">
        <f t="shared" si="10"/>
        <v>107</v>
      </c>
      <c r="Q94" s="24">
        <f t="shared" si="11"/>
        <v>472</v>
      </c>
      <c r="R94" s="24">
        <f t="shared" si="12"/>
        <v>25</v>
      </c>
      <c r="S94" s="24">
        <f t="shared" si="13"/>
        <v>2</v>
      </c>
      <c r="T94" s="24">
        <f t="shared" si="14"/>
        <v>606</v>
      </c>
      <c r="U94" s="27">
        <f t="shared" si="15"/>
        <v>0.17656765676567657</v>
      </c>
      <c r="V94" s="27">
        <f t="shared" si="16"/>
        <v>0.77887788778877887</v>
      </c>
      <c r="W94" s="27">
        <f t="shared" si="17"/>
        <v>4.1254125412541254E-2</v>
      </c>
      <c r="X94" s="27">
        <f t="shared" si="18"/>
        <v>3.3003300330033004E-3</v>
      </c>
      <c r="Y94" s="25">
        <f t="shared" si="19"/>
        <v>51.777227722772274</v>
      </c>
    </row>
    <row r="95" spans="1:25" x14ac:dyDescent="0.25">
      <c r="A95" s="24" t="s">
        <v>273</v>
      </c>
      <c r="B95" s="24" t="s">
        <v>274</v>
      </c>
      <c r="C95" s="24" t="s">
        <v>182</v>
      </c>
      <c r="D95" s="24">
        <v>4</v>
      </c>
      <c r="E95" s="24"/>
      <c r="F95" s="24"/>
      <c r="G95" s="24"/>
      <c r="H95" s="24">
        <v>416</v>
      </c>
      <c r="I95" s="24">
        <v>44</v>
      </c>
      <c r="J95" s="24"/>
      <c r="K95" s="24">
        <v>146</v>
      </c>
      <c r="L95" s="24"/>
      <c r="M95" s="24">
        <v>606</v>
      </c>
      <c r="N95" s="25">
        <v>41.965346534653463</v>
      </c>
      <c r="O95" s="24" t="s">
        <v>215</v>
      </c>
      <c r="P95" s="24">
        <f t="shared" si="10"/>
        <v>146</v>
      </c>
      <c r="Q95" s="24">
        <f t="shared" si="11"/>
        <v>416</v>
      </c>
      <c r="R95" s="24">
        <f t="shared" si="12"/>
        <v>44</v>
      </c>
      <c r="S95" s="24">
        <f t="shared" si="13"/>
        <v>0</v>
      </c>
      <c r="T95" s="24">
        <f t="shared" si="14"/>
        <v>606</v>
      </c>
      <c r="U95" s="27">
        <f t="shared" si="15"/>
        <v>0.24092409240924093</v>
      </c>
      <c r="V95" s="27">
        <f t="shared" si="16"/>
        <v>0.68646864686468645</v>
      </c>
      <c r="W95" s="27">
        <f t="shared" si="17"/>
        <v>7.2607260726072612E-2</v>
      </c>
      <c r="X95" s="27">
        <f t="shared" si="18"/>
        <v>0</v>
      </c>
      <c r="Y95" s="25">
        <f t="shared" si="19"/>
        <v>41.965346534653463</v>
      </c>
    </row>
    <row r="96" spans="1:25" x14ac:dyDescent="0.25">
      <c r="A96" s="24" t="s">
        <v>273</v>
      </c>
      <c r="B96" s="24" t="s">
        <v>274</v>
      </c>
      <c r="C96" s="24" t="s">
        <v>182</v>
      </c>
      <c r="D96" s="24">
        <v>5</v>
      </c>
      <c r="E96" s="24"/>
      <c r="F96" s="24"/>
      <c r="G96" s="24"/>
      <c r="H96" s="24">
        <v>338</v>
      </c>
      <c r="I96" s="24">
        <v>36</v>
      </c>
      <c r="J96" s="24"/>
      <c r="K96" s="24">
        <v>233</v>
      </c>
      <c r="L96" s="24"/>
      <c r="M96" s="24">
        <v>607</v>
      </c>
      <c r="N96" s="25">
        <v>34.222405271828663</v>
      </c>
      <c r="O96" s="24" t="s">
        <v>215</v>
      </c>
      <c r="P96" s="24">
        <f t="shared" si="10"/>
        <v>233</v>
      </c>
      <c r="Q96" s="24">
        <f t="shared" si="11"/>
        <v>338</v>
      </c>
      <c r="R96" s="24">
        <f t="shared" si="12"/>
        <v>36</v>
      </c>
      <c r="S96" s="24">
        <f t="shared" si="13"/>
        <v>0</v>
      </c>
      <c r="T96" s="24">
        <f t="shared" si="14"/>
        <v>607</v>
      </c>
      <c r="U96" s="27">
        <f t="shared" si="15"/>
        <v>0.38385502471169686</v>
      </c>
      <c r="V96" s="27">
        <f t="shared" si="16"/>
        <v>0.55683690280065901</v>
      </c>
      <c r="W96" s="27">
        <f t="shared" si="17"/>
        <v>5.9308072487644151E-2</v>
      </c>
      <c r="X96" s="27">
        <f t="shared" si="18"/>
        <v>0</v>
      </c>
      <c r="Y96" s="25">
        <f t="shared" si="19"/>
        <v>34.222405271828663</v>
      </c>
    </row>
    <row r="97" spans="1:25" x14ac:dyDescent="0.25">
      <c r="A97" s="24" t="s">
        <v>273</v>
      </c>
      <c r="B97" s="24" t="s">
        <v>274</v>
      </c>
      <c r="C97" s="24" t="s">
        <v>182</v>
      </c>
      <c r="D97" s="24">
        <v>6</v>
      </c>
      <c r="E97" s="24"/>
      <c r="F97" s="24"/>
      <c r="G97" s="24"/>
      <c r="H97" s="24">
        <v>308</v>
      </c>
      <c r="I97" s="24">
        <v>28</v>
      </c>
      <c r="J97" s="24"/>
      <c r="K97" s="24">
        <v>271</v>
      </c>
      <c r="L97" s="24"/>
      <c r="M97" s="24">
        <v>607</v>
      </c>
      <c r="N97" s="25">
        <v>27.331136738056014</v>
      </c>
      <c r="O97" s="24" t="s">
        <v>215</v>
      </c>
      <c r="P97" s="24">
        <f t="shared" si="10"/>
        <v>271</v>
      </c>
      <c r="Q97" s="24">
        <f t="shared" si="11"/>
        <v>308</v>
      </c>
      <c r="R97" s="24">
        <f t="shared" si="12"/>
        <v>28</v>
      </c>
      <c r="S97" s="24">
        <f t="shared" si="13"/>
        <v>0</v>
      </c>
      <c r="T97" s="24">
        <f t="shared" si="14"/>
        <v>607</v>
      </c>
      <c r="U97" s="27">
        <f t="shared" si="15"/>
        <v>0.44645799011532128</v>
      </c>
      <c r="V97" s="27">
        <f t="shared" si="16"/>
        <v>0.5074135090609555</v>
      </c>
      <c r="W97" s="27">
        <f t="shared" si="17"/>
        <v>4.6128500823723231E-2</v>
      </c>
      <c r="X97" s="27">
        <f t="shared" si="18"/>
        <v>0</v>
      </c>
      <c r="Y97" s="25">
        <f t="shared" si="19"/>
        <v>27.331136738056014</v>
      </c>
    </row>
    <row r="98" spans="1:25" x14ac:dyDescent="0.25">
      <c r="A98" s="24" t="s">
        <v>273</v>
      </c>
      <c r="B98" s="24" t="s">
        <v>274</v>
      </c>
      <c r="C98" s="24" t="s">
        <v>182</v>
      </c>
      <c r="D98" s="24">
        <v>7</v>
      </c>
      <c r="E98" s="24"/>
      <c r="F98" s="24"/>
      <c r="G98" s="24"/>
      <c r="H98" s="24">
        <v>218</v>
      </c>
      <c r="I98" s="24">
        <v>27</v>
      </c>
      <c r="J98" s="24"/>
      <c r="K98" s="24">
        <v>362</v>
      </c>
      <c r="L98" s="24"/>
      <c r="M98" s="24">
        <v>607</v>
      </c>
      <c r="N98" s="25">
        <v>21.187808896210875</v>
      </c>
      <c r="O98" s="24" t="s">
        <v>215</v>
      </c>
      <c r="P98" s="24">
        <f t="shared" si="10"/>
        <v>362</v>
      </c>
      <c r="Q98" s="24">
        <f t="shared" si="11"/>
        <v>218</v>
      </c>
      <c r="R98" s="24">
        <f t="shared" si="12"/>
        <v>27</v>
      </c>
      <c r="S98" s="24">
        <f t="shared" si="13"/>
        <v>0</v>
      </c>
      <c r="T98" s="24">
        <f t="shared" si="14"/>
        <v>607</v>
      </c>
      <c r="U98" s="27">
        <f t="shared" si="15"/>
        <v>0.59637561779242176</v>
      </c>
      <c r="V98" s="27">
        <f t="shared" si="16"/>
        <v>0.35914332784184516</v>
      </c>
      <c r="W98" s="27">
        <f t="shared" si="17"/>
        <v>4.4481054365733116E-2</v>
      </c>
      <c r="X98" s="27">
        <f t="shared" si="18"/>
        <v>0</v>
      </c>
      <c r="Y98" s="25">
        <f t="shared" si="19"/>
        <v>21.187808896210875</v>
      </c>
    </row>
    <row r="99" spans="1:25" x14ac:dyDescent="0.25">
      <c r="A99" s="24" t="s">
        <v>275</v>
      </c>
      <c r="B99" s="24" t="s">
        <v>276</v>
      </c>
      <c r="C99" s="24" t="s">
        <v>184</v>
      </c>
      <c r="D99" s="24">
        <v>1</v>
      </c>
      <c r="E99" s="24"/>
      <c r="F99" s="24"/>
      <c r="G99" s="24">
        <v>1</v>
      </c>
      <c r="H99" s="24"/>
      <c r="I99" s="24">
        <v>1</v>
      </c>
      <c r="J99" s="24"/>
      <c r="K99" s="24">
        <v>432</v>
      </c>
      <c r="L99" s="24"/>
      <c r="M99" s="24">
        <v>434</v>
      </c>
      <c r="N99" s="25">
        <v>62.527649769585253</v>
      </c>
      <c r="O99" s="24" t="s">
        <v>215</v>
      </c>
      <c r="P99" s="24">
        <f t="shared" si="10"/>
        <v>432</v>
      </c>
      <c r="Q99" s="24">
        <f t="shared" si="11"/>
        <v>0</v>
      </c>
      <c r="R99" s="24">
        <f t="shared" si="12"/>
        <v>1</v>
      </c>
      <c r="S99" s="24">
        <f t="shared" si="13"/>
        <v>1</v>
      </c>
      <c r="T99" s="24">
        <f t="shared" si="14"/>
        <v>434</v>
      </c>
      <c r="U99" s="27">
        <f t="shared" si="15"/>
        <v>0.99539170506912444</v>
      </c>
      <c r="V99" s="27">
        <f t="shared" si="16"/>
        <v>0</v>
      </c>
      <c r="W99" s="27">
        <f t="shared" si="17"/>
        <v>2.304147465437788E-3</v>
      </c>
      <c r="X99" s="27">
        <f t="shared" si="18"/>
        <v>2.304147465437788E-3</v>
      </c>
      <c r="Y99" s="25">
        <f t="shared" si="19"/>
        <v>62.527649769585253</v>
      </c>
    </row>
    <row r="100" spans="1:25" x14ac:dyDescent="0.25">
      <c r="A100" s="24" t="s">
        <v>275</v>
      </c>
      <c r="B100" s="24" t="s">
        <v>276</v>
      </c>
      <c r="C100" s="24" t="s">
        <v>184</v>
      </c>
      <c r="D100" s="24">
        <v>2</v>
      </c>
      <c r="E100" s="24"/>
      <c r="F100" s="24"/>
      <c r="G100" s="24"/>
      <c r="H100" s="24"/>
      <c r="I100" s="24"/>
      <c r="J100" s="24"/>
      <c r="K100" s="24">
        <v>434</v>
      </c>
      <c r="L100" s="24"/>
      <c r="M100" s="24">
        <v>434</v>
      </c>
      <c r="N100" s="25">
        <v>32.905529953917053</v>
      </c>
      <c r="O100" s="24" t="s">
        <v>215</v>
      </c>
      <c r="P100" s="24">
        <f t="shared" si="10"/>
        <v>434</v>
      </c>
      <c r="Q100" s="24">
        <f t="shared" si="11"/>
        <v>0</v>
      </c>
      <c r="R100" s="24">
        <f t="shared" si="12"/>
        <v>0</v>
      </c>
      <c r="S100" s="24">
        <f t="shared" si="13"/>
        <v>0</v>
      </c>
      <c r="T100" s="24">
        <f t="shared" si="14"/>
        <v>434</v>
      </c>
      <c r="U100" s="27">
        <f t="shared" si="15"/>
        <v>1</v>
      </c>
      <c r="V100" s="27">
        <f t="shared" si="16"/>
        <v>0</v>
      </c>
      <c r="W100" s="27">
        <f t="shared" si="17"/>
        <v>0</v>
      </c>
      <c r="X100" s="27">
        <f t="shared" si="18"/>
        <v>0</v>
      </c>
      <c r="Y100" s="25">
        <f t="shared" si="19"/>
        <v>32.905529953917053</v>
      </c>
    </row>
    <row r="101" spans="1:25" x14ac:dyDescent="0.25">
      <c r="A101" s="24" t="s">
        <v>277</v>
      </c>
      <c r="B101" s="24" t="s">
        <v>278</v>
      </c>
      <c r="C101" s="24" t="s">
        <v>186</v>
      </c>
      <c r="D101" s="24">
        <v>1</v>
      </c>
      <c r="E101" s="24">
        <v>1</v>
      </c>
      <c r="F101" s="24"/>
      <c r="G101" s="24"/>
      <c r="H101" s="24">
        <v>35</v>
      </c>
      <c r="I101" s="24">
        <v>17</v>
      </c>
      <c r="J101" s="24"/>
      <c r="K101" s="24">
        <v>396</v>
      </c>
      <c r="L101" s="24">
        <v>1</v>
      </c>
      <c r="M101" s="24">
        <v>450</v>
      </c>
      <c r="N101" s="25">
        <v>68.557777777777773</v>
      </c>
      <c r="O101" s="24" t="s">
        <v>215</v>
      </c>
      <c r="P101" s="24">
        <f t="shared" si="10"/>
        <v>396</v>
      </c>
      <c r="Q101" s="24">
        <f t="shared" si="11"/>
        <v>35</v>
      </c>
      <c r="R101" s="24">
        <f t="shared" si="12"/>
        <v>17</v>
      </c>
      <c r="S101" s="24">
        <f t="shared" si="13"/>
        <v>2</v>
      </c>
      <c r="T101" s="24">
        <f t="shared" si="14"/>
        <v>450</v>
      </c>
      <c r="U101" s="27">
        <f t="shared" si="15"/>
        <v>0.88</v>
      </c>
      <c r="V101" s="27">
        <f t="shared" si="16"/>
        <v>7.7777777777777779E-2</v>
      </c>
      <c r="W101" s="27">
        <f t="shared" si="17"/>
        <v>3.7777777777777778E-2</v>
      </c>
      <c r="X101" s="27">
        <f t="shared" si="18"/>
        <v>4.4444444444444444E-3</v>
      </c>
      <c r="Y101" s="25">
        <f t="shared" si="19"/>
        <v>68.557777777777773</v>
      </c>
    </row>
    <row r="102" spans="1:25" x14ac:dyDescent="0.25">
      <c r="A102" s="24" t="s">
        <v>277</v>
      </c>
      <c r="B102" s="24" t="s">
        <v>278</v>
      </c>
      <c r="C102" s="24" t="s">
        <v>186</v>
      </c>
      <c r="D102" s="24">
        <v>2</v>
      </c>
      <c r="E102" s="24">
        <v>1</v>
      </c>
      <c r="F102" s="24"/>
      <c r="G102" s="24"/>
      <c r="H102" s="24">
        <v>53</v>
      </c>
      <c r="I102" s="24">
        <v>22</v>
      </c>
      <c r="J102" s="24"/>
      <c r="K102" s="24">
        <v>367</v>
      </c>
      <c r="L102" s="24">
        <v>7</v>
      </c>
      <c r="M102" s="24">
        <v>450</v>
      </c>
      <c r="N102" s="25">
        <v>59.146666666666668</v>
      </c>
      <c r="O102" s="24" t="s">
        <v>215</v>
      </c>
      <c r="P102" s="24">
        <f t="shared" si="10"/>
        <v>367</v>
      </c>
      <c r="Q102" s="24">
        <f t="shared" si="11"/>
        <v>53</v>
      </c>
      <c r="R102" s="24">
        <f t="shared" si="12"/>
        <v>22</v>
      </c>
      <c r="S102" s="24">
        <f t="shared" si="13"/>
        <v>8</v>
      </c>
      <c r="T102" s="24">
        <f t="shared" si="14"/>
        <v>450</v>
      </c>
      <c r="U102" s="27">
        <f t="shared" si="15"/>
        <v>0.81555555555555559</v>
      </c>
      <c r="V102" s="27">
        <f t="shared" si="16"/>
        <v>0.11777777777777777</v>
      </c>
      <c r="W102" s="27">
        <f t="shared" si="17"/>
        <v>4.8888888888888891E-2</v>
      </c>
      <c r="X102" s="27">
        <f t="shared" si="18"/>
        <v>1.7777777777777778E-2</v>
      </c>
      <c r="Y102" s="25">
        <f t="shared" si="19"/>
        <v>59.146666666666668</v>
      </c>
    </row>
    <row r="103" spans="1:25" x14ac:dyDescent="0.25">
      <c r="A103" s="24" t="s">
        <v>277</v>
      </c>
      <c r="B103" s="24" t="s">
        <v>278</v>
      </c>
      <c r="C103" s="24" t="s">
        <v>186</v>
      </c>
      <c r="D103" s="24">
        <v>3</v>
      </c>
      <c r="E103" s="24"/>
      <c r="F103" s="24"/>
      <c r="G103" s="24"/>
      <c r="H103" s="24">
        <v>126</v>
      </c>
      <c r="I103" s="24">
        <v>36</v>
      </c>
      <c r="J103" s="24">
        <v>1</v>
      </c>
      <c r="K103" s="24">
        <v>518</v>
      </c>
      <c r="L103" s="24">
        <v>14</v>
      </c>
      <c r="M103" s="24">
        <v>695</v>
      </c>
      <c r="N103" s="25">
        <v>47.120863309352515</v>
      </c>
      <c r="O103" s="24" t="s">
        <v>215</v>
      </c>
      <c r="P103" s="24">
        <f t="shared" si="10"/>
        <v>518</v>
      </c>
      <c r="Q103" s="24">
        <f t="shared" si="11"/>
        <v>126</v>
      </c>
      <c r="R103" s="24">
        <f t="shared" si="12"/>
        <v>36</v>
      </c>
      <c r="S103" s="24">
        <f t="shared" si="13"/>
        <v>15</v>
      </c>
      <c r="T103" s="24">
        <f t="shared" si="14"/>
        <v>695</v>
      </c>
      <c r="U103" s="27">
        <f t="shared" si="15"/>
        <v>0.74532374100719423</v>
      </c>
      <c r="V103" s="27">
        <f t="shared" si="16"/>
        <v>0.18129496402877698</v>
      </c>
      <c r="W103" s="27">
        <f t="shared" si="17"/>
        <v>5.1798561151079135E-2</v>
      </c>
      <c r="X103" s="27">
        <f t="shared" si="18"/>
        <v>2.1582733812949641E-2</v>
      </c>
      <c r="Y103" s="25">
        <f t="shared" si="19"/>
        <v>47.120863309352515</v>
      </c>
    </row>
    <row r="104" spans="1:25" x14ac:dyDescent="0.25">
      <c r="A104" s="24" t="s">
        <v>277</v>
      </c>
      <c r="B104" s="24" t="s">
        <v>278</v>
      </c>
      <c r="C104" s="24" t="s">
        <v>186</v>
      </c>
      <c r="D104" s="24">
        <v>4</v>
      </c>
      <c r="E104" s="24">
        <v>6</v>
      </c>
      <c r="F104" s="24"/>
      <c r="G104" s="24"/>
      <c r="H104" s="24">
        <v>99</v>
      </c>
      <c r="I104" s="24">
        <v>13</v>
      </c>
      <c r="J104" s="24">
        <v>1</v>
      </c>
      <c r="K104" s="24">
        <v>567</v>
      </c>
      <c r="L104" s="24">
        <v>9</v>
      </c>
      <c r="M104" s="24">
        <v>695</v>
      </c>
      <c r="N104" s="25">
        <v>34.958273381294966</v>
      </c>
      <c r="O104" s="24" t="s">
        <v>215</v>
      </c>
      <c r="P104" s="24">
        <f t="shared" si="10"/>
        <v>567</v>
      </c>
      <c r="Q104" s="24">
        <f t="shared" si="11"/>
        <v>99</v>
      </c>
      <c r="R104" s="24">
        <f t="shared" si="12"/>
        <v>13</v>
      </c>
      <c r="S104" s="24">
        <f t="shared" si="13"/>
        <v>16</v>
      </c>
      <c r="T104" s="24">
        <f t="shared" si="14"/>
        <v>695</v>
      </c>
      <c r="U104" s="27">
        <f t="shared" si="15"/>
        <v>0.81582733812949637</v>
      </c>
      <c r="V104" s="27">
        <f t="shared" si="16"/>
        <v>0.14244604316546763</v>
      </c>
      <c r="W104" s="27">
        <f t="shared" si="17"/>
        <v>1.870503597122302E-2</v>
      </c>
      <c r="X104" s="27">
        <f t="shared" si="18"/>
        <v>2.302158273381295E-2</v>
      </c>
      <c r="Y104" s="25">
        <f t="shared" si="19"/>
        <v>34.958273381294966</v>
      </c>
    </row>
    <row r="105" spans="1:25" x14ac:dyDescent="0.25">
      <c r="A105" s="24" t="s">
        <v>277</v>
      </c>
      <c r="B105" s="24" t="s">
        <v>278</v>
      </c>
      <c r="C105" s="24" t="s">
        <v>186</v>
      </c>
      <c r="D105" s="24">
        <v>5</v>
      </c>
      <c r="E105" s="24">
        <v>8</v>
      </c>
      <c r="F105" s="24"/>
      <c r="G105" s="24"/>
      <c r="H105" s="24">
        <v>87</v>
      </c>
      <c r="I105" s="24">
        <v>32</v>
      </c>
      <c r="J105" s="24"/>
      <c r="K105" s="24">
        <v>564</v>
      </c>
      <c r="L105" s="24">
        <v>4</v>
      </c>
      <c r="M105" s="24">
        <v>695</v>
      </c>
      <c r="N105" s="25">
        <v>23.943884892086331</v>
      </c>
      <c r="O105" s="24" t="s">
        <v>215</v>
      </c>
      <c r="P105" s="24">
        <f t="shared" si="10"/>
        <v>564</v>
      </c>
      <c r="Q105" s="24">
        <f t="shared" si="11"/>
        <v>87</v>
      </c>
      <c r="R105" s="24">
        <f t="shared" si="12"/>
        <v>32</v>
      </c>
      <c r="S105" s="24">
        <f t="shared" si="13"/>
        <v>12</v>
      </c>
      <c r="T105" s="24">
        <f t="shared" si="14"/>
        <v>695</v>
      </c>
      <c r="U105" s="27">
        <f t="shared" si="15"/>
        <v>0.81151079136690651</v>
      </c>
      <c r="V105" s="27">
        <f t="shared" si="16"/>
        <v>0.1251798561151079</v>
      </c>
      <c r="W105" s="27">
        <f t="shared" si="17"/>
        <v>4.60431654676259E-2</v>
      </c>
      <c r="X105" s="27">
        <f t="shared" si="18"/>
        <v>1.7266187050359712E-2</v>
      </c>
      <c r="Y105" s="25">
        <f t="shared" si="19"/>
        <v>23.943884892086331</v>
      </c>
    </row>
    <row r="106" spans="1:25" x14ac:dyDescent="0.25">
      <c r="A106" s="24" t="s">
        <v>279</v>
      </c>
      <c r="B106" s="24" t="s">
        <v>280</v>
      </c>
      <c r="C106" s="24" t="s">
        <v>188</v>
      </c>
      <c r="D106" s="24">
        <v>1</v>
      </c>
      <c r="E106" s="24"/>
      <c r="F106" s="24"/>
      <c r="G106" s="24">
        <v>1</v>
      </c>
      <c r="H106" s="24">
        <v>252</v>
      </c>
      <c r="I106" s="24">
        <v>63</v>
      </c>
      <c r="J106" s="24">
        <v>2</v>
      </c>
      <c r="K106" s="24">
        <v>132</v>
      </c>
      <c r="L106" s="24"/>
      <c r="M106" s="24">
        <v>450</v>
      </c>
      <c r="N106" s="25">
        <v>73.277777777777771</v>
      </c>
      <c r="O106" s="24" t="s">
        <v>215</v>
      </c>
      <c r="P106" s="24">
        <f t="shared" si="10"/>
        <v>132</v>
      </c>
      <c r="Q106" s="24">
        <f t="shared" si="11"/>
        <v>252</v>
      </c>
      <c r="R106" s="24">
        <f t="shared" si="12"/>
        <v>63</v>
      </c>
      <c r="S106" s="24">
        <f t="shared" si="13"/>
        <v>3</v>
      </c>
      <c r="T106" s="24">
        <f t="shared" si="14"/>
        <v>450</v>
      </c>
      <c r="U106" s="27">
        <f t="shared" si="15"/>
        <v>0.29333333333333333</v>
      </c>
      <c r="V106" s="27">
        <f t="shared" si="16"/>
        <v>0.56000000000000005</v>
      </c>
      <c r="W106" s="27">
        <f t="shared" si="17"/>
        <v>0.14000000000000001</v>
      </c>
      <c r="X106" s="27">
        <f t="shared" si="18"/>
        <v>6.6666666666666671E-3</v>
      </c>
      <c r="Y106" s="25">
        <f t="shared" si="19"/>
        <v>73.277777777777771</v>
      </c>
    </row>
    <row r="107" spans="1:25" x14ac:dyDescent="0.25">
      <c r="A107" s="24" t="s">
        <v>279</v>
      </c>
      <c r="B107" s="24" t="s">
        <v>280</v>
      </c>
      <c r="C107" s="24" t="s">
        <v>188</v>
      </c>
      <c r="D107" s="24">
        <v>2</v>
      </c>
      <c r="E107" s="24"/>
      <c r="F107" s="24">
        <v>1</v>
      </c>
      <c r="G107" s="24"/>
      <c r="H107" s="24">
        <v>186</v>
      </c>
      <c r="I107" s="24">
        <v>50</v>
      </c>
      <c r="J107" s="24">
        <v>1</v>
      </c>
      <c r="K107" s="24">
        <v>212</v>
      </c>
      <c r="L107" s="24"/>
      <c r="M107" s="24">
        <v>450</v>
      </c>
      <c r="N107" s="25">
        <v>58.373333333333335</v>
      </c>
      <c r="O107" s="24" t="s">
        <v>215</v>
      </c>
      <c r="P107" s="24">
        <f t="shared" si="10"/>
        <v>212</v>
      </c>
      <c r="Q107" s="24">
        <f t="shared" si="11"/>
        <v>186</v>
      </c>
      <c r="R107" s="24">
        <f t="shared" si="12"/>
        <v>50</v>
      </c>
      <c r="S107" s="24">
        <f t="shared" si="13"/>
        <v>2</v>
      </c>
      <c r="T107" s="24">
        <f t="shared" si="14"/>
        <v>450</v>
      </c>
      <c r="U107" s="27">
        <f t="shared" si="15"/>
        <v>0.47111111111111109</v>
      </c>
      <c r="V107" s="27">
        <f t="shared" si="16"/>
        <v>0.41333333333333333</v>
      </c>
      <c r="W107" s="27">
        <f t="shared" si="17"/>
        <v>0.1111111111111111</v>
      </c>
      <c r="X107" s="27">
        <f t="shared" si="18"/>
        <v>4.4444444444444444E-3</v>
      </c>
      <c r="Y107" s="25">
        <f t="shared" si="19"/>
        <v>58.373333333333335</v>
      </c>
    </row>
    <row r="108" spans="1:25" x14ac:dyDescent="0.25">
      <c r="A108" s="24" t="s">
        <v>279</v>
      </c>
      <c r="B108" s="24" t="s">
        <v>280</v>
      </c>
      <c r="C108" s="24" t="s">
        <v>188</v>
      </c>
      <c r="D108" s="24">
        <v>3</v>
      </c>
      <c r="E108" s="24"/>
      <c r="F108" s="24"/>
      <c r="G108" s="24"/>
      <c r="H108" s="24">
        <v>218</v>
      </c>
      <c r="I108" s="24">
        <v>14</v>
      </c>
      <c r="J108" s="24"/>
      <c r="K108" s="24">
        <v>231</v>
      </c>
      <c r="L108" s="24"/>
      <c r="M108" s="24">
        <v>463</v>
      </c>
      <c r="N108" s="25">
        <v>41.557235421166304</v>
      </c>
      <c r="O108" s="24" t="s">
        <v>215</v>
      </c>
      <c r="P108" s="24">
        <f t="shared" si="10"/>
        <v>231</v>
      </c>
      <c r="Q108" s="24">
        <f t="shared" si="11"/>
        <v>218</v>
      </c>
      <c r="R108" s="24">
        <f t="shared" si="12"/>
        <v>14</v>
      </c>
      <c r="S108" s="24">
        <f t="shared" si="13"/>
        <v>0</v>
      </c>
      <c r="T108" s="24">
        <f t="shared" si="14"/>
        <v>463</v>
      </c>
      <c r="U108" s="27">
        <f t="shared" si="15"/>
        <v>0.49892008639308855</v>
      </c>
      <c r="V108" s="27">
        <f t="shared" si="16"/>
        <v>0.47084233261339092</v>
      </c>
      <c r="W108" s="27">
        <f t="shared" si="17"/>
        <v>3.0237580993520519E-2</v>
      </c>
      <c r="X108" s="27">
        <f t="shared" si="18"/>
        <v>0</v>
      </c>
      <c r="Y108" s="25">
        <f t="shared" si="19"/>
        <v>41.557235421166304</v>
      </c>
    </row>
    <row r="109" spans="1:25" x14ac:dyDescent="0.25">
      <c r="A109" s="24" t="s">
        <v>279</v>
      </c>
      <c r="B109" s="24" t="s">
        <v>280</v>
      </c>
      <c r="C109" s="24" t="s">
        <v>188</v>
      </c>
      <c r="D109" s="24">
        <v>4</v>
      </c>
      <c r="E109" s="24">
        <v>1</v>
      </c>
      <c r="F109" s="24"/>
      <c r="G109" s="24"/>
      <c r="H109" s="24">
        <v>156</v>
      </c>
      <c r="I109" s="24">
        <v>15</v>
      </c>
      <c r="J109" s="24"/>
      <c r="K109" s="24">
        <v>291</v>
      </c>
      <c r="L109" s="24"/>
      <c r="M109" s="24">
        <v>463</v>
      </c>
      <c r="N109" s="25">
        <v>25.900647948164146</v>
      </c>
      <c r="O109" s="24" t="s">
        <v>215</v>
      </c>
      <c r="P109" s="24">
        <f t="shared" si="10"/>
        <v>291</v>
      </c>
      <c r="Q109" s="24">
        <f t="shared" si="11"/>
        <v>156</v>
      </c>
      <c r="R109" s="24">
        <f t="shared" si="12"/>
        <v>15</v>
      </c>
      <c r="S109" s="24">
        <f t="shared" si="13"/>
        <v>1</v>
      </c>
      <c r="T109" s="24">
        <f t="shared" si="14"/>
        <v>463</v>
      </c>
      <c r="U109" s="27">
        <f t="shared" si="15"/>
        <v>0.62850971922246224</v>
      </c>
      <c r="V109" s="27">
        <f t="shared" si="16"/>
        <v>0.33693304535637147</v>
      </c>
      <c r="W109" s="27">
        <f t="shared" si="17"/>
        <v>3.2397408207343416E-2</v>
      </c>
      <c r="X109" s="27">
        <f t="shared" si="18"/>
        <v>2.1598272138228943E-3</v>
      </c>
      <c r="Y109" s="25">
        <f t="shared" si="19"/>
        <v>25.900647948164146</v>
      </c>
    </row>
    <row r="110" spans="1:25" x14ac:dyDescent="0.25">
      <c r="A110" s="24" t="s">
        <v>281</v>
      </c>
      <c r="B110" s="24" t="s">
        <v>282</v>
      </c>
      <c r="C110" s="24" t="s">
        <v>190</v>
      </c>
      <c r="D110" s="24">
        <v>1</v>
      </c>
      <c r="E110" s="24"/>
      <c r="F110" s="24"/>
      <c r="G110" s="24"/>
      <c r="H110" s="24">
        <v>3</v>
      </c>
      <c r="I110" s="24">
        <v>4</v>
      </c>
      <c r="J110" s="24"/>
      <c r="K110" s="24">
        <v>422</v>
      </c>
      <c r="L110" s="24">
        <v>7</v>
      </c>
      <c r="M110" s="24">
        <v>436</v>
      </c>
      <c r="N110" s="25">
        <v>66.176605504587158</v>
      </c>
      <c r="O110" s="24" t="s">
        <v>215</v>
      </c>
      <c r="P110" s="24">
        <f t="shared" si="10"/>
        <v>422</v>
      </c>
      <c r="Q110" s="24">
        <f t="shared" si="11"/>
        <v>3</v>
      </c>
      <c r="R110" s="24">
        <f t="shared" si="12"/>
        <v>4</v>
      </c>
      <c r="S110" s="24">
        <f t="shared" si="13"/>
        <v>7</v>
      </c>
      <c r="T110" s="24">
        <f t="shared" si="14"/>
        <v>436</v>
      </c>
      <c r="U110" s="27">
        <f t="shared" si="15"/>
        <v>0.9678899082568807</v>
      </c>
      <c r="V110" s="27">
        <f t="shared" si="16"/>
        <v>6.8807339449541288E-3</v>
      </c>
      <c r="W110" s="27">
        <f t="shared" si="17"/>
        <v>9.1743119266055051E-3</v>
      </c>
      <c r="X110" s="27">
        <f t="shared" si="18"/>
        <v>1.6055045871559634E-2</v>
      </c>
      <c r="Y110" s="25">
        <f t="shared" si="19"/>
        <v>66.176605504587158</v>
      </c>
    </row>
    <row r="111" spans="1:25" x14ac:dyDescent="0.25">
      <c r="A111" s="24" t="s">
        <v>281</v>
      </c>
      <c r="B111" s="24" t="s">
        <v>282</v>
      </c>
      <c r="C111" s="24" t="s">
        <v>190</v>
      </c>
      <c r="D111" s="24">
        <v>2</v>
      </c>
      <c r="E111" s="24"/>
      <c r="F111" s="24">
        <v>1</v>
      </c>
      <c r="G111" s="24">
        <v>3</v>
      </c>
      <c r="H111" s="24">
        <v>1</v>
      </c>
      <c r="I111" s="24"/>
      <c r="J111" s="24"/>
      <c r="K111" s="24">
        <v>420</v>
      </c>
      <c r="L111" s="24">
        <v>11</v>
      </c>
      <c r="M111" s="24">
        <v>436</v>
      </c>
      <c r="N111" s="25">
        <v>45.571100917431195</v>
      </c>
      <c r="O111" s="24" t="s">
        <v>215</v>
      </c>
      <c r="P111" s="24">
        <f t="shared" si="10"/>
        <v>420</v>
      </c>
      <c r="Q111" s="24">
        <f t="shared" si="11"/>
        <v>1</v>
      </c>
      <c r="R111" s="24">
        <f t="shared" si="12"/>
        <v>0</v>
      </c>
      <c r="S111" s="24">
        <f t="shared" si="13"/>
        <v>15</v>
      </c>
      <c r="T111" s="24">
        <f t="shared" si="14"/>
        <v>436</v>
      </c>
      <c r="U111" s="27">
        <f t="shared" si="15"/>
        <v>0.96330275229357798</v>
      </c>
      <c r="V111" s="27">
        <f t="shared" si="16"/>
        <v>2.2935779816513763E-3</v>
      </c>
      <c r="W111" s="27">
        <f t="shared" si="17"/>
        <v>0</v>
      </c>
      <c r="X111" s="27">
        <f t="shared" si="18"/>
        <v>3.4403669724770644E-2</v>
      </c>
      <c r="Y111" s="25">
        <f t="shared" si="19"/>
        <v>45.571100917431195</v>
      </c>
    </row>
    <row r="112" spans="1:25" x14ac:dyDescent="0.25">
      <c r="A112" s="24" t="s">
        <v>281</v>
      </c>
      <c r="B112" s="24" t="s">
        <v>282</v>
      </c>
      <c r="C112" s="24" t="s">
        <v>190</v>
      </c>
      <c r="D112" s="24">
        <v>3</v>
      </c>
      <c r="E112" s="24">
        <v>1</v>
      </c>
      <c r="F112" s="24"/>
      <c r="G112" s="24"/>
      <c r="H112" s="24"/>
      <c r="I112" s="24">
        <v>5</v>
      </c>
      <c r="J112" s="24"/>
      <c r="K112" s="24">
        <v>423</v>
      </c>
      <c r="L112" s="24">
        <v>8</v>
      </c>
      <c r="M112" s="24">
        <v>437</v>
      </c>
      <c r="N112" s="25">
        <v>27.805491990846683</v>
      </c>
      <c r="O112" s="24" t="s">
        <v>215</v>
      </c>
      <c r="P112" s="24">
        <f t="shared" si="10"/>
        <v>423</v>
      </c>
      <c r="Q112" s="24">
        <f t="shared" si="11"/>
        <v>0</v>
      </c>
      <c r="R112" s="24">
        <f t="shared" si="12"/>
        <v>5</v>
      </c>
      <c r="S112" s="24">
        <f t="shared" si="13"/>
        <v>9</v>
      </c>
      <c r="T112" s="24">
        <f t="shared" si="14"/>
        <v>437</v>
      </c>
      <c r="U112" s="27">
        <f t="shared" si="15"/>
        <v>0.96796338672768878</v>
      </c>
      <c r="V112" s="27">
        <f t="shared" si="16"/>
        <v>0</v>
      </c>
      <c r="W112" s="27">
        <f t="shared" si="17"/>
        <v>1.1441647597254004E-2</v>
      </c>
      <c r="X112" s="27">
        <f t="shared" si="18"/>
        <v>2.0594965675057208E-2</v>
      </c>
      <c r="Y112" s="25">
        <f t="shared" si="19"/>
        <v>27.805491990846683</v>
      </c>
    </row>
    <row r="113" spans="1:25" x14ac:dyDescent="0.25">
      <c r="A113" s="24" t="s">
        <v>283</v>
      </c>
      <c r="B113" s="24" t="s">
        <v>284</v>
      </c>
      <c r="C113" s="24" t="s">
        <v>192</v>
      </c>
      <c r="D113" s="24">
        <v>1</v>
      </c>
      <c r="E113" s="24"/>
      <c r="F113" s="24"/>
      <c r="G113" s="24"/>
      <c r="H113" s="24"/>
      <c r="I113" s="24"/>
      <c r="J113" s="24"/>
      <c r="K113" s="24">
        <v>389</v>
      </c>
      <c r="L113" s="24">
        <v>29</v>
      </c>
      <c r="M113" s="24">
        <v>418</v>
      </c>
      <c r="N113" s="25">
        <v>61.155502392344495</v>
      </c>
      <c r="O113" s="24" t="s">
        <v>215</v>
      </c>
      <c r="P113" s="24">
        <f t="shared" si="10"/>
        <v>389</v>
      </c>
      <c r="Q113" s="24">
        <f t="shared" si="11"/>
        <v>0</v>
      </c>
      <c r="R113" s="24">
        <f t="shared" si="12"/>
        <v>0</v>
      </c>
      <c r="S113" s="24">
        <f t="shared" si="13"/>
        <v>29</v>
      </c>
      <c r="T113" s="24">
        <f t="shared" si="14"/>
        <v>418</v>
      </c>
      <c r="U113" s="27">
        <f t="shared" si="15"/>
        <v>0.93062200956937802</v>
      </c>
      <c r="V113" s="27">
        <f t="shared" si="16"/>
        <v>0</v>
      </c>
      <c r="W113" s="27">
        <f t="shared" si="17"/>
        <v>0</v>
      </c>
      <c r="X113" s="27">
        <f t="shared" si="18"/>
        <v>6.9377990430622011E-2</v>
      </c>
      <c r="Y113" s="25">
        <f t="shared" si="19"/>
        <v>61.155502392344495</v>
      </c>
    </row>
    <row r="114" spans="1:25" x14ac:dyDescent="0.25">
      <c r="A114" s="24" t="s">
        <v>283</v>
      </c>
      <c r="B114" s="24" t="s">
        <v>284</v>
      </c>
      <c r="C114" s="24" t="s">
        <v>192</v>
      </c>
      <c r="D114" s="24">
        <v>2</v>
      </c>
      <c r="E114" s="24">
        <v>20</v>
      </c>
      <c r="F114" s="24"/>
      <c r="G114" s="24"/>
      <c r="H114" s="24">
        <v>2</v>
      </c>
      <c r="I114" s="24">
        <v>3</v>
      </c>
      <c r="J114" s="24">
        <v>1</v>
      </c>
      <c r="K114" s="24">
        <v>360</v>
      </c>
      <c r="L114" s="24">
        <v>32</v>
      </c>
      <c r="M114" s="24">
        <v>418</v>
      </c>
      <c r="N114" s="25">
        <v>30.894736842105264</v>
      </c>
      <c r="O114" s="24" t="s">
        <v>215</v>
      </c>
      <c r="P114" s="24">
        <f t="shared" si="10"/>
        <v>360</v>
      </c>
      <c r="Q114" s="24">
        <f t="shared" si="11"/>
        <v>2</v>
      </c>
      <c r="R114" s="24">
        <f t="shared" si="12"/>
        <v>3</v>
      </c>
      <c r="S114" s="24">
        <f t="shared" si="13"/>
        <v>53</v>
      </c>
      <c r="T114" s="24">
        <f t="shared" si="14"/>
        <v>418</v>
      </c>
      <c r="U114" s="27">
        <f t="shared" si="15"/>
        <v>0.86124401913875603</v>
      </c>
      <c r="V114" s="27">
        <f t="shared" si="16"/>
        <v>4.7846889952153108E-3</v>
      </c>
      <c r="W114" s="27">
        <f t="shared" si="17"/>
        <v>7.1770334928229667E-3</v>
      </c>
      <c r="X114" s="27">
        <f t="shared" si="18"/>
        <v>0.12679425837320574</v>
      </c>
      <c r="Y114" s="25">
        <f t="shared" si="19"/>
        <v>30.894736842105264</v>
      </c>
    </row>
    <row r="115" spans="1:25" x14ac:dyDescent="0.25">
      <c r="A115" s="22"/>
      <c r="B115" s="22"/>
      <c r="C115" s="22"/>
      <c r="D115" s="22"/>
      <c r="E115" s="22">
        <v>317</v>
      </c>
      <c r="F115" s="22">
        <v>22</v>
      </c>
      <c r="G115" s="22">
        <v>35</v>
      </c>
      <c r="H115" s="22">
        <v>13911</v>
      </c>
      <c r="I115" s="22">
        <v>3354</v>
      </c>
      <c r="J115" s="22">
        <v>36</v>
      </c>
      <c r="K115" s="22">
        <v>39988</v>
      </c>
      <c r="L115" s="22">
        <v>1898</v>
      </c>
      <c r="M115" s="22">
        <v>59561</v>
      </c>
      <c r="N115" s="28">
        <v>45.304073122174231</v>
      </c>
      <c r="O115" s="22"/>
      <c r="P115" s="24">
        <v>39988</v>
      </c>
      <c r="Q115" s="24">
        <v>13911</v>
      </c>
      <c r="R115" s="24">
        <v>3354</v>
      </c>
      <c r="S115" s="24">
        <v>2308</v>
      </c>
      <c r="T115" s="24">
        <v>59561</v>
      </c>
      <c r="U115" s="27">
        <v>0.67137892244925368</v>
      </c>
      <c r="V115" s="27">
        <v>0.23355887241651416</v>
      </c>
      <c r="W115" s="27">
        <v>5.6312016252245599E-2</v>
      </c>
      <c r="X115" s="27">
        <v>3.8750188881986537E-2</v>
      </c>
      <c r="Y115" s="25">
        <v>45.304073122174231</v>
      </c>
    </row>
    <row r="117" spans="1:25" x14ac:dyDescent="0.25">
      <c r="A117" s="24" t="s">
        <v>238</v>
      </c>
      <c r="B117" s="24" t="s">
        <v>239</v>
      </c>
      <c r="C117" s="24" t="s">
        <v>240</v>
      </c>
      <c r="D117" s="24"/>
      <c r="E117" s="24"/>
      <c r="F117" s="24"/>
      <c r="G117" s="24"/>
      <c r="H117" s="24"/>
      <c r="I117" s="24"/>
      <c r="J117" s="24"/>
      <c r="K117" s="24">
        <v>1</v>
      </c>
      <c r="L117" s="24"/>
      <c r="M117" s="24">
        <v>1</v>
      </c>
      <c r="N117" s="25">
        <v>33</v>
      </c>
      <c r="O117" s="24" t="s">
        <v>215</v>
      </c>
      <c r="P117" s="24">
        <f>K117</f>
        <v>1</v>
      </c>
      <c r="Q117" s="24">
        <f t="shared" ref="Q117:R120" si="20">H117</f>
        <v>0</v>
      </c>
      <c r="R117" s="24">
        <f t="shared" si="20"/>
        <v>0</v>
      </c>
      <c r="S117" s="24">
        <f>M117-SUM(P117:R117)</f>
        <v>0</v>
      </c>
      <c r="T117" s="24">
        <f>SUM(P117:S117)</f>
        <v>1</v>
      </c>
      <c r="U117" s="27">
        <f>P117/M117</f>
        <v>1</v>
      </c>
      <c r="V117" s="27">
        <f>Q117/M117</f>
        <v>0</v>
      </c>
      <c r="W117" s="27">
        <f>R117/M117</f>
        <v>0</v>
      </c>
      <c r="X117" s="27">
        <f>S117/M117</f>
        <v>0</v>
      </c>
      <c r="Y117" s="25">
        <f>N117</f>
        <v>33</v>
      </c>
    </row>
    <row r="118" spans="1:25" x14ac:dyDescent="0.25">
      <c r="A118" s="24" t="s">
        <v>255</v>
      </c>
      <c r="B118" s="24" t="s">
        <v>256</v>
      </c>
      <c r="C118" s="24" t="s">
        <v>240</v>
      </c>
      <c r="D118" s="24"/>
      <c r="E118" s="24"/>
      <c r="F118" s="24"/>
      <c r="G118" s="24"/>
      <c r="H118" s="24"/>
      <c r="I118" s="24"/>
      <c r="J118" s="24"/>
      <c r="K118" s="24">
        <v>1</v>
      </c>
      <c r="L118" s="24"/>
      <c r="M118" s="24">
        <v>1</v>
      </c>
      <c r="N118" s="25">
        <v>41</v>
      </c>
      <c r="O118" s="24" t="s">
        <v>215</v>
      </c>
      <c r="P118" s="24">
        <f>K118</f>
        <v>1</v>
      </c>
      <c r="Q118" s="24">
        <f t="shared" si="20"/>
        <v>0</v>
      </c>
      <c r="R118" s="24">
        <f t="shared" si="20"/>
        <v>0</v>
      </c>
      <c r="S118" s="24">
        <f>M118-SUM(P118:R118)</f>
        <v>0</v>
      </c>
      <c r="T118" s="24">
        <f>SUM(P118:S118)</f>
        <v>1</v>
      </c>
      <c r="U118" s="27">
        <f>P118/M118</f>
        <v>1</v>
      </c>
      <c r="V118" s="27">
        <f>Q118/M118</f>
        <v>0</v>
      </c>
      <c r="W118" s="27">
        <f>R118/M118</f>
        <v>0</v>
      </c>
      <c r="X118" s="27">
        <f>S118/M118</f>
        <v>0</v>
      </c>
      <c r="Y118" s="25">
        <f>N118</f>
        <v>41</v>
      </c>
    </row>
    <row r="119" spans="1:25" x14ac:dyDescent="0.25">
      <c r="A119" s="24" t="s">
        <v>279</v>
      </c>
      <c r="B119" s="24" t="s">
        <v>280</v>
      </c>
      <c r="C119" s="24" t="s">
        <v>240</v>
      </c>
      <c r="D119" s="24"/>
      <c r="E119" s="24"/>
      <c r="F119" s="24"/>
      <c r="G119" s="24"/>
      <c r="H119" s="24"/>
      <c r="I119" s="24"/>
      <c r="J119" s="24"/>
      <c r="K119" s="24">
        <v>2</v>
      </c>
      <c r="L119" s="24"/>
      <c r="M119" s="24">
        <v>2</v>
      </c>
      <c r="N119" s="25">
        <v>39.5</v>
      </c>
      <c r="O119" s="24" t="s">
        <v>215</v>
      </c>
      <c r="P119" s="24">
        <f>K119</f>
        <v>2</v>
      </c>
      <c r="Q119" s="24">
        <f t="shared" si="20"/>
        <v>0</v>
      </c>
      <c r="R119" s="24">
        <f t="shared" si="20"/>
        <v>0</v>
      </c>
      <c r="S119" s="24">
        <f>M119-SUM(P119:R119)</f>
        <v>0</v>
      </c>
      <c r="T119" s="24">
        <f>SUM(P119:S119)</f>
        <v>2</v>
      </c>
      <c r="U119" s="27">
        <f>P119/M119</f>
        <v>1</v>
      </c>
      <c r="V119" s="27">
        <f>Q119/M119</f>
        <v>0</v>
      </c>
      <c r="W119" s="27">
        <f>R119/M119</f>
        <v>0</v>
      </c>
      <c r="X119" s="27">
        <f>S119/M119</f>
        <v>0</v>
      </c>
      <c r="Y119" s="25">
        <f>N119</f>
        <v>39.5</v>
      </c>
    </row>
    <row r="120" spans="1:25" x14ac:dyDescent="0.25">
      <c r="A120" s="22"/>
      <c r="B120" s="22"/>
      <c r="C120" s="30" t="s">
        <v>295</v>
      </c>
      <c r="D120" s="22"/>
      <c r="E120" s="22">
        <f>SUM(E117:E119)</f>
        <v>0</v>
      </c>
      <c r="F120" s="22">
        <f t="shared" ref="F120:M120" si="21">SUM(F117:F119)</f>
        <v>0</v>
      </c>
      <c r="G120" s="22">
        <f t="shared" si="21"/>
        <v>0</v>
      </c>
      <c r="H120" s="22">
        <f t="shared" si="21"/>
        <v>0</v>
      </c>
      <c r="I120" s="22">
        <f t="shared" si="21"/>
        <v>0</v>
      </c>
      <c r="J120" s="22">
        <f t="shared" si="21"/>
        <v>0</v>
      </c>
      <c r="K120" s="22">
        <f t="shared" si="21"/>
        <v>4</v>
      </c>
      <c r="L120" s="22">
        <f t="shared" si="21"/>
        <v>0</v>
      </c>
      <c r="M120" s="22">
        <f t="shared" si="21"/>
        <v>4</v>
      </c>
      <c r="N120" s="28">
        <f>AVERAGE(N117:N119)</f>
        <v>37.833333333333336</v>
      </c>
      <c r="O120" s="22"/>
      <c r="P120" s="24">
        <f>K120</f>
        <v>4</v>
      </c>
      <c r="Q120" s="24">
        <f t="shared" si="20"/>
        <v>0</v>
      </c>
      <c r="R120" s="24">
        <f t="shared" si="20"/>
        <v>0</v>
      </c>
      <c r="S120" s="24">
        <f>M120-SUM(P120:R120)</f>
        <v>0</v>
      </c>
      <c r="T120" s="24">
        <f>SUM(P120:S120)</f>
        <v>4</v>
      </c>
      <c r="U120" s="27">
        <f>P120/M120</f>
        <v>1</v>
      </c>
      <c r="V120" s="27">
        <f>Q120/M120</f>
        <v>0</v>
      </c>
      <c r="W120" s="27">
        <f>R120/M120</f>
        <v>0</v>
      </c>
      <c r="X120" s="27">
        <f>S120/M120</f>
        <v>0</v>
      </c>
      <c r="Y120" s="25">
        <f>N120</f>
        <v>37.833333333333336</v>
      </c>
    </row>
    <row r="122" spans="1:25" x14ac:dyDescent="0.25">
      <c r="A122" s="24" t="s">
        <v>218</v>
      </c>
      <c r="B122" s="24" t="s">
        <v>219</v>
      </c>
      <c r="C122" s="24" t="s">
        <v>111</v>
      </c>
      <c r="D122" s="24">
        <v>1</v>
      </c>
      <c r="E122" s="24"/>
      <c r="F122" s="24"/>
      <c r="G122" s="24"/>
      <c r="H122" s="24"/>
      <c r="I122" s="24"/>
      <c r="J122" s="24"/>
      <c r="K122" s="24">
        <v>10</v>
      </c>
      <c r="L122" s="24"/>
      <c r="M122" s="24">
        <v>10</v>
      </c>
      <c r="N122" s="25">
        <v>37.200000000000003</v>
      </c>
      <c r="O122" s="24" t="s">
        <v>215</v>
      </c>
      <c r="P122" s="24">
        <f t="shared" ref="P122:P134" si="22">K122</f>
        <v>10</v>
      </c>
      <c r="Q122" s="24">
        <f t="shared" ref="Q122:Q134" si="23">H122</f>
        <v>0</v>
      </c>
      <c r="R122" s="24">
        <f t="shared" ref="R122:R134" si="24">I122</f>
        <v>0</v>
      </c>
      <c r="S122" s="24">
        <f t="shared" ref="S122:S134" si="25">M122-SUM(P122:R122)</f>
        <v>0</v>
      </c>
      <c r="T122" s="24">
        <f t="shared" ref="T122:T134" si="26">SUM(P122:S122)</f>
        <v>10</v>
      </c>
      <c r="U122" s="27">
        <f t="shared" ref="U122:U134" si="27">P122/M122</f>
        <v>1</v>
      </c>
      <c r="V122" s="27">
        <f t="shared" ref="V122:V134" si="28">Q122/M122</f>
        <v>0</v>
      </c>
      <c r="W122" s="27">
        <f t="shared" ref="W122:W134" si="29">R122/M122</f>
        <v>0</v>
      </c>
      <c r="X122" s="27">
        <f t="shared" ref="X122:X134" si="30">S122/M122</f>
        <v>0</v>
      </c>
      <c r="Y122" s="25">
        <f t="shared" ref="Y122:Y134" si="31">N122</f>
        <v>37.200000000000003</v>
      </c>
    </row>
    <row r="123" spans="1:25" x14ac:dyDescent="0.25">
      <c r="A123" s="24" t="s">
        <v>220</v>
      </c>
      <c r="B123" s="24" t="s">
        <v>221</v>
      </c>
      <c r="C123" s="24" t="s">
        <v>111</v>
      </c>
      <c r="D123" s="24">
        <v>1</v>
      </c>
      <c r="E123" s="24"/>
      <c r="F123" s="24"/>
      <c r="G123" s="24">
        <v>1</v>
      </c>
      <c r="H123" s="24"/>
      <c r="I123" s="24"/>
      <c r="J123" s="24"/>
      <c r="K123" s="24">
        <v>3</v>
      </c>
      <c r="L123" s="24"/>
      <c r="M123" s="24">
        <v>4</v>
      </c>
      <c r="N123" s="25">
        <v>32.75</v>
      </c>
      <c r="O123" s="24" t="s">
        <v>215</v>
      </c>
      <c r="P123" s="24">
        <f t="shared" si="22"/>
        <v>3</v>
      </c>
      <c r="Q123" s="24">
        <f t="shared" si="23"/>
        <v>0</v>
      </c>
      <c r="R123" s="24">
        <f t="shared" si="24"/>
        <v>0</v>
      </c>
      <c r="S123" s="24">
        <f t="shared" si="25"/>
        <v>1</v>
      </c>
      <c r="T123" s="24">
        <f t="shared" si="26"/>
        <v>4</v>
      </c>
      <c r="U123" s="27">
        <f t="shared" si="27"/>
        <v>0.75</v>
      </c>
      <c r="V123" s="27">
        <f t="shared" si="28"/>
        <v>0</v>
      </c>
      <c r="W123" s="27">
        <f t="shared" si="29"/>
        <v>0</v>
      </c>
      <c r="X123" s="27">
        <f t="shared" si="30"/>
        <v>0.25</v>
      </c>
      <c r="Y123" s="25">
        <f t="shared" si="31"/>
        <v>32.75</v>
      </c>
    </row>
    <row r="124" spans="1:25" x14ac:dyDescent="0.25">
      <c r="A124" s="24" t="s">
        <v>222</v>
      </c>
      <c r="B124" s="24" t="s">
        <v>223</v>
      </c>
      <c r="C124" s="24" t="s">
        <v>111</v>
      </c>
      <c r="D124" s="24">
        <v>1</v>
      </c>
      <c r="E124" s="24">
        <v>1</v>
      </c>
      <c r="F124" s="24"/>
      <c r="G124" s="24">
        <v>1</v>
      </c>
      <c r="H124" s="24"/>
      <c r="I124" s="24">
        <v>1</v>
      </c>
      <c r="J124" s="24"/>
      <c r="K124" s="24">
        <v>9</v>
      </c>
      <c r="L124" s="24"/>
      <c r="M124" s="24">
        <v>12</v>
      </c>
      <c r="N124" s="25">
        <v>41.25</v>
      </c>
      <c r="O124" s="24" t="s">
        <v>215</v>
      </c>
      <c r="P124" s="24">
        <f t="shared" si="22"/>
        <v>9</v>
      </c>
      <c r="Q124" s="24">
        <f t="shared" si="23"/>
        <v>0</v>
      </c>
      <c r="R124" s="24">
        <f t="shared" si="24"/>
        <v>1</v>
      </c>
      <c r="S124" s="24">
        <f t="shared" si="25"/>
        <v>2</v>
      </c>
      <c r="T124" s="24">
        <f t="shared" si="26"/>
        <v>12</v>
      </c>
      <c r="U124" s="27">
        <f t="shared" si="27"/>
        <v>0.75</v>
      </c>
      <c r="V124" s="27">
        <f t="shared" si="28"/>
        <v>0</v>
      </c>
      <c r="W124" s="27">
        <f t="shared" si="29"/>
        <v>8.3333333333333329E-2</v>
      </c>
      <c r="X124" s="27">
        <f t="shared" si="30"/>
        <v>0.16666666666666666</v>
      </c>
      <c r="Y124" s="25">
        <f t="shared" si="31"/>
        <v>41.25</v>
      </c>
    </row>
    <row r="125" spans="1:25" x14ac:dyDescent="0.25">
      <c r="A125" s="22"/>
      <c r="B125" s="22"/>
      <c r="C125" s="24" t="s">
        <v>111</v>
      </c>
      <c r="D125" s="24">
        <v>1</v>
      </c>
      <c r="E125" s="22">
        <f>SUM(E122:E124)</f>
        <v>1</v>
      </c>
      <c r="F125" s="22">
        <f t="shared" ref="F125:M125" si="32">SUM(F122:F124)</f>
        <v>0</v>
      </c>
      <c r="G125" s="22">
        <f t="shared" si="32"/>
        <v>2</v>
      </c>
      <c r="H125" s="22">
        <f t="shared" si="32"/>
        <v>0</v>
      </c>
      <c r="I125" s="22">
        <f t="shared" si="32"/>
        <v>1</v>
      </c>
      <c r="J125" s="22">
        <f t="shared" si="32"/>
        <v>0</v>
      </c>
      <c r="K125" s="22">
        <f t="shared" si="32"/>
        <v>22</v>
      </c>
      <c r="L125" s="22">
        <f t="shared" si="32"/>
        <v>0</v>
      </c>
      <c r="M125" s="22">
        <f t="shared" si="32"/>
        <v>26</v>
      </c>
      <c r="N125" s="28">
        <f>AVERAGE(N122:N124)</f>
        <v>37.06666666666667</v>
      </c>
      <c r="O125" s="22"/>
      <c r="P125" s="24">
        <f t="shared" si="22"/>
        <v>22</v>
      </c>
      <c r="Q125" s="24">
        <f t="shared" si="23"/>
        <v>0</v>
      </c>
      <c r="R125" s="24">
        <f t="shared" si="24"/>
        <v>1</v>
      </c>
      <c r="S125" s="24">
        <f t="shared" si="25"/>
        <v>3</v>
      </c>
      <c r="T125" s="24">
        <f t="shared" si="26"/>
        <v>26</v>
      </c>
      <c r="U125" s="27">
        <f t="shared" si="27"/>
        <v>0.84615384615384615</v>
      </c>
      <c r="V125" s="27">
        <f t="shared" si="28"/>
        <v>0</v>
      </c>
      <c r="W125" s="27">
        <f t="shared" si="29"/>
        <v>3.8461538461538464E-2</v>
      </c>
      <c r="X125" s="27">
        <f t="shared" si="30"/>
        <v>0.11538461538461539</v>
      </c>
      <c r="Y125" s="25">
        <f t="shared" si="31"/>
        <v>37.06666666666667</v>
      </c>
    </row>
    <row r="126" spans="1:25" x14ac:dyDescent="0.25">
      <c r="A126" s="24" t="s">
        <v>241</v>
      </c>
      <c r="B126" s="24" t="s">
        <v>242</v>
      </c>
      <c r="C126" s="24" t="s">
        <v>113</v>
      </c>
      <c r="D126" s="24">
        <v>1</v>
      </c>
      <c r="E126" s="24"/>
      <c r="F126" s="24"/>
      <c r="G126" s="24"/>
      <c r="H126" s="24"/>
      <c r="I126" s="24"/>
      <c r="J126" s="24"/>
      <c r="K126" s="24">
        <v>10</v>
      </c>
      <c r="L126" s="24"/>
      <c r="M126" s="24">
        <v>10</v>
      </c>
      <c r="N126" s="25">
        <v>34.200000000000003</v>
      </c>
      <c r="O126" s="24" t="s">
        <v>215</v>
      </c>
      <c r="P126" s="24">
        <f t="shared" si="22"/>
        <v>10</v>
      </c>
      <c r="Q126" s="24">
        <f t="shared" si="23"/>
        <v>0</v>
      </c>
      <c r="R126" s="24">
        <f t="shared" si="24"/>
        <v>0</v>
      </c>
      <c r="S126" s="24">
        <f t="shared" si="25"/>
        <v>0</v>
      </c>
      <c r="T126" s="24">
        <f t="shared" si="26"/>
        <v>10</v>
      </c>
      <c r="U126" s="27">
        <f t="shared" si="27"/>
        <v>1</v>
      </c>
      <c r="V126" s="27">
        <f t="shared" si="28"/>
        <v>0</v>
      </c>
      <c r="W126" s="27">
        <f t="shared" si="29"/>
        <v>0</v>
      </c>
      <c r="X126" s="27">
        <f t="shared" si="30"/>
        <v>0</v>
      </c>
      <c r="Y126" s="25">
        <f t="shared" si="31"/>
        <v>34.200000000000003</v>
      </c>
    </row>
    <row r="127" spans="1:25" x14ac:dyDescent="0.25">
      <c r="A127" s="24" t="s">
        <v>245</v>
      </c>
      <c r="B127" s="24" t="s">
        <v>246</v>
      </c>
      <c r="C127" s="24" t="s">
        <v>113</v>
      </c>
      <c r="D127" s="24">
        <v>1</v>
      </c>
      <c r="E127" s="24"/>
      <c r="F127" s="24"/>
      <c r="G127" s="24"/>
      <c r="H127" s="24"/>
      <c r="I127" s="24"/>
      <c r="J127" s="24"/>
      <c r="K127" s="24">
        <v>3</v>
      </c>
      <c r="L127" s="24"/>
      <c r="M127" s="24">
        <v>3</v>
      </c>
      <c r="N127" s="25">
        <v>30.333333333333332</v>
      </c>
      <c r="O127" s="24" t="s">
        <v>215</v>
      </c>
      <c r="P127" s="24">
        <f t="shared" si="22"/>
        <v>3</v>
      </c>
      <c r="Q127" s="24">
        <f t="shared" si="23"/>
        <v>0</v>
      </c>
      <c r="R127" s="24">
        <f t="shared" si="24"/>
        <v>0</v>
      </c>
      <c r="S127" s="24">
        <f t="shared" si="25"/>
        <v>0</v>
      </c>
      <c r="T127" s="24">
        <f t="shared" si="26"/>
        <v>3</v>
      </c>
      <c r="U127" s="27">
        <f t="shared" si="27"/>
        <v>1</v>
      </c>
      <c r="V127" s="27">
        <f t="shared" si="28"/>
        <v>0</v>
      </c>
      <c r="W127" s="27">
        <f t="shared" si="29"/>
        <v>0</v>
      </c>
      <c r="X127" s="27">
        <f t="shared" si="30"/>
        <v>0</v>
      </c>
      <c r="Y127" s="25">
        <f t="shared" si="31"/>
        <v>30.333333333333332</v>
      </c>
    </row>
    <row r="128" spans="1:25" x14ac:dyDescent="0.25">
      <c r="A128" s="22"/>
      <c r="B128" s="22"/>
      <c r="C128" s="24" t="s">
        <v>113</v>
      </c>
      <c r="D128" s="24">
        <v>1</v>
      </c>
      <c r="E128" s="22">
        <f>SUM(E126:E127)</f>
        <v>0</v>
      </c>
      <c r="F128" s="22">
        <f t="shared" ref="F128:M128" si="33">SUM(F126:F127)</f>
        <v>0</v>
      </c>
      <c r="G128" s="22">
        <f t="shared" si="33"/>
        <v>0</v>
      </c>
      <c r="H128" s="22">
        <f t="shared" si="33"/>
        <v>0</v>
      </c>
      <c r="I128" s="22">
        <f t="shared" si="33"/>
        <v>0</v>
      </c>
      <c r="J128" s="22">
        <f t="shared" si="33"/>
        <v>0</v>
      </c>
      <c r="K128" s="22">
        <f t="shared" si="33"/>
        <v>13</v>
      </c>
      <c r="L128" s="22">
        <f t="shared" si="33"/>
        <v>0</v>
      </c>
      <c r="M128" s="22">
        <f t="shared" si="33"/>
        <v>13</v>
      </c>
      <c r="N128" s="28">
        <f>AVERAGE(N126:N127)</f>
        <v>32.266666666666666</v>
      </c>
      <c r="O128" s="22"/>
      <c r="P128" s="24">
        <f t="shared" si="22"/>
        <v>13</v>
      </c>
      <c r="Q128" s="24">
        <f t="shared" si="23"/>
        <v>0</v>
      </c>
      <c r="R128" s="24">
        <f t="shared" si="24"/>
        <v>0</v>
      </c>
      <c r="S128" s="24">
        <f t="shared" si="25"/>
        <v>0</v>
      </c>
      <c r="T128" s="24">
        <f t="shared" si="26"/>
        <v>13</v>
      </c>
      <c r="U128" s="27">
        <f t="shared" si="27"/>
        <v>1</v>
      </c>
      <c r="V128" s="27">
        <f t="shared" si="28"/>
        <v>0</v>
      </c>
      <c r="W128" s="27">
        <f t="shared" si="29"/>
        <v>0</v>
      </c>
      <c r="X128" s="27">
        <f t="shared" si="30"/>
        <v>0</v>
      </c>
      <c r="Y128" s="25">
        <f t="shared" si="31"/>
        <v>32.266666666666666</v>
      </c>
    </row>
    <row r="129" spans="1:25" x14ac:dyDescent="0.25">
      <c r="A129" s="24" t="s">
        <v>249</v>
      </c>
      <c r="B129" s="24" t="s">
        <v>250</v>
      </c>
      <c r="C129" s="24" t="s">
        <v>115</v>
      </c>
      <c r="D129" s="24">
        <v>1</v>
      </c>
      <c r="E129" s="24"/>
      <c r="F129" s="24"/>
      <c r="G129" s="24"/>
      <c r="H129" s="24"/>
      <c r="I129" s="24"/>
      <c r="J129" s="24"/>
      <c r="K129" s="24">
        <v>5</v>
      </c>
      <c r="L129" s="24"/>
      <c r="M129" s="24">
        <v>5</v>
      </c>
      <c r="N129" s="25">
        <v>39.200000000000003</v>
      </c>
      <c r="O129" s="24" t="s">
        <v>215</v>
      </c>
      <c r="P129" s="24">
        <f t="shared" si="22"/>
        <v>5</v>
      </c>
      <c r="Q129" s="24">
        <f t="shared" si="23"/>
        <v>0</v>
      </c>
      <c r="R129" s="24">
        <f t="shared" si="24"/>
        <v>0</v>
      </c>
      <c r="S129" s="24">
        <f t="shared" si="25"/>
        <v>0</v>
      </c>
      <c r="T129" s="24">
        <f t="shared" si="26"/>
        <v>5</v>
      </c>
      <c r="U129" s="27">
        <f t="shared" si="27"/>
        <v>1</v>
      </c>
      <c r="V129" s="27">
        <f t="shared" si="28"/>
        <v>0</v>
      </c>
      <c r="W129" s="27">
        <f t="shared" si="29"/>
        <v>0</v>
      </c>
      <c r="X129" s="27">
        <f t="shared" si="30"/>
        <v>0</v>
      </c>
      <c r="Y129" s="25">
        <f t="shared" si="31"/>
        <v>39.200000000000003</v>
      </c>
    </row>
    <row r="130" spans="1:25" x14ac:dyDescent="0.25">
      <c r="A130" s="24" t="s">
        <v>249</v>
      </c>
      <c r="B130" s="24" t="s">
        <v>250</v>
      </c>
      <c r="C130" s="24" t="s">
        <v>115</v>
      </c>
      <c r="D130" s="24">
        <v>2</v>
      </c>
      <c r="E130" s="24"/>
      <c r="F130" s="24"/>
      <c r="G130" s="24"/>
      <c r="H130" s="24"/>
      <c r="I130" s="24"/>
      <c r="J130" s="24"/>
      <c r="K130" s="24">
        <v>3</v>
      </c>
      <c r="L130" s="24"/>
      <c r="M130" s="24">
        <v>3</v>
      </c>
      <c r="N130" s="25">
        <v>38.666666666666664</v>
      </c>
      <c r="O130" s="24" t="s">
        <v>215</v>
      </c>
      <c r="P130" s="24">
        <f t="shared" si="22"/>
        <v>3</v>
      </c>
      <c r="Q130" s="24">
        <f t="shared" si="23"/>
        <v>0</v>
      </c>
      <c r="R130" s="24">
        <f t="shared" si="24"/>
        <v>0</v>
      </c>
      <c r="S130" s="24">
        <f t="shared" si="25"/>
        <v>0</v>
      </c>
      <c r="T130" s="24">
        <f t="shared" si="26"/>
        <v>3</v>
      </c>
      <c r="U130" s="27">
        <f t="shared" si="27"/>
        <v>1</v>
      </c>
      <c r="V130" s="27">
        <f t="shared" si="28"/>
        <v>0</v>
      </c>
      <c r="W130" s="27">
        <f t="shared" si="29"/>
        <v>0</v>
      </c>
      <c r="X130" s="27">
        <f t="shared" si="30"/>
        <v>0</v>
      </c>
      <c r="Y130" s="25">
        <f t="shared" si="31"/>
        <v>38.666666666666664</v>
      </c>
    </row>
    <row r="131" spans="1:25" x14ac:dyDescent="0.25">
      <c r="A131" s="24" t="s">
        <v>257</v>
      </c>
      <c r="B131" s="24" t="s">
        <v>258</v>
      </c>
      <c r="C131" s="24" t="s">
        <v>115</v>
      </c>
      <c r="D131" s="24">
        <v>1</v>
      </c>
      <c r="E131" s="24">
        <v>4</v>
      </c>
      <c r="F131" s="24">
        <v>2</v>
      </c>
      <c r="G131" s="24">
        <v>5</v>
      </c>
      <c r="H131" s="24">
        <v>4</v>
      </c>
      <c r="I131" s="24">
        <v>7</v>
      </c>
      <c r="J131" s="24"/>
      <c r="K131" s="24">
        <v>217</v>
      </c>
      <c r="L131" s="24"/>
      <c r="M131" s="24">
        <v>239</v>
      </c>
      <c r="N131" s="25">
        <v>35.8326359832636</v>
      </c>
      <c r="O131" s="24" t="s">
        <v>215</v>
      </c>
      <c r="P131" s="24">
        <f t="shared" si="22"/>
        <v>217</v>
      </c>
      <c r="Q131" s="24">
        <f t="shared" si="23"/>
        <v>4</v>
      </c>
      <c r="R131" s="24">
        <f t="shared" si="24"/>
        <v>7</v>
      </c>
      <c r="S131" s="24">
        <f t="shared" si="25"/>
        <v>11</v>
      </c>
      <c r="T131" s="24">
        <f t="shared" si="26"/>
        <v>239</v>
      </c>
      <c r="U131" s="27">
        <f t="shared" si="27"/>
        <v>0.90794979079497906</v>
      </c>
      <c r="V131" s="27">
        <f t="shared" si="28"/>
        <v>1.6736401673640166E-2</v>
      </c>
      <c r="W131" s="27">
        <f t="shared" si="29"/>
        <v>2.9288702928870293E-2</v>
      </c>
      <c r="X131" s="27">
        <f t="shared" si="30"/>
        <v>4.6025104602510462E-2</v>
      </c>
      <c r="Y131" s="25">
        <f t="shared" si="31"/>
        <v>35.8326359832636</v>
      </c>
    </row>
    <row r="132" spans="1:25" x14ac:dyDescent="0.25">
      <c r="A132" s="24" t="s">
        <v>257</v>
      </c>
      <c r="B132" s="24" t="s">
        <v>258</v>
      </c>
      <c r="C132" s="24" t="s">
        <v>115</v>
      </c>
      <c r="D132" s="24">
        <v>2</v>
      </c>
      <c r="E132" s="24">
        <v>5</v>
      </c>
      <c r="F132" s="24">
        <v>2</v>
      </c>
      <c r="G132" s="24">
        <v>2</v>
      </c>
      <c r="H132" s="24">
        <v>4</v>
      </c>
      <c r="I132" s="24">
        <v>6</v>
      </c>
      <c r="J132" s="24"/>
      <c r="K132" s="24">
        <v>226</v>
      </c>
      <c r="L132" s="24"/>
      <c r="M132" s="24">
        <v>245</v>
      </c>
      <c r="N132" s="25">
        <v>33.673469387755105</v>
      </c>
      <c r="O132" s="24" t="s">
        <v>215</v>
      </c>
      <c r="P132" s="24">
        <f t="shared" si="22"/>
        <v>226</v>
      </c>
      <c r="Q132" s="24">
        <f t="shared" si="23"/>
        <v>4</v>
      </c>
      <c r="R132" s="24">
        <f t="shared" si="24"/>
        <v>6</v>
      </c>
      <c r="S132" s="24">
        <f t="shared" si="25"/>
        <v>9</v>
      </c>
      <c r="T132" s="24">
        <f t="shared" si="26"/>
        <v>245</v>
      </c>
      <c r="U132" s="27">
        <f t="shared" si="27"/>
        <v>0.92244897959183669</v>
      </c>
      <c r="V132" s="27">
        <f t="shared" si="28"/>
        <v>1.6326530612244899E-2</v>
      </c>
      <c r="W132" s="27">
        <f t="shared" si="29"/>
        <v>2.4489795918367346E-2</v>
      </c>
      <c r="X132" s="27">
        <f t="shared" si="30"/>
        <v>3.6734693877551024E-2</v>
      </c>
      <c r="Y132" s="25">
        <f t="shared" si="31"/>
        <v>33.673469387755105</v>
      </c>
    </row>
    <row r="133" spans="1:25" x14ac:dyDescent="0.25">
      <c r="A133" s="24" t="s">
        <v>261</v>
      </c>
      <c r="B133" s="24" t="s">
        <v>262</v>
      </c>
      <c r="C133" s="24" t="s">
        <v>115</v>
      </c>
      <c r="D133" s="24">
        <v>1</v>
      </c>
      <c r="E133" s="24"/>
      <c r="F133" s="24"/>
      <c r="G133" s="24"/>
      <c r="H133" s="24"/>
      <c r="I133" s="24"/>
      <c r="J133" s="24"/>
      <c r="K133" s="24">
        <v>5</v>
      </c>
      <c r="L133" s="24"/>
      <c r="M133" s="24">
        <v>5</v>
      </c>
      <c r="N133" s="25">
        <v>37.200000000000003</v>
      </c>
      <c r="O133" s="24" t="s">
        <v>215</v>
      </c>
      <c r="P133" s="24">
        <f t="shared" si="22"/>
        <v>5</v>
      </c>
      <c r="Q133" s="24">
        <f t="shared" si="23"/>
        <v>0</v>
      </c>
      <c r="R133" s="24">
        <f t="shared" si="24"/>
        <v>0</v>
      </c>
      <c r="S133" s="24">
        <f t="shared" si="25"/>
        <v>0</v>
      </c>
      <c r="T133" s="24">
        <f t="shared" si="26"/>
        <v>5</v>
      </c>
      <c r="U133" s="27">
        <f t="shared" si="27"/>
        <v>1</v>
      </c>
      <c r="V133" s="27">
        <f t="shared" si="28"/>
        <v>0</v>
      </c>
      <c r="W133" s="27">
        <f t="shared" si="29"/>
        <v>0</v>
      </c>
      <c r="X133" s="27">
        <f t="shared" si="30"/>
        <v>0</v>
      </c>
      <c r="Y133" s="25">
        <f t="shared" si="31"/>
        <v>37.200000000000003</v>
      </c>
    </row>
    <row r="134" spans="1:25" x14ac:dyDescent="0.25">
      <c r="A134" s="24" t="s">
        <v>261</v>
      </c>
      <c r="B134" s="24" t="s">
        <v>262</v>
      </c>
      <c r="C134" s="24" t="s">
        <v>115</v>
      </c>
      <c r="D134" s="24">
        <v>2</v>
      </c>
      <c r="E134" s="24"/>
      <c r="F134" s="24"/>
      <c r="G134" s="24"/>
      <c r="H134" s="24"/>
      <c r="I134" s="24"/>
      <c r="J134" s="24"/>
      <c r="K134" s="24">
        <v>2</v>
      </c>
      <c r="L134" s="24"/>
      <c r="M134" s="24">
        <v>2</v>
      </c>
      <c r="N134" s="25">
        <v>35.5</v>
      </c>
      <c r="O134" s="24" t="s">
        <v>215</v>
      </c>
      <c r="P134" s="24">
        <f t="shared" si="22"/>
        <v>2</v>
      </c>
      <c r="Q134" s="24">
        <f t="shared" si="23"/>
        <v>0</v>
      </c>
      <c r="R134" s="24">
        <f t="shared" si="24"/>
        <v>0</v>
      </c>
      <c r="S134" s="24">
        <f t="shared" si="25"/>
        <v>0</v>
      </c>
      <c r="T134" s="24">
        <f t="shared" si="26"/>
        <v>2</v>
      </c>
      <c r="U134" s="27">
        <f t="shared" si="27"/>
        <v>1</v>
      </c>
      <c r="V134" s="27">
        <f t="shared" si="28"/>
        <v>0</v>
      </c>
      <c r="W134" s="27">
        <f t="shared" si="29"/>
        <v>0</v>
      </c>
      <c r="X134" s="27">
        <f t="shared" si="30"/>
        <v>0</v>
      </c>
      <c r="Y134" s="25">
        <f t="shared" si="31"/>
        <v>35.5</v>
      </c>
    </row>
    <row r="135" spans="1:25" x14ac:dyDescent="0.25">
      <c r="A135" s="22"/>
      <c r="B135" s="22"/>
      <c r="C135" s="24" t="s">
        <v>115</v>
      </c>
      <c r="D135" s="24">
        <v>1</v>
      </c>
      <c r="E135" s="22">
        <f>E133+E131+E129</f>
        <v>4</v>
      </c>
      <c r="F135" s="22">
        <f t="shared" ref="F135:M135" si="34">F133+F131+F129</f>
        <v>2</v>
      </c>
      <c r="G135" s="22">
        <f t="shared" si="34"/>
        <v>5</v>
      </c>
      <c r="H135" s="22">
        <f t="shared" si="34"/>
        <v>4</v>
      </c>
      <c r="I135" s="22">
        <f t="shared" si="34"/>
        <v>7</v>
      </c>
      <c r="J135" s="22">
        <f t="shared" si="34"/>
        <v>0</v>
      </c>
      <c r="K135" s="22">
        <f t="shared" si="34"/>
        <v>227</v>
      </c>
      <c r="L135" s="22">
        <f t="shared" si="34"/>
        <v>0</v>
      </c>
      <c r="M135" s="22">
        <f t="shared" si="34"/>
        <v>249</v>
      </c>
      <c r="N135" s="28">
        <f>AVERAGE(N133,N131,N129)</f>
        <v>37.410878661087871</v>
      </c>
      <c r="O135" s="22"/>
      <c r="P135" s="24">
        <f>K135</f>
        <v>227</v>
      </c>
      <c r="Q135" s="24">
        <f t="shared" ref="Q135:R137" si="35">H135</f>
        <v>4</v>
      </c>
      <c r="R135" s="24">
        <f t="shared" si="35"/>
        <v>7</v>
      </c>
      <c r="S135" s="24">
        <f>M135-SUM(P135:R135)</f>
        <v>11</v>
      </c>
      <c r="T135" s="24">
        <f>SUM(P135:S135)</f>
        <v>249</v>
      </c>
      <c r="U135" s="27">
        <f>P135/M135</f>
        <v>0.91164658634538154</v>
      </c>
      <c r="V135" s="27">
        <f>Q135/M135</f>
        <v>1.6064257028112448E-2</v>
      </c>
      <c r="W135" s="27">
        <f>R135/M135</f>
        <v>2.8112449799196786E-2</v>
      </c>
      <c r="X135" s="27">
        <f>S135/M135</f>
        <v>4.4176706827309238E-2</v>
      </c>
      <c r="Y135" s="25">
        <f>N135</f>
        <v>37.410878661087871</v>
      </c>
    </row>
    <row r="136" spans="1:25" x14ac:dyDescent="0.25">
      <c r="A136" s="22"/>
      <c r="B136" s="22"/>
      <c r="C136" s="24" t="s">
        <v>115</v>
      </c>
      <c r="D136" s="24">
        <v>2</v>
      </c>
      <c r="E136" s="22">
        <f t="shared" ref="E136:M136" si="36">E134+E132+E130</f>
        <v>5</v>
      </c>
      <c r="F136" s="22">
        <f t="shared" si="36"/>
        <v>2</v>
      </c>
      <c r="G136" s="22">
        <f t="shared" si="36"/>
        <v>2</v>
      </c>
      <c r="H136" s="22">
        <f t="shared" si="36"/>
        <v>4</v>
      </c>
      <c r="I136" s="22">
        <f t="shared" si="36"/>
        <v>6</v>
      </c>
      <c r="J136" s="22">
        <f t="shared" si="36"/>
        <v>0</v>
      </c>
      <c r="K136" s="22">
        <f t="shared" si="36"/>
        <v>231</v>
      </c>
      <c r="L136" s="22">
        <f t="shared" si="36"/>
        <v>0</v>
      </c>
      <c r="M136" s="22">
        <f t="shared" si="36"/>
        <v>250</v>
      </c>
      <c r="N136" s="28">
        <f>AVERAGE(N134,N132,N130)</f>
        <v>35.946712018140595</v>
      </c>
      <c r="O136" s="22"/>
      <c r="P136" s="24">
        <f>K136</f>
        <v>231</v>
      </c>
      <c r="Q136" s="24">
        <f t="shared" si="35"/>
        <v>4</v>
      </c>
      <c r="R136" s="24">
        <f t="shared" si="35"/>
        <v>6</v>
      </c>
      <c r="S136" s="24">
        <f>M136-SUM(P136:R136)</f>
        <v>9</v>
      </c>
      <c r="T136" s="24">
        <f>SUM(P136:S136)</f>
        <v>250</v>
      </c>
      <c r="U136" s="27">
        <f>P136/M136</f>
        <v>0.92400000000000004</v>
      </c>
      <c r="V136" s="27">
        <f>Q136/M136</f>
        <v>1.6E-2</v>
      </c>
      <c r="W136" s="27">
        <f>R136/M136</f>
        <v>2.4E-2</v>
      </c>
      <c r="X136" s="27">
        <f>S136/M136</f>
        <v>3.5999999999999997E-2</v>
      </c>
      <c r="Y136" s="25">
        <f>N136</f>
        <v>35.946712018140595</v>
      </c>
    </row>
    <row r="137" spans="1:25" x14ac:dyDescent="0.25">
      <c r="A137" s="24" t="s">
        <v>279</v>
      </c>
      <c r="B137" s="24" t="s">
        <v>280</v>
      </c>
      <c r="C137" s="24" t="s">
        <v>117</v>
      </c>
      <c r="D137" s="24">
        <v>1</v>
      </c>
      <c r="E137" s="24">
        <v>3</v>
      </c>
      <c r="F137" s="24">
        <v>3</v>
      </c>
      <c r="G137" s="24"/>
      <c r="H137" s="24">
        <v>2</v>
      </c>
      <c r="I137" s="24">
        <v>10</v>
      </c>
      <c r="J137" s="24"/>
      <c r="K137" s="24">
        <v>182</v>
      </c>
      <c r="L137" s="24">
        <v>1</v>
      </c>
      <c r="M137" s="24">
        <v>201</v>
      </c>
      <c r="N137" s="25">
        <v>35.805970149253731</v>
      </c>
      <c r="O137" s="24" t="s">
        <v>215</v>
      </c>
      <c r="P137" s="24">
        <f>K137</f>
        <v>182</v>
      </c>
      <c r="Q137" s="24">
        <f t="shared" si="35"/>
        <v>2</v>
      </c>
      <c r="R137" s="24">
        <f t="shared" si="35"/>
        <v>10</v>
      </c>
      <c r="S137" s="24">
        <f>M137-SUM(P137:R137)</f>
        <v>7</v>
      </c>
      <c r="T137" s="24">
        <f>SUM(P137:S137)</f>
        <v>201</v>
      </c>
      <c r="U137" s="27">
        <f>P137/M137</f>
        <v>0.90547263681592038</v>
      </c>
      <c r="V137" s="27">
        <f>Q137/M137</f>
        <v>9.9502487562189053E-3</v>
      </c>
      <c r="W137" s="27">
        <f>R137/M137</f>
        <v>4.975124378109453E-2</v>
      </c>
      <c r="X137" s="27">
        <f>S137/M137</f>
        <v>3.482587064676617E-2</v>
      </c>
      <c r="Y137" s="25">
        <f>N137</f>
        <v>35.805970149253731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workbookViewId="0">
      <selection activeCell="A2" sqref="A2:L23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6640625" customWidth="1"/>
    <col min="11" max="11" width="12.88671875" customWidth="1"/>
    <col min="12" max="12" width="12.6640625" customWidth="1"/>
  </cols>
  <sheetData>
    <row r="1" spans="1:12" ht="34.799999999999997" customHeight="1" x14ac:dyDescent="0.25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2" ht="18" customHeight="1" x14ac:dyDescent="0.25">
      <c r="A2" s="47" t="s">
        <v>1</v>
      </c>
      <c r="B2" s="50" t="s">
        <v>2</v>
      </c>
      <c r="C2" s="50" t="s">
        <v>3</v>
      </c>
      <c r="D2" s="53" t="s">
        <v>4</v>
      </c>
      <c r="E2" s="56" t="s">
        <v>5</v>
      </c>
      <c r="F2" s="59" t="s">
        <v>6</v>
      </c>
      <c r="G2" s="60"/>
      <c r="H2" s="60"/>
      <c r="I2" s="60"/>
      <c r="J2" s="61"/>
      <c r="K2" s="62" t="s">
        <v>7</v>
      </c>
      <c r="L2" s="65" t="s">
        <v>8</v>
      </c>
    </row>
    <row r="3" spans="1:12" ht="29.7" customHeight="1" x14ac:dyDescent="0.25">
      <c r="A3" s="48"/>
      <c r="B3" s="51"/>
      <c r="C3" s="51"/>
      <c r="D3" s="54"/>
      <c r="E3" s="57"/>
      <c r="F3" s="1" t="s">
        <v>9</v>
      </c>
      <c r="G3" s="2" t="s">
        <v>10</v>
      </c>
      <c r="H3" s="2" t="s">
        <v>11</v>
      </c>
      <c r="I3" s="3" t="s">
        <v>12</v>
      </c>
      <c r="J3" s="68" t="s">
        <v>13</v>
      </c>
      <c r="K3" s="63"/>
      <c r="L3" s="66"/>
    </row>
    <row r="4" spans="1:12" ht="28.5" customHeight="1" x14ac:dyDescent="0.25">
      <c r="A4" s="49"/>
      <c r="B4" s="52"/>
      <c r="C4" s="52"/>
      <c r="D4" s="55"/>
      <c r="E4" s="58"/>
      <c r="F4" s="4" t="s">
        <v>102</v>
      </c>
      <c r="G4" s="4" t="s">
        <v>103</v>
      </c>
      <c r="H4" s="4" t="s">
        <v>104</v>
      </c>
      <c r="I4" s="4" t="s">
        <v>105</v>
      </c>
      <c r="J4" s="69"/>
      <c r="K4" s="64"/>
      <c r="L4" s="67"/>
    </row>
    <row r="5" spans="1:12" ht="19.2" customHeight="1" x14ac:dyDescent="0.25">
      <c r="A5" s="5">
        <v>1</v>
      </c>
      <c r="B5" s="70" t="s">
        <v>14</v>
      </c>
      <c r="C5" s="71"/>
      <c r="D5" s="4"/>
      <c r="E5" s="7">
        <v>1245</v>
      </c>
      <c r="F5" s="8">
        <v>5</v>
      </c>
      <c r="G5" s="9">
        <v>599</v>
      </c>
      <c r="H5" s="8">
        <v>168</v>
      </c>
      <c r="I5" s="8">
        <v>299</v>
      </c>
      <c r="J5" s="10">
        <v>1071</v>
      </c>
      <c r="K5" s="8">
        <v>75</v>
      </c>
      <c r="L5" s="11">
        <v>99</v>
      </c>
    </row>
    <row r="6" spans="1:12" ht="18.75" customHeight="1" x14ac:dyDescent="0.25">
      <c r="A6" s="72" t="s">
        <v>15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4"/>
    </row>
    <row r="7" spans="1:12" ht="23.7" customHeight="1" x14ac:dyDescent="0.25">
      <c r="A7" s="5">
        <v>2</v>
      </c>
      <c r="B7" s="12" t="s">
        <v>16</v>
      </c>
      <c r="C7" s="13" t="s">
        <v>17</v>
      </c>
      <c r="D7" s="14">
        <v>1</v>
      </c>
      <c r="E7" s="8">
        <v>21</v>
      </c>
      <c r="F7" s="8">
        <v>0</v>
      </c>
      <c r="G7" s="9">
        <v>17</v>
      </c>
      <c r="H7" s="8">
        <v>0</v>
      </c>
      <c r="I7" s="8">
        <v>4</v>
      </c>
      <c r="J7" s="11">
        <v>21</v>
      </c>
      <c r="K7" s="8">
        <v>0</v>
      </c>
      <c r="L7" s="11">
        <v>0</v>
      </c>
    </row>
    <row r="8" spans="1:12" ht="23.7" customHeight="1" x14ac:dyDescent="0.25">
      <c r="A8" s="5">
        <v>3</v>
      </c>
      <c r="B8" s="12" t="s">
        <v>18</v>
      </c>
      <c r="C8" s="13" t="s">
        <v>19</v>
      </c>
      <c r="D8" s="14">
        <v>1</v>
      </c>
      <c r="E8" s="8">
        <v>13</v>
      </c>
      <c r="F8" s="8">
        <v>0</v>
      </c>
      <c r="G8" s="8">
        <v>9</v>
      </c>
      <c r="H8" s="8">
        <v>1</v>
      </c>
      <c r="I8" s="8">
        <v>3</v>
      </c>
      <c r="J8" s="11">
        <v>13</v>
      </c>
      <c r="K8" s="8">
        <v>0</v>
      </c>
      <c r="L8" s="11">
        <v>0</v>
      </c>
    </row>
    <row r="9" spans="1:12" ht="17.25" customHeight="1" x14ac:dyDescent="0.25">
      <c r="A9" s="75">
        <v>4</v>
      </c>
      <c r="B9" s="77" t="s">
        <v>20</v>
      </c>
      <c r="C9" s="77" t="s">
        <v>21</v>
      </c>
      <c r="D9" s="14">
        <v>1</v>
      </c>
      <c r="E9" s="8">
        <v>177</v>
      </c>
      <c r="F9" s="8">
        <v>1</v>
      </c>
      <c r="G9" s="9">
        <v>101</v>
      </c>
      <c r="H9" s="8">
        <v>9</v>
      </c>
      <c r="I9" s="8">
        <v>65</v>
      </c>
      <c r="J9" s="11">
        <v>176</v>
      </c>
      <c r="K9" s="8">
        <v>1</v>
      </c>
      <c r="L9" s="11">
        <v>0</v>
      </c>
    </row>
    <row r="10" spans="1:12" ht="17.25" customHeight="1" x14ac:dyDescent="0.25">
      <c r="A10" s="76"/>
      <c r="B10" s="78"/>
      <c r="C10" s="78"/>
      <c r="D10" s="14">
        <v>2</v>
      </c>
      <c r="E10" s="8">
        <v>146</v>
      </c>
      <c r="F10" s="8">
        <v>0</v>
      </c>
      <c r="G10" s="9">
        <v>95</v>
      </c>
      <c r="H10" s="8">
        <v>6</v>
      </c>
      <c r="I10" s="8">
        <v>45</v>
      </c>
      <c r="J10" s="11">
        <v>146</v>
      </c>
      <c r="K10" s="8">
        <v>0</v>
      </c>
      <c r="L10" s="11">
        <v>0</v>
      </c>
    </row>
    <row r="11" spans="1:12" ht="23.7" customHeight="1" x14ac:dyDescent="0.25">
      <c r="A11" s="5">
        <v>5</v>
      </c>
      <c r="B11" s="12" t="s">
        <v>22</v>
      </c>
      <c r="C11" s="16" t="s">
        <v>23</v>
      </c>
      <c r="D11" s="14">
        <v>1</v>
      </c>
      <c r="E11" s="8">
        <v>186</v>
      </c>
      <c r="F11" s="8">
        <v>1</v>
      </c>
      <c r="G11" s="9">
        <v>128</v>
      </c>
      <c r="H11" s="8">
        <v>6</v>
      </c>
      <c r="I11" s="8">
        <v>49</v>
      </c>
      <c r="J11" s="11">
        <v>184</v>
      </c>
      <c r="K11" s="8">
        <v>2</v>
      </c>
      <c r="L11" s="11">
        <v>0</v>
      </c>
    </row>
    <row r="12" spans="1:12" ht="19.05" customHeight="1" x14ac:dyDescent="0.25">
      <c r="A12" s="79" t="s">
        <v>24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1"/>
    </row>
    <row r="13" spans="1:12" ht="17.25" customHeight="1" x14ac:dyDescent="0.25">
      <c r="A13" s="75">
        <v>6</v>
      </c>
      <c r="B13" s="82" t="s">
        <v>25</v>
      </c>
      <c r="C13" s="84" t="s">
        <v>26</v>
      </c>
      <c r="D13" s="14">
        <v>1</v>
      </c>
      <c r="E13" s="8">
        <v>367</v>
      </c>
      <c r="F13" s="8">
        <v>1</v>
      </c>
      <c r="G13" s="9">
        <v>202</v>
      </c>
      <c r="H13" s="8">
        <v>65</v>
      </c>
      <c r="I13" s="8">
        <v>97</v>
      </c>
      <c r="J13" s="11">
        <v>365</v>
      </c>
      <c r="K13" s="8">
        <v>2</v>
      </c>
      <c r="L13" s="11">
        <v>0</v>
      </c>
    </row>
    <row r="14" spans="1:12" ht="17.25" customHeight="1" x14ac:dyDescent="0.25">
      <c r="A14" s="76"/>
      <c r="B14" s="83"/>
      <c r="C14" s="85"/>
      <c r="D14" s="14">
        <v>2</v>
      </c>
      <c r="E14" s="8">
        <v>423</v>
      </c>
      <c r="F14" s="8">
        <v>1</v>
      </c>
      <c r="G14" s="9">
        <v>191</v>
      </c>
      <c r="H14" s="8">
        <v>65</v>
      </c>
      <c r="I14" s="8">
        <v>162</v>
      </c>
      <c r="J14" s="11">
        <v>419</v>
      </c>
      <c r="K14" s="8">
        <v>4</v>
      </c>
      <c r="L14" s="11">
        <v>0</v>
      </c>
    </row>
    <row r="15" spans="1:12" ht="17.25" customHeight="1" x14ac:dyDescent="0.25">
      <c r="A15" s="75">
        <v>7</v>
      </c>
      <c r="B15" s="84" t="s">
        <v>27</v>
      </c>
      <c r="C15" s="84" t="s">
        <v>28</v>
      </c>
      <c r="D15" s="14">
        <v>1</v>
      </c>
      <c r="E15" s="8">
        <v>274</v>
      </c>
      <c r="F15" s="8">
        <v>0</v>
      </c>
      <c r="G15" s="9">
        <v>115</v>
      </c>
      <c r="H15" s="8">
        <v>120</v>
      </c>
      <c r="I15" s="8">
        <v>29</v>
      </c>
      <c r="J15" s="11">
        <v>264</v>
      </c>
      <c r="K15" s="8">
        <v>10</v>
      </c>
      <c r="L15" s="11">
        <v>0</v>
      </c>
    </row>
    <row r="16" spans="1:12" ht="17.25" customHeight="1" x14ac:dyDescent="0.25">
      <c r="A16" s="76"/>
      <c r="B16" s="85"/>
      <c r="C16" s="85"/>
      <c r="D16" s="14">
        <v>2</v>
      </c>
      <c r="E16" s="8">
        <v>303</v>
      </c>
      <c r="F16" s="8">
        <v>1</v>
      </c>
      <c r="G16" s="9">
        <v>180</v>
      </c>
      <c r="H16" s="8">
        <v>70</v>
      </c>
      <c r="I16" s="8">
        <v>42</v>
      </c>
      <c r="J16" s="11">
        <v>293</v>
      </c>
      <c r="K16" s="8">
        <v>10</v>
      </c>
      <c r="L16" s="11">
        <v>0</v>
      </c>
    </row>
    <row r="17" spans="1:12" ht="17.25" customHeight="1" x14ac:dyDescent="0.25">
      <c r="A17" s="75">
        <v>8</v>
      </c>
      <c r="B17" s="87" t="s">
        <v>29</v>
      </c>
      <c r="C17" s="90" t="s">
        <v>30</v>
      </c>
      <c r="D17" s="14">
        <v>1</v>
      </c>
      <c r="E17" s="8">
        <v>357</v>
      </c>
      <c r="F17" s="8">
        <v>3</v>
      </c>
      <c r="G17" s="9">
        <v>227</v>
      </c>
      <c r="H17" s="8">
        <v>88</v>
      </c>
      <c r="I17" s="8">
        <v>35</v>
      </c>
      <c r="J17" s="11">
        <v>353</v>
      </c>
      <c r="K17" s="8">
        <v>4</v>
      </c>
      <c r="L17" s="11">
        <v>0</v>
      </c>
    </row>
    <row r="18" spans="1:12" ht="17.25" customHeight="1" x14ac:dyDescent="0.25">
      <c r="A18" s="86"/>
      <c r="B18" s="88"/>
      <c r="C18" s="91"/>
      <c r="D18" s="14">
        <v>2</v>
      </c>
      <c r="E18" s="8">
        <v>420</v>
      </c>
      <c r="F18" s="8">
        <v>2</v>
      </c>
      <c r="G18" s="9">
        <v>167</v>
      </c>
      <c r="H18" s="8">
        <v>165</v>
      </c>
      <c r="I18" s="8">
        <v>80</v>
      </c>
      <c r="J18" s="11">
        <v>414</v>
      </c>
      <c r="K18" s="8">
        <v>6</v>
      </c>
      <c r="L18" s="11">
        <v>0</v>
      </c>
    </row>
    <row r="19" spans="1:12" ht="17.25" customHeight="1" x14ac:dyDescent="0.25">
      <c r="A19" s="86"/>
      <c r="B19" s="88"/>
      <c r="C19" s="91"/>
      <c r="D19" s="14">
        <v>3</v>
      </c>
      <c r="E19" s="8">
        <v>387</v>
      </c>
      <c r="F19" s="8">
        <v>4</v>
      </c>
      <c r="G19" s="9">
        <v>147</v>
      </c>
      <c r="H19" s="8">
        <v>132</v>
      </c>
      <c r="I19" s="8">
        <v>101</v>
      </c>
      <c r="J19" s="11">
        <v>384</v>
      </c>
      <c r="K19" s="8">
        <v>3</v>
      </c>
      <c r="L19" s="11">
        <v>0</v>
      </c>
    </row>
    <row r="20" spans="1:12" ht="17.25" customHeight="1" x14ac:dyDescent="0.25">
      <c r="A20" s="76"/>
      <c r="B20" s="89"/>
      <c r="C20" s="92"/>
      <c r="D20" s="14">
        <v>4</v>
      </c>
      <c r="E20" s="8">
        <v>409</v>
      </c>
      <c r="F20" s="8">
        <v>0</v>
      </c>
      <c r="G20" s="9">
        <v>167</v>
      </c>
      <c r="H20" s="8">
        <v>129</v>
      </c>
      <c r="I20" s="8">
        <v>112</v>
      </c>
      <c r="J20" s="11">
        <v>408</v>
      </c>
      <c r="K20" s="8">
        <v>1</v>
      </c>
      <c r="L20" s="11">
        <v>0</v>
      </c>
    </row>
    <row r="21" spans="1:12" ht="17.25" customHeight="1" x14ac:dyDescent="0.25">
      <c r="A21" s="75">
        <v>9</v>
      </c>
      <c r="B21" s="77" t="s">
        <v>31</v>
      </c>
      <c r="C21" s="94" t="s">
        <v>32</v>
      </c>
      <c r="D21" s="14">
        <v>1</v>
      </c>
      <c r="E21" s="8">
        <v>361</v>
      </c>
      <c r="F21" s="8">
        <v>2</v>
      </c>
      <c r="G21" s="9">
        <v>223</v>
      </c>
      <c r="H21" s="8">
        <v>104</v>
      </c>
      <c r="I21" s="8">
        <v>20</v>
      </c>
      <c r="J21" s="11">
        <v>349</v>
      </c>
      <c r="K21" s="8">
        <v>12</v>
      </c>
      <c r="L21" s="11">
        <v>0</v>
      </c>
    </row>
    <row r="22" spans="1:12" ht="17.25" customHeight="1" x14ac:dyDescent="0.25">
      <c r="A22" s="86"/>
      <c r="B22" s="93"/>
      <c r="C22" s="95"/>
      <c r="D22" s="14">
        <v>2</v>
      </c>
      <c r="E22" s="8">
        <v>448</v>
      </c>
      <c r="F22" s="8">
        <v>3</v>
      </c>
      <c r="G22" s="9">
        <v>338</v>
      </c>
      <c r="H22" s="8">
        <v>49</v>
      </c>
      <c r="I22" s="8">
        <v>52</v>
      </c>
      <c r="J22" s="11">
        <v>442</v>
      </c>
      <c r="K22" s="8">
        <v>6</v>
      </c>
      <c r="L22" s="11">
        <v>0</v>
      </c>
    </row>
    <row r="23" spans="1:12" ht="17.25" customHeight="1" x14ac:dyDescent="0.25">
      <c r="A23" s="76"/>
      <c r="B23" s="78"/>
      <c r="C23" s="96"/>
      <c r="D23" s="14">
        <v>3</v>
      </c>
      <c r="E23" s="8">
        <v>502</v>
      </c>
      <c r="F23" s="8">
        <v>1</v>
      </c>
      <c r="G23" s="9">
        <v>409</v>
      </c>
      <c r="H23" s="8">
        <v>37</v>
      </c>
      <c r="I23" s="8">
        <v>48</v>
      </c>
      <c r="J23" s="11">
        <v>495</v>
      </c>
      <c r="K23" s="8">
        <v>7</v>
      </c>
      <c r="L23" s="11">
        <v>0</v>
      </c>
    </row>
    <row r="24" spans="1:12" ht="30" customHeight="1" x14ac:dyDescent="0.25"/>
    <row r="25" spans="1:12" ht="19.05" customHeight="1" x14ac:dyDescent="0.25"/>
    <row r="26" spans="1:12" ht="103.95" customHeight="1" x14ac:dyDescent="0.25"/>
    <row r="27" spans="1:12" ht="103.95" customHeight="1" x14ac:dyDescent="0.25"/>
    <row r="28" spans="1:12" ht="180" customHeight="1" x14ac:dyDescent="0.25"/>
    <row r="29" spans="1:12" ht="180" customHeight="1" x14ac:dyDescent="0.25"/>
  </sheetData>
  <mergeCells count="28">
    <mergeCell ref="A17:A20"/>
    <mergeCell ref="B17:B20"/>
    <mergeCell ref="C17:C20"/>
    <mergeCell ref="A21:A23"/>
    <mergeCell ref="B21:B23"/>
    <mergeCell ref="C21:C23"/>
    <mergeCell ref="A12:L12"/>
    <mergeCell ref="A13:A14"/>
    <mergeCell ref="B13:B14"/>
    <mergeCell ref="C13:C14"/>
    <mergeCell ref="A15:A16"/>
    <mergeCell ref="B15:B16"/>
    <mergeCell ref="C15:C16"/>
    <mergeCell ref="B5:C5"/>
    <mergeCell ref="A6:L6"/>
    <mergeCell ref="A9:A10"/>
    <mergeCell ref="B9:B10"/>
    <mergeCell ref="C9:C10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workbookViewId="0">
      <selection activeCell="A5" sqref="A5:L22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44" t="s">
        <v>33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2" ht="18" customHeight="1" x14ac:dyDescent="0.25">
      <c r="A2" s="47" t="s">
        <v>1</v>
      </c>
      <c r="B2" s="50" t="s">
        <v>2</v>
      </c>
      <c r="C2" s="50" t="s">
        <v>3</v>
      </c>
      <c r="D2" s="53" t="s">
        <v>4</v>
      </c>
      <c r="E2" s="56" t="s">
        <v>5</v>
      </c>
      <c r="F2" s="59" t="s">
        <v>6</v>
      </c>
      <c r="G2" s="60"/>
      <c r="H2" s="60"/>
      <c r="I2" s="60"/>
      <c r="J2" s="61"/>
      <c r="K2" s="62" t="s">
        <v>7</v>
      </c>
      <c r="L2" s="65" t="s">
        <v>8</v>
      </c>
    </row>
    <row r="3" spans="1:12" ht="29.7" customHeight="1" x14ac:dyDescent="0.25">
      <c r="A3" s="48"/>
      <c r="B3" s="51"/>
      <c r="C3" s="51"/>
      <c r="D3" s="54"/>
      <c r="E3" s="57"/>
      <c r="F3" s="1" t="s">
        <v>9</v>
      </c>
      <c r="G3" s="2" t="s">
        <v>10</v>
      </c>
      <c r="H3" s="2" t="s">
        <v>11</v>
      </c>
      <c r="I3" s="3" t="s">
        <v>12</v>
      </c>
      <c r="J3" s="68" t="s">
        <v>13</v>
      </c>
      <c r="K3" s="63"/>
      <c r="L3" s="66"/>
    </row>
    <row r="4" spans="1:12" ht="28.2" customHeight="1" x14ac:dyDescent="0.25">
      <c r="A4" s="49"/>
      <c r="B4" s="52"/>
      <c r="C4" s="52"/>
      <c r="D4" s="55"/>
      <c r="E4" s="58"/>
      <c r="F4" s="4"/>
      <c r="G4" s="4"/>
      <c r="H4" s="4"/>
      <c r="I4" s="4"/>
      <c r="J4" s="69"/>
      <c r="K4" s="64"/>
      <c r="L4" s="67"/>
    </row>
    <row r="5" spans="1:12" ht="17.25" customHeight="1" x14ac:dyDescent="0.25">
      <c r="A5" s="97">
        <v>10</v>
      </c>
      <c r="B5" s="100" t="s">
        <v>34</v>
      </c>
      <c r="C5" s="103" t="s">
        <v>35</v>
      </c>
      <c r="D5" s="14">
        <v>1</v>
      </c>
      <c r="E5" s="8">
        <v>308</v>
      </c>
      <c r="F5" s="8">
        <v>3</v>
      </c>
      <c r="G5" s="9">
        <v>79</v>
      </c>
      <c r="H5" s="8">
        <v>212</v>
      </c>
      <c r="I5" s="8">
        <v>10</v>
      </c>
      <c r="J5" s="17">
        <v>304</v>
      </c>
      <c r="K5" s="8">
        <v>4</v>
      </c>
      <c r="L5" s="18">
        <v>0</v>
      </c>
    </row>
    <row r="6" spans="1:12" ht="17.25" customHeight="1" x14ac:dyDescent="0.25">
      <c r="A6" s="98"/>
      <c r="B6" s="101"/>
      <c r="C6" s="104"/>
      <c r="D6" s="14">
        <v>2</v>
      </c>
      <c r="E6" s="8">
        <v>342</v>
      </c>
      <c r="F6" s="8">
        <v>1</v>
      </c>
      <c r="G6" s="9">
        <v>75</v>
      </c>
      <c r="H6" s="8">
        <v>256</v>
      </c>
      <c r="I6" s="8">
        <v>6</v>
      </c>
      <c r="J6" s="17">
        <v>338</v>
      </c>
      <c r="K6" s="8">
        <v>4</v>
      </c>
      <c r="L6" s="18">
        <v>0</v>
      </c>
    </row>
    <row r="7" spans="1:12" ht="17.25" customHeight="1" x14ac:dyDescent="0.25">
      <c r="A7" s="98"/>
      <c r="B7" s="101"/>
      <c r="C7" s="104"/>
      <c r="D7" s="14">
        <v>3</v>
      </c>
      <c r="E7" s="8">
        <v>348</v>
      </c>
      <c r="F7" s="8">
        <v>0</v>
      </c>
      <c r="G7" s="9">
        <v>71</v>
      </c>
      <c r="H7" s="8">
        <v>269</v>
      </c>
      <c r="I7" s="8">
        <v>5</v>
      </c>
      <c r="J7" s="17">
        <v>345</v>
      </c>
      <c r="K7" s="8">
        <v>3</v>
      </c>
      <c r="L7" s="18">
        <v>0</v>
      </c>
    </row>
    <row r="8" spans="1:12" ht="17.25" customHeight="1" x14ac:dyDescent="0.25">
      <c r="A8" s="98"/>
      <c r="B8" s="101"/>
      <c r="C8" s="104"/>
      <c r="D8" s="14">
        <v>4</v>
      </c>
      <c r="E8" s="8">
        <v>493</v>
      </c>
      <c r="F8" s="8">
        <v>1</v>
      </c>
      <c r="G8" s="9">
        <v>85</v>
      </c>
      <c r="H8" s="8">
        <v>380</v>
      </c>
      <c r="I8" s="8">
        <v>23</v>
      </c>
      <c r="J8" s="17">
        <v>489</v>
      </c>
      <c r="K8" s="8">
        <v>4</v>
      </c>
      <c r="L8" s="18">
        <v>0</v>
      </c>
    </row>
    <row r="9" spans="1:12" ht="17.25" customHeight="1" x14ac:dyDescent="0.25">
      <c r="A9" s="98"/>
      <c r="B9" s="101"/>
      <c r="C9" s="104"/>
      <c r="D9" s="14">
        <v>5</v>
      </c>
      <c r="E9" s="8">
        <v>492</v>
      </c>
      <c r="F9" s="8">
        <v>0</v>
      </c>
      <c r="G9" s="9">
        <v>81</v>
      </c>
      <c r="H9" s="8">
        <v>367</v>
      </c>
      <c r="I9" s="8">
        <v>40</v>
      </c>
      <c r="J9" s="17">
        <v>488</v>
      </c>
      <c r="K9" s="8">
        <v>4</v>
      </c>
      <c r="L9" s="18">
        <v>0</v>
      </c>
    </row>
    <row r="10" spans="1:12" ht="17.25" customHeight="1" x14ac:dyDescent="0.25">
      <c r="A10" s="98"/>
      <c r="B10" s="101"/>
      <c r="C10" s="104"/>
      <c r="D10" s="14">
        <v>6</v>
      </c>
      <c r="E10" s="8">
        <v>499</v>
      </c>
      <c r="F10" s="8">
        <v>2</v>
      </c>
      <c r="G10" s="9">
        <v>104</v>
      </c>
      <c r="H10" s="8">
        <v>336</v>
      </c>
      <c r="I10" s="8">
        <v>56</v>
      </c>
      <c r="J10" s="17">
        <v>498</v>
      </c>
      <c r="K10" s="8">
        <v>1</v>
      </c>
      <c r="L10" s="18">
        <v>0</v>
      </c>
    </row>
    <row r="11" spans="1:12" ht="17.25" customHeight="1" x14ac:dyDescent="0.25">
      <c r="A11" s="99"/>
      <c r="B11" s="102"/>
      <c r="C11" s="105"/>
      <c r="D11" s="14">
        <v>7</v>
      </c>
      <c r="E11" s="8">
        <v>507</v>
      </c>
      <c r="F11" s="8">
        <v>0</v>
      </c>
      <c r="G11" s="9">
        <v>96</v>
      </c>
      <c r="H11" s="8">
        <v>368</v>
      </c>
      <c r="I11" s="8">
        <v>41</v>
      </c>
      <c r="J11" s="17">
        <v>505</v>
      </c>
      <c r="K11" s="8">
        <v>2</v>
      </c>
      <c r="L11" s="18">
        <v>0</v>
      </c>
    </row>
    <row r="12" spans="1:12" ht="17.25" customHeight="1" x14ac:dyDescent="0.25">
      <c r="A12" s="75">
        <v>11</v>
      </c>
      <c r="B12" s="87" t="s">
        <v>36</v>
      </c>
      <c r="C12" s="90" t="s">
        <v>37</v>
      </c>
      <c r="D12" s="14">
        <v>1</v>
      </c>
      <c r="E12" s="8">
        <v>349</v>
      </c>
      <c r="F12" s="8">
        <v>4</v>
      </c>
      <c r="G12" s="9">
        <v>155</v>
      </c>
      <c r="H12" s="8">
        <v>174</v>
      </c>
      <c r="I12" s="8">
        <v>14</v>
      </c>
      <c r="J12" s="17">
        <v>347</v>
      </c>
      <c r="K12" s="8">
        <v>2</v>
      </c>
      <c r="L12" s="18">
        <v>0</v>
      </c>
    </row>
    <row r="13" spans="1:12" ht="17.25" customHeight="1" x14ac:dyDescent="0.25">
      <c r="A13" s="86"/>
      <c r="B13" s="88"/>
      <c r="C13" s="91"/>
      <c r="D13" s="14">
        <v>2</v>
      </c>
      <c r="E13" s="8">
        <v>397</v>
      </c>
      <c r="F13" s="8">
        <v>1</v>
      </c>
      <c r="G13" s="9">
        <v>129</v>
      </c>
      <c r="H13" s="8">
        <v>214</v>
      </c>
      <c r="I13" s="8">
        <v>52</v>
      </c>
      <c r="J13" s="17">
        <v>396</v>
      </c>
      <c r="K13" s="8">
        <v>1</v>
      </c>
      <c r="L13" s="18">
        <v>0</v>
      </c>
    </row>
    <row r="14" spans="1:12" ht="17.25" customHeight="1" x14ac:dyDescent="0.25">
      <c r="A14" s="76"/>
      <c r="B14" s="89"/>
      <c r="C14" s="92"/>
      <c r="D14" s="14">
        <v>3</v>
      </c>
      <c r="E14" s="8">
        <v>382</v>
      </c>
      <c r="F14" s="8">
        <v>0</v>
      </c>
      <c r="G14" s="9">
        <v>182</v>
      </c>
      <c r="H14" s="8">
        <v>104</v>
      </c>
      <c r="I14" s="8">
        <v>95</v>
      </c>
      <c r="J14" s="17">
        <v>381</v>
      </c>
      <c r="K14" s="8">
        <v>1</v>
      </c>
      <c r="L14" s="18">
        <v>0</v>
      </c>
    </row>
    <row r="15" spans="1:12" ht="23.7" customHeight="1" x14ac:dyDescent="0.25">
      <c r="A15" s="5">
        <v>12</v>
      </c>
      <c r="B15" s="16" t="s">
        <v>38</v>
      </c>
      <c r="C15" s="13" t="s">
        <v>39</v>
      </c>
      <c r="D15" s="14">
        <v>1</v>
      </c>
      <c r="E15" s="8">
        <v>325</v>
      </c>
      <c r="F15" s="8">
        <v>3</v>
      </c>
      <c r="G15" s="9">
        <v>234</v>
      </c>
      <c r="H15" s="8">
        <v>25</v>
      </c>
      <c r="I15" s="8">
        <v>55</v>
      </c>
      <c r="J15" s="17">
        <v>317</v>
      </c>
      <c r="K15" s="8">
        <v>8</v>
      </c>
      <c r="L15" s="18">
        <v>0</v>
      </c>
    </row>
    <row r="16" spans="1:12" ht="17.25" customHeight="1" x14ac:dyDescent="0.25">
      <c r="A16" s="97">
        <v>13</v>
      </c>
      <c r="B16" s="106" t="s">
        <v>40</v>
      </c>
      <c r="C16" s="90" t="s">
        <v>41</v>
      </c>
      <c r="D16" s="14">
        <v>1</v>
      </c>
      <c r="E16" s="8">
        <v>327</v>
      </c>
      <c r="F16" s="8">
        <v>1</v>
      </c>
      <c r="G16" s="9">
        <v>112</v>
      </c>
      <c r="H16" s="8">
        <v>193</v>
      </c>
      <c r="I16" s="8">
        <v>14</v>
      </c>
      <c r="J16" s="17">
        <v>320</v>
      </c>
      <c r="K16" s="8">
        <v>7</v>
      </c>
      <c r="L16" s="18">
        <v>0</v>
      </c>
    </row>
    <row r="17" spans="1:12" ht="17.25" customHeight="1" x14ac:dyDescent="0.25">
      <c r="A17" s="98"/>
      <c r="B17" s="107"/>
      <c r="C17" s="91"/>
      <c r="D17" s="14">
        <v>2</v>
      </c>
      <c r="E17" s="8">
        <v>367</v>
      </c>
      <c r="F17" s="8">
        <v>1</v>
      </c>
      <c r="G17" s="9">
        <v>118</v>
      </c>
      <c r="H17" s="8">
        <v>211</v>
      </c>
      <c r="I17" s="8">
        <v>32</v>
      </c>
      <c r="J17" s="17">
        <v>362</v>
      </c>
      <c r="K17" s="8">
        <v>5</v>
      </c>
      <c r="L17" s="18">
        <v>0</v>
      </c>
    </row>
    <row r="18" spans="1:12" ht="17.25" customHeight="1" x14ac:dyDescent="0.25">
      <c r="A18" s="98"/>
      <c r="B18" s="107"/>
      <c r="C18" s="91"/>
      <c r="D18" s="14">
        <v>3</v>
      </c>
      <c r="E18" s="8">
        <v>538</v>
      </c>
      <c r="F18" s="8">
        <v>4</v>
      </c>
      <c r="G18" s="9">
        <v>146</v>
      </c>
      <c r="H18" s="8">
        <v>304</v>
      </c>
      <c r="I18" s="8">
        <v>80</v>
      </c>
      <c r="J18" s="17">
        <v>534</v>
      </c>
      <c r="K18" s="8">
        <v>4</v>
      </c>
      <c r="L18" s="18">
        <v>0</v>
      </c>
    </row>
    <row r="19" spans="1:12" ht="17.25" customHeight="1" x14ac:dyDescent="0.25">
      <c r="A19" s="99"/>
      <c r="B19" s="108"/>
      <c r="C19" s="92"/>
      <c r="D19" s="14">
        <v>4</v>
      </c>
      <c r="E19" s="8">
        <v>576</v>
      </c>
      <c r="F19" s="8">
        <v>3</v>
      </c>
      <c r="G19" s="9">
        <v>175</v>
      </c>
      <c r="H19" s="8">
        <v>250</v>
      </c>
      <c r="I19" s="8">
        <v>143</v>
      </c>
      <c r="J19" s="17">
        <v>571</v>
      </c>
      <c r="K19" s="8">
        <v>4</v>
      </c>
      <c r="L19" s="18">
        <v>1</v>
      </c>
    </row>
    <row r="20" spans="1:12" ht="23.7" customHeight="1" x14ac:dyDescent="0.25">
      <c r="A20" s="5">
        <v>14</v>
      </c>
      <c r="B20" s="13" t="s">
        <v>42</v>
      </c>
      <c r="C20" s="13" t="s">
        <v>43</v>
      </c>
      <c r="D20" s="14">
        <v>1</v>
      </c>
      <c r="E20" s="8">
        <v>430</v>
      </c>
      <c r="F20" s="8">
        <v>2</v>
      </c>
      <c r="G20" s="9">
        <v>203</v>
      </c>
      <c r="H20" s="8">
        <v>50</v>
      </c>
      <c r="I20" s="8">
        <v>167</v>
      </c>
      <c r="J20" s="17">
        <v>422</v>
      </c>
      <c r="K20" s="8">
        <v>8</v>
      </c>
      <c r="L20" s="18">
        <v>0</v>
      </c>
    </row>
    <row r="21" spans="1:12" ht="17.25" customHeight="1" x14ac:dyDescent="0.25">
      <c r="A21" s="97">
        <v>15</v>
      </c>
      <c r="B21" s="109" t="s">
        <v>44</v>
      </c>
      <c r="C21" s="84" t="s">
        <v>45</v>
      </c>
      <c r="D21" s="14">
        <v>1</v>
      </c>
      <c r="E21" s="8">
        <v>282</v>
      </c>
      <c r="F21" s="8">
        <v>3</v>
      </c>
      <c r="G21" s="9">
        <v>131</v>
      </c>
      <c r="H21" s="8">
        <v>80</v>
      </c>
      <c r="I21" s="8">
        <v>65</v>
      </c>
      <c r="J21" s="17">
        <v>279</v>
      </c>
      <c r="K21" s="8">
        <v>3</v>
      </c>
      <c r="L21" s="18">
        <v>0</v>
      </c>
    </row>
    <row r="22" spans="1:12" ht="17.25" customHeight="1" x14ac:dyDescent="0.25">
      <c r="A22" s="99"/>
      <c r="B22" s="110"/>
      <c r="C22" s="85"/>
      <c r="D22" s="14">
        <v>2</v>
      </c>
      <c r="E22" s="8">
        <v>264</v>
      </c>
      <c r="F22" s="8">
        <v>0</v>
      </c>
      <c r="G22" s="9">
        <v>92</v>
      </c>
      <c r="H22" s="8">
        <v>59</v>
      </c>
      <c r="I22" s="8">
        <v>111</v>
      </c>
      <c r="J22" s="17">
        <v>262</v>
      </c>
      <c r="K22" s="8">
        <v>2</v>
      </c>
      <c r="L22" s="18">
        <v>0</v>
      </c>
    </row>
    <row r="23" spans="1:12" ht="30" customHeight="1" x14ac:dyDescent="0.25"/>
    <row r="24" spans="1:12" ht="307.95" customHeight="1" x14ac:dyDescent="0.25"/>
    <row r="25" spans="1:12" ht="307.95" customHeight="1" x14ac:dyDescent="0.25"/>
  </sheetData>
  <mergeCells count="22">
    <mergeCell ref="A16:A19"/>
    <mergeCell ref="B16:B19"/>
    <mergeCell ref="C16:C19"/>
    <mergeCell ref="A21:A22"/>
    <mergeCell ref="B21:B22"/>
    <mergeCell ref="C21:C22"/>
    <mergeCell ref="A5:A11"/>
    <mergeCell ref="B5:B11"/>
    <mergeCell ref="C5:C11"/>
    <mergeCell ref="A12:A14"/>
    <mergeCell ref="B12:B14"/>
    <mergeCell ref="C12:C14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topLeftCell="A5" workbookViewId="0">
      <selection activeCell="A5" sqref="A5:L22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44" t="s">
        <v>46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2" ht="18" customHeight="1" x14ac:dyDescent="0.25">
      <c r="A2" s="47" t="s">
        <v>1</v>
      </c>
      <c r="B2" s="50" t="s">
        <v>2</v>
      </c>
      <c r="C2" s="50" t="s">
        <v>3</v>
      </c>
      <c r="D2" s="53" t="s">
        <v>4</v>
      </c>
      <c r="E2" s="56" t="s">
        <v>5</v>
      </c>
      <c r="F2" s="59" t="s">
        <v>6</v>
      </c>
      <c r="G2" s="60"/>
      <c r="H2" s="60"/>
      <c r="I2" s="60"/>
      <c r="J2" s="61"/>
      <c r="K2" s="62" t="s">
        <v>7</v>
      </c>
      <c r="L2" s="65" t="s">
        <v>8</v>
      </c>
    </row>
    <row r="3" spans="1:12" ht="29.7" customHeight="1" x14ac:dyDescent="0.25">
      <c r="A3" s="48"/>
      <c r="B3" s="51"/>
      <c r="C3" s="51"/>
      <c r="D3" s="54"/>
      <c r="E3" s="57"/>
      <c r="F3" s="1" t="s">
        <v>9</v>
      </c>
      <c r="G3" s="2" t="s">
        <v>10</v>
      </c>
      <c r="H3" s="2" t="s">
        <v>11</v>
      </c>
      <c r="I3" s="3" t="s">
        <v>12</v>
      </c>
      <c r="J3" s="68" t="s">
        <v>13</v>
      </c>
      <c r="K3" s="63"/>
      <c r="L3" s="66"/>
    </row>
    <row r="4" spans="1:12" ht="28.2" customHeight="1" x14ac:dyDescent="0.25">
      <c r="A4" s="49"/>
      <c r="B4" s="52"/>
      <c r="C4" s="52"/>
      <c r="D4" s="55"/>
      <c r="E4" s="58"/>
      <c r="F4" s="4"/>
      <c r="G4" s="4"/>
      <c r="H4" s="4"/>
      <c r="I4" s="4"/>
      <c r="J4" s="69"/>
      <c r="K4" s="64"/>
      <c r="L4" s="67"/>
    </row>
    <row r="5" spans="1:12" ht="17.25" customHeight="1" x14ac:dyDescent="0.25">
      <c r="A5" s="97">
        <v>16</v>
      </c>
      <c r="B5" s="87" t="s">
        <v>47</v>
      </c>
      <c r="C5" s="87" t="s">
        <v>48</v>
      </c>
      <c r="D5" s="14">
        <v>1</v>
      </c>
      <c r="E5" s="8">
        <v>372</v>
      </c>
      <c r="F5" s="8">
        <v>2</v>
      </c>
      <c r="G5" s="19">
        <v>266</v>
      </c>
      <c r="H5" s="8">
        <v>68</v>
      </c>
      <c r="I5" s="8">
        <v>28</v>
      </c>
      <c r="J5" s="17">
        <v>364</v>
      </c>
      <c r="K5" s="8">
        <v>8</v>
      </c>
      <c r="L5" s="18">
        <v>0</v>
      </c>
    </row>
    <row r="6" spans="1:12" ht="17.25" customHeight="1" x14ac:dyDescent="0.25">
      <c r="A6" s="98"/>
      <c r="B6" s="88"/>
      <c r="C6" s="88"/>
      <c r="D6" s="14">
        <v>2</v>
      </c>
      <c r="E6" s="8">
        <v>386</v>
      </c>
      <c r="F6" s="8">
        <v>2</v>
      </c>
      <c r="G6" s="19">
        <v>247</v>
      </c>
      <c r="H6" s="8">
        <v>52</v>
      </c>
      <c r="I6" s="8">
        <v>79</v>
      </c>
      <c r="J6" s="17">
        <v>380</v>
      </c>
      <c r="K6" s="8">
        <v>6</v>
      </c>
      <c r="L6" s="18">
        <v>0</v>
      </c>
    </row>
    <row r="7" spans="1:12" ht="17.25" customHeight="1" x14ac:dyDescent="0.25">
      <c r="A7" s="99"/>
      <c r="B7" s="89"/>
      <c r="C7" s="89"/>
      <c r="D7" s="14">
        <v>3</v>
      </c>
      <c r="E7" s="8">
        <v>367</v>
      </c>
      <c r="F7" s="8">
        <v>1</v>
      </c>
      <c r="G7" s="19">
        <v>243</v>
      </c>
      <c r="H7" s="8">
        <v>51</v>
      </c>
      <c r="I7" s="8">
        <v>69</v>
      </c>
      <c r="J7" s="17">
        <v>364</v>
      </c>
      <c r="K7" s="8">
        <v>3</v>
      </c>
      <c r="L7" s="18">
        <v>0</v>
      </c>
    </row>
    <row r="8" spans="1:12" ht="17.25" customHeight="1" x14ac:dyDescent="0.25">
      <c r="A8" s="97">
        <v>17</v>
      </c>
      <c r="B8" s="106" t="s">
        <v>49</v>
      </c>
      <c r="C8" s="87" t="s">
        <v>50</v>
      </c>
      <c r="D8" s="14">
        <v>1</v>
      </c>
      <c r="E8" s="8">
        <v>376</v>
      </c>
      <c r="F8" s="8">
        <v>3</v>
      </c>
      <c r="G8" s="19">
        <v>269</v>
      </c>
      <c r="H8" s="8">
        <v>49</v>
      </c>
      <c r="I8" s="8">
        <v>46</v>
      </c>
      <c r="J8" s="17">
        <v>367</v>
      </c>
      <c r="K8" s="8">
        <v>9</v>
      </c>
      <c r="L8" s="18">
        <v>0</v>
      </c>
    </row>
    <row r="9" spans="1:12" ht="17.25" customHeight="1" x14ac:dyDescent="0.25">
      <c r="A9" s="98"/>
      <c r="B9" s="107"/>
      <c r="C9" s="88"/>
      <c r="D9" s="14">
        <v>2</v>
      </c>
      <c r="E9" s="8">
        <v>479</v>
      </c>
      <c r="F9" s="8">
        <v>2</v>
      </c>
      <c r="G9" s="19">
        <v>257</v>
      </c>
      <c r="H9" s="8">
        <v>53</v>
      </c>
      <c r="I9" s="8">
        <v>164</v>
      </c>
      <c r="J9" s="17">
        <v>476</v>
      </c>
      <c r="K9" s="8">
        <v>3</v>
      </c>
      <c r="L9" s="18">
        <v>0</v>
      </c>
    </row>
    <row r="10" spans="1:12" ht="17.25" customHeight="1" x14ac:dyDescent="0.25">
      <c r="A10" s="99"/>
      <c r="B10" s="108"/>
      <c r="C10" s="89"/>
      <c r="D10" s="14">
        <v>3</v>
      </c>
      <c r="E10" s="8">
        <v>486</v>
      </c>
      <c r="F10" s="8">
        <v>3</v>
      </c>
      <c r="G10" s="19">
        <v>259</v>
      </c>
      <c r="H10" s="8">
        <v>46</v>
      </c>
      <c r="I10" s="8">
        <v>176</v>
      </c>
      <c r="J10" s="17">
        <v>484</v>
      </c>
      <c r="K10" s="8">
        <v>2</v>
      </c>
      <c r="L10" s="18">
        <v>0</v>
      </c>
    </row>
    <row r="11" spans="1:12" ht="17.25" customHeight="1" x14ac:dyDescent="0.25">
      <c r="A11" s="97">
        <v>18</v>
      </c>
      <c r="B11" s="106" t="s">
        <v>51</v>
      </c>
      <c r="C11" s="87" t="s">
        <v>52</v>
      </c>
      <c r="D11" s="14">
        <v>1</v>
      </c>
      <c r="E11" s="8">
        <v>358</v>
      </c>
      <c r="F11" s="8">
        <v>5</v>
      </c>
      <c r="G11" s="19">
        <v>281</v>
      </c>
      <c r="H11" s="8">
        <v>28</v>
      </c>
      <c r="I11" s="8">
        <v>37</v>
      </c>
      <c r="J11" s="17">
        <v>351</v>
      </c>
      <c r="K11" s="8">
        <v>7</v>
      </c>
      <c r="L11" s="18">
        <v>0</v>
      </c>
    </row>
    <row r="12" spans="1:12" ht="17.25" customHeight="1" x14ac:dyDescent="0.25">
      <c r="A12" s="98"/>
      <c r="B12" s="107"/>
      <c r="C12" s="88"/>
      <c r="D12" s="14">
        <v>2</v>
      </c>
      <c r="E12" s="8">
        <v>356</v>
      </c>
      <c r="F12" s="8">
        <v>2</v>
      </c>
      <c r="G12" s="19">
        <v>209</v>
      </c>
      <c r="H12" s="8">
        <v>42</v>
      </c>
      <c r="I12" s="8">
        <v>95</v>
      </c>
      <c r="J12" s="17">
        <v>348</v>
      </c>
      <c r="K12" s="8">
        <v>8</v>
      </c>
      <c r="L12" s="18">
        <v>0</v>
      </c>
    </row>
    <row r="13" spans="1:12" ht="17.25" customHeight="1" x14ac:dyDescent="0.25">
      <c r="A13" s="98"/>
      <c r="B13" s="107"/>
      <c r="C13" s="88"/>
      <c r="D13" s="14">
        <v>3</v>
      </c>
      <c r="E13" s="8">
        <v>423</v>
      </c>
      <c r="F13" s="8">
        <v>1</v>
      </c>
      <c r="G13" s="19">
        <v>233</v>
      </c>
      <c r="H13" s="8">
        <v>32</v>
      </c>
      <c r="I13" s="8">
        <v>154</v>
      </c>
      <c r="J13" s="17">
        <v>420</v>
      </c>
      <c r="K13" s="8">
        <v>3</v>
      </c>
      <c r="L13" s="18">
        <v>0</v>
      </c>
    </row>
    <row r="14" spans="1:12" ht="17.25" customHeight="1" x14ac:dyDescent="0.25">
      <c r="A14" s="98"/>
      <c r="B14" s="107"/>
      <c r="C14" s="88"/>
      <c r="D14" s="14">
        <v>4</v>
      </c>
      <c r="E14" s="8">
        <v>413</v>
      </c>
      <c r="F14" s="8">
        <v>5</v>
      </c>
      <c r="G14" s="19">
        <v>231</v>
      </c>
      <c r="H14" s="8">
        <v>25</v>
      </c>
      <c r="I14" s="8">
        <v>151</v>
      </c>
      <c r="J14" s="17">
        <v>412</v>
      </c>
      <c r="K14" s="8">
        <v>1</v>
      </c>
      <c r="L14" s="18">
        <v>0</v>
      </c>
    </row>
    <row r="15" spans="1:12" ht="17.25" customHeight="1" x14ac:dyDescent="0.25">
      <c r="A15" s="99"/>
      <c r="B15" s="108"/>
      <c r="C15" s="89"/>
      <c r="D15" s="14">
        <v>5</v>
      </c>
      <c r="E15" s="8">
        <v>431</v>
      </c>
      <c r="F15" s="8">
        <v>2</v>
      </c>
      <c r="G15" s="19">
        <v>220</v>
      </c>
      <c r="H15" s="8">
        <v>44</v>
      </c>
      <c r="I15" s="8">
        <v>165</v>
      </c>
      <c r="J15" s="17">
        <v>431</v>
      </c>
      <c r="K15" s="8">
        <v>0</v>
      </c>
      <c r="L15" s="18">
        <v>0</v>
      </c>
    </row>
    <row r="16" spans="1:12" ht="17.25" customHeight="1" x14ac:dyDescent="0.25">
      <c r="A16" s="97">
        <v>19</v>
      </c>
      <c r="B16" s="94" t="s">
        <v>53</v>
      </c>
      <c r="C16" s="90" t="s">
        <v>54</v>
      </c>
      <c r="D16" s="14">
        <v>1</v>
      </c>
      <c r="E16" s="8">
        <v>287</v>
      </c>
      <c r="F16" s="8">
        <v>1</v>
      </c>
      <c r="G16" s="19">
        <v>102</v>
      </c>
      <c r="H16" s="8">
        <v>167</v>
      </c>
      <c r="I16" s="8">
        <v>12</v>
      </c>
      <c r="J16" s="17">
        <v>282</v>
      </c>
      <c r="K16" s="8">
        <v>5</v>
      </c>
      <c r="L16" s="18">
        <v>0</v>
      </c>
    </row>
    <row r="17" spans="1:12" ht="17.25" customHeight="1" x14ac:dyDescent="0.25">
      <c r="A17" s="98"/>
      <c r="B17" s="95"/>
      <c r="C17" s="91"/>
      <c r="D17" s="14">
        <v>2</v>
      </c>
      <c r="E17" s="8">
        <v>340</v>
      </c>
      <c r="F17" s="8">
        <v>3</v>
      </c>
      <c r="G17" s="19">
        <v>100</v>
      </c>
      <c r="H17" s="8">
        <v>212</v>
      </c>
      <c r="I17" s="8">
        <v>14</v>
      </c>
      <c r="J17" s="17">
        <v>329</v>
      </c>
      <c r="K17" s="8">
        <v>11</v>
      </c>
      <c r="L17" s="18">
        <v>0</v>
      </c>
    </row>
    <row r="18" spans="1:12" ht="17.25" customHeight="1" x14ac:dyDescent="0.25">
      <c r="A18" s="98"/>
      <c r="B18" s="95"/>
      <c r="C18" s="91"/>
      <c r="D18" s="14">
        <v>3</v>
      </c>
      <c r="E18" s="8">
        <v>380</v>
      </c>
      <c r="F18" s="8">
        <v>2</v>
      </c>
      <c r="G18" s="19">
        <v>107</v>
      </c>
      <c r="H18" s="8">
        <v>240</v>
      </c>
      <c r="I18" s="8">
        <v>26</v>
      </c>
      <c r="J18" s="17">
        <v>375</v>
      </c>
      <c r="K18" s="8">
        <v>5</v>
      </c>
      <c r="L18" s="18">
        <v>0</v>
      </c>
    </row>
    <row r="19" spans="1:12" ht="17.25" customHeight="1" x14ac:dyDescent="0.25">
      <c r="A19" s="98"/>
      <c r="B19" s="95"/>
      <c r="C19" s="91"/>
      <c r="D19" s="14">
        <v>4</v>
      </c>
      <c r="E19" s="8">
        <v>353</v>
      </c>
      <c r="F19" s="8">
        <v>1</v>
      </c>
      <c r="G19" s="19">
        <v>108</v>
      </c>
      <c r="H19" s="8">
        <v>200</v>
      </c>
      <c r="I19" s="8">
        <v>41</v>
      </c>
      <c r="J19" s="17">
        <v>350</v>
      </c>
      <c r="K19" s="8">
        <v>3</v>
      </c>
      <c r="L19" s="18">
        <v>0</v>
      </c>
    </row>
    <row r="20" spans="1:12" ht="17.25" customHeight="1" x14ac:dyDescent="0.25">
      <c r="A20" s="99"/>
      <c r="B20" s="96"/>
      <c r="C20" s="92"/>
      <c r="D20" s="14">
        <v>5</v>
      </c>
      <c r="E20" s="8">
        <v>379</v>
      </c>
      <c r="F20" s="8">
        <v>0</v>
      </c>
      <c r="G20" s="19">
        <v>134</v>
      </c>
      <c r="H20" s="8">
        <v>190</v>
      </c>
      <c r="I20" s="8">
        <v>55</v>
      </c>
      <c r="J20" s="17">
        <v>379</v>
      </c>
      <c r="K20" s="8">
        <v>0</v>
      </c>
      <c r="L20" s="18">
        <v>0</v>
      </c>
    </row>
    <row r="21" spans="1:12" ht="17.25" customHeight="1" x14ac:dyDescent="0.25">
      <c r="A21" s="97">
        <v>20</v>
      </c>
      <c r="B21" s="82" t="s">
        <v>55</v>
      </c>
      <c r="C21" s="84" t="s">
        <v>56</v>
      </c>
      <c r="D21" s="14">
        <v>1</v>
      </c>
      <c r="E21" s="8">
        <v>362</v>
      </c>
      <c r="F21" s="8">
        <v>1</v>
      </c>
      <c r="G21" s="19">
        <v>236</v>
      </c>
      <c r="H21" s="8">
        <v>62</v>
      </c>
      <c r="I21" s="8">
        <v>62</v>
      </c>
      <c r="J21" s="17">
        <v>361</v>
      </c>
      <c r="K21" s="8">
        <v>1</v>
      </c>
      <c r="L21" s="18">
        <v>0</v>
      </c>
    </row>
    <row r="22" spans="1:12" ht="17.25" customHeight="1" x14ac:dyDescent="0.25">
      <c r="A22" s="99"/>
      <c r="B22" s="83"/>
      <c r="C22" s="85"/>
      <c r="D22" s="14">
        <v>2</v>
      </c>
      <c r="E22" s="8">
        <v>416</v>
      </c>
      <c r="F22" s="8">
        <v>1</v>
      </c>
      <c r="G22" s="19">
        <v>205</v>
      </c>
      <c r="H22" s="8">
        <v>87</v>
      </c>
      <c r="I22" s="8">
        <v>122</v>
      </c>
      <c r="J22" s="17">
        <v>415</v>
      </c>
      <c r="K22" s="8">
        <v>1</v>
      </c>
      <c r="L22" s="18">
        <v>0</v>
      </c>
    </row>
    <row r="23" spans="1:12" ht="30" customHeight="1" x14ac:dyDescent="0.25"/>
    <row r="24" spans="1:12" ht="294" customHeight="1" x14ac:dyDescent="0.25"/>
    <row r="25" spans="1:12" ht="294" customHeight="1" x14ac:dyDescent="0.25"/>
  </sheetData>
  <mergeCells count="25">
    <mergeCell ref="A21:A22"/>
    <mergeCell ref="B21:B22"/>
    <mergeCell ref="C21:C22"/>
    <mergeCell ref="A11:A15"/>
    <mergeCell ref="B11:B15"/>
    <mergeCell ref="C11:C15"/>
    <mergeCell ref="A16:A20"/>
    <mergeCell ref="B16:B20"/>
    <mergeCell ref="C16:C20"/>
    <mergeCell ref="A5:A7"/>
    <mergeCell ref="B5:B7"/>
    <mergeCell ref="C5:C7"/>
    <mergeCell ref="A8:A10"/>
    <mergeCell ref="B8:B10"/>
    <mergeCell ref="C8:C10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8"/>
  <sheetViews>
    <sheetView topLeftCell="A5" workbookViewId="0">
      <selection activeCell="A5" sqref="A5:L25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44" t="s">
        <v>57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2" ht="18" customHeight="1" x14ac:dyDescent="0.25">
      <c r="A2" s="47" t="s">
        <v>1</v>
      </c>
      <c r="B2" s="50" t="s">
        <v>2</v>
      </c>
      <c r="C2" s="50" t="s">
        <v>3</v>
      </c>
      <c r="D2" s="53" t="s">
        <v>4</v>
      </c>
      <c r="E2" s="56" t="s">
        <v>5</v>
      </c>
      <c r="F2" s="59" t="s">
        <v>6</v>
      </c>
      <c r="G2" s="60"/>
      <c r="H2" s="60"/>
      <c r="I2" s="60"/>
      <c r="J2" s="61"/>
      <c r="K2" s="62" t="s">
        <v>7</v>
      </c>
      <c r="L2" s="65" t="s">
        <v>8</v>
      </c>
    </row>
    <row r="3" spans="1:12" ht="29.7" customHeight="1" x14ac:dyDescent="0.25">
      <c r="A3" s="48"/>
      <c r="B3" s="51"/>
      <c r="C3" s="51"/>
      <c r="D3" s="54"/>
      <c r="E3" s="57"/>
      <c r="F3" s="1" t="s">
        <v>9</v>
      </c>
      <c r="G3" s="2" t="s">
        <v>10</v>
      </c>
      <c r="H3" s="2" t="s">
        <v>11</v>
      </c>
      <c r="I3" s="3" t="s">
        <v>12</v>
      </c>
      <c r="J3" s="68" t="s">
        <v>13</v>
      </c>
      <c r="K3" s="63"/>
      <c r="L3" s="66"/>
    </row>
    <row r="4" spans="1:12" ht="28.2" customHeight="1" x14ac:dyDescent="0.25">
      <c r="A4" s="49"/>
      <c r="B4" s="52"/>
      <c r="C4" s="52"/>
      <c r="D4" s="55"/>
      <c r="E4" s="58"/>
      <c r="F4" s="4"/>
      <c r="G4" s="4"/>
      <c r="H4" s="4"/>
      <c r="I4" s="4"/>
      <c r="J4" s="69"/>
      <c r="K4" s="64"/>
      <c r="L4" s="67"/>
    </row>
    <row r="5" spans="1:12" ht="17.25" customHeight="1" x14ac:dyDescent="0.25">
      <c r="A5" s="97">
        <v>21</v>
      </c>
      <c r="B5" s="106" t="s">
        <v>58</v>
      </c>
      <c r="C5" s="90" t="s">
        <v>59</v>
      </c>
      <c r="D5" s="14">
        <v>1</v>
      </c>
      <c r="E5" s="8">
        <v>315</v>
      </c>
      <c r="F5" s="8">
        <v>0</v>
      </c>
      <c r="G5" s="9">
        <v>55</v>
      </c>
      <c r="H5" s="8">
        <v>242</v>
      </c>
      <c r="I5" s="8">
        <v>13</v>
      </c>
      <c r="J5" s="17">
        <v>310</v>
      </c>
      <c r="K5" s="8">
        <v>5</v>
      </c>
      <c r="L5" s="18">
        <v>0</v>
      </c>
    </row>
    <row r="6" spans="1:12" ht="17.25" customHeight="1" x14ac:dyDescent="0.25">
      <c r="A6" s="98"/>
      <c r="B6" s="107"/>
      <c r="C6" s="91"/>
      <c r="D6" s="14">
        <v>2</v>
      </c>
      <c r="E6" s="8">
        <v>323</v>
      </c>
      <c r="F6" s="8">
        <v>0</v>
      </c>
      <c r="G6" s="9">
        <v>50</v>
      </c>
      <c r="H6" s="8">
        <v>252</v>
      </c>
      <c r="I6" s="8">
        <v>15</v>
      </c>
      <c r="J6" s="17">
        <v>317</v>
      </c>
      <c r="K6" s="8">
        <v>6</v>
      </c>
      <c r="L6" s="18">
        <v>0</v>
      </c>
    </row>
    <row r="7" spans="1:12" ht="17.25" customHeight="1" x14ac:dyDescent="0.25">
      <c r="A7" s="98"/>
      <c r="B7" s="107"/>
      <c r="C7" s="91"/>
      <c r="D7" s="14">
        <v>3</v>
      </c>
      <c r="E7" s="8">
        <v>280</v>
      </c>
      <c r="F7" s="8">
        <v>2</v>
      </c>
      <c r="G7" s="9">
        <v>61</v>
      </c>
      <c r="H7" s="8">
        <v>188</v>
      </c>
      <c r="I7" s="8">
        <v>27</v>
      </c>
      <c r="J7" s="17">
        <v>278</v>
      </c>
      <c r="K7" s="8">
        <v>2</v>
      </c>
      <c r="L7" s="18">
        <v>0</v>
      </c>
    </row>
    <row r="8" spans="1:12" ht="17.25" customHeight="1" x14ac:dyDescent="0.25">
      <c r="A8" s="99"/>
      <c r="B8" s="108"/>
      <c r="C8" s="92"/>
      <c r="D8" s="14">
        <v>4</v>
      </c>
      <c r="E8" s="8">
        <v>293</v>
      </c>
      <c r="F8" s="8">
        <v>1</v>
      </c>
      <c r="G8" s="9">
        <v>66</v>
      </c>
      <c r="H8" s="8">
        <v>181</v>
      </c>
      <c r="I8" s="8">
        <v>45</v>
      </c>
      <c r="J8" s="17">
        <v>293</v>
      </c>
      <c r="K8" s="8">
        <v>0</v>
      </c>
      <c r="L8" s="18">
        <v>0</v>
      </c>
    </row>
    <row r="9" spans="1:12" ht="17.25" customHeight="1" x14ac:dyDescent="0.25">
      <c r="A9" s="97">
        <v>22</v>
      </c>
      <c r="B9" s="82" t="s">
        <v>60</v>
      </c>
      <c r="C9" s="84" t="s">
        <v>61</v>
      </c>
      <c r="D9" s="14">
        <v>1</v>
      </c>
      <c r="E9" s="8">
        <v>384</v>
      </c>
      <c r="F9" s="8">
        <v>0</v>
      </c>
      <c r="G9" s="9">
        <v>245</v>
      </c>
      <c r="H9" s="8">
        <v>67</v>
      </c>
      <c r="I9" s="8">
        <v>69</v>
      </c>
      <c r="J9" s="17">
        <v>381</v>
      </c>
      <c r="K9" s="8">
        <v>3</v>
      </c>
      <c r="L9" s="18">
        <v>0</v>
      </c>
    </row>
    <row r="10" spans="1:12" ht="17.25" customHeight="1" x14ac:dyDescent="0.25">
      <c r="A10" s="99"/>
      <c r="B10" s="83"/>
      <c r="C10" s="85"/>
      <c r="D10" s="14">
        <v>2</v>
      </c>
      <c r="E10" s="8">
        <v>457</v>
      </c>
      <c r="F10" s="8">
        <v>1</v>
      </c>
      <c r="G10" s="9">
        <v>270</v>
      </c>
      <c r="H10" s="8">
        <v>72</v>
      </c>
      <c r="I10" s="8">
        <v>107</v>
      </c>
      <c r="J10" s="17">
        <v>450</v>
      </c>
      <c r="K10" s="8">
        <v>7</v>
      </c>
      <c r="L10" s="18">
        <v>0</v>
      </c>
    </row>
    <row r="11" spans="1:12" ht="17.25" customHeight="1" x14ac:dyDescent="0.25">
      <c r="A11" s="97">
        <v>23</v>
      </c>
      <c r="B11" s="100" t="s">
        <v>62</v>
      </c>
      <c r="C11" s="87" t="s">
        <v>63</v>
      </c>
      <c r="D11" s="14">
        <v>1</v>
      </c>
      <c r="E11" s="8">
        <v>321</v>
      </c>
      <c r="F11" s="8">
        <v>5</v>
      </c>
      <c r="G11" s="9">
        <v>190</v>
      </c>
      <c r="H11" s="8">
        <v>92</v>
      </c>
      <c r="I11" s="8">
        <v>28</v>
      </c>
      <c r="J11" s="17">
        <v>315</v>
      </c>
      <c r="K11" s="8">
        <v>6</v>
      </c>
      <c r="L11" s="18">
        <v>0</v>
      </c>
    </row>
    <row r="12" spans="1:12" ht="17.25" customHeight="1" x14ac:dyDescent="0.25">
      <c r="A12" s="98"/>
      <c r="B12" s="101"/>
      <c r="C12" s="88"/>
      <c r="D12" s="14">
        <v>2</v>
      </c>
      <c r="E12" s="8">
        <v>291</v>
      </c>
      <c r="F12" s="8">
        <v>2</v>
      </c>
      <c r="G12" s="9">
        <v>162</v>
      </c>
      <c r="H12" s="8">
        <v>80</v>
      </c>
      <c r="I12" s="8">
        <v>41</v>
      </c>
      <c r="J12" s="17">
        <v>285</v>
      </c>
      <c r="K12" s="8">
        <v>6</v>
      </c>
      <c r="L12" s="18">
        <v>0</v>
      </c>
    </row>
    <row r="13" spans="1:12" ht="17.25" customHeight="1" x14ac:dyDescent="0.25">
      <c r="A13" s="99"/>
      <c r="B13" s="102"/>
      <c r="C13" s="89"/>
      <c r="D13" s="14">
        <v>3</v>
      </c>
      <c r="E13" s="8">
        <v>263</v>
      </c>
      <c r="F13" s="8">
        <v>0</v>
      </c>
      <c r="G13" s="9">
        <v>148</v>
      </c>
      <c r="H13" s="8">
        <v>67</v>
      </c>
      <c r="I13" s="8">
        <v>36</v>
      </c>
      <c r="J13" s="17">
        <v>251</v>
      </c>
      <c r="K13" s="8">
        <v>12</v>
      </c>
      <c r="L13" s="18">
        <v>0</v>
      </c>
    </row>
    <row r="14" spans="1:12" ht="17.25" customHeight="1" x14ac:dyDescent="0.25">
      <c r="A14" s="97">
        <v>24</v>
      </c>
      <c r="B14" s="100" t="s">
        <v>64</v>
      </c>
      <c r="C14" s="87" t="s">
        <v>65</v>
      </c>
      <c r="D14" s="14">
        <v>1</v>
      </c>
      <c r="E14" s="8">
        <v>359</v>
      </c>
      <c r="F14" s="8">
        <v>6</v>
      </c>
      <c r="G14" s="9">
        <v>250</v>
      </c>
      <c r="H14" s="8">
        <v>50</v>
      </c>
      <c r="I14" s="8">
        <v>42</v>
      </c>
      <c r="J14" s="17">
        <v>348</v>
      </c>
      <c r="K14" s="8">
        <v>11</v>
      </c>
      <c r="L14" s="18">
        <v>0</v>
      </c>
    </row>
    <row r="15" spans="1:12" ht="17.25" customHeight="1" x14ac:dyDescent="0.25">
      <c r="A15" s="98"/>
      <c r="B15" s="101"/>
      <c r="C15" s="88"/>
      <c r="D15" s="14">
        <v>2</v>
      </c>
      <c r="E15" s="8">
        <v>364</v>
      </c>
      <c r="F15" s="8">
        <v>1</v>
      </c>
      <c r="G15" s="9">
        <v>235</v>
      </c>
      <c r="H15" s="8">
        <v>61</v>
      </c>
      <c r="I15" s="8">
        <v>61</v>
      </c>
      <c r="J15" s="17">
        <v>358</v>
      </c>
      <c r="K15" s="8">
        <v>6</v>
      </c>
      <c r="L15" s="18">
        <v>0</v>
      </c>
    </row>
    <row r="16" spans="1:12" ht="17.25" customHeight="1" x14ac:dyDescent="0.25">
      <c r="A16" s="98"/>
      <c r="B16" s="101"/>
      <c r="C16" s="88"/>
      <c r="D16" s="14">
        <v>3</v>
      </c>
      <c r="E16" s="8">
        <v>447</v>
      </c>
      <c r="F16" s="8">
        <v>3</v>
      </c>
      <c r="G16" s="9">
        <v>218</v>
      </c>
      <c r="H16" s="8">
        <v>60</v>
      </c>
      <c r="I16" s="8">
        <v>165</v>
      </c>
      <c r="J16" s="17">
        <v>446</v>
      </c>
      <c r="K16" s="8">
        <v>1</v>
      </c>
      <c r="L16" s="18">
        <v>0</v>
      </c>
    </row>
    <row r="17" spans="1:12" ht="17.25" customHeight="1" x14ac:dyDescent="0.25">
      <c r="A17" s="98"/>
      <c r="B17" s="101"/>
      <c r="C17" s="88"/>
      <c r="D17" s="14">
        <v>4</v>
      </c>
      <c r="E17" s="8">
        <v>438</v>
      </c>
      <c r="F17" s="8">
        <v>1</v>
      </c>
      <c r="G17" s="9">
        <v>198</v>
      </c>
      <c r="H17" s="8">
        <v>46</v>
      </c>
      <c r="I17" s="8">
        <v>187</v>
      </c>
      <c r="J17" s="17">
        <v>432</v>
      </c>
      <c r="K17" s="8">
        <v>6</v>
      </c>
      <c r="L17" s="18">
        <v>0</v>
      </c>
    </row>
    <row r="18" spans="1:12" ht="17.25" customHeight="1" x14ac:dyDescent="0.25">
      <c r="A18" s="99"/>
      <c r="B18" s="102"/>
      <c r="C18" s="89"/>
      <c r="D18" s="14">
        <v>5</v>
      </c>
      <c r="E18" s="8">
        <v>445</v>
      </c>
      <c r="F18" s="8">
        <v>1</v>
      </c>
      <c r="G18" s="9">
        <v>209</v>
      </c>
      <c r="H18" s="8">
        <v>60</v>
      </c>
      <c r="I18" s="8">
        <v>172</v>
      </c>
      <c r="J18" s="17">
        <v>442</v>
      </c>
      <c r="K18" s="8">
        <v>3</v>
      </c>
      <c r="L18" s="18">
        <v>0</v>
      </c>
    </row>
    <row r="19" spans="1:12" ht="17.25" customHeight="1" x14ac:dyDescent="0.25">
      <c r="A19" s="97">
        <v>25</v>
      </c>
      <c r="B19" s="109" t="s">
        <v>66</v>
      </c>
      <c r="C19" s="84" t="s">
        <v>67</v>
      </c>
      <c r="D19" s="14">
        <v>1</v>
      </c>
      <c r="E19" s="8">
        <v>401</v>
      </c>
      <c r="F19" s="8">
        <v>3</v>
      </c>
      <c r="G19" s="9">
        <v>280</v>
      </c>
      <c r="H19" s="8">
        <v>45</v>
      </c>
      <c r="I19" s="8">
        <v>67</v>
      </c>
      <c r="J19" s="17">
        <v>395</v>
      </c>
      <c r="K19" s="8">
        <v>6</v>
      </c>
      <c r="L19" s="18">
        <v>0</v>
      </c>
    </row>
    <row r="20" spans="1:12" ht="17.25" customHeight="1" x14ac:dyDescent="0.25">
      <c r="A20" s="99"/>
      <c r="B20" s="110"/>
      <c r="C20" s="85"/>
      <c r="D20" s="14">
        <v>2</v>
      </c>
      <c r="E20" s="8">
        <v>523</v>
      </c>
      <c r="F20" s="8">
        <v>3</v>
      </c>
      <c r="G20" s="9">
        <v>263</v>
      </c>
      <c r="H20" s="8">
        <v>53</v>
      </c>
      <c r="I20" s="8">
        <v>201</v>
      </c>
      <c r="J20" s="17">
        <v>520</v>
      </c>
      <c r="K20" s="8">
        <v>3</v>
      </c>
      <c r="L20" s="18">
        <v>0</v>
      </c>
    </row>
    <row r="21" spans="1:12" ht="17.25" customHeight="1" x14ac:dyDescent="0.25">
      <c r="A21" s="97">
        <v>26</v>
      </c>
      <c r="B21" s="100" t="s">
        <v>68</v>
      </c>
      <c r="C21" s="87" t="s">
        <v>69</v>
      </c>
      <c r="D21" s="14">
        <v>1</v>
      </c>
      <c r="E21" s="8">
        <v>394</v>
      </c>
      <c r="F21" s="8">
        <v>2</v>
      </c>
      <c r="G21" s="9">
        <v>301</v>
      </c>
      <c r="H21" s="8">
        <v>20</v>
      </c>
      <c r="I21" s="8">
        <v>61</v>
      </c>
      <c r="J21" s="17">
        <v>384</v>
      </c>
      <c r="K21" s="8">
        <v>10</v>
      </c>
      <c r="L21" s="18">
        <v>0</v>
      </c>
    </row>
    <row r="22" spans="1:12" ht="17.25" customHeight="1" x14ac:dyDescent="0.25">
      <c r="A22" s="98"/>
      <c r="B22" s="101"/>
      <c r="C22" s="88"/>
      <c r="D22" s="14">
        <v>2</v>
      </c>
      <c r="E22" s="8">
        <v>393</v>
      </c>
      <c r="F22" s="8">
        <v>2</v>
      </c>
      <c r="G22" s="9">
        <v>278</v>
      </c>
      <c r="H22" s="8">
        <v>29</v>
      </c>
      <c r="I22" s="8">
        <v>68</v>
      </c>
      <c r="J22" s="17">
        <v>377</v>
      </c>
      <c r="K22" s="8">
        <v>16</v>
      </c>
      <c r="L22" s="18">
        <v>0</v>
      </c>
    </row>
    <row r="23" spans="1:12" ht="17.25" customHeight="1" x14ac:dyDescent="0.25">
      <c r="A23" s="98"/>
      <c r="B23" s="101"/>
      <c r="C23" s="88"/>
      <c r="D23" s="14">
        <v>3</v>
      </c>
      <c r="E23" s="8">
        <v>467</v>
      </c>
      <c r="F23" s="8">
        <v>6</v>
      </c>
      <c r="G23" s="9">
        <v>267</v>
      </c>
      <c r="H23" s="8">
        <v>43</v>
      </c>
      <c r="I23" s="8">
        <v>150</v>
      </c>
      <c r="J23" s="17">
        <v>466</v>
      </c>
      <c r="K23" s="8">
        <v>1</v>
      </c>
      <c r="L23" s="18">
        <v>0</v>
      </c>
    </row>
    <row r="24" spans="1:12" ht="17.25" customHeight="1" x14ac:dyDescent="0.25">
      <c r="A24" s="98"/>
      <c r="B24" s="101"/>
      <c r="C24" s="88"/>
      <c r="D24" s="14">
        <v>4</v>
      </c>
      <c r="E24" s="8">
        <v>461</v>
      </c>
      <c r="F24" s="8">
        <v>2</v>
      </c>
      <c r="G24" s="9">
        <v>246</v>
      </c>
      <c r="H24" s="8">
        <v>22</v>
      </c>
      <c r="I24" s="8">
        <v>188</v>
      </c>
      <c r="J24" s="17">
        <v>458</v>
      </c>
      <c r="K24" s="8">
        <v>3</v>
      </c>
      <c r="L24" s="18">
        <v>0</v>
      </c>
    </row>
    <row r="25" spans="1:12" ht="17.25" customHeight="1" x14ac:dyDescent="0.25">
      <c r="A25" s="99"/>
      <c r="B25" s="102"/>
      <c r="C25" s="89"/>
      <c r="D25" s="14">
        <v>5</v>
      </c>
      <c r="E25" s="8">
        <v>486</v>
      </c>
      <c r="F25" s="8">
        <v>0</v>
      </c>
      <c r="G25" s="9">
        <v>281</v>
      </c>
      <c r="H25" s="8">
        <v>34</v>
      </c>
      <c r="I25" s="8">
        <v>171</v>
      </c>
      <c r="J25" s="17">
        <v>486</v>
      </c>
      <c r="K25" s="8">
        <v>0</v>
      </c>
      <c r="L25" s="18">
        <v>0</v>
      </c>
    </row>
    <row r="26" spans="1:12" ht="30" customHeight="1" x14ac:dyDescent="0.25"/>
    <row r="27" spans="1:12" ht="342" customHeight="1" x14ac:dyDescent="0.25"/>
    <row r="28" spans="1:12" ht="342" customHeight="1" x14ac:dyDescent="0.25"/>
  </sheetData>
  <mergeCells count="28">
    <mergeCell ref="A19:A20"/>
    <mergeCell ref="B19:B20"/>
    <mergeCell ref="C19:C20"/>
    <mergeCell ref="A21:A25"/>
    <mergeCell ref="B21:B25"/>
    <mergeCell ref="C21:C25"/>
    <mergeCell ref="A11:A13"/>
    <mergeCell ref="B11:B13"/>
    <mergeCell ref="C11:C13"/>
    <mergeCell ref="A14:A18"/>
    <mergeCell ref="B14:B18"/>
    <mergeCell ref="C14:C18"/>
    <mergeCell ref="A5:A8"/>
    <mergeCell ref="B5:B8"/>
    <mergeCell ref="C5:C8"/>
    <mergeCell ref="A9:A10"/>
    <mergeCell ref="B9:B10"/>
    <mergeCell ref="C9:C10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4"/>
  <sheetViews>
    <sheetView topLeftCell="A5" workbookViewId="0">
      <selection activeCell="A5" sqref="A5:L21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44" t="s">
        <v>70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2" ht="18" customHeight="1" x14ac:dyDescent="0.25">
      <c r="A2" s="47" t="s">
        <v>1</v>
      </c>
      <c r="B2" s="50" t="s">
        <v>2</v>
      </c>
      <c r="C2" s="50" t="s">
        <v>3</v>
      </c>
      <c r="D2" s="53" t="s">
        <v>4</v>
      </c>
      <c r="E2" s="56" t="s">
        <v>5</v>
      </c>
      <c r="F2" s="59" t="s">
        <v>6</v>
      </c>
      <c r="G2" s="60"/>
      <c r="H2" s="60"/>
      <c r="I2" s="60"/>
      <c r="J2" s="61"/>
      <c r="K2" s="62" t="s">
        <v>7</v>
      </c>
      <c r="L2" s="65" t="s">
        <v>8</v>
      </c>
    </row>
    <row r="3" spans="1:12" ht="29.7" customHeight="1" x14ac:dyDescent="0.25">
      <c r="A3" s="48"/>
      <c r="B3" s="51"/>
      <c r="C3" s="51"/>
      <c r="D3" s="54"/>
      <c r="E3" s="57"/>
      <c r="F3" s="1" t="s">
        <v>9</v>
      </c>
      <c r="G3" s="2" t="s">
        <v>10</v>
      </c>
      <c r="H3" s="2" t="s">
        <v>11</v>
      </c>
      <c r="I3" s="3" t="s">
        <v>12</v>
      </c>
      <c r="J3" s="68" t="s">
        <v>13</v>
      </c>
      <c r="K3" s="63"/>
      <c r="L3" s="66"/>
    </row>
    <row r="4" spans="1:12" ht="28.2" customHeight="1" x14ac:dyDescent="0.25">
      <c r="A4" s="49"/>
      <c r="B4" s="52"/>
      <c r="C4" s="52"/>
      <c r="D4" s="55"/>
      <c r="E4" s="58"/>
      <c r="F4" s="4"/>
      <c r="G4" s="4"/>
      <c r="H4" s="4"/>
      <c r="I4" s="4"/>
      <c r="J4" s="69"/>
      <c r="K4" s="64"/>
      <c r="L4" s="67"/>
    </row>
    <row r="5" spans="1:12" ht="32.700000000000003" customHeight="1" x14ac:dyDescent="0.25">
      <c r="A5" s="15">
        <v>27</v>
      </c>
      <c r="B5" s="6" t="s">
        <v>71</v>
      </c>
      <c r="C5" s="13" t="s">
        <v>72</v>
      </c>
      <c r="D5" s="14">
        <v>1</v>
      </c>
      <c r="E5" s="8">
        <v>177</v>
      </c>
      <c r="F5" s="8">
        <v>0</v>
      </c>
      <c r="G5" s="9">
        <v>84</v>
      </c>
      <c r="H5" s="8">
        <v>12</v>
      </c>
      <c r="I5" s="8">
        <v>80</v>
      </c>
      <c r="J5" s="17">
        <v>176</v>
      </c>
      <c r="K5" s="8">
        <v>1</v>
      </c>
      <c r="L5" s="18">
        <v>0</v>
      </c>
    </row>
    <row r="6" spans="1:12" ht="32.700000000000003" customHeight="1" x14ac:dyDescent="0.25">
      <c r="A6" s="15">
        <v>28</v>
      </c>
      <c r="B6" s="6" t="s">
        <v>73</v>
      </c>
      <c r="C6" s="6" t="s">
        <v>74</v>
      </c>
      <c r="D6" s="14">
        <v>1</v>
      </c>
      <c r="E6" s="8">
        <v>247</v>
      </c>
      <c r="F6" s="8">
        <v>0</v>
      </c>
      <c r="G6" s="9">
        <v>104</v>
      </c>
      <c r="H6" s="8">
        <v>112</v>
      </c>
      <c r="I6" s="8">
        <v>27</v>
      </c>
      <c r="J6" s="17">
        <v>243</v>
      </c>
      <c r="K6" s="8">
        <v>4</v>
      </c>
      <c r="L6" s="18">
        <v>0</v>
      </c>
    </row>
    <row r="7" spans="1:12" ht="17.25" customHeight="1" x14ac:dyDescent="0.25">
      <c r="A7" s="97">
        <v>29</v>
      </c>
      <c r="B7" s="90" t="s">
        <v>75</v>
      </c>
      <c r="C7" s="87" t="s">
        <v>76</v>
      </c>
      <c r="D7" s="14">
        <v>1</v>
      </c>
      <c r="E7" s="8">
        <v>326</v>
      </c>
      <c r="F7" s="8">
        <v>5</v>
      </c>
      <c r="G7" s="9">
        <v>160</v>
      </c>
      <c r="H7" s="8">
        <v>130</v>
      </c>
      <c r="I7" s="8">
        <v>23</v>
      </c>
      <c r="J7" s="17">
        <v>318</v>
      </c>
      <c r="K7" s="8">
        <v>8</v>
      </c>
      <c r="L7" s="18">
        <v>0</v>
      </c>
    </row>
    <row r="8" spans="1:12" ht="17.25" customHeight="1" x14ac:dyDescent="0.25">
      <c r="A8" s="98"/>
      <c r="B8" s="91"/>
      <c r="C8" s="88"/>
      <c r="D8" s="14">
        <v>2</v>
      </c>
      <c r="E8" s="8">
        <v>358</v>
      </c>
      <c r="F8" s="8">
        <v>2</v>
      </c>
      <c r="G8" s="9">
        <v>159</v>
      </c>
      <c r="H8" s="8">
        <v>148</v>
      </c>
      <c r="I8" s="8">
        <v>45</v>
      </c>
      <c r="J8" s="17">
        <v>354</v>
      </c>
      <c r="K8" s="8">
        <v>4</v>
      </c>
      <c r="L8" s="18">
        <v>0</v>
      </c>
    </row>
    <row r="9" spans="1:12" ht="17.25" customHeight="1" x14ac:dyDescent="0.25">
      <c r="A9" s="98"/>
      <c r="B9" s="91"/>
      <c r="C9" s="88"/>
      <c r="D9" s="14">
        <v>3</v>
      </c>
      <c r="E9" s="8">
        <v>500</v>
      </c>
      <c r="F9" s="8">
        <v>2</v>
      </c>
      <c r="G9" s="9">
        <v>165</v>
      </c>
      <c r="H9" s="8">
        <v>230</v>
      </c>
      <c r="I9" s="8">
        <v>99</v>
      </c>
      <c r="J9" s="17">
        <v>496</v>
      </c>
      <c r="K9" s="8">
        <v>4</v>
      </c>
      <c r="L9" s="18">
        <v>0</v>
      </c>
    </row>
    <row r="10" spans="1:12" ht="17.25" customHeight="1" x14ac:dyDescent="0.25">
      <c r="A10" s="99"/>
      <c r="B10" s="92"/>
      <c r="C10" s="89"/>
      <c r="D10" s="14">
        <v>4</v>
      </c>
      <c r="E10" s="8">
        <v>545</v>
      </c>
      <c r="F10" s="8">
        <v>2</v>
      </c>
      <c r="G10" s="9">
        <v>204</v>
      </c>
      <c r="H10" s="8">
        <v>182</v>
      </c>
      <c r="I10" s="8">
        <v>156</v>
      </c>
      <c r="J10" s="17">
        <v>544</v>
      </c>
      <c r="K10" s="8">
        <v>1</v>
      </c>
      <c r="L10" s="18">
        <v>0</v>
      </c>
    </row>
    <row r="11" spans="1:12" ht="17.25" customHeight="1" x14ac:dyDescent="0.25">
      <c r="A11" s="97">
        <v>30</v>
      </c>
      <c r="B11" s="77" t="s">
        <v>77</v>
      </c>
      <c r="C11" s="90" t="s">
        <v>78</v>
      </c>
      <c r="D11" s="14">
        <v>1</v>
      </c>
      <c r="E11" s="8">
        <v>359</v>
      </c>
      <c r="F11" s="8">
        <v>0</v>
      </c>
      <c r="G11" s="9">
        <v>253</v>
      </c>
      <c r="H11" s="8">
        <v>26</v>
      </c>
      <c r="I11" s="8">
        <v>76</v>
      </c>
      <c r="J11" s="17">
        <v>355</v>
      </c>
      <c r="K11" s="8">
        <v>4</v>
      </c>
      <c r="L11" s="18">
        <v>0</v>
      </c>
    </row>
    <row r="12" spans="1:12" ht="17.25" customHeight="1" x14ac:dyDescent="0.25">
      <c r="A12" s="99"/>
      <c r="B12" s="78"/>
      <c r="C12" s="92"/>
      <c r="D12" s="14">
        <v>2</v>
      </c>
      <c r="E12" s="8">
        <v>533</v>
      </c>
      <c r="F12" s="8">
        <v>1</v>
      </c>
      <c r="G12" s="9">
        <v>276</v>
      </c>
      <c r="H12" s="8">
        <v>51</v>
      </c>
      <c r="I12" s="8">
        <v>205</v>
      </c>
      <c r="J12" s="17">
        <v>533</v>
      </c>
      <c r="K12" s="8">
        <v>0</v>
      </c>
      <c r="L12" s="18">
        <v>0</v>
      </c>
    </row>
    <row r="13" spans="1:12" ht="17.25" customHeight="1" x14ac:dyDescent="0.25">
      <c r="A13" s="97">
        <v>31</v>
      </c>
      <c r="B13" s="106" t="s">
        <v>79</v>
      </c>
      <c r="C13" s="87" t="s">
        <v>80</v>
      </c>
      <c r="D13" s="14">
        <v>1</v>
      </c>
      <c r="E13" s="8">
        <v>383</v>
      </c>
      <c r="F13" s="8">
        <v>6</v>
      </c>
      <c r="G13" s="9">
        <v>294</v>
      </c>
      <c r="H13" s="8">
        <v>24</v>
      </c>
      <c r="I13" s="8">
        <v>52</v>
      </c>
      <c r="J13" s="17">
        <v>376</v>
      </c>
      <c r="K13" s="8">
        <v>7</v>
      </c>
      <c r="L13" s="18">
        <v>0</v>
      </c>
    </row>
    <row r="14" spans="1:12" ht="17.25" customHeight="1" x14ac:dyDescent="0.25">
      <c r="A14" s="98"/>
      <c r="B14" s="107"/>
      <c r="C14" s="88"/>
      <c r="D14" s="14">
        <v>2</v>
      </c>
      <c r="E14" s="8">
        <v>367</v>
      </c>
      <c r="F14" s="8">
        <v>2</v>
      </c>
      <c r="G14" s="9">
        <v>244</v>
      </c>
      <c r="H14" s="8">
        <v>52</v>
      </c>
      <c r="I14" s="8">
        <v>66</v>
      </c>
      <c r="J14" s="17">
        <v>364</v>
      </c>
      <c r="K14" s="8">
        <v>3</v>
      </c>
      <c r="L14" s="18">
        <v>0</v>
      </c>
    </row>
    <row r="15" spans="1:12" ht="17.25" customHeight="1" x14ac:dyDescent="0.25">
      <c r="A15" s="98"/>
      <c r="B15" s="107"/>
      <c r="C15" s="88"/>
      <c r="D15" s="14">
        <v>3</v>
      </c>
      <c r="E15" s="8">
        <v>464</v>
      </c>
      <c r="F15" s="8">
        <v>2</v>
      </c>
      <c r="G15" s="9">
        <v>256</v>
      </c>
      <c r="H15" s="8">
        <v>31</v>
      </c>
      <c r="I15" s="8">
        <v>170</v>
      </c>
      <c r="J15" s="17">
        <v>459</v>
      </c>
      <c r="K15" s="8">
        <v>5</v>
      </c>
      <c r="L15" s="18">
        <v>0</v>
      </c>
    </row>
    <row r="16" spans="1:12" ht="17.25" customHeight="1" x14ac:dyDescent="0.25">
      <c r="A16" s="98"/>
      <c r="B16" s="107"/>
      <c r="C16" s="88"/>
      <c r="D16" s="14">
        <v>4</v>
      </c>
      <c r="E16" s="8">
        <v>445</v>
      </c>
      <c r="F16" s="8">
        <v>1</v>
      </c>
      <c r="G16" s="9">
        <v>237</v>
      </c>
      <c r="H16" s="8">
        <v>33</v>
      </c>
      <c r="I16" s="8">
        <v>173</v>
      </c>
      <c r="J16" s="17">
        <v>444</v>
      </c>
      <c r="K16" s="8">
        <v>1</v>
      </c>
      <c r="L16" s="18">
        <v>0</v>
      </c>
    </row>
    <row r="17" spans="1:12" ht="17.25" customHeight="1" x14ac:dyDescent="0.25">
      <c r="A17" s="99"/>
      <c r="B17" s="108"/>
      <c r="C17" s="89"/>
      <c r="D17" s="14">
        <v>5</v>
      </c>
      <c r="E17" s="8">
        <v>472</v>
      </c>
      <c r="F17" s="8">
        <v>0</v>
      </c>
      <c r="G17" s="9">
        <v>242</v>
      </c>
      <c r="H17" s="8">
        <v>35</v>
      </c>
      <c r="I17" s="8">
        <v>194</v>
      </c>
      <c r="J17" s="17">
        <v>471</v>
      </c>
      <c r="K17" s="8">
        <v>1</v>
      </c>
      <c r="L17" s="18">
        <v>0</v>
      </c>
    </row>
    <row r="18" spans="1:12" ht="17.25" customHeight="1" x14ac:dyDescent="0.25">
      <c r="A18" s="97">
        <v>32</v>
      </c>
      <c r="B18" s="106" t="s">
        <v>81</v>
      </c>
      <c r="C18" s="87" t="s">
        <v>82</v>
      </c>
      <c r="D18" s="14">
        <v>1</v>
      </c>
      <c r="E18" s="8">
        <v>369</v>
      </c>
      <c r="F18" s="8">
        <v>5</v>
      </c>
      <c r="G18" s="9">
        <v>268</v>
      </c>
      <c r="H18" s="8">
        <v>37</v>
      </c>
      <c r="I18" s="8">
        <v>50</v>
      </c>
      <c r="J18" s="17">
        <v>360</v>
      </c>
      <c r="K18" s="8">
        <v>9</v>
      </c>
      <c r="L18" s="18">
        <v>0</v>
      </c>
    </row>
    <row r="19" spans="1:12" ht="17.25" customHeight="1" x14ac:dyDescent="0.25">
      <c r="A19" s="98"/>
      <c r="B19" s="107"/>
      <c r="C19" s="88"/>
      <c r="D19" s="14">
        <v>2</v>
      </c>
      <c r="E19" s="8">
        <v>342</v>
      </c>
      <c r="F19" s="8">
        <v>3</v>
      </c>
      <c r="G19" s="9">
        <v>180</v>
      </c>
      <c r="H19" s="8">
        <v>34</v>
      </c>
      <c r="I19" s="8">
        <v>119</v>
      </c>
      <c r="J19" s="17">
        <v>336</v>
      </c>
      <c r="K19" s="8">
        <v>6</v>
      </c>
      <c r="L19" s="18">
        <v>0</v>
      </c>
    </row>
    <row r="20" spans="1:12" ht="17.25" customHeight="1" x14ac:dyDescent="0.25">
      <c r="A20" s="98"/>
      <c r="B20" s="107"/>
      <c r="C20" s="88"/>
      <c r="D20" s="14">
        <v>3</v>
      </c>
      <c r="E20" s="8">
        <v>435</v>
      </c>
      <c r="F20" s="8">
        <v>1</v>
      </c>
      <c r="G20" s="9">
        <v>236</v>
      </c>
      <c r="H20" s="8">
        <v>27</v>
      </c>
      <c r="I20" s="8">
        <v>168</v>
      </c>
      <c r="J20" s="17">
        <v>432</v>
      </c>
      <c r="K20" s="8">
        <v>3</v>
      </c>
      <c r="L20" s="18">
        <v>0</v>
      </c>
    </row>
    <row r="21" spans="1:12" ht="17.25" customHeight="1" x14ac:dyDescent="0.25">
      <c r="A21" s="99"/>
      <c r="B21" s="108"/>
      <c r="C21" s="89"/>
      <c r="D21" s="14">
        <v>4</v>
      </c>
      <c r="E21" s="8">
        <v>431</v>
      </c>
      <c r="F21" s="8">
        <v>0</v>
      </c>
      <c r="G21" s="9">
        <v>200</v>
      </c>
      <c r="H21" s="8">
        <v>45</v>
      </c>
      <c r="I21" s="8">
        <v>186</v>
      </c>
      <c r="J21" s="17">
        <v>431</v>
      </c>
      <c r="K21" s="8">
        <v>0</v>
      </c>
      <c r="L21" s="18">
        <v>0</v>
      </c>
    </row>
    <row r="22" spans="1:12" ht="30" customHeight="1" x14ac:dyDescent="0.25"/>
    <row r="23" spans="1:12" ht="310.05" customHeight="1" x14ac:dyDescent="0.25"/>
    <row r="24" spans="1:12" ht="310.05" customHeight="1" x14ac:dyDescent="0.25"/>
  </sheetData>
  <mergeCells count="22">
    <mergeCell ref="A13:A17"/>
    <mergeCell ref="B13:B17"/>
    <mergeCell ref="C13:C17"/>
    <mergeCell ref="A18:A21"/>
    <mergeCell ref="B18:B21"/>
    <mergeCell ref="C18:C21"/>
    <mergeCell ref="A7:A10"/>
    <mergeCell ref="B7:B10"/>
    <mergeCell ref="C7:C10"/>
    <mergeCell ref="A11:A12"/>
    <mergeCell ref="B11:B12"/>
    <mergeCell ref="C11:C12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topLeftCell="A5" workbookViewId="0">
      <selection activeCell="A5" sqref="A5:L23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44" t="s">
        <v>83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2" ht="18" customHeight="1" x14ac:dyDescent="0.25">
      <c r="A2" s="47" t="s">
        <v>1</v>
      </c>
      <c r="B2" s="50" t="s">
        <v>2</v>
      </c>
      <c r="C2" s="50" t="s">
        <v>3</v>
      </c>
      <c r="D2" s="53" t="s">
        <v>4</v>
      </c>
      <c r="E2" s="56" t="s">
        <v>5</v>
      </c>
      <c r="F2" s="59" t="s">
        <v>6</v>
      </c>
      <c r="G2" s="60"/>
      <c r="H2" s="60"/>
      <c r="I2" s="60"/>
      <c r="J2" s="61"/>
      <c r="K2" s="62" t="s">
        <v>7</v>
      </c>
      <c r="L2" s="65" t="s">
        <v>8</v>
      </c>
    </row>
    <row r="3" spans="1:12" ht="29.7" customHeight="1" x14ac:dyDescent="0.25">
      <c r="A3" s="48"/>
      <c r="B3" s="51"/>
      <c r="C3" s="51"/>
      <c r="D3" s="54"/>
      <c r="E3" s="57"/>
      <c r="F3" s="1" t="s">
        <v>9</v>
      </c>
      <c r="G3" s="2" t="s">
        <v>10</v>
      </c>
      <c r="H3" s="2" t="s">
        <v>11</v>
      </c>
      <c r="I3" s="3" t="s">
        <v>12</v>
      </c>
      <c r="J3" s="68" t="s">
        <v>13</v>
      </c>
      <c r="K3" s="63"/>
      <c r="L3" s="66"/>
    </row>
    <row r="4" spans="1:12" ht="28.2" customHeight="1" x14ac:dyDescent="0.25">
      <c r="A4" s="49"/>
      <c r="B4" s="52"/>
      <c r="C4" s="52"/>
      <c r="D4" s="55"/>
      <c r="E4" s="58"/>
      <c r="F4" s="4"/>
      <c r="G4" s="4"/>
      <c r="H4" s="4"/>
      <c r="I4" s="4"/>
      <c r="J4" s="69"/>
      <c r="K4" s="64"/>
      <c r="L4" s="67"/>
    </row>
    <row r="5" spans="1:12" ht="17.25" customHeight="1" x14ac:dyDescent="0.25">
      <c r="A5" s="97">
        <v>33</v>
      </c>
      <c r="B5" s="90" t="s">
        <v>84</v>
      </c>
      <c r="C5" s="87" t="s">
        <v>85</v>
      </c>
      <c r="D5" s="14">
        <v>1</v>
      </c>
      <c r="E5" s="8">
        <v>344</v>
      </c>
      <c r="F5" s="8">
        <v>10</v>
      </c>
      <c r="G5" s="9">
        <v>175</v>
      </c>
      <c r="H5" s="8">
        <v>121</v>
      </c>
      <c r="I5" s="8">
        <v>28</v>
      </c>
      <c r="J5" s="17">
        <v>334</v>
      </c>
      <c r="K5" s="8">
        <v>10</v>
      </c>
      <c r="L5" s="18">
        <v>0</v>
      </c>
    </row>
    <row r="6" spans="1:12" ht="17.25" customHeight="1" x14ac:dyDescent="0.25">
      <c r="A6" s="98"/>
      <c r="B6" s="91"/>
      <c r="C6" s="88"/>
      <c r="D6" s="14">
        <v>2</v>
      </c>
      <c r="E6" s="8">
        <v>374</v>
      </c>
      <c r="F6" s="8">
        <v>1</v>
      </c>
      <c r="G6" s="9">
        <v>179</v>
      </c>
      <c r="H6" s="8">
        <v>146</v>
      </c>
      <c r="I6" s="8">
        <v>37</v>
      </c>
      <c r="J6" s="17">
        <v>363</v>
      </c>
      <c r="K6" s="8">
        <v>11</v>
      </c>
      <c r="L6" s="18">
        <v>0</v>
      </c>
    </row>
    <row r="7" spans="1:12" ht="17.25" customHeight="1" x14ac:dyDescent="0.25">
      <c r="A7" s="99"/>
      <c r="B7" s="92"/>
      <c r="C7" s="89"/>
      <c r="D7" s="14">
        <v>3</v>
      </c>
      <c r="E7" s="8">
        <v>390</v>
      </c>
      <c r="F7" s="8">
        <v>1</v>
      </c>
      <c r="G7" s="9">
        <v>153</v>
      </c>
      <c r="H7" s="8">
        <v>137</v>
      </c>
      <c r="I7" s="8">
        <v>91</v>
      </c>
      <c r="J7" s="17">
        <v>382</v>
      </c>
      <c r="K7" s="8">
        <v>8</v>
      </c>
      <c r="L7" s="18">
        <v>0</v>
      </c>
    </row>
    <row r="8" spans="1:12" ht="17.25" customHeight="1" x14ac:dyDescent="0.25">
      <c r="A8" s="97">
        <v>34</v>
      </c>
      <c r="B8" s="77" t="s">
        <v>86</v>
      </c>
      <c r="C8" s="84" t="s">
        <v>87</v>
      </c>
      <c r="D8" s="14">
        <v>1</v>
      </c>
      <c r="E8" s="8">
        <v>353</v>
      </c>
      <c r="F8" s="8">
        <v>2</v>
      </c>
      <c r="G8" s="9">
        <v>223</v>
      </c>
      <c r="H8" s="8">
        <v>63</v>
      </c>
      <c r="I8" s="8">
        <v>61</v>
      </c>
      <c r="J8" s="17">
        <v>349</v>
      </c>
      <c r="K8" s="8">
        <v>4</v>
      </c>
      <c r="L8" s="18">
        <v>0</v>
      </c>
    </row>
    <row r="9" spans="1:12" ht="17.25" customHeight="1" x14ac:dyDescent="0.25">
      <c r="A9" s="99"/>
      <c r="B9" s="78"/>
      <c r="C9" s="85"/>
      <c r="D9" s="14">
        <v>2</v>
      </c>
      <c r="E9" s="8">
        <v>487</v>
      </c>
      <c r="F9" s="8">
        <v>2</v>
      </c>
      <c r="G9" s="9">
        <v>204</v>
      </c>
      <c r="H9" s="8">
        <v>83</v>
      </c>
      <c r="I9" s="8">
        <v>194</v>
      </c>
      <c r="J9" s="17">
        <v>483</v>
      </c>
      <c r="K9" s="8">
        <v>4</v>
      </c>
      <c r="L9" s="18">
        <v>0</v>
      </c>
    </row>
    <row r="10" spans="1:12" ht="17.25" customHeight="1" x14ac:dyDescent="0.25">
      <c r="A10" s="97">
        <v>35</v>
      </c>
      <c r="B10" s="87" t="s">
        <v>88</v>
      </c>
      <c r="C10" s="87" t="s">
        <v>89</v>
      </c>
      <c r="D10" s="14">
        <v>1</v>
      </c>
      <c r="E10" s="8">
        <v>306</v>
      </c>
      <c r="F10" s="8">
        <v>5</v>
      </c>
      <c r="G10" s="9">
        <v>65</v>
      </c>
      <c r="H10" s="8">
        <v>228</v>
      </c>
      <c r="I10" s="8">
        <v>4</v>
      </c>
      <c r="J10" s="17">
        <v>302</v>
      </c>
      <c r="K10" s="8">
        <v>4</v>
      </c>
      <c r="L10" s="18">
        <v>0</v>
      </c>
    </row>
    <row r="11" spans="1:12" ht="17.25" customHeight="1" x14ac:dyDescent="0.25">
      <c r="A11" s="98"/>
      <c r="B11" s="88"/>
      <c r="C11" s="88"/>
      <c r="D11" s="14">
        <v>2</v>
      </c>
      <c r="E11" s="8">
        <v>354</v>
      </c>
      <c r="F11" s="8">
        <v>3</v>
      </c>
      <c r="G11" s="9">
        <v>81</v>
      </c>
      <c r="H11" s="8">
        <v>251</v>
      </c>
      <c r="I11" s="8">
        <v>16</v>
      </c>
      <c r="J11" s="17">
        <v>351</v>
      </c>
      <c r="K11" s="8">
        <v>3</v>
      </c>
      <c r="L11" s="18">
        <v>0</v>
      </c>
    </row>
    <row r="12" spans="1:12" ht="17.25" customHeight="1" x14ac:dyDescent="0.25">
      <c r="A12" s="98"/>
      <c r="B12" s="88"/>
      <c r="C12" s="88"/>
      <c r="D12" s="14">
        <v>3</v>
      </c>
      <c r="E12" s="8">
        <v>470</v>
      </c>
      <c r="F12" s="8">
        <v>4</v>
      </c>
      <c r="G12" s="9">
        <v>93</v>
      </c>
      <c r="H12" s="8">
        <v>347</v>
      </c>
      <c r="I12" s="8">
        <v>21</v>
      </c>
      <c r="J12" s="17">
        <v>465</v>
      </c>
      <c r="K12" s="8">
        <v>5</v>
      </c>
      <c r="L12" s="18">
        <v>0</v>
      </c>
    </row>
    <row r="13" spans="1:12" ht="17.25" customHeight="1" x14ac:dyDescent="0.25">
      <c r="A13" s="98"/>
      <c r="B13" s="88"/>
      <c r="C13" s="88"/>
      <c r="D13" s="14">
        <v>4</v>
      </c>
      <c r="E13" s="8">
        <v>418</v>
      </c>
      <c r="F13" s="8">
        <v>0</v>
      </c>
      <c r="G13" s="9">
        <v>89</v>
      </c>
      <c r="H13" s="8">
        <v>292</v>
      </c>
      <c r="I13" s="8">
        <v>34</v>
      </c>
      <c r="J13" s="17">
        <v>415</v>
      </c>
      <c r="K13" s="8">
        <v>3</v>
      </c>
      <c r="L13" s="18">
        <v>0</v>
      </c>
    </row>
    <row r="14" spans="1:12" ht="17.25" customHeight="1" x14ac:dyDescent="0.25">
      <c r="A14" s="98"/>
      <c r="B14" s="88"/>
      <c r="C14" s="88"/>
      <c r="D14" s="14">
        <v>5</v>
      </c>
      <c r="E14" s="8">
        <v>436</v>
      </c>
      <c r="F14" s="8">
        <v>1</v>
      </c>
      <c r="G14" s="9">
        <v>110</v>
      </c>
      <c r="H14" s="8">
        <v>266</v>
      </c>
      <c r="I14" s="8">
        <v>58</v>
      </c>
      <c r="J14" s="17">
        <v>435</v>
      </c>
      <c r="K14" s="8">
        <v>1</v>
      </c>
      <c r="L14" s="18">
        <v>0</v>
      </c>
    </row>
    <row r="15" spans="1:12" ht="17.25" customHeight="1" x14ac:dyDescent="0.25">
      <c r="A15" s="98"/>
      <c r="B15" s="88"/>
      <c r="C15" s="88"/>
      <c r="D15" s="14">
        <v>6</v>
      </c>
      <c r="E15" s="8">
        <v>436</v>
      </c>
      <c r="F15" s="8">
        <v>2</v>
      </c>
      <c r="G15" s="9">
        <v>108</v>
      </c>
      <c r="H15" s="8">
        <v>247</v>
      </c>
      <c r="I15" s="8">
        <v>78</v>
      </c>
      <c r="J15" s="17">
        <v>435</v>
      </c>
      <c r="K15" s="8">
        <v>1</v>
      </c>
      <c r="L15" s="18">
        <v>0</v>
      </c>
    </row>
    <row r="16" spans="1:12" ht="17.25" customHeight="1" x14ac:dyDescent="0.25">
      <c r="A16" s="99"/>
      <c r="B16" s="89"/>
      <c r="C16" s="89"/>
      <c r="D16" s="14">
        <v>7</v>
      </c>
      <c r="E16" s="8">
        <v>489</v>
      </c>
      <c r="F16" s="8">
        <v>6</v>
      </c>
      <c r="G16" s="9">
        <v>173</v>
      </c>
      <c r="H16" s="8">
        <v>191</v>
      </c>
      <c r="I16" s="8">
        <v>114</v>
      </c>
      <c r="J16" s="17">
        <v>484</v>
      </c>
      <c r="K16" s="8">
        <v>5</v>
      </c>
      <c r="L16" s="18">
        <v>0</v>
      </c>
    </row>
    <row r="17" spans="1:12" ht="17.25" customHeight="1" x14ac:dyDescent="0.25">
      <c r="A17" s="97">
        <v>36</v>
      </c>
      <c r="B17" s="82" t="s">
        <v>90</v>
      </c>
      <c r="C17" s="84" t="s">
        <v>91</v>
      </c>
      <c r="D17" s="14">
        <v>1</v>
      </c>
      <c r="E17" s="8">
        <v>372</v>
      </c>
      <c r="F17" s="8">
        <v>6</v>
      </c>
      <c r="G17" s="9">
        <v>250</v>
      </c>
      <c r="H17" s="8">
        <v>53</v>
      </c>
      <c r="I17" s="8">
        <v>63</v>
      </c>
      <c r="J17" s="17">
        <v>372</v>
      </c>
      <c r="K17" s="8">
        <v>0</v>
      </c>
      <c r="L17" s="18">
        <v>0</v>
      </c>
    </row>
    <row r="18" spans="1:12" ht="17.25" customHeight="1" x14ac:dyDescent="0.25">
      <c r="A18" s="99"/>
      <c r="B18" s="83"/>
      <c r="C18" s="85"/>
      <c r="D18" s="14">
        <v>2</v>
      </c>
      <c r="E18" s="8">
        <v>353</v>
      </c>
      <c r="F18" s="8">
        <v>1</v>
      </c>
      <c r="G18" s="9">
        <v>192</v>
      </c>
      <c r="H18" s="8">
        <v>45</v>
      </c>
      <c r="I18" s="8">
        <v>113</v>
      </c>
      <c r="J18" s="17">
        <v>351</v>
      </c>
      <c r="K18" s="8">
        <v>2</v>
      </c>
      <c r="L18" s="18">
        <v>0</v>
      </c>
    </row>
    <row r="19" spans="1:12" ht="17.25" customHeight="1" x14ac:dyDescent="0.25">
      <c r="A19" s="97">
        <v>37</v>
      </c>
      <c r="B19" s="90" t="s">
        <v>92</v>
      </c>
      <c r="C19" s="87" t="s">
        <v>93</v>
      </c>
      <c r="D19" s="14">
        <v>1</v>
      </c>
      <c r="E19" s="8">
        <v>321</v>
      </c>
      <c r="F19" s="8">
        <v>2</v>
      </c>
      <c r="G19" s="9">
        <v>214</v>
      </c>
      <c r="H19" s="8">
        <v>61</v>
      </c>
      <c r="I19" s="8">
        <v>36</v>
      </c>
      <c r="J19" s="17">
        <v>313</v>
      </c>
      <c r="K19" s="8">
        <v>8</v>
      </c>
      <c r="L19" s="18">
        <v>0</v>
      </c>
    </row>
    <row r="20" spans="1:12" ht="17.25" customHeight="1" x14ac:dyDescent="0.25">
      <c r="A20" s="98"/>
      <c r="B20" s="91"/>
      <c r="C20" s="88"/>
      <c r="D20" s="14">
        <v>2</v>
      </c>
      <c r="E20" s="8">
        <v>383</v>
      </c>
      <c r="F20" s="8">
        <v>2</v>
      </c>
      <c r="G20" s="9">
        <v>215</v>
      </c>
      <c r="H20" s="8">
        <v>96</v>
      </c>
      <c r="I20" s="8">
        <v>67</v>
      </c>
      <c r="J20" s="17">
        <v>380</v>
      </c>
      <c r="K20" s="8">
        <v>3</v>
      </c>
      <c r="L20" s="18">
        <v>0</v>
      </c>
    </row>
    <row r="21" spans="1:12" ht="17.25" customHeight="1" x14ac:dyDescent="0.25">
      <c r="A21" s="98"/>
      <c r="B21" s="91"/>
      <c r="C21" s="88"/>
      <c r="D21" s="14">
        <v>3</v>
      </c>
      <c r="E21" s="8">
        <v>552</v>
      </c>
      <c r="F21" s="8">
        <v>4</v>
      </c>
      <c r="G21" s="9">
        <v>243</v>
      </c>
      <c r="H21" s="8">
        <v>175</v>
      </c>
      <c r="I21" s="8">
        <v>127</v>
      </c>
      <c r="J21" s="17">
        <v>549</v>
      </c>
      <c r="K21" s="8">
        <v>3</v>
      </c>
      <c r="L21" s="18">
        <v>0</v>
      </c>
    </row>
    <row r="22" spans="1:12" ht="17.25" customHeight="1" x14ac:dyDescent="0.25">
      <c r="A22" s="98"/>
      <c r="B22" s="91"/>
      <c r="C22" s="88"/>
      <c r="D22" s="14">
        <v>4</v>
      </c>
      <c r="E22" s="8">
        <v>532</v>
      </c>
      <c r="F22" s="8">
        <v>2</v>
      </c>
      <c r="G22" s="9">
        <v>240</v>
      </c>
      <c r="H22" s="8">
        <v>136</v>
      </c>
      <c r="I22" s="8">
        <v>152</v>
      </c>
      <c r="J22" s="17">
        <v>530</v>
      </c>
      <c r="K22" s="8">
        <v>2</v>
      </c>
      <c r="L22" s="18">
        <v>0</v>
      </c>
    </row>
    <row r="23" spans="1:12" ht="17.25" customHeight="1" x14ac:dyDescent="0.25">
      <c r="A23" s="99"/>
      <c r="B23" s="92"/>
      <c r="C23" s="89"/>
      <c r="D23" s="14">
        <v>5</v>
      </c>
      <c r="E23" s="8">
        <v>543</v>
      </c>
      <c r="F23" s="8">
        <v>3</v>
      </c>
      <c r="G23" s="9">
        <v>248</v>
      </c>
      <c r="H23" s="8">
        <v>143</v>
      </c>
      <c r="I23" s="8">
        <v>145</v>
      </c>
      <c r="J23" s="17">
        <v>539</v>
      </c>
      <c r="K23" s="8">
        <v>4</v>
      </c>
      <c r="L23" s="18">
        <v>0</v>
      </c>
    </row>
    <row r="24" spans="1:12" ht="30" customHeight="1" x14ac:dyDescent="0.25"/>
    <row r="25" spans="1:12" ht="310.05" customHeight="1" x14ac:dyDescent="0.25"/>
    <row r="26" spans="1:12" ht="310.05" customHeight="1" x14ac:dyDescent="0.25"/>
  </sheetData>
  <mergeCells count="25">
    <mergeCell ref="A19:A23"/>
    <mergeCell ref="B19:B23"/>
    <mergeCell ref="C19:C23"/>
    <mergeCell ref="A10:A16"/>
    <mergeCell ref="B10:B16"/>
    <mergeCell ref="C10:C16"/>
    <mergeCell ref="A17:A18"/>
    <mergeCell ref="B17:B18"/>
    <mergeCell ref="C17:C18"/>
    <mergeCell ref="A5:A7"/>
    <mergeCell ref="B5:B7"/>
    <mergeCell ref="C5:C7"/>
    <mergeCell ref="A8:A9"/>
    <mergeCell ref="B8:B9"/>
    <mergeCell ref="C8:C9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7"/>
  <sheetViews>
    <sheetView workbookViewId="0">
      <selection activeCell="A5" sqref="A5:L14"/>
    </sheetView>
  </sheetViews>
  <sheetFormatPr defaultRowHeight="13.2" x14ac:dyDescent="0.25"/>
  <cols>
    <col min="1" max="1" width="6" customWidth="1"/>
    <col min="2" max="2" width="19.109375" customWidth="1"/>
    <col min="3" max="3" width="25.33203125" customWidth="1"/>
    <col min="4" max="4" width="10" customWidth="1"/>
    <col min="5" max="5" width="12.6640625" customWidth="1"/>
    <col min="6" max="7" width="15.109375" customWidth="1"/>
    <col min="8" max="8" width="15.33203125" customWidth="1"/>
    <col min="9" max="9" width="15.109375" customWidth="1"/>
    <col min="10" max="10" width="12.88671875" customWidth="1"/>
    <col min="11" max="11" width="12.6640625" customWidth="1"/>
    <col min="12" max="12" width="12.88671875" customWidth="1"/>
  </cols>
  <sheetData>
    <row r="1" spans="1:12" ht="34.799999999999997" customHeight="1" x14ac:dyDescent="0.25">
      <c r="A1" s="44" t="s">
        <v>94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/>
    </row>
    <row r="2" spans="1:12" ht="18" customHeight="1" x14ac:dyDescent="0.25">
      <c r="A2" s="47" t="s">
        <v>1</v>
      </c>
      <c r="B2" s="50" t="s">
        <v>2</v>
      </c>
      <c r="C2" s="50" t="s">
        <v>3</v>
      </c>
      <c r="D2" s="53" t="s">
        <v>4</v>
      </c>
      <c r="E2" s="56" t="s">
        <v>5</v>
      </c>
      <c r="F2" s="59" t="s">
        <v>6</v>
      </c>
      <c r="G2" s="60"/>
      <c r="H2" s="60"/>
      <c r="I2" s="60"/>
      <c r="J2" s="61"/>
      <c r="K2" s="62" t="s">
        <v>7</v>
      </c>
      <c r="L2" s="65" t="s">
        <v>8</v>
      </c>
    </row>
    <row r="3" spans="1:12" ht="29.7" customHeight="1" x14ac:dyDescent="0.25">
      <c r="A3" s="48"/>
      <c r="B3" s="51"/>
      <c r="C3" s="51"/>
      <c r="D3" s="54"/>
      <c r="E3" s="57"/>
      <c r="F3" s="1" t="s">
        <v>9</v>
      </c>
      <c r="G3" s="2" t="s">
        <v>10</v>
      </c>
      <c r="H3" s="2" t="s">
        <v>11</v>
      </c>
      <c r="I3" s="3" t="s">
        <v>12</v>
      </c>
      <c r="J3" s="68" t="s">
        <v>13</v>
      </c>
      <c r="K3" s="63"/>
      <c r="L3" s="66"/>
    </row>
    <row r="4" spans="1:12" ht="28.2" customHeight="1" x14ac:dyDescent="0.25">
      <c r="A4" s="49"/>
      <c r="B4" s="52"/>
      <c r="C4" s="52"/>
      <c r="D4" s="55"/>
      <c r="E4" s="58"/>
      <c r="F4" s="4"/>
      <c r="G4" s="4"/>
      <c r="H4" s="4"/>
      <c r="I4" s="4"/>
      <c r="J4" s="69"/>
      <c r="K4" s="64"/>
      <c r="L4" s="67"/>
    </row>
    <row r="5" spans="1:12" ht="17.25" customHeight="1" x14ac:dyDescent="0.25">
      <c r="A5" s="97">
        <v>38</v>
      </c>
      <c r="B5" s="90" t="s">
        <v>95</v>
      </c>
      <c r="C5" s="87" t="s">
        <v>96</v>
      </c>
      <c r="D5" s="8">
        <v>1</v>
      </c>
      <c r="E5" s="8">
        <v>282</v>
      </c>
      <c r="F5" s="8">
        <v>4</v>
      </c>
      <c r="G5" s="8">
        <v>111</v>
      </c>
      <c r="H5" s="8">
        <v>145</v>
      </c>
      <c r="I5" s="8">
        <v>18</v>
      </c>
      <c r="J5" s="11">
        <v>278</v>
      </c>
      <c r="K5" s="8">
        <v>4</v>
      </c>
      <c r="L5" s="11">
        <v>0</v>
      </c>
    </row>
    <row r="6" spans="1:12" ht="17.25" customHeight="1" x14ac:dyDescent="0.25">
      <c r="A6" s="98"/>
      <c r="B6" s="91"/>
      <c r="C6" s="88"/>
      <c r="D6" s="8">
        <v>2</v>
      </c>
      <c r="E6" s="8">
        <v>339</v>
      </c>
      <c r="F6" s="8">
        <v>1</v>
      </c>
      <c r="G6" s="8">
        <v>117</v>
      </c>
      <c r="H6" s="8">
        <v>174</v>
      </c>
      <c r="I6" s="8">
        <v>41</v>
      </c>
      <c r="J6" s="11">
        <v>333</v>
      </c>
      <c r="K6" s="8">
        <v>6</v>
      </c>
      <c r="L6" s="11">
        <v>0</v>
      </c>
    </row>
    <row r="7" spans="1:12" ht="17.25" customHeight="1" x14ac:dyDescent="0.25">
      <c r="A7" s="98"/>
      <c r="B7" s="91"/>
      <c r="C7" s="88"/>
      <c r="D7" s="8">
        <v>3</v>
      </c>
      <c r="E7" s="8">
        <v>343</v>
      </c>
      <c r="F7" s="8">
        <v>1</v>
      </c>
      <c r="G7" s="8">
        <v>115</v>
      </c>
      <c r="H7" s="8">
        <v>176</v>
      </c>
      <c r="I7" s="8">
        <v>47</v>
      </c>
      <c r="J7" s="11">
        <v>339</v>
      </c>
      <c r="K7" s="8">
        <v>3</v>
      </c>
      <c r="L7" s="11">
        <v>1</v>
      </c>
    </row>
    <row r="8" spans="1:12" ht="17.25" customHeight="1" x14ac:dyDescent="0.25">
      <c r="A8" s="99"/>
      <c r="B8" s="92"/>
      <c r="C8" s="89"/>
      <c r="D8" s="8">
        <v>4</v>
      </c>
      <c r="E8" s="8">
        <v>337</v>
      </c>
      <c r="F8" s="8">
        <v>3</v>
      </c>
      <c r="G8" s="8">
        <v>114</v>
      </c>
      <c r="H8" s="8">
        <v>155</v>
      </c>
      <c r="I8" s="8">
        <v>63</v>
      </c>
      <c r="J8" s="11">
        <v>335</v>
      </c>
      <c r="K8" s="8">
        <v>2</v>
      </c>
      <c r="L8" s="11">
        <v>0</v>
      </c>
    </row>
    <row r="9" spans="1:12" ht="17.25" customHeight="1" x14ac:dyDescent="0.25">
      <c r="A9" s="97">
        <v>39</v>
      </c>
      <c r="B9" s="87" t="s">
        <v>97</v>
      </c>
      <c r="C9" s="94" t="s">
        <v>98</v>
      </c>
      <c r="D9" s="8">
        <v>1</v>
      </c>
      <c r="E9" s="8">
        <v>338</v>
      </c>
      <c r="F9" s="8">
        <v>4</v>
      </c>
      <c r="G9" s="8">
        <v>219</v>
      </c>
      <c r="H9" s="8">
        <v>66</v>
      </c>
      <c r="I9" s="8">
        <v>43</v>
      </c>
      <c r="J9" s="11">
        <v>332</v>
      </c>
      <c r="K9" s="8">
        <v>6</v>
      </c>
      <c r="L9" s="11">
        <v>0</v>
      </c>
    </row>
    <row r="10" spans="1:12" ht="17.25" customHeight="1" x14ac:dyDescent="0.25">
      <c r="A10" s="98"/>
      <c r="B10" s="88"/>
      <c r="C10" s="95"/>
      <c r="D10" s="8">
        <v>2</v>
      </c>
      <c r="E10" s="8">
        <v>342</v>
      </c>
      <c r="F10" s="8">
        <v>7</v>
      </c>
      <c r="G10" s="8">
        <v>164</v>
      </c>
      <c r="H10" s="8">
        <v>56</v>
      </c>
      <c r="I10" s="8">
        <v>115</v>
      </c>
      <c r="J10" s="11">
        <v>342</v>
      </c>
      <c r="K10" s="8">
        <v>0</v>
      </c>
      <c r="L10" s="11">
        <v>0</v>
      </c>
    </row>
    <row r="11" spans="1:12" ht="17.25" customHeight="1" x14ac:dyDescent="0.25">
      <c r="A11" s="99"/>
      <c r="B11" s="89"/>
      <c r="C11" s="96"/>
      <c r="D11" s="8">
        <v>3</v>
      </c>
      <c r="E11" s="8">
        <v>346</v>
      </c>
      <c r="F11" s="8">
        <v>7</v>
      </c>
      <c r="G11" s="8">
        <v>147</v>
      </c>
      <c r="H11" s="8">
        <v>65</v>
      </c>
      <c r="I11" s="8">
        <v>123</v>
      </c>
      <c r="J11" s="11">
        <v>342</v>
      </c>
      <c r="K11" s="8">
        <v>4</v>
      </c>
      <c r="L11" s="11">
        <v>0</v>
      </c>
    </row>
    <row r="12" spans="1:12" ht="17.25" customHeight="1" x14ac:dyDescent="0.25">
      <c r="A12" s="97">
        <v>40</v>
      </c>
      <c r="B12" s="90" t="s">
        <v>99</v>
      </c>
      <c r="C12" s="84" t="s">
        <v>100</v>
      </c>
      <c r="D12" s="8">
        <v>1</v>
      </c>
      <c r="E12" s="8">
        <v>345</v>
      </c>
      <c r="F12" s="8">
        <v>4</v>
      </c>
      <c r="G12" s="8">
        <v>230</v>
      </c>
      <c r="H12" s="8">
        <v>43</v>
      </c>
      <c r="I12" s="8">
        <v>63</v>
      </c>
      <c r="J12" s="11">
        <v>340</v>
      </c>
      <c r="K12" s="8">
        <v>5</v>
      </c>
      <c r="L12" s="11">
        <v>0</v>
      </c>
    </row>
    <row r="13" spans="1:12" ht="17.25" customHeight="1" x14ac:dyDescent="0.25">
      <c r="A13" s="99"/>
      <c r="B13" s="92"/>
      <c r="C13" s="85"/>
      <c r="D13" s="8">
        <v>2</v>
      </c>
      <c r="E13" s="8">
        <v>336</v>
      </c>
      <c r="F13" s="8">
        <v>1</v>
      </c>
      <c r="G13" s="8">
        <v>208</v>
      </c>
      <c r="H13" s="8">
        <v>32</v>
      </c>
      <c r="I13" s="8">
        <v>93</v>
      </c>
      <c r="J13" s="11">
        <v>334</v>
      </c>
      <c r="K13" s="8">
        <v>2</v>
      </c>
      <c r="L13" s="11">
        <v>0</v>
      </c>
    </row>
    <row r="14" spans="1:12" ht="19.5" customHeight="1" x14ac:dyDescent="0.25">
      <c r="A14" s="111" t="s">
        <v>101</v>
      </c>
      <c r="B14" s="112"/>
      <c r="C14" s="113"/>
      <c r="D14" s="20">
        <v>119</v>
      </c>
      <c r="E14" s="21">
        <v>46008</v>
      </c>
      <c r="F14" s="20">
        <v>253</v>
      </c>
      <c r="G14" s="21">
        <v>21805</v>
      </c>
      <c r="H14" s="21">
        <v>13680</v>
      </c>
      <c r="I14" s="21">
        <v>9596</v>
      </c>
      <c r="J14" s="21">
        <v>45334</v>
      </c>
      <c r="K14" s="20">
        <v>573</v>
      </c>
      <c r="L14" s="20">
        <v>101</v>
      </c>
    </row>
    <row r="15" spans="1:12" ht="30" customHeight="1" x14ac:dyDescent="0.25"/>
    <row r="16" spans="1:12" ht="147" customHeight="1" x14ac:dyDescent="0.25"/>
    <row r="17" ht="147" customHeight="1" x14ac:dyDescent="0.25"/>
  </sheetData>
  <mergeCells count="20">
    <mergeCell ref="A12:A13"/>
    <mergeCell ref="B12:B13"/>
    <mergeCell ref="C12:C13"/>
    <mergeCell ref="A14:C14"/>
    <mergeCell ref="A5:A8"/>
    <mergeCell ref="B5:B8"/>
    <mergeCell ref="C5:C8"/>
    <mergeCell ref="A9:A11"/>
    <mergeCell ref="B9:B11"/>
    <mergeCell ref="C9:C11"/>
    <mergeCell ref="A1:L1"/>
    <mergeCell ref="A2:A4"/>
    <mergeCell ref="B2:B4"/>
    <mergeCell ref="C2:C4"/>
    <mergeCell ref="D2:D4"/>
    <mergeCell ref="E2:E4"/>
    <mergeCell ref="F2:J2"/>
    <mergeCell ref="K2:K4"/>
    <mergeCell ref="L2:L4"/>
    <mergeCell ref="J3:J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RaceWorksheet</vt:lpstr>
      <vt:lpstr>P126Jelebu</vt:lpstr>
      <vt:lpstr>N1Chennah</vt:lpstr>
      <vt:lpstr>Race&amp;Age</vt:lpstr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Kian Ming</dc:creator>
  <cp:lastModifiedBy>Ong Kian Ming</cp:lastModifiedBy>
  <dcterms:created xsi:type="dcterms:W3CDTF">2023-01-24T06:46:55Z</dcterms:created>
  <dcterms:modified xsi:type="dcterms:W3CDTF">2023-11-29T04:16:46Z</dcterms:modified>
</cp:coreProperties>
</file>