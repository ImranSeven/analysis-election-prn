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OKM\Malaysian Elections\GE15 (National)\GE15 Results\SCORE SHEET PRU 15 (2022)\11. NEGERI SEMBILAN\"/>
    </mc:Choice>
  </mc:AlternateContent>
  <xr:revisionPtr revIDLastSave="0" documentId="13_ncr:1_{3C7F955A-F10C-4152-8A75-E28D0C9D3BA1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RaceWorksheet" sheetId="14" r:id="rId1"/>
    <sheet name="P129KualaPilah" sheetId="12" r:id="rId2"/>
    <sheet name="Race&amp;Age" sheetId="13" r:id="rId3"/>
    <sheet name="Table 1" sheetId="1" r:id="rId4"/>
    <sheet name="Table 2" sheetId="2" r:id="rId5"/>
    <sheet name="Table 3" sheetId="3" r:id="rId6"/>
    <sheet name="Table 4" sheetId="4" r:id="rId7"/>
    <sheet name="Table 5" sheetId="5" r:id="rId8"/>
    <sheet name="Table 6" sheetId="6" r:id="rId9"/>
    <sheet name="Table 7" sheetId="7" r:id="rId10"/>
    <sheet name="Table 8" sheetId="8" r:id="rId11"/>
    <sheet name="Table 9" sheetId="9" r:id="rId12"/>
    <sheet name="Table 10" sheetId="10" r:id="rId13"/>
    <sheet name="Table 11" sheetId="11" r:id="rId14"/>
  </sheets>
  <definedNames>
    <definedName name="_xlnm._FilterDatabase" localSheetId="1" hidden="1">P129KualaPilah!$A$1:$AD$174</definedName>
    <definedName name="_xlnm._FilterDatabase" localSheetId="2" hidden="1">'Race&amp;Age'!$A$1:$Y$170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182" i="12" l="1"/>
  <c r="AB182" i="12"/>
  <c r="AA182" i="12"/>
  <c r="Z182" i="12"/>
  <c r="Y182" i="12"/>
  <c r="AD181" i="12"/>
  <c r="AB181" i="12"/>
  <c r="AA181" i="12"/>
  <c r="Z181" i="12"/>
  <c r="Y181" i="12"/>
  <c r="AD180" i="12"/>
  <c r="AB180" i="12"/>
  <c r="AA180" i="12"/>
  <c r="Z180" i="12"/>
  <c r="Y180" i="12"/>
  <c r="AD179" i="12"/>
  <c r="AB179" i="12"/>
  <c r="AA179" i="12"/>
  <c r="Z179" i="12"/>
  <c r="Y179" i="12"/>
  <c r="AD178" i="12"/>
  <c r="AB178" i="12"/>
  <c r="AA178" i="12"/>
  <c r="Z178" i="12"/>
  <c r="Y178" i="12"/>
  <c r="S182" i="12"/>
  <c r="R182" i="12"/>
  <c r="Q182" i="12"/>
  <c r="P182" i="12"/>
  <c r="O182" i="12"/>
  <c r="S181" i="12"/>
  <c r="R181" i="12"/>
  <c r="Q181" i="12"/>
  <c r="P181" i="12"/>
  <c r="O181" i="12"/>
  <c r="S180" i="12"/>
  <c r="R180" i="12"/>
  <c r="Q180" i="12"/>
  <c r="P180" i="12"/>
  <c r="O180" i="12"/>
  <c r="S179" i="12"/>
  <c r="R179" i="12"/>
  <c r="Q179" i="12"/>
  <c r="P179" i="12"/>
  <c r="O179" i="12"/>
  <c r="S178" i="12"/>
  <c r="R178" i="12"/>
  <c r="Q178" i="12"/>
  <c r="P178" i="12"/>
  <c r="O178" i="12"/>
  <c r="X182" i="12"/>
  <c r="W182" i="12"/>
  <c r="V182" i="12"/>
  <c r="U182" i="12"/>
  <c r="T182" i="12"/>
  <c r="X181" i="12"/>
  <c r="W181" i="12"/>
  <c r="V181" i="12"/>
  <c r="U181" i="12"/>
  <c r="T181" i="12"/>
  <c r="X180" i="12"/>
  <c r="W180" i="12"/>
  <c r="V180" i="12"/>
  <c r="U180" i="12"/>
  <c r="T180" i="12"/>
  <c r="X179" i="12"/>
  <c r="W179" i="12"/>
  <c r="V179" i="12"/>
  <c r="U179" i="12"/>
  <c r="T179" i="12"/>
  <c r="X178" i="12"/>
  <c r="W178" i="12"/>
  <c r="V178" i="12"/>
  <c r="U178" i="12"/>
  <c r="T178" i="12"/>
  <c r="N182" i="12"/>
  <c r="M182" i="12"/>
  <c r="L182" i="12"/>
  <c r="K182" i="12"/>
  <c r="J182" i="12"/>
  <c r="I182" i="12"/>
  <c r="H182" i="12"/>
  <c r="G182" i="12"/>
  <c r="F182" i="12"/>
  <c r="N181" i="12"/>
  <c r="M181" i="12"/>
  <c r="L181" i="12"/>
  <c r="K181" i="12"/>
  <c r="J181" i="12"/>
  <c r="I181" i="12"/>
  <c r="H181" i="12"/>
  <c r="G181" i="12"/>
  <c r="F181" i="12"/>
  <c r="N180" i="12"/>
  <c r="M180" i="12"/>
  <c r="L180" i="12"/>
  <c r="K180" i="12"/>
  <c r="J180" i="12"/>
  <c r="I180" i="12"/>
  <c r="H180" i="12"/>
  <c r="G180" i="12"/>
  <c r="F180" i="12"/>
  <c r="N179" i="12"/>
  <c r="M179" i="12"/>
  <c r="L179" i="12"/>
  <c r="K179" i="12"/>
  <c r="J179" i="12"/>
  <c r="I179" i="12"/>
  <c r="H179" i="12"/>
  <c r="G179" i="12"/>
  <c r="F179" i="12"/>
  <c r="N178" i="12"/>
  <c r="M178" i="12"/>
  <c r="L178" i="12"/>
  <c r="K178" i="12"/>
  <c r="J178" i="12"/>
  <c r="I178" i="12"/>
  <c r="H178" i="12"/>
  <c r="G178" i="12"/>
  <c r="F178" i="12"/>
  <c r="E182" i="12"/>
  <c r="E181" i="12"/>
  <c r="E180" i="12"/>
  <c r="E179" i="12"/>
  <c r="E178" i="12"/>
  <c r="AC176" i="12"/>
  <c r="X176" i="12"/>
  <c r="W176" i="12"/>
  <c r="AB176" i="12" s="1"/>
  <c r="V176" i="12"/>
  <c r="U176" i="12"/>
  <c r="T176" i="12"/>
  <c r="N176" i="12"/>
  <c r="L176" i="12"/>
  <c r="K176" i="12"/>
  <c r="J176" i="12"/>
  <c r="I176" i="12"/>
  <c r="H176" i="12"/>
  <c r="G176" i="12"/>
  <c r="F176" i="12"/>
  <c r="E176" i="12"/>
  <c r="AH47" i="14"/>
  <c r="AH8" i="14"/>
  <c r="Y47" i="14"/>
  <c r="Y26" i="14"/>
  <c r="Y8" i="14"/>
  <c r="P189" i="13"/>
  <c r="U189" i="13" s="1"/>
  <c r="N189" i="13"/>
  <c r="Y189" i="13" s="1"/>
  <c r="M189" i="13"/>
  <c r="L189" i="13"/>
  <c r="K189" i="13"/>
  <c r="J189" i="13"/>
  <c r="I189" i="13"/>
  <c r="R189" i="13" s="1"/>
  <c r="W189" i="13" s="1"/>
  <c r="H189" i="13"/>
  <c r="Q189" i="13" s="1"/>
  <c r="V189" i="13" s="1"/>
  <c r="G189" i="13"/>
  <c r="F189" i="13"/>
  <c r="E189" i="13"/>
  <c r="D189" i="13"/>
  <c r="C189" i="13"/>
  <c r="N186" i="13"/>
  <c r="Y186" i="13" s="1"/>
  <c r="M186" i="13"/>
  <c r="L186" i="13"/>
  <c r="K186" i="13"/>
  <c r="P186" i="13" s="1"/>
  <c r="U186" i="13" s="1"/>
  <c r="J186" i="13"/>
  <c r="I186" i="13"/>
  <c r="R186" i="13" s="1"/>
  <c r="W186" i="13" s="1"/>
  <c r="H186" i="13"/>
  <c r="Q186" i="13" s="1"/>
  <c r="V186" i="13" s="1"/>
  <c r="G186" i="13"/>
  <c r="F186" i="13"/>
  <c r="E186" i="13"/>
  <c r="D186" i="13"/>
  <c r="C186" i="13"/>
  <c r="N183" i="13"/>
  <c r="Y183" i="13" s="1"/>
  <c r="M183" i="13"/>
  <c r="L183" i="13"/>
  <c r="K183" i="13"/>
  <c r="P183" i="13" s="1"/>
  <c r="U183" i="13" s="1"/>
  <c r="J183" i="13"/>
  <c r="I183" i="13"/>
  <c r="R183" i="13" s="1"/>
  <c r="W183" i="13" s="1"/>
  <c r="H183" i="13"/>
  <c r="Q183" i="13" s="1"/>
  <c r="V183" i="13" s="1"/>
  <c r="G183" i="13"/>
  <c r="F183" i="13"/>
  <c r="E183" i="13"/>
  <c r="D183" i="13"/>
  <c r="C183" i="13"/>
  <c r="N178" i="13"/>
  <c r="Y178" i="13" s="1"/>
  <c r="M178" i="13"/>
  <c r="L178" i="13"/>
  <c r="K178" i="13"/>
  <c r="P178" i="13" s="1"/>
  <c r="J178" i="13"/>
  <c r="I178" i="13"/>
  <c r="R178" i="13" s="1"/>
  <c r="W178" i="13" s="1"/>
  <c r="H178" i="13"/>
  <c r="Q178" i="13" s="1"/>
  <c r="G178" i="13"/>
  <c r="F178" i="13"/>
  <c r="E178" i="13"/>
  <c r="Y169" i="13"/>
  <c r="R169" i="13"/>
  <c r="W169" i="13" s="1"/>
  <c r="Q169" i="13"/>
  <c r="V169" i="13" s="1"/>
  <c r="P169" i="13"/>
  <c r="U169" i="13" s="1"/>
  <c r="Y168" i="13"/>
  <c r="R168" i="13"/>
  <c r="W168" i="13" s="1"/>
  <c r="Q168" i="13"/>
  <c r="V168" i="13" s="1"/>
  <c r="P168" i="13"/>
  <c r="U168" i="13" s="1"/>
  <c r="Y167" i="13"/>
  <c r="R167" i="13"/>
  <c r="W167" i="13" s="1"/>
  <c r="Q167" i="13"/>
  <c r="V167" i="13" s="1"/>
  <c r="P167" i="13"/>
  <c r="Y166" i="13"/>
  <c r="R166" i="13"/>
  <c r="W166" i="13" s="1"/>
  <c r="Q166" i="13"/>
  <c r="V166" i="13" s="1"/>
  <c r="P166" i="13"/>
  <c r="U166" i="13" s="1"/>
  <c r="Y165" i="13"/>
  <c r="R165" i="13"/>
  <c r="W165" i="13" s="1"/>
  <c r="Q165" i="13"/>
  <c r="P165" i="13"/>
  <c r="U165" i="13" s="1"/>
  <c r="Y164" i="13"/>
  <c r="R164" i="13"/>
  <c r="W164" i="13" s="1"/>
  <c r="Q164" i="13"/>
  <c r="V164" i="13" s="1"/>
  <c r="P164" i="13"/>
  <c r="Y163" i="13"/>
  <c r="R163" i="13"/>
  <c r="W163" i="13" s="1"/>
  <c r="Q163" i="13"/>
  <c r="V163" i="13" s="1"/>
  <c r="P163" i="13"/>
  <c r="U163" i="13" s="1"/>
  <c r="Y162" i="13"/>
  <c r="R162" i="13"/>
  <c r="W162" i="13" s="1"/>
  <c r="Q162" i="13"/>
  <c r="V162" i="13" s="1"/>
  <c r="P162" i="13"/>
  <c r="U162" i="13" s="1"/>
  <c r="Y161" i="13"/>
  <c r="R161" i="13"/>
  <c r="W161" i="13" s="1"/>
  <c r="Q161" i="13"/>
  <c r="V161" i="13" s="1"/>
  <c r="P161" i="13"/>
  <c r="Y160" i="13"/>
  <c r="R160" i="13"/>
  <c r="W160" i="13" s="1"/>
  <c r="Q160" i="13"/>
  <c r="V160" i="13" s="1"/>
  <c r="P160" i="13"/>
  <c r="U160" i="13" s="1"/>
  <c r="Y159" i="13"/>
  <c r="R159" i="13"/>
  <c r="W159" i="13" s="1"/>
  <c r="Q159" i="13"/>
  <c r="P159" i="13"/>
  <c r="U159" i="13" s="1"/>
  <c r="Y158" i="13"/>
  <c r="R158" i="13"/>
  <c r="W158" i="13" s="1"/>
  <c r="Q158" i="13"/>
  <c r="V158" i="13" s="1"/>
  <c r="P158" i="13"/>
  <c r="Y157" i="13"/>
  <c r="R157" i="13"/>
  <c r="W157" i="13" s="1"/>
  <c r="Q157" i="13"/>
  <c r="V157" i="13" s="1"/>
  <c r="P157" i="13"/>
  <c r="U157" i="13" s="1"/>
  <c r="Y188" i="13"/>
  <c r="R188" i="13"/>
  <c r="W188" i="13" s="1"/>
  <c r="Q188" i="13"/>
  <c r="V188" i="13" s="1"/>
  <c r="P188" i="13"/>
  <c r="U188" i="13" s="1"/>
  <c r="Y156" i="13"/>
  <c r="R156" i="13"/>
  <c r="W156" i="13" s="1"/>
  <c r="Q156" i="13"/>
  <c r="V156" i="13" s="1"/>
  <c r="P156" i="13"/>
  <c r="Y155" i="13"/>
  <c r="R155" i="13"/>
  <c r="W155" i="13" s="1"/>
  <c r="Q155" i="13"/>
  <c r="V155" i="13" s="1"/>
  <c r="P155" i="13"/>
  <c r="U155" i="13" s="1"/>
  <c r="Y154" i="13"/>
  <c r="R154" i="13"/>
  <c r="W154" i="13" s="1"/>
  <c r="Q154" i="13"/>
  <c r="P154" i="13"/>
  <c r="U154" i="13" s="1"/>
  <c r="Y153" i="13"/>
  <c r="R153" i="13"/>
  <c r="W153" i="13" s="1"/>
  <c r="Q153" i="13"/>
  <c r="V153" i="13" s="1"/>
  <c r="P153" i="13"/>
  <c r="Y152" i="13"/>
  <c r="R152" i="13"/>
  <c r="W152" i="13" s="1"/>
  <c r="Q152" i="13"/>
  <c r="V152" i="13" s="1"/>
  <c r="P152" i="13"/>
  <c r="U152" i="13" s="1"/>
  <c r="Y177" i="13"/>
  <c r="R177" i="13"/>
  <c r="W177" i="13" s="1"/>
  <c r="Q177" i="13"/>
  <c r="V177" i="13" s="1"/>
  <c r="P177" i="13"/>
  <c r="U177" i="13" s="1"/>
  <c r="Y151" i="13"/>
  <c r="R151" i="13"/>
  <c r="W151" i="13" s="1"/>
  <c r="Q151" i="13"/>
  <c r="V151" i="13" s="1"/>
  <c r="P151" i="13"/>
  <c r="Y150" i="13"/>
  <c r="R150" i="13"/>
  <c r="W150" i="13" s="1"/>
  <c r="Q150" i="13"/>
  <c r="V150" i="13" s="1"/>
  <c r="P150" i="13"/>
  <c r="U150" i="13" s="1"/>
  <c r="Y149" i="13"/>
  <c r="R149" i="13"/>
  <c r="W149" i="13" s="1"/>
  <c r="Q149" i="13"/>
  <c r="P149" i="13"/>
  <c r="U149" i="13" s="1"/>
  <c r="Y148" i="13"/>
  <c r="R148" i="13"/>
  <c r="W148" i="13" s="1"/>
  <c r="Q148" i="13"/>
  <c r="V148" i="13" s="1"/>
  <c r="P148" i="13"/>
  <c r="Y147" i="13"/>
  <c r="R147" i="13"/>
  <c r="W147" i="13" s="1"/>
  <c r="Q147" i="13"/>
  <c r="V147" i="13" s="1"/>
  <c r="P147" i="13"/>
  <c r="U147" i="13" s="1"/>
  <c r="Y146" i="13"/>
  <c r="R146" i="13"/>
  <c r="W146" i="13" s="1"/>
  <c r="Q146" i="13"/>
  <c r="V146" i="13" s="1"/>
  <c r="P146" i="13"/>
  <c r="U146" i="13" s="1"/>
  <c r="Y145" i="13"/>
  <c r="R145" i="13"/>
  <c r="W145" i="13" s="1"/>
  <c r="Q145" i="13"/>
  <c r="V145" i="13" s="1"/>
  <c r="P145" i="13"/>
  <c r="Y144" i="13"/>
  <c r="R144" i="13"/>
  <c r="W144" i="13" s="1"/>
  <c r="Q144" i="13"/>
  <c r="V144" i="13" s="1"/>
  <c r="P144" i="13"/>
  <c r="U144" i="13" s="1"/>
  <c r="Y187" i="13"/>
  <c r="R187" i="13"/>
  <c r="W187" i="13" s="1"/>
  <c r="Q187" i="13"/>
  <c r="P187" i="13"/>
  <c r="U187" i="13" s="1"/>
  <c r="Y143" i="13"/>
  <c r="R143" i="13"/>
  <c r="W143" i="13" s="1"/>
  <c r="Q143" i="13"/>
  <c r="V143" i="13" s="1"/>
  <c r="P143" i="13"/>
  <c r="Y142" i="13"/>
  <c r="R142" i="13"/>
  <c r="W142" i="13" s="1"/>
  <c r="Q142" i="13"/>
  <c r="V142" i="13" s="1"/>
  <c r="P142" i="13"/>
  <c r="U142" i="13" s="1"/>
  <c r="Y141" i="13"/>
  <c r="R141" i="13"/>
  <c r="W141" i="13" s="1"/>
  <c r="Q141" i="13"/>
  <c r="V141" i="13" s="1"/>
  <c r="P141" i="13"/>
  <c r="U141" i="13" s="1"/>
  <c r="Y140" i="13"/>
  <c r="R140" i="13"/>
  <c r="W140" i="13" s="1"/>
  <c r="Q140" i="13"/>
  <c r="V140" i="13" s="1"/>
  <c r="P140" i="13"/>
  <c r="Y139" i="13"/>
  <c r="R139" i="13"/>
  <c r="W139" i="13" s="1"/>
  <c r="Q139" i="13"/>
  <c r="V139" i="13" s="1"/>
  <c r="P139" i="13"/>
  <c r="U139" i="13" s="1"/>
  <c r="Y138" i="13"/>
  <c r="R138" i="13"/>
  <c r="W138" i="13" s="1"/>
  <c r="Q138" i="13"/>
  <c r="P138" i="13"/>
  <c r="U138" i="13" s="1"/>
  <c r="Y137" i="13"/>
  <c r="R137" i="13"/>
  <c r="W137" i="13" s="1"/>
  <c r="Q137" i="13"/>
  <c r="V137" i="13" s="1"/>
  <c r="P137" i="13"/>
  <c r="Y136" i="13"/>
  <c r="R136" i="13"/>
  <c r="W136" i="13" s="1"/>
  <c r="Q136" i="13"/>
  <c r="V136" i="13" s="1"/>
  <c r="P136" i="13"/>
  <c r="U136" i="13" s="1"/>
  <c r="Y135" i="13"/>
  <c r="R135" i="13"/>
  <c r="W135" i="13" s="1"/>
  <c r="Q135" i="13"/>
  <c r="V135" i="13" s="1"/>
  <c r="P135" i="13"/>
  <c r="U135" i="13" s="1"/>
  <c r="Y134" i="13"/>
  <c r="R134" i="13"/>
  <c r="W134" i="13" s="1"/>
  <c r="Q134" i="13"/>
  <c r="V134" i="13" s="1"/>
  <c r="P134" i="13"/>
  <c r="Y133" i="13"/>
  <c r="R133" i="13"/>
  <c r="Q133" i="13"/>
  <c r="V133" i="13" s="1"/>
  <c r="P133" i="13"/>
  <c r="U133" i="13" s="1"/>
  <c r="Y132" i="13"/>
  <c r="R132" i="13"/>
  <c r="W132" i="13" s="1"/>
  <c r="Q132" i="13"/>
  <c r="P132" i="13"/>
  <c r="U132" i="13" s="1"/>
  <c r="Y131" i="13"/>
  <c r="R131" i="13"/>
  <c r="W131" i="13" s="1"/>
  <c r="Q131" i="13"/>
  <c r="V131" i="13" s="1"/>
  <c r="P131" i="13"/>
  <c r="Y130" i="13"/>
  <c r="R130" i="13"/>
  <c r="W130" i="13" s="1"/>
  <c r="Q130" i="13"/>
  <c r="V130" i="13" s="1"/>
  <c r="P130" i="13"/>
  <c r="U130" i="13" s="1"/>
  <c r="Y129" i="13"/>
  <c r="R129" i="13"/>
  <c r="W129" i="13" s="1"/>
  <c r="Q129" i="13"/>
  <c r="V129" i="13" s="1"/>
  <c r="P129" i="13"/>
  <c r="U129" i="13" s="1"/>
  <c r="Y128" i="13"/>
  <c r="R128" i="13"/>
  <c r="W128" i="13" s="1"/>
  <c r="Q128" i="13"/>
  <c r="V128" i="13" s="1"/>
  <c r="P128" i="13"/>
  <c r="Y176" i="13"/>
  <c r="R176" i="13"/>
  <c r="W176" i="13" s="1"/>
  <c r="Q176" i="13"/>
  <c r="V176" i="13" s="1"/>
  <c r="P176" i="13"/>
  <c r="U176" i="13" s="1"/>
  <c r="Y127" i="13"/>
  <c r="R127" i="13"/>
  <c r="W127" i="13" s="1"/>
  <c r="Q127" i="13"/>
  <c r="P127" i="13"/>
  <c r="U127" i="13" s="1"/>
  <c r="Y126" i="13"/>
  <c r="R126" i="13"/>
  <c r="W126" i="13" s="1"/>
  <c r="Q126" i="13"/>
  <c r="V126" i="13" s="1"/>
  <c r="P126" i="13"/>
  <c r="Y125" i="13"/>
  <c r="R125" i="13"/>
  <c r="W125" i="13" s="1"/>
  <c r="Q125" i="13"/>
  <c r="V125" i="13" s="1"/>
  <c r="P125" i="13"/>
  <c r="U125" i="13" s="1"/>
  <c r="Y124" i="13"/>
  <c r="R124" i="13"/>
  <c r="W124" i="13" s="1"/>
  <c r="Q124" i="13"/>
  <c r="V124" i="13" s="1"/>
  <c r="P124" i="13"/>
  <c r="U124" i="13" s="1"/>
  <c r="Y123" i="13"/>
  <c r="R123" i="13"/>
  <c r="W123" i="13" s="1"/>
  <c r="Q123" i="13"/>
  <c r="V123" i="13" s="1"/>
  <c r="P123" i="13"/>
  <c r="Y122" i="13"/>
  <c r="R122" i="13"/>
  <c r="W122" i="13" s="1"/>
  <c r="Q122" i="13"/>
  <c r="V122" i="13" s="1"/>
  <c r="P122" i="13"/>
  <c r="U122" i="13" s="1"/>
  <c r="Y121" i="13"/>
  <c r="R121" i="13"/>
  <c r="W121" i="13" s="1"/>
  <c r="Q121" i="13"/>
  <c r="P121" i="13"/>
  <c r="U121" i="13" s="1"/>
  <c r="Y185" i="13"/>
  <c r="R185" i="13"/>
  <c r="W185" i="13" s="1"/>
  <c r="Q185" i="13"/>
  <c r="V185" i="13" s="1"/>
  <c r="P185" i="13"/>
  <c r="Y175" i="13"/>
  <c r="R175" i="13"/>
  <c r="W175" i="13" s="1"/>
  <c r="Q175" i="13"/>
  <c r="V175" i="13" s="1"/>
  <c r="P175" i="13"/>
  <c r="U175" i="13" s="1"/>
  <c r="Y120" i="13"/>
  <c r="R120" i="13"/>
  <c r="W120" i="13" s="1"/>
  <c r="Q120" i="13"/>
  <c r="V120" i="13" s="1"/>
  <c r="P120" i="13"/>
  <c r="U120" i="13" s="1"/>
  <c r="Y119" i="13"/>
  <c r="R119" i="13"/>
  <c r="W119" i="13" s="1"/>
  <c r="Q119" i="13"/>
  <c r="V119" i="13" s="1"/>
  <c r="P119" i="13"/>
  <c r="U119" i="13" s="1"/>
  <c r="Y118" i="13"/>
  <c r="R118" i="13"/>
  <c r="W118" i="13" s="1"/>
  <c r="Q118" i="13"/>
  <c r="V118" i="13" s="1"/>
  <c r="P118" i="13"/>
  <c r="U118" i="13" s="1"/>
  <c r="Y117" i="13"/>
  <c r="R117" i="13"/>
  <c r="W117" i="13" s="1"/>
  <c r="Q117" i="13"/>
  <c r="P117" i="13"/>
  <c r="U117" i="13" s="1"/>
  <c r="Y116" i="13"/>
  <c r="R116" i="13"/>
  <c r="W116" i="13" s="1"/>
  <c r="Q116" i="13"/>
  <c r="V116" i="13" s="1"/>
  <c r="P116" i="13"/>
  <c r="U116" i="13" s="1"/>
  <c r="Y115" i="13"/>
  <c r="R115" i="13"/>
  <c r="W115" i="13" s="1"/>
  <c r="Q115" i="13"/>
  <c r="V115" i="13" s="1"/>
  <c r="P115" i="13"/>
  <c r="U115" i="13" s="1"/>
  <c r="Y114" i="13"/>
  <c r="R114" i="13"/>
  <c r="W114" i="13" s="1"/>
  <c r="Q114" i="13"/>
  <c r="V114" i="13" s="1"/>
  <c r="P114" i="13"/>
  <c r="U114" i="13" s="1"/>
  <c r="Y113" i="13"/>
  <c r="R113" i="13"/>
  <c r="W113" i="13" s="1"/>
  <c r="Q113" i="13"/>
  <c r="V113" i="13" s="1"/>
  <c r="P113" i="13"/>
  <c r="Y112" i="13"/>
  <c r="R112" i="13"/>
  <c r="W112" i="13" s="1"/>
  <c r="Q112" i="13"/>
  <c r="V112" i="13" s="1"/>
  <c r="P112" i="13"/>
  <c r="U112" i="13" s="1"/>
  <c r="Y111" i="13"/>
  <c r="R111" i="13"/>
  <c r="W111" i="13" s="1"/>
  <c r="Q111" i="13"/>
  <c r="P111" i="13"/>
  <c r="U111" i="13" s="1"/>
  <c r="Y110" i="13"/>
  <c r="R110" i="13"/>
  <c r="W110" i="13" s="1"/>
  <c r="Q110" i="13"/>
  <c r="V110" i="13" s="1"/>
  <c r="P110" i="13"/>
  <c r="Y109" i="13"/>
  <c r="R109" i="13"/>
  <c r="W109" i="13" s="1"/>
  <c r="Q109" i="13"/>
  <c r="V109" i="13" s="1"/>
  <c r="P109" i="13"/>
  <c r="U109" i="13" s="1"/>
  <c r="Y108" i="13"/>
  <c r="R108" i="13"/>
  <c r="W108" i="13" s="1"/>
  <c r="Q108" i="13"/>
  <c r="V108" i="13" s="1"/>
  <c r="P108" i="13"/>
  <c r="U108" i="13" s="1"/>
  <c r="Y107" i="13"/>
  <c r="R107" i="13"/>
  <c r="W107" i="13" s="1"/>
  <c r="Q107" i="13"/>
  <c r="V107" i="13" s="1"/>
  <c r="P107" i="13"/>
  <c r="U107" i="13" s="1"/>
  <c r="Y106" i="13"/>
  <c r="R106" i="13"/>
  <c r="W106" i="13" s="1"/>
  <c r="Q106" i="13"/>
  <c r="V106" i="13" s="1"/>
  <c r="P106" i="13"/>
  <c r="U106" i="13" s="1"/>
  <c r="Y105" i="13"/>
  <c r="R105" i="13"/>
  <c r="W105" i="13" s="1"/>
  <c r="Q105" i="13"/>
  <c r="P105" i="13"/>
  <c r="U105" i="13" s="1"/>
  <c r="Y104" i="13"/>
  <c r="R104" i="13"/>
  <c r="W104" i="13" s="1"/>
  <c r="Q104" i="13"/>
  <c r="V104" i="13" s="1"/>
  <c r="P104" i="13"/>
  <c r="U104" i="13" s="1"/>
  <c r="Y103" i="13"/>
  <c r="R103" i="13"/>
  <c r="W103" i="13" s="1"/>
  <c r="Q103" i="13"/>
  <c r="V103" i="13" s="1"/>
  <c r="P103" i="13"/>
  <c r="U103" i="13" s="1"/>
  <c r="Y184" i="13"/>
  <c r="R184" i="13"/>
  <c r="W184" i="13" s="1"/>
  <c r="Q184" i="13"/>
  <c r="V184" i="13" s="1"/>
  <c r="P184" i="13"/>
  <c r="U184" i="13" s="1"/>
  <c r="Y102" i="13"/>
  <c r="R102" i="13"/>
  <c r="W102" i="13" s="1"/>
  <c r="Q102" i="13"/>
  <c r="V102" i="13" s="1"/>
  <c r="P102" i="13"/>
  <c r="Y101" i="13"/>
  <c r="R101" i="13"/>
  <c r="W101" i="13" s="1"/>
  <c r="Q101" i="13"/>
  <c r="V101" i="13" s="1"/>
  <c r="P101" i="13"/>
  <c r="U101" i="13" s="1"/>
  <c r="Y100" i="13"/>
  <c r="R100" i="13"/>
  <c r="W100" i="13" s="1"/>
  <c r="Q100" i="13"/>
  <c r="P100" i="13"/>
  <c r="U100" i="13" s="1"/>
  <c r="Y99" i="13"/>
  <c r="R99" i="13"/>
  <c r="W99" i="13" s="1"/>
  <c r="Q99" i="13"/>
  <c r="V99" i="13" s="1"/>
  <c r="P99" i="13"/>
  <c r="Y98" i="13"/>
  <c r="R98" i="13"/>
  <c r="W98" i="13" s="1"/>
  <c r="Q98" i="13"/>
  <c r="V98" i="13" s="1"/>
  <c r="P98" i="13"/>
  <c r="U98" i="13" s="1"/>
  <c r="Y97" i="13"/>
  <c r="R97" i="13"/>
  <c r="W97" i="13" s="1"/>
  <c r="Q97" i="13"/>
  <c r="V97" i="13" s="1"/>
  <c r="P97" i="13"/>
  <c r="U97" i="13" s="1"/>
  <c r="Y96" i="13"/>
  <c r="R96" i="13"/>
  <c r="W96" i="13" s="1"/>
  <c r="Q96" i="13"/>
  <c r="V96" i="13" s="1"/>
  <c r="P96" i="13"/>
  <c r="U96" i="13" s="1"/>
  <c r="Y95" i="13"/>
  <c r="R95" i="13"/>
  <c r="W95" i="13" s="1"/>
  <c r="Q95" i="13"/>
  <c r="V95" i="13" s="1"/>
  <c r="P95" i="13"/>
  <c r="U95" i="13" s="1"/>
  <c r="Y94" i="13"/>
  <c r="R94" i="13"/>
  <c r="W94" i="13" s="1"/>
  <c r="Q94" i="13"/>
  <c r="P94" i="13"/>
  <c r="U94" i="13" s="1"/>
  <c r="Y93" i="13"/>
  <c r="R93" i="13"/>
  <c r="W93" i="13" s="1"/>
  <c r="Q93" i="13"/>
  <c r="V93" i="13" s="1"/>
  <c r="P93" i="13"/>
  <c r="Y92" i="13"/>
  <c r="R92" i="13"/>
  <c r="W92" i="13" s="1"/>
  <c r="Q92" i="13"/>
  <c r="V92" i="13" s="1"/>
  <c r="P92" i="13"/>
  <c r="U92" i="13" s="1"/>
  <c r="Y91" i="13"/>
  <c r="R91" i="13"/>
  <c r="W91" i="13" s="1"/>
  <c r="Q91" i="13"/>
  <c r="V91" i="13" s="1"/>
  <c r="P91" i="13"/>
  <c r="U91" i="13" s="1"/>
  <c r="Y90" i="13"/>
  <c r="R90" i="13"/>
  <c r="W90" i="13" s="1"/>
  <c r="Q90" i="13"/>
  <c r="V90" i="13" s="1"/>
  <c r="P90" i="13"/>
  <c r="Y89" i="13"/>
  <c r="R89" i="13"/>
  <c r="W89" i="13" s="1"/>
  <c r="Q89" i="13"/>
  <c r="V89" i="13" s="1"/>
  <c r="P89" i="13"/>
  <c r="U89" i="13" s="1"/>
  <c r="Y174" i="13"/>
  <c r="R174" i="13"/>
  <c r="W174" i="13" s="1"/>
  <c r="Q174" i="13"/>
  <c r="P174" i="13"/>
  <c r="U174" i="13" s="1"/>
  <c r="Y88" i="13"/>
  <c r="R88" i="13"/>
  <c r="W88" i="13" s="1"/>
  <c r="Q88" i="13"/>
  <c r="V88" i="13" s="1"/>
  <c r="P88" i="13"/>
  <c r="U88" i="13" s="1"/>
  <c r="Y87" i="13"/>
  <c r="R87" i="13"/>
  <c r="W87" i="13" s="1"/>
  <c r="Q87" i="13"/>
  <c r="V87" i="13" s="1"/>
  <c r="P87" i="13"/>
  <c r="U87" i="13" s="1"/>
  <c r="Y86" i="13"/>
  <c r="R86" i="13"/>
  <c r="W86" i="13" s="1"/>
  <c r="Q86" i="13"/>
  <c r="V86" i="13" s="1"/>
  <c r="P86" i="13"/>
  <c r="Y85" i="13"/>
  <c r="R85" i="13"/>
  <c r="W85" i="13" s="1"/>
  <c r="Q85" i="13"/>
  <c r="V85" i="13" s="1"/>
  <c r="P85" i="13"/>
  <c r="Y84" i="13"/>
  <c r="R84" i="13"/>
  <c r="W84" i="13" s="1"/>
  <c r="Q84" i="13"/>
  <c r="V84" i="13" s="1"/>
  <c r="P84" i="13"/>
  <c r="U84" i="13" s="1"/>
  <c r="Y83" i="13"/>
  <c r="R83" i="13"/>
  <c r="W83" i="13" s="1"/>
  <c r="Q83" i="13"/>
  <c r="P83" i="13"/>
  <c r="U83" i="13" s="1"/>
  <c r="Y82" i="13"/>
  <c r="R82" i="13"/>
  <c r="W82" i="13" s="1"/>
  <c r="Q82" i="13"/>
  <c r="V82" i="13" s="1"/>
  <c r="P82" i="13"/>
  <c r="Y81" i="13"/>
  <c r="R81" i="13"/>
  <c r="W81" i="13" s="1"/>
  <c r="Q81" i="13"/>
  <c r="V81" i="13" s="1"/>
  <c r="P81" i="13"/>
  <c r="U81" i="13" s="1"/>
  <c r="Y80" i="13"/>
  <c r="R80" i="13"/>
  <c r="W80" i="13" s="1"/>
  <c r="Q80" i="13"/>
  <c r="V80" i="13" s="1"/>
  <c r="P80" i="13"/>
  <c r="Y79" i="13"/>
  <c r="R79" i="13"/>
  <c r="W79" i="13" s="1"/>
  <c r="Q79" i="13"/>
  <c r="V79" i="13" s="1"/>
  <c r="P79" i="13"/>
  <c r="Y78" i="13"/>
  <c r="R78" i="13"/>
  <c r="W78" i="13" s="1"/>
  <c r="Q78" i="13"/>
  <c r="V78" i="13" s="1"/>
  <c r="P78" i="13"/>
  <c r="U78" i="13" s="1"/>
  <c r="Y77" i="13"/>
  <c r="R77" i="13"/>
  <c r="W77" i="13" s="1"/>
  <c r="Q77" i="13"/>
  <c r="V77" i="13" s="1"/>
  <c r="P77" i="13"/>
  <c r="U77" i="13" s="1"/>
  <c r="Y76" i="13"/>
  <c r="R76" i="13"/>
  <c r="W76" i="13" s="1"/>
  <c r="Q76" i="13"/>
  <c r="V76" i="13" s="1"/>
  <c r="P76" i="13"/>
  <c r="U76" i="13" s="1"/>
  <c r="Y75" i="13"/>
  <c r="R75" i="13"/>
  <c r="W75" i="13" s="1"/>
  <c r="Q75" i="13"/>
  <c r="V75" i="13" s="1"/>
  <c r="P75" i="13"/>
  <c r="U75" i="13" s="1"/>
  <c r="Y74" i="13"/>
  <c r="R74" i="13"/>
  <c r="W74" i="13" s="1"/>
  <c r="Q74" i="13"/>
  <c r="V74" i="13" s="1"/>
  <c r="P74" i="13"/>
  <c r="Y73" i="13"/>
  <c r="R73" i="13"/>
  <c r="W73" i="13" s="1"/>
  <c r="Q73" i="13"/>
  <c r="V73" i="13" s="1"/>
  <c r="P73" i="13"/>
  <c r="Y72" i="13"/>
  <c r="R72" i="13"/>
  <c r="W72" i="13" s="1"/>
  <c r="Q72" i="13"/>
  <c r="V72" i="13" s="1"/>
  <c r="P72" i="13"/>
  <c r="U72" i="13" s="1"/>
  <c r="Y71" i="13"/>
  <c r="R71" i="13"/>
  <c r="W71" i="13" s="1"/>
  <c r="Q71" i="13"/>
  <c r="V71" i="13" s="1"/>
  <c r="P71" i="13"/>
  <c r="Y70" i="13"/>
  <c r="R70" i="13"/>
  <c r="W70" i="13" s="1"/>
  <c r="Q70" i="13"/>
  <c r="V70" i="13" s="1"/>
  <c r="P70" i="13"/>
  <c r="Y69" i="13"/>
  <c r="R69" i="13"/>
  <c r="W69" i="13" s="1"/>
  <c r="Q69" i="13"/>
  <c r="V69" i="13" s="1"/>
  <c r="P69" i="13"/>
  <c r="U69" i="13" s="1"/>
  <c r="Y68" i="13"/>
  <c r="R68" i="13"/>
  <c r="W68" i="13" s="1"/>
  <c r="Q68" i="13"/>
  <c r="V68" i="13" s="1"/>
  <c r="P68" i="13"/>
  <c r="Y67" i="13"/>
  <c r="R67" i="13"/>
  <c r="W67" i="13" s="1"/>
  <c r="Q67" i="13"/>
  <c r="V67" i="13" s="1"/>
  <c r="P67" i="13"/>
  <c r="Y66" i="13"/>
  <c r="R66" i="13"/>
  <c r="W66" i="13" s="1"/>
  <c r="Q66" i="13"/>
  <c r="V66" i="13" s="1"/>
  <c r="P66" i="13"/>
  <c r="U66" i="13" s="1"/>
  <c r="Y65" i="13"/>
  <c r="R65" i="13"/>
  <c r="W65" i="13" s="1"/>
  <c r="Q65" i="13"/>
  <c r="V65" i="13" s="1"/>
  <c r="P65" i="13"/>
  <c r="U65" i="13" s="1"/>
  <c r="Y64" i="13"/>
  <c r="R64" i="13"/>
  <c r="W64" i="13" s="1"/>
  <c r="Q64" i="13"/>
  <c r="V64" i="13" s="1"/>
  <c r="P64" i="13"/>
  <c r="Y63" i="13"/>
  <c r="R63" i="13"/>
  <c r="W63" i="13" s="1"/>
  <c r="Q63" i="13"/>
  <c r="V63" i="13" s="1"/>
  <c r="P63" i="13"/>
  <c r="U63" i="13" s="1"/>
  <c r="Y62" i="13"/>
  <c r="R62" i="13"/>
  <c r="W62" i="13" s="1"/>
  <c r="Q62" i="13"/>
  <c r="V62" i="13" s="1"/>
  <c r="P62" i="13"/>
  <c r="U62" i="13" s="1"/>
  <c r="Y61" i="13"/>
  <c r="R61" i="13"/>
  <c r="W61" i="13" s="1"/>
  <c r="Q61" i="13"/>
  <c r="V61" i="13" s="1"/>
  <c r="P61" i="13"/>
  <c r="U61" i="13" s="1"/>
  <c r="Y60" i="13"/>
  <c r="R60" i="13"/>
  <c r="W60" i="13" s="1"/>
  <c r="Q60" i="13"/>
  <c r="V60" i="13" s="1"/>
  <c r="P60" i="13"/>
  <c r="U60" i="13" s="1"/>
  <c r="Y59" i="13"/>
  <c r="R59" i="13"/>
  <c r="W59" i="13" s="1"/>
  <c r="Q59" i="13"/>
  <c r="V59" i="13" s="1"/>
  <c r="P59" i="13"/>
  <c r="U59" i="13" s="1"/>
  <c r="Y182" i="13"/>
  <c r="R182" i="13"/>
  <c r="W182" i="13" s="1"/>
  <c r="Q182" i="13"/>
  <c r="V182" i="13" s="1"/>
  <c r="P182" i="13"/>
  <c r="Y58" i="13"/>
  <c r="R58" i="13"/>
  <c r="W58" i="13" s="1"/>
  <c r="Q58" i="13"/>
  <c r="V58" i="13" s="1"/>
  <c r="P58" i="13"/>
  <c r="U58" i="13" s="1"/>
  <c r="Y57" i="13"/>
  <c r="R57" i="13"/>
  <c r="W57" i="13" s="1"/>
  <c r="Q57" i="13"/>
  <c r="V57" i="13" s="1"/>
  <c r="P57" i="13"/>
  <c r="Y56" i="13"/>
  <c r="R56" i="13"/>
  <c r="W56" i="13" s="1"/>
  <c r="Q56" i="13"/>
  <c r="V56" i="13" s="1"/>
  <c r="P56" i="13"/>
  <c r="Y55" i="13"/>
  <c r="R55" i="13"/>
  <c r="W55" i="13" s="1"/>
  <c r="Q55" i="13"/>
  <c r="V55" i="13" s="1"/>
  <c r="P55" i="13"/>
  <c r="U55" i="13" s="1"/>
  <c r="Y54" i="13"/>
  <c r="R54" i="13"/>
  <c r="W54" i="13" s="1"/>
  <c r="Q54" i="13"/>
  <c r="V54" i="13" s="1"/>
  <c r="P54" i="13"/>
  <c r="U54" i="13" s="1"/>
  <c r="Y53" i="13"/>
  <c r="R53" i="13"/>
  <c r="W53" i="13" s="1"/>
  <c r="Q53" i="13"/>
  <c r="V53" i="13" s="1"/>
  <c r="P53" i="13"/>
  <c r="Y181" i="13"/>
  <c r="R181" i="13"/>
  <c r="W181" i="13" s="1"/>
  <c r="Q181" i="13"/>
  <c r="V181" i="13" s="1"/>
  <c r="P181" i="13"/>
  <c r="U181" i="13" s="1"/>
  <c r="Y52" i="13"/>
  <c r="R52" i="13"/>
  <c r="W52" i="13" s="1"/>
  <c r="Q52" i="13"/>
  <c r="V52" i="13" s="1"/>
  <c r="P52" i="13"/>
  <c r="Y51" i="13"/>
  <c r="R51" i="13"/>
  <c r="W51" i="13" s="1"/>
  <c r="Q51" i="13"/>
  <c r="V51" i="13" s="1"/>
  <c r="P51" i="13"/>
  <c r="U51" i="13" s="1"/>
  <c r="Y180" i="13"/>
  <c r="R180" i="13"/>
  <c r="W180" i="13" s="1"/>
  <c r="Q180" i="13"/>
  <c r="V180" i="13" s="1"/>
  <c r="P180" i="13"/>
  <c r="U180" i="13" s="1"/>
  <c r="Y50" i="13"/>
  <c r="R50" i="13"/>
  <c r="W50" i="13" s="1"/>
  <c r="Q50" i="13"/>
  <c r="V50" i="13" s="1"/>
  <c r="P50" i="13"/>
  <c r="U50" i="13" s="1"/>
  <c r="Y49" i="13"/>
  <c r="R49" i="13"/>
  <c r="W49" i="13" s="1"/>
  <c r="Q49" i="13"/>
  <c r="V49" i="13" s="1"/>
  <c r="P49" i="13"/>
  <c r="U49" i="13" s="1"/>
  <c r="Y48" i="13"/>
  <c r="R48" i="13"/>
  <c r="W48" i="13" s="1"/>
  <c r="Q48" i="13"/>
  <c r="V48" i="13" s="1"/>
  <c r="P48" i="13"/>
  <c r="U48" i="13" s="1"/>
  <c r="Y47" i="13"/>
  <c r="R47" i="13"/>
  <c r="W47" i="13" s="1"/>
  <c r="Q47" i="13"/>
  <c r="V47" i="13" s="1"/>
  <c r="P47" i="13"/>
  <c r="Y46" i="13"/>
  <c r="R46" i="13"/>
  <c r="W46" i="13" s="1"/>
  <c r="Q46" i="13"/>
  <c r="V46" i="13" s="1"/>
  <c r="P46" i="13"/>
  <c r="U46" i="13" s="1"/>
  <c r="Y45" i="13"/>
  <c r="R45" i="13"/>
  <c r="W45" i="13" s="1"/>
  <c r="Q45" i="13"/>
  <c r="V45" i="13" s="1"/>
  <c r="P45" i="13"/>
  <c r="U45" i="13" s="1"/>
  <c r="Y44" i="13"/>
  <c r="R44" i="13"/>
  <c r="W44" i="13" s="1"/>
  <c r="Q44" i="13"/>
  <c r="V44" i="13" s="1"/>
  <c r="P44" i="13"/>
  <c r="U44" i="13" s="1"/>
  <c r="Y43" i="13"/>
  <c r="R43" i="13"/>
  <c r="W43" i="13" s="1"/>
  <c r="Q43" i="13"/>
  <c r="V43" i="13" s="1"/>
  <c r="P43" i="13"/>
  <c r="U43" i="13" s="1"/>
  <c r="Y42" i="13"/>
  <c r="R42" i="13"/>
  <c r="W42" i="13" s="1"/>
  <c r="Q42" i="13"/>
  <c r="V42" i="13" s="1"/>
  <c r="P42" i="13"/>
  <c r="U42" i="13" s="1"/>
  <c r="Y41" i="13"/>
  <c r="R41" i="13"/>
  <c r="W41" i="13" s="1"/>
  <c r="Q41" i="13"/>
  <c r="V41" i="13" s="1"/>
  <c r="P41" i="13"/>
  <c r="Y40" i="13"/>
  <c r="R40" i="13"/>
  <c r="W40" i="13" s="1"/>
  <c r="Q40" i="13"/>
  <c r="V40" i="13" s="1"/>
  <c r="P40" i="13"/>
  <c r="U40" i="13" s="1"/>
  <c r="Y39" i="13"/>
  <c r="R39" i="13"/>
  <c r="W39" i="13" s="1"/>
  <c r="Q39" i="13"/>
  <c r="V39" i="13" s="1"/>
  <c r="P39" i="13"/>
  <c r="U39" i="13" s="1"/>
  <c r="Y38" i="13"/>
  <c r="R38" i="13"/>
  <c r="W38" i="13" s="1"/>
  <c r="Q38" i="13"/>
  <c r="V38" i="13" s="1"/>
  <c r="P38" i="13"/>
  <c r="U38" i="13" s="1"/>
  <c r="Y37" i="13"/>
  <c r="R37" i="13"/>
  <c r="W37" i="13" s="1"/>
  <c r="Q37" i="13"/>
  <c r="V37" i="13" s="1"/>
  <c r="P37" i="13"/>
  <c r="U37" i="13" s="1"/>
  <c r="Y36" i="13"/>
  <c r="R36" i="13"/>
  <c r="W36" i="13" s="1"/>
  <c r="Q36" i="13"/>
  <c r="V36" i="13" s="1"/>
  <c r="P36" i="13"/>
  <c r="U36" i="13" s="1"/>
  <c r="Y35" i="13"/>
  <c r="R35" i="13"/>
  <c r="W35" i="13" s="1"/>
  <c r="Q35" i="13"/>
  <c r="V35" i="13" s="1"/>
  <c r="P35" i="13"/>
  <c r="U35" i="13" s="1"/>
  <c r="Y34" i="13"/>
  <c r="R34" i="13"/>
  <c r="W34" i="13" s="1"/>
  <c r="Q34" i="13"/>
  <c r="V34" i="13" s="1"/>
  <c r="P34" i="13"/>
  <c r="U34" i="13" s="1"/>
  <c r="Y33" i="13"/>
  <c r="R33" i="13"/>
  <c r="W33" i="13" s="1"/>
  <c r="Q33" i="13"/>
  <c r="V33" i="13" s="1"/>
  <c r="P33" i="13"/>
  <c r="U33" i="13" s="1"/>
  <c r="Y32" i="13"/>
  <c r="R32" i="13"/>
  <c r="W32" i="13" s="1"/>
  <c r="Q32" i="13"/>
  <c r="V32" i="13" s="1"/>
  <c r="P32" i="13"/>
  <c r="U32" i="13" s="1"/>
  <c r="Y31" i="13"/>
  <c r="R31" i="13"/>
  <c r="W31" i="13" s="1"/>
  <c r="Q31" i="13"/>
  <c r="V31" i="13" s="1"/>
  <c r="P31" i="13"/>
  <c r="U31" i="13" s="1"/>
  <c r="Y30" i="13"/>
  <c r="R30" i="13"/>
  <c r="W30" i="13" s="1"/>
  <c r="Q30" i="13"/>
  <c r="V30" i="13" s="1"/>
  <c r="P30" i="13"/>
  <c r="U30" i="13" s="1"/>
  <c r="Y29" i="13"/>
  <c r="R29" i="13"/>
  <c r="W29" i="13" s="1"/>
  <c r="Q29" i="13"/>
  <c r="V29" i="13" s="1"/>
  <c r="P29" i="13"/>
  <c r="Y28" i="13"/>
  <c r="R28" i="13"/>
  <c r="W28" i="13" s="1"/>
  <c r="Q28" i="13"/>
  <c r="V28" i="13" s="1"/>
  <c r="P28" i="13"/>
  <c r="U28" i="13" s="1"/>
  <c r="Y27" i="13"/>
  <c r="R27" i="13"/>
  <c r="W27" i="13" s="1"/>
  <c r="Q27" i="13"/>
  <c r="V27" i="13" s="1"/>
  <c r="P27" i="13"/>
  <c r="U27" i="13" s="1"/>
  <c r="Y26" i="13"/>
  <c r="R26" i="13"/>
  <c r="W26" i="13" s="1"/>
  <c r="Q26" i="13"/>
  <c r="V26" i="13" s="1"/>
  <c r="P26" i="13"/>
  <c r="U26" i="13" s="1"/>
  <c r="Y25" i="13"/>
  <c r="R25" i="13"/>
  <c r="W25" i="13" s="1"/>
  <c r="Q25" i="13"/>
  <c r="V25" i="13" s="1"/>
  <c r="P25" i="13"/>
  <c r="U25" i="13" s="1"/>
  <c r="Y24" i="13"/>
  <c r="R24" i="13"/>
  <c r="W24" i="13" s="1"/>
  <c r="Q24" i="13"/>
  <c r="V24" i="13" s="1"/>
  <c r="P24" i="13"/>
  <c r="U24" i="13" s="1"/>
  <c r="Y23" i="13"/>
  <c r="R23" i="13"/>
  <c r="W23" i="13" s="1"/>
  <c r="Q23" i="13"/>
  <c r="V23" i="13" s="1"/>
  <c r="P23" i="13"/>
  <c r="U23" i="13" s="1"/>
  <c r="Y22" i="13"/>
  <c r="R22" i="13"/>
  <c r="W22" i="13" s="1"/>
  <c r="Q22" i="13"/>
  <c r="V22" i="13" s="1"/>
  <c r="P22" i="13"/>
  <c r="U22" i="13" s="1"/>
  <c r="Y21" i="13"/>
  <c r="R21" i="13"/>
  <c r="W21" i="13" s="1"/>
  <c r="Q21" i="13"/>
  <c r="V21" i="13" s="1"/>
  <c r="P21" i="13"/>
  <c r="Y173" i="13"/>
  <c r="R173" i="13"/>
  <c r="W173" i="13" s="1"/>
  <c r="Q173" i="13"/>
  <c r="V173" i="13" s="1"/>
  <c r="P173" i="13"/>
  <c r="U173" i="13" s="1"/>
  <c r="Y20" i="13"/>
  <c r="R20" i="13"/>
  <c r="W20" i="13" s="1"/>
  <c r="Q20" i="13"/>
  <c r="V20" i="13" s="1"/>
  <c r="P20" i="13"/>
  <c r="U20" i="13" s="1"/>
  <c r="Y19" i="13"/>
  <c r="R19" i="13"/>
  <c r="W19" i="13" s="1"/>
  <c r="Q19" i="13"/>
  <c r="V19" i="13" s="1"/>
  <c r="P19" i="13"/>
  <c r="U19" i="13" s="1"/>
  <c r="Y18" i="13"/>
  <c r="R18" i="13"/>
  <c r="W18" i="13" s="1"/>
  <c r="Q18" i="13"/>
  <c r="V18" i="13" s="1"/>
  <c r="P18" i="13"/>
  <c r="Y17" i="13"/>
  <c r="R17" i="13"/>
  <c r="W17" i="13" s="1"/>
  <c r="Q17" i="13"/>
  <c r="V17" i="13" s="1"/>
  <c r="P17" i="13"/>
  <c r="U17" i="13" s="1"/>
  <c r="Y16" i="13"/>
  <c r="R16" i="13"/>
  <c r="W16" i="13" s="1"/>
  <c r="Q16" i="13"/>
  <c r="V16" i="13" s="1"/>
  <c r="P16" i="13"/>
  <c r="U16" i="13" s="1"/>
  <c r="Y15" i="13"/>
  <c r="R15" i="13"/>
  <c r="W15" i="13" s="1"/>
  <c r="Q15" i="13"/>
  <c r="V15" i="13" s="1"/>
  <c r="P15" i="13"/>
  <c r="U15" i="13" s="1"/>
  <c r="Y14" i="13"/>
  <c r="R14" i="13"/>
  <c r="W14" i="13" s="1"/>
  <c r="Q14" i="13"/>
  <c r="V14" i="13" s="1"/>
  <c r="P14" i="13"/>
  <c r="U14" i="13" s="1"/>
  <c r="Y172" i="13"/>
  <c r="R172" i="13"/>
  <c r="W172" i="13" s="1"/>
  <c r="Q172" i="13"/>
  <c r="V172" i="13" s="1"/>
  <c r="P172" i="13"/>
  <c r="U172" i="13" s="1"/>
  <c r="Y13" i="13"/>
  <c r="R13" i="13"/>
  <c r="W13" i="13" s="1"/>
  <c r="Q13" i="13"/>
  <c r="V13" i="13" s="1"/>
  <c r="P13" i="13"/>
  <c r="U13" i="13" s="1"/>
  <c r="Y12" i="13"/>
  <c r="R12" i="13"/>
  <c r="W12" i="13" s="1"/>
  <c r="Q12" i="13"/>
  <c r="V12" i="13" s="1"/>
  <c r="P12" i="13"/>
  <c r="U12" i="13" s="1"/>
  <c r="Y11" i="13"/>
  <c r="R11" i="13"/>
  <c r="W11" i="13" s="1"/>
  <c r="Q11" i="13"/>
  <c r="V11" i="13" s="1"/>
  <c r="P11" i="13"/>
  <c r="U11" i="13" s="1"/>
  <c r="Y10" i="13"/>
  <c r="R10" i="13"/>
  <c r="W10" i="13" s="1"/>
  <c r="Q10" i="13"/>
  <c r="V10" i="13" s="1"/>
  <c r="P10" i="13"/>
  <c r="U10" i="13" s="1"/>
  <c r="Y9" i="13"/>
  <c r="R9" i="13"/>
  <c r="W9" i="13" s="1"/>
  <c r="Q9" i="13"/>
  <c r="V9" i="13" s="1"/>
  <c r="P9" i="13"/>
  <c r="U9" i="13" s="1"/>
  <c r="Y8" i="13"/>
  <c r="R8" i="13"/>
  <c r="W8" i="13" s="1"/>
  <c r="Q8" i="13"/>
  <c r="V8" i="13" s="1"/>
  <c r="P8" i="13"/>
  <c r="U8" i="13" s="1"/>
  <c r="Y7" i="13"/>
  <c r="R7" i="13"/>
  <c r="W7" i="13" s="1"/>
  <c r="Q7" i="13"/>
  <c r="V7" i="13" s="1"/>
  <c r="P7" i="13"/>
  <c r="U7" i="13" s="1"/>
  <c r="Y6" i="13"/>
  <c r="R6" i="13"/>
  <c r="W6" i="13" s="1"/>
  <c r="Q6" i="13"/>
  <c r="V6" i="13" s="1"/>
  <c r="P6" i="13"/>
  <c r="U6" i="13" s="1"/>
  <c r="Y5" i="13"/>
  <c r="R5" i="13"/>
  <c r="W5" i="13" s="1"/>
  <c r="Q5" i="13"/>
  <c r="V5" i="13" s="1"/>
  <c r="P5" i="13"/>
  <c r="U5" i="13" s="1"/>
  <c r="Y4" i="13"/>
  <c r="R4" i="13"/>
  <c r="W4" i="13" s="1"/>
  <c r="Q4" i="13"/>
  <c r="V4" i="13" s="1"/>
  <c r="P4" i="13"/>
  <c r="U4" i="13" s="1"/>
  <c r="Y3" i="13"/>
  <c r="R3" i="13"/>
  <c r="W3" i="13" s="1"/>
  <c r="Q3" i="13"/>
  <c r="V3" i="13" s="1"/>
  <c r="P3" i="13"/>
  <c r="U3" i="13" s="1"/>
  <c r="Y2" i="13"/>
  <c r="R2" i="13"/>
  <c r="W2" i="13" s="1"/>
  <c r="Q2" i="13"/>
  <c r="V2" i="13" s="1"/>
  <c r="P2" i="13"/>
  <c r="U2" i="13" s="1"/>
  <c r="P123" i="12"/>
  <c r="Q53" i="12"/>
  <c r="Q5" i="12"/>
  <c r="M174" i="12"/>
  <c r="M173" i="12"/>
  <c r="Q173" i="12" s="1"/>
  <c r="M172" i="12"/>
  <c r="M171" i="12"/>
  <c r="O171" i="12" s="1"/>
  <c r="M170" i="12"/>
  <c r="M169" i="12"/>
  <c r="M168" i="12"/>
  <c r="R168" i="12" s="1"/>
  <c r="M167" i="12"/>
  <c r="AD167" i="12" s="1"/>
  <c r="M166" i="12"/>
  <c r="AD166" i="12" s="1"/>
  <c r="M165" i="12"/>
  <c r="M164" i="12"/>
  <c r="M163" i="12"/>
  <c r="M162" i="12"/>
  <c r="M161" i="12"/>
  <c r="M160" i="12"/>
  <c r="M159" i="12"/>
  <c r="M158" i="12"/>
  <c r="M157" i="12"/>
  <c r="M156" i="12"/>
  <c r="S156" i="12" s="1"/>
  <c r="M155" i="12"/>
  <c r="M154" i="12"/>
  <c r="AD154" i="12" s="1"/>
  <c r="M153" i="12"/>
  <c r="M152" i="12"/>
  <c r="O152" i="12" s="1"/>
  <c r="M151" i="12"/>
  <c r="M150" i="12"/>
  <c r="M149" i="12"/>
  <c r="M148" i="12"/>
  <c r="M147" i="12"/>
  <c r="M146" i="12"/>
  <c r="M145" i="12"/>
  <c r="M144" i="12"/>
  <c r="S144" i="12" s="1"/>
  <c r="M143" i="12"/>
  <c r="AD143" i="12" s="1"/>
  <c r="M142" i="12"/>
  <c r="Q142" i="12" s="1"/>
  <c r="M141" i="12"/>
  <c r="M140" i="12"/>
  <c r="O140" i="12" s="1"/>
  <c r="M139" i="12"/>
  <c r="S139" i="12" s="1"/>
  <c r="M138" i="12"/>
  <c r="M137" i="12"/>
  <c r="R137" i="12" s="1"/>
  <c r="M136" i="12"/>
  <c r="M135" i="12"/>
  <c r="M134" i="12"/>
  <c r="M133" i="12"/>
  <c r="M132" i="12"/>
  <c r="R132" i="12" s="1"/>
  <c r="M131" i="12"/>
  <c r="AD131" i="12" s="1"/>
  <c r="M130" i="12"/>
  <c r="Q130" i="12" s="1"/>
  <c r="M129" i="12"/>
  <c r="M128" i="12"/>
  <c r="O128" i="12" s="1"/>
  <c r="M127" i="12"/>
  <c r="S127" i="12" s="1"/>
  <c r="M126" i="12"/>
  <c r="M125" i="12"/>
  <c r="R125" i="12" s="1"/>
  <c r="M124" i="12"/>
  <c r="M123" i="12"/>
  <c r="M122" i="12"/>
  <c r="M121" i="12"/>
  <c r="M120" i="12"/>
  <c r="S120" i="12" s="1"/>
  <c r="M119" i="12"/>
  <c r="M118" i="12"/>
  <c r="AD118" i="12" s="1"/>
  <c r="M117" i="12"/>
  <c r="M116" i="12"/>
  <c r="O116" i="12" s="1"/>
  <c r="M115" i="12"/>
  <c r="S115" i="12" s="1"/>
  <c r="M114" i="12"/>
  <c r="M113" i="12"/>
  <c r="R113" i="12" s="1"/>
  <c r="M112" i="12"/>
  <c r="M111" i="12"/>
  <c r="O111" i="12" s="1"/>
  <c r="M110" i="12"/>
  <c r="M109" i="12"/>
  <c r="M108" i="12"/>
  <c r="S108" i="12" s="1"/>
  <c r="M107" i="12"/>
  <c r="M106" i="12"/>
  <c r="Q106" i="12" s="1"/>
  <c r="M105" i="12"/>
  <c r="M104" i="12"/>
  <c r="O104" i="12" s="1"/>
  <c r="M103" i="12"/>
  <c r="S103" i="12" s="1"/>
  <c r="M102" i="12"/>
  <c r="M101" i="12"/>
  <c r="R101" i="12" s="1"/>
  <c r="M100" i="12"/>
  <c r="M99" i="12"/>
  <c r="O99" i="12" s="1"/>
  <c r="M98" i="12"/>
  <c r="M97" i="12"/>
  <c r="M96" i="12"/>
  <c r="S96" i="12" s="1"/>
  <c r="M95" i="12"/>
  <c r="M94" i="12"/>
  <c r="AD94" i="12" s="1"/>
  <c r="M93" i="12"/>
  <c r="M92" i="12"/>
  <c r="M91" i="12"/>
  <c r="M90" i="12"/>
  <c r="M89" i="12"/>
  <c r="R89" i="12" s="1"/>
  <c r="M88" i="12"/>
  <c r="M87" i="12"/>
  <c r="M86" i="12"/>
  <c r="M85" i="12"/>
  <c r="M84" i="12"/>
  <c r="R84" i="12" s="1"/>
  <c r="M83" i="12"/>
  <c r="AD83" i="12" s="1"/>
  <c r="M82" i="12"/>
  <c r="AD82" i="12" s="1"/>
  <c r="M81" i="12"/>
  <c r="M80" i="12"/>
  <c r="O80" i="12" s="1"/>
  <c r="M79" i="12"/>
  <c r="M78" i="12"/>
  <c r="M77" i="12"/>
  <c r="M76" i="12"/>
  <c r="M75" i="12"/>
  <c r="M74" i="12"/>
  <c r="M73" i="12"/>
  <c r="M72" i="12"/>
  <c r="S72" i="12" s="1"/>
  <c r="M71" i="12"/>
  <c r="M70" i="12"/>
  <c r="Q70" i="12" s="1"/>
  <c r="M69" i="12"/>
  <c r="M68" i="12"/>
  <c r="O68" i="12" s="1"/>
  <c r="M67" i="12"/>
  <c r="S67" i="12" s="1"/>
  <c r="M66" i="12"/>
  <c r="M65" i="12"/>
  <c r="R65" i="12" s="1"/>
  <c r="M64" i="12"/>
  <c r="M63" i="12"/>
  <c r="M62" i="12"/>
  <c r="M61" i="12"/>
  <c r="M60" i="12"/>
  <c r="M59" i="12"/>
  <c r="M58" i="12"/>
  <c r="Q58" i="12" s="1"/>
  <c r="M57" i="12"/>
  <c r="M56" i="12"/>
  <c r="O56" i="12" s="1"/>
  <c r="M55" i="12"/>
  <c r="S55" i="12" s="1"/>
  <c r="M54" i="12"/>
  <c r="M53" i="12"/>
  <c r="R53" i="12" s="1"/>
  <c r="M52" i="12"/>
  <c r="M51" i="12"/>
  <c r="P51" i="12" s="1"/>
  <c r="M50" i="12"/>
  <c r="M49" i="12"/>
  <c r="M48" i="12"/>
  <c r="M47" i="12"/>
  <c r="M46" i="12"/>
  <c r="AD46" i="12" s="1"/>
  <c r="M45" i="12"/>
  <c r="M44" i="12"/>
  <c r="O44" i="12" s="1"/>
  <c r="M43" i="12"/>
  <c r="S43" i="12" s="1"/>
  <c r="M42" i="12"/>
  <c r="M41" i="12"/>
  <c r="R41" i="12" s="1"/>
  <c r="M40" i="12"/>
  <c r="M39" i="12"/>
  <c r="P39" i="12" s="1"/>
  <c r="M38" i="12"/>
  <c r="M37" i="12"/>
  <c r="M36" i="12"/>
  <c r="S36" i="12" s="1"/>
  <c r="M35" i="12"/>
  <c r="M34" i="12"/>
  <c r="Q34" i="12" s="1"/>
  <c r="M33" i="12"/>
  <c r="M32" i="12"/>
  <c r="O32" i="12" s="1"/>
  <c r="M31" i="12"/>
  <c r="S31" i="12" s="1"/>
  <c r="M30" i="12"/>
  <c r="M29" i="12"/>
  <c r="R29" i="12" s="1"/>
  <c r="M28" i="12"/>
  <c r="M27" i="12"/>
  <c r="O27" i="12" s="1"/>
  <c r="M26" i="12"/>
  <c r="M25" i="12"/>
  <c r="M24" i="12"/>
  <c r="R24" i="12" s="1"/>
  <c r="M23" i="12"/>
  <c r="AD23" i="12" s="1"/>
  <c r="M22" i="12"/>
  <c r="AD22" i="12" s="1"/>
  <c r="M21" i="12"/>
  <c r="M20" i="12"/>
  <c r="M19" i="12"/>
  <c r="M18" i="12"/>
  <c r="M17" i="12"/>
  <c r="R17" i="12" s="1"/>
  <c r="M16" i="12"/>
  <c r="M15" i="12"/>
  <c r="P15" i="12" s="1"/>
  <c r="M14" i="12"/>
  <c r="M13" i="12"/>
  <c r="M12" i="12"/>
  <c r="S12" i="12" s="1"/>
  <c r="M11" i="12"/>
  <c r="AD11" i="12" s="1"/>
  <c r="M10" i="12"/>
  <c r="AD10" i="12" s="1"/>
  <c r="M9" i="12"/>
  <c r="Q9" i="12" s="1"/>
  <c r="M8" i="12"/>
  <c r="AD8" i="12" s="1"/>
  <c r="M7" i="12"/>
  <c r="AD7" i="12" s="1"/>
  <c r="M6" i="12"/>
  <c r="AD6" i="12" s="1"/>
  <c r="M5" i="12"/>
  <c r="AD5" i="12" s="1"/>
  <c r="M4" i="12"/>
  <c r="AD4" i="12" s="1"/>
  <c r="M3" i="12"/>
  <c r="S3" i="12" s="1"/>
  <c r="M2" i="12"/>
  <c r="AD2" i="12" s="1"/>
  <c r="P5" i="12" l="1"/>
  <c r="P111" i="12"/>
  <c r="R5" i="12"/>
  <c r="Q125" i="12"/>
  <c r="R7" i="12"/>
  <c r="S7" i="12"/>
  <c r="O8" i="12"/>
  <c r="P10" i="12"/>
  <c r="Y176" i="12"/>
  <c r="Q10" i="12"/>
  <c r="P82" i="12"/>
  <c r="AD70" i="12"/>
  <c r="Z176" i="12"/>
  <c r="Q22" i="12"/>
  <c r="Q82" i="12"/>
  <c r="P154" i="12"/>
  <c r="AD142" i="12"/>
  <c r="AA176" i="12"/>
  <c r="S2" i="12"/>
  <c r="Q94" i="12"/>
  <c r="Q154" i="12"/>
  <c r="O3" i="12"/>
  <c r="O39" i="12"/>
  <c r="Q166" i="12"/>
  <c r="P3" i="12"/>
  <c r="S59" i="12"/>
  <c r="R59" i="12"/>
  <c r="Q59" i="12"/>
  <c r="P59" i="12"/>
  <c r="O59" i="12"/>
  <c r="S155" i="12"/>
  <c r="R155" i="12"/>
  <c r="Q155" i="12"/>
  <c r="P155" i="12"/>
  <c r="O155" i="12"/>
  <c r="P108" i="12"/>
  <c r="O108" i="12"/>
  <c r="AD108" i="12"/>
  <c r="Q108" i="12"/>
  <c r="S37" i="12"/>
  <c r="R37" i="12"/>
  <c r="Q37" i="12"/>
  <c r="AD37" i="12"/>
  <c r="P37" i="12"/>
  <c r="O37" i="12"/>
  <c r="S85" i="12"/>
  <c r="R85" i="12"/>
  <c r="Q85" i="12"/>
  <c r="AD85" i="12"/>
  <c r="P85" i="12"/>
  <c r="O85" i="12"/>
  <c r="S169" i="12"/>
  <c r="R169" i="12"/>
  <c r="Q169" i="12"/>
  <c r="AD169" i="12"/>
  <c r="P169" i="12"/>
  <c r="O169" i="12"/>
  <c r="S168" i="12"/>
  <c r="R14" i="12"/>
  <c r="Q14" i="12"/>
  <c r="P14" i="12"/>
  <c r="O14" i="12"/>
  <c r="AD14" i="12"/>
  <c r="S14" i="12"/>
  <c r="R26" i="12"/>
  <c r="Q26" i="12"/>
  <c r="P26" i="12"/>
  <c r="O26" i="12"/>
  <c r="AD26" i="12"/>
  <c r="S26" i="12"/>
  <c r="R38" i="12"/>
  <c r="Q38" i="12"/>
  <c r="P38" i="12"/>
  <c r="O38" i="12"/>
  <c r="AD38" i="12"/>
  <c r="S38" i="12"/>
  <c r="R50" i="12"/>
  <c r="Q50" i="12"/>
  <c r="P50" i="12"/>
  <c r="O50" i="12"/>
  <c r="AD50" i="12"/>
  <c r="S50" i="12"/>
  <c r="R62" i="12"/>
  <c r="Q62" i="12"/>
  <c r="P62" i="12"/>
  <c r="O62" i="12"/>
  <c r="AD62" i="12"/>
  <c r="S62" i="12"/>
  <c r="R74" i="12"/>
  <c r="Q74" i="12"/>
  <c r="P74" i="12"/>
  <c r="O74" i="12"/>
  <c r="AD74" i="12"/>
  <c r="S74" i="12"/>
  <c r="R86" i="12"/>
  <c r="Q86" i="12"/>
  <c r="P86" i="12"/>
  <c r="O86" i="12"/>
  <c r="AD86" i="12"/>
  <c r="S86" i="12"/>
  <c r="R98" i="12"/>
  <c r="Q98" i="12"/>
  <c r="P98" i="12"/>
  <c r="O98" i="12"/>
  <c r="AD98" i="12"/>
  <c r="S98" i="12"/>
  <c r="R110" i="12"/>
  <c r="Q110" i="12"/>
  <c r="P110" i="12"/>
  <c r="O110" i="12"/>
  <c r="AD110" i="12"/>
  <c r="S110" i="12"/>
  <c r="R122" i="12"/>
  <c r="Q122" i="12"/>
  <c r="P122" i="12"/>
  <c r="O122" i="12"/>
  <c r="AD122" i="12"/>
  <c r="S122" i="12"/>
  <c r="R134" i="12"/>
  <c r="Q134" i="12"/>
  <c r="P134" i="12"/>
  <c r="O134" i="12"/>
  <c r="AD134" i="12"/>
  <c r="S134" i="12"/>
  <c r="R146" i="12"/>
  <c r="Q146" i="12"/>
  <c r="P146" i="12"/>
  <c r="O146" i="12"/>
  <c r="AD146" i="12"/>
  <c r="S146" i="12"/>
  <c r="R158" i="12"/>
  <c r="Q158" i="12"/>
  <c r="P158" i="12"/>
  <c r="O158" i="12"/>
  <c r="AD158" i="12"/>
  <c r="S158" i="12"/>
  <c r="R170" i="12"/>
  <c r="Q170" i="12"/>
  <c r="P170" i="12"/>
  <c r="O170" i="12"/>
  <c r="AD170" i="12"/>
  <c r="S170" i="12"/>
  <c r="Q3" i="12"/>
  <c r="S5" i="12"/>
  <c r="P8" i="12"/>
  <c r="R12" i="12"/>
  <c r="Q41" i="12"/>
  <c r="P70" i="12"/>
  <c r="Q113" i="12"/>
  <c r="P142" i="12"/>
  <c r="R156" i="12"/>
  <c r="S35" i="12"/>
  <c r="R35" i="12"/>
  <c r="Q35" i="12"/>
  <c r="P35" i="12"/>
  <c r="O35" i="12"/>
  <c r="P84" i="12"/>
  <c r="O84" i="12"/>
  <c r="AD84" i="12"/>
  <c r="Q84" i="12"/>
  <c r="S13" i="12"/>
  <c r="R13" i="12"/>
  <c r="Q13" i="12"/>
  <c r="AD13" i="12"/>
  <c r="P13" i="12"/>
  <c r="O13" i="12"/>
  <c r="S97" i="12"/>
  <c r="R97" i="12"/>
  <c r="Q97" i="12"/>
  <c r="AD97" i="12"/>
  <c r="P97" i="12"/>
  <c r="O97" i="12"/>
  <c r="S24" i="12"/>
  <c r="AD27" i="12"/>
  <c r="S27" i="12"/>
  <c r="R27" i="12"/>
  <c r="Q27" i="12"/>
  <c r="AD51" i="12"/>
  <c r="S51" i="12"/>
  <c r="R51" i="12"/>
  <c r="Q51" i="12"/>
  <c r="AD63" i="12"/>
  <c r="S63" i="12"/>
  <c r="R63" i="12"/>
  <c r="Q63" i="12"/>
  <c r="AD75" i="12"/>
  <c r="S75" i="12"/>
  <c r="R75" i="12"/>
  <c r="Q75" i="12"/>
  <c r="AD87" i="12"/>
  <c r="S87" i="12"/>
  <c r="R87" i="12"/>
  <c r="Q87" i="12"/>
  <c r="AD99" i="12"/>
  <c r="S99" i="12"/>
  <c r="R99" i="12"/>
  <c r="Q99" i="12"/>
  <c r="AD111" i="12"/>
  <c r="S111" i="12"/>
  <c r="R111" i="12"/>
  <c r="Q111" i="12"/>
  <c r="AD123" i="12"/>
  <c r="S123" i="12"/>
  <c r="R123" i="12"/>
  <c r="Q123" i="12"/>
  <c r="AD135" i="12"/>
  <c r="S135" i="12"/>
  <c r="R135" i="12"/>
  <c r="Q135" i="12"/>
  <c r="AD147" i="12"/>
  <c r="S147" i="12"/>
  <c r="R147" i="12"/>
  <c r="Q147" i="12"/>
  <c r="AD159" i="12"/>
  <c r="S159" i="12"/>
  <c r="R159" i="12"/>
  <c r="Q159" i="12"/>
  <c r="AD171" i="12"/>
  <c r="S171" i="12"/>
  <c r="R171" i="12"/>
  <c r="Q171" i="12"/>
  <c r="R3" i="12"/>
  <c r="O6" i="12"/>
  <c r="Q8" i="12"/>
  <c r="P27" i="12"/>
  <c r="S84" i="12"/>
  <c r="P99" i="12"/>
  <c r="P171" i="12"/>
  <c r="AD155" i="12"/>
  <c r="S107" i="12"/>
  <c r="R107" i="12"/>
  <c r="Q107" i="12"/>
  <c r="P107" i="12"/>
  <c r="O107" i="12"/>
  <c r="P36" i="12"/>
  <c r="O36" i="12"/>
  <c r="AD36" i="12"/>
  <c r="Q36" i="12"/>
  <c r="S28" i="12"/>
  <c r="R28" i="12"/>
  <c r="Q28" i="12"/>
  <c r="AD28" i="12"/>
  <c r="P28" i="12"/>
  <c r="O28" i="12"/>
  <c r="S76" i="12"/>
  <c r="R76" i="12"/>
  <c r="Q76" i="12"/>
  <c r="AD76" i="12"/>
  <c r="P76" i="12"/>
  <c r="O76" i="12"/>
  <c r="S88" i="12"/>
  <c r="R88" i="12"/>
  <c r="Q88" i="12"/>
  <c r="AD88" i="12"/>
  <c r="P88" i="12"/>
  <c r="O88" i="12"/>
  <c r="S100" i="12"/>
  <c r="R100" i="12"/>
  <c r="Q100" i="12"/>
  <c r="AD100" i="12"/>
  <c r="P100" i="12"/>
  <c r="O100" i="12"/>
  <c r="S112" i="12"/>
  <c r="R112" i="12"/>
  <c r="Q112" i="12"/>
  <c r="AD112" i="12"/>
  <c r="P112" i="12"/>
  <c r="O112" i="12"/>
  <c r="S124" i="12"/>
  <c r="R124" i="12"/>
  <c r="Q124" i="12"/>
  <c r="AD124" i="12"/>
  <c r="P124" i="12"/>
  <c r="O124" i="12"/>
  <c r="S136" i="12"/>
  <c r="R136" i="12"/>
  <c r="Q136" i="12"/>
  <c r="AD136" i="12"/>
  <c r="P136" i="12"/>
  <c r="O136" i="12"/>
  <c r="S148" i="12"/>
  <c r="R148" i="12"/>
  <c r="Q148" i="12"/>
  <c r="AD148" i="12"/>
  <c r="P148" i="12"/>
  <c r="O148" i="12"/>
  <c r="S160" i="12"/>
  <c r="R160" i="12"/>
  <c r="Q160" i="12"/>
  <c r="AD160" i="12"/>
  <c r="P160" i="12"/>
  <c r="O160" i="12"/>
  <c r="S172" i="12"/>
  <c r="R172" i="12"/>
  <c r="Q172" i="12"/>
  <c r="AD172" i="12"/>
  <c r="P172" i="12"/>
  <c r="O172" i="12"/>
  <c r="P6" i="12"/>
  <c r="R8" i="12"/>
  <c r="O15" i="12"/>
  <c r="Q29" i="12"/>
  <c r="P58" i="12"/>
  <c r="R72" i="12"/>
  <c r="O87" i="12"/>
  <c r="Q101" i="12"/>
  <c r="P130" i="12"/>
  <c r="R144" i="12"/>
  <c r="O159" i="12"/>
  <c r="S95" i="12"/>
  <c r="R95" i="12"/>
  <c r="Q95" i="12"/>
  <c r="P95" i="12"/>
  <c r="O95" i="12"/>
  <c r="M176" i="12"/>
  <c r="AD3" i="12"/>
  <c r="O77" i="12"/>
  <c r="AD77" i="12"/>
  <c r="S77" i="12"/>
  <c r="P77" i="12"/>
  <c r="O125" i="12"/>
  <c r="AD125" i="12"/>
  <c r="S125" i="12"/>
  <c r="P125" i="12"/>
  <c r="O149" i="12"/>
  <c r="AD149" i="12"/>
  <c r="S149" i="12"/>
  <c r="P149" i="12"/>
  <c r="O161" i="12"/>
  <c r="AD161" i="12"/>
  <c r="S161" i="12"/>
  <c r="P161" i="12"/>
  <c r="O173" i="12"/>
  <c r="AD173" i="12"/>
  <c r="S173" i="12"/>
  <c r="P173" i="12"/>
  <c r="O4" i="12"/>
  <c r="Q6" i="12"/>
  <c r="S8" i="12"/>
  <c r="P87" i="12"/>
  <c r="P159" i="12"/>
  <c r="R173" i="12"/>
  <c r="AD95" i="12"/>
  <c r="S11" i="12"/>
  <c r="R11" i="12"/>
  <c r="Q11" i="12"/>
  <c r="O11" i="12"/>
  <c r="S119" i="12"/>
  <c r="R119" i="12"/>
  <c r="Q119" i="12"/>
  <c r="P119" i="12"/>
  <c r="O119" i="12"/>
  <c r="P60" i="12"/>
  <c r="O60" i="12"/>
  <c r="AD60" i="12"/>
  <c r="Q60" i="12"/>
  <c r="P144" i="12"/>
  <c r="O144" i="12"/>
  <c r="AD144" i="12"/>
  <c r="Q144" i="12"/>
  <c r="S121" i="12"/>
  <c r="R121" i="12"/>
  <c r="Q121" i="12"/>
  <c r="AD121" i="12"/>
  <c r="P121" i="12"/>
  <c r="O121" i="12"/>
  <c r="O137" i="12"/>
  <c r="AD137" i="12"/>
  <c r="S137" i="12"/>
  <c r="P137" i="12"/>
  <c r="AD18" i="12"/>
  <c r="S18" i="12"/>
  <c r="R18" i="12"/>
  <c r="Q18" i="12"/>
  <c r="P18" i="12"/>
  <c r="O18" i="12"/>
  <c r="AD30" i="12"/>
  <c r="S30" i="12"/>
  <c r="R30" i="12"/>
  <c r="Q30" i="12"/>
  <c r="P30" i="12"/>
  <c r="O30" i="12"/>
  <c r="AD42" i="12"/>
  <c r="S42" i="12"/>
  <c r="R42" i="12"/>
  <c r="Q42" i="12"/>
  <c r="P42" i="12"/>
  <c r="O42" i="12"/>
  <c r="AD54" i="12"/>
  <c r="S54" i="12"/>
  <c r="R54" i="12"/>
  <c r="Q54" i="12"/>
  <c r="P54" i="12"/>
  <c r="O54" i="12"/>
  <c r="AD66" i="12"/>
  <c r="S66" i="12"/>
  <c r="R66" i="12"/>
  <c r="Q66" i="12"/>
  <c r="P66" i="12"/>
  <c r="O66" i="12"/>
  <c r="AD78" i="12"/>
  <c r="S78" i="12"/>
  <c r="R78" i="12"/>
  <c r="Q78" i="12"/>
  <c r="P78" i="12"/>
  <c r="O78" i="12"/>
  <c r="AD90" i="12"/>
  <c r="S90" i="12"/>
  <c r="R90" i="12"/>
  <c r="Q90" i="12"/>
  <c r="P90" i="12"/>
  <c r="O90" i="12"/>
  <c r="AD102" i="12"/>
  <c r="S102" i="12"/>
  <c r="R102" i="12"/>
  <c r="Q102" i="12"/>
  <c r="P102" i="12"/>
  <c r="O102" i="12"/>
  <c r="AD114" i="12"/>
  <c r="S114" i="12"/>
  <c r="R114" i="12"/>
  <c r="Q114" i="12"/>
  <c r="P114" i="12"/>
  <c r="O114" i="12"/>
  <c r="AD126" i="12"/>
  <c r="S126" i="12"/>
  <c r="R126" i="12"/>
  <c r="Q126" i="12"/>
  <c r="P126" i="12"/>
  <c r="O126" i="12"/>
  <c r="AD138" i="12"/>
  <c r="S138" i="12"/>
  <c r="R138" i="12"/>
  <c r="Q138" i="12"/>
  <c r="P138" i="12"/>
  <c r="O138" i="12"/>
  <c r="AD150" i="12"/>
  <c r="S150" i="12"/>
  <c r="R150" i="12"/>
  <c r="Q150" i="12"/>
  <c r="P150" i="12"/>
  <c r="O150" i="12"/>
  <c r="AD162" i="12"/>
  <c r="S162" i="12"/>
  <c r="R162" i="12"/>
  <c r="Q162" i="12"/>
  <c r="P162" i="12"/>
  <c r="O162" i="12"/>
  <c r="AD174" i="12"/>
  <c r="S174" i="12"/>
  <c r="R174" i="12"/>
  <c r="Q174" i="12"/>
  <c r="P174" i="12"/>
  <c r="O174" i="12"/>
  <c r="P4" i="12"/>
  <c r="R6" i="12"/>
  <c r="O9" i="12"/>
  <c r="Q17" i="12"/>
  <c r="P46" i="12"/>
  <c r="R60" i="12"/>
  <c r="O75" i="12"/>
  <c r="Q89" i="12"/>
  <c r="P118" i="12"/>
  <c r="O147" i="12"/>
  <c r="Q161" i="12"/>
  <c r="AD34" i="12"/>
  <c r="AD106" i="12"/>
  <c r="S83" i="12"/>
  <c r="R83" i="12"/>
  <c r="Q83" i="12"/>
  <c r="P83" i="12"/>
  <c r="O83" i="12"/>
  <c r="AD59" i="12"/>
  <c r="P48" i="12"/>
  <c r="O48" i="12"/>
  <c r="AD48" i="12"/>
  <c r="Q48" i="12"/>
  <c r="P132" i="12"/>
  <c r="O132" i="12"/>
  <c r="AD132" i="12"/>
  <c r="Q132" i="12"/>
  <c r="S61" i="12"/>
  <c r="R61" i="12"/>
  <c r="Q61" i="12"/>
  <c r="AD61" i="12"/>
  <c r="P61" i="12"/>
  <c r="O61" i="12"/>
  <c r="S157" i="12"/>
  <c r="R157" i="12"/>
  <c r="Q157" i="12"/>
  <c r="AD157" i="12"/>
  <c r="P157" i="12"/>
  <c r="O157" i="12"/>
  <c r="S64" i="12"/>
  <c r="R64" i="12"/>
  <c r="Q64" i="12"/>
  <c r="AD64" i="12"/>
  <c r="P64" i="12"/>
  <c r="O64" i="12"/>
  <c r="O29" i="12"/>
  <c r="AD29" i="12"/>
  <c r="S29" i="12"/>
  <c r="P29" i="12"/>
  <c r="O65" i="12"/>
  <c r="AD65" i="12"/>
  <c r="S65" i="12"/>
  <c r="P65" i="12"/>
  <c r="Q19" i="12"/>
  <c r="AD19" i="12"/>
  <c r="P19" i="12"/>
  <c r="O19" i="12"/>
  <c r="R19" i="12"/>
  <c r="Q31" i="12"/>
  <c r="AD31" i="12"/>
  <c r="P31" i="12"/>
  <c r="O31" i="12"/>
  <c r="R31" i="12"/>
  <c r="Q43" i="12"/>
  <c r="AD43" i="12"/>
  <c r="P43" i="12"/>
  <c r="O43" i="12"/>
  <c r="R43" i="12"/>
  <c r="Q55" i="12"/>
  <c r="AD55" i="12"/>
  <c r="P55" i="12"/>
  <c r="O55" i="12"/>
  <c r="R55" i="12"/>
  <c r="Q67" i="12"/>
  <c r="AD67" i="12"/>
  <c r="P67" i="12"/>
  <c r="O67" i="12"/>
  <c r="R67" i="12"/>
  <c r="Q79" i="12"/>
  <c r="AD79" i="12"/>
  <c r="P79" i="12"/>
  <c r="O79" i="12"/>
  <c r="R79" i="12"/>
  <c r="Q91" i="12"/>
  <c r="AD91" i="12"/>
  <c r="P91" i="12"/>
  <c r="O91" i="12"/>
  <c r="R91" i="12"/>
  <c r="Q103" i="12"/>
  <c r="AD103" i="12"/>
  <c r="P103" i="12"/>
  <c r="O103" i="12"/>
  <c r="R103" i="12"/>
  <c r="Q115" i="12"/>
  <c r="AD115" i="12"/>
  <c r="P115" i="12"/>
  <c r="O115" i="12"/>
  <c r="R115" i="12"/>
  <c r="Q127" i="12"/>
  <c r="AD127" i="12"/>
  <c r="P127" i="12"/>
  <c r="O127" i="12"/>
  <c r="R127" i="12"/>
  <c r="Q139" i="12"/>
  <c r="AD139" i="12"/>
  <c r="P139" i="12"/>
  <c r="O139" i="12"/>
  <c r="R139" i="12"/>
  <c r="Q151" i="12"/>
  <c r="AD151" i="12"/>
  <c r="P151" i="12"/>
  <c r="O151" i="12"/>
  <c r="R151" i="12"/>
  <c r="Q163" i="12"/>
  <c r="AD163" i="12"/>
  <c r="P163" i="12"/>
  <c r="O163" i="12"/>
  <c r="R163" i="12"/>
  <c r="O2" i="12"/>
  <c r="Q4" i="12"/>
  <c r="S6" i="12"/>
  <c r="P9" i="12"/>
  <c r="Q46" i="12"/>
  <c r="S60" i="12"/>
  <c r="P75" i="12"/>
  <c r="Q118" i="12"/>
  <c r="S132" i="12"/>
  <c r="P147" i="12"/>
  <c r="R161" i="12"/>
  <c r="AD35" i="12"/>
  <c r="AD107" i="12"/>
  <c r="S71" i="12"/>
  <c r="R71" i="12"/>
  <c r="Q71" i="12"/>
  <c r="P71" i="12"/>
  <c r="O71" i="12"/>
  <c r="S143" i="12"/>
  <c r="R143" i="12"/>
  <c r="Q143" i="12"/>
  <c r="P143" i="12"/>
  <c r="O143" i="12"/>
  <c r="P12" i="12"/>
  <c r="O12" i="12"/>
  <c r="AD12" i="12"/>
  <c r="Q12" i="12"/>
  <c r="P96" i="12"/>
  <c r="O96" i="12"/>
  <c r="AD96" i="12"/>
  <c r="Q96" i="12"/>
  <c r="P168" i="12"/>
  <c r="O168" i="12"/>
  <c r="AD168" i="12"/>
  <c r="Q168" i="12"/>
  <c r="S25" i="12"/>
  <c r="R25" i="12"/>
  <c r="Q25" i="12"/>
  <c r="AD25" i="12"/>
  <c r="P25" i="12"/>
  <c r="O25" i="12"/>
  <c r="S73" i="12"/>
  <c r="R73" i="12"/>
  <c r="Q73" i="12"/>
  <c r="AD73" i="12"/>
  <c r="P73" i="12"/>
  <c r="O73" i="12"/>
  <c r="S133" i="12"/>
  <c r="R133" i="12"/>
  <c r="Q133" i="12"/>
  <c r="AD133" i="12"/>
  <c r="P133" i="12"/>
  <c r="O133" i="12"/>
  <c r="P11" i="12"/>
  <c r="AD15" i="12"/>
  <c r="S15" i="12"/>
  <c r="R15" i="12"/>
  <c r="Q15" i="12"/>
  <c r="S16" i="12"/>
  <c r="R16" i="12"/>
  <c r="Q16" i="12"/>
  <c r="AD16" i="12"/>
  <c r="P16" i="12"/>
  <c r="O16" i="12"/>
  <c r="O41" i="12"/>
  <c r="AD41" i="12"/>
  <c r="S41" i="12"/>
  <c r="P41" i="12"/>
  <c r="O113" i="12"/>
  <c r="AD113" i="12"/>
  <c r="S113" i="12"/>
  <c r="P113" i="12"/>
  <c r="AD20" i="12"/>
  <c r="S20" i="12"/>
  <c r="R20" i="12"/>
  <c r="Q20" i="12"/>
  <c r="P20" i="12"/>
  <c r="AD32" i="12"/>
  <c r="S32" i="12"/>
  <c r="R32" i="12"/>
  <c r="Q32" i="12"/>
  <c r="P32" i="12"/>
  <c r="AD44" i="12"/>
  <c r="S44" i="12"/>
  <c r="R44" i="12"/>
  <c r="Q44" i="12"/>
  <c r="P44" i="12"/>
  <c r="AD56" i="12"/>
  <c r="S56" i="12"/>
  <c r="R56" i="12"/>
  <c r="Q56" i="12"/>
  <c r="P56" i="12"/>
  <c r="AD68" i="12"/>
  <c r="S68" i="12"/>
  <c r="R68" i="12"/>
  <c r="Q68" i="12"/>
  <c r="P68" i="12"/>
  <c r="AD80" i="12"/>
  <c r="S80" i="12"/>
  <c r="R80" i="12"/>
  <c r="Q80" i="12"/>
  <c r="P80" i="12"/>
  <c r="AD92" i="12"/>
  <c r="S92" i="12"/>
  <c r="R92" i="12"/>
  <c r="Q92" i="12"/>
  <c r="P92" i="12"/>
  <c r="AD104" i="12"/>
  <c r="S104" i="12"/>
  <c r="R104" i="12"/>
  <c r="Q104" i="12"/>
  <c r="P104" i="12"/>
  <c r="AD116" i="12"/>
  <c r="S116" i="12"/>
  <c r="R116" i="12"/>
  <c r="Q116" i="12"/>
  <c r="P116" i="12"/>
  <c r="AD128" i="12"/>
  <c r="S128" i="12"/>
  <c r="R128" i="12"/>
  <c r="Q128" i="12"/>
  <c r="P128" i="12"/>
  <c r="AD140" i="12"/>
  <c r="S140" i="12"/>
  <c r="R140" i="12"/>
  <c r="Q140" i="12"/>
  <c r="P140" i="12"/>
  <c r="AD152" i="12"/>
  <c r="S152" i="12"/>
  <c r="R152" i="12"/>
  <c r="Q152" i="12"/>
  <c r="P152" i="12"/>
  <c r="AD164" i="12"/>
  <c r="S164" i="12"/>
  <c r="R164" i="12"/>
  <c r="Q164" i="12"/>
  <c r="P164" i="12"/>
  <c r="P2" i="12"/>
  <c r="R4" i="12"/>
  <c r="O7" i="12"/>
  <c r="S19" i="12"/>
  <c r="P34" i="12"/>
  <c r="R48" i="12"/>
  <c r="O63" i="12"/>
  <c r="Q77" i="12"/>
  <c r="S91" i="12"/>
  <c r="P106" i="12"/>
  <c r="R120" i="12"/>
  <c r="O135" i="12"/>
  <c r="Q149" i="12"/>
  <c r="S163" i="12"/>
  <c r="S47" i="12"/>
  <c r="R47" i="12"/>
  <c r="Q47" i="12"/>
  <c r="P47" i="12"/>
  <c r="O47" i="12"/>
  <c r="S167" i="12"/>
  <c r="R167" i="12"/>
  <c r="Q167" i="12"/>
  <c r="P167" i="12"/>
  <c r="O167" i="12"/>
  <c r="Q176" i="12"/>
  <c r="P72" i="12"/>
  <c r="O72" i="12"/>
  <c r="AD72" i="12"/>
  <c r="Q72" i="12"/>
  <c r="P156" i="12"/>
  <c r="O156" i="12"/>
  <c r="AD156" i="12"/>
  <c r="Q156" i="12"/>
  <c r="S109" i="12"/>
  <c r="R109" i="12"/>
  <c r="Q109" i="12"/>
  <c r="AD109" i="12"/>
  <c r="P109" i="12"/>
  <c r="O109" i="12"/>
  <c r="AD71" i="12"/>
  <c r="S52" i="12"/>
  <c r="R52" i="12"/>
  <c r="Q52" i="12"/>
  <c r="AD52" i="12"/>
  <c r="P52" i="12"/>
  <c r="O52" i="12"/>
  <c r="O53" i="12"/>
  <c r="AD53" i="12"/>
  <c r="S53" i="12"/>
  <c r="P53" i="12"/>
  <c r="O89" i="12"/>
  <c r="AD89" i="12"/>
  <c r="S89" i="12"/>
  <c r="P89" i="12"/>
  <c r="S9" i="12"/>
  <c r="AD9" i="12"/>
  <c r="S21" i="12"/>
  <c r="R21" i="12"/>
  <c r="Q21" i="12"/>
  <c r="P21" i="12"/>
  <c r="O21" i="12"/>
  <c r="AD21" i="12"/>
  <c r="S33" i="12"/>
  <c r="R33" i="12"/>
  <c r="Q33" i="12"/>
  <c r="P33" i="12"/>
  <c r="O33" i="12"/>
  <c r="AD33" i="12"/>
  <c r="S45" i="12"/>
  <c r="R45" i="12"/>
  <c r="Q45" i="12"/>
  <c r="P45" i="12"/>
  <c r="O45" i="12"/>
  <c r="AD45" i="12"/>
  <c r="S57" i="12"/>
  <c r="R57" i="12"/>
  <c r="Q57" i="12"/>
  <c r="P57" i="12"/>
  <c r="O57" i="12"/>
  <c r="AD57" i="12"/>
  <c r="S69" i="12"/>
  <c r="R69" i="12"/>
  <c r="Q69" i="12"/>
  <c r="P69" i="12"/>
  <c r="O69" i="12"/>
  <c r="AD69" i="12"/>
  <c r="S81" i="12"/>
  <c r="R81" i="12"/>
  <c r="Q81" i="12"/>
  <c r="P81" i="12"/>
  <c r="O81" i="12"/>
  <c r="AD81" i="12"/>
  <c r="S93" i="12"/>
  <c r="R93" i="12"/>
  <c r="Q93" i="12"/>
  <c r="P93" i="12"/>
  <c r="O93" i="12"/>
  <c r="AD93" i="12"/>
  <c r="S105" i="12"/>
  <c r="R105" i="12"/>
  <c r="Q105" i="12"/>
  <c r="P105" i="12"/>
  <c r="O105" i="12"/>
  <c r="AD105" i="12"/>
  <c r="S117" i="12"/>
  <c r="R117" i="12"/>
  <c r="Q117" i="12"/>
  <c r="P117" i="12"/>
  <c r="O117" i="12"/>
  <c r="AD117" i="12"/>
  <c r="S129" i="12"/>
  <c r="R129" i="12"/>
  <c r="Q129" i="12"/>
  <c r="P129" i="12"/>
  <c r="O129" i="12"/>
  <c r="AD129" i="12"/>
  <c r="S141" i="12"/>
  <c r="R141" i="12"/>
  <c r="Q141" i="12"/>
  <c r="P141" i="12"/>
  <c r="O141" i="12"/>
  <c r="AD141" i="12"/>
  <c r="S153" i="12"/>
  <c r="R153" i="12"/>
  <c r="Q153" i="12"/>
  <c r="P153" i="12"/>
  <c r="O153" i="12"/>
  <c r="AD153" i="12"/>
  <c r="S165" i="12"/>
  <c r="R165" i="12"/>
  <c r="Q165" i="12"/>
  <c r="P165" i="12"/>
  <c r="O165" i="12"/>
  <c r="AD165" i="12"/>
  <c r="Q2" i="12"/>
  <c r="S4" i="12"/>
  <c r="P7" i="12"/>
  <c r="R9" i="12"/>
  <c r="O20" i="12"/>
  <c r="S48" i="12"/>
  <c r="P63" i="12"/>
  <c r="R77" i="12"/>
  <c r="O92" i="12"/>
  <c r="P135" i="12"/>
  <c r="R149" i="12"/>
  <c r="O164" i="12"/>
  <c r="AD47" i="12"/>
  <c r="AD119" i="12"/>
  <c r="S176" i="12"/>
  <c r="S23" i="12"/>
  <c r="R23" i="12"/>
  <c r="Q23" i="12"/>
  <c r="P23" i="12"/>
  <c r="O23" i="12"/>
  <c r="S131" i="12"/>
  <c r="R131" i="12"/>
  <c r="Q131" i="12"/>
  <c r="P131" i="12"/>
  <c r="O131" i="12"/>
  <c r="P24" i="12"/>
  <c r="O24" i="12"/>
  <c r="AD24" i="12"/>
  <c r="Q24" i="12"/>
  <c r="P120" i="12"/>
  <c r="O120" i="12"/>
  <c r="AD120" i="12"/>
  <c r="Q120" i="12"/>
  <c r="R96" i="12"/>
  <c r="S49" i="12"/>
  <c r="R49" i="12"/>
  <c r="Q49" i="12"/>
  <c r="AD49" i="12"/>
  <c r="P49" i="12"/>
  <c r="O49" i="12"/>
  <c r="S145" i="12"/>
  <c r="R145" i="12"/>
  <c r="Q145" i="12"/>
  <c r="AD145" i="12"/>
  <c r="P145" i="12"/>
  <c r="O145" i="12"/>
  <c r="AD39" i="12"/>
  <c r="S39" i="12"/>
  <c r="R39" i="12"/>
  <c r="Q39" i="12"/>
  <c r="S40" i="12"/>
  <c r="R40" i="12"/>
  <c r="Q40" i="12"/>
  <c r="AD40" i="12"/>
  <c r="P40" i="12"/>
  <c r="O40" i="12"/>
  <c r="O17" i="12"/>
  <c r="AD17" i="12"/>
  <c r="S17" i="12"/>
  <c r="P17" i="12"/>
  <c r="O101" i="12"/>
  <c r="AD101" i="12"/>
  <c r="S101" i="12"/>
  <c r="P101" i="12"/>
  <c r="S10" i="12"/>
  <c r="R10" i="12"/>
  <c r="S22" i="12"/>
  <c r="R22" i="12"/>
  <c r="O22" i="12"/>
  <c r="S34" i="12"/>
  <c r="R34" i="12"/>
  <c r="O34" i="12"/>
  <c r="S46" i="12"/>
  <c r="R46" i="12"/>
  <c r="O46" i="12"/>
  <c r="S58" i="12"/>
  <c r="R58" i="12"/>
  <c r="O58" i="12"/>
  <c r="S70" i="12"/>
  <c r="R70" i="12"/>
  <c r="O70" i="12"/>
  <c r="S82" i="12"/>
  <c r="R82" i="12"/>
  <c r="O82" i="12"/>
  <c r="S94" i="12"/>
  <c r="R94" i="12"/>
  <c r="O94" i="12"/>
  <c r="S106" i="12"/>
  <c r="R106" i="12"/>
  <c r="O106" i="12"/>
  <c r="S118" i="12"/>
  <c r="R118" i="12"/>
  <c r="O118" i="12"/>
  <c r="S130" i="12"/>
  <c r="R130" i="12"/>
  <c r="O130" i="12"/>
  <c r="S142" i="12"/>
  <c r="R142" i="12"/>
  <c r="O142" i="12"/>
  <c r="S154" i="12"/>
  <c r="R154" i="12"/>
  <c r="O154" i="12"/>
  <c r="S166" i="12"/>
  <c r="R166" i="12"/>
  <c r="O166" i="12"/>
  <c r="R2" i="12"/>
  <c r="O5" i="12"/>
  <c r="Q7" i="12"/>
  <c r="O10" i="12"/>
  <c r="P22" i="12"/>
  <c r="R36" i="12"/>
  <c r="O51" i="12"/>
  <c r="Q65" i="12"/>
  <c r="S79" i="12"/>
  <c r="P94" i="12"/>
  <c r="R108" i="12"/>
  <c r="O123" i="12"/>
  <c r="Q137" i="12"/>
  <c r="S151" i="12"/>
  <c r="P166" i="12"/>
  <c r="AD58" i="12"/>
  <c r="AD130" i="12"/>
  <c r="S133" i="13"/>
  <c r="X133" i="13" s="1"/>
  <c r="S189" i="13"/>
  <c r="X189" i="13" s="1"/>
  <c r="S186" i="13"/>
  <c r="X186" i="13" s="1"/>
  <c r="S183" i="13"/>
  <c r="X183" i="13" s="1"/>
  <c r="V178" i="13"/>
  <c r="U178" i="13"/>
  <c r="S178" i="13"/>
  <c r="X178" i="13" s="1"/>
  <c r="S18" i="13"/>
  <c r="X18" i="13" s="1"/>
  <c r="S29" i="13"/>
  <c r="X29" i="13" s="1"/>
  <c r="S52" i="13"/>
  <c r="X52" i="13" s="1"/>
  <c r="S86" i="13"/>
  <c r="X86" i="13" s="1"/>
  <c r="S103" i="13"/>
  <c r="X103" i="13" s="1"/>
  <c r="S53" i="13"/>
  <c r="X53" i="13" s="1"/>
  <c r="S83" i="13"/>
  <c r="X83" i="13" s="1"/>
  <c r="S80" i="13"/>
  <c r="X80" i="13" s="1"/>
  <c r="S115" i="13"/>
  <c r="X115" i="13" s="1"/>
  <c r="S122" i="13"/>
  <c r="X122" i="13" s="1"/>
  <c r="S41" i="13"/>
  <c r="X41" i="13" s="1"/>
  <c r="S73" i="13"/>
  <c r="X73" i="13" s="1"/>
  <c r="S74" i="13"/>
  <c r="X74" i="13" s="1"/>
  <c r="S13" i="13"/>
  <c r="X13" i="13" s="1"/>
  <c r="S61" i="13"/>
  <c r="X61" i="13" s="1"/>
  <c r="S176" i="13"/>
  <c r="X176" i="13" s="1"/>
  <c r="S100" i="13"/>
  <c r="X100" i="13" s="1"/>
  <c r="S155" i="13"/>
  <c r="X155" i="13" s="1"/>
  <c r="S160" i="13"/>
  <c r="X160" i="13" s="1"/>
  <c r="S139" i="13"/>
  <c r="X139" i="13" s="1"/>
  <c r="S101" i="13"/>
  <c r="X101" i="13" s="1"/>
  <c r="S175" i="13"/>
  <c r="X175" i="13" s="1"/>
  <c r="S127" i="13"/>
  <c r="X127" i="13" s="1"/>
  <c r="S71" i="13"/>
  <c r="X71" i="13" s="1"/>
  <c r="S57" i="13"/>
  <c r="X57" i="13" s="1"/>
  <c r="S82" i="13"/>
  <c r="X82" i="13" s="1"/>
  <c r="U53" i="13"/>
  <c r="S55" i="13"/>
  <c r="X55" i="13" s="1"/>
  <c r="U71" i="13"/>
  <c r="U73" i="13"/>
  <c r="S98" i="13"/>
  <c r="X98" i="13" s="1"/>
  <c r="W133" i="13"/>
  <c r="S2" i="13"/>
  <c r="X2" i="13" s="1"/>
  <c r="S4" i="13"/>
  <c r="X4" i="13" s="1"/>
  <c r="S17" i="13"/>
  <c r="X17" i="13" s="1"/>
  <c r="S173" i="13"/>
  <c r="X173" i="13" s="1"/>
  <c r="U57" i="13"/>
  <c r="S68" i="13"/>
  <c r="X68" i="13" s="1"/>
  <c r="S106" i="13"/>
  <c r="X106" i="13" s="1"/>
  <c r="S138" i="13"/>
  <c r="X138" i="13" s="1"/>
  <c r="S10" i="13"/>
  <c r="X10" i="13" s="1"/>
  <c r="S66" i="13"/>
  <c r="X66" i="13" s="1"/>
  <c r="S87" i="13"/>
  <c r="X87" i="13" s="1"/>
  <c r="S92" i="13"/>
  <c r="X92" i="13" s="1"/>
  <c r="S28" i="13"/>
  <c r="X28" i="13" s="1"/>
  <c r="S40" i="13"/>
  <c r="X40" i="13" s="1"/>
  <c r="S112" i="13"/>
  <c r="X112" i="13" s="1"/>
  <c r="S150" i="13"/>
  <c r="X150" i="13" s="1"/>
  <c r="S30" i="13"/>
  <c r="X30" i="13" s="1"/>
  <c r="S46" i="13"/>
  <c r="X46" i="13" s="1"/>
  <c r="S51" i="13"/>
  <c r="X51" i="13" s="1"/>
  <c r="S91" i="13"/>
  <c r="X91" i="13" s="1"/>
  <c r="S144" i="13"/>
  <c r="X144" i="13" s="1"/>
  <c r="S166" i="13"/>
  <c r="X166" i="13" s="1"/>
  <c r="S21" i="13"/>
  <c r="T21" i="13" s="1"/>
  <c r="U68" i="13"/>
  <c r="S76" i="13"/>
  <c r="X76" i="13" s="1"/>
  <c r="S121" i="13"/>
  <c r="X121" i="13" s="1"/>
  <c r="S7" i="13"/>
  <c r="X7" i="13" s="1"/>
  <c r="S59" i="13"/>
  <c r="X59" i="13" s="1"/>
  <c r="U74" i="13"/>
  <c r="S78" i="13"/>
  <c r="X78" i="13" s="1"/>
  <c r="S33" i="13"/>
  <c r="X33" i="13" s="1"/>
  <c r="S89" i="13"/>
  <c r="X89" i="13" s="1"/>
  <c r="S95" i="13"/>
  <c r="X95" i="13" s="1"/>
  <c r="T13" i="13"/>
  <c r="U21" i="13"/>
  <c r="S25" i="13"/>
  <c r="X25" i="13" s="1"/>
  <c r="U80" i="13"/>
  <c r="U86" i="13"/>
  <c r="S111" i="13"/>
  <c r="X111" i="13" s="1"/>
  <c r="S43" i="13"/>
  <c r="X43" i="13" s="1"/>
  <c r="S105" i="13"/>
  <c r="X105" i="13" s="1"/>
  <c r="S109" i="13"/>
  <c r="X109" i="13" s="1"/>
  <c r="S149" i="13"/>
  <c r="X149" i="13" s="1"/>
  <c r="S47" i="13"/>
  <c r="X47" i="13" s="1"/>
  <c r="S62" i="13"/>
  <c r="X62" i="13" s="1"/>
  <c r="S93" i="13"/>
  <c r="X93" i="13" s="1"/>
  <c r="S6" i="13"/>
  <c r="X6" i="13" s="1"/>
  <c r="S12" i="13"/>
  <c r="X12" i="13" s="1"/>
  <c r="S16" i="13"/>
  <c r="X16" i="13" s="1"/>
  <c r="S39" i="13"/>
  <c r="X39" i="13" s="1"/>
  <c r="S180" i="13"/>
  <c r="X180" i="13" s="1"/>
  <c r="S69" i="13"/>
  <c r="X69" i="13" s="1"/>
  <c r="S110" i="13"/>
  <c r="X110" i="13" s="1"/>
  <c r="S113" i="13"/>
  <c r="X113" i="13" s="1"/>
  <c r="S128" i="13"/>
  <c r="X128" i="13" s="1"/>
  <c r="S140" i="13"/>
  <c r="X140" i="13" s="1"/>
  <c r="S151" i="13"/>
  <c r="X151" i="13" s="1"/>
  <c r="V154" i="13"/>
  <c r="U164" i="13"/>
  <c r="S164" i="13"/>
  <c r="X164" i="13" s="1"/>
  <c r="S34" i="13"/>
  <c r="X34" i="13" s="1"/>
  <c r="S56" i="13"/>
  <c r="X56" i="13" s="1"/>
  <c r="S65" i="13"/>
  <c r="X65" i="13" s="1"/>
  <c r="S72" i="13"/>
  <c r="X72" i="13" s="1"/>
  <c r="S79" i="13"/>
  <c r="X79" i="13" s="1"/>
  <c r="S90" i="13"/>
  <c r="X90" i="13" s="1"/>
  <c r="U93" i="13"/>
  <c r="T133" i="13"/>
  <c r="S5" i="13"/>
  <c r="X5" i="13" s="1"/>
  <c r="S11" i="13"/>
  <c r="X11" i="13" s="1"/>
  <c r="S15" i="13"/>
  <c r="X15" i="13" s="1"/>
  <c r="S20" i="13"/>
  <c r="X20" i="13" s="1"/>
  <c r="S23" i="13"/>
  <c r="X23" i="13" s="1"/>
  <c r="S24" i="13"/>
  <c r="X24" i="13" s="1"/>
  <c r="T29" i="13"/>
  <c r="S38" i="13"/>
  <c r="X38" i="13" s="1"/>
  <c r="U47" i="13"/>
  <c r="S50" i="13"/>
  <c r="X50" i="13" s="1"/>
  <c r="U56" i="13"/>
  <c r="S182" i="13"/>
  <c r="X182" i="13" s="1"/>
  <c r="U79" i="13"/>
  <c r="S85" i="13"/>
  <c r="X85" i="13" s="1"/>
  <c r="U90" i="13"/>
  <c r="V100" i="13"/>
  <c r="V121" i="13"/>
  <c r="U126" i="13"/>
  <c r="S126" i="13"/>
  <c r="X126" i="13" s="1"/>
  <c r="U137" i="13"/>
  <c r="S137" i="13"/>
  <c r="X137" i="13" s="1"/>
  <c r="U148" i="13"/>
  <c r="S148" i="13"/>
  <c r="X148" i="13" s="1"/>
  <c r="S154" i="13"/>
  <c r="X154" i="13" s="1"/>
  <c r="S88" i="13"/>
  <c r="X88" i="13" s="1"/>
  <c r="V105" i="13"/>
  <c r="U29" i="13"/>
  <c r="S42" i="13"/>
  <c r="S181" i="13"/>
  <c r="U182" i="13"/>
  <c r="S75" i="13"/>
  <c r="U82" i="13"/>
  <c r="U85" i="13"/>
  <c r="S104" i="13"/>
  <c r="X104" i="13" s="1"/>
  <c r="S107" i="13"/>
  <c r="X107" i="13" s="1"/>
  <c r="U110" i="13"/>
  <c r="U113" i="13"/>
  <c r="S118" i="13"/>
  <c r="U128" i="13"/>
  <c r="V132" i="13"/>
  <c r="U140" i="13"/>
  <c r="V187" i="13"/>
  <c r="U151" i="13"/>
  <c r="S156" i="13"/>
  <c r="X156" i="13" s="1"/>
  <c r="V159" i="13"/>
  <c r="S14" i="13"/>
  <c r="X14" i="13" s="1"/>
  <c r="S19" i="13"/>
  <c r="X19" i="13" s="1"/>
  <c r="S32" i="13"/>
  <c r="X32" i="13" s="1"/>
  <c r="S37" i="13"/>
  <c r="X37" i="13" s="1"/>
  <c r="S49" i="13"/>
  <c r="X49" i="13" s="1"/>
  <c r="S64" i="13"/>
  <c r="X64" i="13" s="1"/>
  <c r="V117" i="13"/>
  <c r="S132" i="13"/>
  <c r="X132" i="13" s="1"/>
  <c r="S187" i="13"/>
  <c r="X187" i="13" s="1"/>
  <c r="S159" i="13"/>
  <c r="X159" i="13" s="1"/>
  <c r="S3" i="13"/>
  <c r="X3" i="13" s="1"/>
  <c r="S9" i="13"/>
  <c r="X9" i="13" s="1"/>
  <c r="S27" i="13"/>
  <c r="X27" i="13" s="1"/>
  <c r="S45" i="13"/>
  <c r="X45" i="13" s="1"/>
  <c r="S58" i="13"/>
  <c r="X58" i="13" s="1"/>
  <c r="U64" i="13"/>
  <c r="S81" i="13"/>
  <c r="X81" i="13" s="1"/>
  <c r="S84" i="13"/>
  <c r="X84" i="13" s="1"/>
  <c r="V94" i="13"/>
  <c r="S99" i="13"/>
  <c r="X99" i="13" s="1"/>
  <c r="S102" i="13"/>
  <c r="X102" i="13" s="1"/>
  <c r="S185" i="13"/>
  <c r="X185" i="13" s="1"/>
  <c r="S123" i="13"/>
  <c r="X123" i="13" s="1"/>
  <c r="S134" i="13"/>
  <c r="X134" i="13" s="1"/>
  <c r="S145" i="13"/>
  <c r="X145" i="13" s="1"/>
  <c r="U153" i="13"/>
  <c r="S153" i="13"/>
  <c r="X153" i="13" s="1"/>
  <c r="U156" i="13"/>
  <c r="S161" i="13"/>
  <c r="X161" i="13" s="1"/>
  <c r="V165" i="13"/>
  <c r="S22" i="13"/>
  <c r="X22" i="13" s="1"/>
  <c r="T52" i="13"/>
  <c r="S54" i="13"/>
  <c r="X54" i="13" s="1"/>
  <c r="S60" i="13"/>
  <c r="X60" i="13" s="1"/>
  <c r="S67" i="13"/>
  <c r="X67" i="13" s="1"/>
  <c r="S77" i="13"/>
  <c r="X77" i="13" s="1"/>
  <c r="V174" i="13"/>
  <c r="S117" i="13"/>
  <c r="X117" i="13" s="1"/>
  <c r="S8" i="13"/>
  <c r="X8" i="13" s="1"/>
  <c r="S172" i="13"/>
  <c r="X172" i="13" s="1"/>
  <c r="S26" i="13"/>
  <c r="X26" i="13" s="1"/>
  <c r="S31" i="13"/>
  <c r="X31" i="13" s="1"/>
  <c r="S35" i="13"/>
  <c r="S36" i="13"/>
  <c r="X36" i="13" s="1"/>
  <c r="U41" i="13"/>
  <c r="S44" i="13"/>
  <c r="X44" i="13" s="1"/>
  <c r="U52" i="13"/>
  <c r="U67" i="13"/>
  <c r="S70" i="13"/>
  <c r="X70" i="13" s="1"/>
  <c r="V83" i="13"/>
  <c r="S94" i="13"/>
  <c r="X94" i="13" s="1"/>
  <c r="V111" i="13"/>
  <c r="U131" i="13"/>
  <c r="S131" i="13"/>
  <c r="X131" i="13" s="1"/>
  <c r="U143" i="13"/>
  <c r="S143" i="13"/>
  <c r="X143" i="13" s="1"/>
  <c r="S165" i="13"/>
  <c r="X165" i="13" s="1"/>
  <c r="U167" i="13"/>
  <c r="S167" i="13"/>
  <c r="X167" i="13" s="1"/>
  <c r="U18" i="13"/>
  <c r="S48" i="13"/>
  <c r="S63" i="13"/>
  <c r="U70" i="13"/>
  <c r="S174" i="13"/>
  <c r="X174" i="13" s="1"/>
  <c r="S96" i="13"/>
  <c r="X96" i="13" s="1"/>
  <c r="U99" i="13"/>
  <c r="U102" i="13"/>
  <c r="S116" i="13"/>
  <c r="X116" i="13" s="1"/>
  <c r="S119" i="13"/>
  <c r="X119" i="13" s="1"/>
  <c r="U185" i="13"/>
  <c r="U123" i="13"/>
  <c r="V127" i="13"/>
  <c r="U134" i="13"/>
  <c r="V138" i="13"/>
  <c r="U145" i="13"/>
  <c r="V149" i="13"/>
  <c r="U158" i="13"/>
  <c r="S158" i="13"/>
  <c r="X158" i="13" s="1"/>
  <c r="U161" i="13"/>
  <c r="S125" i="13"/>
  <c r="S130" i="13"/>
  <c r="S136" i="13"/>
  <c r="S142" i="13"/>
  <c r="S147" i="13"/>
  <c r="S152" i="13"/>
  <c r="S157" i="13"/>
  <c r="S163" i="13"/>
  <c r="S169" i="13"/>
  <c r="X169" i="13" s="1"/>
  <c r="S97" i="13"/>
  <c r="X97" i="13" s="1"/>
  <c r="S184" i="13"/>
  <c r="S108" i="13"/>
  <c r="X108" i="13" s="1"/>
  <c r="S114" i="13"/>
  <c r="S120" i="13"/>
  <c r="X120" i="13" s="1"/>
  <c r="S124" i="13"/>
  <c r="S129" i="13"/>
  <c r="S135" i="13"/>
  <c r="S141" i="13"/>
  <c r="S146" i="13"/>
  <c r="S177" i="13"/>
  <c r="X177" i="13" s="1"/>
  <c r="S188" i="13"/>
  <c r="X188" i="13" s="1"/>
  <c r="S162" i="13"/>
  <c r="X162" i="13" s="1"/>
  <c r="S168" i="13"/>
  <c r="X168" i="13" s="1"/>
  <c r="AD176" i="12" l="1"/>
  <c r="R176" i="12"/>
  <c r="P176" i="12"/>
  <c r="O176" i="12"/>
  <c r="T189" i="13"/>
  <c r="T86" i="13"/>
  <c r="T186" i="13"/>
  <c r="T160" i="13"/>
  <c r="T73" i="13"/>
  <c r="T149" i="13"/>
  <c r="T18" i="13"/>
  <c r="T183" i="13"/>
  <c r="T53" i="13"/>
  <c r="T103" i="13"/>
  <c r="T100" i="13"/>
  <c r="T23" i="13"/>
  <c r="T98" i="13"/>
  <c r="T83" i="13"/>
  <c r="T71" i="13"/>
  <c r="T150" i="13"/>
  <c r="T109" i="13"/>
  <c r="T87" i="13"/>
  <c r="T68" i="13"/>
  <c r="T40" i="13"/>
  <c r="T139" i="13"/>
  <c r="T80" i="13"/>
  <c r="T115" i="13"/>
  <c r="T178" i="13"/>
  <c r="T101" i="13"/>
  <c r="T122" i="13"/>
  <c r="T2" i="13"/>
  <c r="T175" i="13"/>
  <c r="T112" i="13"/>
  <c r="T7" i="13"/>
  <c r="T41" i="13"/>
  <c r="T6" i="13"/>
  <c r="T121" i="13"/>
  <c r="T127" i="13"/>
  <c r="T172" i="13"/>
  <c r="T30" i="13"/>
  <c r="T78" i="13"/>
  <c r="T74" i="13"/>
  <c r="T111" i="13"/>
  <c r="T82" i="13"/>
  <c r="T38" i="13"/>
  <c r="T51" i="13"/>
  <c r="T61" i="13"/>
  <c r="T25" i="13"/>
  <c r="T32" i="13"/>
  <c r="T34" i="13"/>
  <c r="T81" i="13"/>
  <c r="T176" i="13"/>
  <c r="T55" i="13"/>
  <c r="T138" i="13"/>
  <c r="T106" i="13"/>
  <c r="T155" i="13"/>
  <c r="T91" i="13"/>
  <c r="T105" i="13"/>
  <c r="T10" i="13"/>
  <c r="T168" i="13"/>
  <c r="T37" i="13"/>
  <c r="T188" i="13"/>
  <c r="T119" i="13"/>
  <c r="T62" i="13"/>
  <c r="T132" i="13"/>
  <c r="T19" i="13"/>
  <c r="T144" i="13"/>
  <c r="T162" i="13"/>
  <c r="T27" i="13"/>
  <c r="T36" i="13"/>
  <c r="T9" i="13"/>
  <c r="T64" i="13"/>
  <c r="T180" i="13"/>
  <c r="T95" i="13"/>
  <c r="T4" i="13"/>
  <c r="T24" i="13"/>
  <c r="T46" i="13"/>
  <c r="T33" i="13"/>
  <c r="T20" i="13"/>
  <c r="T39" i="13"/>
  <c r="X21" i="13"/>
  <c r="T66" i="13"/>
  <c r="T57" i="13"/>
  <c r="T173" i="13"/>
  <c r="T104" i="13"/>
  <c r="T5" i="13"/>
  <c r="T123" i="13"/>
  <c r="T54" i="13"/>
  <c r="T17" i="13"/>
  <c r="T177" i="13"/>
  <c r="T131" i="13"/>
  <c r="T58" i="13"/>
  <c r="T92" i="13"/>
  <c r="T76" i="13"/>
  <c r="T166" i="13"/>
  <c r="T89" i="13"/>
  <c r="T28" i="13"/>
  <c r="T12" i="13"/>
  <c r="T169" i="13"/>
  <c r="T97" i="13"/>
  <c r="T85" i="13"/>
  <c r="T43" i="13"/>
  <c r="T45" i="13"/>
  <c r="T65" i="13"/>
  <c r="T69" i="13"/>
  <c r="T59" i="13"/>
  <c r="T99" i="13"/>
  <c r="T128" i="13"/>
  <c r="T145" i="13"/>
  <c r="T94" i="13"/>
  <c r="X75" i="13"/>
  <c r="T75" i="13"/>
  <c r="T126" i="13"/>
  <c r="T116" i="13"/>
  <c r="X129" i="13"/>
  <c r="T129" i="13"/>
  <c r="X147" i="13"/>
  <c r="T147" i="13"/>
  <c r="T70" i="13"/>
  <c r="T67" i="13"/>
  <c r="T113" i="13"/>
  <c r="T31" i="13"/>
  <c r="X135" i="13"/>
  <c r="T135" i="13"/>
  <c r="X142" i="13"/>
  <c r="T142" i="13"/>
  <c r="T120" i="13"/>
  <c r="T3" i="13"/>
  <c r="T134" i="13"/>
  <c r="T14" i="13"/>
  <c r="T159" i="13"/>
  <c r="X118" i="13"/>
  <c r="T118" i="13"/>
  <c r="X181" i="13"/>
  <c r="T181" i="13"/>
  <c r="T88" i="13"/>
  <c r="T164" i="13"/>
  <c r="X141" i="13"/>
  <c r="T141" i="13"/>
  <c r="X152" i="13"/>
  <c r="T152" i="13"/>
  <c r="X124" i="13"/>
  <c r="T124" i="13"/>
  <c r="X136" i="13"/>
  <c r="T136" i="13"/>
  <c r="T167" i="13"/>
  <c r="T165" i="13"/>
  <c r="X42" i="13"/>
  <c r="T42" i="13"/>
  <c r="T110" i="13"/>
  <c r="T182" i="13"/>
  <c r="X146" i="13"/>
  <c r="T146" i="13"/>
  <c r="T35" i="13"/>
  <c r="X35" i="13"/>
  <c r="T154" i="13"/>
  <c r="T50" i="13"/>
  <c r="X114" i="13"/>
  <c r="T114" i="13"/>
  <c r="T77" i="13"/>
  <c r="T156" i="13"/>
  <c r="T108" i="13"/>
  <c r="T47" i="13"/>
  <c r="T93" i="13"/>
  <c r="T44" i="13"/>
  <c r="X48" i="13"/>
  <c r="T48" i="13"/>
  <c r="X157" i="13"/>
  <c r="T157" i="13"/>
  <c r="X125" i="13"/>
  <c r="T125" i="13"/>
  <c r="X184" i="13"/>
  <c r="T184" i="13"/>
  <c r="T174" i="13"/>
  <c r="T161" i="13"/>
  <c r="T185" i="13"/>
  <c r="T107" i="13"/>
  <c r="T148" i="13"/>
  <c r="T90" i="13"/>
  <c r="X130" i="13"/>
  <c r="T130" i="13"/>
  <c r="T96" i="13"/>
  <c r="T143" i="13"/>
  <c r="T22" i="13"/>
  <c r="T187" i="13"/>
  <c r="T151" i="13"/>
  <c r="T79" i="13"/>
  <c r="T49" i="13"/>
  <c r="T117" i="13"/>
  <c r="T15" i="13"/>
  <c r="T26" i="13"/>
  <c r="X163" i="13"/>
  <c r="T163" i="13"/>
  <c r="T158" i="13"/>
  <c r="X63" i="13"/>
  <c r="T63" i="13"/>
  <c r="T60" i="13"/>
  <c r="T84" i="13"/>
  <c r="T153" i="13"/>
  <c r="T102" i="13"/>
  <c r="T11" i="13"/>
  <c r="T137" i="13"/>
  <c r="T72" i="13"/>
  <c r="T16" i="13"/>
  <c r="T140" i="13"/>
  <c r="T56" i="13"/>
  <c r="T8" i="13"/>
</calcChain>
</file>

<file path=xl/sharedStrings.xml><?xml version="1.0" encoding="utf-8"?>
<sst xmlns="http://schemas.openxmlformats.org/spreadsheetml/2006/main" count="1222" uniqueCount="438">
  <si>
    <r>
      <rPr>
        <b/>
        <sz val="10"/>
        <rFont val="Arial"/>
        <family val="2"/>
      </rPr>
      <t xml:space="preserve">HELAIAN MATA (SCORE SHEET)                                                        (BORANG SPR 760 Pin. 1/99) BAHAGIAN PILIHAN RAYA NEGERI: P.129 KUALA PILAH
</t>
    </r>
    <r>
      <rPr>
        <b/>
        <sz val="10"/>
        <rFont val="Arial"/>
        <family val="2"/>
      </rPr>
      <t>JUMLAH PEMILIH: 63,247                                                                                                                                                                                               MUKASURAT: 1/11</t>
    </r>
  </si>
  <si>
    <r>
      <rPr>
        <b/>
        <sz val="7"/>
        <rFont val="Arial"/>
        <family val="2"/>
      </rPr>
      <t>Bil</t>
    </r>
  </si>
  <si>
    <r>
      <rPr>
        <b/>
        <sz val="7"/>
        <rFont val="Arial"/>
        <family val="2"/>
      </rPr>
      <t>No. Kod Daerah Mengundi</t>
    </r>
  </si>
  <si>
    <r>
      <rPr>
        <b/>
        <sz val="7"/>
        <rFont val="Arial"/>
        <family val="2"/>
      </rPr>
      <t>Nama Pusat Mengundi</t>
    </r>
  </si>
  <si>
    <r>
      <rPr>
        <b/>
        <sz val="7"/>
        <rFont val="Arial"/>
        <family val="2"/>
      </rPr>
      <t>Nombor Tempat Mengundi (saluran)</t>
    </r>
  </si>
  <si>
    <r>
      <rPr>
        <b/>
        <sz val="7"/>
        <rFont val="Arial"/>
        <family val="2"/>
      </rPr>
      <t xml:space="preserve">Jumlah kertas undi yang patut berada di dalam peti undi
</t>
    </r>
    <r>
      <rPr>
        <b/>
        <sz val="7"/>
        <rFont val="Arial"/>
        <family val="2"/>
      </rPr>
      <t>(A)</t>
    </r>
  </si>
  <si>
    <r>
      <rPr>
        <b/>
        <sz val="7"/>
        <rFont val="Arial"/>
        <family val="2"/>
      </rPr>
      <t xml:space="preserve">Bilangan undian oleh pemilih bagi setiap orang calon yang bertanding
</t>
    </r>
    <r>
      <rPr>
        <b/>
        <sz val="7"/>
        <rFont val="Arial"/>
        <family val="2"/>
      </rPr>
      <t>(B)</t>
    </r>
  </si>
  <si>
    <r>
      <rPr>
        <b/>
        <sz val="7"/>
        <rFont val="Arial"/>
        <family val="2"/>
      </rPr>
      <t>Bilangan kertas undi yang ditolak (C)</t>
    </r>
  </si>
  <si>
    <r>
      <rPr>
        <b/>
        <sz val="7"/>
        <rFont val="Arial"/>
        <family val="2"/>
      </rPr>
      <t xml:space="preserve">Jumlah kertas undi yang dikeluarkan kepada pengundi tetapi tidak dimasukkan ke dalam peti undi
</t>
    </r>
    <r>
      <rPr>
        <b/>
        <sz val="7"/>
        <rFont val="Arial"/>
        <family val="2"/>
      </rPr>
      <t>(D)</t>
    </r>
  </si>
  <si>
    <r>
      <rPr>
        <sz val="6"/>
        <rFont val="Arial"/>
        <family val="2"/>
      </rPr>
      <t>KAMARULZAMAN KAMDIAS</t>
    </r>
  </si>
  <si>
    <r>
      <rPr>
        <sz val="6"/>
        <rFont val="Arial"/>
        <family val="2"/>
      </rPr>
      <t>EDDIN SYAZLEE</t>
    </r>
  </si>
  <si>
    <r>
      <rPr>
        <sz val="6"/>
        <rFont val="Arial"/>
        <family val="2"/>
      </rPr>
      <t>AZMAN BIN IDRIS</t>
    </r>
  </si>
  <si>
    <r>
      <rPr>
        <sz val="6"/>
        <rFont val="Arial"/>
        <family val="2"/>
      </rPr>
      <t>NOR AZMAN MOHAMAD</t>
    </r>
  </si>
  <si>
    <r>
      <rPr>
        <sz val="6"/>
        <rFont val="Arial"/>
        <family val="2"/>
      </rPr>
      <t>DATO' HJ ADNAN HJ ABU HASSAN</t>
    </r>
  </si>
  <si>
    <r>
      <rPr>
        <b/>
        <sz val="7"/>
        <rFont val="Arial"/>
        <family val="2"/>
      </rPr>
      <t>Jumlah undian oleh pemilih</t>
    </r>
  </si>
  <si>
    <r>
      <rPr>
        <sz val="8"/>
        <rFont val="Arial"/>
        <family val="2"/>
      </rPr>
      <t>UNDI POS</t>
    </r>
  </si>
  <si>
    <r>
      <rPr>
        <sz val="12"/>
        <rFont val="Arial"/>
        <family val="2"/>
      </rPr>
      <t>UNDI AWAL</t>
    </r>
  </si>
  <si>
    <r>
      <rPr>
        <sz val="8"/>
        <rFont val="Arial"/>
        <family val="2"/>
      </rPr>
      <t>UNDI AWAL 129/16/00</t>
    </r>
  </si>
  <si>
    <r>
      <rPr>
        <sz val="8"/>
        <rFont val="Arial"/>
        <family val="2"/>
      </rPr>
      <t>RUANG A, DEWAN SERBAGUNA IPD KUALA PILAH (DUN SERI MENANTI)</t>
    </r>
  </si>
  <si>
    <r>
      <rPr>
        <sz val="8"/>
        <rFont val="Arial"/>
        <family val="2"/>
      </rPr>
      <t>UNDI AWAL 129/18/00</t>
    </r>
  </si>
  <si>
    <r>
      <rPr>
        <sz val="8"/>
        <rFont val="Arial"/>
        <family val="2"/>
      </rPr>
      <t>RUANG B, DEWAN SERBAGUNA IPD KUALA PILAH (DUN PILAH)</t>
    </r>
  </si>
  <si>
    <r>
      <rPr>
        <sz val="8"/>
        <rFont val="Arial"/>
        <family val="2"/>
      </rPr>
      <t>UNDI AWAL 129/19/00</t>
    </r>
  </si>
  <si>
    <r>
      <rPr>
        <sz val="8"/>
        <rFont val="Arial"/>
        <family val="2"/>
      </rPr>
      <t>RUANG C, DEWAN SERBAGUNA IPD KUALA PILAH (DUN JOHOL)</t>
    </r>
  </si>
  <si>
    <r>
      <rPr>
        <sz val="12"/>
        <rFont val="Arial"/>
        <family val="2"/>
      </rPr>
      <t>UNDI BIASA</t>
    </r>
  </si>
  <si>
    <r>
      <rPr>
        <sz val="8"/>
        <rFont val="Arial"/>
        <family val="2"/>
      </rPr>
      <t>KAMPONG TENGKEK 129/15/01</t>
    </r>
  </si>
  <si>
    <r>
      <rPr>
        <sz val="8"/>
        <rFont val="Arial"/>
        <family val="2"/>
      </rPr>
      <t>SEKOLAH KEBANGSAAN TENGKEK</t>
    </r>
  </si>
  <si>
    <r>
      <rPr>
        <sz val="8"/>
        <rFont val="Arial"/>
        <family val="2"/>
      </rPr>
      <t>KAMPONG TAPAK 129/15/02</t>
    </r>
  </si>
  <si>
    <r>
      <rPr>
        <sz val="8"/>
        <rFont val="Arial"/>
        <family val="2"/>
      </rPr>
      <t>SEKOLAH KEBANGSAAN TAPAK</t>
    </r>
  </si>
  <si>
    <r>
      <rPr>
        <sz val="8"/>
        <rFont val="Arial"/>
        <family val="2"/>
      </rPr>
      <t>KAMPONG SUNGAI JELUTONG 129/15/03</t>
    </r>
  </si>
  <si>
    <r>
      <rPr>
        <sz val="8"/>
        <rFont val="Arial"/>
        <family val="2"/>
      </rPr>
      <t>BALAI RAYA KAMPUNG SUNGAI JELUTONG</t>
    </r>
  </si>
  <si>
    <r>
      <rPr>
        <sz val="8"/>
        <rFont val="Arial"/>
        <family val="2"/>
      </rPr>
      <t>KAMPONG PADANG LEBAR 129/15/04</t>
    </r>
  </si>
  <si>
    <r>
      <rPr>
        <sz val="8"/>
        <rFont val="Arial"/>
        <family val="2"/>
      </rPr>
      <t>SEKOLAH KEBANGSAAN PADANG LEBAR</t>
    </r>
  </si>
  <si>
    <r>
      <rPr>
        <b/>
        <sz val="10"/>
        <rFont val="Arial"/>
        <family val="2"/>
      </rPr>
      <t xml:space="preserve">HELAIAN MATA (SCORE SHEET)                                                        (BORANG SPR 760 Pin. 1/99) BAHAGIAN PILIHAN RAYA NEGERI: P.129 KUALA PILAH
</t>
    </r>
    <r>
      <rPr>
        <b/>
        <sz val="10"/>
        <rFont val="Arial"/>
        <family val="2"/>
      </rPr>
      <t>JUMLAH PEMILIH: 63,247                                                                                                                                                                                               MUKASURAT: 2/11</t>
    </r>
  </si>
  <si>
    <r>
      <rPr>
        <sz val="8"/>
        <rFont val="Arial"/>
        <family val="2"/>
      </rPr>
      <t>KAMPONG TERENTANG 129/15/05</t>
    </r>
  </si>
  <si>
    <r>
      <rPr>
        <sz val="8"/>
        <rFont val="Arial"/>
        <family val="2"/>
      </rPr>
      <t>BALAI RAYA KAMPUNG TERENTANG</t>
    </r>
  </si>
  <si>
    <r>
      <rPr>
        <sz val="8"/>
        <rFont val="Arial"/>
        <family val="2"/>
      </rPr>
      <t>JUASSEH TENGAH 129/15/06</t>
    </r>
  </si>
  <si>
    <r>
      <rPr>
        <sz val="8"/>
        <rFont val="Arial"/>
        <family val="2"/>
      </rPr>
      <t>SEKOLAH KEBANGSAAN JUASSEH TENGAH</t>
    </r>
  </si>
  <si>
    <r>
      <rPr>
        <sz val="8"/>
        <rFont val="Arial"/>
        <family val="2"/>
      </rPr>
      <t>BUKIT GELUGOR 129/15/07</t>
    </r>
  </si>
  <si>
    <r>
      <rPr>
        <sz val="8"/>
        <rFont val="Arial"/>
        <family val="2"/>
      </rPr>
      <t xml:space="preserve">SEKOLAH JENIS KEBANGSAAN (CINA)
</t>
    </r>
    <r>
      <rPr>
        <sz val="8"/>
        <rFont val="Arial"/>
        <family val="2"/>
      </rPr>
      <t>KG. BARU BKT GELUGOR</t>
    </r>
  </si>
  <si>
    <r>
      <rPr>
        <sz val="8"/>
        <rFont val="Arial"/>
        <family val="2"/>
      </rPr>
      <t>KAMPONG TERUSAN 129/15/08</t>
    </r>
  </si>
  <si>
    <r>
      <rPr>
        <sz val="8"/>
        <rFont val="Arial"/>
        <family val="2"/>
      </rPr>
      <t>BALAI RAYA KAMPUNG TERUSAN</t>
    </r>
  </si>
  <si>
    <r>
      <rPr>
        <sz val="8"/>
        <rFont val="Arial"/>
        <family val="2"/>
      </rPr>
      <t>PEKAN JUASSEH 129/15/09</t>
    </r>
  </si>
  <si>
    <r>
      <rPr>
        <sz val="8"/>
        <rFont val="Arial"/>
        <family val="2"/>
      </rPr>
      <t>SEKOLAH KEBANGSAAN PUSAT JUASSEH</t>
    </r>
  </si>
  <si>
    <r>
      <rPr>
        <b/>
        <sz val="10"/>
        <rFont val="Arial"/>
        <family val="2"/>
      </rPr>
      <t xml:space="preserve">HELAIAN MATA (SCORE SHEET)                                                        (BORANG SPR 760 Pin. 1/99) BAHAGIAN PILIHAN RAYA NEGERI: P.129 KUALA PILAH
</t>
    </r>
    <r>
      <rPr>
        <b/>
        <sz val="10"/>
        <rFont val="Arial"/>
        <family val="2"/>
      </rPr>
      <t>JUMLAH PEMILIH: 63,247                                                                                                                                                                                               MUKASURAT: 3/11</t>
    </r>
  </si>
  <si>
    <r>
      <rPr>
        <sz val="8"/>
        <rFont val="Arial"/>
        <family val="2"/>
      </rPr>
      <t>PELANGAI 129/15/10</t>
    </r>
  </si>
  <si>
    <r>
      <rPr>
        <sz val="8"/>
        <rFont val="Arial"/>
        <family val="2"/>
      </rPr>
      <t>SEKOLAH KEBANGSAAN PELANGAI</t>
    </r>
  </si>
  <si>
    <r>
      <rPr>
        <sz val="8"/>
        <rFont val="Arial"/>
        <family val="2"/>
      </rPr>
      <t>KAMPONG GENTAM 129/15/11</t>
    </r>
  </si>
  <si>
    <r>
      <rPr>
        <sz val="8"/>
        <rFont val="Arial"/>
        <family val="2"/>
      </rPr>
      <t>SEKOLAH KEBANGSAAN TUNKU MUNAWIR</t>
    </r>
  </si>
  <si>
    <r>
      <rPr>
        <sz val="8"/>
        <rFont val="Arial"/>
        <family val="2"/>
      </rPr>
      <t>KAMPONG LANGKAP 129/16/01</t>
    </r>
  </si>
  <si>
    <r>
      <rPr>
        <sz val="8"/>
        <rFont val="Arial"/>
        <family val="2"/>
      </rPr>
      <t>BALAI RAYA KAMPUNG LANGKAP</t>
    </r>
  </si>
  <si>
    <r>
      <rPr>
        <sz val="8"/>
        <rFont val="Arial"/>
        <family val="2"/>
      </rPr>
      <t>KAMPONG ULU BENDOL 129/16/02</t>
    </r>
  </si>
  <si>
    <r>
      <rPr>
        <sz val="8"/>
        <rFont val="Arial"/>
        <family val="2"/>
      </rPr>
      <t>SEKOLAH KEBANGSAAN ULU BENDOL</t>
    </r>
  </si>
  <si>
    <r>
      <rPr>
        <sz val="8"/>
        <rFont val="Arial"/>
        <family val="2"/>
      </rPr>
      <t>TERACHI 129/16/03</t>
    </r>
  </si>
  <si>
    <r>
      <rPr>
        <sz val="8"/>
        <rFont val="Arial"/>
        <family val="2"/>
      </rPr>
      <t>SEKOLAH KEBANGSAAN YAMTUAN HITAM</t>
    </r>
  </si>
  <si>
    <r>
      <rPr>
        <b/>
        <sz val="10"/>
        <rFont val="Arial"/>
        <family val="2"/>
      </rPr>
      <t xml:space="preserve">HELAIAN MATA (SCORE SHEET)                                                        (BORANG SPR 760 Pin. 1/99) BAHAGIAN PILIHAN RAYA NEGERI: P.129 KUALA PILAH
</t>
    </r>
    <r>
      <rPr>
        <b/>
        <sz val="10"/>
        <rFont val="Arial"/>
        <family val="2"/>
      </rPr>
      <t>JUMLAH PEMILIH: 63,247                                                                                                                                                                                               MUKASURAT: 4/11</t>
    </r>
  </si>
  <si>
    <r>
      <rPr>
        <sz val="8"/>
        <rFont val="Arial"/>
        <family val="2"/>
      </rPr>
      <t>KAMPONG TALANG 129/16/04</t>
    </r>
  </si>
  <si>
    <r>
      <rPr>
        <sz val="8"/>
        <rFont val="Arial"/>
        <family val="2"/>
      </rPr>
      <t>SEKOLAH KEBANGSAAN TALANG</t>
    </r>
  </si>
  <si>
    <r>
      <rPr>
        <sz val="8"/>
        <rFont val="Arial"/>
        <family val="2"/>
      </rPr>
      <t>KAMPONG GEMETIR 129/16/05</t>
    </r>
  </si>
  <si>
    <r>
      <rPr>
        <sz val="8"/>
        <rFont val="Arial"/>
        <family val="2"/>
      </rPr>
      <t>SEKOLAH MENENGAH KEBANGSAAN DATO' ABDUL SAMAD</t>
    </r>
  </si>
  <si>
    <r>
      <rPr>
        <sz val="8"/>
        <rFont val="Arial"/>
        <family val="2"/>
      </rPr>
      <t>KAMPONG IBOL 129/16/06</t>
    </r>
  </si>
  <si>
    <r>
      <rPr>
        <sz val="8"/>
        <rFont val="Arial"/>
        <family val="2"/>
      </rPr>
      <t>DEWAN ORANG RAMAI KAMPUNG GEMETIR</t>
    </r>
  </si>
  <si>
    <r>
      <rPr>
        <sz val="8"/>
        <rFont val="Arial"/>
        <family val="2"/>
      </rPr>
      <t>KAMPONG TENGAH 129/16/07</t>
    </r>
  </si>
  <si>
    <r>
      <rPr>
        <sz val="8"/>
        <rFont val="Arial"/>
        <family val="2"/>
      </rPr>
      <t>SEKOLAH KEBANGSAAN YAMTUAN LENGGANG</t>
    </r>
  </si>
  <si>
    <r>
      <rPr>
        <sz val="8"/>
        <rFont val="Arial"/>
        <family val="2"/>
      </rPr>
      <t>TANJONG IPOH 129/16/08</t>
    </r>
  </si>
  <si>
    <r>
      <rPr>
        <sz val="8"/>
        <rFont val="Arial"/>
        <family val="2"/>
      </rPr>
      <t>SEKOLAH KEBANGSAAN DATO' IDRIS</t>
    </r>
  </si>
  <si>
    <r>
      <rPr>
        <sz val="8"/>
        <rFont val="Arial"/>
        <family val="2"/>
      </rPr>
      <t>KAMPUNG GAMIN 129/16/09</t>
    </r>
  </si>
  <si>
    <r>
      <rPr>
        <sz val="8"/>
        <rFont val="Arial"/>
        <family val="2"/>
      </rPr>
      <t>BALAI RAYA KAMPUNG GAMIN</t>
    </r>
  </si>
  <si>
    <r>
      <rPr>
        <sz val="8"/>
        <rFont val="Arial"/>
        <family val="2"/>
      </rPr>
      <t>KAMPONG BUYAU 129/16/10</t>
    </r>
  </si>
  <si>
    <r>
      <rPr>
        <sz val="8"/>
        <rFont val="Arial"/>
        <family val="2"/>
      </rPr>
      <t>SEKOLAH MENENGAH KEBANGSAAN TUNKU BESAR BURHANUDDIN</t>
    </r>
  </si>
  <si>
    <r>
      <rPr>
        <sz val="8"/>
        <rFont val="Arial"/>
        <family val="2"/>
      </rPr>
      <t>SRI MENANTI 129/16/11</t>
    </r>
  </si>
  <si>
    <r>
      <rPr>
        <sz val="8"/>
        <rFont val="Arial"/>
        <family val="2"/>
      </rPr>
      <t>SEKOLAH KEBANGSAAN TUNKU LAKSAMANA NASIR</t>
    </r>
  </si>
  <si>
    <r>
      <rPr>
        <sz val="8"/>
        <rFont val="Arial"/>
        <family val="2"/>
      </rPr>
      <t>KAMPUNG SIKAI 129/16/12</t>
    </r>
  </si>
  <si>
    <r>
      <rPr>
        <sz val="8"/>
        <rFont val="Arial"/>
        <family val="2"/>
      </rPr>
      <t>BALAI RAYA KAMPUNG SIKAI</t>
    </r>
  </si>
  <si>
    <r>
      <rPr>
        <b/>
        <sz val="10"/>
        <rFont val="Arial"/>
        <family val="2"/>
      </rPr>
      <t xml:space="preserve">HELAIAN MATA (SCORE SHEET)                                                        (BORANG SPR 760 Pin. 1/99) BAHAGIAN PILIHAN RAYA NEGERI: P.129 KUALA PILAH
</t>
    </r>
    <r>
      <rPr>
        <b/>
        <sz val="10"/>
        <rFont val="Arial"/>
        <family val="2"/>
      </rPr>
      <t>JUMLAH PEMILIH: 63,247                                                                                                                                                                                               MUKASURAT: 5/11</t>
    </r>
  </si>
  <si>
    <r>
      <rPr>
        <sz val="8"/>
        <rFont val="Arial"/>
        <family val="2"/>
      </rPr>
      <t>GUNONG PASIR 129/16/13</t>
    </r>
  </si>
  <si>
    <r>
      <rPr>
        <sz val="8"/>
        <rFont val="Arial"/>
        <family val="2"/>
      </rPr>
      <t>SEKOLAH KEBANGSAAN YAMTUAN ANTAH GUNUNG PASIR</t>
    </r>
  </si>
  <si>
    <r>
      <rPr>
        <sz val="8"/>
        <rFont val="Arial"/>
        <family val="2"/>
      </rPr>
      <t>TEMARIS 129/17/01</t>
    </r>
  </si>
  <si>
    <r>
      <rPr>
        <sz val="8"/>
        <rFont val="Arial"/>
        <family val="2"/>
      </rPr>
      <t>BALAI RAYA KAMPUNG TEMERIS</t>
    </r>
  </si>
  <si>
    <r>
      <rPr>
        <sz val="8"/>
        <rFont val="Arial"/>
        <family val="2"/>
      </rPr>
      <t>FELDA KEPIS 129/17/02</t>
    </r>
  </si>
  <si>
    <r>
      <rPr>
        <sz val="8"/>
        <rFont val="Arial"/>
        <family val="2"/>
      </rPr>
      <t>SEKOLAH KEBANGSAAN (FELDA) KEPIS</t>
    </r>
  </si>
  <si>
    <r>
      <rPr>
        <sz val="8"/>
        <rFont val="Arial"/>
        <family val="2"/>
      </rPr>
      <t>REMBANG PANAS 129/17/03</t>
    </r>
  </si>
  <si>
    <r>
      <rPr>
        <sz val="8"/>
        <rFont val="Arial"/>
        <family val="2"/>
      </rPr>
      <t>SEKOLAH KEBANGSAAN REMBANG PANAS</t>
    </r>
  </si>
  <si>
    <r>
      <rPr>
        <sz val="8"/>
        <rFont val="Arial"/>
        <family val="2"/>
      </rPr>
      <t>KAMPONG SUNGAI DUA 129/17/04</t>
    </r>
  </si>
  <si>
    <r>
      <rPr>
        <sz val="8"/>
        <rFont val="Arial"/>
        <family val="2"/>
      </rPr>
      <t>SEKOLAH KEBANGSAAN SUNGAI DUA</t>
    </r>
  </si>
  <si>
    <r>
      <rPr>
        <sz val="8"/>
        <rFont val="Arial"/>
        <family val="2"/>
      </rPr>
      <t xml:space="preserve">KAMPONG KUALA DIOH
</t>
    </r>
    <r>
      <rPr>
        <sz val="8"/>
        <rFont val="Arial"/>
        <family val="2"/>
      </rPr>
      <t>129/17/05</t>
    </r>
  </si>
  <si>
    <r>
      <rPr>
        <sz val="8"/>
        <rFont val="Arial"/>
        <family val="2"/>
      </rPr>
      <t>KOLEJ MATRIKULASI NEGERI SEMBILAN</t>
    </r>
  </si>
  <si>
    <r>
      <rPr>
        <b/>
        <sz val="10"/>
        <rFont val="Arial"/>
        <family val="2"/>
      </rPr>
      <t xml:space="preserve">HELAIAN MATA (SCORE SHEET)                                                        (BORANG SPR 760 Pin. 1/99) BAHAGIAN PILIHAN RAYA NEGERI: P.129 KUALA PILAH
</t>
    </r>
    <r>
      <rPr>
        <b/>
        <sz val="10"/>
        <rFont val="Arial"/>
        <family val="2"/>
      </rPr>
      <t>JUMLAH PEMILIH: 63,247                                                                                                                                                                                               MUKASURAT: 6/11</t>
    </r>
  </si>
  <si>
    <r>
      <rPr>
        <sz val="8"/>
        <rFont val="Arial"/>
        <family val="2"/>
      </rPr>
      <t>SAWAH LEBAR 129/17/06</t>
    </r>
  </si>
  <si>
    <r>
      <rPr>
        <sz val="8"/>
        <rFont val="Arial"/>
        <family val="2"/>
      </rPr>
      <t>DEWAN MINDA KAMPUNG SAWAH LEBAR</t>
    </r>
  </si>
  <si>
    <r>
      <rPr>
        <sz val="8"/>
        <rFont val="Arial"/>
        <family val="2"/>
      </rPr>
      <t>KAMPONG DIOH 129/17/07</t>
    </r>
  </si>
  <si>
    <r>
      <rPr>
        <sz val="8"/>
        <rFont val="Arial"/>
        <family val="2"/>
      </rPr>
      <t>SEKOLAH KEBANGSAAN TUNKU KHURSHIAH</t>
    </r>
  </si>
  <si>
    <r>
      <rPr>
        <sz val="8"/>
        <rFont val="Arial"/>
        <family val="2"/>
      </rPr>
      <t>TEBAT KERING 129/17/08</t>
    </r>
  </si>
  <si>
    <r>
      <rPr>
        <sz val="8"/>
        <rFont val="Arial"/>
        <family val="2"/>
      </rPr>
      <t>SEKOLAH JENIS KEBANGSAAN (TAMIL) KUALA PILAH</t>
    </r>
  </si>
  <si>
    <r>
      <rPr>
        <sz val="8"/>
        <rFont val="Arial"/>
        <family val="2"/>
      </rPr>
      <t>SENALING 129/17/09</t>
    </r>
  </si>
  <si>
    <r>
      <rPr>
        <sz val="8"/>
        <rFont val="Arial"/>
        <family val="2"/>
      </rPr>
      <t>SEKOLAH KEBANGSAAN SENALING</t>
    </r>
  </si>
  <si>
    <r>
      <rPr>
        <sz val="8"/>
        <rFont val="Arial"/>
        <family val="2"/>
      </rPr>
      <t>AMPANG TINGGI 129/18/01</t>
    </r>
  </si>
  <si>
    <r>
      <rPr>
        <sz val="8"/>
        <rFont val="Arial"/>
        <family val="2"/>
      </rPr>
      <t>SEKOLAH KEBANGSAAN AMPANG TINGGI</t>
    </r>
  </si>
  <si>
    <r>
      <rPr>
        <b/>
        <sz val="10"/>
        <rFont val="Arial"/>
        <family val="2"/>
      </rPr>
      <t xml:space="preserve">HELAIAN MATA (SCORE SHEET)                                                        (BORANG SPR 760 Pin. 1/99) BAHAGIAN PILIHAN RAYA NEGERI: P.129 KUALA PILAH
</t>
    </r>
    <r>
      <rPr>
        <b/>
        <sz val="10"/>
        <rFont val="Arial"/>
        <family val="2"/>
      </rPr>
      <t>JUMLAH PEMILIH: 63,247                                                                                                                                                                                               MUKASURAT: 7/11</t>
    </r>
  </si>
  <si>
    <r>
      <rPr>
        <sz val="8"/>
        <rFont val="Arial"/>
        <family val="2"/>
      </rPr>
      <t>KAMPONG PARIT 129/18/02</t>
    </r>
  </si>
  <si>
    <r>
      <rPr>
        <sz val="8"/>
        <rFont val="Arial"/>
        <family val="2"/>
      </rPr>
      <t>SEKOLAH KEBANGSAAN KAMPONG PARIT</t>
    </r>
  </si>
  <si>
    <r>
      <rPr>
        <sz val="8"/>
        <rFont val="Arial"/>
        <family val="2"/>
      </rPr>
      <t>PEKAN LAMA 129/18/03</t>
    </r>
  </si>
  <si>
    <r>
      <rPr>
        <sz val="8"/>
        <rFont val="Arial"/>
        <family val="2"/>
      </rPr>
      <t>SEKOLAH KEBANGSAAN KUALA PILAH</t>
    </r>
  </si>
  <si>
    <r>
      <rPr>
        <sz val="8"/>
        <rFont val="Arial"/>
        <family val="2"/>
      </rPr>
      <t>TAMAN BUNGA 129/18/04</t>
    </r>
  </si>
  <si>
    <r>
      <rPr>
        <sz val="8"/>
        <rFont val="Arial"/>
        <family val="2"/>
      </rPr>
      <t>SEKOLAH MENENGAH SAINS TUANKU JAAFAR</t>
    </r>
  </si>
  <si>
    <r>
      <rPr>
        <sz val="8"/>
        <rFont val="Arial"/>
        <family val="2"/>
      </rPr>
      <t>KAMPONG GEMUROH 129/18/05</t>
    </r>
  </si>
  <si>
    <r>
      <rPr>
        <sz val="8"/>
        <rFont val="Arial"/>
        <family val="2"/>
      </rPr>
      <t>BALAI RAYA KAMPUNG MELANG</t>
    </r>
  </si>
  <si>
    <r>
      <rPr>
        <b/>
        <sz val="10"/>
        <rFont val="Arial"/>
        <family val="2"/>
      </rPr>
      <t xml:space="preserve">HELAIAN MATA (SCORE SHEET)                                                        (BORANG SPR 760 Pin. 1/99) BAHAGIAN PILIHAN RAYA NEGERI: P.129 KUALA PILAH
</t>
    </r>
    <r>
      <rPr>
        <b/>
        <sz val="10"/>
        <rFont val="Arial"/>
        <family val="2"/>
      </rPr>
      <t>JUMLAH PEMILIH: 63,247                                                                                                                                                                                               MUKASURAT: 8/11</t>
    </r>
  </si>
  <si>
    <r>
      <rPr>
        <sz val="8"/>
        <rFont val="Arial"/>
        <family val="2"/>
      </rPr>
      <t>KAMPONG JAWA 129/18/06</t>
    </r>
  </si>
  <si>
    <r>
      <rPr>
        <sz val="8"/>
        <rFont val="Arial"/>
        <family val="2"/>
      </rPr>
      <t>INSTITUT LATIHAN KEMENTERIAN KESIHATAN MALAYSIA (KEJURURAWATAN) KUALA PILAH</t>
    </r>
  </si>
  <si>
    <r>
      <rPr>
        <sz val="8"/>
        <rFont val="Arial"/>
        <family val="2"/>
      </rPr>
      <t>JALAN YAM TUAN 129/18/07</t>
    </r>
  </si>
  <si>
    <r>
      <rPr>
        <sz val="8"/>
        <rFont val="Arial"/>
        <family val="2"/>
      </rPr>
      <t>SEKOLAH MENENGAH KEBANGSAAN CHUNG HUA</t>
    </r>
  </si>
  <si>
    <r>
      <rPr>
        <sz val="8"/>
        <rFont val="Arial"/>
        <family val="2"/>
      </rPr>
      <t>TENGKU BESAR 129/18/08</t>
    </r>
  </si>
  <si>
    <r>
      <rPr>
        <sz val="8"/>
        <rFont val="Arial"/>
        <family val="2"/>
      </rPr>
      <t>SEKOLAH JENIS KEBANGSAAN (CINA) CHUNG HUA KUALA PILAH</t>
    </r>
  </si>
  <si>
    <r>
      <rPr>
        <sz val="8"/>
        <rFont val="Arial"/>
        <family val="2"/>
      </rPr>
      <t>BUKIT TEMENSU 129/18/09</t>
    </r>
  </si>
  <si>
    <r>
      <rPr>
        <sz val="8"/>
        <rFont val="Arial"/>
        <family val="2"/>
      </rPr>
      <t>SEKOLAH MENENGAH KEBANGSAAN TUANKU MUHAMMAD</t>
    </r>
  </si>
  <si>
    <r>
      <rPr>
        <b/>
        <sz val="10"/>
        <rFont val="Arial"/>
        <family val="2"/>
      </rPr>
      <t xml:space="preserve">HELAIAN MATA (SCORE SHEET)                                                        (BORANG SPR 760 Pin. 1/99) BAHAGIAN PILIHAN RAYA NEGERI: P.129 KUALA PILAH
</t>
    </r>
    <r>
      <rPr>
        <b/>
        <sz val="10"/>
        <rFont val="Arial"/>
        <family val="2"/>
      </rPr>
      <t>JUMLAH PEMILIH: 63,247                                                                                                                                                                                               MUKASURAT: 9/11</t>
    </r>
  </si>
  <si>
    <r>
      <rPr>
        <sz val="8"/>
        <rFont val="Arial"/>
        <family val="2"/>
      </rPr>
      <t>BATANG PILAH 129/18/10</t>
    </r>
  </si>
  <si>
    <r>
      <rPr>
        <sz val="8"/>
        <rFont val="Arial"/>
        <family val="2"/>
      </rPr>
      <t>SEKOLAH JENIS KEBANGSAAN (CINA) CHUNG HUA SENALING</t>
    </r>
  </si>
  <si>
    <r>
      <rPr>
        <sz val="8"/>
        <rFont val="Arial"/>
        <family val="2"/>
      </rPr>
      <t>KAMPONG GACHONG 129/18/11</t>
    </r>
  </si>
  <si>
    <r>
      <rPr>
        <sz val="8"/>
        <rFont val="Arial"/>
        <family val="2"/>
      </rPr>
      <t>SEKOLAH KEBANGSAAN TANAH MELINTANG</t>
    </r>
  </si>
  <si>
    <r>
      <rPr>
        <sz val="8"/>
        <rFont val="Arial"/>
        <family val="2"/>
      </rPr>
      <t>SERI PILAH 129/18/12</t>
    </r>
  </si>
  <si>
    <r>
      <rPr>
        <sz val="8"/>
        <rFont val="Arial"/>
        <family val="2"/>
      </rPr>
      <t>SEKOLAH KEBANGSAAN SERI PILAH</t>
    </r>
  </si>
  <si>
    <r>
      <rPr>
        <sz val="8"/>
        <rFont val="Arial"/>
        <family val="2"/>
      </rPr>
      <t>KAMPONG KEPIS 129/19/01</t>
    </r>
  </si>
  <si>
    <r>
      <rPr>
        <sz val="8"/>
        <rFont val="Arial"/>
        <family val="2"/>
      </rPr>
      <t>SEKOLAH KEBANGSAAN KEPIS</t>
    </r>
  </si>
  <si>
    <r>
      <rPr>
        <sz val="8"/>
        <rFont val="Arial"/>
        <family val="2"/>
      </rPr>
      <t>MALAN BARU 129/19/02</t>
    </r>
  </si>
  <si>
    <r>
      <rPr>
        <sz val="8"/>
        <rFont val="Arial"/>
        <family val="2"/>
      </rPr>
      <t>SEKOLAH JENIS KEBANGSAAN (CINA) KG. BARU KEPIS</t>
    </r>
  </si>
  <si>
    <r>
      <rPr>
        <sz val="8"/>
        <rFont val="Arial"/>
        <family val="2"/>
      </rPr>
      <t>DANGI 129/19/03</t>
    </r>
  </si>
  <si>
    <r>
      <rPr>
        <sz val="8"/>
        <rFont val="Arial"/>
        <family val="2"/>
      </rPr>
      <t>SEKOLAH JENIS KEBANGSAAN (CINA) PEI CHUN DANGI</t>
    </r>
  </si>
  <si>
    <r>
      <rPr>
        <b/>
        <sz val="10"/>
        <rFont val="Arial"/>
        <family val="2"/>
      </rPr>
      <t xml:space="preserve">HELAIAN MATA (SCORE SHEET)                                                        (BORANG SPR 760 Pin. 1/99) BAHAGIAN PILIHAN RAYA NEGERI: P.129 KUALA PILAH
</t>
    </r>
    <r>
      <rPr>
        <b/>
        <sz val="10"/>
        <rFont val="Arial"/>
        <family val="2"/>
      </rPr>
      <t>JUMLAH PEMILIH: 63,247                                                                                                                                                                                             MUKASURAT: 10/11</t>
    </r>
  </si>
  <si>
    <r>
      <rPr>
        <sz val="8"/>
        <rFont val="Arial"/>
        <family val="2"/>
      </rPr>
      <t>KAMPUNG SELARU 129/19/04</t>
    </r>
  </si>
  <si>
    <r>
      <rPr>
        <sz val="8"/>
        <rFont val="Arial"/>
        <family val="2"/>
      </rPr>
      <t>SEKOLAH KEBANGSAAN DANGI</t>
    </r>
  </si>
  <si>
    <r>
      <rPr>
        <sz val="8"/>
        <rFont val="Arial"/>
        <family val="2"/>
      </rPr>
      <t>INAS 129/19/05</t>
    </r>
  </si>
  <si>
    <r>
      <rPr>
        <sz val="8"/>
        <rFont val="Arial"/>
        <family val="2"/>
      </rPr>
      <t>SEKOLAH KEBANGSAAN INAS</t>
    </r>
  </si>
  <si>
    <r>
      <rPr>
        <sz val="8"/>
        <rFont val="Arial"/>
        <family val="2"/>
      </rPr>
      <t>KAMPONG PADANG JUAL 129/19/06</t>
    </r>
  </si>
  <si>
    <r>
      <rPr>
        <sz val="8"/>
        <rFont val="Arial"/>
        <family val="2"/>
      </rPr>
      <t>BALAI RAYA KAMPUNG PADANG JUAL JOHOL</t>
    </r>
  </si>
  <si>
    <r>
      <rPr>
        <sz val="8"/>
        <rFont val="Arial"/>
        <family val="2"/>
      </rPr>
      <t>PEKAN JOHOL 129/19/07</t>
    </r>
  </si>
  <si>
    <r>
      <rPr>
        <sz val="8"/>
        <rFont val="Arial"/>
        <family val="2"/>
      </rPr>
      <t>SEKOLAH JENIS KEBANGSAAN (CINA) YUK CHAI JOHOL</t>
    </r>
  </si>
  <si>
    <r>
      <rPr>
        <sz val="8"/>
        <rFont val="Arial"/>
        <family val="2"/>
      </rPr>
      <t>KUALA JOHOL 129/19/08</t>
    </r>
  </si>
  <si>
    <r>
      <rPr>
        <sz val="8"/>
        <rFont val="Arial"/>
        <family val="2"/>
      </rPr>
      <t>SEKOLAH KEBANGSAAN UNDANG JOHOL</t>
    </r>
  </si>
  <si>
    <r>
      <rPr>
        <sz val="8"/>
        <rFont val="Arial"/>
        <family val="2"/>
      </rPr>
      <t>KAMPUNG NURI 129/19/09</t>
    </r>
  </si>
  <si>
    <r>
      <rPr>
        <sz val="8"/>
        <rFont val="Arial"/>
        <family val="2"/>
      </rPr>
      <t>SEKOLAH MENENGAH KEBANGSAAN DATUK UNDANG ABDUL MANAP</t>
    </r>
  </si>
  <si>
    <r>
      <rPr>
        <b/>
        <sz val="10"/>
        <rFont val="Arial"/>
        <family val="2"/>
      </rPr>
      <t xml:space="preserve">HELAIAN MATA (SCORE SHEET)                                                        (BORANG SPR 760 Pin. 1/99) BAHAGIAN PILIHAN RAYA NEGERI: P.129 KUALA PILAH
</t>
    </r>
    <r>
      <rPr>
        <b/>
        <sz val="10"/>
        <rFont val="Arial"/>
        <family val="2"/>
      </rPr>
      <t>JUMLAH PEMILIH: 63,247                                                                                                                                                                                              MUKASURAT: 11/11</t>
    </r>
  </si>
  <si>
    <r>
      <rPr>
        <sz val="8"/>
        <rFont val="Arial"/>
        <family val="2"/>
      </rPr>
      <t>AYER MAWANG 129/19/10</t>
    </r>
  </si>
  <si>
    <r>
      <rPr>
        <sz val="8"/>
        <rFont val="Arial"/>
        <family val="2"/>
      </rPr>
      <t>SEKOLAH KEBANGSAAN NURI</t>
    </r>
  </si>
  <si>
    <r>
      <rPr>
        <b/>
        <sz val="12"/>
        <rFont val="Arial"/>
        <family val="2"/>
      </rPr>
      <t>JUMLAH</t>
    </r>
  </si>
  <si>
    <t>PEJUANG</t>
  </si>
  <si>
    <t>PN</t>
  </si>
  <si>
    <t>WARISAN</t>
  </si>
  <si>
    <t>PH</t>
  </si>
  <si>
    <t>BN</t>
  </si>
  <si>
    <t>Bil</t>
  </si>
  <si>
    <t>Nama Pusat Mengundi</t>
  </si>
  <si>
    <t>Bilangan kertas undi yang ditolak (C)</t>
  </si>
  <si>
    <t>Jumlah undian oleh pemilih</t>
  </si>
  <si>
    <t>UNDI POS</t>
  </si>
  <si>
    <t>UNDI AWAL 129/16/00</t>
  </si>
  <si>
    <t>RUANG A, DEWAN SERBAGUNA IPD KUALA PILAH (DUN SERI MENANTI)</t>
  </si>
  <si>
    <t>UNDI AWAL 129/18/00</t>
  </si>
  <si>
    <t>RUANG B, DEWAN SERBAGUNA IPD KUALA PILAH (DUN PILAH)</t>
  </si>
  <si>
    <t>UNDI AWAL 129/19/00</t>
  </si>
  <si>
    <t>RUANG C, DEWAN SERBAGUNA IPD KUALA PILAH (DUN JOHOL)</t>
  </si>
  <si>
    <t>KAMPONG TENGKEK 129/15/01</t>
  </si>
  <si>
    <t>SEKOLAH KEBANGSAAN TENGKEK</t>
  </si>
  <si>
    <t>KAMPONG TAPAK 129/15/02</t>
  </si>
  <si>
    <t>SEKOLAH KEBANGSAAN TAPAK</t>
  </si>
  <si>
    <t>KAMPONG SUNGAI JELUTONG 129/15/03</t>
  </si>
  <si>
    <t>BALAI RAYA KAMPUNG SUNGAI JELUTONG</t>
  </si>
  <si>
    <t>KAMPONG PADANG LEBAR 129/15/04</t>
  </si>
  <si>
    <t>SEKOLAH KEBANGSAAN PADANG LEBAR</t>
  </si>
  <si>
    <t>Nama &amp; Kod DM</t>
  </si>
  <si>
    <t>Saluran</t>
  </si>
  <si>
    <t>Jumlah kertas undi dikeluarkan</t>
  </si>
  <si>
    <t>Undi Tidak Dimasukkan</t>
  </si>
  <si>
    <t>KAMPONG TERENTANG 129/15/05</t>
  </si>
  <si>
    <t>BALAI RAYA KAMPUNG TERENTANG</t>
  </si>
  <si>
    <t>JUASSEH TENGAH 129/15/06</t>
  </si>
  <si>
    <t>SEKOLAH KEBANGSAAN JUASSEH TENGAH</t>
  </si>
  <si>
    <t>BUKIT GELUGOR 129/15/07</t>
  </si>
  <si>
    <t>SEKOLAH JENIS KEBANGSAAN (CINA)
KG. BARU BKT GELUGOR</t>
  </si>
  <si>
    <t>KAMPONG TERUSAN 129/15/08</t>
  </si>
  <si>
    <t>BALAI RAYA KAMPUNG TERUSAN</t>
  </si>
  <si>
    <t>PEKAN JUASSEH 129/15/09</t>
  </si>
  <si>
    <t>SEKOLAH KEBANGSAAN PUSAT JUASSEH</t>
  </si>
  <si>
    <t>PELANGAI 129/15/10</t>
  </si>
  <si>
    <t>SEKOLAH KEBANGSAAN PELANGAI</t>
  </si>
  <si>
    <t>KAMPONG GENTAM 129/15/11</t>
  </si>
  <si>
    <t>SEKOLAH KEBANGSAAN TUNKU MUNAWIR</t>
  </si>
  <si>
    <t>KAMPONG LANGKAP 129/16/01</t>
  </si>
  <si>
    <t>BALAI RAYA KAMPUNG LANGKAP</t>
  </si>
  <si>
    <t>KAMPONG ULU BENDOL 129/16/02</t>
  </si>
  <si>
    <t>SEKOLAH KEBANGSAAN ULU BENDOL</t>
  </si>
  <si>
    <t>TERACHI 129/16/03</t>
  </si>
  <si>
    <t>SEKOLAH KEBANGSAAN YAMTUAN HITAM</t>
  </si>
  <si>
    <t>KAMPONG TALANG 129/16/04</t>
  </si>
  <si>
    <t>SEKOLAH KEBANGSAAN TALANG</t>
  </si>
  <si>
    <t>KAMPONG GEMETIR 129/16/05</t>
  </si>
  <si>
    <t>SEKOLAH MENENGAH KEBANGSAAN DATO' ABDUL SAMAD</t>
  </si>
  <si>
    <t>KAMPONG IBOL 129/16/06</t>
  </si>
  <si>
    <t>DEWAN ORANG RAMAI KAMPUNG GEMETIR</t>
  </si>
  <si>
    <t>KAMPONG TENGAH 129/16/07</t>
  </si>
  <si>
    <t>SEKOLAH KEBANGSAAN YAMTUAN LENGGANG</t>
  </si>
  <si>
    <t>TANJONG IPOH 129/16/08</t>
  </si>
  <si>
    <t>SEKOLAH KEBANGSAAN DATO' IDRIS</t>
  </si>
  <si>
    <t>KAMPUNG GAMIN 129/16/09</t>
  </si>
  <si>
    <t>BALAI RAYA KAMPUNG GAMIN</t>
  </si>
  <si>
    <t>KAMPONG BUYAU 129/16/10</t>
  </si>
  <si>
    <t>SEKOLAH MENENGAH KEBANGSAAN TUNKU BESAR BURHANUDDIN</t>
  </si>
  <si>
    <t>SRI MENANTI 129/16/11</t>
  </si>
  <si>
    <t>SEKOLAH KEBANGSAAN TUNKU LAKSAMANA NASIR</t>
  </si>
  <si>
    <t>KAMPUNG SIKAI 129/16/12</t>
  </si>
  <si>
    <t>BALAI RAYA KAMPUNG SIKAI</t>
  </si>
  <si>
    <t>GUNONG PASIR 129/16/13</t>
  </si>
  <si>
    <t>SEKOLAH KEBANGSAAN YAMTUAN ANTAH GUNUNG PASIR</t>
  </si>
  <si>
    <t>TEMARIS 129/17/01</t>
  </si>
  <si>
    <t>BALAI RAYA KAMPUNG TEMERIS</t>
  </si>
  <si>
    <t>FELDA KEPIS 129/17/02</t>
  </si>
  <si>
    <t>SEKOLAH KEBANGSAAN (FELDA) KEPIS</t>
  </si>
  <si>
    <t>REMBANG PANAS 129/17/03</t>
  </si>
  <si>
    <t>SEKOLAH KEBANGSAAN REMBANG PANAS</t>
  </si>
  <si>
    <t>KAMPONG SUNGAI DUA 129/17/04</t>
  </si>
  <si>
    <t>SEKOLAH KEBANGSAAN SUNGAI DUA</t>
  </si>
  <si>
    <t>KAMPONG KUALA DIOH
129/17/05</t>
  </si>
  <si>
    <t>KOLEJ MATRIKULASI NEGERI SEMBILAN</t>
  </si>
  <si>
    <t>SAWAH LEBAR 129/17/06</t>
  </si>
  <si>
    <t>DEWAN MINDA KAMPUNG SAWAH LEBAR</t>
  </si>
  <si>
    <t>KAMPONG DIOH 129/17/07</t>
  </si>
  <si>
    <t>SEKOLAH KEBANGSAAN TUNKU KHURSHIAH</t>
  </si>
  <si>
    <t>TEBAT KERING 129/17/08</t>
  </si>
  <si>
    <t>SEKOLAH JENIS KEBANGSAAN (TAMIL) KUALA PILAH</t>
  </si>
  <si>
    <t>SENALING 129/17/09</t>
  </si>
  <si>
    <t>SEKOLAH KEBANGSAAN SENALING</t>
  </si>
  <si>
    <t>AMPANG TINGGI 129/18/01</t>
  </si>
  <si>
    <t>SEKOLAH KEBANGSAAN AMPANG TINGGI</t>
  </si>
  <si>
    <t>KAMPONG PARIT 129/18/02</t>
  </si>
  <si>
    <t>SEKOLAH KEBANGSAAN KAMPONG PARIT</t>
  </si>
  <si>
    <t>PEKAN LAMA 129/18/03</t>
  </si>
  <si>
    <t>SEKOLAH KEBANGSAAN KUALA PILAH</t>
  </si>
  <si>
    <t>TAMAN BUNGA 129/18/04</t>
  </si>
  <si>
    <t>SEKOLAH MENENGAH SAINS TUANKU JAAFAR</t>
  </si>
  <si>
    <t>KAMPONG GEMUROH 129/18/05</t>
  </si>
  <si>
    <t>BALAI RAYA KAMPUNG MELANG</t>
  </si>
  <si>
    <t>KAMPONG JAWA 129/18/06</t>
  </si>
  <si>
    <t>INSTITUT LATIHAN KEMENTERIAN KESIHATAN MALAYSIA (KEJURURAWATAN) KUALA PILAH</t>
  </si>
  <si>
    <t>JALAN YAM TUAN 129/18/07</t>
  </si>
  <si>
    <t>SEKOLAH MENENGAH KEBANGSAAN CHUNG HUA</t>
  </si>
  <si>
    <t>TENGKU BESAR 129/18/08</t>
  </si>
  <si>
    <t>SEKOLAH JENIS KEBANGSAAN (CINA) CHUNG HUA KUALA PILAH</t>
  </si>
  <si>
    <t>BUKIT TEMENSU 129/18/09</t>
  </si>
  <si>
    <t>SEKOLAH MENENGAH KEBANGSAAN TUANKU MUHAMMAD</t>
  </si>
  <si>
    <t>BATANG PILAH 129/18/10</t>
  </si>
  <si>
    <t>SEKOLAH JENIS KEBANGSAAN (CINA) CHUNG HUA SENALING</t>
  </si>
  <si>
    <t>KAMPONG GACHONG 129/18/11</t>
  </si>
  <si>
    <t>SEKOLAH KEBANGSAAN TANAH MELINTANG</t>
  </si>
  <si>
    <t>SERI PILAH 129/18/12</t>
  </si>
  <si>
    <t>SEKOLAH KEBANGSAAN SERI PILAH</t>
  </si>
  <si>
    <t>KAMPONG KEPIS 129/19/01</t>
  </si>
  <si>
    <t>SEKOLAH KEBANGSAAN KEPIS</t>
  </si>
  <si>
    <t>MALAN BARU 129/19/02</t>
  </si>
  <si>
    <t>SEKOLAH JENIS KEBANGSAAN (CINA) KG. BARU KEPIS</t>
  </si>
  <si>
    <t>DANGI 129/19/03</t>
  </si>
  <si>
    <t>SEKOLAH JENIS KEBANGSAAN (CINA) PEI CHUN DANGI</t>
  </si>
  <si>
    <t>KAMPUNG SELARU 129/19/04</t>
  </si>
  <si>
    <t>SEKOLAH KEBANGSAAN DANGI</t>
  </si>
  <si>
    <t>INAS 129/19/05</t>
  </si>
  <si>
    <t>SEKOLAH KEBANGSAAN INAS</t>
  </si>
  <si>
    <t>KAMPONG PADANG JUAL 129/19/06</t>
  </si>
  <si>
    <t>BALAI RAYA KAMPUNG PADANG JUAL JOHOL</t>
  </si>
  <si>
    <t>PEKAN JOHOL 129/19/07</t>
  </si>
  <si>
    <t>SEKOLAH JENIS KEBANGSAAN (CINA) YUK CHAI JOHOL</t>
  </si>
  <si>
    <t>KUALA JOHOL 129/19/08</t>
  </si>
  <si>
    <t>SEKOLAH KEBANGSAAN UNDANG JOHOL</t>
  </si>
  <si>
    <t>KAMPUNG NURI 129/19/09</t>
  </si>
  <si>
    <t>SEKOLAH MENENGAH KEBANGSAAN DATUK UNDANG ABDUL MANAP</t>
  </si>
  <si>
    <t>AYER MAWANG 129/19/10</t>
  </si>
  <si>
    <t>SEKOLAH KEBANGSAAN NURI</t>
  </si>
  <si>
    <t>JUMLAH</t>
  </si>
  <si>
    <t>Jumlah Undi</t>
  </si>
  <si>
    <t>PH%</t>
  </si>
  <si>
    <t>PN%</t>
  </si>
  <si>
    <t>BN%</t>
  </si>
  <si>
    <t>PEJUANG%</t>
  </si>
  <si>
    <t>WARISAN%</t>
  </si>
  <si>
    <t>koddm</t>
  </si>
  <si>
    <t>namadm</t>
  </si>
  <si>
    <t>namapusatmengundi</t>
  </si>
  <si>
    <t>nosaluran</t>
  </si>
  <si>
    <t>bumiputra</t>
  </si>
  <si>
    <t>bumiputra_sabah</t>
  </si>
  <si>
    <t>bumiputra_sarawak</t>
  </si>
  <si>
    <t>cina</t>
  </si>
  <si>
    <t>india</t>
  </si>
  <si>
    <t>lain_lain</t>
  </si>
  <si>
    <t>melayu</t>
  </si>
  <si>
    <t>orang_asli</t>
  </si>
  <si>
    <t>filename</t>
  </si>
  <si>
    <t>avg_age</t>
  </si>
  <si>
    <t>parliament_name</t>
  </si>
  <si>
    <t>1291501</t>
  </si>
  <si>
    <t>KAMPONG TENGKEK</t>
  </si>
  <si>
    <t>129_KUALA PILAH</t>
  </si>
  <si>
    <t>1291502</t>
  </si>
  <si>
    <t>KAMPONG TAPAK</t>
  </si>
  <si>
    <t>1291503</t>
  </si>
  <si>
    <t>KAMPONG SUNGAI JELUTONG</t>
  </si>
  <si>
    <t>1291504</t>
  </si>
  <si>
    <t>KAMPONG PADANG LEBAR</t>
  </si>
  <si>
    <t>1291505</t>
  </si>
  <si>
    <t>KAMPONG TERENTANG</t>
  </si>
  <si>
    <t>1291506</t>
  </si>
  <si>
    <t>JUASSEH TENGAH</t>
  </si>
  <si>
    <t>1291507</t>
  </si>
  <si>
    <t>BUKIT GELUGOR</t>
  </si>
  <si>
    <t>POS</t>
  </si>
  <si>
    <t>SEKOLAH JENIS KEBANGSAAN (CINA) KG. BARU BKT GELUGOR</t>
  </si>
  <si>
    <t>1291508</t>
  </si>
  <si>
    <t>KAMPONG TERUSAN</t>
  </si>
  <si>
    <t>1291509</t>
  </si>
  <si>
    <t>PEKAN JUASSEH</t>
  </si>
  <si>
    <t>1291510</t>
  </si>
  <si>
    <t>PELANGAI</t>
  </si>
  <si>
    <t>1291511</t>
  </si>
  <si>
    <t>KAMPONG GENTAM</t>
  </si>
  <si>
    <t>1291601</t>
  </si>
  <si>
    <t>KAMPONG LANGKAP</t>
  </si>
  <si>
    <t>1291602</t>
  </si>
  <si>
    <t>KAMPONG ULU BENDOL</t>
  </si>
  <si>
    <t>1291603</t>
  </si>
  <si>
    <t>TERACHI</t>
  </si>
  <si>
    <t>1291604</t>
  </si>
  <si>
    <t>KAMPONG TALANG</t>
  </si>
  <si>
    <t>1291605</t>
  </si>
  <si>
    <t>KAMPONG GEMETIR</t>
  </si>
  <si>
    <t>1291606</t>
  </si>
  <si>
    <t>KAMPONG IBOL</t>
  </si>
  <si>
    <t>1291607</t>
  </si>
  <si>
    <t>KAMPONG TENGAH</t>
  </si>
  <si>
    <t>1291608</t>
  </si>
  <si>
    <t>TANJONG IPOH</t>
  </si>
  <si>
    <t>1291609</t>
  </si>
  <si>
    <t>KAMPUNG GAMIN</t>
  </si>
  <si>
    <t>1291610</t>
  </si>
  <si>
    <t>KAMPONG BUYAU</t>
  </si>
  <si>
    <t>1291611</t>
  </si>
  <si>
    <t>SRI MENANTI</t>
  </si>
  <si>
    <t>1291612</t>
  </si>
  <si>
    <t>KAMPUNG SIKAI</t>
  </si>
  <si>
    <t>1291613</t>
  </si>
  <si>
    <t>GUNONG PASIR</t>
  </si>
  <si>
    <t>1291701</t>
  </si>
  <si>
    <t>TEMARIS</t>
  </si>
  <si>
    <t>1291702</t>
  </si>
  <si>
    <t>FELDA KEPIS</t>
  </si>
  <si>
    <t>1291703</t>
  </si>
  <si>
    <t>REMBANG PANAS</t>
  </si>
  <si>
    <t>1291704</t>
  </si>
  <si>
    <t>KAMPONG SUNGAI DUA</t>
  </si>
  <si>
    <t>1291705</t>
  </si>
  <si>
    <t>KAMPONG KUALA DIOH</t>
  </si>
  <si>
    <t>1291706</t>
  </si>
  <si>
    <t>SAWAH LEBAR</t>
  </si>
  <si>
    <t>1291707</t>
  </si>
  <si>
    <t>KAMPONG DIOH</t>
  </si>
  <si>
    <t>1291708</t>
  </si>
  <si>
    <t>TEBAT KERING</t>
  </si>
  <si>
    <t>1291709</t>
  </si>
  <si>
    <t>SENALING</t>
  </si>
  <si>
    <t>1291801</t>
  </si>
  <si>
    <t>AMPANG TINGGI</t>
  </si>
  <si>
    <t>1291802</t>
  </si>
  <si>
    <t>KAMPONG PARIT</t>
  </si>
  <si>
    <t>1291803</t>
  </si>
  <si>
    <t>PEKAN LAMA</t>
  </si>
  <si>
    <t>1291804</t>
  </si>
  <si>
    <t>TAMAN BUNGA</t>
  </si>
  <si>
    <t>1291805</t>
  </si>
  <si>
    <t>KAMPONG GEMUROH</t>
  </si>
  <si>
    <t>1291806</t>
  </si>
  <si>
    <t>KAMPONG JAWA</t>
  </si>
  <si>
    <t>1291807</t>
  </si>
  <si>
    <t>JALAN YAM TUAN</t>
  </si>
  <si>
    <t>1291808</t>
  </si>
  <si>
    <t>TENGKU BESAR</t>
  </si>
  <si>
    <t>1291809</t>
  </si>
  <si>
    <t>BUKIT TEMENSU</t>
  </si>
  <si>
    <t>1291810</t>
  </si>
  <si>
    <t>BATANG PILAH</t>
  </si>
  <si>
    <t>1291811</t>
  </si>
  <si>
    <t>KAMPONG GACHONG</t>
  </si>
  <si>
    <t>1291812</t>
  </si>
  <si>
    <t>SERI PILAH</t>
  </si>
  <si>
    <t>1291901</t>
  </si>
  <si>
    <t>KAMPONG KEPIS</t>
  </si>
  <si>
    <t>1291902</t>
  </si>
  <si>
    <t>MALAN BARU</t>
  </si>
  <si>
    <t>1291903</t>
  </si>
  <si>
    <t>DANGI</t>
  </si>
  <si>
    <t>1291904</t>
  </si>
  <si>
    <t>KAMPUNG SELARU</t>
  </si>
  <si>
    <t>1291905</t>
  </si>
  <si>
    <t>INAS</t>
  </si>
  <si>
    <t>1291906</t>
  </si>
  <si>
    <t>KAMPONG PADANG JUAL</t>
  </si>
  <si>
    <t>1291907</t>
  </si>
  <si>
    <t>PEKAN JOHOL</t>
  </si>
  <si>
    <t>1291908</t>
  </si>
  <si>
    <t>KUALA JOHOL</t>
  </si>
  <si>
    <t>1291909</t>
  </si>
  <si>
    <t>KAMPUNG NURI</t>
  </si>
  <si>
    <t>1291910</t>
  </si>
  <si>
    <t>AYER MAWANG</t>
  </si>
  <si>
    <t>M</t>
  </si>
  <si>
    <t>C</t>
  </si>
  <si>
    <t>I</t>
  </si>
  <si>
    <t>O</t>
  </si>
  <si>
    <t>#</t>
  </si>
  <si>
    <t>M%</t>
  </si>
  <si>
    <t>C%</t>
  </si>
  <si>
    <t>I%</t>
  </si>
  <si>
    <t>O%</t>
  </si>
  <si>
    <t>Avg Age</t>
  </si>
  <si>
    <t>JUMLAH POS</t>
  </si>
  <si>
    <t>PH Malay</t>
  </si>
  <si>
    <t>PN Malay</t>
  </si>
  <si>
    <t>BN Malay</t>
  </si>
  <si>
    <t>PH Chinese</t>
  </si>
  <si>
    <t>BN Chinese</t>
  </si>
  <si>
    <t>Turnout%</t>
  </si>
  <si>
    <t>UNDI AWAL</t>
  </si>
  <si>
    <t>N15</t>
  </si>
  <si>
    <t>Juasseh</t>
  </si>
  <si>
    <t>N16</t>
  </si>
  <si>
    <t>Seri Menanti</t>
  </si>
  <si>
    <t>N17</t>
  </si>
  <si>
    <t>Senaling</t>
  </si>
  <si>
    <t>N18</t>
  </si>
  <si>
    <t>Pilah</t>
  </si>
  <si>
    <t>N19</t>
  </si>
  <si>
    <t>Johol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</si>
</sst>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"/>
  </numFmts>
  <fonts count="12" x14ac:knownFonts="1">
    <font>
      <sz val="10"/>
      <color rgb="FF000000"/>
      <name val="Times New Roman"/>
      <charset val="204"/>
    </font>
    <font>
      <b/>
      <sz val="7"/>
      <name val="Arial"/>
      <family val="2"/>
    </font>
    <font>
      <sz val="6"/>
      <name val="Arial"/>
      <family val="2"/>
    </font>
    <font>
      <sz val="8"/>
      <color rgb="FF000000"/>
      <name val="Arial"/>
      <family val="2"/>
    </font>
    <font>
      <sz val="8"/>
      <name val="Arial"/>
      <family val="2"/>
    </font>
    <font>
      <sz val="12"/>
      <color rgb="FF000000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sz val="12"/>
      <color rgb="FF000000"/>
      <name val="Arial"/>
      <family val="2"/>
    </font>
    <font>
      <b/>
      <sz val="10"/>
      <name val="Arial"/>
      <family val="2"/>
    </font>
    <font>
      <sz val="10"/>
      <color rgb="FF000000"/>
      <name val="Times New Roman"/>
      <family val="1"/>
    </font>
    <font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EEEEEE"/>
      </patternFill>
    </fill>
    <fill>
      <patternFill patternType="solid">
        <fgColor rgb="FF92D050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0" fillId="0" borderId="0" applyFont="0" applyFill="0" applyBorder="0" applyAlignment="0" applyProtection="0"/>
  </cellStyleXfs>
  <cellXfs count="105">
    <xf numFmtId="0" fontId="0" fillId="0" borderId="0" xfId="0" applyAlignment="1">
      <alignment horizontal="left" vertical="top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center" wrapText="1"/>
    </xf>
    <xf numFmtId="1" fontId="3" fillId="0" borderId="1" xfId="0" applyNumberFormat="1" applyFont="1" applyBorder="1" applyAlignment="1">
      <alignment horizontal="left" vertical="top" indent="1" shrinkToFit="1"/>
    </xf>
    <xf numFmtId="0" fontId="4" fillId="0" borderId="1" xfId="0" applyFont="1" applyBorder="1" applyAlignment="1">
      <alignment horizontal="center" vertical="top" wrapText="1"/>
    </xf>
    <xf numFmtId="3" fontId="5" fillId="0" borderId="1" xfId="0" applyNumberFormat="1" applyFont="1" applyBorder="1" applyAlignment="1">
      <alignment horizontal="center" vertical="top" shrinkToFit="1"/>
    </xf>
    <xf numFmtId="1" fontId="5" fillId="0" borderId="1" xfId="0" applyNumberFormat="1" applyFont="1" applyBorder="1" applyAlignment="1">
      <alignment horizontal="center" vertical="top" shrinkToFit="1"/>
    </xf>
    <xf numFmtId="3" fontId="5" fillId="2" borderId="1" xfId="0" applyNumberFormat="1" applyFont="1" applyFill="1" applyBorder="1" applyAlignment="1">
      <alignment horizontal="center" vertical="top" shrinkToFit="1"/>
    </xf>
    <xf numFmtId="1" fontId="5" fillId="0" borderId="1" xfId="0" applyNumberFormat="1" applyFont="1" applyBorder="1" applyAlignment="1">
      <alignment horizontal="right" vertical="top" indent="2" shrinkToFit="1"/>
    </xf>
    <xf numFmtId="1" fontId="5" fillId="2" borderId="1" xfId="0" applyNumberFormat="1" applyFont="1" applyFill="1" applyBorder="1" applyAlignment="1">
      <alignment horizontal="center" vertical="top" shrinkToFit="1"/>
    </xf>
    <xf numFmtId="0" fontId="4" fillId="0" borderId="1" xfId="0" applyFont="1" applyBorder="1" applyAlignment="1">
      <alignment horizontal="left" vertical="center" wrapText="1" indent="2"/>
    </xf>
    <xf numFmtId="1" fontId="5" fillId="0" borderId="1" xfId="0" applyNumberFormat="1" applyFont="1" applyBorder="1" applyAlignment="1">
      <alignment horizontal="right" vertical="center" indent="2" shrinkToFit="1"/>
    </xf>
    <xf numFmtId="1" fontId="5" fillId="0" borderId="1" xfId="0" applyNumberFormat="1" applyFont="1" applyBorder="1" applyAlignment="1">
      <alignment horizontal="center" vertical="center" shrinkToFit="1"/>
    </xf>
    <xf numFmtId="1" fontId="5" fillId="2" borderId="1" xfId="0" applyNumberFormat="1" applyFont="1" applyFill="1" applyBorder="1" applyAlignment="1">
      <alignment horizontal="center" vertical="center" shrinkToFit="1"/>
    </xf>
    <xf numFmtId="1" fontId="5" fillId="0" borderId="1" xfId="0" applyNumberFormat="1" applyFont="1" applyBorder="1" applyAlignment="1">
      <alignment horizontal="right" vertical="center" indent="3" shrinkToFit="1"/>
    </xf>
    <xf numFmtId="1" fontId="3" fillId="0" borderId="1" xfId="0" applyNumberFormat="1" applyFont="1" applyBorder="1" applyAlignment="1">
      <alignment horizontal="left" vertical="center" indent="1" shrinkToFit="1"/>
    </xf>
    <xf numFmtId="0" fontId="4" fillId="0" borderId="1" xfId="0" applyFont="1" applyBorder="1" applyAlignment="1">
      <alignment horizontal="left" vertical="top" wrapText="1" indent="2"/>
    </xf>
    <xf numFmtId="1" fontId="5" fillId="0" borderId="1" xfId="0" applyNumberFormat="1" applyFont="1" applyBorder="1" applyAlignment="1">
      <alignment horizontal="right" vertical="top" indent="3" shrinkToFit="1"/>
    </xf>
    <xf numFmtId="0" fontId="4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top" wrapText="1" indent="1"/>
    </xf>
    <xf numFmtId="1" fontId="5" fillId="0" borderId="1" xfId="0" applyNumberFormat="1" applyFont="1" applyBorder="1" applyAlignment="1">
      <alignment horizontal="left" vertical="top" indent="3" shrinkToFit="1"/>
    </xf>
    <xf numFmtId="1" fontId="5" fillId="0" borderId="1" xfId="0" applyNumberFormat="1" applyFont="1" applyBorder="1" applyAlignment="1">
      <alignment horizontal="left" vertical="top" indent="2" shrinkToFit="1"/>
    </xf>
    <xf numFmtId="0" fontId="4" fillId="0" borderId="1" xfId="0" applyFont="1" applyBorder="1" applyAlignment="1">
      <alignment horizontal="left" vertical="center" wrapText="1" indent="1"/>
    </xf>
    <xf numFmtId="1" fontId="3" fillId="0" borderId="1" xfId="0" applyNumberFormat="1" applyFont="1" applyBorder="1" applyAlignment="1">
      <alignment horizontal="center" vertical="top" shrinkToFit="1"/>
    </xf>
    <xf numFmtId="1" fontId="5" fillId="2" borderId="1" xfId="0" applyNumberFormat="1" applyFont="1" applyFill="1" applyBorder="1" applyAlignment="1">
      <alignment horizontal="right" vertical="top" indent="2" shrinkToFit="1"/>
    </xf>
    <xf numFmtId="1" fontId="5" fillId="2" borderId="1" xfId="0" applyNumberFormat="1" applyFont="1" applyFill="1" applyBorder="1" applyAlignment="1">
      <alignment horizontal="right" vertical="center" indent="2" shrinkToFit="1"/>
    </xf>
    <xf numFmtId="1" fontId="5" fillId="0" borderId="1" xfId="0" applyNumberFormat="1" applyFont="1" applyBorder="1" applyAlignment="1">
      <alignment horizontal="left" vertical="center" indent="3" shrinkToFit="1"/>
    </xf>
    <xf numFmtId="1" fontId="8" fillId="2" borderId="1" xfId="0" applyNumberFormat="1" applyFont="1" applyFill="1" applyBorder="1" applyAlignment="1">
      <alignment horizontal="center" vertical="top" shrinkToFit="1"/>
    </xf>
    <xf numFmtId="3" fontId="8" fillId="2" borderId="1" xfId="0" applyNumberFormat="1" applyFont="1" applyFill="1" applyBorder="1" applyAlignment="1">
      <alignment horizontal="center" vertical="top" shrinkToFit="1"/>
    </xf>
    <xf numFmtId="0" fontId="0" fillId="0" borderId="8" xfId="0" applyBorder="1" applyAlignment="1">
      <alignment horizontal="left" vertical="top"/>
    </xf>
    <xf numFmtId="164" fontId="0" fillId="0" borderId="8" xfId="1" applyNumberFormat="1" applyFont="1" applyBorder="1" applyAlignment="1">
      <alignment horizontal="left" vertical="top"/>
    </xf>
    <xf numFmtId="0" fontId="0" fillId="0" borderId="8" xfId="0" applyBorder="1"/>
    <xf numFmtId="165" fontId="0" fillId="0" borderId="8" xfId="0" applyNumberFormat="1" applyBorder="1"/>
    <xf numFmtId="165" fontId="0" fillId="0" borderId="0" xfId="0" applyNumberFormat="1" applyAlignment="1">
      <alignment horizontal="left" vertical="top"/>
    </xf>
    <xf numFmtId="164" fontId="0" fillId="0" borderId="8" xfId="1" applyNumberFormat="1" applyFont="1" applyBorder="1"/>
    <xf numFmtId="165" fontId="0" fillId="0" borderId="8" xfId="0" applyNumberFormat="1" applyBorder="1" applyAlignment="1">
      <alignment horizontal="left" vertical="top"/>
    </xf>
    <xf numFmtId="0" fontId="10" fillId="0" borderId="0" xfId="0" applyFont="1" applyAlignment="1">
      <alignment horizontal="left" vertical="top"/>
    </xf>
    <xf numFmtId="0" fontId="10" fillId="0" borderId="8" xfId="0" applyFont="1" applyBorder="1" applyAlignment="1">
      <alignment horizontal="left" vertical="top"/>
    </xf>
    <xf numFmtId="164" fontId="0" fillId="0" borderId="0" xfId="1" applyNumberFormat="1" applyFont="1" applyAlignment="1">
      <alignment horizontal="left" vertical="top"/>
    </xf>
    <xf numFmtId="0" fontId="0" fillId="3" borderId="8" xfId="0" applyFill="1" applyBorder="1" applyAlignment="1">
      <alignment horizontal="left" vertical="top"/>
    </xf>
    <xf numFmtId="164" fontId="0" fillId="3" borderId="8" xfId="1" applyNumberFormat="1" applyFont="1" applyFill="1" applyBorder="1" applyAlignment="1">
      <alignment horizontal="left" vertical="top"/>
    </xf>
    <xf numFmtId="0" fontId="0" fillId="3" borderId="8" xfId="0" applyFill="1" applyBorder="1"/>
    <xf numFmtId="164" fontId="0" fillId="3" borderId="8" xfId="1" applyNumberFormat="1" applyFont="1" applyFill="1" applyBorder="1"/>
    <xf numFmtId="165" fontId="0" fillId="3" borderId="8" xfId="0" applyNumberFormat="1" applyFill="1" applyBorder="1"/>
    <xf numFmtId="0" fontId="0" fillId="3" borderId="0" xfId="0" applyFill="1" applyAlignment="1">
      <alignment horizontal="left" vertical="top"/>
    </xf>
    <xf numFmtId="0" fontId="0" fillId="2" borderId="2" xfId="0" applyFill="1" applyBorder="1" applyAlignment="1">
      <alignment horizontal="left" vertical="top" wrapText="1"/>
    </xf>
    <xf numFmtId="0" fontId="0" fillId="2" borderId="3" xfId="0" applyFill="1" applyBorder="1" applyAlignment="1">
      <alignment horizontal="left" vertical="top" wrapText="1"/>
    </xf>
    <xf numFmtId="0" fontId="0" fillId="2" borderId="4" xfId="0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center" wrapText="1" indent="1"/>
    </xf>
    <xf numFmtId="0" fontId="1" fillId="2" borderId="6" xfId="0" applyFont="1" applyFill="1" applyBorder="1" applyAlignment="1">
      <alignment horizontal="left" vertical="center" wrapText="1" indent="1"/>
    </xf>
    <xf numFmtId="0" fontId="1" fillId="2" borderId="7" xfId="0" applyFont="1" applyFill="1" applyBorder="1" applyAlignment="1">
      <alignment horizontal="left" vertical="center" wrapText="1" indent="1"/>
    </xf>
    <xf numFmtId="0" fontId="1" fillId="2" borderId="5" xfId="0" applyFont="1" applyFill="1" applyBorder="1" applyAlignment="1">
      <alignment horizontal="center" vertical="top" wrapText="1"/>
    </xf>
    <xf numFmtId="0" fontId="1" fillId="2" borderId="6" xfId="0" applyFont="1" applyFill="1" applyBorder="1" applyAlignment="1">
      <alignment horizontal="center" vertical="top" wrapText="1"/>
    </xf>
    <xf numFmtId="0" fontId="1" fillId="2" borderId="7" xfId="0" applyFont="1" applyFill="1" applyBorder="1" applyAlignment="1">
      <alignment horizontal="center" vertical="top" wrapText="1"/>
    </xf>
    <xf numFmtId="0" fontId="0" fillId="2" borderId="5" xfId="0" applyFill="1" applyBorder="1" applyAlignment="1">
      <alignment horizontal="center" vertical="top" wrapText="1"/>
    </xf>
    <xf numFmtId="0" fontId="0" fillId="2" borderId="6" xfId="0" applyFill="1" applyBorder="1" applyAlignment="1">
      <alignment horizontal="center" vertical="top" wrapText="1"/>
    </xf>
    <xf numFmtId="0" fontId="0" fillId="2" borderId="7" xfId="0" applyFill="1" applyBorder="1" applyAlignment="1">
      <alignment horizontal="center" vertical="top" wrapText="1"/>
    </xf>
    <xf numFmtId="0" fontId="0" fillId="2" borderId="2" xfId="0" applyFill="1" applyBorder="1" applyAlignment="1">
      <alignment horizontal="center" vertical="top" wrapText="1"/>
    </xf>
    <xf numFmtId="0" fontId="0" fillId="2" borderId="3" xfId="0" applyFill="1" applyBorder="1" applyAlignment="1">
      <alignment horizontal="center" vertical="top" wrapText="1"/>
    </xf>
    <xf numFmtId="0" fontId="0" fillId="2" borderId="4" xfId="0" applyFill="1" applyBorder="1" applyAlignment="1">
      <alignment horizontal="center" vertical="top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top" wrapText="1"/>
    </xf>
    <xf numFmtId="0" fontId="4" fillId="0" borderId="4" xfId="0" applyFont="1" applyBorder="1" applyAlignment="1">
      <alignment horizontal="center" vertical="top" wrapText="1"/>
    </xf>
    <xf numFmtId="0" fontId="6" fillId="2" borderId="2" xfId="0" applyFont="1" applyFill="1" applyBorder="1" applyAlignment="1">
      <alignment horizontal="left" vertical="top" wrapText="1" indent="10"/>
    </xf>
    <xf numFmtId="0" fontId="6" fillId="2" borderId="3" xfId="0" applyFont="1" applyFill="1" applyBorder="1" applyAlignment="1">
      <alignment horizontal="left" vertical="top" wrapText="1" indent="10"/>
    </xf>
    <xf numFmtId="0" fontId="6" fillId="2" borderId="4" xfId="0" applyFont="1" applyFill="1" applyBorder="1" applyAlignment="1">
      <alignment horizontal="left" vertical="top" wrapText="1" indent="10"/>
    </xf>
    <xf numFmtId="1" fontId="3" fillId="0" borderId="5" xfId="0" applyNumberFormat="1" applyFont="1" applyBorder="1" applyAlignment="1">
      <alignment horizontal="center" vertical="center" shrinkToFit="1"/>
    </xf>
    <xf numFmtId="1" fontId="3" fillId="0" borderId="7" xfId="0" applyNumberFormat="1" applyFont="1" applyBorder="1" applyAlignment="1">
      <alignment horizontal="center" vertical="center" shrinkToFit="1"/>
    </xf>
    <xf numFmtId="0" fontId="4" fillId="0" borderId="5" xfId="0" applyFont="1" applyBorder="1" applyAlignment="1">
      <alignment horizontal="left" vertical="top" wrapText="1" indent="2"/>
    </xf>
    <xf numFmtId="0" fontId="4" fillId="0" borderId="7" xfId="0" applyFont="1" applyBorder="1" applyAlignment="1">
      <alignment horizontal="left" vertical="top" wrapText="1" indent="2"/>
    </xf>
    <xf numFmtId="0" fontId="4" fillId="0" borderId="5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" fontId="3" fillId="0" borderId="6" xfId="0" applyNumberFormat="1" applyFont="1" applyBorder="1" applyAlignment="1">
      <alignment horizontal="center" vertical="center" shrinkToFit="1"/>
    </xf>
    <xf numFmtId="0" fontId="4" fillId="0" borderId="5" xfId="0" applyFont="1" applyBorder="1" applyAlignment="1">
      <alignment horizontal="center" vertical="top" wrapText="1"/>
    </xf>
    <xf numFmtId="0" fontId="4" fillId="0" borderId="6" xfId="0" applyFont="1" applyBorder="1" applyAlignment="1">
      <alignment horizontal="center" vertical="top" wrapText="1"/>
    </xf>
    <xf numFmtId="0" fontId="4" fillId="0" borderId="7" xfId="0" applyFont="1" applyBorder="1" applyAlignment="1">
      <alignment horizontal="center" vertical="top" wrapText="1"/>
    </xf>
    <xf numFmtId="0" fontId="4" fillId="0" borderId="5" xfId="0" applyFont="1" applyBorder="1" applyAlignment="1">
      <alignment horizontal="left" vertical="center" wrapText="1"/>
    </xf>
    <xf numFmtId="0" fontId="4" fillId="0" borderId="6" xfId="0" applyFont="1" applyBorder="1" applyAlignment="1">
      <alignment horizontal="left" vertical="center" wrapText="1"/>
    </xf>
    <xf numFmtId="0" fontId="4" fillId="0" borderId="7" xfId="0" applyFont="1" applyBorder="1" applyAlignment="1">
      <alignment horizontal="left" vertical="center" wrapText="1"/>
    </xf>
    <xf numFmtId="0" fontId="4" fillId="0" borderId="5" xfId="0" applyFont="1" applyBorder="1" applyAlignment="1">
      <alignment horizontal="left" vertical="top" wrapText="1" indent="1"/>
    </xf>
    <xf numFmtId="0" fontId="4" fillId="0" borderId="7" xfId="0" applyFont="1" applyBorder="1" applyAlignment="1">
      <alignment horizontal="left" vertical="top" wrapText="1" indent="1"/>
    </xf>
    <xf numFmtId="1" fontId="3" fillId="0" borderId="5" xfId="0" applyNumberFormat="1" applyFont="1" applyBorder="1" applyAlignment="1">
      <alignment horizontal="left" vertical="center" indent="1" shrinkToFit="1"/>
    </xf>
    <xf numFmtId="1" fontId="3" fillId="0" borderId="7" xfId="0" applyNumberFormat="1" applyFont="1" applyBorder="1" applyAlignment="1">
      <alignment horizontal="left" vertical="center" indent="1" shrinkToFit="1"/>
    </xf>
    <xf numFmtId="1" fontId="3" fillId="0" borderId="6" xfId="0" applyNumberFormat="1" applyFont="1" applyBorder="1" applyAlignment="1">
      <alignment horizontal="left" vertical="center" indent="1" shrinkToFit="1"/>
    </xf>
    <xf numFmtId="0" fontId="0" fillId="0" borderId="5" xfId="0" applyBorder="1" applyAlignment="1">
      <alignment horizontal="center" vertical="top" wrapText="1"/>
    </xf>
    <xf numFmtId="0" fontId="0" fillId="0" borderId="6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4" fillId="0" borderId="5" xfId="0" applyFont="1" applyBorder="1" applyAlignment="1">
      <alignment horizontal="left" vertical="center" wrapText="1" indent="2"/>
    </xf>
    <xf numFmtId="0" fontId="4" fillId="0" borderId="6" xfId="0" applyFont="1" applyBorder="1" applyAlignment="1">
      <alignment horizontal="left" vertical="center" wrapText="1" indent="2"/>
    </xf>
    <xf numFmtId="0" fontId="4" fillId="0" borderId="7" xfId="0" applyFont="1" applyBorder="1" applyAlignment="1">
      <alignment horizontal="left" vertical="center" wrapText="1" indent="2"/>
    </xf>
    <xf numFmtId="0" fontId="4" fillId="0" borderId="6" xfId="0" applyFont="1" applyBorder="1" applyAlignment="1">
      <alignment horizontal="left" vertical="top" wrapText="1" indent="2"/>
    </xf>
    <xf numFmtId="0" fontId="4" fillId="0" borderId="5" xfId="0" applyFont="1" applyBorder="1" applyAlignment="1">
      <alignment horizontal="left" vertical="center" wrapText="1" indent="1"/>
    </xf>
    <xf numFmtId="0" fontId="4" fillId="0" borderId="6" xfId="0" applyFont="1" applyBorder="1" applyAlignment="1">
      <alignment horizontal="left" vertical="center" wrapText="1" indent="1"/>
    </xf>
    <xf numFmtId="0" fontId="4" fillId="0" borderId="7" xfId="0" applyFont="1" applyBorder="1" applyAlignment="1">
      <alignment horizontal="left" vertical="center" wrapText="1" indent="1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top" wrapText="1"/>
    </xf>
    <xf numFmtId="0" fontId="7" fillId="2" borderId="3" xfId="0" applyFont="1" applyFill="1" applyBorder="1" applyAlignment="1">
      <alignment horizontal="center" vertical="top" wrapText="1"/>
    </xf>
    <xf numFmtId="0" fontId="7" fillId="2" borderId="4" xfId="0" applyFont="1" applyFill="1" applyBorder="1" applyAlignment="1">
      <alignment horizontal="center" vertical="top" wrapText="1"/>
    </xf>
    <xf numFmtId="0" fontId="11" fillId="0" borderId="8" xfId="0" applyFont="1" applyBorder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PH% vs Malay% P129 Kuala Pilah</c:v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2.6548556430446194E-2"/>
                  <c:y val="-0.38954068241469814"/>
                </c:manualLayout>
              </c:layout>
              <c:numFmt formatCode="General" sourceLinked="0"/>
              <c:spPr>
                <a:solidFill>
                  <a:schemeClr val="bg1">
                    <a:lumMod val="7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RaceWorksheet!$K$2:$K$169</c:f>
              <c:numCache>
                <c:formatCode>0.0%</c:formatCode>
                <c:ptCount val="168"/>
                <c:pt idx="0">
                  <c:v>0.80333333333333334</c:v>
                </c:pt>
                <c:pt idx="1">
                  <c:v>0.69819819819819817</c:v>
                </c:pt>
                <c:pt idx="2">
                  <c:v>0.995</c:v>
                </c:pt>
                <c:pt idx="3">
                  <c:v>1</c:v>
                </c:pt>
                <c:pt idx="4">
                  <c:v>1</c:v>
                </c:pt>
                <c:pt idx="5">
                  <c:v>0.97199999999999998</c:v>
                </c:pt>
                <c:pt idx="6">
                  <c:v>0.99413489736070382</c:v>
                </c:pt>
                <c:pt idx="7">
                  <c:v>0.99707602339181289</c:v>
                </c:pt>
                <c:pt idx="8">
                  <c:v>1</c:v>
                </c:pt>
                <c:pt idx="9">
                  <c:v>0.99715909090909094</c:v>
                </c:pt>
                <c:pt idx="10">
                  <c:v>0.94</c:v>
                </c:pt>
                <c:pt idx="11">
                  <c:v>0.97699386503067487</c:v>
                </c:pt>
                <c:pt idx="12">
                  <c:v>0.28157894736842104</c:v>
                </c:pt>
                <c:pt idx="13">
                  <c:v>0.34473684210526317</c:v>
                </c:pt>
                <c:pt idx="14">
                  <c:v>0.33333333333333331</c:v>
                </c:pt>
                <c:pt idx="15">
                  <c:v>0.45036764705882354</c:v>
                </c:pt>
                <c:pt idx="16">
                  <c:v>0.59742647058823528</c:v>
                </c:pt>
                <c:pt idx="17">
                  <c:v>0.995</c:v>
                </c:pt>
                <c:pt idx="18">
                  <c:v>0.99739583333333337</c:v>
                </c:pt>
                <c:pt idx="19">
                  <c:v>0.74285714285714288</c:v>
                </c:pt>
                <c:pt idx="20">
                  <c:v>0.67428571428571427</c:v>
                </c:pt>
                <c:pt idx="21">
                  <c:v>0.72580645161290325</c:v>
                </c:pt>
                <c:pt idx="22">
                  <c:v>0.7857142857142857</c:v>
                </c:pt>
                <c:pt idx="23">
                  <c:v>0.80689655172413788</c:v>
                </c:pt>
                <c:pt idx="24">
                  <c:v>0.97</c:v>
                </c:pt>
                <c:pt idx="25">
                  <c:v>0.98666666666666669</c:v>
                </c:pt>
                <c:pt idx="26">
                  <c:v>0.97959183673469385</c:v>
                </c:pt>
                <c:pt idx="27">
                  <c:v>0.98571428571428577</c:v>
                </c:pt>
                <c:pt idx="28">
                  <c:v>0.98571428571428577</c:v>
                </c:pt>
                <c:pt idx="29">
                  <c:v>0.98571428571428577</c:v>
                </c:pt>
                <c:pt idx="30">
                  <c:v>0.7142857142857143</c:v>
                </c:pt>
                <c:pt idx="31">
                  <c:v>0.7857142857142857</c:v>
                </c:pt>
                <c:pt idx="32">
                  <c:v>0.78813559322033899</c:v>
                </c:pt>
                <c:pt idx="33">
                  <c:v>0.8771186440677966</c:v>
                </c:pt>
                <c:pt idx="34">
                  <c:v>0.26682692307692307</c:v>
                </c:pt>
                <c:pt idx="35">
                  <c:v>0.98285714285714287</c:v>
                </c:pt>
                <c:pt idx="36">
                  <c:v>0.99574468085106382</c:v>
                </c:pt>
                <c:pt idx="37">
                  <c:v>0.97142857142857142</c:v>
                </c:pt>
                <c:pt idx="38">
                  <c:v>0.96</c:v>
                </c:pt>
                <c:pt idx="39">
                  <c:v>0.95876288659793818</c:v>
                </c:pt>
                <c:pt idx="40">
                  <c:v>0.97319587628865978</c:v>
                </c:pt>
                <c:pt idx="41">
                  <c:v>1</c:v>
                </c:pt>
                <c:pt idx="42">
                  <c:v>1</c:v>
                </c:pt>
                <c:pt idx="43">
                  <c:v>0.9941860465116279</c:v>
                </c:pt>
                <c:pt idx="44">
                  <c:v>0.9826086956521739</c:v>
                </c:pt>
                <c:pt idx="45">
                  <c:v>0.99712643678160917</c:v>
                </c:pt>
                <c:pt idx="46">
                  <c:v>0.99425287356321834</c:v>
                </c:pt>
                <c:pt idx="47">
                  <c:v>0.92571428571428571</c:v>
                </c:pt>
                <c:pt idx="48">
                  <c:v>0.98440545808966862</c:v>
                </c:pt>
                <c:pt idx="49">
                  <c:v>0.99199999999999999</c:v>
                </c:pt>
                <c:pt idx="50">
                  <c:v>0.99719887955182074</c:v>
                </c:pt>
                <c:pt idx="51">
                  <c:v>0.76021798365122617</c:v>
                </c:pt>
                <c:pt idx="52">
                  <c:v>0.89858490566037741</c:v>
                </c:pt>
                <c:pt idx="53">
                  <c:v>0.91745283018867929</c:v>
                </c:pt>
                <c:pt idx="54">
                  <c:v>1</c:v>
                </c:pt>
                <c:pt idx="55">
                  <c:v>1</c:v>
                </c:pt>
                <c:pt idx="56">
                  <c:v>0.99641577060931896</c:v>
                </c:pt>
                <c:pt idx="57">
                  <c:v>0.90333333333333332</c:v>
                </c:pt>
                <c:pt idx="58">
                  <c:v>0.96502057613168724</c:v>
                </c:pt>
                <c:pt idx="59">
                  <c:v>0.99748743718592969</c:v>
                </c:pt>
                <c:pt idx="60">
                  <c:v>0.995</c:v>
                </c:pt>
                <c:pt idx="61">
                  <c:v>1</c:v>
                </c:pt>
                <c:pt idx="62">
                  <c:v>0.82800982800982803</c:v>
                </c:pt>
                <c:pt idx="63">
                  <c:v>0.99</c:v>
                </c:pt>
                <c:pt idx="64">
                  <c:v>1</c:v>
                </c:pt>
                <c:pt idx="65">
                  <c:v>0.9978813559322034</c:v>
                </c:pt>
                <c:pt idx="66">
                  <c:v>0.99364406779661019</c:v>
                </c:pt>
                <c:pt idx="67">
                  <c:v>0.99576271186440679</c:v>
                </c:pt>
                <c:pt idx="68">
                  <c:v>0.99044585987261147</c:v>
                </c:pt>
                <c:pt idx="69">
                  <c:v>0.99475065616797897</c:v>
                </c:pt>
                <c:pt idx="70">
                  <c:v>0.99737532808398954</c:v>
                </c:pt>
                <c:pt idx="71">
                  <c:v>0.99142857142857144</c:v>
                </c:pt>
                <c:pt idx="72">
                  <c:v>0.99182004089979547</c:v>
                </c:pt>
                <c:pt idx="73">
                  <c:v>0.99386503067484666</c:v>
                </c:pt>
                <c:pt idx="74">
                  <c:v>0.51600000000000001</c:v>
                </c:pt>
                <c:pt idx="75">
                  <c:v>0.496</c:v>
                </c:pt>
                <c:pt idx="76">
                  <c:v>0.7303370786516854</c:v>
                </c:pt>
                <c:pt idx="77">
                  <c:v>0.8117977528089888</c:v>
                </c:pt>
                <c:pt idx="78">
                  <c:v>0.88515406162464982</c:v>
                </c:pt>
                <c:pt idx="79">
                  <c:v>0.78172588832487311</c:v>
                </c:pt>
                <c:pt idx="80">
                  <c:v>0.28499999999999998</c:v>
                </c:pt>
                <c:pt idx="81">
                  <c:v>0.38</c:v>
                </c:pt>
                <c:pt idx="82">
                  <c:v>0.4420289855072464</c:v>
                </c:pt>
                <c:pt idx="83">
                  <c:v>0.58122743682310474</c:v>
                </c:pt>
                <c:pt idx="84">
                  <c:v>0.50541516245487361</c:v>
                </c:pt>
                <c:pt idx="85">
                  <c:v>0.25</c:v>
                </c:pt>
                <c:pt idx="86">
                  <c:v>0.50836120401337792</c:v>
                </c:pt>
                <c:pt idx="87">
                  <c:v>0.67317073170731712</c:v>
                </c:pt>
                <c:pt idx="88">
                  <c:v>0.63902439024390245</c:v>
                </c:pt>
                <c:pt idx="89">
                  <c:v>0.7737003058103975</c:v>
                </c:pt>
                <c:pt idx="90">
                  <c:v>0.81097560975609762</c:v>
                </c:pt>
                <c:pt idx="91">
                  <c:v>0.89939024390243905</c:v>
                </c:pt>
                <c:pt idx="92">
                  <c:v>0.93043478260869561</c:v>
                </c:pt>
                <c:pt idx="93">
                  <c:v>0.90909090909090906</c:v>
                </c:pt>
                <c:pt idx="94">
                  <c:v>0.96875</c:v>
                </c:pt>
                <c:pt idx="95">
                  <c:v>0.95454545454545459</c:v>
                </c:pt>
                <c:pt idx="96">
                  <c:v>0.90909090909090906</c:v>
                </c:pt>
                <c:pt idx="97">
                  <c:v>0.97499999999999998</c:v>
                </c:pt>
                <c:pt idx="98">
                  <c:v>0.97499999999999998</c:v>
                </c:pt>
                <c:pt idx="99">
                  <c:v>0.96296296296296291</c:v>
                </c:pt>
                <c:pt idx="100">
                  <c:v>0.97089947089947093</c:v>
                </c:pt>
                <c:pt idx="101">
                  <c:v>0.48399999999999999</c:v>
                </c:pt>
                <c:pt idx="102">
                  <c:v>0.48</c:v>
                </c:pt>
                <c:pt idx="103">
                  <c:v>0.42924528301886794</c:v>
                </c:pt>
                <c:pt idx="104">
                  <c:v>0.41647058823529409</c:v>
                </c:pt>
                <c:pt idx="105">
                  <c:v>0.49882352941176472</c:v>
                </c:pt>
                <c:pt idx="106">
                  <c:v>0.14399999999999999</c:v>
                </c:pt>
                <c:pt idx="107">
                  <c:v>0.34399999999999997</c:v>
                </c:pt>
                <c:pt idx="108">
                  <c:v>0.40988372093023256</c:v>
                </c:pt>
                <c:pt idx="109">
                  <c:v>0.84656084656084651</c:v>
                </c:pt>
                <c:pt idx="110">
                  <c:v>0.4022222222222222</c:v>
                </c:pt>
                <c:pt idx="111">
                  <c:v>0.46444444444444444</c:v>
                </c:pt>
                <c:pt idx="112">
                  <c:v>0.47111111111111109</c:v>
                </c:pt>
                <c:pt idx="113">
                  <c:v>0.49568965517241381</c:v>
                </c:pt>
                <c:pt idx="114">
                  <c:v>0.45767575322812054</c:v>
                </c:pt>
                <c:pt idx="115">
                  <c:v>0.54949784791965561</c:v>
                </c:pt>
                <c:pt idx="116">
                  <c:v>0.56671449067431856</c:v>
                </c:pt>
                <c:pt idx="117">
                  <c:v>0.64992826398852221</c:v>
                </c:pt>
                <c:pt idx="118">
                  <c:v>0.70875179340028693</c:v>
                </c:pt>
                <c:pt idx="119">
                  <c:v>5.0000000000000001E-3</c:v>
                </c:pt>
                <c:pt idx="120">
                  <c:v>8.8495575221238937E-3</c:v>
                </c:pt>
                <c:pt idx="121">
                  <c:v>0.67889908256880738</c:v>
                </c:pt>
                <c:pt idx="122">
                  <c:v>0.45500000000000002</c:v>
                </c:pt>
                <c:pt idx="123">
                  <c:v>0.53</c:v>
                </c:pt>
                <c:pt idx="124">
                  <c:v>0.65728900255754474</c:v>
                </c:pt>
                <c:pt idx="125">
                  <c:v>0.88010204081632648</c:v>
                </c:pt>
                <c:pt idx="126">
                  <c:v>0.8342857142857143</c:v>
                </c:pt>
                <c:pt idx="127">
                  <c:v>0.76571428571428568</c:v>
                </c:pt>
                <c:pt idx="128">
                  <c:v>0.6804835924006909</c:v>
                </c:pt>
                <c:pt idx="129">
                  <c:v>0.71675302245250427</c:v>
                </c:pt>
                <c:pt idx="130">
                  <c:v>0.70344827586206893</c:v>
                </c:pt>
                <c:pt idx="131">
                  <c:v>0.67413793103448272</c:v>
                </c:pt>
                <c:pt idx="132">
                  <c:v>1</c:v>
                </c:pt>
                <c:pt idx="133">
                  <c:v>0.99734748010610075</c:v>
                </c:pt>
                <c:pt idx="134">
                  <c:v>0.99369085173501581</c:v>
                </c:pt>
                <c:pt idx="135">
                  <c:v>0.99101796407185627</c:v>
                </c:pt>
                <c:pt idx="136">
                  <c:v>0.9970149253731343</c:v>
                </c:pt>
                <c:pt idx="137">
                  <c:v>0.98333333333333328</c:v>
                </c:pt>
                <c:pt idx="138">
                  <c:v>0.94074074074074077</c:v>
                </c:pt>
                <c:pt idx="139">
                  <c:v>0.94814814814814818</c:v>
                </c:pt>
                <c:pt idx="140">
                  <c:v>0.44800000000000001</c:v>
                </c:pt>
                <c:pt idx="141">
                  <c:v>0.67263427109974427</c:v>
                </c:pt>
                <c:pt idx="142">
                  <c:v>0.21142857142857144</c:v>
                </c:pt>
                <c:pt idx="143">
                  <c:v>0.30571428571428572</c:v>
                </c:pt>
                <c:pt idx="144">
                  <c:v>0.29677419354838708</c:v>
                </c:pt>
                <c:pt idx="145">
                  <c:v>0.38709677419354838</c:v>
                </c:pt>
                <c:pt idx="146">
                  <c:v>0.5971428571428572</c:v>
                </c:pt>
                <c:pt idx="147">
                  <c:v>0.53378378378378377</c:v>
                </c:pt>
                <c:pt idx="148">
                  <c:v>0.70337078651685392</c:v>
                </c:pt>
                <c:pt idx="149">
                  <c:v>0.797752808988764</c:v>
                </c:pt>
                <c:pt idx="150">
                  <c:v>0.9028571428571428</c:v>
                </c:pt>
                <c:pt idx="151">
                  <c:v>0.89714285714285713</c:v>
                </c:pt>
                <c:pt idx="152">
                  <c:v>0.87164750957854409</c:v>
                </c:pt>
                <c:pt idx="153">
                  <c:v>0.93499043977055452</c:v>
                </c:pt>
                <c:pt idx="154">
                  <c:v>0.91408934707903777</c:v>
                </c:pt>
                <c:pt idx="155">
                  <c:v>0.29499999999999998</c:v>
                </c:pt>
                <c:pt idx="156">
                  <c:v>0.5768194070080862</c:v>
                </c:pt>
                <c:pt idx="157">
                  <c:v>0.954983922829582</c:v>
                </c:pt>
                <c:pt idx="158">
                  <c:v>0.93689320388349517</c:v>
                </c:pt>
                <c:pt idx="159">
                  <c:v>0.95641646489104115</c:v>
                </c:pt>
                <c:pt idx="160">
                  <c:v>0.96193771626297575</c:v>
                </c:pt>
                <c:pt idx="161">
                  <c:v>0.94373401534526857</c:v>
                </c:pt>
                <c:pt idx="162">
                  <c:v>0.96419437340153458</c:v>
                </c:pt>
                <c:pt idx="163">
                  <c:v>0.72571428571428576</c:v>
                </c:pt>
                <c:pt idx="164">
                  <c:v>0.73142857142857143</c:v>
                </c:pt>
                <c:pt idx="165">
                  <c:v>0.77351916376306618</c:v>
                </c:pt>
                <c:pt idx="166">
                  <c:v>0.83449477351916379</c:v>
                </c:pt>
                <c:pt idx="167">
                  <c:v>0.8571428571428571</c:v>
                </c:pt>
              </c:numCache>
            </c:numRef>
          </c:xVal>
          <c:yVal>
            <c:numRef>
              <c:f>RaceWorksheet!$A$2:$A$169</c:f>
              <c:numCache>
                <c:formatCode>0.0%</c:formatCode>
                <c:ptCount val="168"/>
                <c:pt idx="0">
                  <c:v>0.14693877551020409</c:v>
                </c:pt>
                <c:pt idx="1">
                  <c:v>0.12903225806451613</c:v>
                </c:pt>
                <c:pt idx="2">
                  <c:v>0.17647058823529413</c:v>
                </c:pt>
                <c:pt idx="3">
                  <c:v>0.15348837209302327</c:v>
                </c:pt>
                <c:pt idx="4">
                  <c:v>0.13461538461538461</c:v>
                </c:pt>
                <c:pt idx="5">
                  <c:v>0.17204301075268819</c:v>
                </c:pt>
                <c:pt idx="6">
                  <c:v>0.16728624535315986</c:v>
                </c:pt>
                <c:pt idx="7">
                  <c:v>0.14748201438848921</c:v>
                </c:pt>
                <c:pt idx="8">
                  <c:v>0.14754098360655737</c:v>
                </c:pt>
                <c:pt idx="9">
                  <c:v>0.15467625899280577</c:v>
                </c:pt>
                <c:pt idx="10">
                  <c:v>0.22191780821917809</c:v>
                </c:pt>
                <c:pt idx="11">
                  <c:v>0.19066147859922178</c:v>
                </c:pt>
                <c:pt idx="12">
                  <c:v>0.59507042253521125</c:v>
                </c:pt>
                <c:pt idx="13">
                  <c:v>0.53398058252427183</c:v>
                </c:pt>
                <c:pt idx="14">
                  <c:v>0.59842519685039375</c:v>
                </c:pt>
                <c:pt idx="15">
                  <c:v>0.53150684931506853</c:v>
                </c:pt>
                <c:pt idx="16">
                  <c:v>0.4642857142857143</c:v>
                </c:pt>
                <c:pt idx="17">
                  <c:v>0.24840764331210191</c:v>
                </c:pt>
                <c:pt idx="18">
                  <c:v>0.28482972136222912</c:v>
                </c:pt>
                <c:pt idx="19">
                  <c:v>0.38372093023255816</c:v>
                </c:pt>
                <c:pt idx="20">
                  <c:v>0.47535211267605632</c:v>
                </c:pt>
                <c:pt idx="21">
                  <c:v>0.41269841269841268</c:v>
                </c:pt>
                <c:pt idx="22">
                  <c:v>0.41993957703927492</c:v>
                </c:pt>
                <c:pt idx="23">
                  <c:v>0.43695014662756598</c:v>
                </c:pt>
                <c:pt idx="24">
                  <c:v>0.20398009950248755</c:v>
                </c:pt>
                <c:pt idx="25">
                  <c:v>0.20481927710843373</c:v>
                </c:pt>
                <c:pt idx="26">
                  <c:v>0.20209973753280841</c:v>
                </c:pt>
                <c:pt idx="27">
                  <c:v>0.14647887323943662</c:v>
                </c:pt>
                <c:pt idx="28">
                  <c:v>0.15342465753424658</c:v>
                </c:pt>
                <c:pt idx="29">
                  <c:v>0.23486682808716708</c:v>
                </c:pt>
                <c:pt idx="30">
                  <c:v>0.32669322709163345</c:v>
                </c:pt>
                <c:pt idx="31">
                  <c:v>0.30612244897959184</c:v>
                </c:pt>
                <c:pt idx="32">
                  <c:v>0.31843575418994413</c:v>
                </c:pt>
                <c:pt idx="33">
                  <c:v>0.27731092436974791</c:v>
                </c:pt>
                <c:pt idx="34">
                  <c:v>0.15835777126099707</c:v>
                </c:pt>
                <c:pt idx="35">
                  <c:v>0.17204301075268819</c:v>
                </c:pt>
                <c:pt idx="36">
                  <c:v>0.16010498687664043</c:v>
                </c:pt>
                <c:pt idx="37">
                  <c:v>0.20463320463320464</c:v>
                </c:pt>
                <c:pt idx="38">
                  <c:v>0.1864406779661017</c:v>
                </c:pt>
                <c:pt idx="39">
                  <c:v>0.15762273901808785</c:v>
                </c:pt>
                <c:pt idx="40">
                  <c:v>0.19261213720316622</c:v>
                </c:pt>
                <c:pt idx="41">
                  <c:v>0.22093023255813954</c:v>
                </c:pt>
                <c:pt idx="42">
                  <c:v>0.24</c:v>
                </c:pt>
                <c:pt idx="43">
                  <c:v>0.19587628865979381</c:v>
                </c:pt>
                <c:pt idx="44">
                  <c:v>0.1497005988023952</c:v>
                </c:pt>
                <c:pt idx="45">
                  <c:v>0.24372759856630824</c:v>
                </c:pt>
                <c:pt idx="46">
                  <c:v>0.21818181818181817</c:v>
                </c:pt>
                <c:pt idx="47">
                  <c:v>0.2608695652173913</c:v>
                </c:pt>
                <c:pt idx="48">
                  <c:v>0.18320610687022901</c:v>
                </c:pt>
                <c:pt idx="49">
                  <c:v>0.16759776536312848</c:v>
                </c:pt>
                <c:pt idx="50">
                  <c:v>0.23344947735191637</c:v>
                </c:pt>
                <c:pt idx="51">
                  <c:v>0.29707112970711297</c:v>
                </c:pt>
                <c:pt idx="52">
                  <c:v>0.27156549520766771</c:v>
                </c:pt>
                <c:pt idx="53">
                  <c:v>0.20569620253164558</c:v>
                </c:pt>
                <c:pt idx="54">
                  <c:v>0.17586206896551723</c:v>
                </c:pt>
                <c:pt idx="55">
                  <c:v>0.2818181818181818</c:v>
                </c:pt>
                <c:pt idx="56">
                  <c:v>0.15789473684210525</c:v>
                </c:pt>
                <c:pt idx="57">
                  <c:v>0.25728155339805825</c:v>
                </c:pt>
                <c:pt idx="58">
                  <c:v>0.22764227642276422</c:v>
                </c:pt>
                <c:pt idx="59">
                  <c:v>0.23487544483985764</c:v>
                </c:pt>
                <c:pt idx="60">
                  <c:v>0.18831168831168832</c:v>
                </c:pt>
                <c:pt idx="61">
                  <c:v>0.19298245614035087</c:v>
                </c:pt>
                <c:pt idx="62">
                  <c:v>0.33544303797468356</c:v>
                </c:pt>
                <c:pt idx="63">
                  <c:v>7.2243346007604556E-2</c:v>
                </c:pt>
                <c:pt idx="64">
                  <c:v>7.6045627376425853E-2</c:v>
                </c:pt>
                <c:pt idx="65">
                  <c:v>3.5422343324250684E-2</c:v>
                </c:pt>
                <c:pt idx="66">
                  <c:v>7.407407407407407E-2</c:v>
                </c:pt>
                <c:pt idx="67">
                  <c:v>8.3769633507853408E-2</c:v>
                </c:pt>
                <c:pt idx="68">
                  <c:v>0.13445378151260504</c:v>
                </c:pt>
                <c:pt idx="69">
                  <c:v>0.15384615384615385</c:v>
                </c:pt>
                <c:pt idx="70">
                  <c:v>0.14285714285714285</c:v>
                </c:pt>
                <c:pt idx="71">
                  <c:v>0.16296296296296298</c:v>
                </c:pt>
                <c:pt idx="72">
                  <c:v>0.14936708860759493</c:v>
                </c:pt>
                <c:pt idx="73">
                  <c:v>0.13802083333333334</c:v>
                </c:pt>
                <c:pt idx="74">
                  <c:v>0.46875</c:v>
                </c:pt>
                <c:pt idx="75">
                  <c:v>0.53201970443349755</c:v>
                </c:pt>
                <c:pt idx="76">
                  <c:v>0.37275985663082439</c:v>
                </c:pt>
                <c:pt idx="77">
                  <c:v>0.33079847908745247</c:v>
                </c:pt>
                <c:pt idx="78">
                  <c:v>0.23773584905660378</c:v>
                </c:pt>
                <c:pt idx="79">
                  <c:v>0.31205673758865249</c:v>
                </c:pt>
                <c:pt idx="80">
                  <c:v>0.59649122807017541</c:v>
                </c:pt>
                <c:pt idx="81">
                  <c:v>0.50993377483443714</c:v>
                </c:pt>
                <c:pt idx="82">
                  <c:v>0.50476190476190474</c:v>
                </c:pt>
                <c:pt idx="83">
                  <c:v>0.47783251231527096</c:v>
                </c:pt>
                <c:pt idx="84">
                  <c:v>0.54591836734693877</c:v>
                </c:pt>
                <c:pt idx="85">
                  <c:v>0.70161290322580649</c:v>
                </c:pt>
                <c:pt idx="86">
                  <c:v>0.57826086956521738</c:v>
                </c:pt>
                <c:pt idx="87">
                  <c:v>0.31782945736434109</c:v>
                </c:pt>
                <c:pt idx="88">
                  <c:v>0.40697674418604651</c:v>
                </c:pt>
                <c:pt idx="89">
                  <c:v>0.29599999999999999</c:v>
                </c:pt>
                <c:pt idx="90">
                  <c:v>0.33189655172413796</c:v>
                </c:pt>
                <c:pt idx="91">
                  <c:v>0.2648221343873518</c:v>
                </c:pt>
                <c:pt idx="92">
                  <c:v>0.20945945945945946</c:v>
                </c:pt>
                <c:pt idx="93">
                  <c:v>0.23118279569892472</c:v>
                </c:pt>
                <c:pt idx="94">
                  <c:v>0.20848056537102475</c:v>
                </c:pt>
                <c:pt idx="95">
                  <c:v>0.26666666666666666</c:v>
                </c:pt>
                <c:pt idx="96">
                  <c:v>0.19413919413919414</c:v>
                </c:pt>
                <c:pt idx="97">
                  <c:v>0.22137404580152673</c:v>
                </c:pt>
                <c:pt idx="98">
                  <c:v>0.2073170731707317</c:v>
                </c:pt>
                <c:pt idx="99">
                  <c:v>0.26041666666666669</c:v>
                </c:pt>
                <c:pt idx="100">
                  <c:v>0.2533783783783784</c:v>
                </c:pt>
                <c:pt idx="101">
                  <c:v>0.4823529411764706</c:v>
                </c:pt>
                <c:pt idx="102">
                  <c:v>0.51500000000000001</c:v>
                </c:pt>
                <c:pt idx="103">
                  <c:v>0.57333333333333336</c:v>
                </c:pt>
                <c:pt idx="104">
                  <c:v>0.63541666666666663</c:v>
                </c:pt>
                <c:pt idx="105">
                  <c:v>0.51700680272108845</c:v>
                </c:pt>
                <c:pt idx="106">
                  <c:v>0.78400000000000003</c:v>
                </c:pt>
                <c:pt idx="107">
                  <c:v>0.62365591397849462</c:v>
                </c:pt>
                <c:pt idx="108">
                  <c:v>0.71370967741935487</c:v>
                </c:pt>
                <c:pt idx="109">
                  <c:v>0.28799999999999998</c:v>
                </c:pt>
                <c:pt idx="110">
                  <c:v>0.53531598513011147</c:v>
                </c:pt>
                <c:pt idx="111">
                  <c:v>0.5127478753541076</c:v>
                </c:pt>
                <c:pt idx="112">
                  <c:v>0.52089136490250698</c:v>
                </c:pt>
                <c:pt idx="113">
                  <c:v>0.51450676982591881</c:v>
                </c:pt>
                <c:pt idx="114">
                  <c:v>0.5723140495867769</c:v>
                </c:pt>
                <c:pt idx="115">
                  <c:v>0.52092050209205021</c:v>
                </c:pt>
                <c:pt idx="116">
                  <c:v>0.47422680412371132</c:v>
                </c:pt>
                <c:pt idx="117">
                  <c:v>0.49333333333333335</c:v>
                </c:pt>
                <c:pt idx="118">
                  <c:v>0.42408376963350786</c:v>
                </c:pt>
                <c:pt idx="119">
                  <c:v>0.88235294117647056</c:v>
                </c:pt>
                <c:pt idx="120">
                  <c:v>0.96202531645569622</c:v>
                </c:pt>
                <c:pt idx="121">
                  <c:v>0.26865671641791045</c:v>
                </c:pt>
                <c:pt idx="122">
                  <c:v>0.44827586206896552</c:v>
                </c:pt>
                <c:pt idx="123">
                  <c:v>0.46875</c:v>
                </c:pt>
                <c:pt idx="124">
                  <c:v>0.4051094890510949</c:v>
                </c:pt>
                <c:pt idx="125">
                  <c:v>0.2608695652173913</c:v>
                </c:pt>
                <c:pt idx="126">
                  <c:v>0.24409448818897639</c:v>
                </c:pt>
                <c:pt idx="127">
                  <c:v>0.33443708609271522</c:v>
                </c:pt>
                <c:pt idx="128">
                  <c:v>0.41648590021691972</c:v>
                </c:pt>
                <c:pt idx="129">
                  <c:v>0.37380952380952381</c:v>
                </c:pt>
                <c:pt idx="130">
                  <c:v>0.40470588235294119</c:v>
                </c:pt>
                <c:pt idx="131">
                  <c:v>0.38536585365853659</c:v>
                </c:pt>
                <c:pt idx="132">
                  <c:v>0.16500000000000001</c:v>
                </c:pt>
                <c:pt idx="133">
                  <c:v>0.1875</c:v>
                </c:pt>
                <c:pt idx="134">
                  <c:v>0.23076923076923078</c:v>
                </c:pt>
                <c:pt idx="135">
                  <c:v>0.16356877323420074</c:v>
                </c:pt>
                <c:pt idx="136">
                  <c:v>0.24535315985130113</c:v>
                </c:pt>
                <c:pt idx="137">
                  <c:v>0.19457013574660634</c:v>
                </c:pt>
                <c:pt idx="138">
                  <c:v>0.22611464968152867</c:v>
                </c:pt>
                <c:pt idx="139">
                  <c:v>0.21739130434782608</c:v>
                </c:pt>
                <c:pt idx="140">
                  <c:v>0.45251396648044695</c:v>
                </c:pt>
                <c:pt idx="141">
                  <c:v>0.36332179930795849</c:v>
                </c:pt>
                <c:pt idx="142">
                  <c:v>0.58823529411764708</c:v>
                </c:pt>
                <c:pt idx="143">
                  <c:v>0.64777327935222673</c:v>
                </c:pt>
                <c:pt idx="144">
                  <c:v>0.65814696485623003</c:v>
                </c:pt>
                <c:pt idx="145">
                  <c:v>0.6</c:v>
                </c:pt>
                <c:pt idx="146">
                  <c:v>0.32684824902723736</c:v>
                </c:pt>
                <c:pt idx="147">
                  <c:v>0.26111111111111113</c:v>
                </c:pt>
                <c:pt idx="148">
                  <c:v>0.32198142414860681</c:v>
                </c:pt>
                <c:pt idx="149">
                  <c:v>0.23964497041420119</c:v>
                </c:pt>
                <c:pt idx="150">
                  <c:v>0.16803278688524589</c:v>
                </c:pt>
                <c:pt idx="151">
                  <c:v>0.18835616438356165</c:v>
                </c:pt>
                <c:pt idx="152">
                  <c:v>0.1491442542787286</c:v>
                </c:pt>
                <c:pt idx="153">
                  <c:v>0.10638297872340426</c:v>
                </c:pt>
                <c:pt idx="154">
                  <c:v>0.18137254901960784</c:v>
                </c:pt>
                <c:pt idx="155">
                  <c:v>0.52500000000000002</c:v>
                </c:pt>
                <c:pt idx="156">
                  <c:v>0.5</c:v>
                </c:pt>
                <c:pt idx="157">
                  <c:v>0.15178571428571427</c:v>
                </c:pt>
                <c:pt idx="158">
                  <c:v>0.22187499999999999</c:v>
                </c:pt>
                <c:pt idx="159">
                  <c:v>0.18944099378881987</c:v>
                </c:pt>
                <c:pt idx="160">
                  <c:v>0.17333333333333334</c:v>
                </c:pt>
                <c:pt idx="161">
                  <c:v>0.17607973421926909</c:v>
                </c:pt>
                <c:pt idx="162">
                  <c:v>0.18688524590163935</c:v>
                </c:pt>
                <c:pt idx="163">
                  <c:v>0.28286852589641437</c:v>
                </c:pt>
                <c:pt idx="164">
                  <c:v>0.34</c:v>
                </c:pt>
                <c:pt idx="165">
                  <c:v>0.2927927927927928</c:v>
                </c:pt>
                <c:pt idx="166">
                  <c:v>0.26291079812206575</c:v>
                </c:pt>
                <c:pt idx="167">
                  <c:v>0.21171171171171171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DEE-4B46-B7E5-3ADDD07550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42839824"/>
        <c:axId val="1632313584"/>
      </c:scatterChart>
      <c:valAx>
        <c:axId val="1642839824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2313584"/>
        <c:crosses val="autoZero"/>
        <c:crossBetween val="midCat"/>
      </c:valAx>
      <c:valAx>
        <c:axId val="163231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28398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PN% vs Malay% P129 Kuala Pilah</c:v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7788188976377953"/>
                  <c:y val="-0.2357079323417906"/>
                </c:manualLayout>
              </c:layout>
              <c:numFmt formatCode="General" sourceLinked="0"/>
              <c:spPr>
                <a:solidFill>
                  <a:schemeClr val="bg1">
                    <a:lumMod val="7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RaceWorksheet!$K$2:$K$169</c:f>
              <c:numCache>
                <c:formatCode>0.0%</c:formatCode>
                <c:ptCount val="168"/>
                <c:pt idx="0">
                  <c:v>0.80333333333333334</c:v>
                </c:pt>
                <c:pt idx="1">
                  <c:v>0.69819819819819817</c:v>
                </c:pt>
                <c:pt idx="2">
                  <c:v>0.995</c:v>
                </c:pt>
                <c:pt idx="3">
                  <c:v>1</c:v>
                </c:pt>
                <c:pt idx="4">
                  <c:v>1</c:v>
                </c:pt>
                <c:pt idx="5">
                  <c:v>0.97199999999999998</c:v>
                </c:pt>
                <c:pt idx="6">
                  <c:v>0.99413489736070382</c:v>
                </c:pt>
                <c:pt idx="7">
                  <c:v>0.99707602339181289</c:v>
                </c:pt>
                <c:pt idx="8">
                  <c:v>1</c:v>
                </c:pt>
                <c:pt idx="9">
                  <c:v>0.99715909090909094</c:v>
                </c:pt>
                <c:pt idx="10">
                  <c:v>0.94</c:v>
                </c:pt>
                <c:pt idx="11">
                  <c:v>0.97699386503067487</c:v>
                </c:pt>
                <c:pt idx="12">
                  <c:v>0.28157894736842104</c:v>
                </c:pt>
                <c:pt idx="13">
                  <c:v>0.34473684210526317</c:v>
                </c:pt>
                <c:pt idx="14">
                  <c:v>0.33333333333333331</c:v>
                </c:pt>
                <c:pt idx="15">
                  <c:v>0.45036764705882354</c:v>
                </c:pt>
                <c:pt idx="16">
                  <c:v>0.59742647058823528</c:v>
                </c:pt>
                <c:pt idx="17">
                  <c:v>0.995</c:v>
                </c:pt>
                <c:pt idx="18">
                  <c:v>0.99739583333333337</c:v>
                </c:pt>
                <c:pt idx="19">
                  <c:v>0.74285714285714288</c:v>
                </c:pt>
                <c:pt idx="20">
                  <c:v>0.67428571428571427</c:v>
                </c:pt>
                <c:pt idx="21">
                  <c:v>0.72580645161290325</c:v>
                </c:pt>
                <c:pt idx="22">
                  <c:v>0.7857142857142857</c:v>
                </c:pt>
                <c:pt idx="23">
                  <c:v>0.80689655172413788</c:v>
                </c:pt>
                <c:pt idx="24">
                  <c:v>0.97</c:v>
                </c:pt>
                <c:pt idx="25">
                  <c:v>0.98666666666666669</c:v>
                </c:pt>
                <c:pt idx="26">
                  <c:v>0.97959183673469385</c:v>
                </c:pt>
                <c:pt idx="27">
                  <c:v>0.98571428571428577</c:v>
                </c:pt>
                <c:pt idx="28">
                  <c:v>0.98571428571428577</c:v>
                </c:pt>
                <c:pt idx="29">
                  <c:v>0.98571428571428577</c:v>
                </c:pt>
                <c:pt idx="30">
                  <c:v>0.7142857142857143</c:v>
                </c:pt>
                <c:pt idx="31">
                  <c:v>0.7857142857142857</c:v>
                </c:pt>
                <c:pt idx="32">
                  <c:v>0.78813559322033899</c:v>
                </c:pt>
                <c:pt idx="33">
                  <c:v>0.8771186440677966</c:v>
                </c:pt>
                <c:pt idx="34">
                  <c:v>0.26682692307692307</c:v>
                </c:pt>
                <c:pt idx="35">
                  <c:v>0.98285714285714287</c:v>
                </c:pt>
                <c:pt idx="36">
                  <c:v>0.99574468085106382</c:v>
                </c:pt>
                <c:pt idx="37">
                  <c:v>0.97142857142857142</c:v>
                </c:pt>
                <c:pt idx="38">
                  <c:v>0.96</c:v>
                </c:pt>
                <c:pt idx="39">
                  <c:v>0.95876288659793818</c:v>
                </c:pt>
                <c:pt idx="40">
                  <c:v>0.97319587628865978</c:v>
                </c:pt>
                <c:pt idx="41">
                  <c:v>1</c:v>
                </c:pt>
                <c:pt idx="42">
                  <c:v>1</c:v>
                </c:pt>
                <c:pt idx="43">
                  <c:v>0.9941860465116279</c:v>
                </c:pt>
                <c:pt idx="44">
                  <c:v>0.9826086956521739</c:v>
                </c:pt>
                <c:pt idx="45">
                  <c:v>0.99712643678160917</c:v>
                </c:pt>
                <c:pt idx="46">
                  <c:v>0.99425287356321834</c:v>
                </c:pt>
                <c:pt idx="47">
                  <c:v>0.92571428571428571</c:v>
                </c:pt>
                <c:pt idx="48">
                  <c:v>0.98440545808966862</c:v>
                </c:pt>
                <c:pt idx="49">
                  <c:v>0.99199999999999999</c:v>
                </c:pt>
                <c:pt idx="50">
                  <c:v>0.99719887955182074</c:v>
                </c:pt>
                <c:pt idx="51">
                  <c:v>0.76021798365122617</c:v>
                </c:pt>
                <c:pt idx="52">
                  <c:v>0.89858490566037741</c:v>
                </c:pt>
                <c:pt idx="53">
                  <c:v>0.91745283018867929</c:v>
                </c:pt>
                <c:pt idx="54">
                  <c:v>1</c:v>
                </c:pt>
                <c:pt idx="55">
                  <c:v>1</c:v>
                </c:pt>
                <c:pt idx="56">
                  <c:v>0.99641577060931896</c:v>
                </c:pt>
                <c:pt idx="57">
                  <c:v>0.90333333333333332</c:v>
                </c:pt>
                <c:pt idx="58">
                  <c:v>0.96502057613168724</c:v>
                </c:pt>
                <c:pt idx="59">
                  <c:v>0.99748743718592969</c:v>
                </c:pt>
                <c:pt idx="60">
                  <c:v>0.995</c:v>
                </c:pt>
                <c:pt idx="61">
                  <c:v>1</c:v>
                </c:pt>
                <c:pt idx="62">
                  <c:v>0.82800982800982803</c:v>
                </c:pt>
                <c:pt idx="63">
                  <c:v>0.99</c:v>
                </c:pt>
                <c:pt idx="64">
                  <c:v>1</c:v>
                </c:pt>
                <c:pt idx="65">
                  <c:v>0.9978813559322034</c:v>
                </c:pt>
                <c:pt idx="66">
                  <c:v>0.99364406779661019</c:v>
                </c:pt>
                <c:pt idx="67">
                  <c:v>0.99576271186440679</c:v>
                </c:pt>
                <c:pt idx="68">
                  <c:v>0.99044585987261147</c:v>
                </c:pt>
                <c:pt idx="69">
                  <c:v>0.99475065616797897</c:v>
                </c:pt>
                <c:pt idx="70">
                  <c:v>0.99737532808398954</c:v>
                </c:pt>
                <c:pt idx="71">
                  <c:v>0.99142857142857144</c:v>
                </c:pt>
                <c:pt idx="72">
                  <c:v>0.99182004089979547</c:v>
                </c:pt>
                <c:pt idx="73">
                  <c:v>0.99386503067484666</c:v>
                </c:pt>
                <c:pt idx="74">
                  <c:v>0.51600000000000001</c:v>
                </c:pt>
                <c:pt idx="75">
                  <c:v>0.496</c:v>
                </c:pt>
                <c:pt idx="76">
                  <c:v>0.7303370786516854</c:v>
                </c:pt>
                <c:pt idx="77">
                  <c:v>0.8117977528089888</c:v>
                </c:pt>
                <c:pt idx="78">
                  <c:v>0.88515406162464982</c:v>
                </c:pt>
                <c:pt idx="79">
                  <c:v>0.78172588832487311</c:v>
                </c:pt>
                <c:pt idx="80">
                  <c:v>0.28499999999999998</c:v>
                </c:pt>
                <c:pt idx="81">
                  <c:v>0.38</c:v>
                </c:pt>
                <c:pt idx="82">
                  <c:v>0.4420289855072464</c:v>
                </c:pt>
                <c:pt idx="83">
                  <c:v>0.58122743682310474</c:v>
                </c:pt>
                <c:pt idx="84">
                  <c:v>0.50541516245487361</c:v>
                </c:pt>
                <c:pt idx="85">
                  <c:v>0.25</c:v>
                </c:pt>
                <c:pt idx="86">
                  <c:v>0.50836120401337792</c:v>
                </c:pt>
                <c:pt idx="87">
                  <c:v>0.67317073170731712</c:v>
                </c:pt>
                <c:pt idx="88">
                  <c:v>0.63902439024390245</c:v>
                </c:pt>
                <c:pt idx="89">
                  <c:v>0.7737003058103975</c:v>
                </c:pt>
                <c:pt idx="90">
                  <c:v>0.81097560975609762</c:v>
                </c:pt>
                <c:pt idx="91">
                  <c:v>0.89939024390243905</c:v>
                </c:pt>
                <c:pt idx="92">
                  <c:v>0.93043478260869561</c:v>
                </c:pt>
                <c:pt idx="93">
                  <c:v>0.90909090909090906</c:v>
                </c:pt>
                <c:pt idx="94">
                  <c:v>0.96875</c:v>
                </c:pt>
                <c:pt idx="95">
                  <c:v>0.95454545454545459</c:v>
                </c:pt>
                <c:pt idx="96">
                  <c:v>0.90909090909090906</c:v>
                </c:pt>
                <c:pt idx="97">
                  <c:v>0.97499999999999998</c:v>
                </c:pt>
                <c:pt idx="98">
                  <c:v>0.97499999999999998</c:v>
                </c:pt>
                <c:pt idx="99">
                  <c:v>0.96296296296296291</c:v>
                </c:pt>
                <c:pt idx="100">
                  <c:v>0.97089947089947093</c:v>
                </c:pt>
                <c:pt idx="101">
                  <c:v>0.48399999999999999</c:v>
                </c:pt>
                <c:pt idx="102">
                  <c:v>0.48</c:v>
                </c:pt>
                <c:pt idx="103">
                  <c:v>0.42924528301886794</c:v>
                </c:pt>
                <c:pt idx="104">
                  <c:v>0.41647058823529409</c:v>
                </c:pt>
                <c:pt idx="105">
                  <c:v>0.49882352941176472</c:v>
                </c:pt>
                <c:pt idx="106">
                  <c:v>0.14399999999999999</c:v>
                </c:pt>
                <c:pt idx="107">
                  <c:v>0.34399999999999997</c:v>
                </c:pt>
                <c:pt idx="108">
                  <c:v>0.40988372093023256</c:v>
                </c:pt>
                <c:pt idx="109">
                  <c:v>0.84656084656084651</c:v>
                </c:pt>
                <c:pt idx="110">
                  <c:v>0.4022222222222222</c:v>
                </c:pt>
                <c:pt idx="111">
                  <c:v>0.46444444444444444</c:v>
                </c:pt>
                <c:pt idx="112">
                  <c:v>0.47111111111111109</c:v>
                </c:pt>
                <c:pt idx="113">
                  <c:v>0.49568965517241381</c:v>
                </c:pt>
                <c:pt idx="114">
                  <c:v>0.45767575322812054</c:v>
                </c:pt>
                <c:pt idx="115">
                  <c:v>0.54949784791965561</c:v>
                </c:pt>
                <c:pt idx="116">
                  <c:v>0.56671449067431856</c:v>
                </c:pt>
                <c:pt idx="117">
                  <c:v>0.64992826398852221</c:v>
                </c:pt>
                <c:pt idx="118">
                  <c:v>0.70875179340028693</c:v>
                </c:pt>
                <c:pt idx="119">
                  <c:v>5.0000000000000001E-3</c:v>
                </c:pt>
                <c:pt idx="120">
                  <c:v>8.8495575221238937E-3</c:v>
                </c:pt>
                <c:pt idx="121">
                  <c:v>0.67889908256880738</c:v>
                </c:pt>
                <c:pt idx="122">
                  <c:v>0.45500000000000002</c:v>
                </c:pt>
                <c:pt idx="123">
                  <c:v>0.53</c:v>
                </c:pt>
                <c:pt idx="124">
                  <c:v>0.65728900255754474</c:v>
                </c:pt>
                <c:pt idx="125">
                  <c:v>0.88010204081632648</c:v>
                </c:pt>
                <c:pt idx="126">
                  <c:v>0.8342857142857143</c:v>
                </c:pt>
                <c:pt idx="127">
                  <c:v>0.76571428571428568</c:v>
                </c:pt>
                <c:pt idx="128">
                  <c:v>0.6804835924006909</c:v>
                </c:pt>
                <c:pt idx="129">
                  <c:v>0.71675302245250427</c:v>
                </c:pt>
                <c:pt idx="130">
                  <c:v>0.70344827586206893</c:v>
                </c:pt>
                <c:pt idx="131">
                  <c:v>0.67413793103448272</c:v>
                </c:pt>
                <c:pt idx="132">
                  <c:v>1</c:v>
                </c:pt>
                <c:pt idx="133">
                  <c:v>0.99734748010610075</c:v>
                </c:pt>
                <c:pt idx="134">
                  <c:v>0.99369085173501581</c:v>
                </c:pt>
                <c:pt idx="135">
                  <c:v>0.99101796407185627</c:v>
                </c:pt>
                <c:pt idx="136">
                  <c:v>0.9970149253731343</c:v>
                </c:pt>
                <c:pt idx="137">
                  <c:v>0.98333333333333328</c:v>
                </c:pt>
                <c:pt idx="138">
                  <c:v>0.94074074074074077</c:v>
                </c:pt>
                <c:pt idx="139">
                  <c:v>0.94814814814814818</c:v>
                </c:pt>
                <c:pt idx="140">
                  <c:v>0.44800000000000001</c:v>
                </c:pt>
                <c:pt idx="141">
                  <c:v>0.67263427109974427</c:v>
                </c:pt>
                <c:pt idx="142">
                  <c:v>0.21142857142857144</c:v>
                </c:pt>
                <c:pt idx="143">
                  <c:v>0.30571428571428572</c:v>
                </c:pt>
                <c:pt idx="144">
                  <c:v>0.29677419354838708</c:v>
                </c:pt>
                <c:pt idx="145">
                  <c:v>0.38709677419354838</c:v>
                </c:pt>
                <c:pt idx="146">
                  <c:v>0.5971428571428572</c:v>
                </c:pt>
                <c:pt idx="147">
                  <c:v>0.53378378378378377</c:v>
                </c:pt>
                <c:pt idx="148">
                  <c:v>0.70337078651685392</c:v>
                </c:pt>
                <c:pt idx="149">
                  <c:v>0.797752808988764</c:v>
                </c:pt>
                <c:pt idx="150">
                  <c:v>0.9028571428571428</c:v>
                </c:pt>
                <c:pt idx="151">
                  <c:v>0.89714285714285713</c:v>
                </c:pt>
                <c:pt idx="152">
                  <c:v>0.87164750957854409</c:v>
                </c:pt>
                <c:pt idx="153">
                  <c:v>0.93499043977055452</c:v>
                </c:pt>
                <c:pt idx="154">
                  <c:v>0.91408934707903777</c:v>
                </c:pt>
                <c:pt idx="155">
                  <c:v>0.29499999999999998</c:v>
                </c:pt>
                <c:pt idx="156">
                  <c:v>0.5768194070080862</c:v>
                </c:pt>
                <c:pt idx="157">
                  <c:v>0.954983922829582</c:v>
                </c:pt>
                <c:pt idx="158">
                  <c:v>0.93689320388349517</c:v>
                </c:pt>
                <c:pt idx="159">
                  <c:v>0.95641646489104115</c:v>
                </c:pt>
                <c:pt idx="160">
                  <c:v>0.96193771626297575</c:v>
                </c:pt>
                <c:pt idx="161">
                  <c:v>0.94373401534526857</c:v>
                </c:pt>
                <c:pt idx="162">
                  <c:v>0.96419437340153458</c:v>
                </c:pt>
                <c:pt idx="163">
                  <c:v>0.72571428571428576</c:v>
                </c:pt>
                <c:pt idx="164">
                  <c:v>0.73142857142857143</c:v>
                </c:pt>
                <c:pt idx="165">
                  <c:v>0.77351916376306618</c:v>
                </c:pt>
                <c:pt idx="166">
                  <c:v>0.83449477351916379</c:v>
                </c:pt>
                <c:pt idx="167">
                  <c:v>0.8571428571428571</c:v>
                </c:pt>
              </c:numCache>
            </c:numRef>
          </c:xVal>
          <c:yVal>
            <c:numRef>
              <c:f>RaceWorksheet!$B$2:$B$169</c:f>
              <c:numCache>
                <c:formatCode>0.0%</c:formatCode>
                <c:ptCount val="168"/>
                <c:pt idx="0">
                  <c:v>0.20816326530612245</c:v>
                </c:pt>
                <c:pt idx="1">
                  <c:v>0.18475073313782991</c:v>
                </c:pt>
                <c:pt idx="2">
                  <c:v>0.1111111111111111</c:v>
                </c:pt>
                <c:pt idx="3">
                  <c:v>0.42325581395348838</c:v>
                </c:pt>
                <c:pt idx="4">
                  <c:v>0.32692307692307693</c:v>
                </c:pt>
                <c:pt idx="5">
                  <c:v>0.12903225806451613</c:v>
                </c:pt>
                <c:pt idx="6">
                  <c:v>0.31970260223048325</c:v>
                </c:pt>
                <c:pt idx="7">
                  <c:v>0.43884892086330934</c:v>
                </c:pt>
                <c:pt idx="8">
                  <c:v>0.19672131147540983</c:v>
                </c:pt>
                <c:pt idx="9">
                  <c:v>0.36330935251798563</c:v>
                </c:pt>
                <c:pt idx="10">
                  <c:v>0.11232876712328767</c:v>
                </c:pt>
                <c:pt idx="11">
                  <c:v>0.33073929961089493</c:v>
                </c:pt>
                <c:pt idx="12">
                  <c:v>5.6338028169014086E-2</c:v>
                </c:pt>
                <c:pt idx="13">
                  <c:v>0.11326860841423948</c:v>
                </c:pt>
                <c:pt idx="14">
                  <c:v>0.13910761154855644</c:v>
                </c:pt>
                <c:pt idx="15">
                  <c:v>0.20547945205479451</c:v>
                </c:pt>
                <c:pt idx="16">
                  <c:v>0.27040816326530615</c:v>
                </c:pt>
                <c:pt idx="17">
                  <c:v>0.11464968152866242</c:v>
                </c:pt>
                <c:pt idx="18">
                  <c:v>0.32817337461300311</c:v>
                </c:pt>
                <c:pt idx="19">
                  <c:v>0.13178294573643412</c:v>
                </c:pt>
                <c:pt idx="20">
                  <c:v>0.18661971830985916</c:v>
                </c:pt>
                <c:pt idx="21">
                  <c:v>0.28253968253968254</c:v>
                </c:pt>
                <c:pt idx="22">
                  <c:v>0.31419939577039274</c:v>
                </c:pt>
                <c:pt idx="23">
                  <c:v>0.30205278592375367</c:v>
                </c:pt>
                <c:pt idx="24">
                  <c:v>8.9552238805970144E-2</c:v>
                </c:pt>
                <c:pt idx="25">
                  <c:v>0.12048192771084337</c:v>
                </c:pt>
                <c:pt idx="26">
                  <c:v>0.27034120734908135</c:v>
                </c:pt>
                <c:pt idx="27">
                  <c:v>0.38873239436619716</c:v>
                </c:pt>
                <c:pt idx="28">
                  <c:v>0.45205479452054792</c:v>
                </c:pt>
                <c:pt idx="29">
                  <c:v>0.4576271186440678</c:v>
                </c:pt>
                <c:pt idx="30">
                  <c:v>0.11952191235059761</c:v>
                </c:pt>
                <c:pt idx="31">
                  <c:v>0.1360544217687075</c:v>
                </c:pt>
                <c:pt idx="32">
                  <c:v>0.21787709497206703</c:v>
                </c:pt>
                <c:pt idx="33">
                  <c:v>0.33893557422969189</c:v>
                </c:pt>
                <c:pt idx="34">
                  <c:v>2.6392961876832845E-2</c:v>
                </c:pt>
                <c:pt idx="35">
                  <c:v>0.20430107526881722</c:v>
                </c:pt>
                <c:pt idx="36">
                  <c:v>0.35695538057742782</c:v>
                </c:pt>
                <c:pt idx="37">
                  <c:v>0.11969111969111969</c:v>
                </c:pt>
                <c:pt idx="38">
                  <c:v>0.24067796610169492</c:v>
                </c:pt>
                <c:pt idx="39">
                  <c:v>0.35658914728682173</c:v>
                </c:pt>
                <c:pt idx="40">
                  <c:v>0.39313984168865435</c:v>
                </c:pt>
                <c:pt idx="41">
                  <c:v>0.16279069767441862</c:v>
                </c:pt>
                <c:pt idx="42">
                  <c:v>0.38181818181818183</c:v>
                </c:pt>
                <c:pt idx="43">
                  <c:v>0.41237113402061853</c:v>
                </c:pt>
                <c:pt idx="44">
                  <c:v>0.1437125748502994</c:v>
                </c:pt>
                <c:pt idx="45">
                  <c:v>0.31541218637992829</c:v>
                </c:pt>
                <c:pt idx="46">
                  <c:v>0.34909090909090912</c:v>
                </c:pt>
                <c:pt idx="47">
                  <c:v>0.17028985507246377</c:v>
                </c:pt>
                <c:pt idx="48">
                  <c:v>0.35368956743002544</c:v>
                </c:pt>
                <c:pt idx="49">
                  <c:v>0.21787709497206703</c:v>
                </c:pt>
                <c:pt idx="50">
                  <c:v>0.35540069686411152</c:v>
                </c:pt>
                <c:pt idx="51">
                  <c:v>0.12133891213389121</c:v>
                </c:pt>
                <c:pt idx="52">
                  <c:v>0.22044728434504793</c:v>
                </c:pt>
                <c:pt idx="53">
                  <c:v>0.37658227848101267</c:v>
                </c:pt>
                <c:pt idx="54">
                  <c:v>0.28965517241379313</c:v>
                </c:pt>
                <c:pt idx="55">
                  <c:v>0.19090909090909092</c:v>
                </c:pt>
                <c:pt idx="56">
                  <c:v>0.38755980861244022</c:v>
                </c:pt>
                <c:pt idx="57">
                  <c:v>0.1553398058252427</c:v>
                </c:pt>
                <c:pt idx="58">
                  <c:v>0.37940379403794039</c:v>
                </c:pt>
                <c:pt idx="59">
                  <c:v>0.27046263345195731</c:v>
                </c:pt>
                <c:pt idx="60">
                  <c:v>0.13636363636363635</c:v>
                </c:pt>
                <c:pt idx="61">
                  <c:v>0.30526315789473685</c:v>
                </c:pt>
                <c:pt idx="62">
                  <c:v>0.11708860759493671</c:v>
                </c:pt>
                <c:pt idx="63">
                  <c:v>0.11787072243346007</c:v>
                </c:pt>
                <c:pt idx="64">
                  <c:v>0.15209125475285171</c:v>
                </c:pt>
                <c:pt idx="65">
                  <c:v>0.37329700272479566</c:v>
                </c:pt>
                <c:pt idx="66">
                  <c:v>0.42735042735042733</c:v>
                </c:pt>
                <c:pt idx="67">
                  <c:v>0.38219895287958117</c:v>
                </c:pt>
                <c:pt idx="68">
                  <c:v>0.15546218487394958</c:v>
                </c:pt>
                <c:pt idx="69">
                  <c:v>0.31468531468531469</c:v>
                </c:pt>
                <c:pt idx="70">
                  <c:v>0.43521594684385384</c:v>
                </c:pt>
                <c:pt idx="71">
                  <c:v>0.17777777777777778</c:v>
                </c:pt>
                <c:pt idx="72">
                  <c:v>0.26329113924050634</c:v>
                </c:pt>
                <c:pt idx="73">
                  <c:v>0.40885416666666669</c:v>
                </c:pt>
                <c:pt idx="74">
                  <c:v>0.05</c:v>
                </c:pt>
                <c:pt idx="75">
                  <c:v>6.4039408866995079E-2</c:v>
                </c:pt>
                <c:pt idx="76">
                  <c:v>0.20071684587813621</c:v>
                </c:pt>
                <c:pt idx="77">
                  <c:v>0.27756653992395436</c:v>
                </c:pt>
                <c:pt idx="78">
                  <c:v>0.29433962264150942</c:v>
                </c:pt>
                <c:pt idx="79">
                  <c:v>0.24113475177304963</c:v>
                </c:pt>
                <c:pt idx="80">
                  <c:v>4.3859649122807015E-2</c:v>
                </c:pt>
                <c:pt idx="81">
                  <c:v>5.9602649006622516E-2</c:v>
                </c:pt>
                <c:pt idx="82">
                  <c:v>0.14761904761904762</c:v>
                </c:pt>
                <c:pt idx="83">
                  <c:v>0.17733990147783252</c:v>
                </c:pt>
                <c:pt idx="84">
                  <c:v>0.21428571428571427</c:v>
                </c:pt>
                <c:pt idx="85">
                  <c:v>3.2258064516129031E-2</c:v>
                </c:pt>
                <c:pt idx="86">
                  <c:v>0.14782608695652175</c:v>
                </c:pt>
                <c:pt idx="87">
                  <c:v>8.5271317829457363E-2</c:v>
                </c:pt>
                <c:pt idx="88">
                  <c:v>6.9767441860465115E-2</c:v>
                </c:pt>
                <c:pt idx="89">
                  <c:v>0.18</c:v>
                </c:pt>
                <c:pt idx="90">
                  <c:v>0.20689655172413793</c:v>
                </c:pt>
                <c:pt idx="91">
                  <c:v>0.31225296442687744</c:v>
                </c:pt>
                <c:pt idx="92">
                  <c:v>8.1081081081081086E-2</c:v>
                </c:pt>
                <c:pt idx="93">
                  <c:v>0.14516129032258066</c:v>
                </c:pt>
                <c:pt idx="94">
                  <c:v>0.22968197879858657</c:v>
                </c:pt>
                <c:pt idx="95">
                  <c:v>0.28627450980392155</c:v>
                </c:pt>
                <c:pt idx="96">
                  <c:v>0.37728937728937728</c:v>
                </c:pt>
                <c:pt idx="97">
                  <c:v>8.3969465648854963E-2</c:v>
                </c:pt>
                <c:pt idx="98">
                  <c:v>9.1463414634146339E-2</c:v>
                </c:pt>
                <c:pt idx="99">
                  <c:v>0.28819444444444442</c:v>
                </c:pt>
                <c:pt idx="100">
                  <c:v>0.32770270270270269</c:v>
                </c:pt>
                <c:pt idx="101">
                  <c:v>7.6470588235294124E-2</c:v>
                </c:pt>
                <c:pt idx="102">
                  <c:v>6.5000000000000002E-2</c:v>
                </c:pt>
                <c:pt idx="103">
                  <c:v>0.13</c:v>
                </c:pt>
                <c:pt idx="104">
                  <c:v>0.1423611111111111</c:v>
                </c:pt>
                <c:pt idx="105">
                  <c:v>0.17346938775510204</c:v>
                </c:pt>
                <c:pt idx="106">
                  <c:v>8.0000000000000002E-3</c:v>
                </c:pt>
                <c:pt idx="107">
                  <c:v>8.0645161290322578E-2</c:v>
                </c:pt>
                <c:pt idx="108">
                  <c:v>0.10887096774193548</c:v>
                </c:pt>
                <c:pt idx="109">
                  <c:v>0.23200000000000001</c:v>
                </c:pt>
                <c:pt idx="110">
                  <c:v>4.4609665427509292E-2</c:v>
                </c:pt>
                <c:pt idx="111">
                  <c:v>8.2152974504249299E-2</c:v>
                </c:pt>
                <c:pt idx="112">
                  <c:v>0.11977715877437325</c:v>
                </c:pt>
                <c:pt idx="113">
                  <c:v>0.17794970986460348</c:v>
                </c:pt>
                <c:pt idx="114">
                  <c:v>0.16942148760330578</c:v>
                </c:pt>
                <c:pt idx="115">
                  <c:v>0.21548117154811716</c:v>
                </c:pt>
                <c:pt idx="116">
                  <c:v>0.21030927835051547</c:v>
                </c:pt>
                <c:pt idx="117">
                  <c:v>0.20952380952380953</c:v>
                </c:pt>
                <c:pt idx="118">
                  <c:v>0.2582897033158813</c:v>
                </c:pt>
                <c:pt idx="119">
                  <c:v>0</c:v>
                </c:pt>
                <c:pt idx="120">
                  <c:v>0</c:v>
                </c:pt>
                <c:pt idx="121">
                  <c:v>0.23880597014925373</c:v>
                </c:pt>
                <c:pt idx="122">
                  <c:v>6.2068965517241378E-2</c:v>
                </c:pt>
                <c:pt idx="123">
                  <c:v>8.7499999999999994E-2</c:v>
                </c:pt>
                <c:pt idx="124">
                  <c:v>0.22262773722627738</c:v>
                </c:pt>
                <c:pt idx="125">
                  <c:v>0.34113712374581939</c:v>
                </c:pt>
                <c:pt idx="126">
                  <c:v>9.4488188976377951E-2</c:v>
                </c:pt>
                <c:pt idx="127">
                  <c:v>6.9536423841059597E-2</c:v>
                </c:pt>
                <c:pt idx="128">
                  <c:v>0.13882863340563992</c:v>
                </c:pt>
                <c:pt idx="129">
                  <c:v>0.21428571428571427</c:v>
                </c:pt>
                <c:pt idx="130">
                  <c:v>0.23058823529411765</c:v>
                </c:pt>
                <c:pt idx="131">
                  <c:v>0.28780487804878047</c:v>
                </c:pt>
                <c:pt idx="132">
                  <c:v>0.09</c:v>
                </c:pt>
                <c:pt idx="133">
                  <c:v>0.28472222222222221</c:v>
                </c:pt>
                <c:pt idx="134">
                  <c:v>0.1417004048582996</c:v>
                </c:pt>
                <c:pt idx="135">
                  <c:v>0.26765799256505574</c:v>
                </c:pt>
                <c:pt idx="136">
                  <c:v>0.36059479553903345</c:v>
                </c:pt>
                <c:pt idx="137">
                  <c:v>0.11312217194570136</c:v>
                </c:pt>
                <c:pt idx="138">
                  <c:v>0.22292993630573249</c:v>
                </c:pt>
                <c:pt idx="139">
                  <c:v>0.35093167701863354</c:v>
                </c:pt>
                <c:pt idx="140">
                  <c:v>8.3798882681564241E-2</c:v>
                </c:pt>
                <c:pt idx="141">
                  <c:v>0.25259515570934254</c:v>
                </c:pt>
                <c:pt idx="142">
                  <c:v>6.985294117647059E-2</c:v>
                </c:pt>
                <c:pt idx="143">
                  <c:v>9.3117408906882596E-2</c:v>
                </c:pt>
                <c:pt idx="144">
                  <c:v>0.14057507987220447</c:v>
                </c:pt>
                <c:pt idx="145">
                  <c:v>0.16250000000000001</c:v>
                </c:pt>
                <c:pt idx="146">
                  <c:v>0.12062256809338522</c:v>
                </c:pt>
                <c:pt idx="147">
                  <c:v>0.20555555555555555</c:v>
                </c:pt>
                <c:pt idx="148">
                  <c:v>0.24458204334365324</c:v>
                </c:pt>
                <c:pt idx="149">
                  <c:v>0.32544378698224852</c:v>
                </c:pt>
                <c:pt idx="150">
                  <c:v>0.20491803278688525</c:v>
                </c:pt>
                <c:pt idx="151">
                  <c:v>0.2363013698630137</c:v>
                </c:pt>
                <c:pt idx="152">
                  <c:v>0.37652811735941322</c:v>
                </c:pt>
                <c:pt idx="153">
                  <c:v>0.40957446808510639</c:v>
                </c:pt>
                <c:pt idx="154">
                  <c:v>0.23039215686274508</c:v>
                </c:pt>
                <c:pt idx="155">
                  <c:v>0.10833333333333334</c:v>
                </c:pt>
                <c:pt idx="156">
                  <c:v>0.22556390977443608</c:v>
                </c:pt>
                <c:pt idx="157">
                  <c:v>0.13392857142857142</c:v>
                </c:pt>
                <c:pt idx="158">
                  <c:v>0.21249999999999999</c:v>
                </c:pt>
                <c:pt idx="159">
                  <c:v>0.40062111801242234</c:v>
                </c:pt>
                <c:pt idx="160">
                  <c:v>0.17777777777777778</c:v>
                </c:pt>
                <c:pt idx="161">
                  <c:v>0.38538205980066448</c:v>
                </c:pt>
                <c:pt idx="162">
                  <c:v>0.5180327868852459</c:v>
                </c:pt>
                <c:pt idx="163">
                  <c:v>0.13545816733067728</c:v>
                </c:pt>
                <c:pt idx="164">
                  <c:v>0.10333333333333333</c:v>
                </c:pt>
                <c:pt idx="165">
                  <c:v>0.21846846846846846</c:v>
                </c:pt>
                <c:pt idx="166">
                  <c:v>0.352112676056338</c:v>
                </c:pt>
                <c:pt idx="167">
                  <c:v>0.42792792792792794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750-409B-B29A-D76F1E30B4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42839824"/>
        <c:axId val="1632313584"/>
      </c:scatterChart>
      <c:valAx>
        <c:axId val="1642839824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2313584"/>
        <c:crosses val="autoZero"/>
        <c:crossBetween val="midCat"/>
      </c:valAx>
      <c:valAx>
        <c:axId val="163231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28398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BN% vs Malay% P129 Kuala Pilah</c:v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23575678040244968"/>
                  <c:y val="-0.16051181102362205"/>
                </c:manualLayout>
              </c:layout>
              <c:numFmt formatCode="General" sourceLinked="0"/>
              <c:spPr>
                <a:solidFill>
                  <a:schemeClr val="bg1">
                    <a:lumMod val="7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RaceWorksheet!$K$2:$K$169</c:f>
              <c:numCache>
                <c:formatCode>0.0%</c:formatCode>
                <c:ptCount val="168"/>
                <c:pt idx="0">
                  <c:v>0.80333333333333334</c:v>
                </c:pt>
                <c:pt idx="1">
                  <c:v>0.69819819819819817</c:v>
                </c:pt>
                <c:pt idx="2">
                  <c:v>0.995</c:v>
                </c:pt>
                <c:pt idx="3">
                  <c:v>1</c:v>
                </c:pt>
                <c:pt idx="4">
                  <c:v>1</c:v>
                </c:pt>
                <c:pt idx="5">
                  <c:v>0.97199999999999998</c:v>
                </c:pt>
                <c:pt idx="6">
                  <c:v>0.99413489736070382</c:v>
                </c:pt>
                <c:pt idx="7">
                  <c:v>0.99707602339181289</c:v>
                </c:pt>
                <c:pt idx="8">
                  <c:v>1</c:v>
                </c:pt>
                <c:pt idx="9">
                  <c:v>0.99715909090909094</c:v>
                </c:pt>
                <c:pt idx="10">
                  <c:v>0.94</c:v>
                </c:pt>
                <c:pt idx="11">
                  <c:v>0.97699386503067487</c:v>
                </c:pt>
                <c:pt idx="12">
                  <c:v>0.28157894736842104</c:v>
                </c:pt>
                <c:pt idx="13">
                  <c:v>0.34473684210526317</c:v>
                </c:pt>
                <c:pt idx="14">
                  <c:v>0.33333333333333331</c:v>
                </c:pt>
                <c:pt idx="15">
                  <c:v>0.45036764705882354</c:v>
                </c:pt>
                <c:pt idx="16">
                  <c:v>0.59742647058823528</c:v>
                </c:pt>
                <c:pt idx="17">
                  <c:v>0.995</c:v>
                </c:pt>
                <c:pt idx="18">
                  <c:v>0.99739583333333337</c:v>
                </c:pt>
                <c:pt idx="19">
                  <c:v>0.74285714285714288</c:v>
                </c:pt>
                <c:pt idx="20">
                  <c:v>0.67428571428571427</c:v>
                </c:pt>
                <c:pt idx="21">
                  <c:v>0.72580645161290325</c:v>
                </c:pt>
                <c:pt idx="22">
                  <c:v>0.7857142857142857</c:v>
                </c:pt>
                <c:pt idx="23">
                  <c:v>0.80689655172413788</c:v>
                </c:pt>
                <c:pt idx="24">
                  <c:v>0.97</c:v>
                </c:pt>
                <c:pt idx="25">
                  <c:v>0.98666666666666669</c:v>
                </c:pt>
                <c:pt idx="26">
                  <c:v>0.97959183673469385</c:v>
                </c:pt>
                <c:pt idx="27">
                  <c:v>0.98571428571428577</c:v>
                </c:pt>
                <c:pt idx="28">
                  <c:v>0.98571428571428577</c:v>
                </c:pt>
                <c:pt idx="29">
                  <c:v>0.98571428571428577</c:v>
                </c:pt>
                <c:pt idx="30">
                  <c:v>0.7142857142857143</c:v>
                </c:pt>
                <c:pt idx="31">
                  <c:v>0.7857142857142857</c:v>
                </c:pt>
                <c:pt idx="32">
                  <c:v>0.78813559322033899</c:v>
                </c:pt>
                <c:pt idx="33">
                  <c:v>0.8771186440677966</c:v>
                </c:pt>
                <c:pt idx="34">
                  <c:v>0.26682692307692307</c:v>
                </c:pt>
                <c:pt idx="35">
                  <c:v>0.98285714285714287</c:v>
                </c:pt>
                <c:pt idx="36">
                  <c:v>0.99574468085106382</c:v>
                </c:pt>
                <c:pt idx="37">
                  <c:v>0.97142857142857142</c:v>
                </c:pt>
                <c:pt idx="38">
                  <c:v>0.96</c:v>
                </c:pt>
                <c:pt idx="39">
                  <c:v>0.95876288659793818</c:v>
                </c:pt>
                <c:pt idx="40">
                  <c:v>0.97319587628865978</c:v>
                </c:pt>
                <c:pt idx="41">
                  <c:v>1</c:v>
                </c:pt>
                <c:pt idx="42">
                  <c:v>1</c:v>
                </c:pt>
                <c:pt idx="43">
                  <c:v>0.9941860465116279</c:v>
                </c:pt>
                <c:pt idx="44">
                  <c:v>0.9826086956521739</c:v>
                </c:pt>
                <c:pt idx="45">
                  <c:v>0.99712643678160917</c:v>
                </c:pt>
                <c:pt idx="46">
                  <c:v>0.99425287356321834</c:v>
                </c:pt>
                <c:pt idx="47">
                  <c:v>0.92571428571428571</c:v>
                </c:pt>
                <c:pt idx="48">
                  <c:v>0.98440545808966862</c:v>
                </c:pt>
                <c:pt idx="49">
                  <c:v>0.99199999999999999</c:v>
                </c:pt>
                <c:pt idx="50">
                  <c:v>0.99719887955182074</c:v>
                </c:pt>
                <c:pt idx="51">
                  <c:v>0.76021798365122617</c:v>
                </c:pt>
                <c:pt idx="52">
                  <c:v>0.89858490566037741</c:v>
                </c:pt>
                <c:pt idx="53">
                  <c:v>0.91745283018867929</c:v>
                </c:pt>
                <c:pt idx="54">
                  <c:v>1</c:v>
                </c:pt>
                <c:pt idx="55">
                  <c:v>1</c:v>
                </c:pt>
                <c:pt idx="56">
                  <c:v>0.99641577060931896</c:v>
                </c:pt>
                <c:pt idx="57">
                  <c:v>0.90333333333333332</c:v>
                </c:pt>
                <c:pt idx="58">
                  <c:v>0.96502057613168724</c:v>
                </c:pt>
                <c:pt idx="59">
                  <c:v>0.99748743718592969</c:v>
                </c:pt>
                <c:pt idx="60">
                  <c:v>0.995</c:v>
                </c:pt>
                <c:pt idx="61">
                  <c:v>1</c:v>
                </c:pt>
                <c:pt idx="62">
                  <c:v>0.82800982800982803</c:v>
                </c:pt>
                <c:pt idx="63">
                  <c:v>0.99</c:v>
                </c:pt>
                <c:pt idx="64">
                  <c:v>1</c:v>
                </c:pt>
                <c:pt idx="65">
                  <c:v>0.9978813559322034</c:v>
                </c:pt>
                <c:pt idx="66">
                  <c:v>0.99364406779661019</c:v>
                </c:pt>
                <c:pt idx="67">
                  <c:v>0.99576271186440679</c:v>
                </c:pt>
                <c:pt idx="68">
                  <c:v>0.99044585987261147</c:v>
                </c:pt>
                <c:pt idx="69">
                  <c:v>0.99475065616797897</c:v>
                </c:pt>
                <c:pt idx="70">
                  <c:v>0.99737532808398954</c:v>
                </c:pt>
                <c:pt idx="71">
                  <c:v>0.99142857142857144</c:v>
                </c:pt>
                <c:pt idx="72">
                  <c:v>0.99182004089979547</c:v>
                </c:pt>
                <c:pt idx="73">
                  <c:v>0.99386503067484666</c:v>
                </c:pt>
                <c:pt idx="74">
                  <c:v>0.51600000000000001</c:v>
                </c:pt>
                <c:pt idx="75">
                  <c:v>0.496</c:v>
                </c:pt>
                <c:pt idx="76">
                  <c:v>0.7303370786516854</c:v>
                </c:pt>
                <c:pt idx="77">
                  <c:v>0.8117977528089888</c:v>
                </c:pt>
                <c:pt idx="78">
                  <c:v>0.88515406162464982</c:v>
                </c:pt>
                <c:pt idx="79">
                  <c:v>0.78172588832487311</c:v>
                </c:pt>
                <c:pt idx="80">
                  <c:v>0.28499999999999998</c:v>
                </c:pt>
                <c:pt idx="81">
                  <c:v>0.38</c:v>
                </c:pt>
                <c:pt idx="82">
                  <c:v>0.4420289855072464</c:v>
                </c:pt>
                <c:pt idx="83">
                  <c:v>0.58122743682310474</c:v>
                </c:pt>
                <c:pt idx="84">
                  <c:v>0.50541516245487361</c:v>
                </c:pt>
                <c:pt idx="85">
                  <c:v>0.25</c:v>
                </c:pt>
                <c:pt idx="86">
                  <c:v>0.50836120401337792</c:v>
                </c:pt>
                <c:pt idx="87">
                  <c:v>0.67317073170731712</c:v>
                </c:pt>
                <c:pt idx="88">
                  <c:v>0.63902439024390245</c:v>
                </c:pt>
                <c:pt idx="89">
                  <c:v>0.7737003058103975</c:v>
                </c:pt>
                <c:pt idx="90">
                  <c:v>0.81097560975609762</c:v>
                </c:pt>
                <c:pt idx="91">
                  <c:v>0.89939024390243905</c:v>
                </c:pt>
                <c:pt idx="92">
                  <c:v>0.93043478260869561</c:v>
                </c:pt>
                <c:pt idx="93">
                  <c:v>0.90909090909090906</c:v>
                </c:pt>
                <c:pt idx="94">
                  <c:v>0.96875</c:v>
                </c:pt>
                <c:pt idx="95">
                  <c:v>0.95454545454545459</c:v>
                </c:pt>
                <c:pt idx="96">
                  <c:v>0.90909090909090906</c:v>
                </c:pt>
                <c:pt idx="97">
                  <c:v>0.97499999999999998</c:v>
                </c:pt>
                <c:pt idx="98">
                  <c:v>0.97499999999999998</c:v>
                </c:pt>
                <c:pt idx="99">
                  <c:v>0.96296296296296291</c:v>
                </c:pt>
                <c:pt idx="100">
                  <c:v>0.97089947089947093</c:v>
                </c:pt>
                <c:pt idx="101">
                  <c:v>0.48399999999999999</c:v>
                </c:pt>
                <c:pt idx="102">
                  <c:v>0.48</c:v>
                </c:pt>
                <c:pt idx="103">
                  <c:v>0.42924528301886794</c:v>
                </c:pt>
                <c:pt idx="104">
                  <c:v>0.41647058823529409</c:v>
                </c:pt>
                <c:pt idx="105">
                  <c:v>0.49882352941176472</c:v>
                </c:pt>
                <c:pt idx="106">
                  <c:v>0.14399999999999999</c:v>
                </c:pt>
                <c:pt idx="107">
                  <c:v>0.34399999999999997</c:v>
                </c:pt>
                <c:pt idx="108">
                  <c:v>0.40988372093023256</c:v>
                </c:pt>
                <c:pt idx="109">
                  <c:v>0.84656084656084651</c:v>
                </c:pt>
                <c:pt idx="110">
                  <c:v>0.4022222222222222</c:v>
                </c:pt>
                <c:pt idx="111">
                  <c:v>0.46444444444444444</c:v>
                </c:pt>
                <c:pt idx="112">
                  <c:v>0.47111111111111109</c:v>
                </c:pt>
                <c:pt idx="113">
                  <c:v>0.49568965517241381</c:v>
                </c:pt>
                <c:pt idx="114">
                  <c:v>0.45767575322812054</c:v>
                </c:pt>
                <c:pt idx="115">
                  <c:v>0.54949784791965561</c:v>
                </c:pt>
                <c:pt idx="116">
                  <c:v>0.56671449067431856</c:v>
                </c:pt>
                <c:pt idx="117">
                  <c:v>0.64992826398852221</c:v>
                </c:pt>
                <c:pt idx="118">
                  <c:v>0.70875179340028693</c:v>
                </c:pt>
                <c:pt idx="119">
                  <c:v>5.0000000000000001E-3</c:v>
                </c:pt>
                <c:pt idx="120">
                  <c:v>8.8495575221238937E-3</c:v>
                </c:pt>
                <c:pt idx="121">
                  <c:v>0.67889908256880738</c:v>
                </c:pt>
                <c:pt idx="122">
                  <c:v>0.45500000000000002</c:v>
                </c:pt>
                <c:pt idx="123">
                  <c:v>0.53</c:v>
                </c:pt>
                <c:pt idx="124">
                  <c:v>0.65728900255754474</c:v>
                </c:pt>
                <c:pt idx="125">
                  <c:v>0.88010204081632648</c:v>
                </c:pt>
                <c:pt idx="126">
                  <c:v>0.8342857142857143</c:v>
                </c:pt>
                <c:pt idx="127">
                  <c:v>0.76571428571428568</c:v>
                </c:pt>
                <c:pt idx="128">
                  <c:v>0.6804835924006909</c:v>
                </c:pt>
                <c:pt idx="129">
                  <c:v>0.71675302245250427</c:v>
                </c:pt>
                <c:pt idx="130">
                  <c:v>0.70344827586206893</c:v>
                </c:pt>
                <c:pt idx="131">
                  <c:v>0.67413793103448272</c:v>
                </c:pt>
                <c:pt idx="132">
                  <c:v>1</c:v>
                </c:pt>
                <c:pt idx="133">
                  <c:v>0.99734748010610075</c:v>
                </c:pt>
                <c:pt idx="134">
                  <c:v>0.99369085173501581</c:v>
                </c:pt>
                <c:pt idx="135">
                  <c:v>0.99101796407185627</c:v>
                </c:pt>
                <c:pt idx="136">
                  <c:v>0.9970149253731343</c:v>
                </c:pt>
                <c:pt idx="137">
                  <c:v>0.98333333333333328</c:v>
                </c:pt>
                <c:pt idx="138">
                  <c:v>0.94074074074074077</c:v>
                </c:pt>
                <c:pt idx="139">
                  <c:v>0.94814814814814818</c:v>
                </c:pt>
                <c:pt idx="140">
                  <c:v>0.44800000000000001</c:v>
                </c:pt>
                <c:pt idx="141">
                  <c:v>0.67263427109974427</c:v>
                </c:pt>
                <c:pt idx="142">
                  <c:v>0.21142857142857144</c:v>
                </c:pt>
                <c:pt idx="143">
                  <c:v>0.30571428571428572</c:v>
                </c:pt>
                <c:pt idx="144">
                  <c:v>0.29677419354838708</c:v>
                </c:pt>
                <c:pt idx="145">
                  <c:v>0.38709677419354838</c:v>
                </c:pt>
                <c:pt idx="146">
                  <c:v>0.5971428571428572</c:v>
                </c:pt>
                <c:pt idx="147">
                  <c:v>0.53378378378378377</c:v>
                </c:pt>
                <c:pt idx="148">
                  <c:v>0.70337078651685392</c:v>
                </c:pt>
                <c:pt idx="149">
                  <c:v>0.797752808988764</c:v>
                </c:pt>
                <c:pt idx="150">
                  <c:v>0.9028571428571428</c:v>
                </c:pt>
                <c:pt idx="151">
                  <c:v>0.89714285714285713</c:v>
                </c:pt>
                <c:pt idx="152">
                  <c:v>0.87164750957854409</c:v>
                </c:pt>
                <c:pt idx="153">
                  <c:v>0.93499043977055452</c:v>
                </c:pt>
                <c:pt idx="154">
                  <c:v>0.91408934707903777</c:v>
                </c:pt>
                <c:pt idx="155">
                  <c:v>0.29499999999999998</c:v>
                </c:pt>
                <c:pt idx="156">
                  <c:v>0.5768194070080862</c:v>
                </c:pt>
                <c:pt idx="157">
                  <c:v>0.954983922829582</c:v>
                </c:pt>
                <c:pt idx="158">
                  <c:v>0.93689320388349517</c:v>
                </c:pt>
                <c:pt idx="159">
                  <c:v>0.95641646489104115</c:v>
                </c:pt>
                <c:pt idx="160">
                  <c:v>0.96193771626297575</c:v>
                </c:pt>
                <c:pt idx="161">
                  <c:v>0.94373401534526857</c:v>
                </c:pt>
                <c:pt idx="162">
                  <c:v>0.96419437340153458</c:v>
                </c:pt>
                <c:pt idx="163">
                  <c:v>0.72571428571428576</c:v>
                </c:pt>
                <c:pt idx="164">
                  <c:v>0.73142857142857143</c:v>
                </c:pt>
                <c:pt idx="165">
                  <c:v>0.77351916376306618</c:v>
                </c:pt>
                <c:pt idx="166">
                  <c:v>0.83449477351916379</c:v>
                </c:pt>
                <c:pt idx="167">
                  <c:v>0.8571428571428571</c:v>
                </c:pt>
              </c:numCache>
            </c:numRef>
          </c:xVal>
          <c:yVal>
            <c:numRef>
              <c:f>RaceWorksheet!$C$2:$C$169</c:f>
              <c:numCache>
                <c:formatCode>0.0%</c:formatCode>
                <c:ptCount val="168"/>
                <c:pt idx="0">
                  <c:v>0.6244897959183674</c:v>
                </c:pt>
                <c:pt idx="1">
                  <c:v>0.66275659824046917</c:v>
                </c:pt>
                <c:pt idx="2">
                  <c:v>0.6797385620915033</c:v>
                </c:pt>
                <c:pt idx="3">
                  <c:v>0.38604651162790699</c:v>
                </c:pt>
                <c:pt idx="4">
                  <c:v>0.49519230769230771</c:v>
                </c:pt>
                <c:pt idx="5">
                  <c:v>0.68279569892473113</c:v>
                </c:pt>
                <c:pt idx="6">
                  <c:v>0.47211895910780671</c:v>
                </c:pt>
                <c:pt idx="7">
                  <c:v>0.40287769784172661</c:v>
                </c:pt>
                <c:pt idx="8">
                  <c:v>0.62295081967213117</c:v>
                </c:pt>
                <c:pt idx="9">
                  <c:v>0.46402877697841727</c:v>
                </c:pt>
                <c:pt idx="10">
                  <c:v>0.63835616438356169</c:v>
                </c:pt>
                <c:pt idx="11">
                  <c:v>0.46692607003891051</c:v>
                </c:pt>
                <c:pt idx="12">
                  <c:v>0.30633802816901406</c:v>
                </c:pt>
                <c:pt idx="13">
                  <c:v>0.31715210355987056</c:v>
                </c:pt>
                <c:pt idx="14">
                  <c:v>0.24671916010498687</c:v>
                </c:pt>
                <c:pt idx="15">
                  <c:v>0.25753424657534246</c:v>
                </c:pt>
                <c:pt idx="16">
                  <c:v>0.26020408163265307</c:v>
                </c:pt>
                <c:pt idx="17">
                  <c:v>0.5859872611464968</c:v>
                </c:pt>
                <c:pt idx="18">
                  <c:v>0.38080495356037153</c:v>
                </c:pt>
                <c:pt idx="19">
                  <c:v>0.44186046511627908</c:v>
                </c:pt>
                <c:pt idx="20">
                  <c:v>0.30633802816901406</c:v>
                </c:pt>
                <c:pt idx="21">
                  <c:v>0.29206349206349208</c:v>
                </c:pt>
                <c:pt idx="22">
                  <c:v>0.24773413897280966</c:v>
                </c:pt>
                <c:pt idx="23">
                  <c:v>0.24340175953079179</c:v>
                </c:pt>
                <c:pt idx="24">
                  <c:v>0.68159203980099503</c:v>
                </c:pt>
                <c:pt idx="25">
                  <c:v>0.65863453815261042</c:v>
                </c:pt>
                <c:pt idx="26">
                  <c:v>0.51443569553805779</c:v>
                </c:pt>
                <c:pt idx="27">
                  <c:v>0.44788732394366199</c:v>
                </c:pt>
                <c:pt idx="28">
                  <c:v>0.36986301369863012</c:v>
                </c:pt>
                <c:pt idx="29">
                  <c:v>0.29782082324455206</c:v>
                </c:pt>
                <c:pt idx="30">
                  <c:v>0.52589641434262946</c:v>
                </c:pt>
                <c:pt idx="31">
                  <c:v>0.52380952380952384</c:v>
                </c:pt>
                <c:pt idx="32">
                  <c:v>0.43296089385474862</c:v>
                </c:pt>
                <c:pt idx="33">
                  <c:v>0.36694677871148457</c:v>
                </c:pt>
                <c:pt idx="34">
                  <c:v>0.73313782991202348</c:v>
                </c:pt>
                <c:pt idx="35">
                  <c:v>0.58064516129032262</c:v>
                </c:pt>
                <c:pt idx="36">
                  <c:v>0.46456692913385828</c:v>
                </c:pt>
                <c:pt idx="37">
                  <c:v>0.58301158301158296</c:v>
                </c:pt>
                <c:pt idx="38">
                  <c:v>0.54915254237288136</c:v>
                </c:pt>
                <c:pt idx="39">
                  <c:v>0.47545219638242892</c:v>
                </c:pt>
                <c:pt idx="40">
                  <c:v>0.40897097625329815</c:v>
                </c:pt>
                <c:pt idx="41">
                  <c:v>0.58720930232558144</c:v>
                </c:pt>
                <c:pt idx="42">
                  <c:v>0.37090909090909091</c:v>
                </c:pt>
                <c:pt idx="43">
                  <c:v>0.37800687285223367</c:v>
                </c:pt>
                <c:pt idx="44">
                  <c:v>0.6467065868263473</c:v>
                </c:pt>
                <c:pt idx="45">
                  <c:v>0.43727598566308246</c:v>
                </c:pt>
                <c:pt idx="46">
                  <c:v>0.42545454545454547</c:v>
                </c:pt>
                <c:pt idx="47">
                  <c:v>0.53985507246376807</c:v>
                </c:pt>
                <c:pt idx="48">
                  <c:v>0.44783715012722647</c:v>
                </c:pt>
                <c:pt idx="49">
                  <c:v>0.56983240223463683</c:v>
                </c:pt>
                <c:pt idx="50">
                  <c:v>0.39721254355400698</c:v>
                </c:pt>
                <c:pt idx="51">
                  <c:v>0.54811715481171552</c:v>
                </c:pt>
                <c:pt idx="52">
                  <c:v>0.49520766773162939</c:v>
                </c:pt>
                <c:pt idx="53">
                  <c:v>0.4050632911392405</c:v>
                </c:pt>
                <c:pt idx="54">
                  <c:v>0.51379310344827589</c:v>
                </c:pt>
                <c:pt idx="55">
                  <c:v>0.52727272727272723</c:v>
                </c:pt>
                <c:pt idx="56">
                  <c:v>0.43062200956937802</c:v>
                </c:pt>
                <c:pt idx="57">
                  <c:v>0.58252427184466016</c:v>
                </c:pt>
                <c:pt idx="58">
                  <c:v>0.38753387533875339</c:v>
                </c:pt>
                <c:pt idx="59">
                  <c:v>0.46619217081850534</c:v>
                </c:pt>
                <c:pt idx="60">
                  <c:v>0.64935064935064934</c:v>
                </c:pt>
                <c:pt idx="61">
                  <c:v>0.49122807017543857</c:v>
                </c:pt>
                <c:pt idx="62">
                  <c:v>0.51582278481012656</c:v>
                </c:pt>
                <c:pt idx="63">
                  <c:v>0.78707224334600756</c:v>
                </c:pt>
                <c:pt idx="64">
                  <c:v>0.75285171102661597</c:v>
                </c:pt>
                <c:pt idx="65">
                  <c:v>0.58583106267029972</c:v>
                </c:pt>
                <c:pt idx="66">
                  <c:v>0.47863247863247865</c:v>
                </c:pt>
                <c:pt idx="67">
                  <c:v>0.52356020942408377</c:v>
                </c:pt>
                <c:pt idx="68">
                  <c:v>0.68487394957983194</c:v>
                </c:pt>
                <c:pt idx="69">
                  <c:v>0.49650349650349651</c:v>
                </c:pt>
                <c:pt idx="70">
                  <c:v>0.41528239202657807</c:v>
                </c:pt>
                <c:pt idx="71">
                  <c:v>0.61111111111111116</c:v>
                </c:pt>
                <c:pt idx="72">
                  <c:v>0.54936708860759498</c:v>
                </c:pt>
                <c:pt idx="73">
                  <c:v>0.43489583333333331</c:v>
                </c:pt>
                <c:pt idx="74">
                  <c:v>0.40625</c:v>
                </c:pt>
                <c:pt idx="75">
                  <c:v>0.3891625615763547</c:v>
                </c:pt>
                <c:pt idx="76">
                  <c:v>0.38709677419354838</c:v>
                </c:pt>
                <c:pt idx="77">
                  <c:v>0.34980988593155893</c:v>
                </c:pt>
                <c:pt idx="78">
                  <c:v>0.43396226415094341</c:v>
                </c:pt>
                <c:pt idx="79">
                  <c:v>0.40425531914893614</c:v>
                </c:pt>
                <c:pt idx="80">
                  <c:v>0.33333333333333331</c:v>
                </c:pt>
                <c:pt idx="81">
                  <c:v>0.39072847682119205</c:v>
                </c:pt>
                <c:pt idx="82">
                  <c:v>0.32857142857142857</c:v>
                </c:pt>
                <c:pt idx="83">
                  <c:v>0.30541871921182268</c:v>
                </c:pt>
                <c:pt idx="84">
                  <c:v>0.21938775510204081</c:v>
                </c:pt>
                <c:pt idx="85">
                  <c:v>0.22580645161290322</c:v>
                </c:pt>
                <c:pt idx="86">
                  <c:v>0.25217391304347825</c:v>
                </c:pt>
                <c:pt idx="87">
                  <c:v>0.56589147286821706</c:v>
                </c:pt>
                <c:pt idx="88">
                  <c:v>0.48837209302325579</c:v>
                </c:pt>
                <c:pt idx="89">
                  <c:v>0.51200000000000001</c:v>
                </c:pt>
                <c:pt idx="90">
                  <c:v>0.44827586206896552</c:v>
                </c:pt>
                <c:pt idx="91">
                  <c:v>0.40316205533596838</c:v>
                </c:pt>
                <c:pt idx="92">
                  <c:v>0.67567567567567566</c:v>
                </c:pt>
                <c:pt idx="93">
                  <c:v>0.58602150537634412</c:v>
                </c:pt>
                <c:pt idx="94">
                  <c:v>0.53356890459363959</c:v>
                </c:pt>
                <c:pt idx="95">
                  <c:v>0.4392156862745098</c:v>
                </c:pt>
                <c:pt idx="96">
                  <c:v>0.39560439560439559</c:v>
                </c:pt>
                <c:pt idx="97">
                  <c:v>0.64122137404580148</c:v>
                </c:pt>
                <c:pt idx="98">
                  <c:v>0.68292682926829273</c:v>
                </c:pt>
                <c:pt idx="99">
                  <c:v>0.43402777777777779</c:v>
                </c:pt>
                <c:pt idx="100">
                  <c:v>0.39527027027027029</c:v>
                </c:pt>
                <c:pt idx="101">
                  <c:v>0.4</c:v>
                </c:pt>
                <c:pt idx="102">
                  <c:v>0.36499999999999999</c:v>
                </c:pt>
                <c:pt idx="103">
                  <c:v>0.26333333333333331</c:v>
                </c:pt>
                <c:pt idx="104">
                  <c:v>0.21180555555555555</c:v>
                </c:pt>
                <c:pt idx="105">
                  <c:v>0.29931972789115646</c:v>
                </c:pt>
                <c:pt idx="106">
                  <c:v>0.192</c:v>
                </c:pt>
                <c:pt idx="107">
                  <c:v>0.26344086021505375</c:v>
                </c:pt>
                <c:pt idx="108">
                  <c:v>0.16935483870967741</c:v>
                </c:pt>
                <c:pt idx="109">
                  <c:v>0.44800000000000001</c:v>
                </c:pt>
                <c:pt idx="110">
                  <c:v>0.37546468401486988</c:v>
                </c:pt>
                <c:pt idx="111">
                  <c:v>0.35977337110481589</c:v>
                </c:pt>
                <c:pt idx="112">
                  <c:v>0.33147632311977715</c:v>
                </c:pt>
                <c:pt idx="113">
                  <c:v>0.27852998065764023</c:v>
                </c:pt>
                <c:pt idx="114">
                  <c:v>0.23553719008264462</c:v>
                </c:pt>
                <c:pt idx="115">
                  <c:v>0.2510460251046025</c:v>
                </c:pt>
                <c:pt idx="116">
                  <c:v>0.30309278350515462</c:v>
                </c:pt>
                <c:pt idx="117">
                  <c:v>0.28000000000000003</c:v>
                </c:pt>
                <c:pt idx="118">
                  <c:v>0.30541012216404889</c:v>
                </c:pt>
                <c:pt idx="119">
                  <c:v>8.4033613445378158E-2</c:v>
                </c:pt>
                <c:pt idx="120">
                  <c:v>3.7974683544303799E-2</c:v>
                </c:pt>
                <c:pt idx="121">
                  <c:v>0.41791044776119401</c:v>
                </c:pt>
                <c:pt idx="122">
                  <c:v>0.44827586206896552</c:v>
                </c:pt>
                <c:pt idx="123">
                  <c:v>0.41875000000000001</c:v>
                </c:pt>
                <c:pt idx="124">
                  <c:v>0.36131386861313869</c:v>
                </c:pt>
                <c:pt idx="125">
                  <c:v>0.38795986622073581</c:v>
                </c:pt>
                <c:pt idx="126">
                  <c:v>0.65354330708661412</c:v>
                </c:pt>
                <c:pt idx="127">
                  <c:v>0.55960264900662249</c:v>
                </c:pt>
                <c:pt idx="128">
                  <c:v>0.42299349240780909</c:v>
                </c:pt>
                <c:pt idx="129">
                  <c:v>0.39523809523809522</c:v>
                </c:pt>
                <c:pt idx="130">
                  <c:v>0.3623529411764706</c:v>
                </c:pt>
                <c:pt idx="131">
                  <c:v>0.31463414634146342</c:v>
                </c:pt>
                <c:pt idx="132">
                  <c:v>0.73</c:v>
                </c:pt>
                <c:pt idx="133">
                  <c:v>0.50694444444444442</c:v>
                </c:pt>
                <c:pt idx="134">
                  <c:v>0.60728744939271251</c:v>
                </c:pt>
                <c:pt idx="135">
                  <c:v>0.52788104089219334</c:v>
                </c:pt>
                <c:pt idx="136">
                  <c:v>0.379182156133829</c:v>
                </c:pt>
                <c:pt idx="137">
                  <c:v>0.65158371040723984</c:v>
                </c:pt>
                <c:pt idx="138">
                  <c:v>0.5286624203821656</c:v>
                </c:pt>
                <c:pt idx="139">
                  <c:v>0.40993788819875776</c:v>
                </c:pt>
                <c:pt idx="140">
                  <c:v>0.4022346368715084</c:v>
                </c:pt>
                <c:pt idx="141">
                  <c:v>0.36678200692041524</c:v>
                </c:pt>
                <c:pt idx="142">
                  <c:v>0.29779411764705882</c:v>
                </c:pt>
                <c:pt idx="143">
                  <c:v>0.25506072874493929</c:v>
                </c:pt>
                <c:pt idx="144">
                  <c:v>0.18849840255591055</c:v>
                </c:pt>
                <c:pt idx="145">
                  <c:v>0.23125000000000001</c:v>
                </c:pt>
                <c:pt idx="146">
                  <c:v>0.50583657587548636</c:v>
                </c:pt>
                <c:pt idx="147">
                  <c:v>0.50555555555555554</c:v>
                </c:pt>
                <c:pt idx="148">
                  <c:v>0.41795665634674922</c:v>
                </c:pt>
                <c:pt idx="149">
                  <c:v>0.4349112426035503</c:v>
                </c:pt>
                <c:pt idx="150">
                  <c:v>0.56557377049180324</c:v>
                </c:pt>
                <c:pt idx="151">
                  <c:v>0.54452054794520544</c:v>
                </c:pt>
                <c:pt idx="152">
                  <c:v>0.45721271393643031</c:v>
                </c:pt>
                <c:pt idx="153">
                  <c:v>0.46276595744680848</c:v>
                </c:pt>
                <c:pt idx="154">
                  <c:v>0.55392156862745101</c:v>
                </c:pt>
                <c:pt idx="155">
                  <c:v>0.33333333333333331</c:v>
                </c:pt>
                <c:pt idx="156">
                  <c:v>0.26315789473684209</c:v>
                </c:pt>
                <c:pt idx="157">
                  <c:v>0.6919642857142857</c:v>
                </c:pt>
                <c:pt idx="158">
                  <c:v>0.54374999999999996</c:v>
                </c:pt>
                <c:pt idx="159">
                  <c:v>0.39751552795031053</c:v>
                </c:pt>
                <c:pt idx="160">
                  <c:v>0.61333333333333329</c:v>
                </c:pt>
                <c:pt idx="161">
                  <c:v>0.42192691029900331</c:v>
                </c:pt>
                <c:pt idx="162">
                  <c:v>0.28852459016393445</c:v>
                </c:pt>
                <c:pt idx="163">
                  <c:v>0.52191235059760954</c:v>
                </c:pt>
                <c:pt idx="164">
                  <c:v>0.54</c:v>
                </c:pt>
                <c:pt idx="165">
                  <c:v>0.45945945945945948</c:v>
                </c:pt>
                <c:pt idx="166">
                  <c:v>0.3779342723004695</c:v>
                </c:pt>
                <c:pt idx="167">
                  <c:v>0.34459459459459457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4A2-4A9D-A83D-6DC90CB009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42839824"/>
        <c:axId val="1632313584"/>
      </c:scatterChart>
      <c:valAx>
        <c:axId val="1642839824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2313584"/>
        <c:crosses val="autoZero"/>
        <c:crossBetween val="midCat"/>
      </c:valAx>
      <c:valAx>
        <c:axId val="163231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28398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PH% vs Chinese% P129 Kuala Pilah</c:v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8.5041994750656172E-2"/>
                  <c:y val="-6.4895742198891812E-2"/>
                </c:manualLayout>
              </c:layout>
              <c:numFmt formatCode="General" sourceLinked="0"/>
              <c:spPr>
                <a:solidFill>
                  <a:schemeClr val="bg1">
                    <a:lumMod val="7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RaceWorksheet!$L$2:$L$169</c:f>
              <c:numCache>
                <c:formatCode>0.0%</c:formatCode>
                <c:ptCount val="168"/>
                <c:pt idx="0">
                  <c:v>0</c:v>
                </c:pt>
                <c:pt idx="1">
                  <c:v>2.2522522522522522E-3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1.6E-2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4.6666666666666669E-2</c:v>
                </c:pt>
                <c:pt idx="11">
                  <c:v>6.1349693251533744E-3</c:v>
                </c:pt>
                <c:pt idx="12">
                  <c:v>0.47631578947368419</c:v>
                </c:pt>
                <c:pt idx="13">
                  <c:v>0.41842105263157897</c:v>
                </c:pt>
                <c:pt idx="14">
                  <c:v>0.47882136279926335</c:v>
                </c:pt>
                <c:pt idx="15">
                  <c:v>0.3547794117647059</c:v>
                </c:pt>
                <c:pt idx="16">
                  <c:v>0.24080882352941177</c:v>
                </c:pt>
                <c:pt idx="17">
                  <c:v>5.0000000000000001E-3</c:v>
                </c:pt>
                <c:pt idx="18">
                  <c:v>2.6041666666666665E-3</c:v>
                </c:pt>
                <c:pt idx="19">
                  <c:v>0.21714285714285714</c:v>
                </c:pt>
                <c:pt idx="20">
                  <c:v>0.24285714285714285</c:v>
                </c:pt>
                <c:pt idx="21">
                  <c:v>0.20506912442396313</c:v>
                </c:pt>
                <c:pt idx="22">
                  <c:v>0.16129032258064516</c:v>
                </c:pt>
                <c:pt idx="23">
                  <c:v>0.13563218390804599</c:v>
                </c:pt>
                <c:pt idx="24">
                  <c:v>6.6666666666666671E-3</c:v>
                </c:pt>
                <c:pt idx="25">
                  <c:v>0</c:v>
                </c:pt>
                <c:pt idx="26">
                  <c:v>6.1224489795918364E-3</c:v>
                </c:pt>
                <c:pt idx="27">
                  <c:v>4.0816326530612249E-3</c:v>
                </c:pt>
                <c:pt idx="28">
                  <c:v>0</c:v>
                </c:pt>
                <c:pt idx="29">
                  <c:v>0</c:v>
                </c:pt>
                <c:pt idx="30">
                  <c:v>0.23714285714285716</c:v>
                </c:pt>
                <c:pt idx="31">
                  <c:v>0.18</c:v>
                </c:pt>
                <c:pt idx="32">
                  <c:v>0.1440677966101695</c:v>
                </c:pt>
                <c:pt idx="33">
                  <c:v>8.050847457627118E-2</c:v>
                </c:pt>
                <c:pt idx="34">
                  <c:v>1.4423076923076924E-2</c:v>
                </c:pt>
                <c:pt idx="35">
                  <c:v>1.4285714285714285E-2</c:v>
                </c:pt>
                <c:pt idx="36">
                  <c:v>2.1276595744680851E-3</c:v>
                </c:pt>
                <c:pt idx="37">
                  <c:v>5.7142857142857143E-3</c:v>
                </c:pt>
                <c:pt idx="38">
                  <c:v>5.7142857142857143E-3</c:v>
                </c:pt>
                <c:pt idx="39">
                  <c:v>0</c:v>
                </c:pt>
                <c:pt idx="40">
                  <c:v>2.0618556701030928E-3</c:v>
                </c:pt>
                <c:pt idx="41">
                  <c:v>0</c:v>
                </c:pt>
                <c:pt idx="42">
                  <c:v>0</c:v>
                </c:pt>
                <c:pt idx="43">
                  <c:v>2.9069767441860465E-3</c:v>
                </c:pt>
                <c:pt idx="44">
                  <c:v>1.7391304347826087E-2</c:v>
                </c:pt>
                <c:pt idx="45">
                  <c:v>0</c:v>
                </c:pt>
                <c:pt idx="46">
                  <c:v>0</c:v>
                </c:pt>
                <c:pt idx="47">
                  <c:v>7.1428571428571425E-2</c:v>
                </c:pt>
                <c:pt idx="48">
                  <c:v>1.5594541910331383E-2</c:v>
                </c:pt>
                <c:pt idx="49">
                  <c:v>8.0000000000000002E-3</c:v>
                </c:pt>
                <c:pt idx="50">
                  <c:v>2.8011204481792717E-3</c:v>
                </c:pt>
                <c:pt idx="51">
                  <c:v>0.22070844686648503</c:v>
                </c:pt>
                <c:pt idx="52">
                  <c:v>8.4905660377358486E-2</c:v>
                </c:pt>
                <c:pt idx="53">
                  <c:v>7.5471698113207544E-2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0.09</c:v>
                </c:pt>
                <c:pt idx="58">
                  <c:v>3.292181069958848E-2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5.1597051597051594E-2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2.1186440677966102E-3</c:v>
                </c:pt>
                <c:pt idx="67">
                  <c:v>0</c:v>
                </c:pt>
                <c:pt idx="68">
                  <c:v>3.1847133757961785E-3</c:v>
                </c:pt>
                <c:pt idx="69">
                  <c:v>0</c:v>
                </c:pt>
                <c:pt idx="70">
                  <c:v>0</c:v>
                </c:pt>
                <c:pt idx="71">
                  <c:v>5.7142857142857143E-3</c:v>
                </c:pt>
                <c:pt idx="72">
                  <c:v>2.0449897750511249E-3</c:v>
                </c:pt>
                <c:pt idx="73">
                  <c:v>2.0449897750511249E-3</c:v>
                </c:pt>
                <c:pt idx="74">
                  <c:v>0.48</c:v>
                </c:pt>
                <c:pt idx="75">
                  <c:v>0.496</c:v>
                </c:pt>
                <c:pt idx="76">
                  <c:v>0.24157303370786518</c:v>
                </c:pt>
                <c:pt idx="77">
                  <c:v>0.15730337078651685</c:v>
                </c:pt>
                <c:pt idx="78">
                  <c:v>9.2436974789915971E-2</c:v>
                </c:pt>
                <c:pt idx="79">
                  <c:v>0.1649746192893401</c:v>
                </c:pt>
                <c:pt idx="80">
                  <c:v>0.65500000000000003</c:v>
                </c:pt>
                <c:pt idx="81">
                  <c:v>0.56499999999999995</c:v>
                </c:pt>
                <c:pt idx="82">
                  <c:v>0.47101449275362317</c:v>
                </c:pt>
                <c:pt idx="83">
                  <c:v>0.35740072202166068</c:v>
                </c:pt>
                <c:pt idx="84">
                  <c:v>0.29241877256317689</c:v>
                </c:pt>
                <c:pt idx="85">
                  <c:v>0.56666666666666665</c:v>
                </c:pt>
                <c:pt idx="86">
                  <c:v>0.34113712374581939</c:v>
                </c:pt>
                <c:pt idx="87">
                  <c:v>0.30243902439024389</c:v>
                </c:pt>
                <c:pt idx="88">
                  <c:v>0.35121951219512193</c:v>
                </c:pt>
                <c:pt idx="89">
                  <c:v>0.20489296636085627</c:v>
                </c:pt>
                <c:pt idx="90">
                  <c:v>0.17682926829268292</c:v>
                </c:pt>
                <c:pt idx="91">
                  <c:v>8.2317073170731711E-2</c:v>
                </c:pt>
                <c:pt idx="92">
                  <c:v>4.7826086956521741E-2</c:v>
                </c:pt>
                <c:pt idx="93">
                  <c:v>6.0606060606060608E-2</c:v>
                </c:pt>
                <c:pt idx="94">
                  <c:v>2.2727272727272728E-2</c:v>
                </c:pt>
                <c:pt idx="95">
                  <c:v>3.9772727272727272E-2</c:v>
                </c:pt>
                <c:pt idx="96">
                  <c:v>7.6704545454545456E-2</c:v>
                </c:pt>
                <c:pt idx="97">
                  <c:v>1.4999999999999999E-2</c:v>
                </c:pt>
                <c:pt idx="98">
                  <c:v>1.4999999999999999E-2</c:v>
                </c:pt>
                <c:pt idx="99">
                  <c:v>2.3809523809523808E-2</c:v>
                </c:pt>
                <c:pt idx="100">
                  <c:v>1.0582010582010581E-2</c:v>
                </c:pt>
                <c:pt idx="101">
                  <c:v>0.46800000000000003</c:v>
                </c:pt>
                <c:pt idx="102">
                  <c:v>0.48</c:v>
                </c:pt>
                <c:pt idx="103">
                  <c:v>0.52122641509433965</c:v>
                </c:pt>
                <c:pt idx="104">
                  <c:v>0.5270588235294118</c:v>
                </c:pt>
                <c:pt idx="105">
                  <c:v>0.44941176470588234</c:v>
                </c:pt>
                <c:pt idx="106">
                  <c:v>0.78</c:v>
                </c:pt>
                <c:pt idx="107">
                  <c:v>0.63600000000000001</c:v>
                </c:pt>
                <c:pt idx="108">
                  <c:v>0.56976744186046513</c:v>
                </c:pt>
                <c:pt idx="109">
                  <c:v>0.13756613756613756</c:v>
                </c:pt>
                <c:pt idx="110">
                  <c:v>0.35777777777777775</c:v>
                </c:pt>
                <c:pt idx="111">
                  <c:v>0.30888888888888888</c:v>
                </c:pt>
                <c:pt idx="112">
                  <c:v>0.3</c:v>
                </c:pt>
                <c:pt idx="113">
                  <c:v>0.33189655172413796</c:v>
                </c:pt>
                <c:pt idx="114">
                  <c:v>0.39167862266857961</c:v>
                </c:pt>
                <c:pt idx="115">
                  <c:v>0.31276901004304158</c:v>
                </c:pt>
                <c:pt idx="116">
                  <c:v>0.27833572453371591</c:v>
                </c:pt>
                <c:pt idx="117">
                  <c:v>0.22525107604017217</c:v>
                </c:pt>
                <c:pt idx="118">
                  <c:v>0.19655667144906744</c:v>
                </c:pt>
                <c:pt idx="119">
                  <c:v>0.93500000000000005</c:v>
                </c:pt>
                <c:pt idx="120">
                  <c:v>0.96017699115044253</c:v>
                </c:pt>
                <c:pt idx="121">
                  <c:v>0.11926605504587157</c:v>
                </c:pt>
                <c:pt idx="122">
                  <c:v>0.46</c:v>
                </c:pt>
                <c:pt idx="123">
                  <c:v>0.33500000000000002</c:v>
                </c:pt>
                <c:pt idx="124">
                  <c:v>0.21483375959079284</c:v>
                </c:pt>
                <c:pt idx="125">
                  <c:v>5.8673469387755105E-2</c:v>
                </c:pt>
                <c:pt idx="126">
                  <c:v>9.1428571428571428E-2</c:v>
                </c:pt>
                <c:pt idx="127">
                  <c:v>0.12857142857142856</c:v>
                </c:pt>
                <c:pt idx="128">
                  <c:v>0.21243523316062177</c:v>
                </c:pt>
                <c:pt idx="129">
                  <c:v>0.20552677029360966</c:v>
                </c:pt>
                <c:pt idx="130">
                  <c:v>0.18793103448275861</c:v>
                </c:pt>
                <c:pt idx="131">
                  <c:v>0.20517241379310344</c:v>
                </c:pt>
                <c:pt idx="132">
                  <c:v>0</c:v>
                </c:pt>
                <c:pt idx="133">
                  <c:v>2.6525198938992041E-3</c:v>
                </c:pt>
                <c:pt idx="134">
                  <c:v>3.1545741324921135E-3</c:v>
                </c:pt>
                <c:pt idx="135">
                  <c:v>2.9940119760479044E-3</c:v>
                </c:pt>
                <c:pt idx="136">
                  <c:v>0</c:v>
                </c:pt>
                <c:pt idx="137">
                  <c:v>0.01</c:v>
                </c:pt>
                <c:pt idx="138">
                  <c:v>4.4444444444444446E-2</c:v>
                </c:pt>
                <c:pt idx="139">
                  <c:v>3.2098765432098768E-2</c:v>
                </c:pt>
                <c:pt idx="140">
                  <c:v>0.46400000000000002</c:v>
                </c:pt>
                <c:pt idx="141">
                  <c:v>0.24296675191815856</c:v>
                </c:pt>
                <c:pt idx="142">
                  <c:v>0.72857142857142854</c:v>
                </c:pt>
                <c:pt idx="143">
                  <c:v>0.58571428571428574</c:v>
                </c:pt>
                <c:pt idx="144">
                  <c:v>0.56774193548387097</c:v>
                </c:pt>
                <c:pt idx="145">
                  <c:v>0.44516129032258067</c:v>
                </c:pt>
                <c:pt idx="146">
                  <c:v>0.1657142857142857</c:v>
                </c:pt>
                <c:pt idx="147">
                  <c:v>7.2072072072072071E-2</c:v>
                </c:pt>
                <c:pt idx="148">
                  <c:v>2.247191011235955E-2</c:v>
                </c:pt>
                <c:pt idx="149">
                  <c:v>3.3707865168539325E-2</c:v>
                </c:pt>
                <c:pt idx="150">
                  <c:v>2.8571428571428571E-3</c:v>
                </c:pt>
                <c:pt idx="151">
                  <c:v>0</c:v>
                </c:pt>
                <c:pt idx="152">
                  <c:v>3.8314176245210726E-3</c:v>
                </c:pt>
                <c:pt idx="153">
                  <c:v>1.338432122370937E-2</c:v>
                </c:pt>
                <c:pt idx="154">
                  <c:v>1.7182130584192441E-2</c:v>
                </c:pt>
                <c:pt idx="155">
                  <c:v>0.65</c:v>
                </c:pt>
                <c:pt idx="156">
                  <c:v>0.33962264150943394</c:v>
                </c:pt>
                <c:pt idx="157">
                  <c:v>9.6463022508038593E-3</c:v>
                </c:pt>
                <c:pt idx="158">
                  <c:v>9.7087378640776691E-3</c:v>
                </c:pt>
                <c:pt idx="159">
                  <c:v>2.4213075060532689E-3</c:v>
                </c:pt>
                <c:pt idx="160">
                  <c:v>3.4602076124567477E-2</c:v>
                </c:pt>
                <c:pt idx="161">
                  <c:v>4.3478260869565216E-2</c:v>
                </c:pt>
                <c:pt idx="162">
                  <c:v>2.8132992327365727E-2</c:v>
                </c:pt>
                <c:pt idx="163">
                  <c:v>0.24857142857142858</c:v>
                </c:pt>
                <c:pt idx="164">
                  <c:v>0.24571428571428572</c:v>
                </c:pt>
                <c:pt idx="165">
                  <c:v>0.19860627177700349</c:v>
                </c:pt>
                <c:pt idx="166">
                  <c:v>0.13066202090592335</c:v>
                </c:pt>
                <c:pt idx="167">
                  <c:v>0.11846689895470383</c:v>
                </c:pt>
              </c:numCache>
            </c:numRef>
          </c:xVal>
          <c:yVal>
            <c:numRef>
              <c:f>RaceWorksheet!$A$2:$A$169</c:f>
              <c:numCache>
                <c:formatCode>0.0%</c:formatCode>
                <c:ptCount val="168"/>
                <c:pt idx="0">
                  <c:v>0.14693877551020409</c:v>
                </c:pt>
                <c:pt idx="1">
                  <c:v>0.12903225806451613</c:v>
                </c:pt>
                <c:pt idx="2">
                  <c:v>0.17647058823529413</c:v>
                </c:pt>
                <c:pt idx="3">
                  <c:v>0.15348837209302327</c:v>
                </c:pt>
                <c:pt idx="4">
                  <c:v>0.13461538461538461</c:v>
                </c:pt>
                <c:pt idx="5">
                  <c:v>0.17204301075268819</c:v>
                </c:pt>
                <c:pt idx="6">
                  <c:v>0.16728624535315986</c:v>
                </c:pt>
                <c:pt idx="7">
                  <c:v>0.14748201438848921</c:v>
                </c:pt>
                <c:pt idx="8">
                  <c:v>0.14754098360655737</c:v>
                </c:pt>
                <c:pt idx="9">
                  <c:v>0.15467625899280577</c:v>
                </c:pt>
                <c:pt idx="10">
                  <c:v>0.22191780821917809</c:v>
                </c:pt>
                <c:pt idx="11">
                  <c:v>0.19066147859922178</c:v>
                </c:pt>
                <c:pt idx="12">
                  <c:v>0.59507042253521125</c:v>
                </c:pt>
                <c:pt idx="13">
                  <c:v>0.53398058252427183</c:v>
                </c:pt>
                <c:pt idx="14">
                  <c:v>0.59842519685039375</c:v>
                </c:pt>
                <c:pt idx="15">
                  <c:v>0.53150684931506853</c:v>
                </c:pt>
                <c:pt idx="16">
                  <c:v>0.4642857142857143</c:v>
                </c:pt>
                <c:pt idx="17">
                  <c:v>0.24840764331210191</c:v>
                </c:pt>
                <c:pt idx="18">
                  <c:v>0.28482972136222912</c:v>
                </c:pt>
                <c:pt idx="19">
                  <c:v>0.38372093023255816</c:v>
                </c:pt>
                <c:pt idx="20">
                  <c:v>0.47535211267605632</c:v>
                </c:pt>
                <c:pt idx="21">
                  <c:v>0.41269841269841268</c:v>
                </c:pt>
                <c:pt idx="22">
                  <c:v>0.41993957703927492</c:v>
                </c:pt>
                <c:pt idx="23">
                  <c:v>0.43695014662756598</c:v>
                </c:pt>
                <c:pt idx="24">
                  <c:v>0.20398009950248755</c:v>
                </c:pt>
                <c:pt idx="25">
                  <c:v>0.20481927710843373</c:v>
                </c:pt>
                <c:pt idx="26">
                  <c:v>0.20209973753280841</c:v>
                </c:pt>
                <c:pt idx="27">
                  <c:v>0.14647887323943662</c:v>
                </c:pt>
                <c:pt idx="28">
                  <c:v>0.15342465753424658</c:v>
                </c:pt>
                <c:pt idx="29">
                  <c:v>0.23486682808716708</c:v>
                </c:pt>
                <c:pt idx="30">
                  <c:v>0.32669322709163345</c:v>
                </c:pt>
                <c:pt idx="31">
                  <c:v>0.30612244897959184</c:v>
                </c:pt>
                <c:pt idx="32">
                  <c:v>0.31843575418994413</c:v>
                </c:pt>
                <c:pt idx="33">
                  <c:v>0.27731092436974791</c:v>
                </c:pt>
                <c:pt idx="34">
                  <c:v>0.15835777126099707</c:v>
                </c:pt>
                <c:pt idx="35">
                  <c:v>0.17204301075268819</c:v>
                </c:pt>
                <c:pt idx="36">
                  <c:v>0.16010498687664043</c:v>
                </c:pt>
                <c:pt idx="37">
                  <c:v>0.20463320463320464</c:v>
                </c:pt>
                <c:pt idx="38">
                  <c:v>0.1864406779661017</c:v>
                </c:pt>
                <c:pt idx="39">
                  <c:v>0.15762273901808785</c:v>
                </c:pt>
                <c:pt idx="40">
                  <c:v>0.19261213720316622</c:v>
                </c:pt>
                <c:pt idx="41">
                  <c:v>0.22093023255813954</c:v>
                </c:pt>
                <c:pt idx="42">
                  <c:v>0.24</c:v>
                </c:pt>
                <c:pt idx="43">
                  <c:v>0.19587628865979381</c:v>
                </c:pt>
                <c:pt idx="44">
                  <c:v>0.1497005988023952</c:v>
                </c:pt>
                <c:pt idx="45">
                  <c:v>0.24372759856630824</c:v>
                </c:pt>
                <c:pt idx="46">
                  <c:v>0.21818181818181817</c:v>
                </c:pt>
                <c:pt idx="47">
                  <c:v>0.2608695652173913</c:v>
                </c:pt>
                <c:pt idx="48">
                  <c:v>0.18320610687022901</c:v>
                </c:pt>
                <c:pt idx="49">
                  <c:v>0.16759776536312848</c:v>
                </c:pt>
                <c:pt idx="50">
                  <c:v>0.23344947735191637</c:v>
                </c:pt>
                <c:pt idx="51">
                  <c:v>0.29707112970711297</c:v>
                </c:pt>
                <c:pt idx="52">
                  <c:v>0.27156549520766771</c:v>
                </c:pt>
                <c:pt idx="53">
                  <c:v>0.20569620253164558</c:v>
                </c:pt>
                <c:pt idx="54">
                  <c:v>0.17586206896551723</c:v>
                </c:pt>
                <c:pt idx="55">
                  <c:v>0.2818181818181818</c:v>
                </c:pt>
                <c:pt idx="56">
                  <c:v>0.15789473684210525</c:v>
                </c:pt>
                <c:pt idx="57">
                  <c:v>0.25728155339805825</c:v>
                </c:pt>
                <c:pt idx="58">
                  <c:v>0.22764227642276422</c:v>
                </c:pt>
                <c:pt idx="59">
                  <c:v>0.23487544483985764</c:v>
                </c:pt>
                <c:pt idx="60">
                  <c:v>0.18831168831168832</c:v>
                </c:pt>
                <c:pt idx="61">
                  <c:v>0.19298245614035087</c:v>
                </c:pt>
                <c:pt idx="62">
                  <c:v>0.33544303797468356</c:v>
                </c:pt>
                <c:pt idx="63">
                  <c:v>7.2243346007604556E-2</c:v>
                </c:pt>
                <c:pt idx="64">
                  <c:v>7.6045627376425853E-2</c:v>
                </c:pt>
                <c:pt idx="65">
                  <c:v>3.5422343324250684E-2</c:v>
                </c:pt>
                <c:pt idx="66">
                  <c:v>7.407407407407407E-2</c:v>
                </c:pt>
                <c:pt idx="67">
                  <c:v>8.3769633507853408E-2</c:v>
                </c:pt>
                <c:pt idx="68">
                  <c:v>0.13445378151260504</c:v>
                </c:pt>
                <c:pt idx="69">
                  <c:v>0.15384615384615385</c:v>
                </c:pt>
                <c:pt idx="70">
                  <c:v>0.14285714285714285</c:v>
                </c:pt>
                <c:pt idx="71">
                  <c:v>0.16296296296296298</c:v>
                </c:pt>
                <c:pt idx="72">
                  <c:v>0.14936708860759493</c:v>
                </c:pt>
                <c:pt idx="73">
                  <c:v>0.13802083333333334</c:v>
                </c:pt>
                <c:pt idx="74">
                  <c:v>0.46875</c:v>
                </c:pt>
                <c:pt idx="75">
                  <c:v>0.53201970443349755</c:v>
                </c:pt>
                <c:pt idx="76">
                  <c:v>0.37275985663082439</c:v>
                </c:pt>
                <c:pt idx="77">
                  <c:v>0.33079847908745247</c:v>
                </c:pt>
                <c:pt idx="78">
                  <c:v>0.23773584905660378</c:v>
                </c:pt>
                <c:pt idx="79">
                  <c:v>0.31205673758865249</c:v>
                </c:pt>
                <c:pt idx="80">
                  <c:v>0.59649122807017541</c:v>
                </c:pt>
                <c:pt idx="81">
                  <c:v>0.50993377483443714</c:v>
                </c:pt>
                <c:pt idx="82">
                  <c:v>0.50476190476190474</c:v>
                </c:pt>
                <c:pt idx="83">
                  <c:v>0.47783251231527096</c:v>
                </c:pt>
                <c:pt idx="84">
                  <c:v>0.54591836734693877</c:v>
                </c:pt>
                <c:pt idx="85">
                  <c:v>0.70161290322580649</c:v>
                </c:pt>
                <c:pt idx="86">
                  <c:v>0.57826086956521738</c:v>
                </c:pt>
                <c:pt idx="87">
                  <c:v>0.31782945736434109</c:v>
                </c:pt>
                <c:pt idx="88">
                  <c:v>0.40697674418604651</c:v>
                </c:pt>
                <c:pt idx="89">
                  <c:v>0.29599999999999999</c:v>
                </c:pt>
                <c:pt idx="90">
                  <c:v>0.33189655172413796</c:v>
                </c:pt>
                <c:pt idx="91">
                  <c:v>0.2648221343873518</c:v>
                </c:pt>
                <c:pt idx="92">
                  <c:v>0.20945945945945946</c:v>
                </c:pt>
                <c:pt idx="93">
                  <c:v>0.23118279569892472</c:v>
                </c:pt>
                <c:pt idx="94">
                  <c:v>0.20848056537102475</c:v>
                </c:pt>
                <c:pt idx="95">
                  <c:v>0.26666666666666666</c:v>
                </c:pt>
                <c:pt idx="96">
                  <c:v>0.19413919413919414</c:v>
                </c:pt>
                <c:pt idx="97">
                  <c:v>0.22137404580152673</c:v>
                </c:pt>
                <c:pt idx="98">
                  <c:v>0.2073170731707317</c:v>
                </c:pt>
                <c:pt idx="99">
                  <c:v>0.26041666666666669</c:v>
                </c:pt>
                <c:pt idx="100">
                  <c:v>0.2533783783783784</c:v>
                </c:pt>
                <c:pt idx="101">
                  <c:v>0.4823529411764706</c:v>
                </c:pt>
                <c:pt idx="102">
                  <c:v>0.51500000000000001</c:v>
                </c:pt>
                <c:pt idx="103">
                  <c:v>0.57333333333333336</c:v>
                </c:pt>
                <c:pt idx="104">
                  <c:v>0.63541666666666663</c:v>
                </c:pt>
                <c:pt idx="105">
                  <c:v>0.51700680272108845</c:v>
                </c:pt>
                <c:pt idx="106">
                  <c:v>0.78400000000000003</c:v>
                </c:pt>
                <c:pt idx="107">
                  <c:v>0.62365591397849462</c:v>
                </c:pt>
                <c:pt idx="108">
                  <c:v>0.71370967741935487</c:v>
                </c:pt>
                <c:pt idx="109">
                  <c:v>0.28799999999999998</c:v>
                </c:pt>
                <c:pt idx="110">
                  <c:v>0.53531598513011147</c:v>
                </c:pt>
                <c:pt idx="111">
                  <c:v>0.5127478753541076</c:v>
                </c:pt>
                <c:pt idx="112">
                  <c:v>0.52089136490250698</c:v>
                </c:pt>
                <c:pt idx="113">
                  <c:v>0.51450676982591881</c:v>
                </c:pt>
                <c:pt idx="114">
                  <c:v>0.5723140495867769</c:v>
                </c:pt>
                <c:pt idx="115">
                  <c:v>0.52092050209205021</c:v>
                </c:pt>
                <c:pt idx="116">
                  <c:v>0.47422680412371132</c:v>
                </c:pt>
                <c:pt idx="117">
                  <c:v>0.49333333333333335</c:v>
                </c:pt>
                <c:pt idx="118">
                  <c:v>0.42408376963350786</c:v>
                </c:pt>
                <c:pt idx="119">
                  <c:v>0.88235294117647056</c:v>
                </c:pt>
                <c:pt idx="120">
                  <c:v>0.96202531645569622</c:v>
                </c:pt>
                <c:pt idx="121">
                  <c:v>0.26865671641791045</c:v>
                </c:pt>
                <c:pt idx="122">
                  <c:v>0.44827586206896552</c:v>
                </c:pt>
                <c:pt idx="123">
                  <c:v>0.46875</c:v>
                </c:pt>
                <c:pt idx="124">
                  <c:v>0.4051094890510949</c:v>
                </c:pt>
                <c:pt idx="125">
                  <c:v>0.2608695652173913</c:v>
                </c:pt>
                <c:pt idx="126">
                  <c:v>0.24409448818897639</c:v>
                </c:pt>
                <c:pt idx="127">
                  <c:v>0.33443708609271522</c:v>
                </c:pt>
                <c:pt idx="128">
                  <c:v>0.41648590021691972</c:v>
                </c:pt>
                <c:pt idx="129">
                  <c:v>0.37380952380952381</c:v>
                </c:pt>
                <c:pt idx="130">
                  <c:v>0.40470588235294119</c:v>
                </c:pt>
                <c:pt idx="131">
                  <c:v>0.38536585365853659</c:v>
                </c:pt>
                <c:pt idx="132">
                  <c:v>0.16500000000000001</c:v>
                </c:pt>
                <c:pt idx="133">
                  <c:v>0.1875</c:v>
                </c:pt>
                <c:pt idx="134">
                  <c:v>0.23076923076923078</c:v>
                </c:pt>
                <c:pt idx="135">
                  <c:v>0.16356877323420074</c:v>
                </c:pt>
                <c:pt idx="136">
                  <c:v>0.24535315985130113</c:v>
                </c:pt>
                <c:pt idx="137">
                  <c:v>0.19457013574660634</c:v>
                </c:pt>
                <c:pt idx="138">
                  <c:v>0.22611464968152867</c:v>
                </c:pt>
                <c:pt idx="139">
                  <c:v>0.21739130434782608</c:v>
                </c:pt>
                <c:pt idx="140">
                  <c:v>0.45251396648044695</c:v>
                </c:pt>
                <c:pt idx="141">
                  <c:v>0.36332179930795849</c:v>
                </c:pt>
                <c:pt idx="142">
                  <c:v>0.58823529411764708</c:v>
                </c:pt>
                <c:pt idx="143">
                  <c:v>0.64777327935222673</c:v>
                </c:pt>
                <c:pt idx="144">
                  <c:v>0.65814696485623003</c:v>
                </c:pt>
                <c:pt idx="145">
                  <c:v>0.6</c:v>
                </c:pt>
                <c:pt idx="146">
                  <c:v>0.32684824902723736</c:v>
                </c:pt>
                <c:pt idx="147">
                  <c:v>0.26111111111111113</c:v>
                </c:pt>
                <c:pt idx="148">
                  <c:v>0.32198142414860681</c:v>
                </c:pt>
                <c:pt idx="149">
                  <c:v>0.23964497041420119</c:v>
                </c:pt>
                <c:pt idx="150">
                  <c:v>0.16803278688524589</c:v>
                </c:pt>
                <c:pt idx="151">
                  <c:v>0.18835616438356165</c:v>
                </c:pt>
                <c:pt idx="152">
                  <c:v>0.1491442542787286</c:v>
                </c:pt>
                <c:pt idx="153">
                  <c:v>0.10638297872340426</c:v>
                </c:pt>
                <c:pt idx="154">
                  <c:v>0.18137254901960784</c:v>
                </c:pt>
                <c:pt idx="155">
                  <c:v>0.52500000000000002</c:v>
                </c:pt>
                <c:pt idx="156">
                  <c:v>0.5</c:v>
                </c:pt>
                <c:pt idx="157">
                  <c:v>0.15178571428571427</c:v>
                </c:pt>
                <c:pt idx="158">
                  <c:v>0.22187499999999999</c:v>
                </c:pt>
                <c:pt idx="159">
                  <c:v>0.18944099378881987</c:v>
                </c:pt>
                <c:pt idx="160">
                  <c:v>0.17333333333333334</c:v>
                </c:pt>
                <c:pt idx="161">
                  <c:v>0.17607973421926909</c:v>
                </c:pt>
                <c:pt idx="162">
                  <c:v>0.18688524590163935</c:v>
                </c:pt>
                <c:pt idx="163">
                  <c:v>0.28286852589641437</c:v>
                </c:pt>
                <c:pt idx="164">
                  <c:v>0.34</c:v>
                </c:pt>
                <c:pt idx="165">
                  <c:v>0.2927927927927928</c:v>
                </c:pt>
                <c:pt idx="166">
                  <c:v>0.26291079812206575</c:v>
                </c:pt>
                <c:pt idx="167">
                  <c:v>0.21171171171171171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140-48AF-BDE4-6002017B89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42839824"/>
        <c:axId val="1632313584"/>
      </c:scatterChart>
      <c:valAx>
        <c:axId val="1642839824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2313584"/>
        <c:crosses val="autoZero"/>
        <c:crossBetween val="midCat"/>
      </c:valAx>
      <c:valAx>
        <c:axId val="163231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28398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BN% vs Chinese% P129 Kuala Pilah</c:v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1.5773840769903763E-2"/>
                  <c:y val="-0.40444663167104111"/>
                </c:manualLayout>
              </c:layout>
              <c:numFmt formatCode="General" sourceLinked="0"/>
              <c:spPr>
                <a:solidFill>
                  <a:schemeClr val="bg1">
                    <a:lumMod val="7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RaceWorksheet!$L$2:$L$169</c:f>
              <c:numCache>
                <c:formatCode>0.0%</c:formatCode>
                <c:ptCount val="168"/>
                <c:pt idx="0">
                  <c:v>0</c:v>
                </c:pt>
                <c:pt idx="1">
                  <c:v>2.2522522522522522E-3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1.6E-2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4.6666666666666669E-2</c:v>
                </c:pt>
                <c:pt idx="11">
                  <c:v>6.1349693251533744E-3</c:v>
                </c:pt>
                <c:pt idx="12">
                  <c:v>0.47631578947368419</c:v>
                </c:pt>
                <c:pt idx="13">
                  <c:v>0.41842105263157897</c:v>
                </c:pt>
                <c:pt idx="14">
                  <c:v>0.47882136279926335</c:v>
                </c:pt>
                <c:pt idx="15">
                  <c:v>0.3547794117647059</c:v>
                </c:pt>
                <c:pt idx="16">
                  <c:v>0.24080882352941177</c:v>
                </c:pt>
                <c:pt idx="17">
                  <c:v>5.0000000000000001E-3</c:v>
                </c:pt>
                <c:pt idx="18">
                  <c:v>2.6041666666666665E-3</c:v>
                </c:pt>
                <c:pt idx="19">
                  <c:v>0.21714285714285714</c:v>
                </c:pt>
                <c:pt idx="20">
                  <c:v>0.24285714285714285</c:v>
                </c:pt>
                <c:pt idx="21">
                  <c:v>0.20506912442396313</c:v>
                </c:pt>
                <c:pt idx="22">
                  <c:v>0.16129032258064516</c:v>
                </c:pt>
                <c:pt idx="23">
                  <c:v>0.13563218390804599</c:v>
                </c:pt>
                <c:pt idx="24">
                  <c:v>6.6666666666666671E-3</c:v>
                </c:pt>
                <c:pt idx="25">
                  <c:v>0</c:v>
                </c:pt>
                <c:pt idx="26">
                  <c:v>6.1224489795918364E-3</c:v>
                </c:pt>
                <c:pt idx="27">
                  <c:v>4.0816326530612249E-3</c:v>
                </c:pt>
                <c:pt idx="28">
                  <c:v>0</c:v>
                </c:pt>
                <c:pt idx="29">
                  <c:v>0</c:v>
                </c:pt>
                <c:pt idx="30">
                  <c:v>0.23714285714285716</c:v>
                </c:pt>
                <c:pt idx="31">
                  <c:v>0.18</c:v>
                </c:pt>
                <c:pt idx="32">
                  <c:v>0.1440677966101695</c:v>
                </c:pt>
                <c:pt idx="33">
                  <c:v>8.050847457627118E-2</c:v>
                </c:pt>
                <c:pt idx="34">
                  <c:v>1.4423076923076924E-2</c:v>
                </c:pt>
                <c:pt idx="35">
                  <c:v>1.4285714285714285E-2</c:v>
                </c:pt>
                <c:pt idx="36">
                  <c:v>2.1276595744680851E-3</c:v>
                </c:pt>
                <c:pt idx="37">
                  <c:v>5.7142857142857143E-3</c:v>
                </c:pt>
                <c:pt idx="38">
                  <c:v>5.7142857142857143E-3</c:v>
                </c:pt>
                <c:pt idx="39">
                  <c:v>0</c:v>
                </c:pt>
                <c:pt idx="40">
                  <c:v>2.0618556701030928E-3</c:v>
                </c:pt>
                <c:pt idx="41">
                  <c:v>0</c:v>
                </c:pt>
                <c:pt idx="42">
                  <c:v>0</c:v>
                </c:pt>
                <c:pt idx="43">
                  <c:v>2.9069767441860465E-3</c:v>
                </c:pt>
                <c:pt idx="44">
                  <c:v>1.7391304347826087E-2</c:v>
                </c:pt>
                <c:pt idx="45">
                  <c:v>0</c:v>
                </c:pt>
                <c:pt idx="46">
                  <c:v>0</c:v>
                </c:pt>
                <c:pt idx="47">
                  <c:v>7.1428571428571425E-2</c:v>
                </c:pt>
                <c:pt idx="48">
                  <c:v>1.5594541910331383E-2</c:v>
                </c:pt>
                <c:pt idx="49">
                  <c:v>8.0000000000000002E-3</c:v>
                </c:pt>
                <c:pt idx="50">
                  <c:v>2.8011204481792717E-3</c:v>
                </c:pt>
                <c:pt idx="51">
                  <c:v>0.22070844686648503</c:v>
                </c:pt>
                <c:pt idx="52">
                  <c:v>8.4905660377358486E-2</c:v>
                </c:pt>
                <c:pt idx="53">
                  <c:v>7.5471698113207544E-2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0.09</c:v>
                </c:pt>
                <c:pt idx="58">
                  <c:v>3.292181069958848E-2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5.1597051597051594E-2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2.1186440677966102E-3</c:v>
                </c:pt>
                <c:pt idx="67">
                  <c:v>0</c:v>
                </c:pt>
                <c:pt idx="68">
                  <c:v>3.1847133757961785E-3</c:v>
                </c:pt>
                <c:pt idx="69">
                  <c:v>0</c:v>
                </c:pt>
                <c:pt idx="70">
                  <c:v>0</c:v>
                </c:pt>
                <c:pt idx="71">
                  <c:v>5.7142857142857143E-3</c:v>
                </c:pt>
                <c:pt idx="72">
                  <c:v>2.0449897750511249E-3</c:v>
                </c:pt>
                <c:pt idx="73">
                  <c:v>2.0449897750511249E-3</c:v>
                </c:pt>
                <c:pt idx="74">
                  <c:v>0.48</c:v>
                </c:pt>
                <c:pt idx="75">
                  <c:v>0.496</c:v>
                </c:pt>
                <c:pt idx="76">
                  <c:v>0.24157303370786518</c:v>
                </c:pt>
                <c:pt idx="77">
                  <c:v>0.15730337078651685</c:v>
                </c:pt>
                <c:pt idx="78">
                  <c:v>9.2436974789915971E-2</c:v>
                </c:pt>
                <c:pt idx="79">
                  <c:v>0.1649746192893401</c:v>
                </c:pt>
                <c:pt idx="80">
                  <c:v>0.65500000000000003</c:v>
                </c:pt>
                <c:pt idx="81">
                  <c:v>0.56499999999999995</c:v>
                </c:pt>
                <c:pt idx="82">
                  <c:v>0.47101449275362317</c:v>
                </c:pt>
                <c:pt idx="83">
                  <c:v>0.35740072202166068</c:v>
                </c:pt>
                <c:pt idx="84">
                  <c:v>0.29241877256317689</c:v>
                </c:pt>
                <c:pt idx="85">
                  <c:v>0.56666666666666665</c:v>
                </c:pt>
                <c:pt idx="86">
                  <c:v>0.34113712374581939</c:v>
                </c:pt>
                <c:pt idx="87">
                  <c:v>0.30243902439024389</c:v>
                </c:pt>
                <c:pt idx="88">
                  <c:v>0.35121951219512193</c:v>
                </c:pt>
                <c:pt idx="89">
                  <c:v>0.20489296636085627</c:v>
                </c:pt>
                <c:pt idx="90">
                  <c:v>0.17682926829268292</c:v>
                </c:pt>
                <c:pt idx="91">
                  <c:v>8.2317073170731711E-2</c:v>
                </c:pt>
                <c:pt idx="92">
                  <c:v>4.7826086956521741E-2</c:v>
                </c:pt>
                <c:pt idx="93">
                  <c:v>6.0606060606060608E-2</c:v>
                </c:pt>
                <c:pt idx="94">
                  <c:v>2.2727272727272728E-2</c:v>
                </c:pt>
                <c:pt idx="95">
                  <c:v>3.9772727272727272E-2</c:v>
                </c:pt>
                <c:pt idx="96">
                  <c:v>7.6704545454545456E-2</c:v>
                </c:pt>
                <c:pt idx="97">
                  <c:v>1.4999999999999999E-2</c:v>
                </c:pt>
                <c:pt idx="98">
                  <c:v>1.4999999999999999E-2</c:v>
                </c:pt>
                <c:pt idx="99">
                  <c:v>2.3809523809523808E-2</c:v>
                </c:pt>
                <c:pt idx="100">
                  <c:v>1.0582010582010581E-2</c:v>
                </c:pt>
                <c:pt idx="101">
                  <c:v>0.46800000000000003</c:v>
                </c:pt>
                <c:pt idx="102">
                  <c:v>0.48</c:v>
                </c:pt>
                <c:pt idx="103">
                  <c:v>0.52122641509433965</c:v>
                </c:pt>
                <c:pt idx="104">
                  <c:v>0.5270588235294118</c:v>
                </c:pt>
                <c:pt idx="105">
                  <c:v>0.44941176470588234</c:v>
                </c:pt>
                <c:pt idx="106">
                  <c:v>0.78</c:v>
                </c:pt>
                <c:pt idx="107">
                  <c:v>0.63600000000000001</c:v>
                </c:pt>
                <c:pt idx="108">
                  <c:v>0.56976744186046513</c:v>
                </c:pt>
                <c:pt idx="109">
                  <c:v>0.13756613756613756</c:v>
                </c:pt>
                <c:pt idx="110">
                  <c:v>0.35777777777777775</c:v>
                </c:pt>
                <c:pt idx="111">
                  <c:v>0.30888888888888888</c:v>
                </c:pt>
                <c:pt idx="112">
                  <c:v>0.3</c:v>
                </c:pt>
                <c:pt idx="113">
                  <c:v>0.33189655172413796</c:v>
                </c:pt>
                <c:pt idx="114">
                  <c:v>0.39167862266857961</c:v>
                </c:pt>
                <c:pt idx="115">
                  <c:v>0.31276901004304158</c:v>
                </c:pt>
                <c:pt idx="116">
                  <c:v>0.27833572453371591</c:v>
                </c:pt>
                <c:pt idx="117">
                  <c:v>0.22525107604017217</c:v>
                </c:pt>
                <c:pt idx="118">
                  <c:v>0.19655667144906744</c:v>
                </c:pt>
                <c:pt idx="119">
                  <c:v>0.93500000000000005</c:v>
                </c:pt>
                <c:pt idx="120">
                  <c:v>0.96017699115044253</c:v>
                </c:pt>
                <c:pt idx="121">
                  <c:v>0.11926605504587157</c:v>
                </c:pt>
                <c:pt idx="122">
                  <c:v>0.46</c:v>
                </c:pt>
                <c:pt idx="123">
                  <c:v>0.33500000000000002</c:v>
                </c:pt>
                <c:pt idx="124">
                  <c:v>0.21483375959079284</c:v>
                </c:pt>
                <c:pt idx="125">
                  <c:v>5.8673469387755105E-2</c:v>
                </c:pt>
                <c:pt idx="126">
                  <c:v>9.1428571428571428E-2</c:v>
                </c:pt>
                <c:pt idx="127">
                  <c:v>0.12857142857142856</c:v>
                </c:pt>
                <c:pt idx="128">
                  <c:v>0.21243523316062177</c:v>
                </c:pt>
                <c:pt idx="129">
                  <c:v>0.20552677029360966</c:v>
                </c:pt>
                <c:pt idx="130">
                  <c:v>0.18793103448275861</c:v>
                </c:pt>
                <c:pt idx="131">
                  <c:v>0.20517241379310344</c:v>
                </c:pt>
                <c:pt idx="132">
                  <c:v>0</c:v>
                </c:pt>
                <c:pt idx="133">
                  <c:v>2.6525198938992041E-3</c:v>
                </c:pt>
                <c:pt idx="134">
                  <c:v>3.1545741324921135E-3</c:v>
                </c:pt>
                <c:pt idx="135">
                  <c:v>2.9940119760479044E-3</c:v>
                </c:pt>
                <c:pt idx="136">
                  <c:v>0</c:v>
                </c:pt>
                <c:pt idx="137">
                  <c:v>0.01</c:v>
                </c:pt>
                <c:pt idx="138">
                  <c:v>4.4444444444444446E-2</c:v>
                </c:pt>
                <c:pt idx="139">
                  <c:v>3.2098765432098768E-2</c:v>
                </c:pt>
                <c:pt idx="140">
                  <c:v>0.46400000000000002</c:v>
                </c:pt>
                <c:pt idx="141">
                  <c:v>0.24296675191815856</c:v>
                </c:pt>
                <c:pt idx="142">
                  <c:v>0.72857142857142854</c:v>
                </c:pt>
                <c:pt idx="143">
                  <c:v>0.58571428571428574</c:v>
                </c:pt>
                <c:pt idx="144">
                  <c:v>0.56774193548387097</c:v>
                </c:pt>
                <c:pt idx="145">
                  <c:v>0.44516129032258067</c:v>
                </c:pt>
                <c:pt idx="146">
                  <c:v>0.1657142857142857</c:v>
                </c:pt>
                <c:pt idx="147">
                  <c:v>7.2072072072072071E-2</c:v>
                </c:pt>
                <c:pt idx="148">
                  <c:v>2.247191011235955E-2</c:v>
                </c:pt>
                <c:pt idx="149">
                  <c:v>3.3707865168539325E-2</c:v>
                </c:pt>
                <c:pt idx="150">
                  <c:v>2.8571428571428571E-3</c:v>
                </c:pt>
                <c:pt idx="151">
                  <c:v>0</c:v>
                </c:pt>
                <c:pt idx="152">
                  <c:v>3.8314176245210726E-3</c:v>
                </c:pt>
                <c:pt idx="153">
                  <c:v>1.338432122370937E-2</c:v>
                </c:pt>
                <c:pt idx="154">
                  <c:v>1.7182130584192441E-2</c:v>
                </c:pt>
                <c:pt idx="155">
                  <c:v>0.65</c:v>
                </c:pt>
                <c:pt idx="156">
                  <c:v>0.33962264150943394</c:v>
                </c:pt>
                <c:pt idx="157">
                  <c:v>9.6463022508038593E-3</c:v>
                </c:pt>
                <c:pt idx="158">
                  <c:v>9.7087378640776691E-3</c:v>
                </c:pt>
                <c:pt idx="159">
                  <c:v>2.4213075060532689E-3</c:v>
                </c:pt>
                <c:pt idx="160">
                  <c:v>3.4602076124567477E-2</c:v>
                </c:pt>
                <c:pt idx="161">
                  <c:v>4.3478260869565216E-2</c:v>
                </c:pt>
                <c:pt idx="162">
                  <c:v>2.8132992327365727E-2</c:v>
                </c:pt>
                <c:pt idx="163">
                  <c:v>0.24857142857142858</c:v>
                </c:pt>
                <c:pt idx="164">
                  <c:v>0.24571428571428572</c:v>
                </c:pt>
                <c:pt idx="165">
                  <c:v>0.19860627177700349</c:v>
                </c:pt>
                <c:pt idx="166">
                  <c:v>0.13066202090592335</c:v>
                </c:pt>
                <c:pt idx="167">
                  <c:v>0.11846689895470383</c:v>
                </c:pt>
              </c:numCache>
            </c:numRef>
          </c:xVal>
          <c:yVal>
            <c:numRef>
              <c:f>RaceWorksheet!$C$2:$C$169</c:f>
              <c:numCache>
                <c:formatCode>0.0%</c:formatCode>
                <c:ptCount val="168"/>
                <c:pt idx="0">
                  <c:v>0.6244897959183674</c:v>
                </c:pt>
                <c:pt idx="1">
                  <c:v>0.66275659824046917</c:v>
                </c:pt>
                <c:pt idx="2">
                  <c:v>0.6797385620915033</c:v>
                </c:pt>
                <c:pt idx="3">
                  <c:v>0.38604651162790699</c:v>
                </c:pt>
                <c:pt idx="4">
                  <c:v>0.49519230769230771</c:v>
                </c:pt>
                <c:pt idx="5">
                  <c:v>0.68279569892473113</c:v>
                </c:pt>
                <c:pt idx="6">
                  <c:v>0.47211895910780671</c:v>
                </c:pt>
                <c:pt idx="7">
                  <c:v>0.40287769784172661</c:v>
                </c:pt>
                <c:pt idx="8">
                  <c:v>0.62295081967213117</c:v>
                </c:pt>
                <c:pt idx="9">
                  <c:v>0.46402877697841727</c:v>
                </c:pt>
                <c:pt idx="10">
                  <c:v>0.63835616438356169</c:v>
                </c:pt>
                <c:pt idx="11">
                  <c:v>0.46692607003891051</c:v>
                </c:pt>
                <c:pt idx="12">
                  <c:v>0.30633802816901406</c:v>
                </c:pt>
                <c:pt idx="13">
                  <c:v>0.31715210355987056</c:v>
                </c:pt>
                <c:pt idx="14">
                  <c:v>0.24671916010498687</c:v>
                </c:pt>
                <c:pt idx="15">
                  <c:v>0.25753424657534246</c:v>
                </c:pt>
                <c:pt idx="16">
                  <c:v>0.26020408163265307</c:v>
                </c:pt>
                <c:pt idx="17">
                  <c:v>0.5859872611464968</c:v>
                </c:pt>
                <c:pt idx="18">
                  <c:v>0.38080495356037153</c:v>
                </c:pt>
                <c:pt idx="19">
                  <c:v>0.44186046511627908</c:v>
                </c:pt>
                <c:pt idx="20">
                  <c:v>0.30633802816901406</c:v>
                </c:pt>
                <c:pt idx="21">
                  <c:v>0.29206349206349208</c:v>
                </c:pt>
                <c:pt idx="22">
                  <c:v>0.24773413897280966</c:v>
                </c:pt>
                <c:pt idx="23">
                  <c:v>0.24340175953079179</c:v>
                </c:pt>
                <c:pt idx="24">
                  <c:v>0.68159203980099503</c:v>
                </c:pt>
                <c:pt idx="25">
                  <c:v>0.65863453815261042</c:v>
                </c:pt>
                <c:pt idx="26">
                  <c:v>0.51443569553805779</c:v>
                </c:pt>
                <c:pt idx="27">
                  <c:v>0.44788732394366199</c:v>
                </c:pt>
                <c:pt idx="28">
                  <c:v>0.36986301369863012</c:v>
                </c:pt>
                <c:pt idx="29">
                  <c:v>0.29782082324455206</c:v>
                </c:pt>
                <c:pt idx="30">
                  <c:v>0.52589641434262946</c:v>
                </c:pt>
                <c:pt idx="31">
                  <c:v>0.52380952380952384</c:v>
                </c:pt>
                <c:pt idx="32">
                  <c:v>0.43296089385474862</c:v>
                </c:pt>
                <c:pt idx="33">
                  <c:v>0.36694677871148457</c:v>
                </c:pt>
                <c:pt idx="34">
                  <c:v>0.73313782991202348</c:v>
                </c:pt>
                <c:pt idx="35">
                  <c:v>0.58064516129032262</c:v>
                </c:pt>
                <c:pt idx="36">
                  <c:v>0.46456692913385828</c:v>
                </c:pt>
                <c:pt idx="37">
                  <c:v>0.58301158301158296</c:v>
                </c:pt>
                <c:pt idx="38">
                  <c:v>0.54915254237288136</c:v>
                </c:pt>
                <c:pt idx="39">
                  <c:v>0.47545219638242892</c:v>
                </c:pt>
                <c:pt idx="40">
                  <c:v>0.40897097625329815</c:v>
                </c:pt>
                <c:pt idx="41">
                  <c:v>0.58720930232558144</c:v>
                </c:pt>
                <c:pt idx="42">
                  <c:v>0.37090909090909091</c:v>
                </c:pt>
                <c:pt idx="43">
                  <c:v>0.37800687285223367</c:v>
                </c:pt>
                <c:pt idx="44">
                  <c:v>0.6467065868263473</c:v>
                </c:pt>
                <c:pt idx="45">
                  <c:v>0.43727598566308246</c:v>
                </c:pt>
                <c:pt idx="46">
                  <c:v>0.42545454545454547</c:v>
                </c:pt>
                <c:pt idx="47">
                  <c:v>0.53985507246376807</c:v>
                </c:pt>
                <c:pt idx="48">
                  <c:v>0.44783715012722647</c:v>
                </c:pt>
                <c:pt idx="49">
                  <c:v>0.56983240223463683</c:v>
                </c:pt>
                <c:pt idx="50">
                  <c:v>0.39721254355400698</c:v>
                </c:pt>
                <c:pt idx="51">
                  <c:v>0.54811715481171552</c:v>
                </c:pt>
                <c:pt idx="52">
                  <c:v>0.49520766773162939</c:v>
                </c:pt>
                <c:pt idx="53">
                  <c:v>0.4050632911392405</c:v>
                </c:pt>
                <c:pt idx="54">
                  <c:v>0.51379310344827589</c:v>
                </c:pt>
                <c:pt idx="55">
                  <c:v>0.52727272727272723</c:v>
                </c:pt>
                <c:pt idx="56">
                  <c:v>0.43062200956937802</c:v>
                </c:pt>
                <c:pt idx="57">
                  <c:v>0.58252427184466016</c:v>
                </c:pt>
                <c:pt idx="58">
                  <c:v>0.38753387533875339</c:v>
                </c:pt>
                <c:pt idx="59">
                  <c:v>0.46619217081850534</c:v>
                </c:pt>
                <c:pt idx="60">
                  <c:v>0.64935064935064934</c:v>
                </c:pt>
                <c:pt idx="61">
                  <c:v>0.49122807017543857</c:v>
                </c:pt>
                <c:pt idx="62">
                  <c:v>0.51582278481012656</c:v>
                </c:pt>
                <c:pt idx="63">
                  <c:v>0.78707224334600756</c:v>
                </c:pt>
                <c:pt idx="64">
                  <c:v>0.75285171102661597</c:v>
                </c:pt>
                <c:pt idx="65">
                  <c:v>0.58583106267029972</c:v>
                </c:pt>
                <c:pt idx="66">
                  <c:v>0.47863247863247865</c:v>
                </c:pt>
                <c:pt idx="67">
                  <c:v>0.52356020942408377</c:v>
                </c:pt>
                <c:pt idx="68">
                  <c:v>0.68487394957983194</c:v>
                </c:pt>
                <c:pt idx="69">
                  <c:v>0.49650349650349651</c:v>
                </c:pt>
                <c:pt idx="70">
                  <c:v>0.41528239202657807</c:v>
                </c:pt>
                <c:pt idx="71">
                  <c:v>0.61111111111111116</c:v>
                </c:pt>
                <c:pt idx="72">
                  <c:v>0.54936708860759498</c:v>
                </c:pt>
                <c:pt idx="73">
                  <c:v>0.43489583333333331</c:v>
                </c:pt>
                <c:pt idx="74">
                  <c:v>0.40625</c:v>
                </c:pt>
                <c:pt idx="75">
                  <c:v>0.3891625615763547</c:v>
                </c:pt>
                <c:pt idx="76">
                  <c:v>0.38709677419354838</c:v>
                </c:pt>
                <c:pt idx="77">
                  <c:v>0.34980988593155893</c:v>
                </c:pt>
                <c:pt idx="78">
                  <c:v>0.43396226415094341</c:v>
                </c:pt>
                <c:pt idx="79">
                  <c:v>0.40425531914893614</c:v>
                </c:pt>
                <c:pt idx="80">
                  <c:v>0.33333333333333331</c:v>
                </c:pt>
                <c:pt idx="81">
                  <c:v>0.39072847682119205</c:v>
                </c:pt>
                <c:pt idx="82">
                  <c:v>0.32857142857142857</c:v>
                </c:pt>
                <c:pt idx="83">
                  <c:v>0.30541871921182268</c:v>
                </c:pt>
                <c:pt idx="84">
                  <c:v>0.21938775510204081</c:v>
                </c:pt>
                <c:pt idx="85">
                  <c:v>0.22580645161290322</c:v>
                </c:pt>
                <c:pt idx="86">
                  <c:v>0.25217391304347825</c:v>
                </c:pt>
                <c:pt idx="87">
                  <c:v>0.56589147286821706</c:v>
                </c:pt>
                <c:pt idx="88">
                  <c:v>0.48837209302325579</c:v>
                </c:pt>
                <c:pt idx="89">
                  <c:v>0.51200000000000001</c:v>
                </c:pt>
                <c:pt idx="90">
                  <c:v>0.44827586206896552</c:v>
                </c:pt>
                <c:pt idx="91">
                  <c:v>0.40316205533596838</c:v>
                </c:pt>
                <c:pt idx="92">
                  <c:v>0.67567567567567566</c:v>
                </c:pt>
                <c:pt idx="93">
                  <c:v>0.58602150537634412</c:v>
                </c:pt>
                <c:pt idx="94">
                  <c:v>0.53356890459363959</c:v>
                </c:pt>
                <c:pt idx="95">
                  <c:v>0.4392156862745098</c:v>
                </c:pt>
                <c:pt idx="96">
                  <c:v>0.39560439560439559</c:v>
                </c:pt>
                <c:pt idx="97">
                  <c:v>0.64122137404580148</c:v>
                </c:pt>
                <c:pt idx="98">
                  <c:v>0.68292682926829273</c:v>
                </c:pt>
                <c:pt idx="99">
                  <c:v>0.43402777777777779</c:v>
                </c:pt>
                <c:pt idx="100">
                  <c:v>0.39527027027027029</c:v>
                </c:pt>
                <c:pt idx="101">
                  <c:v>0.4</c:v>
                </c:pt>
                <c:pt idx="102">
                  <c:v>0.36499999999999999</c:v>
                </c:pt>
                <c:pt idx="103">
                  <c:v>0.26333333333333331</c:v>
                </c:pt>
                <c:pt idx="104">
                  <c:v>0.21180555555555555</c:v>
                </c:pt>
                <c:pt idx="105">
                  <c:v>0.29931972789115646</c:v>
                </c:pt>
                <c:pt idx="106">
                  <c:v>0.192</c:v>
                </c:pt>
                <c:pt idx="107">
                  <c:v>0.26344086021505375</c:v>
                </c:pt>
                <c:pt idx="108">
                  <c:v>0.16935483870967741</c:v>
                </c:pt>
                <c:pt idx="109">
                  <c:v>0.44800000000000001</c:v>
                </c:pt>
                <c:pt idx="110">
                  <c:v>0.37546468401486988</c:v>
                </c:pt>
                <c:pt idx="111">
                  <c:v>0.35977337110481589</c:v>
                </c:pt>
                <c:pt idx="112">
                  <c:v>0.33147632311977715</c:v>
                </c:pt>
                <c:pt idx="113">
                  <c:v>0.27852998065764023</c:v>
                </c:pt>
                <c:pt idx="114">
                  <c:v>0.23553719008264462</c:v>
                </c:pt>
                <c:pt idx="115">
                  <c:v>0.2510460251046025</c:v>
                </c:pt>
                <c:pt idx="116">
                  <c:v>0.30309278350515462</c:v>
                </c:pt>
                <c:pt idx="117">
                  <c:v>0.28000000000000003</c:v>
                </c:pt>
                <c:pt idx="118">
                  <c:v>0.30541012216404889</c:v>
                </c:pt>
                <c:pt idx="119">
                  <c:v>8.4033613445378158E-2</c:v>
                </c:pt>
                <c:pt idx="120">
                  <c:v>3.7974683544303799E-2</c:v>
                </c:pt>
                <c:pt idx="121">
                  <c:v>0.41791044776119401</c:v>
                </c:pt>
                <c:pt idx="122">
                  <c:v>0.44827586206896552</c:v>
                </c:pt>
                <c:pt idx="123">
                  <c:v>0.41875000000000001</c:v>
                </c:pt>
                <c:pt idx="124">
                  <c:v>0.36131386861313869</c:v>
                </c:pt>
                <c:pt idx="125">
                  <c:v>0.38795986622073581</c:v>
                </c:pt>
                <c:pt idx="126">
                  <c:v>0.65354330708661412</c:v>
                </c:pt>
                <c:pt idx="127">
                  <c:v>0.55960264900662249</c:v>
                </c:pt>
                <c:pt idx="128">
                  <c:v>0.42299349240780909</c:v>
                </c:pt>
                <c:pt idx="129">
                  <c:v>0.39523809523809522</c:v>
                </c:pt>
                <c:pt idx="130">
                  <c:v>0.3623529411764706</c:v>
                </c:pt>
                <c:pt idx="131">
                  <c:v>0.31463414634146342</c:v>
                </c:pt>
                <c:pt idx="132">
                  <c:v>0.73</c:v>
                </c:pt>
                <c:pt idx="133">
                  <c:v>0.50694444444444442</c:v>
                </c:pt>
                <c:pt idx="134">
                  <c:v>0.60728744939271251</c:v>
                </c:pt>
                <c:pt idx="135">
                  <c:v>0.52788104089219334</c:v>
                </c:pt>
                <c:pt idx="136">
                  <c:v>0.379182156133829</c:v>
                </c:pt>
                <c:pt idx="137">
                  <c:v>0.65158371040723984</c:v>
                </c:pt>
                <c:pt idx="138">
                  <c:v>0.5286624203821656</c:v>
                </c:pt>
                <c:pt idx="139">
                  <c:v>0.40993788819875776</c:v>
                </c:pt>
                <c:pt idx="140">
                  <c:v>0.4022346368715084</c:v>
                </c:pt>
                <c:pt idx="141">
                  <c:v>0.36678200692041524</c:v>
                </c:pt>
                <c:pt idx="142">
                  <c:v>0.29779411764705882</c:v>
                </c:pt>
                <c:pt idx="143">
                  <c:v>0.25506072874493929</c:v>
                </c:pt>
                <c:pt idx="144">
                  <c:v>0.18849840255591055</c:v>
                </c:pt>
                <c:pt idx="145">
                  <c:v>0.23125000000000001</c:v>
                </c:pt>
                <c:pt idx="146">
                  <c:v>0.50583657587548636</c:v>
                </c:pt>
                <c:pt idx="147">
                  <c:v>0.50555555555555554</c:v>
                </c:pt>
                <c:pt idx="148">
                  <c:v>0.41795665634674922</c:v>
                </c:pt>
                <c:pt idx="149">
                  <c:v>0.4349112426035503</c:v>
                </c:pt>
                <c:pt idx="150">
                  <c:v>0.56557377049180324</c:v>
                </c:pt>
                <c:pt idx="151">
                  <c:v>0.54452054794520544</c:v>
                </c:pt>
                <c:pt idx="152">
                  <c:v>0.45721271393643031</c:v>
                </c:pt>
                <c:pt idx="153">
                  <c:v>0.46276595744680848</c:v>
                </c:pt>
                <c:pt idx="154">
                  <c:v>0.55392156862745101</c:v>
                </c:pt>
                <c:pt idx="155">
                  <c:v>0.33333333333333331</c:v>
                </c:pt>
                <c:pt idx="156">
                  <c:v>0.26315789473684209</c:v>
                </c:pt>
                <c:pt idx="157">
                  <c:v>0.6919642857142857</c:v>
                </c:pt>
                <c:pt idx="158">
                  <c:v>0.54374999999999996</c:v>
                </c:pt>
                <c:pt idx="159">
                  <c:v>0.39751552795031053</c:v>
                </c:pt>
                <c:pt idx="160">
                  <c:v>0.61333333333333329</c:v>
                </c:pt>
                <c:pt idx="161">
                  <c:v>0.42192691029900331</c:v>
                </c:pt>
                <c:pt idx="162">
                  <c:v>0.28852459016393445</c:v>
                </c:pt>
                <c:pt idx="163">
                  <c:v>0.52191235059760954</c:v>
                </c:pt>
                <c:pt idx="164">
                  <c:v>0.54</c:v>
                </c:pt>
                <c:pt idx="165">
                  <c:v>0.45945945945945948</c:v>
                </c:pt>
                <c:pt idx="166">
                  <c:v>0.3779342723004695</c:v>
                </c:pt>
                <c:pt idx="167">
                  <c:v>0.34459459459459457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04B-40C8-9D29-8BA2EA0A36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42839824"/>
        <c:axId val="1632313584"/>
      </c:scatterChart>
      <c:valAx>
        <c:axId val="1642839824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2313584"/>
        <c:crosses val="autoZero"/>
        <c:crossBetween val="midCat"/>
      </c:valAx>
      <c:valAx>
        <c:axId val="163231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28398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0</xdr:colOff>
      <xdr:row>3</xdr:row>
      <xdr:rowOff>0</xdr:rowOff>
    </xdr:from>
    <xdr:to>
      <xdr:col>23</xdr:col>
      <xdr:colOff>304800</xdr:colOff>
      <xdr:row>19</xdr:row>
      <xdr:rowOff>60960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F82F538-C2BE-47BB-96A8-532AC876005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0</xdr:colOff>
      <xdr:row>22</xdr:row>
      <xdr:rowOff>0</xdr:rowOff>
    </xdr:from>
    <xdr:to>
      <xdr:col>23</xdr:col>
      <xdr:colOff>304800</xdr:colOff>
      <xdr:row>38</xdr:row>
      <xdr:rowOff>60960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6614E75-81EB-4FDF-8228-B7D3F0545C1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38100</xdr:colOff>
      <xdr:row>41</xdr:row>
      <xdr:rowOff>83820</xdr:rowOff>
    </xdr:from>
    <xdr:to>
      <xdr:col>23</xdr:col>
      <xdr:colOff>342900</xdr:colOff>
      <xdr:row>57</xdr:row>
      <xdr:rowOff>144780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1E71AED-DBFE-4FC4-B360-A646D577AFC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25</xdr:col>
      <xdr:colOff>0</xdr:colOff>
      <xdr:row>3</xdr:row>
      <xdr:rowOff>0</xdr:rowOff>
    </xdr:from>
    <xdr:to>
      <xdr:col>32</xdr:col>
      <xdr:colOff>304800</xdr:colOff>
      <xdr:row>19</xdr:row>
      <xdr:rowOff>60960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AE006CD-ECA6-4338-9E1A-D5EA3C8AE31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25</xdr:col>
      <xdr:colOff>0</xdr:colOff>
      <xdr:row>41</xdr:row>
      <xdr:rowOff>0</xdr:rowOff>
    </xdr:from>
    <xdr:to>
      <xdr:col>32</xdr:col>
      <xdr:colOff>304800</xdr:colOff>
      <xdr:row>57</xdr:row>
      <xdr:rowOff>60960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95D3152D-3B56-4FFC-A016-C7664F90B8D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541782</xdr:colOff>
      <xdr:row>17</xdr:row>
      <xdr:rowOff>204977</xdr:rowOff>
    </xdr:from>
    <xdr:ext cx="3808729" cy="480059"/>
    <xdr:sp macro="" textlink="">
      <xdr:nvSpPr>
        <xdr:cNvPr id="2" name="Shap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0" y="0"/>
          <a:ext cx="3808729" cy="480059"/>
        </a:xfrm>
        <a:custGeom>
          <a:avLst/>
          <a:gdLst/>
          <a:ahLst/>
          <a:cxnLst/>
          <a:rect l="0" t="0" r="0" b="0"/>
          <a:pathLst>
            <a:path w="3808729" h="480059">
              <a:moveTo>
                <a:pt x="760476" y="0"/>
              </a:moveTo>
              <a:lnTo>
                <a:pt x="0" y="0"/>
              </a:lnTo>
              <a:lnTo>
                <a:pt x="0" y="480060"/>
              </a:lnTo>
              <a:lnTo>
                <a:pt x="760476" y="480060"/>
              </a:lnTo>
              <a:lnTo>
                <a:pt x="760476" y="0"/>
              </a:lnTo>
              <a:close/>
            </a:path>
            <a:path w="3808729" h="480059">
              <a:moveTo>
                <a:pt x="1522476" y="0"/>
              </a:moveTo>
              <a:lnTo>
                <a:pt x="763524" y="0"/>
              </a:lnTo>
              <a:lnTo>
                <a:pt x="763524" y="480060"/>
              </a:lnTo>
              <a:lnTo>
                <a:pt x="1522476" y="480060"/>
              </a:lnTo>
              <a:lnTo>
                <a:pt x="1522476" y="0"/>
              </a:lnTo>
              <a:close/>
            </a:path>
            <a:path w="3808729" h="480059">
              <a:moveTo>
                <a:pt x="2284463" y="0"/>
              </a:moveTo>
              <a:lnTo>
                <a:pt x="1525524" y="0"/>
              </a:lnTo>
              <a:lnTo>
                <a:pt x="1525524" y="480060"/>
              </a:lnTo>
              <a:lnTo>
                <a:pt x="2284463" y="480060"/>
              </a:lnTo>
              <a:lnTo>
                <a:pt x="2284463" y="0"/>
              </a:lnTo>
              <a:close/>
            </a:path>
            <a:path w="3808729" h="480059">
              <a:moveTo>
                <a:pt x="3046476" y="0"/>
              </a:moveTo>
              <a:lnTo>
                <a:pt x="2287524" y="0"/>
              </a:lnTo>
              <a:lnTo>
                <a:pt x="2287524" y="480060"/>
              </a:lnTo>
              <a:lnTo>
                <a:pt x="3046476" y="480060"/>
              </a:lnTo>
              <a:lnTo>
                <a:pt x="3046476" y="0"/>
              </a:lnTo>
              <a:close/>
            </a:path>
            <a:path w="3808729" h="480059">
              <a:moveTo>
                <a:pt x="3808476" y="0"/>
              </a:moveTo>
              <a:lnTo>
                <a:pt x="3049524" y="0"/>
              </a:lnTo>
              <a:lnTo>
                <a:pt x="3049524" y="480060"/>
              </a:lnTo>
              <a:lnTo>
                <a:pt x="3808476" y="480060"/>
              </a:lnTo>
              <a:lnTo>
                <a:pt x="3808476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5</xdr:col>
      <xdr:colOff>298946</xdr:colOff>
      <xdr:row>3</xdr:row>
      <xdr:rowOff>49142</xdr:rowOff>
    </xdr:from>
    <xdr:ext cx="193523" cy="290285"/>
    <xdr:pic>
      <xdr:nvPicPr>
        <xdr:cNvPr id="3" name="image1.jpe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93523" cy="290285"/>
        </a:xfrm>
        <a:prstGeom prst="rect">
          <a:avLst/>
        </a:prstGeom>
      </xdr:spPr>
    </xdr:pic>
    <xdr:clientData/>
  </xdr:oneCellAnchor>
  <xdr:oneCellAnchor>
    <xdr:from>
      <xdr:col>6</xdr:col>
      <xdr:colOff>201929</xdr:colOff>
      <xdr:row>3</xdr:row>
      <xdr:rowOff>761</xdr:rowOff>
    </xdr:from>
    <xdr:ext cx="381000" cy="381000"/>
    <xdr:pic>
      <xdr:nvPicPr>
        <xdr:cNvPr id="4" name="image2.jpe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81000" cy="381000"/>
        </a:xfrm>
        <a:prstGeom prst="rect">
          <a:avLst/>
        </a:prstGeom>
      </xdr:spPr>
    </xdr:pic>
    <xdr:clientData/>
  </xdr:oneCellAnchor>
  <xdr:oneCellAnchor>
    <xdr:from>
      <xdr:col>7</xdr:col>
      <xdr:colOff>201929</xdr:colOff>
      <xdr:row>3</xdr:row>
      <xdr:rowOff>761</xdr:rowOff>
    </xdr:from>
    <xdr:ext cx="381000" cy="381000"/>
    <xdr:pic>
      <xdr:nvPicPr>
        <xdr:cNvPr id="5" name="image3.jpeg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81000" cy="381000"/>
        </a:xfrm>
        <a:prstGeom prst="rect">
          <a:avLst/>
        </a:prstGeom>
      </xdr:spPr>
    </xdr:pic>
    <xdr:clientData/>
  </xdr:oneCellAnchor>
  <xdr:oneCellAnchor>
    <xdr:from>
      <xdr:col>8</xdr:col>
      <xdr:colOff>201929</xdr:colOff>
      <xdr:row>3</xdr:row>
      <xdr:rowOff>49142</xdr:rowOff>
    </xdr:from>
    <xdr:ext cx="381000" cy="290285"/>
    <xdr:pic>
      <xdr:nvPicPr>
        <xdr:cNvPr id="6" name="image4.jpeg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81000" cy="290285"/>
        </a:xfrm>
        <a:prstGeom prst="rect">
          <a:avLst/>
        </a:prstGeom>
      </xdr:spPr>
    </xdr:pic>
    <xdr:clientData/>
  </xdr:oneCellAnchor>
  <xdr:oneCellAnchor>
    <xdr:from>
      <xdr:col>9</xdr:col>
      <xdr:colOff>201929</xdr:colOff>
      <xdr:row>3</xdr:row>
      <xdr:rowOff>49142</xdr:rowOff>
    </xdr:from>
    <xdr:ext cx="381000" cy="290285"/>
    <xdr:pic>
      <xdr:nvPicPr>
        <xdr:cNvPr id="7" name="image5.jpeg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81000" cy="290285"/>
        </a:xfrm>
        <a:prstGeom prst="rect">
          <a:avLst/>
        </a:prstGeom>
      </xdr:spPr>
    </xdr:pic>
    <xdr:clientData/>
  </xdr:oneCellAnchor>
  <xdr:oneCellAnchor>
    <xdr:from>
      <xdr:col>4</xdr:col>
      <xdr:colOff>541655</xdr:colOff>
      <xdr:row>19</xdr:row>
      <xdr:rowOff>0</xdr:rowOff>
    </xdr:from>
    <xdr:ext cx="4445635" cy="239395"/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0" y="0"/>
          <a:ext cx="4445635" cy="239395"/>
        </a:xfrm>
        <a:custGeom>
          <a:avLst/>
          <a:gdLst/>
          <a:ahLst/>
          <a:cxnLst/>
          <a:rect l="0" t="0" r="0" b="0"/>
          <a:pathLst>
            <a:path w="4445635" h="239395">
              <a:moveTo>
                <a:pt x="633984" y="0"/>
              </a:moveTo>
              <a:lnTo>
                <a:pt x="0" y="0"/>
              </a:lnTo>
              <a:lnTo>
                <a:pt x="0" y="239268"/>
              </a:lnTo>
              <a:lnTo>
                <a:pt x="633984" y="239268"/>
              </a:lnTo>
              <a:lnTo>
                <a:pt x="633984" y="0"/>
              </a:lnTo>
              <a:close/>
            </a:path>
            <a:path w="4445635" h="239395">
              <a:moveTo>
                <a:pt x="1397508" y="0"/>
              </a:moveTo>
              <a:lnTo>
                <a:pt x="637032" y="0"/>
              </a:lnTo>
              <a:lnTo>
                <a:pt x="637032" y="239268"/>
              </a:lnTo>
              <a:lnTo>
                <a:pt x="1397508" y="239268"/>
              </a:lnTo>
              <a:lnTo>
                <a:pt x="1397508" y="0"/>
              </a:lnTo>
              <a:close/>
            </a:path>
            <a:path w="4445635" h="239395">
              <a:moveTo>
                <a:pt x="2159508" y="0"/>
              </a:moveTo>
              <a:lnTo>
                <a:pt x="1400556" y="0"/>
              </a:lnTo>
              <a:lnTo>
                <a:pt x="1400556" y="239268"/>
              </a:lnTo>
              <a:lnTo>
                <a:pt x="2159508" y="239268"/>
              </a:lnTo>
              <a:lnTo>
                <a:pt x="2159508" y="0"/>
              </a:lnTo>
              <a:close/>
            </a:path>
            <a:path w="4445635" h="239395">
              <a:moveTo>
                <a:pt x="2921495" y="0"/>
              </a:moveTo>
              <a:lnTo>
                <a:pt x="2162556" y="0"/>
              </a:lnTo>
              <a:lnTo>
                <a:pt x="2162556" y="239268"/>
              </a:lnTo>
              <a:lnTo>
                <a:pt x="2921495" y="239268"/>
              </a:lnTo>
              <a:lnTo>
                <a:pt x="2921495" y="0"/>
              </a:lnTo>
              <a:close/>
            </a:path>
            <a:path w="4445635" h="239395">
              <a:moveTo>
                <a:pt x="3683508" y="0"/>
              </a:moveTo>
              <a:lnTo>
                <a:pt x="2924556" y="0"/>
              </a:lnTo>
              <a:lnTo>
                <a:pt x="2924556" y="239268"/>
              </a:lnTo>
              <a:lnTo>
                <a:pt x="3683508" y="239268"/>
              </a:lnTo>
              <a:lnTo>
                <a:pt x="3683508" y="0"/>
              </a:lnTo>
              <a:close/>
            </a:path>
            <a:path w="4445635" h="239395">
              <a:moveTo>
                <a:pt x="4445508" y="0"/>
              </a:moveTo>
              <a:lnTo>
                <a:pt x="3686556" y="0"/>
              </a:lnTo>
              <a:lnTo>
                <a:pt x="3686556" y="239268"/>
              </a:lnTo>
              <a:lnTo>
                <a:pt x="4445508" y="239268"/>
              </a:lnTo>
              <a:lnTo>
                <a:pt x="4445508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11</xdr:col>
      <xdr:colOff>2159</xdr:colOff>
      <xdr:row>4</xdr:row>
      <xdr:rowOff>1524</xdr:rowOff>
    </xdr:from>
    <xdr:ext cx="645160" cy="239395"/>
    <xdr:sp macro="" textlink="">
      <xdr:nvSpPr>
        <xdr:cNvPr id="9" name="Shape 9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0" y="0"/>
          <a:ext cx="645160" cy="239395"/>
        </a:xfrm>
        <a:custGeom>
          <a:avLst/>
          <a:gdLst/>
          <a:ahLst/>
          <a:cxnLst/>
          <a:rect l="0" t="0" r="0" b="0"/>
          <a:pathLst>
            <a:path w="645160" h="239395">
              <a:moveTo>
                <a:pt x="644651" y="0"/>
              </a:moveTo>
              <a:lnTo>
                <a:pt x="0" y="0"/>
              </a:lnTo>
              <a:lnTo>
                <a:pt x="0" y="239268"/>
              </a:lnTo>
              <a:lnTo>
                <a:pt x="644651" y="239268"/>
              </a:lnTo>
              <a:lnTo>
                <a:pt x="644651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1</xdr:col>
      <xdr:colOff>226060</xdr:colOff>
      <xdr:row>20</xdr:row>
      <xdr:rowOff>0</xdr:rowOff>
    </xdr:from>
    <xdr:ext cx="7486015" cy="1358265"/>
    <xdr:sp macro="" textlink="">
      <xdr:nvSpPr>
        <xdr:cNvPr id="10" name="Shape 10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0" y="0"/>
          <a:ext cx="7486015" cy="1358265"/>
        </a:xfrm>
        <a:custGeom>
          <a:avLst/>
          <a:gdLst/>
          <a:ahLst/>
          <a:cxnLst/>
          <a:rect l="0" t="0" r="0" b="0"/>
          <a:pathLst>
            <a:path w="7486015" h="1358265">
              <a:moveTo>
                <a:pt x="312420" y="944880"/>
              </a:moveTo>
              <a:lnTo>
                <a:pt x="0" y="944880"/>
              </a:lnTo>
              <a:lnTo>
                <a:pt x="0" y="1357884"/>
              </a:lnTo>
              <a:lnTo>
                <a:pt x="312420" y="1357884"/>
              </a:lnTo>
              <a:lnTo>
                <a:pt x="312420" y="944880"/>
              </a:lnTo>
              <a:close/>
            </a:path>
            <a:path w="7486015" h="1358265">
              <a:moveTo>
                <a:pt x="312420" y="528828"/>
              </a:moveTo>
              <a:lnTo>
                <a:pt x="0" y="528828"/>
              </a:lnTo>
              <a:lnTo>
                <a:pt x="0" y="941832"/>
              </a:lnTo>
              <a:lnTo>
                <a:pt x="312420" y="941832"/>
              </a:lnTo>
              <a:lnTo>
                <a:pt x="312420" y="528828"/>
              </a:lnTo>
              <a:close/>
            </a:path>
            <a:path w="7486015" h="1358265">
              <a:moveTo>
                <a:pt x="312420" y="0"/>
              </a:moveTo>
              <a:lnTo>
                <a:pt x="0" y="0"/>
              </a:lnTo>
              <a:lnTo>
                <a:pt x="0" y="525780"/>
              </a:lnTo>
              <a:lnTo>
                <a:pt x="312420" y="525780"/>
              </a:lnTo>
              <a:lnTo>
                <a:pt x="312420" y="0"/>
              </a:lnTo>
              <a:close/>
            </a:path>
            <a:path w="7486015" h="1358265">
              <a:moveTo>
                <a:pt x="1264920" y="944880"/>
              </a:moveTo>
              <a:lnTo>
                <a:pt x="315468" y="944880"/>
              </a:lnTo>
              <a:lnTo>
                <a:pt x="315468" y="1357884"/>
              </a:lnTo>
              <a:lnTo>
                <a:pt x="1264920" y="1357884"/>
              </a:lnTo>
              <a:lnTo>
                <a:pt x="1264920" y="944880"/>
              </a:lnTo>
              <a:close/>
            </a:path>
            <a:path w="7486015" h="1358265">
              <a:moveTo>
                <a:pt x="1264920" y="528828"/>
              </a:moveTo>
              <a:lnTo>
                <a:pt x="315468" y="528828"/>
              </a:lnTo>
              <a:lnTo>
                <a:pt x="315468" y="941832"/>
              </a:lnTo>
              <a:lnTo>
                <a:pt x="1264920" y="941832"/>
              </a:lnTo>
              <a:lnTo>
                <a:pt x="1264920" y="528828"/>
              </a:lnTo>
              <a:close/>
            </a:path>
            <a:path w="7486015" h="1358265">
              <a:moveTo>
                <a:pt x="1264920" y="0"/>
              </a:moveTo>
              <a:lnTo>
                <a:pt x="315468" y="0"/>
              </a:lnTo>
              <a:lnTo>
                <a:pt x="315468" y="525780"/>
              </a:lnTo>
              <a:lnTo>
                <a:pt x="1264920" y="525780"/>
              </a:lnTo>
              <a:lnTo>
                <a:pt x="1264920" y="0"/>
              </a:lnTo>
              <a:close/>
            </a:path>
            <a:path w="7486015" h="1358265">
              <a:moveTo>
                <a:pt x="2531364" y="944880"/>
              </a:moveTo>
              <a:lnTo>
                <a:pt x="1267968" y="944880"/>
              </a:lnTo>
              <a:lnTo>
                <a:pt x="1267968" y="1357884"/>
              </a:lnTo>
              <a:lnTo>
                <a:pt x="2531364" y="1357884"/>
              </a:lnTo>
              <a:lnTo>
                <a:pt x="2531364" y="944880"/>
              </a:lnTo>
              <a:close/>
            </a:path>
            <a:path w="7486015" h="1358265">
              <a:moveTo>
                <a:pt x="2531364" y="528828"/>
              </a:moveTo>
              <a:lnTo>
                <a:pt x="1267968" y="528828"/>
              </a:lnTo>
              <a:lnTo>
                <a:pt x="1267968" y="941832"/>
              </a:lnTo>
              <a:lnTo>
                <a:pt x="2531364" y="941832"/>
              </a:lnTo>
              <a:lnTo>
                <a:pt x="2531364" y="528828"/>
              </a:lnTo>
              <a:close/>
            </a:path>
            <a:path w="7486015" h="1358265">
              <a:moveTo>
                <a:pt x="2531364" y="0"/>
              </a:moveTo>
              <a:lnTo>
                <a:pt x="1267968" y="0"/>
              </a:lnTo>
              <a:lnTo>
                <a:pt x="1267968" y="525780"/>
              </a:lnTo>
              <a:lnTo>
                <a:pt x="2531364" y="525780"/>
              </a:lnTo>
              <a:lnTo>
                <a:pt x="2531364" y="0"/>
              </a:lnTo>
              <a:close/>
            </a:path>
            <a:path w="7486015" h="1358265">
              <a:moveTo>
                <a:pt x="3037332" y="944880"/>
              </a:moveTo>
              <a:lnTo>
                <a:pt x="2534412" y="944880"/>
              </a:lnTo>
              <a:lnTo>
                <a:pt x="2534412" y="1357884"/>
              </a:lnTo>
              <a:lnTo>
                <a:pt x="3037332" y="1357884"/>
              </a:lnTo>
              <a:lnTo>
                <a:pt x="3037332" y="944880"/>
              </a:lnTo>
              <a:close/>
            </a:path>
            <a:path w="7486015" h="1358265">
              <a:moveTo>
                <a:pt x="3037332" y="528828"/>
              </a:moveTo>
              <a:lnTo>
                <a:pt x="2534412" y="528828"/>
              </a:lnTo>
              <a:lnTo>
                <a:pt x="2534412" y="941832"/>
              </a:lnTo>
              <a:lnTo>
                <a:pt x="3037332" y="941832"/>
              </a:lnTo>
              <a:lnTo>
                <a:pt x="3037332" y="528828"/>
              </a:lnTo>
              <a:close/>
            </a:path>
            <a:path w="7486015" h="1358265">
              <a:moveTo>
                <a:pt x="3037332" y="0"/>
              </a:moveTo>
              <a:lnTo>
                <a:pt x="2534412" y="0"/>
              </a:lnTo>
              <a:lnTo>
                <a:pt x="2534412" y="525780"/>
              </a:lnTo>
              <a:lnTo>
                <a:pt x="3037332" y="525780"/>
              </a:lnTo>
              <a:lnTo>
                <a:pt x="3037332" y="0"/>
              </a:lnTo>
              <a:close/>
            </a:path>
            <a:path w="7486015" h="1358265">
              <a:moveTo>
                <a:pt x="3674364" y="944880"/>
              </a:moveTo>
              <a:lnTo>
                <a:pt x="3040380" y="944880"/>
              </a:lnTo>
              <a:lnTo>
                <a:pt x="3040380" y="1357884"/>
              </a:lnTo>
              <a:lnTo>
                <a:pt x="3674364" y="1357884"/>
              </a:lnTo>
              <a:lnTo>
                <a:pt x="3674364" y="944880"/>
              </a:lnTo>
              <a:close/>
            </a:path>
            <a:path w="7486015" h="1358265">
              <a:moveTo>
                <a:pt x="3674364" y="528828"/>
              </a:moveTo>
              <a:lnTo>
                <a:pt x="3040380" y="528828"/>
              </a:lnTo>
              <a:lnTo>
                <a:pt x="3040380" y="941832"/>
              </a:lnTo>
              <a:lnTo>
                <a:pt x="3674364" y="941832"/>
              </a:lnTo>
              <a:lnTo>
                <a:pt x="3674364" y="528828"/>
              </a:lnTo>
              <a:close/>
            </a:path>
            <a:path w="7486015" h="1358265">
              <a:moveTo>
                <a:pt x="3674364" y="0"/>
              </a:moveTo>
              <a:lnTo>
                <a:pt x="3040380" y="0"/>
              </a:lnTo>
              <a:lnTo>
                <a:pt x="3040380" y="525780"/>
              </a:lnTo>
              <a:lnTo>
                <a:pt x="3674364" y="525780"/>
              </a:lnTo>
              <a:lnTo>
                <a:pt x="3674364" y="0"/>
              </a:lnTo>
              <a:close/>
            </a:path>
            <a:path w="7486015" h="1358265">
              <a:moveTo>
                <a:pt x="4437888" y="944880"/>
              </a:moveTo>
              <a:lnTo>
                <a:pt x="3677412" y="944880"/>
              </a:lnTo>
              <a:lnTo>
                <a:pt x="3677412" y="1357884"/>
              </a:lnTo>
              <a:lnTo>
                <a:pt x="4437888" y="1357884"/>
              </a:lnTo>
              <a:lnTo>
                <a:pt x="4437888" y="944880"/>
              </a:lnTo>
              <a:close/>
            </a:path>
            <a:path w="7486015" h="1358265">
              <a:moveTo>
                <a:pt x="4437888" y="528828"/>
              </a:moveTo>
              <a:lnTo>
                <a:pt x="3677412" y="528828"/>
              </a:lnTo>
              <a:lnTo>
                <a:pt x="3677412" y="941832"/>
              </a:lnTo>
              <a:lnTo>
                <a:pt x="4437888" y="941832"/>
              </a:lnTo>
              <a:lnTo>
                <a:pt x="4437888" y="528828"/>
              </a:lnTo>
              <a:close/>
            </a:path>
            <a:path w="7486015" h="1358265">
              <a:moveTo>
                <a:pt x="4437888" y="0"/>
              </a:moveTo>
              <a:lnTo>
                <a:pt x="3677412" y="0"/>
              </a:lnTo>
              <a:lnTo>
                <a:pt x="3677412" y="525780"/>
              </a:lnTo>
              <a:lnTo>
                <a:pt x="4437888" y="525780"/>
              </a:lnTo>
              <a:lnTo>
                <a:pt x="4437888" y="0"/>
              </a:lnTo>
              <a:close/>
            </a:path>
            <a:path w="7486015" h="1358265">
              <a:moveTo>
                <a:pt x="5199888" y="944880"/>
              </a:moveTo>
              <a:lnTo>
                <a:pt x="4440936" y="944880"/>
              </a:lnTo>
              <a:lnTo>
                <a:pt x="4440936" y="1357884"/>
              </a:lnTo>
              <a:lnTo>
                <a:pt x="5199888" y="1357884"/>
              </a:lnTo>
              <a:lnTo>
                <a:pt x="5199888" y="944880"/>
              </a:lnTo>
              <a:close/>
            </a:path>
            <a:path w="7486015" h="1358265">
              <a:moveTo>
                <a:pt x="5199888" y="528828"/>
              </a:moveTo>
              <a:lnTo>
                <a:pt x="4440936" y="528828"/>
              </a:lnTo>
              <a:lnTo>
                <a:pt x="4440936" y="941832"/>
              </a:lnTo>
              <a:lnTo>
                <a:pt x="5199888" y="941832"/>
              </a:lnTo>
              <a:lnTo>
                <a:pt x="5199888" y="528828"/>
              </a:lnTo>
              <a:close/>
            </a:path>
            <a:path w="7486015" h="1358265">
              <a:moveTo>
                <a:pt x="5199888" y="0"/>
              </a:moveTo>
              <a:lnTo>
                <a:pt x="4440936" y="0"/>
              </a:lnTo>
              <a:lnTo>
                <a:pt x="4440936" y="525780"/>
              </a:lnTo>
              <a:lnTo>
                <a:pt x="5199888" y="525780"/>
              </a:lnTo>
              <a:lnTo>
                <a:pt x="5199888" y="0"/>
              </a:lnTo>
              <a:close/>
            </a:path>
            <a:path w="7486015" h="1358265">
              <a:moveTo>
                <a:pt x="5961875" y="944880"/>
              </a:moveTo>
              <a:lnTo>
                <a:pt x="5202936" y="944880"/>
              </a:lnTo>
              <a:lnTo>
                <a:pt x="5202936" y="1357884"/>
              </a:lnTo>
              <a:lnTo>
                <a:pt x="5961875" y="1357884"/>
              </a:lnTo>
              <a:lnTo>
                <a:pt x="5961875" y="944880"/>
              </a:lnTo>
              <a:close/>
            </a:path>
            <a:path w="7486015" h="1358265">
              <a:moveTo>
                <a:pt x="5961875" y="528828"/>
              </a:moveTo>
              <a:lnTo>
                <a:pt x="5202936" y="528828"/>
              </a:lnTo>
              <a:lnTo>
                <a:pt x="5202936" y="941832"/>
              </a:lnTo>
              <a:lnTo>
                <a:pt x="5961875" y="941832"/>
              </a:lnTo>
              <a:lnTo>
                <a:pt x="5961875" y="528828"/>
              </a:lnTo>
              <a:close/>
            </a:path>
            <a:path w="7486015" h="1358265">
              <a:moveTo>
                <a:pt x="5961875" y="0"/>
              </a:moveTo>
              <a:lnTo>
                <a:pt x="5202936" y="0"/>
              </a:lnTo>
              <a:lnTo>
                <a:pt x="5202936" y="525780"/>
              </a:lnTo>
              <a:lnTo>
                <a:pt x="5961875" y="525780"/>
              </a:lnTo>
              <a:lnTo>
                <a:pt x="5961875" y="0"/>
              </a:lnTo>
              <a:close/>
            </a:path>
            <a:path w="7486015" h="1358265">
              <a:moveTo>
                <a:pt x="6723888" y="944880"/>
              </a:moveTo>
              <a:lnTo>
                <a:pt x="5964936" y="944880"/>
              </a:lnTo>
              <a:lnTo>
                <a:pt x="5964936" y="1357884"/>
              </a:lnTo>
              <a:lnTo>
                <a:pt x="6723888" y="1357884"/>
              </a:lnTo>
              <a:lnTo>
                <a:pt x="6723888" y="944880"/>
              </a:lnTo>
              <a:close/>
            </a:path>
            <a:path w="7486015" h="1358265">
              <a:moveTo>
                <a:pt x="6723888" y="528828"/>
              </a:moveTo>
              <a:lnTo>
                <a:pt x="5964936" y="528828"/>
              </a:lnTo>
              <a:lnTo>
                <a:pt x="5964936" y="941832"/>
              </a:lnTo>
              <a:lnTo>
                <a:pt x="6723888" y="941832"/>
              </a:lnTo>
              <a:lnTo>
                <a:pt x="6723888" y="528828"/>
              </a:lnTo>
              <a:close/>
            </a:path>
            <a:path w="7486015" h="1358265">
              <a:moveTo>
                <a:pt x="6723888" y="0"/>
              </a:moveTo>
              <a:lnTo>
                <a:pt x="5964936" y="0"/>
              </a:lnTo>
              <a:lnTo>
                <a:pt x="5964936" y="525780"/>
              </a:lnTo>
              <a:lnTo>
                <a:pt x="6723888" y="525780"/>
              </a:lnTo>
              <a:lnTo>
                <a:pt x="6723888" y="0"/>
              </a:lnTo>
              <a:close/>
            </a:path>
            <a:path w="7486015" h="1358265">
              <a:moveTo>
                <a:pt x="7485888" y="944880"/>
              </a:moveTo>
              <a:lnTo>
                <a:pt x="6726936" y="944880"/>
              </a:lnTo>
              <a:lnTo>
                <a:pt x="6726936" y="1357884"/>
              </a:lnTo>
              <a:lnTo>
                <a:pt x="7485888" y="1357884"/>
              </a:lnTo>
              <a:lnTo>
                <a:pt x="7485888" y="944880"/>
              </a:lnTo>
              <a:close/>
            </a:path>
            <a:path w="7486015" h="1358265">
              <a:moveTo>
                <a:pt x="7485888" y="528828"/>
              </a:moveTo>
              <a:lnTo>
                <a:pt x="6726936" y="528828"/>
              </a:lnTo>
              <a:lnTo>
                <a:pt x="6726936" y="941832"/>
              </a:lnTo>
              <a:lnTo>
                <a:pt x="7485888" y="941832"/>
              </a:lnTo>
              <a:lnTo>
                <a:pt x="7485888" y="528828"/>
              </a:lnTo>
              <a:close/>
            </a:path>
            <a:path w="7486015" h="1358265">
              <a:moveTo>
                <a:pt x="7485888" y="0"/>
              </a:moveTo>
              <a:lnTo>
                <a:pt x="6726936" y="0"/>
              </a:lnTo>
              <a:lnTo>
                <a:pt x="6726936" y="525780"/>
              </a:lnTo>
              <a:lnTo>
                <a:pt x="7485888" y="525780"/>
              </a:lnTo>
              <a:lnTo>
                <a:pt x="7485888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11</xdr:col>
      <xdr:colOff>542036</xdr:colOff>
      <xdr:row>21</xdr:row>
      <xdr:rowOff>0</xdr:rowOff>
    </xdr:from>
    <xdr:ext cx="645160" cy="1358265"/>
    <xdr:sp macro="" textlink="">
      <xdr:nvSpPr>
        <xdr:cNvPr id="11" name="Shape 11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0" y="0"/>
          <a:ext cx="645160" cy="1358265"/>
        </a:xfrm>
        <a:custGeom>
          <a:avLst/>
          <a:gdLst/>
          <a:ahLst/>
          <a:cxnLst/>
          <a:rect l="0" t="0" r="0" b="0"/>
          <a:pathLst>
            <a:path w="645160" h="1358265">
              <a:moveTo>
                <a:pt x="644652" y="944880"/>
              </a:moveTo>
              <a:lnTo>
                <a:pt x="0" y="944880"/>
              </a:lnTo>
              <a:lnTo>
                <a:pt x="0" y="1357884"/>
              </a:lnTo>
              <a:lnTo>
                <a:pt x="644652" y="1357884"/>
              </a:lnTo>
              <a:lnTo>
                <a:pt x="644652" y="944880"/>
              </a:lnTo>
              <a:close/>
            </a:path>
            <a:path w="645160" h="1358265">
              <a:moveTo>
                <a:pt x="644652" y="528828"/>
              </a:moveTo>
              <a:lnTo>
                <a:pt x="0" y="528828"/>
              </a:lnTo>
              <a:lnTo>
                <a:pt x="0" y="941832"/>
              </a:lnTo>
              <a:lnTo>
                <a:pt x="644652" y="941832"/>
              </a:lnTo>
              <a:lnTo>
                <a:pt x="644652" y="528828"/>
              </a:lnTo>
              <a:close/>
            </a:path>
            <a:path w="645160" h="1358265">
              <a:moveTo>
                <a:pt x="644652" y="0"/>
              </a:moveTo>
              <a:lnTo>
                <a:pt x="0" y="0"/>
              </a:lnTo>
              <a:lnTo>
                <a:pt x="0" y="525780"/>
              </a:lnTo>
              <a:lnTo>
                <a:pt x="644652" y="525780"/>
              </a:lnTo>
              <a:lnTo>
                <a:pt x="644652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</xdr:col>
      <xdr:colOff>226060</xdr:colOff>
      <xdr:row>22</xdr:row>
      <xdr:rowOff>0</xdr:rowOff>
    </xdr:from>
    <xdr:ext cx="7486015" cy="1975485"/>
    <xdr:sp macro="" textlink="">
      <xdr:nvSpPr>
        <xdr:cNvPr id="12" name="Shape 12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0" y="0"/>
          <a:ext cx="7486015" cy="1975485"/>
        </a:xfrm>
        <a:custGeom>
          <a:avLst/>
          <a:gdLst/>
          <a:ahLst/>
          <a:cxnLst/>
          <a:rect l="0" t="0" r="0" b="0"/>
          <a:pathLst>
            <a:path w="7486015" h="1975485">
              <a:moveTo>
                <a:pt x="312420" y="1357884"/>
              </a:moveTo>
              <a:lnTo>
                <a:pt x="0" y="1357884"/>
              </a:lnTo>
              <a:lnTo>
                <a:pt x="0" y="1975104"/>
              </a:lnTo>
              <a:lnTo>
                <a:pt x="312420" y="1975104"/>
              </a:lnTo>
              <a:lnTo>
                <a:pt x="312420" y="1357884"/>
              </a:lnTo>
              <a:close/>
            </a:path>
            <a:path w="7486015" h="1975485">
              <a:moveTo>
                <a:pt x="312420" y="829056"/>
              </a:moveTo>
              <a:lnTo>
                <a:pt x="0" y="829056"/>
              </a:lnTo>
              <a:lnTo>
                <a:pt x="0" y="1354836"/>
              </a:lnTo>
              <a:lnTo>
                <a:pt x="312420" y="1354836"/>
              </a:lnTo>
              <a:lnTo>
                <a:pt x="312420" y="829056"/>
              </a:lnTo>
              <a:close/>
            </a:path>
            <a:path w="7486015" h="1975485">
              <a:moveTo>
                <a:pt x="312420" y="414528"/>
              </a:moveTo>
              <a:lnTo>
                <a:pt x="0" y="414528"/>
              </a:lnTo>
              <a:lnTo>
                <a:pt x="0" y="826008"/>
              </a:lnTo>
              <a:lnTo>
                <a:pt x="312420" y="826008"/>
              </a:lnTo>
              <a:lnTo>
                <a:pt x="312420" y="414528"/>
              </a:lnTo>
              <a:close/>
            </a:path>
            <a:path w="7486015" h="1975485">
              <a:moveTo>
                <a:pt x="312420" y="0"/>
              </a:moveTo>
              <a:lnTo>
                <a:pt x="0" y="0"/>
              </a:lnTo>
              <a:lnTo>
                <a:pt x="0" y="411480"/>
              </a:lnTo>
              <a:lnTo>
                <a:pt x="312420" y="411480"/>
              </a:lnTo>
              <a:lnTo>
                <a:pt x="312420" y="0"/>
              </a:lnTo>
              <a:close/>
            </a:path>
            <a:path w="7486015" h="1975485">
              <a:moveTo>
                <a:pt x="1264920" y="1357884"/>
              </a:moveTo>
              <a:lnTo>
                <a:pt x="315468" y="1357884"/>
              </a:lnTo>
              <a:lnTo>
                <a:pt x="315468" y="1975104"/>
              </a:lnTo>
              <a:lnTo>
                <a:pt x="1264920" y="1975104"/>
              </a:lnTo>
              <a:lnTo>
                <a:pt x="1264920" y="1357884"/>
              </a:lnTo>
              <a:close/>
            </a:path>
            <a:path w="7486015" h="1975485">
              <a:moveTo>
                <a:pt x="1264920" y="829056"/>
              </a:moveTo>
              <a:lnTo>
                <a:pt x="315468" y="829056"/>
              </a:lnTo>
              <a:lnTo>
                <a:pt x="315468" y="1354836"/>
              </a:lnTo>
              <a:lnTo>
                <a:pt x="1264920" y="1354836"/>
              </a:lnTo>
              <a:lnTo>
                <a:pt x="1264920" y="829056"/>
              </a:lnTo>
              <a:close/>
            </a:path>
            <a:path w="7486015" h="1975485">
              <a:moveTo>
                <a:pt x="1264920" y="414528"/>
              </a:moveTo>
              <a:lnTo>
                <a:pt x="315468" y="414528"/>
              </a:lnTo>
              <a:lnTo>
                <a:pt x="315468" y="826008"/>
              </a:lnTo>
              <a:lnTo>
                <a:pt x="1264920" y="826008"/>
              </a:lnTo>
              <a:lnTo>
                <a:pt x="1264920" y="414528"/>
              </a:lnTo>
              <a:close/>
            </a:path>
            <a:path w="7486015" h="1975485">
              <a:moveTo>
                <a:pt x="1264920" y="0"/>
              </a:moveTo>
              <a:lnTo>
                <a:pt x="315468" y="0"/>
              </a:lnTo>
              <a:lnTo>
                <a:pt x="315468" y="411480"/>
              </a:lnTo>
              <a:lnTo>
                <a:pt x="1264920" y="411480"/>
              </a:lnTo>
              <a:lnTo>
                <a:pt x="1264920" y="0"/>
              </a:lnTo>
              <a:close/>
            </a:path>
            <a:path w="7486015" h="1975485">
              <a:moveTo>
                <a:pt x="2531364" y="1357884"/>
              </a:moveTo>
              <a:lnTo>
                <a:pt x="1267968" y="1357884"/>
              </a:lnTo>
              <a:lnTo>
                <a:pt x="1267968" y="1975104"/>
              </a:lnTo>
              <a:lnTo>
                <a:pt x="2531364" y="1975104"/>
              </a:lnTo>
              <a:lnTo>
                <a:pt x="2531364" y="1357884"/>
              </a:lnTo>
              <a:close/>
            </a:path>
            <a:path w="7486015" h="1975485">
              <a:moveTo>
                <a:pt x="2531364" y="829056"/>
              </a:moveTo>
              <a:lnTo>
                <a:pt x="1267968" y="829056"/>
              </a:lnTo>
              <a:lnTo>
                <a:pt x="1267968" y="1354836"/>
              </a:lnTo>
              <a:lnTo>
                <a:pt x="2531364" y="1354836"/>
              </a:lnTo>
              <a:lnTo>
                <a:pt x="2531364" y="829056"/>
              </a:lnTo>
              <a:close/>
            </a:path>
            <a:path w="7486015" h="1975485">
              <a:moveTo>
                <a:pt x="2531364" y="414528"/>
              </a:moveTo>
              <a:lnTo>
                <a:pt x="1267968" y="414528"/>
              </a:lnTo>
              <a:lnTo>
                <a:pt x="1267968" y="826008"/>
              </a:lnTo>
              <a:lnTo>
                <a:pt x="2531364" y="826008"/>
              </a:lnTo>
              <a:lnTo>
                <a:pt x="2531364" y="414528"/>
              </a:lnTo>
              <a:close/>
            </a:path>
            <a:path w="7486015" h="1975485">
              <a:moveTo>
                <a:pt x="2531364" y="0"/>
              </a:moveTo>
              <a:lnTo>
                <a:pt x="1267968" y="0"/>
              </a:lnTo>
              <a:lnTo>
                <a:pt x="1267968" y="411480"/>
              </a:lnTo>
              <a:lnTo>
                <a:pt x="2531364" y="411480"/>
              </a:lnTo>
              <a:lnTo>
                <a:pt x="2531364" y="0"/>
              </a:lnTo>
              <a:close/>
            </a:path>
            <a:path w="7486015" h="1975485">
              <a:moveTo>
                <a:pt x="3037332" y="1772412"/>
              </a:moveTo>
              <a:lnTo>
                <a:pt x="2534412" y="1772412"/>
              </a:lnTo>
              <a:lnTo>
                <a:pt x="2534412" y="1975104"/>
              </a:lnTo>
              <a:lnTo>
                <a:pt x="3037332" y="1975104"/>
              </a:lnTo>
              <a:lnTo>
                <a:pt x="3037332" y="1772412"/>
              </a:lnTo>
              <a:close/>
            </a:path>
            <a:path w="7486015" h="1975485">
              <a:moveTo>
                <a:pt x="3037332" y="1565148"/>
              </a:moveTo>
              <a:lnTo>
                <a:pt x="2534412" y="1565148"/>
              </a:lnTo>
              <a:lnTo>
                <a:pt x="2534412" y="1769364"/>
              </a:lnTo>
              <a:lnTo>
                <a:pt x="3037332" y="1769364"/>
              </a:lnTo>
              <a:lnTo>
                <a:pt x="3037332" y="1565148"/>
              </a:lnTo>
              <a:close/>
            </a:path>
            <a:path w="7486015" h="1975485">
              <a:moveTo>
                <a:pt x="3037332" y="1357884"/>
              </a:moveTo>
              <a:lnTo>
                <a:pt x="2534412" y="1357884"/>
              </a:lnTo>
              <a:lnTo>
                <a:pt x="2534412" y="1562100"/>
              </a:lnTo>
              <a:lnTo>
                <a:pt x="3037332" y="1562100"/>
              </a:lnTo>
              <a:lnTo>
                <a:pt x="3037332" y="1357884"/>
              </a:lnTo>
              <a:close/>
            </a:path>
            <a:path w="7486015" h="1975485">
              <a:moveTo>
                <a:pt x="3037332" y="829056"/>
              </a:moveTo>
              <a:lnTo>
                <a:pt x="2534412" y="829056"/>
              </a:lnTo>
              <a:lnTo>
                <a:pt x="2534412" y="1354836"/>
              </a:lnTo>
              <a:lnTo>
                <a:pt x="3037332" y="1354836"/>
              </a:lnTo>
              <a:lnTo>
                <a:pt x="3037332" y="829056"/>
              </a:lnTo>
              <a:close/>
            </a:path>
            <a:path w="7486015" h="1975485">
              <a:moveTo>
                <a:pt x="3037332" y="621792"/>
              </a:moveTo>
              <a:lnTo>
                <a:pt x="2534412" y="621792"/>
              </a:lnTo>
              <a:lnTo>
                <a:pt x="2534412" y="826008"/>
              </a:lnTo>
              <a:lnTo>
                <a:pt x="3037332" y="826008"/>
              </a:lnTo>
              <a:lnTo>
                <a:pt x="3037332" y="621792"/>
              </a:lnTo>
              <a:close/>
            </a:path>
            <a:path w="7486015" h="1975485">
              <a:moveTo>
                <a:pt x="3037332" y="414528"/>
              </a:moveTo>
              <a:lnTo>
                <a:pt x="2534412" y="414528"/>
              </a:lnTo>
              <a:lnTo>
                <a:pt x="2534412" y="618744"/>
              </a:lnTo>
              <a:lnTo>
                <a:pt x="3037332" y="618744"/>
              </a:lnTo>
              <a:lnTo>
                <a:pt x="3037332" y="414528"/>
              </a:lnTo>
              <a:close/>
            </a:path>
            <a:path w="7486015" h="1975485">
              <a:moveTo>
                <a:pt x="3037332" y="205740"/>
              </a:moveTo>
              <a:lnTo>
                <a:pt x="2534412" y="205740"/>
              </a:lnTo>
              <a:lnTo>
                <a:pt x="2534412" y="411480"/>
              </a:lnTo>
              <a:lnTo>
                <a:pt x="3037332" y="411480"/>
              </a:lnTo>
              <a:lnTo>
                <a:pt x="3037332" y="205740"/>
              </a:lnTo>
              <a:close/>
            </a:path>
            <a:path w="7486015" h="1975485">
              <a:moveTo>
                <a:pt x="3037332" y="0"/>
              </a:moveTo>
              <a:lnTo>
                <a:pt x="2534412" y="0"/>
              </a:lnTo>
              <a:lnTo>
                <a:pt x="2534412" y="202692"/>
              </a:lnTo>
              <a:lnTo>
                <a:pt x="3037332" y="202692"/>
              </a:lnTo>
              <a:lnTo>
                <a:pt x="3037332" y="0"/>
              </a:lnTo>
              <a:close/>
            </a:path>
            <a:path w="7486015" h="1975485">
              <a:moveTo>
                <a:pt x="3674364" y="1772412"/>
              </a:moveTo>
              <a:lnTo>
                <a:pt x="3040380" y="1772412"/>
              </a:lnTo>
              <a:lnTo>
                <a:pt x="3040380" y="1975104"/>
              </a:lnTo>
              <a:lnTo>
                <a:pt x="3674364" y="1975104"/>
              </a:lnTo>
              <a:lnTo>
                <a:pt x="3674364" y="1772412"/>
              </a:lnTo>
              <a:close/>
            </a:path>
            <a:path w="7486015" h="1975485">
              <a:moveTo>
                <a:pt x="3674364" y="1565148"/>
              </a:moveTo>
              <a:lnTo>
                <a:pt x="3040380" y="1565148"/>
              </a:lnTo>
              <a:lnTo>
                <a:pt x="3040380" y="1769364"/>
              </a:lnTo>
              <a:lnTo>
                <a:pt x="3674364" y="1769364"/>
              </a:lnTo>
              <a:lnTo>
                <a:pt x="3674364" y="1565148"/>
              </a:lnTo>
              <a:close/>
            </a:path>
            <a:path w="7486015" h="1975485">
              <a:moveTo>
                <a:pt x="3674364" y="1357884"/>
              </a:moveTo>
              <a:lnTo>
                <a:pt x="3040380" y="1357884"/>
              </a:lnTo>
              <a:lnTo>
                <a:pt x="3040380" y="1562100"/>
              </a:lnTo>
              <a:lnTo>
                <a:pt x="3674364" y="1562100"/>
              </a:lnTo>
              <a:lnTo>
                <a:pt x="3674364" y="1357884"/>
              </a:lnTo>
              <a:close/>
            </a:path>
            <a:path w="7486015" h="1975485">
              <a:moveTo>
                <a:pt x="3674364" y="829056"/>
              </a:moveTo>
              <a:lnTo>
                <a:pt x="3040380" y="829056"/>
              </a:lnTo>
              <a:lnTo>
                <a:pt x="3040380" y="1354836"/>
              </a:lnTo>
              <a:lnTo>
                <a:pt x="3674364" y="1354836"/>
              </a:lnTo>
              <a:lnTo>
                <a:pt x="3674364" y="829056"/>
              </a:lnTo>
              <a:close/>
            </a:path>
            <a:path w="7486015" h="1975485">
              <a:moveTo>
                <a:pt x="3674364" y="621792"/>
              </a:moveTo>
              <a:lnTo>
                <a:pt x="3040380" y="621792"/>
              </a:lnTo>
              <a:lnTo>
                <a:pt x="3040380" y="826008"/>
              </a:lnTo>
              <a:lnTo>
                <a:pt x="3674364" y="826008"/>
              </a:lnTo>
              <a:lnTo>
                <a:pt x="3674364" y="621792"/>
              </a:lnTo>
              <a:close/>
            </a:path>
            <a:path w="7486015" h="1975485">
              <a:moveTo>
                <a:pt x="3674364" y="414528"/>
              </a:moveTo>
              <a:lnTo>
                <a:pt x="3040380" y="414528"/>
              </a:lnTo>
              <a:lnTo>
                <a:pt x="3040380" y="618744"/>
              </a:lnTo>
              <a:lnTo>
                <a:pt x="3674364" y="618744"/>
              </a:lnTo>
              <a:lnTo>
                <a:pt x="3674364" y="414528"/>
              </a:lnTo>
              <a:close/>
            </a:path>
            <a:path w="7486015" h="1975485">
              <a:moveTo>
                <a:pt x="3674364" y="205740"/>
              </a:moveTo>
              <a:lnTo>
                <a:pt x="3040380" y="205740"/>
              </a:lnTo>
              <a:lnTo>
                <a:pt x="3040380" y="411480"/>
              </a:lnTo>
              <a:lnTo>
                <a:pt x="3674364" y="411480"/>
              </a:lnTo>
              <a:lnTo>
                <a:pt x="3674364" y="205740"/>
              </a:lnTo>
              <a:close/>
            </a:path>
            <a:path w="7486015" h="1975485">
              <a:moveTo>
                <a:pt x="3674364" y="0"/>
              </a:moveTo>
              <a:lnTo>
                <a:pt x="3040380" y="0"/>
              </a:lnTo>
              <a:lnTo>
                <a:pt x="3040380" y="202692"/>
              </a:lnTo>
              <a:lnTo>
                <a:pt x="3674364" y="202692"/>
              </a:lnTo>
              <a:lnTo>
                <a:pt x="3674364" y="0"/>
              </a:lnTo>
              <a:close/>
            </a:path>
            <a:path w="7486015" h="1975485">
              <a:moveTo>
                <a:pt x="4437888" y="1772412"/>
              </a:moveTo>
              <a:lnTo>
                <a:pt x="3677412" y="1772412"/>
              </a:lnTo>
              <a:lnTo>
                <a:pt x="3677412" y="1975104"/>
              </a:lnTo>
              <a:lnTo>
                <a:pt x="4437888" y="1975104"/>
              </a:lnTo>
              <a:lnTo>
                <a:pt x="4437888" y="1772412"/>
              </a:lnTo>
              <a:close/>
            </a:path>
            <a:path w="7486015" h="1975485">
              <a:moveTo>
                <a:pt x="4437888" y="1565148"/>
              </a:moveTo>
              <a:lnTo>
                <a:pt x="3677412" y="1565148"/>
              </a:lnTo>
              <a:lnTo>
                <a:pt x="3677412" y="1769364"/>
              </a:lnTo>
              <a:lnTo>
                <a:pt x="4437888" y="1769364"/>
              </a:lnTo>
              <a:lnTo>
                <a:pt x="4437888" y="1565148"/>
              </a:lnTo>
              <a:close/>
            </a:path>
            <a:path w="7486015" h="1975485">
              <a:moveTo>
                <a:pt x="4437888" y="1357884"/>
              </a:moveTo>
              <a:lnTo>
                <a:pt x="3677412" y="1357884"/>
              </a:lnTo>
              <a:lnTo>
                <a:pt x="3677412" y="1562100"/>
              </a:lnTo>
              <a:lnTo>
                <a:pt x="4437888" y="1562100"/>
              </a:lnTo>
              <a:lnTo>
                <a:pt x="4437888" y="1357884"/>
              </a:lnTo>
              <a:close/>
            </a:path>
            <a:path w="7486015" h="1975485">
              <a:moveTo>
                <a:pt x="4437888" y="829056"/>
              </a:moveTo>
              <a:lnTo>
                <a:pt x="3677412" y="829056"/>
              </a:lnTo>
              <a:lnTo>
                <a:pt x="3677412" y="1354836"/>
              </a:lnTo>
              <a:lnTo>
                <a:pt x="4437888" y="1354836"/>
              </a:lnTo>
              <a:lnTo>
                <a:pt x="4437888" y="829056"/>
              </a:lnTo>
              <a:close/>
            </a:path>
            <a:path w="7486015" h="1975485">
              <a:moveTo>
                <a:pt x="4437888" y="621792"/>
              </a:moveTo>
              <a:lnTo>
                <a:pt x="3677412" y="621792"/>
              </a:lnTo>
              <a:lnTo>
                <a:pt x="3677412" y="826008"/>
              </a:lnTo>
              <a:lnTo>
                <a:pt x="4437888" y="826008"/>
              </a:lnTo>
              <a:lnTo>
                <a:pt x="4437888" y="621792"/>
              </a:lnTo>
              <a:close/>
            </a:path>
            <a:path w="7486015" h="1975485">
              <a:moveTo>
                <a:pt x="4437888" y="414528"/>
              </a:moveTo>
              <a:lnTo>
                <a:pt x="3677412" y="414528"/>
              </a:lnTo>
              <a:lnTo>
                <a:pt x="3677412" y="618744"/>
              </a:lnTo>
              <a:lnTo>
                <a:pt x="4437888" y="618744"/>
              </a:lnTo>
              <a:lnTo>
                <a:pt x="4437888" y="414528"/>
              </a:lnTo>
              <a:close/>
            </a:path>
            <a:path w="7486015" h="1975485">
              <a:moveTo>
                <a:pt x="4437888" y="205740"/>
              </a:moveTo>
              <a:lnTo>
                <a:pt x="3677412" y="205740"/>
              </a:lnTo>
              <a:lnTo>
                <a:pt x="3677412" y="411480"/>
              </a:lnTo>
              <a:lnTo>
                <a:pt x="4437888" y="411480"/>
              </a:lnTo>
              <a:lnTo>
                <a:pt x="4437888" y="205740"/>
              </a:lnTo>
              <a:close/>
            </a:path>
            <a:path w="7486015" h="1975485">
              <a:moveTo>
                <a:pt x="4437888" y="0"/>
              </a:moveTo>
              <a:lnTo>
                <a:pt x="3677412" y="0"/>
              </a:lnTo>
              <a:lnTo>
                <a:pt x="3677412" y="202692"/>
              </a:lnTo>
              <a:lnTo>
                <a:pt x="4437888" y="202692"/>
              </a:lnTo>
              <a:lnTo>
                <a:pt x="4437888" y="0"/>
              </a:lnTo>
              <a:close/>
            </a:path>
            <a:path w="7486015" h="1975485">
              <a:moveTo>
                <a:pt x="5199888" y="1772412"/>
              </a:moveTo>
              <a:lnTo>
                <a:pt x="4440936" y="1772412"/>
              </a:lnTo>
              <a:lnTo>
                <a:pt x="4440936" y="1975104"/>
              </a:lnTo>
              <a:lnTo>
                <a:pt x="5199888" y="1975104"/>
              </a:lnTo>
              <a:lnTo>
                <a:pt x="5199888" y="1772412"/>
              </a:lnTo>
              <a:close/>
            </a:path>
            <a:path w="7486015" h="1975485">
              <a:moveTo>
                <a:pt x="5199888" y="1565148"/>
              </a:moveTo>
              <a:lnTo>
                <a:pt x="4440936" y="1565148"/>
              </a:lnTo>
              <a:lnTo>
                <a:pt x="4440936" y="1769364"/>
              </a:lnTo>
              <a:lnTo>
                <a:pt x="5199888" y="1769364"/>
              </a:lnTo>
              <a:lnTo>
                <a:pt x="5199888" y="1565148"/>
              </a:lnTo>
              <a:close/>
            </a:path>
            <a:path w="7486015" h="1975485">
              <a:moveTo>
                <a:pt x="5199888" y="1357884"/>
              </a:moveTo>
              <a:lnTo>
                <a:pt x="4440936" y="1357884"/>
              </a:lnTo>
              <a:lnTo>
                <a:pt x="4440936" y="1562100"/>
              </a:lnTo>
              <a:lnTo>
                <a:pt x="5199888" y="1562100"/>
              </a:lnTo>
              <a:lnTo>
                <a:pt x="5199888" y="1357884"/>
              </a:lnTo>
              <a:close/>
            </a:path>
            <a:path w="7486015" h="1975485">
              <a:moveTo>
                <a:pt x="5199888" y="829056"/>
              </a:moveTo>
              <a:lnTo>
                <a:pt x="4440936" y="829056"/>
              </a:lnTo>
              <a:lnTo>
                <a:pt x="4440936" y="1354836"/>
              </a:lnTo>
              <a:lnTo>
                <a:pt x="5199888" y="1354836"/>
              </a:lnTo>
              <a:lnTo>
                <a:pt x="5199888" y="829056"/>
              </a:lnTo>
              <a:close/>
            </a:path>
            <a:path w="7486015" h="1975485">
              <a:moveTo>
                <a:pt x="5199888" y="621792"/>
              </a:moveTo>
              <a:lnTo>
                <a:pt x="4440936" y="621792"/>
              </a:lnTo>
              <a:lnTo>
                <a:pt x="4440936" y="826008"/>
              </a:lnTo>
              <a:lnTo>
                <a:pt x="5199888" y="826008"/>
              </a:lnTo>
              <a:lnTo>
                <a:pt x="5199888" y="621792"/>
              </a:lnTo>
              <a:close/>
            </a:path>
            <a:path w="7486015" h="1975485">
              <a:moveTo>
                <a:pt x="5199888" y="414528"/>
              </a:moveTo>
              <a:lnTo>
                <a:pt x="4440936" y="414528"/>
              </a:lnTo>
              <a:lnTo>
                <a:pt x="4440936" y="618744"/>
              </a:lnTo>
              <a:lnTo>
                <a:pt x="5199888" y="618744"/>
              </a:lnTo>
              <a:lnTo>
                <a:pt x="5199888" y="414528"/>
              </a:lnTo>
              <a:close/>
            </a:path>
            <a:path w="7486015" h="1975485">
              <a:moveTo>
                <a:pt x="5199888" y="205740"/>
              </a:moveTo>
              <a:lnTo>
                <a:pt x="4440936" y="205740"/>
              </a:lnTo>
              <a:lnTo>
                <a:pt x="4440936" y="411480"/>
              </a:lnTo>
              <a:lnTo>
                <a:pt x="5199888" y="411480"/>
              </a:lnTo>
              <a:lnTo>
                <a:pt x="5199888" y="205740"/>
              </a:lnTo>
              <a:close/>
            </a:path>
            <a:path w="7486015" h="1975485">
              <a:moveTo>
                <a:pt x="5199888" y="0"/>
              </a:moveTo>
              <a:lnTo>
                <a:pt x="4440936" y="0"/>
              </a:lnTo>
              <a:lnTo>
                <a:pt x="4440936" y="202692"/>
              </a:lnTo>
              <a:lnTo>
                <a:pt x="5199888" y="202692"/>
              </a:lnTo>
              <a:lnTo>
                <a:pt x="5199888" y="0"/>
              </a:lnTo>
              <a:close/>
            </a:path>
            <a:path w="7486015" h="1975485">
              <a:moveTo>
                <a:pt x="5961875" y="1772412"/>
              </a:moveTo>
              <a:lnTo>
                <a:pt x="5202936" y="1772412"/>
              </a:lnTo>
              <a:lnTo>
                <a:pt x="5202936" y="1975104"/>
              </a:lnTo>
              <a:lnTo>
                <a:pt x="5961875" y="1975104"/>
              </a:lnTo>
              <a:lnTo>
                <a:pt x="5961875" y="1772412"/>
              </a:lnTo>
              <a:close/>
            </a:path>
            <a:path w="7486015" h="1975485">
              <a:moveTo>
                <a:pt x="5961875" y="1565148"/>
              </a:moveTo>
              <a:lnTo>
                <a:pt x="5202936" y="1565148"/>
              </a:lnTo>
              <a:lnTo>
                <a:pt x="5202936" y="1769364"/>
              </a:lnTo>
              <a:lnTo>
                <a:pt x="5961875" y="1769364"/>
              </a:lnTo>
              <a:lnTo>
                <a:pt x="5961875" y="1565148"/>
              </a:lnTo>
              <a:close/>
            </a:path>
            <a:path w="7486015" h="1975485">
              <a:moveTo>
                <a:pt x="5961875" y="1357884"/>
              </a:moveTo>
              <a:lnTo>
                <a:pt x="5202936" y="1357884"/>
              </a:lnTo>
              <a:lnTo>
                <a:pt x="5202936" y="1562100"/>
              </a:lnTo>
              <a:lnTo>
                <a:pt x="5961875" y="1562100"/>
              </a:lnTo>
              <a:lnTo>
                <a:pt x="5961875" y="1357884"/>
              </a:lnTo>
              <a:close/>
            </a:path>
            <a:path w="7486015" h="1975485">
              <a:moveTo>
                <a:pt x="5961875" y="829056"/>
              </a:moveTo>
              <a:lnTo>
                <a:pt x="5202936" y="829056"/>
              </a:lnTo>
              <a:lnTo>
                <a:pt x="5202936" y="1354836"/>
              </a:lnTo>
              <a:lnTo>
                <a:pt x="5961875" y="1354836"/>
              </a:lnTo>
              <a:lnTo>
                <a:pt x="5961875" y="829056"/>
              </a:lnTo>
              <a:close/>
            </a:path>
            <a:path w="7486015" h="1975485">
              <a:moveTo>
                <a:pt x="5961875" y="621792"/>
              </a:moveTo>
              <a:lnTo>
                <a:pt x="5202936" y="621792"/>
              </a:lnTo>
              <a:lnTo>
                <a:pt x="5202936" y="826008"/>
              </a:lnTo>
              <a:lnTo>
                <a:pt x="5961875" y="826008"/>
              </a:lnTo>
              <a:lnTo>
                <a:pt x="5961875" y="621792"/>
              </a:lnTo>
              <a:close/>
            </a:path>
            <a:path w="7486015" h="1975485">
              <a:moveTo>
                <a:pt x="5961875" y="414528"/>
              </a:moveTo>
              <a:lnTo>
                <a:pt x="5202936" y="414528"/>
              </a:lnTo>
              <a:lnTo>
                <a:pt x="5202936" y="618744"/>
              </a:lnTo>
              <a:lnTo>
                <a:pt x="5961875" y="618744"/>
              </a:lnTo>
              <a:lnTo>
                <a:pt x="5961875" y="414528"/>
              </a:lnTo>
              <a:close/>
            </a:path>
            <a:path w="7486015" h="1975485">
              <a:moveTo>
                <a:pt x="5961875" y="205740"/>
              </a:moveTo>
              <a:lnTo>
                <a:pt x="5202936" y="205740"/>
              </a:lnTo>
              <a:lnTo>
                <a:pt x="5202936" y="411480"/>
              </a:lnTo>
              <a:lnTo>
                <a:pt x="5961875" y="411480"/>
              </a:lnTo>
              <a:lnTo>
                <a:pt x="5961875" y="205740"/>
              </a:lnTo>
              <a:close/>
            </a:path>
            <a:path w="7486015" h="1975485">
              <a:moveTo>
                <a:pt x="5961875" y="0"/>
              </a:moveTo>
              <a:lnTo>
                <a:pt x="5202936" y="0"/>
              </a:lnTo>
              <a:lnTo>
                <a:pt x="5202936" y="202692"/>
              </a:lnTo>
              <a:lnTo>
                <a:pt x="5961875" y="202692"/>
              </a:lnTo>
              <a:lnTo>
                <a:pt x="5961875" y="0"/>
              </a:lnTo>
              <a:close/>
            </a:path>
            <a:path w="7486015" h="1975485">
              <a:moveTo>
                <a:pt x="6723888" y="1772412"/>
              </a:moveTo>
              <a:lnTo>
                <a:pt x="5964936" y="1772412"/>
              </a:lnTo>
              <a:lnTo>
                <a:pt x="5964936" y="1975104"/>
              </a:lnTo>
              <a:lnTo>
                <a:pt x="6723888" y="1975104"/>
              </a:lnTo>
              <a:lnTo>
                <a:pt x="6723888" y="1772412"/>
              </a:lnTo>
              <a:close/>
            </a:path>
            <a:path w="7486015" h="1975485">
              <a:moveTo>
                <a:pt x="6723888" y="1565148"/>
              </a:moveTo>
              <a:lnTo>
                <a:pt x="5964936" y="1565148"/>
              </a:lnTo>
              <a:lnTo>
                <a:pt x="5964936" y="1769364"/>
              </a:lnTo>
              <a:lnTo>
                <a:pt x="6723888" y="1769364"/>
              </a:lnTo>
              <a:lnTo>
                <a:pt x="6723888" y="1565148"/>
              </a:lnTo>
              <a:close/>
            </a:path>
            <a:path w="7486015" h="1975485">
              <a:moveTo>
                <a:pt x="6723888" y="1357884"/>
              </a:moveTo>
              <a:lnTo>
                <a:pt x="5964936" y="1357884"/>
              </a:lnTo>
              <a:lnTo>
                <a:pt x="5964936" y="1562100"/>
              </a:lnTo>
              <a:lnTo>
                <a:pt x="6723888" y="1562100"/>
              </a:lnTo>
              <a:lnTo>
                <a:pt x="6723888" y="1357884"/>
              </a:lnTo>
              <a:close/>
            </a:path>
            <a:path w="7486015" h="1975485">
              <a:moveTo>
                <a:pt x="6723888" y="829056"/>
              </a:moveTo>
              <a:lnTo>
                <a:pt x="5964936" y="829056"/>
              </a:lnTo>
              <a:lnTo>
                <a:pt x="5964936" y="1354836"/>
              </a:lnTo>
              <a:lnTo>
                <a:pt x="6723888" y="1354836"/>
              </a:lnTo>
              <a:lnTo>
                <a:pt x="6723888" y="829056"/>
              </a:lnTo>
              <a:close/>
            </a:path>
            <a:path w="7486015" h="1975485">
              <a:moveTo>
                <a:pt x="6723888" y="621792"/>
              </a:moveTo>
              <a:lnTo>
                <a:pt x="5964936" y="621792"/>
              </a:lnTo>
              <a:lnTo>
                <a:pt x="5964936" y="826008"/>
              </a:lnTo>
              <a:lnTo>
                <a:pt x="6723888" y="826008"/>
              </a:lnTo>
              <a:lnTo>
                <a:pt x="6723888" y="621792"/>
              </a:lnTo>
              <a:close/>
            </a:path>
            <a:path w="7486015" h="1975485">
              <a:moveTo>
                <a:pt x="6723888" y="414528"/>
              </a:moveTo>
              <a:lnTo>
                <a:pt x="5964936" y="414528"/>
              </a:lnTo>
              <a:lnTo>
                <a:pt x="5964936" y="618744"/>
              </a:lnTo>
              <a:lnTo>
                <a:pt x="6723888" y="618744"/>
              </a:lnTo>
              <a:lnTo>
                <a:pt x="6723888" y="414528"/>
              </a:lnTo>
              <a:close/>
            </a:path>
            <a:path w="7486015" h="1975485">
              <a:moveTo>
                <a:pt x="6723888" y="205740"/>
              </a:moveTo>
              <a:lnTo>
                <a:pt x="5964936" y="205740"/>
              </a:lnTo>
              <a:lnTo>
                <a:pt x="5964936" y="411480"/>
              </a:lnTo>
              <a:lnTo>
                <a:pt x="6723888" y="411480"/>
              </a:lnTo>
              <a:lnTo>
                <a:pt x="6723888" y="205740"/>
              </a:lnTo>
              <a:close/>
            </a:path>
            <a:path w="7486015" h="1975485">
              <a:moveTo>
                <a:pt x="6723888" y="0"/>
              </a:moveTo>
              <a:lnTo>
                <a:pt x="5964936" y="0"/>
              </a:lnTo>
              <a:lnTo>
                <a:pt x="5964936" y="202692"/>
              </a:lnTo>
              <a:lnTo>
                <a:pt x="6723888" y="202692"/>
              </a:lnTo>
              <a:lnTo>
                <a:pt x="6723888" y="0"/>
              </a:lnTo>
              <a:close/>
            </a:path>
            <a:path w="7486015" h="1975485">
              <a:moveTo>
                <a:pt x="7485888" y="1772412"/>
              </a:moveTo>
              <a:lnTo>
                <a:pt x="6726936" y="1772412"/>
              </a:lnTo>
              <a:lnTo>
                <a:pt x="6726936" y="1975104"/>
              </a:lnTo>
              <a:lnTo>
                <a:pt x="7485888" y="1975104"/>
              </a:lnTo>
              <a:lnTo>
                <a:pt x="7485888" y="1772412"/>
              </a:lnTo>
              <a:close/>
            </a:path>
            <a:path w="7486015" h="1975485">
              <a:moveTo>
                <a:pt x="7485888" y="1565148"/>
              </a:moveTo>
              <a:lnTo>
                <a:pt x="6726936" y="1565148"/>
              </a:lnTo>
              <a:lnTo>
                <a:pt x="6726936" y="1769364"/>
              </a:lnTo>
              <a:lnTo>
                <a:pt x="7485888" y="1769364"/>
              </a:lnTo>
              <a:lnTo>
                <a:pt x="7485888" y="1565148"/>
              </a:lnTo>
              <a:close/>
            </a:path>
            <a:path w="7486015" h="1975485">
              <a:moveTo>
                <a:pt x="7485888" y="1357884"/>
              </a:moveTo>
              <a:lnTo>
                <a:pt x="6726936" y="1357884"/>
              </a:lnTo>
              <a:lnTo>
                <a:pt x="6726936" y="1562100"/>
              </a:lnTo>
              <a:lnTo>
                <a:pt x="7485888" y="1562100"/>
              </a:lnTo>
              <a:lnTo>
                <a:pt x="7485888" y="1357884"/>
              </a:lnTo>
              <a:close/>
            </a:path>
            <a:path w="7486015" h="1975485">
              <a:moveTo>
                <a:pt x="7485888" y="829056"/>
              </a:moveTo>
              <a:lnTo>
                <a:pt x="6726936" y="829056"/>
              </a:lnTo>
              <a:lnTo>
                <a:pt x="6726936" y="1354836"/>
              </a:lnTo>
              <a:lnTo>
                <a:pt x="7485888" y="1354836"/>
              </a:lnTo>
              <a:lnTo>
                <a:pt x="7485888" y="829056"/>
              </a:lnTo>
              <a:close/>
            </a:path>
            <a:path w="7486015" h="1975485">
              <a:moveTo>
                <a:pt x="7485888" y="621792"/>
              </a:moveTo>
              <a:lnTo>
                <a:pt x="6726936" y="621792"/>
              </a:lnTo>
              <a:lnTo>
                <a:pt x="6726936" y="826008"/>
              </a:lnTo>
              <a:lnTo>
                <a:pt x="7485888" y="826008"/>
              </a:lnTo>
              <a:lnTo>
                <a:pt x="7485888" y="621792"/>
              </a:lnTo>
              <a:close/>
            </a:path>
            <a:path w="7486015" h="1975485">
              <a:moveTo>
                <a:pt x="7485888" y="414528"/>
              </a:moveTo>
              <a:lnTo>
                <a:pt x="6726936" y="414528"/>
              </a:lnTo>
              <a:lnTo>
                <a:pt x="6726936" y="618744"/>
              </a:lnTo>
              <a:lnTo>
                <a:pt x="7485888" y="618744"/>
              </a:lnTo>
              <a:lnTo>
                <a:pt x="7485888" y="414528"/>
              </a:lnTo>
              <a:close/>
            </a:path>
            <a:path w="7486015" h="1975485">
              <a:moveTo>
                <a:pt x="7485888" y="205740"/>
              </a:moveTo>
              <a:lnTo>
                <a:pt x="6726936" y="205740"/>
              </a:lnTo>
              <a:lnTo>
                <a:pt x="6726936" y="411480"/>
              </a:lnTo>
              <a:lnTo>
                <a:pt x="7485888" y="411480"/>
              </a:lnTo>
              <a:lnTo>
                <a:pt x="7485888" y="205740"/>
              </a:lnTo>
              <a:close/>
            </a:path>
            <a:path w="7486015" h="1975485">
              <a:moveTo>
                <a:pt x="7485888" y="0"/>
              </a:moveTo>
              <a:lnTo>
                <a:pt x="6726936" y="0"/>
              </a:lnTo>
              <a:lnTo>
                <a:pt x="6726936" y="202692"/>
              </a:lnTo>
              <a:lnTo>
                <a:pt x="7485888" y="202692"/>
              </a:lnTo>
              <a:lnTo>
                <a:pt x="7485888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11</xdr:col>
      <xdr:colOff>542036</xdr:colOff>
      <xdr:row>23</xdr:row>
      <xdr:rowOff>0</xdr:rowOff>
    </xdr:from>
    <xdr:ext cx="645160" cy="1975485"/>
    <xdr:sp macro="" textlink="">
      <xdr:nvSpPr>
        <xdr:cNvPr id="13" name="Shape 13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/>
      </xdr:nvSpPr>
      <xdr:spPr>
        <a:xfrm>
          <a:off x="0" y="0"/>
          <a:ext cx="645160" cy="1975485"/>
        </a:xfrm>
        <a:custGeom>
          <a:avLst/>
          <a:gdLst/>
          <a:ahLst/>
          <a:cxnLst/>
          <a:rect l="0" t="0" r="0" b="0"/>
          <a:pathLst>
            <a:path w="645160" h="1975485">
              <a:moveTo>
                <a:pt x="644652" y="1772412"/>
              </a:moveTo>
              <a:lnTo>
                <a:pt x="0" y="1772412"/>
              </a:lnTo>
              <a:lnTo>
                <a:pt x="0" y="1975104"/>
              </a:lnTo>
              <a:lnTo>
                <a:pt x="644652" y="1975104"/>
              </a:lnTo>
              <a:lnTo>
                <a:pt x="644652" y="1772412"/>
              </a:lnTo>
              <a:close/>
            </a:path>
            <a:path w="645160" h="1975485">
              <a:moveTo>
                <a:pt x="644652" y="1565148"/>
              </a:moveTo>
              <a:lnTo>
                <a:pt x="0" y="1565148"/>
              </a:lnTo>
              <a:lnTo>
                <a:pt x="0" y="1769364"/>
              </a:lnTo>
              <a:lnTo>
                <a:pt x="644652" y="1769364"/>
              </a:lnTo>
              <a:lnTo>
                <a:pt x="644652" y="1565148"/>
              </a:lnTo>
              <a:close/>
            </a:path>
            <a:path w="645160" h="1975485">
              <a:moveTo>
                <a:pt x="644652" y="1357884"/>
              </a:moveTo>
              <a:lnTo>
                <a:pt x="0" y="1357884"/>
              </a:lnTo>
              <a:lnTo>
                <a:pt x="0" y="1562100"/>
              </a:lnTo>
              <a:lnTo>
                <a:pt x="644652" y="1562100"/>
              </a:lnTo>
              <a:lnTo>
                <a:pt x="644652" y="1357884"/>
              </a:lnTo>
              <a:close/>
            </a:path>
            <a:path w="645160" h="1975485">
              <a:moveTo>
                <a:pt x="644652" y="829056"/>
              </a:moveTo>
              <a:lnTo>
                <a:pt x="0" y="829056"/>
              </a:lnTo>
              <a:lnTo>
                <a:pt x="0" y="1354836"/>
              </a:lnTo>
              <a:lnTo>
                <a:pt x="644652" y="1354836"/>
              </a:lnTo>
              <a:lnTo>
                <a:pt x="644652" y="829056"/>
              </a:lnTo>
              <a:close/>
            </a:path>
            <a:path w="645160" h="1975485">
              <a:moveTo>
                <a:pt x="644652" y="621792"/>
              </a:moveTo>
              <a:lnTo>
                <a:pt x="0" y="621792"/>
              </a:lnTo>
              <a:lnTo>
                <a:pt x="0" y="826008"/>
              </a:lnTo>
              <a:lnTo>
                <a:pt x="644652" y="826008"/>
              </a:lnTo>
              <a:lnTo>
                <a:pt x="644652" y="621792"/>
              </a:lnTo>
              <a:close/>
            </a:path>
            <a:path w="645160" h="1975485">
              <a:moveTo>
                <a:pt x="644652" y="414528"/>
              </a:moveTo>
              <a:lnTo>
                <a:pt x="0" y="414528"/>
              </a:lnTo>
              <a:lnTo>
                <a:pt x="0" y="618744"/>
              </a:lnTo>
              <a:lnTo>
                <a:pt x="644652" y="618744"/>
              </a:lnTo>
              <a:lnTo>
                <a:pt x="644652" y="414528"/>
              </a:lnTo>
              <a:close/>
            </a:path>
            <a:path w="645160" h="1975485">
              <a:moveTo>
                <a:pt x="644652" y="205740"/>
              </a:moveTo>
              <a:lnTo>
                <a:pt x="0" y="205740"/>
              </a:lnTo>
              <a:lnTo>
                <a:pt x="0" y="411480"/>
              </a:lnTo>
              <a:lnTo>
                <a:pt x="644652" y="411480"/>
              </a:lnTo>
              <a:lnTo>
                <a:pt x="644652" y="205740"/>
              </a:lnTo>
              <a:close/>
            </a:path>
            <a:path w="645160" h="1975485">
              <a:moveTo>
                <a:pt x="644652" y="0"/>
              </a:moveTo>
              <a:lnTo>
                <a:pt x="0" y="0"/>
              </a:lnTo>
              <a:lnTo>
                <a:pt x="0" y="202692"/>
              </a:lnTo>
              <a:lnTo>
                <a:pt x="644652" y="202692"/>
              </a:lnTo>
              <a:lnTo>
                <a:pt x="644652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543687</xdr:colOff>
      <xdr:row>19</xdr:row>
      <xdr:rowOff>206501</xdr:rowOff>
    </xdr:from>
    <xdr:ext cx="3808729" cy="480059"/>
    <xdr:sp macro="" textlink="">
      <xdr:nvSpPr>
        <xdr:cNvPr id="14" name="Shape 14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SpPr/>
      </xdr:nvSpPr>
      <xdr:spPr>
        <a:xfrm>
          <a:off x="0" y="0"/>
          <a:ext cx="3808729" cy="480059"/>
        </a:xfrm>
        <a:custGeom>
          <a:avLst/>
          <a:gdLst/>
          <a:ahLst/>
          <a:cxnLst/>
          <a:rect l="0" t="0" r="0" b="0"/>
          <a:pathLst>
            <a:path w="3808729" h="480059">
              <a:moveTo>
                <a:pt x="760476" y="0"/>
              </a:moveTo>
              <a:lnTo>
                <a:pt x="0" y="0"/>
              </a:lnTo>
              <a:lnTo>
                <a:pt x="0" y="480060"/>
              </a:lnTo>
              <a:lnTo>
                <a:pt x="760476" y="480060"/>
              </a:lnTo>
              <a:lnTo>
                <a:pt x="760476" y="0"/>
              </a:lnTo>
              <a:close/>
            </a:path>
            <a:path w="3808729" h="480059">
              <a:moveTo>
                <a:pt x="1522476" y="0"/>
              </a:moveTo>
              <a:lnTo>
                <a:pt x="763524" y="0"/>
              </a:lnTo>
              <a:lnTo>
                <a:pt x="763524" y="480060"/>
              </a:lnTo>
              <a:lnTo>
                <a:pt x="1522476" y="480060"/>
              </a:lnTo>
              <a:lnTo>
                <a:pt x="1522476" y="0"/>
              </a:lnTo>
              <a:close/>
            </a:path>
            <a:path w="3808729" h="480059">
              <a:moveTo>
                <a:pt x="2284463" y="0"/>
              </a:moveTo>
              <a:lnTo>
                <a:pt x="1525524" y="0"/>
              </a:lnTo>
              <a:lnTo>
                <a:pt x="1525524" y="480060"/>
              </a:lnTo>
              <a:lnTo>
                <a:pt x="2284463" y="480060"/>
              </a:lnTo>
              <a:lnTo>
                <a:pt x="2284463" y="0"/>
              </a:lnTo>
              <a:close/>
            </a:path>
            <a:path w="3808729" h="480059">
              <a:moveTo>
                <a:pt x="3046476" y="0"/>
              </a:moveTo>
              <a:lnTo>
                <a:pt x="2287524" y="0"/>
              </a:lnTo>
              <a:lnTo>
                <a:pt x="2287524" y="480060"/>
              </a:lnTo>
              <a:lnTo>
                <a:pt x="3046476" y="480060"/>
              </a:lnTo>
              <a:lnTo>
                <a:pt x="3046476" y="0"/>
              </a:lnTo>
              <a:close/>
            </a:path>
            <a:path w="3808729" h="480059">
              <a:moveTo>
                <a:pt x="3808476" y="0"/>
              </a:moveTo>
              <a:lnTo>
                <a:pt x="3049524" y="0"/>
              </a:lnTo>
              <a:lnTo>
                <a:pt x="3049524" y="480060"/>
              </a:lnTo>
              <a:lnTo>
                <a:pt x="3808476" y="480060"/>
              </a:lnTo>
              <a:lnTo>
                <a:pt x="3808476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5</xdr:col>
      <xdr:colOff>299453</xdr:colOff>
      <xdr:row>3</xdr:row>
      <xdr:rowOff>49142</xdr:rowOff>
    </xdr:from>
    <xdr:ext cx="193523" cy="290285"/>
    <xdr:pic>
      <xdr:nvPicPr>
        <xdr:cNvPr id="15" name="image1.jpeg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93523" cy="290285"/>
        </a:xfrm>
        <a:prstGeom prst="rect">
          <a:avLst/>
        </a:prstGeom>
      </xdr:spPr>
    </xdr:pic>
    <xdr:clientData/>
  </xdr:oneCellAnchor>
  <xdr:oneCellAnchor>
    <xdr:from>
      <xdr:col>6</xdr:col>
      <xdr:colOff>201929</xdr:colOff>
      <xdr:row>3</xdr:row>
      <xdr:rowOff>761</xdr:rowOff>
    </xdr:from>
    <xdr:ext cx="381000" cy="381000"/>
    <xdr:pic>
      <xdr:nvPicPr>
        <xdr:cNvPr id="16" name="image2.jpeg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81000" cy="381000"/>
        </a:xfrm>
        <a:prstGeom prst="rect">
          <a:avLst/>
        </a:prstGeom>
      </xdr:spPr>
    </xdr:pic>
    <xdr:clientData/>
  </xdr:oneCellAnchor>
  <xdr:oneCellAnchor>
    <xdr:from>
      <xdr:col>7</xdr:col>
      <xdr:colOff>201930</xdr:colOff>
      <xdr:row>3</xdr:row>
      <xdr:rowOff>761</xdr:rowOff>
    </xdr:from>
    <xdr:ext cx="381000" cy="381000"/>
    <xdr:pic>
      <xdr:nvPicPr>
        <xdr:cNvPr id="17" name="image3.jpeg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81000" cy="381000"/>
        </a:xfrm>
        <a:prstGeom prst="rect">
          <a:avLst/>
        </a:prstGeom>
      </xdr:spPr>
    </xdr:pic>
    <xdr:clientData/>
  </xdr:oneCellAnchor>
  <xdr:oneCellAnchor>
    <xdr:from>
      <xdr:col>8</xdr:col>
      <xdr:colOff>201929</xdr:colOff>
      <xdr:row>3</xdr:row>
      <xdr:rowOff>49142</xdr:rowOff>
    </xdr:from>
    <xdr:ext cx="381000" cy="290285"/>
    <xdr:pic>
      <xdr:nvPicPr>
        <xdr:cNvPr id="18" name="image4.jpeg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81000" cy="290285"/>
        </a:xfrm>
        <a:prstGeom prst="rect">
          <a:avLst/>
        </a:prstGeom>
      </xdr:spPr>
    </xdr:pic>
    <xdr:clientData/>
  </xdr:oneCellAnchor>
  <xdr:oneCellAnchor>
    <xdr:from>
      <xdr:col>9</xdr:col>
      <xdr:colOff>201929</xdr:colOff>
      <xdr:row>3</xdr:row>
      <xdr:rowOff>49142</xdr:rowOff>
    </xdr:from>
    <xdr:ext cx="381000" cy="290285"/>
    <xdr:pic>
      <xdr:nvPicPr>
        <xdr:cNvPr id="19" name="image5.jpeg"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81000" cy="290285"/>
        </a:xfrm>
        <a:prstGeom prst="rect">
          <a:avLst/>
        </a:prstGeom>
      </xdr:spPr>
    </xdr:pic>
    <xdr:clientData/>
  </xdr:oneCellAnchor>
  <xdr:oneCellAnchor>
    <xdr:from>
      <xdr:col>1</xdr:col>
      <xdr:colOff>226059</xdr:colOff>
      <xdr:row>21</xdr:row>
      <xdr:rowOff>0</xdr:rowOff>
    </xdr:from>
    <xdr:ext cx="7486015" cy="3310254"/>
    <xdr:grpSp>
      <xdr:nvGrpSpPr>
        <xdr:cNvPr id="20" name="Group 20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GrpSpPr/>
      </xdr:nvGrpSpPr>
      <xdr:grpSpPr>
        <a:xfrm>
          <a:off x="607059" y="5402580"/>
          <a:ext cx="7486015" cy="3310254"/>
          <a:chOff x="0" y="0"/>
          <a:chExt cx="7486015" cy="3310254"/>
        </a:xfrm>
      </xdr:grpSpPr>
      <xdr:sp macro="" textlink="">
        <xdr:nvSpPr>
          <xdr:cNvPr id="21" name="Shape 21">
            <a:extLst>
              <a:ext uri="{FF2B5EF4-FFF2-40B4-BE49-F238E27FC236}">
                <a16:creationId xmlns:a16="http://schemas.microsoft.com/office/drawing/2014/main" id="{00000000-0008-0000-0100-000015000000}"/>
              </a:ext>
            </a:extLst>
          </xdr:cNvPr>
          <xdr:cNvSpPr/>
        </xdr:nvSpPr>
        <xdr:spPr>
          <a:xfrm>
            <a:off x="0" y="0"/>
            <a:ext cx="7486015" cy="1861185"/>
          </a:xfrm>
          <a:custGeom>
            <a:avLst/>
            <a:gdLst/>
            <a:ahLst/>
            <a:cxnLst/>
            <a:rect l="0" t="0" r="0" b="0"/>
            <a:pathLst>
              <a:path w="7486015" h="1861185">
                <a:moveTo>
                  <a:pt x="312420" y="829056"/>
                </a:moveTo>
                <a:lnTo>
                  <a:pt x="0" y="829056"/>
                </a:lnTo>
                <a:lnTo>
                  <a:pt x="0" y="1860804"/>
                </a:lnTo>
                <a:lnTo>
                  <a:pt x="312420" y="1860804"/>
                </a:lnTo>
                <a:lnTo>
                  <a:pt x="312420" y="829056"/>
                </a:lnTo>
                <a:close/>
              </a:path>
              <a:path w="7486015" h="1861185">
                <a:moveTo>
                  <a:pt x="312420" y="414528"/>
                </a:moveTo>
                <a:lnTo>
                  <a:pt x="0" y="414528"/>
                </a:lnTo>
                <a:lnTo>
                  <a:pt x="0" y="826008"/>
                </a:lnTo>
                <a:lnTo>
                  <a:pt x="312420" y="826008"/>
                </a:lnTo>
                <a:lnTo>
                  <a:pt x="312420" y="414528"/>
                </a:lnTo>
                <a:close/>
              </a:path>
              <a:path w="7486015" h="1861185">
                <a:moveTo>
                  <a:pt x="312420" y="0"/>
                </a:moveTo>
                <a:lnTo>
                  <a:pt x="0" y="0"/>
                </a:lnTo>
                <a:lnTo>
                  <a:pt x="0" y="411480"/>
                </a:lnTo>
                <a:lnTo>
                  <a:pt x="312420" y="411480"/>
                </a:lnTo>
                <a:lnTo>
                  <a:pt x="312420" y="0"/>
                </a:lnTo>
                <a:close/>
              </a:path>
              <a:path w="7486015" h="1861185">
                <a:moveTo>
                  <a:pt x="1264920" y="829056"/>
                </a:moveTo>
                <a:lnTo>
                  <a:pt x="315468" y="829056"/>
                </a:lnTo>
                <a:lnTo>
                  <a:pt x="315468" y="1860804"/>
                </a:lnTo>
                <a:lnTo>
                  <a:pt x="1264920" y="1860804"/>
                </a:lnTo>
                <a:lnTo>
                  <a:pt x="1264920" y="829056"/>
                </a:lnTo>
                <a:close/>
              </a:path>
              <a:path w="7486015" h="1861185">
                <a:moveTo>
                  <a:pt x="1264920" y="414528"/>
                </a:moveTo>
                <a:lnTo>
                  <a:pt x="315468" y="414528"/>
                </a:lnTo>
                <a:lnTo>
                  <a:pt x="315468" y="826008"/>
                </a:lnTo>
                <a:lnTo>
                  <a:pt x="1264920" y="826008"/>
                </a:lnTo>
                <a:lnTo>
                  <a:pt x="1264920" y="414528"/>
                </a:lnTo>
                <a:close/>
              </a:path>
              <a:path w="7486015" h="1861185">
                <a:moveTo>
                  <a:pt x="1264920" y="0"/>
                </a:moveTo>
                <a:lnTo>
                  <a:pt x="315468" y="0"/>
                </a:lnTo>
                <a:lnTo>
                  <a:pt x="315468" y="411480"/>
                </a:lnTo>
                <a:lnTo>
                  <a:pt x="1264920" y="411480"/>
                </a:lnTo>
                <a:lnTo>
                  <a:pt x="1264920" y="0"/>
                </a:lnTo>
                <a:close/>
              </a:path>
              <a:path w="7486015" h="1861185">
                <a:moveTo>
                  <a:pt x="2531364" y="829056"/>
                </a:moveTo>
                <a:lnTo>
                  <a:pt x="1267968" y="829056"/>
                </a:lnTo>
                <a:lnTo>
                  <a:pt x="1267968" y="1860804"/>
                </a:lnTo>
                <a:lnTo>
                  <a:pt x="2531364" y="1860804"/>
                </a:lnTo>
                <a:lnTo>
                  <a:pt x="2531364" y="829056"/>
                </a:lnTo>
                <a:close/>
              </a:path>
              <a:path w="7486015" h="1861185">
                <a:moveTo>
                  <a:pt x="2531364" y="414528"/>
                </a:moveTo>
                <a:lnTo>
                  <a:pt x="1267968" y="414528"/>
                </a:lnTo>
                <a:lnTo>
                  <a:pt x="1267968" y="826008"/>
                </a:lnTo>
                <a:lnTo>
                  <a:pt x="2531364" y="826008"/>
                </a:lnTo>
                <a:lnTo>
                  <a:pt x="2531364" y="414528"/>
                </a:lnTo>
                <a:close/>
              </a:path>
              <a:path w="7486015" h="1861185">
                <a:moveTo>
                  <a:pt x="2531364" y="0"/>
                </a:moveTo>
                <a:lnTo>
                  <a:pt x="1267968" y="0"/>
                </a:lnTo>
                <a:lnTo>
                  <a:pt x="1267968" y="411480"/>
                </a:lnTo>
                <a:lnTo>
                  <a:pt x="2531364" y="411480"/>
                </a:lnTo>
                <a:lnTo>
                  <a:pt x="2531364" y="0"/>
                </a:lnTo>
                <a:close/>
              </a:path>
              <a:path w="7486015" h="1861185">
                <a:moveTo>
                  <a:pt x="3037332" y="1656588"/>
                </a:moveTo>
                <a:lnTo>
                  <a:pt x="2534412" y="1656588"/>
                </a:lnTo>
                <a:lnTo>
                  <a:pt x="2534412" y="1860804"/>
                </a:lnTo>
                <a:lnTo>
                  <a:pt x="3037332" y="1860804"/>
                </a:lnTo>
                <a:lnTo>
                  <a:pt x="3037332" y="1656588"/>
                </a:lnTo>
                <a:close/>
              </a:path>
              <a:path w="7486015" h="1861185">
                <a:moveTo>
                  <a:pt x="3037332" y="1449324"/>
                </a:moveTo>
                <a:lnTo>
                  <a:pt x="2534412" y="1449324"/>
                </a:lnTo>
                <a:lnTo>
                  <a:pt x="2534412" y="1653540"/>
                </a:lnTo>
                <a:lnTo>
                  <a:pt x="3037332" y="1653540"/>
                </a:lnTo>
                <a:lnTo>
                  <a:pt x="3037332" y="1449324"/>
                </a:lnTo>
                <a:close/>
              </a:path>
              <a:path w="7486015" h="1861185">
                <a:moveTo>
                  <a:pt x="3037332" y="1242060"/>
                </a:moveTo>
                <a:lnTo>
                  <a:pt x="2534412" y="1242060"/>
                </a:lnTo>
                <a:lnTo>
                  <a:pt x="2534412" y="1446276"/>
                </a:lnTo>
                <a:lnTo>
                  <a:pt x="3037332" y="1446276"/>
                </a:lnTo>
                <a:lnTo>
                  <a:pt x="3037332" y="1242060"/>
                </a:lnTo>
                <a:close/>
              </a:path>
              <a:path w="7486015" h="1861185">
                <a:moveTo>
                  <a:pt x="3037332" y="1036320"/>
                </a:moveTo>
                <a:lnTo>
                  <a:pt x="2534412" y="1036320"/>
                </a:lnTo>
                <a:lnTo>
                  <a:pt x="2534412" y="1239012"/>
                </a:lnTo>
                <a:lnTo>
                  <a:pt x="3037332" y="1239012"/>
                </a:lnTo>
                <a:lnTo>
                  <a:pt x="3037332" y="1036320"/>
                </a:lnTo>
                <a:close/>
              </a:path>
              <a:path w="7486015" h="1861185">
                <a:moveTo>
                  <a:pt x="3037332" y="829056"/>
                </a:moveTo>
                <a:lnTo>
                  <a:pt x="2534412" y="829056"/>
                </a:lnTo>
                <a:lnTo>
                  <a:pt x="2534412" y="1033272"/>
                </a:lnTo>
                <a:lnTo>
                  <a:pt x="3037332" y="1033272"/>
                </a:lnTo>
                <a:lnTo>
                  <a:pt x="3037332" y="829056"/>
                </a:lnTo>
                <a:close/>
              </a:path>
              <a:path w="7486015" h="1861185">
                <a:moveTo>
                  <a:pt x="3037332" y="621792"/>
                </a:moveTo>
                <a:lnTo>
                  <a:pt x="2534412" y="621792"/>
                </a:lnTo>
                <a:lnTo>
                  <a:pt x="2534412" y="826008"/>
                </a:lnTo>
                <a:lnTo>
                  <a:pt x="3037332" y="826008"/>
                </a:lnTo>
                <a:lnTo>
                  <a:pt x="3037332" y="621792"/>
                </a:lnTo>
                <a:close/>
              </a:path>
              <a:path w="7486015" h="1861185">
                <a:moveTo>
                  <a:pt x="3037332" y="414528"/>
                </a:moveTo>
                <a:lnTo>
                  <a:pt x="2534412" y="414528"/>
                </a:lnTo>
                <a:lnTo>
                  <a:pt x="2534412" y="618744"/>
                </a:lnTo>
                <a:lnTo>
                  <a:pt x="3037332" y="618744"/>
                </a:lnTo>
                <a:lnTo>
                  <a:pt x="3037332" y="414528"/>
                </a:lnTo>
                <a:close/>
              </a:path>
              <a:path w="7486015" h="1861185">
                <a:moveTo>
                  <a:pt x="3037332" y="207264"/>
                </a:moveTo>
                <a:lnTo>
                  <a:pt x="2534412" y="207264"/>
                </a:lnTo>
                <a:lnTo>
                  <a:pt x="2534412" y="411480"/>
                </a:lnTo>
                <a:lnTo>
                  <a:pt x="3037332" y="411480"/>
                </a:lnTo>
                <a:lnTo>
                  <a:pt x="3037332" y="207264"/>
                </a:lnTo>
                <a:close/>
              </a:path>
              <a:path w="7486015" h="1861185">
                <a:moveTo>
                  <a:pt x="3037332" y="0"/>
                </a:moveTo>
                <a:lnTo>
                  <a:pt x="2534412" y="0"/>
                </a:lnTo>
                <a:lnTo>
                  <a:pt x="2534412" y="204216"/>
                </a:lnTo>
                <a:lnTo>
                  <a:pt x="3037332" y="204216"/>
                </a:lnTo>
                <a:lnTo>
                  <a:pt x="3037332" y="0"/>
                </a:lnTo>
                <a:close/>
              </a:path>
              <a:path w="7486015" h="1861185">
                <a:moveTo>
                  <a:pt x="3674364" y="1656588"/>
                </a:moveTo>
                <a:lnTo>
                  <a:pt x="3040380" y="1656588"/>
                </a:lnTo>
                <a:lnTo>
                  <a:pt x="3040380" y="1860804"/>
                </a:lnTo>
                <a:lnTo>
                  <a:pt x="3674364" y="1860804"/>
                </a:lnTo>
                <a:lnTo>
                  <a:pt x="3674364" y="1656588"/>
                </a:lnTo>
                <a:close/>
              </a:path>
              <a:path w="7486015" h="1861185">
                <a:moveTo>
                  <a:pt x="3674364" y="1449324"/>
                </a:moveTo>
                <a:lnTo>
                  <a:pt x="3040380" y="1449324"/>
                </a:lnTo>
                <a:lnTo>
                  <a:pt x="3040380" y="1653540"/>
                </a:lnTo>
                <a:lnTo>
                  <a:pt x="3674364" y="1653540"/>
                </a:lnTo>
                <a:lnTo>
                  <a:pt x="3674364" y="1449324"/>
                </a:lnTo>
                <a:close/>
              </a:path>
              <a:path w="7486015" h="1861185">
                <a:moveTo>
                  <a:pt x="3674364" y="1242060"/>
                </a:moveTo>
                <a:lnTo>
                  <a:pt x="3040380" y="1242060"/>
                </a:lnTo>
                <a:lnTo>
                  <a:pt x="3040380" y="1446276"/>
                </a:lnTo>
                <a:lnTo>
                  <a:pt x="3674364" y="1446276"/>
                </a:lnTo>
                <a:lnTo>
                  <a:pt x="3674364" y="1242060"/>
                </a:lnTo>
                <a:close/>
              </a:path>
              <a:path w="7486015" h="1861185">
                <a:moveTo>
                  <a:pt x="3674364" y="1036320"/>
                </a:moveTo>
                <a:lnTo>
                  <a:pt x="3040380" y="1036320"/>
                </a:lnTo>
                <a:lnTo>
                  <a:pt x="3040380" y="1239012"/>
                </a:lnTo>
                <a:lnTo>
                  <a:pt x="3674364" y="1239012"/>
                </a:lnTo>
                <a:lnTo>
                  <a:pt x="3674364" y="1036320"/>
                </a:lnTo>
                <a:close/>
              </a:path>
              <a:path w="7486015" h="1861185">
                <a:moveTo>
                  <a:pt x="3674364" y="829056"/>
                </a:moveTo>
                <a:lnTo>
                  <a:pt x="3040380" y="829056"/>
                </a:lnTo>
                <a:lnTo>
                  <a:pt x="3040380" y="1033272"/>
                </a:lnTo>
                <a:lnTo>
                  <a:pt x="3674364" y="1033272"/>
                </a:lnTo>
                <a:lnTo>
                  <a:pt x="3674364" y="829056"/>
                </a:lnTo>
                <a:close/>
              </a:path>
              <a:path w="7486015" h="1861185">
                <a:moveTo>
                  <a:pt x="3674364" y="621792"/>
                </a:moveTo>
                <a:lnTo>
                  <a:pt x="3040380" y="621792"/>
                </a:lnTo>
                <a:lnTo>
                  <a:pt x="3040380" y="826008"/>
                </a:lnTo>
                <a:lnTo>
                  <a:pt x="3674364" y="826008"/>
                </a:lnTo>
                <a:lnTo>
                  <a:pt x="3674364" y="621792"/>
                </a:lnTo>
                <a:close/>
              </a:path>
              <a:path w="7486015" h="1861185">
                <a:moveTo>
                  <a:pt x="3674364" y="414528"/>
                </a:moveTo>
                <a:lnTo>
                  <a:pt x="3040380" y="414528"/>
                </a:lnTo>
                <a:lnTo>
                  <a:pt x="3040380" y="618744"/>
                </a:lnTo>
                <a:lnTo>
                  <a:pt x="3674364" y="618744"/>
                </a:lnTo>
                <a:lnTo>
                  <a:pt x="3674364" y="414528"/>
                </a:lnTo>
                <a:close/>
              </a:path>
              <a:path w="7486015" h="1861185">
                <a:moveTo>
                  <a:pt x="3674364" y="207264"/>
                </a:moveTo>
                <a:lnTo>
                  <a:pt x="3040380" y="207264"/>
                </a:lnTo>
                <a:lnTo>
                  <a:pt x="3040380" y="411480"/>
                </a:lnTo>
                <a:lnTo>
                  <a:pt x="3674364" y="411480"/>
                </a:lnTo>
                <a:lnTo>
                  <a:pt x="3674364" y="207264"/>
                </a:lnTo>
                <a:close/>
              </a:path>
              <a:path w="7486015" h="1861185">
                <a:moveTo>
                  <a:pt x="3674364" y="0"/>
                </a:moveTo>
                <a:lnTo>
                  <a:pt x="3040380" y="0"/>
                </a:lnTo>
                <a:lnTo>
                  <a:pt x="3040380" y="204216"/>
                </a:lnTo>
                <a:lnTo>
                  <a:pt x="3674364" y="204216"/>
                </a:lnTo>
                <a:lnTo>
                  <a:pt x="3674364" y="0"/>
                </a:lnTo>
                <a:close/>
              </a:path>
              <a:path w="7486015" h="1861185">
                <a:moveTo>
                  <a:pt x="4437888" y="1656588"/>
                </a:moveTo>
                <a:lnTo>
                  <a:pt x="3677412" y="1656588"/>
                </a:lnTo>
                <a:lnTo>
                  <a:pt x="3677412" y="1860804"/>
                </a:lnTo>
                <a:lnTo>
                  <a:pt x="4437888" y="1860804"/>
                </a:lnTo>
                <a:lnTo>
                  <a:pt x="4437888" y="1656588"/>
                </a:lnTo>
                <a:close/>
              </a:path>
              <a:path w="7486015" h="1861185">
                <a:moveTo>
                  <a:pt x="4437888" y="1449324"/>
                </a:moveTo>
                <a:lnTo>
                  <a:pt x="3677412" y="1449324"/>
                </a:lnTo>
                <a:lnTo>
                  <a:pt x="3677412" y="1653540"/>
                </a:lnTo>
                <a:lnTo>
                  <a:pt x="4437888" y="1653540"/>
                </a:lnTo>
                <a:lnTo>
                  <a:pt x="4437888" y="1449324"/>
                </a:lnTo>
                <a:close/>
              </a:path>
              <a:path w="7486015" h="1861185">
                <a:moveTo>
                  <a:pt x="4437888" y="1242060"/>
                </a:moveTo>
                <a:lnTo>
                  <a:pt x="3677412" y="1242060"/>
                </a:lnTo>
                <a:lnTo>
                  <a:pt x="3677412" y="1446276"/>
                </a:lnTo>
                <a:lnTo>
                  <a:pt x="4437888" y="1446276"/>
                </a:lnTo>
                <a:lnTo>
                  <a:pt x="4437888" y="1242060"/>
                </a:lnTo>
                <a:close/>
              </a:path>
              <a:path w="7486015" h="1861185">
                <a:moveTo>
                  <a:pt x="4437888" y="1036320"/>
                </a:moveTo>
                <a:lnTo>
                  <a:pt x="3677412" y="1036320"/>
                </a:lnTo>
                <a:lnTo>
                  <a:pt x="3677412" y="1239012"/>
                </a:lnTo>
                <a:lnTo>
                  <a:pt x="4437888" y="1239012"/>
                </a:lnTo>
                <a:lnTo>
                  <a:pt x="4437888" y="1036320"/>
                </a:lnTo>
                <a:close/>
              </a:path>
              <a:path w="7486015" h="1861185">
                <a:moveTo>
                  <a:pt x="4437888" y="829056"/>
                </a:moveTo>
                <a:lnTo>
                  <a:pt x="3677412" y="829056"/>
                </a:lnTo>
                <a:lnTo>
                  <a:pt x="3677412" y="1033272"/>
                </a:lnTo>
                <a:lnTo>
                  <a:pt x="4437888" y="1033272"/>
                </a:lnTo>
                <a:lnTo>
                  <a:pt x="4437888" y="829056"/>
                </a:lnTo>
                <a:close/>
              </a:path>
              <a:path w="7486015" h="1861185">
                <a:moveTo>
                  <a:pt x="4437888" y="621792"/>
                </a:moveTo>
                <a:lnTo>
                  <a:pt x="3677412" y="621792"/>
                </a:lnTo>
                <a:lnTo>
                  <a:pt x="3677412" y="826008"/>
                </a:lnTo>
                <a:lnTo>
                  <a:pt x="4437888" y="826008"/>
                </a:lnTo>
                <a:lnTo>
                  <a:pt x="4437888" y="621792"/>
                </a:lnTo>
                <a:close/>
              </a:path>
              <a:path w="7486015" h="1861185">
                <a:moveTo>
                  <a:pt x="4437888" y="414528"/>
                </a:moveTo>
                <a:lnTo>
                  <a:pt x="3677412" y="414528"/>
                </a:lnTo>
                <a:lnTo>
                  <a:pt x="3677412" y="618744"/>
                </a:lnTo>
                <a:lnTo>
                  <a:pt x="4437888" y="618744"/>
                </a:lnTo>
                <a:lnTo>
                  <a:pt x="4437888" y="414528"/>
                </a:lnTo>
                <a:close/>
              </a:path>
              <a:path w="7486015" h="1861185">
                <a:moveTo>
                  <a:pt x="4437888" y="207264"/>
                </a:moveTo>
                <a:lnTo>
                  <a:pt x="3677412" y="207264"/>
                </a:lnTo>
                <a:lnTo>
                  <a:pt x="3677412" y="411480"/>
                </a:lnTo>
                <a:lnTo>
                  <a:pt x="4437888" y="411480"/>
                </a:lnTo>
                <a:lnTo>
                  <a:pt x="4437888" y="207264"/>
                </a:lnTo>
                <a:close/>
              </a:path>
              <a:path w="7486015" h="1861185">
                <a:moveTo>
                  <a:pt x="4437888" y="0"/>
                </a:moveTo>
                <a:lnTo>
                  <a:pt x="3677412" y="0"/>
                </a:lnTo>
                <a:lnTo>
                  <a:pt x="3677412" y="204216"/>
                </a:lnTo>
                <a:lnTo>
                  <a:pt x="4437888" y="204216"/>
                </a:lnTo>
                <a:lnTo>
                  <a:pt x="4437888" y="0"/>
                </a:lnTo>
                <a:close/>
              </a:path>
              <a:path w="7486015" h="1861185">
                <a:moveTo>
                  <a:pt x="5199888" y="1656588"/>
                </a:moveTo>
                <a:lnTo>
                  <a:pt x="4440936" y="1656588"/>
                </a:lnTo>
                <a:lnTo>
                  <a:pt x="4440936" y="1860804"/>
                </a:lnTo>
                <a:lnTo>
                  <a:pt x="5199888" y="1860804"/>
                </a:lnTo>
                <a:lnTo>
                  <a:pt x="5199888" y="1656588"/>
                </a:lnTo>
                <a:close/>
              </a:path>
              <a:path w="7486015" h="1861185">
                <a:moveTo>
                  <a:pt x="5199888" y="1449324"/>
                </a:moveTo>
                <a:lnTo>
                  <a:pt x="4440936" y="1449324"/>
                </a:lnTo>
                <a:lnTo>
                  <a:pt x="4440936" y="1653540"/>
                </a:lnTo>
                <a:lnTo>
                  <a:pt x="5199888" y="1653540"/>
                </a:lnTo>
                <a:lnTo>
                  <a:pt x="5199888" y="1449324"/>
                </a:lnTo>
                <a:close/>
              </a:path>
              <a:path w="7486015" h="1861185">
                <a:moveTo>
                  <a:pt x="5199888" y="1242060"/>
                </a:moveTo>
                <a:lnTo>
                  <a:pt x="4440936" y="1242060"/>
                </a:lnTo>
                <a:lnTo>
                  <a:pt x="4440936" y="1446276"/>
                </a:lnTo>
                <a:lnTo>
                  <a:pt x="5199888" y="1446276"/>
                </a:lnTo>
                <a:lnTo>
                  <a:pt x="5199888" y="1242060"/>
                </a:lnTo>
                <a:close/>
              </a:path>
              <a:path w="7486015" h="1861185">
                <a:moveTo>
                  <a:pt x="5199888" y="1036320"/>
                </a:moveTo>
                <a:lnTo>
                  <a:pt x="4440936" y="1036320"/>
                </a:lnTo>
                <a:lnTo>
                  <a:pt x="4440936" y="1239012"/>
                </a:lnTo>
                <a:lnTo>
                  <a:pt x="5199888" y="1239012"/>
                </a:lnTo>
                <a:lnTo>
                  <a:pt x="5199888" y="1036320"/>
                </a:lnTo>
                <a:close/>
              </a:path>
              <a:path w="7486015" h="1861185">
                <a:moveTo>
                  <a:pt x="5199888" y="829056"/>
                </a:moveTo>
                <a:lnTo>
                  <a:pt x="4440936" y="829056"/>
                </a:lnTo>
                <a:lnTo>
                  <a:pt x="4440936" y="1033272"/>
                </a:lnTo>
                <a:lnTo>
                  <a:pt x="5199888" y="1033272"/>
                </a:lnTo>
                <a:lnTo>
                  <a:pt x="5199888" y="829056"/>
                </a:lnTo>
                <a:close/>
              </a:path>
              <a:path w="7486015" h="1861185">
                <a:moveTo>
                  <a:pt x="5199888" y="621792"/>
                </a:moveTo>
                <a:lnTo>
                  <a:pt x="4440936" y="621792"/>
                </a:lnTo>
                <a:lnTo>
                  <a:pt x="4440936" y="826008"/>
                </a:lnTo>
                <a:lnTo>
                  <a:pt x="5199888" y="826008"/>
                </a:lnTo>
                <a:lnTo>
                  <a:pt x="5199888" y="621792"/>
                </a:lnTo>
                <a:close/>
              </a:path>
              <a:path w="7486015" h="1861185">
                <a:moveTo>
                  <a:pt x="5199888" y="414528"/>
                </a:moveTo>
                <a:lnTo>
                  <a:pt x="4440936" y="414528"/>
                </a:lnTo>
                <a:lnTo>
                  <a:pt x="4440936" y="618744"/>
                </a:lnTo>
                <a:lnTo>
                  <a:pt x="5199888" y="618744"/>
                </a:lnTo>
                <a:lnTo>
                  <a:pt x="5199888" y="414528"/>
                </a:lnTo>
                <a:close/>
              </a:path>
              <a:path w="7486015" h="1861185">
                <a:moveTo>
                  <a:pt x="5199888" y="207264"/>
                </a:moveTo>
                <a:lnTo>
                  <a:pt x="4440936" y="207264"/>
                </a:lnTo>
                <a:lnTo>
                  <a:pt x="4440936" y="411480"/>
                </a:lnTo>
                <a:lnTo>
                  <a:pt x="5199888" y="411480"/>
                </a:lnTo>
                <a:lnTo>
                  <a:pt x="5199888" y="207264"/>
                </a:lnTo>
                <a:close/>
              </a:path>
              <a:path w="7486015" h="1861185">
                <a:moveTo>
                  <a:pt x="5199888" y="0"/>
                </a:moveTo>
                <a:lnTo>
                  <a:pt x="4440936" y="0"/>
                </a:lnTo>
                <a:lnTo>
                  <a:pt x="4440936" y="204216"/>
                </a:lnTo>
                <a:lnTo>
                  <a:pt x="5199888" y="204216"/>
                </a:lnTo>
                <a:lnTo>
                  <a:pt x="5199888" y="0"/>
                </a:lnTo>
                <a:close/>
              </a:path>
              <a:path w="7486015" h="1861185">
                <a:moveTo>
                  <a:pt x="5961875" y="1656588"/>
                </a:moveTo>
                <a:lnTo>
                  <a:pt x="5202936" y="1656588"/>
                </a:lnTo>
                <a:lnTo>
                  <a:pt x="5202936" y="1860804"/>
                </a:lnTo>
                <a:lnTo>
                  <a:pt x="5961875" y="1860804"/>
                </a:lnTo>
                <a:lnTo>
                  <a:pt x="5961875" y="1656588"/>
                </a:lnTo>
                <a:close/>
              </a:path>
              <a:path w="7486015" h="1861185">
                <a:moveTo>
                  <a:pt x="5961875" y="1449324"/>
                </a:moveTo>
                <a:lnTo>
                  <a:pt x="5202936" y="1449324"/>
                </a:lnTo>
                <a:lnTo>
                  <a:pt x="5202936" y="1653540"/>
                </a:lnTo>
                <a:lnTo>
                  <a:pt x="5961875" y="1653540"/>
                </a:lnTo>
                <a:lnTo>
                  <a:pt x="5961875" y="1449324"/>
                </a:lnTo>
                <a:close/>
              </a:path>
              <a:path w="7486015" h="1861185">
                <a:moveTo>
                  <a:pt x="5961875" y="1242060"/>
                </a:moveTo>
                <a:lnTo>
                  <a:pt x="5202936" y="1242060"/>
                </a:lnTo>
                <a:lnTo>
                  <a:pt x="5202936" y="1446276"/>
                </a:lnTo>
                <a:lnTo>
                  <a:pt x="5961875" y="1446276"/>
                </a:lnTo>
                <a:lnTo>
                  <a:pt x="5961875" y="1242060"/>
                </a:lnTo>
                <a:close/>
              </a:path>
              <a:path w="7486015" h="1861185">
                <a:moveTo>
                  <a:pt x="5961875" y="1036320"/>
                </a:moveTo>
                <a:lnTo>
                  <a:pt x="5202936" y="1036320"/>
                </a:lnTo>
                <a:lnTo>
                  <a:pt x="5202936" y="1239012"/>
                </a:lnTo>
                <a:lnTo>
                  <a:pt x="5961875" y="1239012"/>
                </a:lnTo>
                <a:lnTo>
                  <a:pt x="5961875" y="1036320"/>
                </a:lnTo>
                <a:close/>
              </a:path>
              <a:path w="7486015" h="1861185">
                <a:moveTo>
                  <a:pt x="5961875" y="829056"/>
                </a:moveTo>
                <a:lnTo>
                  <a:pt x="5202936" y="829056"/>
                </a:lnTo>
                <a:lnTo>
                  <a:pt x="5202936" y="1033272"/>
                </a:lnTo>
                <a:lnTo>
                  <a:pt x="5961875" y="1033272"/>
                </a:lnTo>
                <a:lnTo>
                  <a:pt x="5961875" y="829056"/>
                </a:lnTo>
                <a:close/>
              </a:path>
              <a:path w="7486015" h="1861185">
                <a:moveTo>
                  <a:pt x="5961875" y="621792"/>
                </a:moveTo>
                <a:lnTo>
                  <a:pt x="5202936" y="621792"/>
                </a:lnTo>
                <a:lnTo>
                  <a:pt x="5202936" y="826008"/>
                </a:lnTo>
                <a:lnTo>
                  <a:pt x="5961875" y="826008"/>
                </a:lnTo>
                <a:lnTo>
                  <a:pt x="5961875" y="621792"/>
                </a:lnTo>
                <a:close/>
              </a:path>
              <a:path w="7486015" h="1861185">
                <a:moveTo>
                  <a:pt x="5961875" y="414528"/>
                </a:moveTo>
                <a:lnTo>
                  <a:pt x="5202936" y="414528"/>
                </a:lnTo>
                <a:lnTo>
                  <a:pt x="5202936" y="618744"/>
                </a:lnTo>
                <a:lnTo>
                  <a:pt x="5961875" y="618744"/>
                </a:lnTo>
                <a:lnTo>
                  <a:pt x="5961875" y="414528"/>
                </a:lnTo>
                <a:close/>
              </a:path>
              <a:path w="7486015" h="1861185">
                <a:moveTo>
                  <a:pt x="5961875" y="207264"/>
                </a:moveTo>
                <a:lnTo>
                  <a:pt x="5202936" y="207264"/>
                </a:lnTo>
                <a:lnTo>
                  <a:pt x="5202936" y="411480"/>
                </a:lnTo>
                <a:lnTo>
                  <a:pt x="5961875" y="411480"/>
                </a:lnTo>
                <a:lnTo>
                  <a:pt x="5961875" y="207264"/>
                </a:lnTo>
                <a:close/>
              </a:path>
              <a:path w="7486015" h="1861185">
                <a:moveTo>
                  <a:pt x="5961875" y="0"/>
                </a:moveTo>
                <a:lnTo>
                  <a:pt x="5202936" y="0"/>
                </a:lnTo>
                <a:lnTo>
                  <a:pt x="5202936" y="204216"/>
                </a:lnTo>
                <a:lnTo>
                  <a:pt x="5961875" y="204216"/>
                </a:lnTo>
                <a:lnTo>
                  <a:pt x="5961875" y="0"/>
                </a:lnTo>
                <a:close/>
              </a:path>
              <a:path w="7486015" h="1861185">
                <a:moveTo>
                  <a:pt x="6723888" y="1656588"/>
                </a:moveTo>
                <a:lnTo>
                  <a:pt x="5964936" y="1656588"/>
                </a:lnTo>
                <a:lnTo>
                  <a:pt x="5964936" y="1860804"/>
                </a:lnTo>
                <a:lnTo>
                  <a:pt x="6723888" y="1860804"/>
                </a:lnTo>
                <a:lnTo>
                  <a:pt x="6723888" y="1656588"/>
                </a:lnTo>
                <a:close/>
              </a:path>
              <a:path w="7486015" h="1861185">
                <a:moveTo>
                  <a:pt x="6723888" y="1449324"/>
                </a:moveTo>
                <a:lnTo>
                  <a:pt x="5964936" y="1449324"/>
                </a:lnTo>
                <a:lnTo>
                  <a:pt x="5964936" y="1653540"/>
                </a:lnTo>
                <a:lnTo>
                  <a:pt x="6723888" y="1653540"/>
                </a:lnTo>
                <a:lnTo>
                  <a:pt x="6723888" y="1449324"/>
                </a:lnTo>
                <a:close/>
              </a:path>
              <a:path w="7486015" h="1861185">
                <a:moveTo>
                  <a:pt x="6723888" y="1242060"/>
                </a:moveTo>
                <a:lnTo>
                  <a:pt x="5964936" y="1242060"/>
                </a:lnTo>
                <a:lnTo>
                  <a:pt x="5964936" y="1446276"/>
                </a:lnTo>
                <a:lnTo>
                  <a:pt x="6723888" y="1446276"/>
                </a:lnTo>
                <a:lnTo>
                  <a:pt x="6723888" y="1242060"/>
                </a:lnTo>
                <a:close/>
              </a:path>
              <a:path w="7486015" h="1861185">
                <a:moveTo>
                  <a:pt x="6723888" y="1036320"/>
                </a:moveTo>
                <a:lnTo>
                  <a:pt x="5964936" y="1036320"/>
                </a:lnTo>
                <a:lnTo>
                  <a:pt x="5964936" y="1239012"/>
                </a:lnTo>
                <a:lnTo>
                  <a:pt x="6723888" y="1239012"/>
                </a:lnTo>
                <a:lnTo>
                  <a:pt x="6723888" y="1036320"/>
                </a:lnTo>
                <a:close/>
              </a:path>
              <a:path w="7486015" h="1861185">
                <a:moveTo>
                  <a:pt x="6723888" y="829056"/>
                </a:moveTo>
                <a:lnTo>
                  <a:pt x="5964936" y="829056"/>
                </a:lnTo>
                <a:lnTo>
                  <a:pt x="5964936" y="1033272"/>
                </a:lnTo>
                <a:lnTo>
                  <a:pt x="6723888" y="1033272"/>
                </a:lnTo>
                <a:lnTo>
                  <a:pt x="6723888" y="829056"/>
                </a:lnTo>
                <a:close/>
              </a:path>
              <a:path w="7486015" h="1861185">
                <a:moveTo>
                  <a:pt x="6723888" y="621792"/>
                </a:moveTo>
                <a:lnTo>
                  <a:pt x="5964936" y="621792"/>
                </a:lnTo>
                <a:lnTo>
                  <a:pt x="5964936" y="826008"/>
                </a:lnTo>
                <a:lnTo>
                  <a:pt x="6723888" y="826008"/>
                </a:lnTo>
                <a:lnTo>
                  <a:pt x="6723888" y="621792"/>
                </a:lnTo>
                <a:close/>
              </a:path>
              <a:path w="7486015" h="1861185">
                <a:moveTo>
                  <a:pt x="6723888" y="414528"/>
                </a:moveTo>
                <a:lnTo>
                  <a:pt x="5964936" y="414528"/>
                </a:lnTo>
                <a:lnTo>
                  <a:pt x="5964936" y="618744"/>
                </a:lnTo>
                <a:lnTo>
                  <a:pt x="6723888" y="618744"/>
                </a:lnTo>
                <a:lnTo>
                  <a:pt x="6723888" y="414528"/>
                </a:lnTo>
                <a:close/>
              </a:path>
              <a:path w="7486015" h="1861185">
                <a:moveTo>
                  <a:pt x="6723888" y="207264"/>
                </a:moveTo>
                <a:lnTo>
                  <a:pt x="5964936" y="207264"/>
                </a:lnTo>
                <a:lnTo>
                  <a:pt x="5964936" y="411480"/>
                </a:lnTo>
                <a:lnTo>
                  <a:pt x="6723888" y="411480"/>
                </a:lnTo>
                <a:lnTo>
                  <a:pt x="6723888" y="207264"/>
                </a:lnTo>
                <a:close/>
              </a:path>
              <a:path w="7486015" h="1861185">
                <a:moveTo>
                  <a:pt x="6723888" y="0"/>
                </a:moveTo>
                <a:lnTo>
                  <a:pt x="5964936" y="0"/>
                </a:lnTo>
                <a:lnTo>
                  <a:pt x="5964936" y="204216"/>
                </a:lnTo>
                <a:lnTo>
                  <a:pt x="6723888" y="204216"/>
                </a:lnTo>
                <a:lnTo>
                  <a:pt x="6723888" y="0"/>
                </a:lnTo>
                <a:close/>
              </a:path>
              <a:path w="7486015" h="1861185">
                <a:moveTo>
                  <a:pt x="7485888" y="1449324"/>
                </a:moveTo>
                <a:lnTo>
                  <a:pt x="6726936" y="1449324"/>
                </a:lnTo>
                <a:lnTo>
                  <a:pt x="6726936" y="1653540"/>
                </a:lnTo>
                <a:lnTo>
                  <a:pt x="7485888" y="1653540"/>
                </a:lnTo>
                <a:lnTo>
                  <a:pt x="7485888" y="1449324"/>
                </a:lnTo>
                <a:close/>
              </a:path>
              <a:path w="7486015" h="1861185">
                <a:moveTo>
                  <a:pt x="7485888" y="1242060"/>
                </a:moveTo>
                <a:lnTo>
                  <a:pt x="6726936" y="1242060"/>
                </a:lnTo>
                <a:lnTo>
                  <a:pt x="6726936" y="1446276"/>
                </a:lnTo>
                <a:lnTo>
                  <a:pt x="7485888" y="1446276"/>
                </a:lnTo>
                <a:lnTo>
                  <a:pt x="7485888" y="1242060"/>
                </a:lnTo>
                <a:close/>
              </a:path>
              <a:path w="7486015" h="1861185">
                <a:moveTo>
                  <a:pt x="7485888" y="1036320"/>
                </a:moveTo>
                <a:lnTo>
                  <a:pt x="6726936" y="1036320"/>
                </a:lnTo>
                <a:lnTo>
                  <a:pt x="6726936" y="1239012"/>
                </a:lnTo>
                <a:lnTo>
                  <a:pt x="7485888" y="1239012"/>
                </a:lnTo>
                <a:lnTo>
                  <a:pt x="7485888" y="1036320"/>
                </a:lnTo>
                <a:close/>
              </a:path>
              <a:path w="7486015" h="1861185">
                <a:moveTo>
                  <a:pt x="7485888" y="829056"/>
                </a:moveTo>
                <a:lnTo>
                  <a:pt x="6726936" y="829056"/>
                </a:lnTo>
                <a:lnTo>
                  <a:pt x="6726936" y="1033272"/>
                </a:lnTo>
                <a:lnTo>
                  <a:pt x="7485888" y="1033272"/>
                </a:lnTo>
                <a:lnTo>
                  <a:pt x="7485888" y="829056"/>
                </a:lnTo>
                <a:close/>
              </a:path>
              <a:path w="7486015" h="1861185">
                <a:moveTo>
                  <a:pt x="7485888" y="621792"/>
                </a:moveTo>
                <a:lnTo>
                  <a:pt x="6726936" y="621792"/>
                </a:lnTo>
                <a:lnTo>
                  <a:pt x="6726936" y="826008"/>
                </a:lnTo>
                <a:lnTo>
                  <a:pt x="7485888" y="826008"/>
                </a:lnTo>
                <a:lnTo>
                  <a:pt x="7485888" y="621792"/>
                </a:lnTo>
                <a:close/>
              </a:path>
              <a:path w="7486015" h="1861185">
                <a:moveTo>
                  <a:pt x="7485888" y="414528"/>
                </a:moveTo>
                <a:lnTo>
                  <a:pt x="6726936" y="414528"/>
                </a:lnTo>
                <a:lnTo>
                  <a:pt x="6726936" y="618744"/>
                </a:lnTo>
                <a:lnTo>
                  <a:pt x="7485888" y="618744"/>
                </a:lnTo>
                <a:lnTo>
                  <a:pt x="7485888" y="414528"/>
                </a:lnTo>
                <a:close/>
              </a:path>
              <a:path w="7486015" h="1861185">
                <a:moveTo>
                  <a:pt x="7485888" y="207264"/>
                </a:moveTo>
                <a:lnTo>
                  <a:pt x="6726936" y="207264"/>
                </a:lnTo>
                <a:lnTo>
                  <a:pt x="6726936" y="411480"/>
                </a:lnTo>
                <a:lnTo>
                  <a:pt x="7485888" y="411480"/>
                </a:lnTo>
                <a:lnTo>
                  <a:pt x="7485888" y="207264"/>
                </a:lnTo>
                <a:close/>
              </a:path>
              <a:path w="7486015" h="1861185">
                <a:moveTo>
                  <a:pt x="7485888" y="0"/>
                </a:moveTo>
                <a:lnTo>
                  <a:pt x="6726936" y="0"/>
                </a:lnTo>
                <a:lnTo>
                  <a:pt x="6726936" y="204216"/>
                </a:lnTo>
                <a:lnTo>
                  <a:pt x="7485888" y="204216"/>
                </a:lnTo>
                <a:lnTo>
                  <a:pt x="7485888" y="0"/>
                </a:lnTo>
                <a:close/>
              </a:path>
            </a:pathLst>
          </a:custGeom>
          <a:solidFill>
            <a:srgbClr val="FFFFFF"/>
          </a:solidFill>
        </xdr:spPr>
      </xdr:sp>
      <xdr:sp macro="" textlink="">
        <xdr:nvSpPr>
          <xdr:cNvPr id="22" name="Shape 22">
            <a:extLst>
              <a:ext uri="{FF2B5EF4-FFF2-40B4-BE49-F238E27FC236}">
                <a16:creationId xmlns:a16="http://schemas.microsoft.com/office/drawing/2014/main" id="{00000000-0008-0000-0100-000016000000}"/>
              </a:ext>
            </a:extLst>
          </xdr:cNvPr>
          <xdr:cNvSpPr/>
        </xdr:nvSpPr>
        <xdr:spPr>
          <a:xfrm>
            <a:off x="0" y="1656587"/>
            <a:ext cx="7486015" cy="1653539"/>
          </a:xfrm>
          <a:custGeom>
            <a:avLst/>
            <a:gdLst/>
            <a:ahLst/>
            <a:cxnLst/>
            <a:rect l="0" t="0" r="0" b="0"/>
            <a:pathLst>
              <a:path w="7486015" h="1653539">
                <a:moveTo>
                  <a:pt x="312420" y="621792"/>
                </a:moveTo>
                <a:lnTo>
                  <a:pt x="0" y="621792"/>
                </a:lnTo>
                <a:lnTo>
                  <a:pt x="0" y="1653540"/>
                </a:lnTo>
                <a:lnTo>
                  <a:pt x="312420" y="1653540"/>
                </a:lnTo>
                <a:lnTo>
                  <a:pt x="312420" y="621792"/>
                </a:lnTo>
                <a:close/>
              </a:path>
              <a:path w="7486015" h="1653539">
                <a:moveTo>
                  <a:pt x="312420" y="207264"/>
                </a:moveTo>
                <a:lnTo>
                  <a:pt x="0" y="207264"/>
                </a:lnTo>
                <a:lnTo>
                  <a:pt x="0" y="618744"/>
                </a:lnTo>
                <a:lnTo>
                  <a:pt x="312420" y="618744"/>
                </a:lnTo>
                <a:lnTo>
                  <a:pt x="312420" y="207264"/>
                </a:lnTo>
                <a:close/>
              </a:path>
              <a:path w="7486015" h="1653539">
                <a:moveTo>
                  <a:pt x="1264920" y="621792"/>
                </a:moveTo>
                <a:lnTo>
                  <a:pt x="315468" y="621792"/>
                </a:lnTo>
                <a:lnTo>
                  <a:pt x="315468" y="1653540"/>
                </a:lnTo>
                <a:lnTo>
                  <a:pt x="1264920" y="1653540"/>
                </a:lnTo>
                <a:lnTo>
                  <a:pt x="1264920" y="621792"/>
                </a:lnTo>
                <a:close/>
              </a:path>
              <a:path w="7486015" h="1653539">
                <a:moveTo>
                  <a:pt x="1264920" y="207264"/>
                </a:moveTo>
                <a:lnTo>
                  <a:pt x="315468" y="207264"/>
                </a:lnTo>
                <a:lnTo>
                  <a:pt x="315468" y="618744"/>
                </a:lnTo>
                <a:lnTo>
                  <a:pt x="1264920" y="618744"/>
                </a:lnTo>
                <a:lnTo>
                  <a:pt x="1264920" y="207264"/>
                </a:lnTo>
                <a:close/>
              </a:path>
              <a:path w="7486015" h="1653539">
                <a:moveTo>
                  <a:pt x="2531364" y="621792"/>
                </a:moveTo>
                <a:lnTo>
                  <a:pt x="1267968" y="621792"/>
                </a:lnTo>
                <a:lnTo>
                  <a:pt x="1267968" y="1653540"/>
                </a:lnTo>
                <a:lnTo>
                  <a:pt x="2531364" y="1653540"/>
                </a:lnTo>
                <a:lnTo>
                  <a:pt x="2531364" y="621792"/>
                </a:lnTo>
                <a:close/>
              </a:path>
              <a:path w="7486015" h="1653539">
                <a:moveTo>
                  <a:pt x="2531364" y="207264"/>
                </a:moveTo>
                <a:lnTo>
                  <a:pt x="1267968" y="207264"/>
                </a:lnTo>
                <a:lnTo>
                  <a:pt x="1267968" y="618744"/>
                </a:lnTo>
                <a:lnTo>
                  <a:pt x="2531364" y="618744"/>
                </a:lnTo>
                <a:lnTo>
                  <a:pt x="2531364" y="207264"/>
                </a:lnTo>
                <a:close/>
              </a:path>
              <a:path w="7486015" h="1653539">
                <a:moveTo>
                  <a:pt x="3037332" y="1449324"/>
                </a:moveTo>
                <a:lnTo>
                  <a:pt x="2534412" y="1449324"/>
                </a:lnTo>
                <a:lnTo>
                  <a:pt x="2534412" y="1653540"/>
                </a:lnTo>
                <a:lnTo>
                  <a:pt x="3037332" y="1653540"/>
                </a:lnTo>
                <a:lnTo>
                  <a:pt x="3037332" y="1449324"/>
                </a:lnTo>
                <a:close/>
              </a:path>
              <a:path w="7486015" h="1653539">
                <a:moveTo>
                  <a:pt x="3037332" y="1243584"/>
                </a:moveTo>
                <a:lnTo>
                  <a:pt x="2534412" y="1243584"/>
                </a:lnTo>
                <a:lnTo>
                  <a:pt x="2534412" y="1446276"/>
                </a:lnTo>
                <a:lnTo>
                  <a:pt x="3037332" y="1446276"/>
                </a:lnTo>
                <a:lnTo>
                  <a:pt x="3037332" y="1243584"/>
                </a:lnTo>
                <a:close/>
              </a:path>
              <a:path w="7486015" h="1653539">
                <a:moveTo>
                  <a:pt x="3037332" y="1036320"/>
                </a:moveTo>
                <a:lnTo>
                  <a:pt x="2534412" y="1036320"/>
                </a:lnTo>
                <a:lnTo>
                  <a:pt x="2534412" y="1240536"/>
                </a:lnTo>
                <a:lnTo>
                  <a:pt x="3037332" y="1240536"/>
                </a:lnTo>
                <a:lnTo>
                  <a:pt x="3037332" y="1036320"/>
                </a:lnTo>
                <a:close/>
              </a:path>
              <a:path w="7486015" h="1653539">
                <a:moveTo>
                  <a:pt x="3037332" y="829056"/>
                </a:moveTo>
                <a:lnTo>
                  <a:pt x="2534412" y="829056"/>
                </a:lnTo>
                <a:lnTo>
                  <a:pt x="2534412" y="1033272"/>
                </a:lnTo>
                <a:lnTo>
                  <a:pt x="3037332" y="1033272"/>
                </a:lnTo>
                <a:lnTo>
                  <a:pt x="3037332" y="829056"/>
                </a:lnTo>
                <a:close/>
              </a:path>
              <a:path w="7486015" h="1653539">
                <a:moveTo>
                  <a:pt x="3037332" y="621792"/>
                </a:moveTo>
                <a:lnTo>
                  <a:pt x="2534412" y="621792"/>
                </a:lnTo>
                <a:lnTo>
                  <a:pt x="2534412" y="826008"/>
                </a:lnTo>
                <a:lnTo>
                  <a:pt x="3037332" y="826008"/>
                </a:lnTo>
                <a:lnTo>
                  <a:pt x="3037332" y="621792"/>
                </a:lnTo>
                <a:close/>
              </a:path>
              <a:path w="7486015" h="1653539">
                <a:moveTo>
                  <a:pt x="3037332" y="414528"/>
                </a:moveTo>
                <a:lnTo>
                  <a:pt x="2534412" y="414528"/>
                </a:lnTo>
                <a:lnTo>
                  <a:pt x="2534412" y="618744"/>
                </a:lnTo>
                <a:lnTo>
                  <a:pt x="3037332" y="618744"/>
                </a:lnTo>
                <a:lnTo>
                  <a:pt x="3037332" y="414528"/>
                </a:lnTo>
                <a:close/>
              </a:path>
              <a:path w="7486015" h="1653539">
                <a:moveTo>
                  <a:pt x="3037332" y="207264"/>
                </a:moveTo>
                <a:lnTo>
                  <a:pt x="2534412" y="207264"/>
                </a:lnTo>
                <a:lnTo>
                  <a:pt x="2534412" y="411480"/>
                </a:lnTo>
                <a:lnTo>
                  <a:pt x="3037332" y="411480"/>
                </a:lnTo>
                <a:lnTo>
                  <a:pt x="3037332" y="207264"/>
                </a:lnTo>
                <a:close/>
              </a:path>
              <a:path w="7486015" h="1653539">
                <a:moveTo>
                  <a:pt x="3674364" y="1449324"/>
                </a:moveTo>
                <a:lnTo>
                  <a:pt x="3040380" y="1449324"/>
                </a:lnTo>
                <a:lnTo>
                  <a:pt x="3040380" y="1653540"/>
                </a:lnTo>
                <a:lnTo>
                  <a:pt x="3674364" y="1653540"/>
                </a:lnTo>
                <a:lnTo>
                  <a:pt x="3674364" y="1449324"/>
                </a:lnTo>
                <a:close/>
              </a:path>
              <a:path w="7486015" h="1653539">
                <a:moveTo>
                  <a:pt x="3674364" y="1243584"/>
                </a:moveTo>
                <a:lnTo>
                  <a:pt x="3040380" y="1243584"/>
                </a:lnTo>
                <a:lnTo>
                  <a:pt x="3040380" y="1446276"/>
                </a:lnTo>
                <a:lnTo>
                  <a:pt x="3674364" y="1446276"/>
                </a:lnTo>
                <a:lnTo>
                  <a:pt x="3674364" y="1243584"/>
                </a:lnTo>
                <a:close/>
              </a:path>
              <a:path w="7486015" h="1653539">
                <a:moveTo>
                  <a:pt x="3674364" y="1036320"/>
                </a:moveTo>
                <a:lnTo>
                  <a:pt x="3040380" y="1036320"/>
                </a:lnTo>
                <a:lnTo>
                  <a:pt x="3040380" y="1240536"/>
                </a:lnTo>
                <a:lnTo>
                  <a:pt x="3674364" y="1240536"/>
                </a:lnTo>
                <a:lnTo>
                  <a:pt x="3674364" y="1036320"/>
                </a:lnTo>
                <a:close/>
              </a:path>
              <a:path w="7486015" h="1653539">
                <a:moveTo>
                  <a:pt x="3674364" y="829056"/>
                </a:moveTo>
                <a:lnTo>
                  <a:pt x="3040380" y="829056"/>
                </a:lnTo>
                <a:lnTo>
                  <a:pt x="3040380" y="1033272"/>
                </a:lnTo>
                <a:lnTo>
                  <a:pt x="3674364" y="1033272"/>
                </a:lnTo>
                <a:lnTo>
                  <a:pt x="3674364" y="829056"/>
                </a:lnTo>
                <a:close/>
              </a:path>
              <a:path w="7486015" h="1653539">
                <a:moveTo>
                  <a:pt x="3674364" y="621792"/>
                </a:moveTo>
                <a:lnTo>
                  <a:pt x="3040380" y="621792"/>
                </a:lnTo>
                <a:lnTo>
                  <a:pt x="3040380" y="826008"/>
                </a:lnTo>
                <a:lnTo>
                  <a:pt x="3674364" y="826008"/>
                </a:lnTo>
                <a:lnTo>
                  <a:pt x="3674364" y="621792"/>
                </a:lnTo>
                <a:close/>
              </a:path>
              <a:path w="7486015" h="1653539">
                <a:moveTo>
                  <a:pt x="3674364" y="414528"/>
                </a:moveTo>
                <a:lnTo>
                  <a:pt x="3040380" y="414528"/>
                </a:lnTo>
                <a:lnTo>
                  <a:pt x="3040380" y="618744"/>
                </a:lnTo>
                <a:lnTo>
                  <a:pt x="3674364" y="618744"/>
                </a:lnTo>
                <a:lnTo>
                  <a:pt x="3674364" y="414528"/>
                </a:lnTo>
                <a:close/>
              </a:path>
              <a:path w="7486015" h="1653539">
                <a:moveTo>
                  <a:pt x="3674364" y="207264"/>
                </a:moveTo>
                <a:lnTo>
                  <a:pt x="3040380" y="207264"/>
                </a:lnTo>
                <a:lnTo>
                  <a:pt x="3040380" y="411480"/>
                </a:lnTo>
                <a:lnTo>
                  <a:pt x="3674364" y="411480"/>
                </a:lnTo>
                <a:lnTo>
                  <a:pt x="3674364" y="207264"/>
                </a:lnTo>
                <a:close/>
              </a:path>
              <a:path w="7486015" h="1653539">
                <a:moveTo>
                  <a:pt x="4437888" y="1449324"/>
                </a:moveTo>
                <a:lnTo>
                  <a:pt x="3677412" y="1449324"/>
                </a:lnTo>
                <a:lnTo>
                  <a:pt x="3677412" y="1653540"/>
                </a:lnTo>
                <a:lnTo>
                  <a:pt x="4437888" y="1653540"/>
                </a:lnTo>
                <a:lnTo>
                  <a:pt x="4437888" y="1449324"/>
                </a:lnTo>
                <a:close/>
              </a:path>
              <a:path w="7486015" h="1653539">
                <a:moveTo>
                  <a:pt x="4437888" y="1243584"/>
                </a:moveTo>
                <a:lnTo>
                  <a:pt x="3677412" y="1243584"/>
                </a:lnTo>
                <a:lnTo>
                  <a:pt x="3677412" y="1446276"/>
                </a:lnTo>
                <a:lnTo>
                  <a:pt x="4437888" y="1446276"/>
                </a:lnTo>
                <a:lnTo>
                  <a:pt x="4437888" y="1243584"/>
                </a:lnTo>
                <a:close/>
              </a:path>
              <a:path w="7486015" h="1653539">
                <a:moveTo>
                  <a:pt x="4437888" y="1036320"/>
                </a:moveTo>
                <a:lnTo>
                  <a:pt x="3677412" y="1036320"/>
                </a:lnTo>
                <a:lnTo>
                  <a:pt x="3677412" y="1240536"/>
                </a:lnTo>
                <a:lnTo>
                  <a:pt x="4437888" y="1240536"/>
                </a:lnTo>
                <a:lnTo>
                  <a:pt x="4437888" y="1036320"/>
                </a:lnTo>
                <a:close/>
              </a:path>
              <a:path w="7486015" h="1653539">
                <a:moveTo>
                  <a:pt x="4437888" y="829056"/>
                </a:moveTo>
                <a:lnTo>
                  <a:pt x="3677412" y="829056"/>
                </a:lnTo>
                <a:lnTo>
                  <a:pt x="3677412" y="1033272"/>
                </a:lnTo>
                <a:lnTo>
                  <a:pt x="4437888" y="1033272"/>
                </a:lnTo>
                <a:lnTo>
                  <a:pt x="4437888" y="829056"/>
                </a:lnTo>
                <a:close/>
              </a:path>
              <a:path w="7486015" h="1653539">
                <a:moveTo>
                  <a:pt x="4437888" y="621792"/>
                </a:moveTo>
                <a:lnTo>
                  <a:pt x="3677412" y="621792"/>
                </a:lnTo>
                <a:lnTo>
                  <a:pt x="3677412" y="826008"/>
                </a:lnTo>
                <a:lnTo>
                  <a:pt x="4437888" y="826008"/>
                </a:lnTo>
                <a:lnTo>
                  <a:pt x="4437888" y="621792"/>
                </a:lnTo>
                <a:close/>
              </a:path>
              <a:path w="7486015" h="1653539">
                <a:moveTo>
                  <a:pt x="4437888" y="414528"/>
                </a:moveTo>
                <a:lnTo>
                  <a:pt x="3677412" y="414528"/>
                </a:lnTo>
                <a:lnTo>
                  <a:pt x="3677412" y="618744"/>
                </a:lnTo>
                <a:lnTo>
                  <a:pt x="4437888" y="618744"/>
                </a:lnTo>
                <a:lnTo>
                  <a:pt x="4437888" y="414528"/>
                </a:lnTo>
                <a:close/>
              </a:path>
              <a:path w="7486015" h="1653539">
                <a:moveTo>
                  <a:pt x="4437888" y="207264"/>
                </a:moveTo>
                <a:lnTo>
                  <a:pt x="3677412" y="207264"/>
                </a:lnTo>
                <a:lnTo>
                  <a:pt x="3677412" y="411480"/>
                </a:lnTo>
                <a:lnTo>
                  <a:pt x="4437888" y="411480"/>
                </a:lnTo>
                <a:lnTo>
                  <a:pt x="4437888" y="207264"/>
                </a:lnTo>
                <a:close/>
              </a:path>
              <a:path w="7486015" h="1653539">
                <a:moveTo>
                  <a:pt x="5199888" y="1449324"/>
                </a:moveTo>
                <a:lnTo>
                  <a:pt x="4440936" y="1449324"/>
                </a:lnTo>
                <a:lnTo>
                  <a:pt x="4440936" y="1653540"/>
                </a:lnTo>
                <a:lnTo>
                  <a:pt x="5199888" y="1653540"/>
                </a:lnTo>
                <a:lnTo>
                  <a:pt x="5199888" y="1449324"/>
                </a:lnTo>
                <a:close/>
              </a:path>
              <a:path w="7486015" h="1653539">
                <a:moveTo>
                  <a:pt x="5199888" y="1243584"/>
                </a:moveTo>
                <a:lnTo>
                  <a:pt x="4440936" y="1243584"/>
                </a:lnTo>
                <a:lnTo>
                  <a:pt x="4440936" y="1446276"/>
                </a:lnTo>
                <a:lnTo>
                  <a:pt x="5199888" y="1446276"/>
                </a:lnTo>
                <a:lnTo>
                  <a:pt x="5199888" y="1243584"/>
                </a:lnTo>
                <a:close/>
              </a:path>
              <a:path w="7486015" h="1653539">
                <a:moveTo>
                  <a:pt x="5199888" y="1036320"/>
                </a:moveTo>
                <a:lnTo>
                  <a:pt x="4440936" y="1036320"/>
                </a:lnTo>
                <a:lnTo>
                  <a:pt x="4440936" y="1240536"/>
                </a:lnTo>
                <a:lnTo>
                  <a:pt x="5199888" y="1240536"/>
                </a:lnTo>
                <a:lnTo>
                  <a:pt x="5199888" y="1036320"/>
                </a:lnTo>
                <a:close/>
              </a:path>
              <a:path w="7486015" h="1653539">
                <a:moveTo>
                  <a:pt x="5199888" y="829056"/>
                </a:moveTo>
                <a:lnTo>
                  <a:pt x="4440936" y="829056"/>
                </a:lnTo>
                <a:lnTo>
                  <a:pt x="4440936" y="1033272"/>
                </a:lnTo>
                <a:lnTo>
                  <a:pt x="5199888" y="1033272"/>
                </a:lnTo>
                <a:lnTo>
                  <a:pt x="5199888" y="829056"/>
                </a:lnTo>
                <a:close/>
              </a:path>
              <a:path w="7486015" h="1653539">
                <a:moveTo>
                  <a:pt x="5199888" y="621792"/>
                </a:moveTo>
                <a:lnTo>
                  <a:pt x="4440936" y="621792"/>
                </a:lnTo>
                <a:lnTo>
                  <a:pt x="4440936" y="826008"/>
                </a:lnTo>
                <a:lnTo>
                  <a:pt x="5199888" y="826008"/>
                </a:lnTo>
                <a:lnTo>
                  <a:pt x="5199888" y="621792"/>
                </a:lnTo>
                <a:close/>
              </a:path>
              <a:path w="7486015" h="1653539">
                <a:moveTo>
                  <a:pt x="5199888" y="414528"/>
                </a:moveTo>
                <a:lnTo>
                  <a:pt x="4440936" y="414528"/>
                </a:lnTo>
                <a:lnTo>
                  <a:pt x="4440936" y="618744"/>
                </a:lnTo>
                <a:lnTo>
                  <a:pt x="5199888" y="618744"/>
                </a:lnTo>
                <a:lnTo>
                  <a:pt x="5199888" y="414528"/>
                </a:lnTo>
                <a:close/>
              </a:path>
              <a:path w="7486015" h="1653539">
                <a:moveTo>
                  <a:pt x="5199888" y="207264"/>
                </a:moveTo>
                <a:lnTo>
                  <a:pt x="4440936" y="207264"/>
                </a:lnTo>
                <a:lnTo>
                  <a:pt x="4440936" y="411480"/>
                </a:lnTo>
                <a:lnTo>
                  <a:pt x="5199888" y="411480"/>
                </a:lnTo>
                <a:lnTo>
                  <a:pt x="5199888" y="207264"/>
                </a:lnTo>
                <a:close/>
              </a:path>
              <a:path w="7486015" h="1653539">
                <a:moveTo>
                  <a:pt x="5961875" y="1449324"/>
                </a:moveTo>
                <a:lnTo>
                  <a:pt x="5202936" y="1449324"/>
                </a:lnTo>
                <a:lnTo>
                  <a:pt x="5202936" y="1653540"/>
                </a:lnTo>
                <a:lnTo>
                  <a:pt x="5961875" y="1653540"/>
                </a:lnTo>
                <a:lnTo>
                  <a:pt x="5961875" y="1449324"/>
                </a:lnTo>
                <a:close/>
              </a:path>
              <a:path w="7486015" h="1653539">
                <a:moveTo>
                  <a:pt x="5961875" y="1243584"/>
                </a:moveTo>
                <a:lnTo>
                  <a:pt x="5202936" y="1243584"/>
                </a:lnTo>
                <a:lnTo>
                  <a:pt x="5202936" y="1446276"/>
                </a:lnTo>
                <a:lnTo>
                  <a:pt x="5961875" y="1446276"/>
                </a:lnTo>
                <a:lnTo>
                  <a:pt x="5961875" y="1243584"/>
                </a:lnTo>
                <a:close/>
              </a:path>
              <a:path w="7486015" h="1653539">
                <a:moveTo>
                  <a:pt x="5961875" y="1036320"/>
                </a:moveTo>
                <a:lnTo>
                  <a:pt x="5202936" y="1036320"/>
                </a:lnTo>
                <a:lnTo>
                  <a:pt x="5202936" y="1240536"/>
                </a:lnTo>
                <a:lnTo>
                  <a:pt x="5961875" y="1240536"/>
                </a:lnTo>
                <a:lnTo>
                  <a:pt x="5961875" y="1036320"/>
                </a:lnTo>
                <a:close/>
              </a:path>
              <a:path w="7486015" h="1653539">
                <a:moveTo>
                  <a:pt x="5961875" y="829056"/>
                </a:moveTo>
                <a:lnTo>
                  <a:pt x="5202936" y="829056"/>
                </a:lnTo>
                <a:lnTo>
                  <a:pt x="5202936" y="1033272"/>
                </a:lnTo>
                <a:lnTo>
                  <a:pt x="5961875" y="1033272"/>
                </a:lnTo>
                <a:lnTo>
                  <a:pt x="5961875" y="829056"/>
                </a:lnTo>
                <a:close/>
              </a:path>
              <a:path w="7486015" h="1653539">
                <a:moveTo>
                  <a:pt x="5961875" y="621792"/>
                </a:moveTo>
                <a:lnTo>
                  <a:pt x="5202936" y="621792"/>
                </a:lnTo>
                <a:lnTo>
                  <a:pt x="5202936" y="826008"/>
                </a:lnTo>
                <a:lnTo>
                  <a:pt x="5961875" y="826008"/>
                </a:lnTo>
                <a:lnTo>
                  <a:pt x="5961875" y="621792"/>
                </a:lnTo>
                <a:close/>
              </a:path>
              <a:path w="7486015" h="1653539">
                <a:moveTo>
                  <a:pt x="5961875" y="414528"/>
                </a:moveTo>
                <a:lnTo>
                  <a:pt x="5202936" y="414528"/>
                </a:lnTo>
                <a:lnTo>
                  <a:pt x="5202936" y="618744"/>
                </a:lnTo>
                <a:lnTo>
                  <a:pt x="5961875" y="618744"/>
                </a:lnTo>
                <a:lnTo>
                  <a:pt x="5961875" y="414528"/>
                </a:lnTo>
                <a:close/>
              </a:path>
              <a:path w="7486015" h="1653539">
                <a:moveTo>
                  <a:pt x="5961875" y="207264"/>
                </a:moveTo>
                <a:lnTo>
                  <a:pt x="5202936" y="207264"/>
                </a:lnTo>
                <a:lnTo>
                  <a:pt x="5202936" y="411480"/>
                </a:lnTo>
                <a:lnTo>
                  <a:pt x="5961875" y="411480"/>
                </a:lnTo>
                <a:lnTo>
                  <a:pt x="5961875" y="207264"/>
                </a:lnTo>
                <a:close/>
              </a:path>
              <a:path w="7486015" h="1653539">
                <a:moveTo>
                  <a:pt x="6723888" y="1449324"/>
                </a:moveTo>
                <a:lnTo>
                  <a:pt x="5964936" y="1449324"/>
                </a:lnTo>
                <a:lnTo>
                  <a:pt x="5964936" y="1653540"/>
                </a:lnTo>
                <a:lnTo>
                  <a:pt x="6723888" y="1653540"/>
                </a:lnTo>
                <a:lnTo>
                  <a:pt x="6723888" y="1449324"/>
                </a:lnTo>
                <a:close/>
              </a:path>
              <a:path w="7486015" h="1653539">
                <a:moveTo>
                  <a:pt x="6723888" y="1243584"/>
                </a:moveTo>
                <a:lnTo>
                  <a:pt x="5964936" y="1243584"/>
                </a:lnTo>
                <a:lnTo>
                  <a:pt x="5964936" y="1446276"/>
                </a:lnTo>
                <a:lnTo>
                  <a:pt x="6723888" y="1446276"/>
                </a:lnTo>
                <a:lnTo>
                  <a:pt x="6723888" y="1243584"/>
                </a:lnTo>
                <a:close/>
              </a:path>
              <a:path w="7486015" h="1653539">
                <a:moveTo>
                  <a:pt x="6723888" y="1036320"/>
                </a:moveTo>
                <a:lnTo>
                  <a:pt x="5964936" y="1036320"/>
                </a:lnTo>
                <a:lnTo>
                  <a:pt x="5964936" y="1240536"/>
                </a:lnTo>
                <a:lnTo>
                  <a:pt x="6723888" y="1240536"/>
                </a:lnTo>
                <a:lnTo>
                  <a:pt x="6723888" y="1036320"/>
                </a:lnTo>
                <a:close/>
              </a:path>
              <a:path w="7486015" h="1653539">
                <a:moveTo>
                  <a:pt x="6723888" y="829056"/>
                </a:moveTo>
                <a:lnTo>
                  <a:pt x="5964936" y="829056"/>
                </a:lnTo>
                <a:lnTo>
                  <a:pt x="5964936" y="1033272"/>
                </a:lnTo>
                <a:lnTo>
                  <a:pt x="6723888" y="1033272"/>
                </a:lnTo>
                <a:lnTo>
                  <a:pt x="6723888" y="829056"/>
                </a:lnTo>
                <a:close/>
              </a:path>
              <a:path w="7486015" h="1653539">
                <a:moveTo>
                  <a:pt x="6723888" y="621792"/>
                </a:moveTo>
                <a:lnTo>
                  <a:pt x="5964936" y="621792"/>
                </a:lnTo>
                <a:lnTo>
                  <a:pt x="5964936" y="826008"/>
                </a:lnTo>
                <a:lnTo>
                  <a:pt x="6723888" y="826008"/>
                </a:lnTo>
                <a:lnTo>
                  <a:pt x="6723888" y="621792"/>
                </a:lnTo>
                <a:close/>
              </a:path>
              <a:path w="7486015" h="1653539">
                <a:moveTo>
                  <a:pt x="6723888" y="414528"/>
                </a:moveTo>
                <a:lnTo>
                  <a:pt x="5964936" y="414528"/>
                </a:lnTo>
                <a:lnTo>
                  <a:pt x="5964936" y="618744"/>
                </a:lnTo>
                <a:lnTo>
                  <a:pt x="6723888" y="618744"/>
                </a:lnTo>
                <a:lnTo>
                  <a:pt x="6723888" y="414528"/>
                </a:lnTo>
                <a:close/>
              </a:path>
              <a:path w="7486015" h="1653539">
                <a:moveTo>
                  <a:pt x="6723888" y="207264"/>
                </a:moveTo>
                <a:lnTo>
                  <a:pt x="5964936" y="207264"/>
                </a:lnTo>
                <a:lnTo>
                  <a:pt x="5964936" y="411480"/>
                </a:lnTo>
                <a:lnTo>
                  <a:pt x="6723888" y="411480"/>
                </a:lnTo>
                <a:lnTo>
                  <a:pt x="6723888" y="207264"/>
                </a:lnTo>
                <a:close/>
              </a:path>
              <a:path w="7486015" h="1653539">
                <a:moveTo>
                  <a:pt x="6723888" y="0"/>
                </a:moveTo>
                <a:lnTo>
                  <a:pt x="5964936" y="0"/>
                </a:lnTo>
                <a:lnTo>
                  <a:pt x="5964936" y="204216"/>
                </a:lnTo>
                <a:lnTo>
                  <a:pt x="6723888" y="204216"/>
                </a:lnTo>
                <a:lnTo>
                  <a:pt x="6723888" y="0"/>
                </a:lnTo>
                <a:close/>
              </a:path>
              <a:path w="7486015" h="1653539">
                <a:moveTo>
                  <a:pt x="7485888" y="1449324"/>
                </a:moveTo>
                <a:lnTo>
                  <a:pt x="6726936" y="1449324"/>
                </a:lnTo>
                <a:lnTo>
                  <a:pt x="6726936" y="1653540"/>
                </a:lnTo>
                <a:lnTo>
                  <a:pt x="7485888" y="1653540"/>
                </a:lnTo>
                <a:lnTo>
                  <a:pt x="7485888" y="1449324"/>
                </a:lnTo>
                <a:close/>
              </a:path>
              <a:path w="7486015" h="1653539">
                <a:moveTo>
                  <a:pt x="7485888" y="1243584"/>
                </a:moveTo>
                <a:lnTo>
                  <a:pt x="6726936" y="1243584"/>
                </a:lnTo>
                <a:lnTo>
                  <a:pt x="6726936" y="1446276"/>
                </a:lnTo>
                <a:lnTo>
                  <a:pt x="7485888" y="1446276"/>
                </a:lnTo>
                <a:lnTo>
                  <a:pt x="7485888" y="1243584"/>
                </a:lnTo>
                <a:close/>
              </a:path>
              <a:path w="7486015" h="1653539">
                <a:moveTo>
                  <a:pt x="7485888" y="1036320"/>
                </a:moveTo>
                <a:lnTo>
                  <a:pt x="6726936" y="1036320"/>
                </a:lnTo>
                <a:lnTo>
                  <a:pt x="6726936" y="1240536"/>
                </a:lnTo>
                <a:lnTo>
                  <a:pt x="7485888" y="1240536"/>
                </a:lnTo>
                <a:lnTo>
                  <a:pt x="7485888" y="1036320"/>
                </a:lnTo>
                <a:close/>
              </a:path>
              <a:path w="7486015" h="1653539">
                <a:moveTo>
                  <a:pt x="7485888" y="829056"/>
                </a:moveTo>
                <a:lnTo>
                  <a:pt x="6726936" y="829056"/>
                </a:lnTo>
                <a:lnTo>
                  <a:pt x="6726936" y="1033272"/>
                </a:lnTo>
                <a:lnTo>
                  <a:pt x="7485888" y="1033272"/>
                </a:lnTo>
                <a:lnTo>
                  <a:pt x="7485888" y="829056"/>
                </a:lnTo>
                <a:close/>
              </a:path>
              <a:path w="7486015" h="1653539">
                <a:moveTo>
                  <a:pt x="7485888" y="621792"/>
                </a:moveTo>
                <a:lnTo>
                  <a:pt x="6726936" y="621792"/>
                </a:lnTo>
                <a:lnTo>
                  <a:pt x="6726936" y="826008"/>
                </a:lnTo>
                <a:lnTo>
                  <a:pt x="7485888" y="826008"/>
                </a:lnTo>
                <a:lnTo>
                  <a:pt x="7485888" y="621792"/>
                </a:lnTo>
                <a:close/>
              </a:path>
              <a:path w="7486015" h="1653539">
                <a:moveTo>
                  <a:pt x="7485888" y="414528"/>
                </a:moveTo>
                <a:lnTo>
                  <a:pt x="6726936" y="414528"/>
                </a:lnTo>
                <a:lnTo>
                  <a:pt x="6726936" y="618744"/>
                </a:lnTo>
                <a:lnTo>
                  <a:pt x="7485888" y="618744"/>
                </a:lnTo>
                <a:lnTo>
                  <a:pt x="7485888" y="414528"/>
                </a:lnTo>
                <a:close/>
              </a:path>
              <a:path w="7486015" h="1653539">
                <a:moveTo>
                  <a:pt x="7485888" y="207264"/>
                </a:moveTo>
                <a:lnTo>
                  <a:pt x="6726936" y="207264"/>
                </a:lnTo>
                <a:lnTo>
                  <a:pt x="6726936" y="411480"/>
                </a:lnTo>
                <a:lnTo>
                  <a:pt x="7485888" y="411480"/>
                </a:lnTo>
                <a:lnTo>
                  <a:pt x="7485888" y="207264"/>
                </a:lnTo>
                <a:close/>
              </a:path>
              <a:path w="7486015" h="1653539">
                <a:moveTo>
                  <a:pt x="7485888" y="0"/>
                </a:moveTo>
                <a:lnTo>
                  <a:pt x="6726936" y="0"/>
                </a:lnTo>
                <a:lnTo>
                  <a:pt x="6726936" y="204216"/>
                </a:lnTo>
                <a:lnTo>
                  <a:pt x="7485888" y="204216"/>
                </a:lnTo>
                <a:lnTo>
                  <a:pt x="7485888" y="0"/>
                </a:lnTo>
                <a:close/>
              </a:path>
            </a:pathLst>
          </a:custGeom>
          <a:solidFill>
            <a:srgbClr val="FFFFFF"/>
          </a:solidFill>
        </xdr:spPr>
      </xdr:sp>
    </xdr:grpSp>
    <xdr:clientData/>
  </xdr:oneCellAnchor>
  <xdr:oneCellAnchor>
    <xdr:from>
      <xdr:col>11</xdr:col>
      <xdr:colOff>546481</xdr:colOff>
      <xdr:row>22</xdr:row>
      <xdr:rowOff>0</xdr:rowOff>
    </xdr:from>
    <xdr:ext cx="645160" cy="3310254"/>
    <xdr:sp macro="" textlink="">
      <xdr:nvSpPr>
        <xdr:cNvPr id="23" name="Shape 23">
          <a:extLst>
            <a:ext uri="{FF2B5EF4-FFF2-40B4-BE49-F238E27FC236}">
              <a16:creationId xmlns:a16="http://schemas.microsoft.com/office/drawing/2014/main" id="{00000000-0008-0000-0100-000017000000}"/>
            </a:ext>
          </a:extLst>
        </xdr:cNvPr>
        <xdr:cNvSpPr/>
      </xdr:nvSpPr>
      <xdr:spPr>
        <a:xfrm>
          <a:off x="0" y="0"/>
          <a:ext cx="645160" cy="3310254"/>
        </a:xfrm>
        <a:custGeom>
          <a:avLst/>
          <a:gdLst/>
          <a:ahLst/>
          <a:cxnLst/>
          <a:rect l="0" t="0" r="0" b="0"/>
          <a:pathLst>
            <a:path w="645160" h="3310254">
              <a:moveTo>
                <a:pt x="644652" y="3105912"/>
              </a:moveTo>
              <a:lnTo>
                <a:pt x="0" y="3105912"/>
              </a:lnTo>
              <a:lnTo>
                <a:pt x="0" y="3310128"/>
              </a:lnTo>
              <a:lnTo>
                <a:pt x="644652" y="3310128"/>
              </a:lnTo>
              <a:lnTo>
                <a:pt x="644652" y="3105912"/>
              </a:lnTo>
              <a:close/>
            </a:path>
            <a:path w="645160" h="3310254">
              <a:moveTo>
                <a:pt x="644652" y="2900172"/>
              </a:moveTo>
              <a:lnTo>
                <a:pt x="0" y="2900172"/>
              </a:lnTo>
              <a:lnTo>
                <a:pt x="0" y="3102864"/>
              </a:lnTo>
              <a:lnTo>
                <a:pt x="644652" y="3102864"/>
              </a:lnTo>
              <a:lnTo>
                <a:pt x="644652" y="2900172"/>
              </a:lnTo>
              <a:close/>
            </a:path>
            <a:path w="645160" h="3310254">
              <a:moveTo>
                <a:pt x="644652" y="2692908"/>
              </a:moveTo>
              <a:lnTo>
                <a:pt x="0" y="2692908"/>
              </a:lnTo>
              <a:lnTo>
                <a:pt x="0" y="2897124"/>
              </a:lnTo>
              <a:lnTo>
                <a:pt x="644652" y="2897124"/>
              </a:lnTo>
              <a:lnTo>
                <a:pt x="644652" y="2692908"/>
              </a:lnTo>
              <a:close/>
            </a:path>
            <a:path w="645160" h="3310254">
              <a:moveTo>
                <a:pt x="644652" y="2485644"/>
              </a:moveTo>
              <a:lnTo>
                <a:pt x="0" y="2485644"/>
              </a:lnTo>
              <a:lnTo>
                <a:pt x="0" y="2689860"/>
              </a:lnTo>
              <a:lnTo>
                <a:pt x="644652" y="2689860"/>
              </a:lnTo>
              <a:lnTo>
                <a:pt x="644652" y="2485644"/>
              </a:lnTo>
              <a:close/>
            </a:path>
            <a:path w="645160" h="3310254">
              <a:moveTo>
                <a:pt x="644652" y="2278380"/>
              </a:moveTo>
              <a:lnTo>
                <a:pt x="0" y="2278380"/>
              </a:lnTo>
              <a:lnTo>
                <a:pt x="0" y="2482596"/>
              </a:lnTo>
              <a:lnTo>
                <a:pt x="644652" y="2482596"/>
              </a:lnTo>
              <a:lnTo>
                <a:pt x="644652" y="2278380"/>
              </a:lnTo>
              <a:close/>
            </a:path>
            <a:path w="645160" h="3310254">
              <a:moveTo>
                <a:pt x="644652" y="2071116"/>
              </a:moveTo>
              <a:lnTo>
                <a:pt x="0" y="2071116"/>
              </a:lnTo>
              <a:lnTo>
                <a:pt x="0" y="2275332"/>
              </a:lnTo>
              <a:lnTo>
                <a:pt x="644652" y="2275332"/>
              </a:lnTo>
              <a:lnTo>
                <a:pt x="644652" y="2071116"/>
              </a:lnTo>
              <a:close/>
            </a:path>
            <a:path w="645160" h="3310254">
              <a:moveTo>
                <a:pt x="644652" y="1863852"/>
              </a:moveTo>
              <a:lnTo>
                <a:pt x="0" y="1863852"/>
              </a:lnTo>
              <a:lnTo>
                <a:pt x="0" y="2068068"/>
              </a:lnTo>
              <a:lnTo>
                <a:pt x="644652" y="2068068"/>
              </a:lnTo>
              <a:lnTo>
                <a:pt x="644652" y="1863852"/>
              </a:lnTo>
              <a:close/>
            </a:path>
            <a:path w="645160" h="3310254">
              <a:moveTo>
                <a:pt x="644652" y="1656588"/>
              </a:moveTo>
              <a:lnTo>
                <a:pt x="0" y="1656588"/>
              </a:lnTo>
              <a:lnTo>
                <a:pt x="0" y="1860804"/>
              </a:lnTo>
              <a:lnTo>
                <a:pt x="644652" y="1860804"/>
              </a:lnTo>
              <a:lnTo>
                <a:pt x="644652" y="1656588"/>
              </a:lnTo>
              <a:close/>
            </a:path>
            <a:path w="645160" h="3310254">
              <a:moveTo>
                <a:pt x="644652" y="1449324"/>
              </a:moveTo>
              <a:lnTo>
                <a:pt x="0" y="1449324"/>
              </a:lnTo>
              <a:lnTo>
                <a:pt x="0" y="1653540"/>
              </a:lnTo>
              <a:lnTo>
                <a:pt x="644652" y="1653540"/>
              </a:lnTo>
              <a:lnTo>
                <a:pt x="644652" y="1449324"/>
              </a:lnTo>
              <a:close/>
            </a:path>
            <a:path w="645160" h="3310254">
              <a:moveTo>
                <a:pt x="644652" y="1242060"/>
              </a:moveTo>
              <a:lnTo>
                <a:pt x="0" y="1242060"/>
              </a:lnTo>
              <a:lnTo>
                <a:pt x="0" y="1446276"/>
              </a:lnTo>
              <a:lnTo>
                <a:pt x="644652" y="1446276"/>
              </a:lnTo>
              <a:lnTo>
                <a:pt x="644652" y="1242060"/>
              </a:lnTo>
              <a:close/>
            </a:path>
            <a:path w="645160" h="3310254">
              <a:moveTo>
                <a:pt x="644652" y="1036320"/>
              </a:moveTo>
              <a:lnTo>
                <a:pt x="0" y="1036320"/>
              </a:lnTo>
              <a:lnTo>
                <a:pt x="0" y="1239012"/>
              </a:lnTo>
              <a:lnTo>
                <a:pt x="644652" y="1239012"/>
              </a:lnTo>
              <a:lnTo>
                <a:pt x="644652" y="1036320"/>
              </a:lnTo>
              <a:close/>
            </a:path>
            <a:path w="645160" h="3310254">
              <a:moveTo>
                <a:pt x="644652" y="829056"/>
              </a:moveTo>
              <a:lnTo>
                <a:pt x="0" y="829056"/>
              </a:lnTo>
              <a:lnTo>
                <a:pt x="0" y="1033272"/>
              </a:lnTo>
              <a:lnTo>
                <a:pt x="644652" y="1033272"/>
              </a:lnTo>
              <a:lnTo>
                <a:pt x="644652" y="829056"/>
              </a:lnTo>
              <a:close/>
            </a:path>
            <a:path w="645160" h="3310254">
              <a:moveTo>
                <a:pt x="644652" y="621792"/>
              </a:moveTo>
              <a:lnTo>
                <a:pt x="0" y="621792"/>
              </a:lnTo>
              <a:lnTo>
                <a:pt x="0" y="826008"/>
              </a:lnTo>
              <a:lnTo>
                <a:pt x="644652" y="826008"/>
              </a:lnTo>
              <a:lnTo>
                <a:pt x="644652" y="621792"/>
              </a:lnTo>
              <a:close/>
            </a:path>
            <a:path w="645160" h="3310254">
              <a:moveTo>
                <a:pt x="644652" y="414528"/>
              </a:moveTo>
              <a:lnTo>
                <a:pt x="0" y="414528"/>
              </a:lnTo>
              <a:lnTo>
                <a:pt x="0" y="618744"/>
              </a:lnTo>
              <a:lnTo>
                <a:pt x="644652" y="618744"/>
              </a:lnTo>
              <a:lnTo>
                <a:pt x="644652" y="414528"/>
              </a:lnTo>
              <a:close/>
            </a:path>
            <a:path w="645160" h="3310254">
              <a:moveTo>
                <a:pt x="644652" y="207264"/>
              </a:moveTo>
              <a:lnTo>
                <a:pt x="0" y="207264"/>
              </a:lnTo>
              <a:lnTo>
                <a:pt x="0" y="411480"/>
              </a:lnTo>
              <a:lnTo>
                <a:pt x="644652" y="411480"/>
              </a:lnTo>
              <a:lnTo>
                <a:pt x="644652" y="207264"/>
              </a:lnTo>
              <a:close/>
            </a:path>
            <a:path w="645160" h="3310254">
              <a:moveTo>
                <a:pt x="644652" y="0"/>
              </a:moveTo>
              <a:lnTo>
                <a:pt x="0" y="0"/>
              </a:lnTo>
              <a:lnTo>
                <a:pt x="0" y="204216"/>
              </a:lnTo>
              <a:lnTo>
                <a:pt x="644652" y="204216"/>
              </a:lnTo>
              <a:lnTo>
                <a:pt x="644652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543687</xdr:colOff>
      <xdr:row>20</xdr:row>
      <xdr:rowOff>206501</xdr:rowOff>
    </xdr:from>
    <xdr:ext cx="3808729" cy="480059"/>
    <xdr:sp macro="" textlink="">
      <xdr:nvSpPr>
        <xdr:cNvPr id="24" name="Shape 24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0" y="0"/>
          <a:ext cx="3808729" cy="480059"/>
        </a:xfrm>
        <a:custGeom>
          <a:avLst/>
          <a:gdLst/>
          <a:ahLst/>
          <a:cxnLst/>
          <a:rect l="0" t="0" r="0" b="0"/>
          <a:pathLst>
            <a:path w="3808729" h="480059">
              <a:moveTo>
                <a:pt x="760476" y="0"/>
              </a:moveTo>
              <a:lnTo>
                <a:pt x="0" y="0"/>
              </a:lnTo>
              <a:lnTo>
                <a:pt x="0" y="480060"/>
              </a:lnTo>
              <a:lnTo>
                <a:pt x="760476" y="480060"/>
              </a:lnTo>
              <a:lnTo>
                <a:pt x="760476" y="0"/>
              </a:lnTo>
              <a:close/>
            </a:path>
            <a:path w="3808729" h="480059">
              <a:moveTo>
                <a:pt x="1522476" y="0"/>
              </a:moveTo>
              <a:lnTo>
                <a:pt x="763524" y="0"/>
              </a:lnTo>
              <a:lnTo>
                <a:pt x="763524" y="480060"/>
              </a:lnTo>
              <a:lnTo>
                <a:pt x="1522476" y="480060"/>
              </a:lnTo>
              <a:lnTo>
                <a:pt x="1522476" y="0"/>
              </a:lnTo>
              <a:close/>
            </a:path>
            <a:path w="3808729" h="480059">
              <a:moveTo>
                <a:pt x="2284463" y="0"/>
              </a:moveTo>
              <a:lnTo>
                <a:pt x="1525524" y="0"/>
              </a:lnTo>
              <a:lnTo>
                <a:pt x="1525524" y="480060"/>
              </a:lnTo>
              <a:lnTo>
                <a:pt x="2284463" y="480060"/>
              </a:lnTo>
              <a:lnTo>
                <a:pt x="2284463" y="0"/>
              </a:lnTo>
              <a:close/>
            </a:path>
            <a:path w="3808729" h="480059">
              <a:moveTo>
                <a:pt x="3046476" y="0"/>
              </a:moveTo>
              <a:lnTo>
                <a:pt x="2287524" y="0"/>
              </a:lnTo>
              <a:lnTo>
                <a:pt x="2287524" y="480060"/>
              </a:lnTo>
              <a:lnTo>
                <a:pt x="3046476" y="480060"/>
              </a:lnTo>
              <a:lnTo>
                <a:pt x="3046476" y="0"/>
              </a:lnTo>
              <a:close/>
            </a:path>
            <a:path w="3808729" h="480059">
              <a:moveTo>
                <a:pt x="3808476" y="0"/>
              </a:moveTo>
              <a:lnTo>
                <a:pt x="3049524" y="0"/>
              </a:lnTo>
              <a:lnTo>
                <a:pt x="3049524" y="480060"/>
              </a:lnTo>
              <a:lnTo>
                <a:pt x="3808476" y="480060"/>
              </a:lnTo>
              <a:lnTo>
                <a:pt x="3808476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5</xdr:col>
      <xdr:colOff>299453</xdr:colOff>
      <xdr:row>3</xdr:row>
      <xdr:rowOff>49142</xdr:rowOff>
    </xdr:from>
    <xdr:ext cx="193523" cy="290285"/>
    <xdr:pic>
      <xdr:nvPicPr>
        <xdr:cNvPr id="25" name="image1.jpeg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93523" cy="290285"/>
        </a:xfrm>
        <a:prstGeom prst="rect">
          <a:avLst/>
        </a:prstGeom>
      </xdr:spPr>
    </xdr:pic>
    <xdr:clientData/>
  </xdr:oneCellAnchor>
  <xdr:oneCellAnchor>
    <xdr:from>
      <xdr:col>6</xdr:col>
      <xdr:colOff>201929</xdr:colOff>
      <xdr:row>3</xdr:row>
      <xdr:rowOff>761</xdr:rowOff>
    </xdr:from>
    <xdr:ext cx="381000" cy="381000"/>
    <xdr:pic>
      <xdr:nvPicPr>
        <xdr:cNvPr id="26" name="image2.jpeg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81000" cy="381000"/>
        </a:xfrm>
        <a:prstGeom prst="rect">
          <a:avLst/>
        </a:prstGeom>
      </xdr:spPr>
    </xdr:pic>
    <xdr:clientData/>
  </xdr:oneCellAnchor>
  <xdr:oneCellAnchor>
    <xdr:from>
      <xdr:col>7</xdr:col>
      <xdr:colOff>201930</xdr:colOff>
      <xdr:row>3</xdr:row>
      <xdr:rowOff>761</xdr:rowOff>
    </xdr:from>
    <xdr:ext cx="381000" cy="381000"/>
    <xdr:pic>
      <xdr:nvPicPr>
        <xdr:cNvPr id="27" name="image3.jpeg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81000" cy="381000"/>
        </a:xfrm>
        <a:prstGeom prst="rect">
          <a:avLst/>
        </a:prstGeom>
      </xdr:spPr>
    </xdr:pic>
    <xdr:clientData/>
  </xdr:oneCellAnchor>
  <xdr:oneCellAnchor>
    <xdr:from>
      <xdr:col>8</xdr:col>
      <xdr:colOff>201929</xdr:colOff>
      <xdr:row>3</xdr:row>
      <xdr:rowOff>49142</xdr:rowOff>
    </xdr:from>
    <xdr:ext cx="381000" cy="290285"/>
    <xdr:pic>
      <xdr:nvPicPr>
        <xdr:cNvPr id="28" name="image4.jpeg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81000" cy="290285"/>
        </a:xfrm>
        <a:prstGeom prst="rect">
          <a:avLst/>
        </a:prstGeom>
      </xdr:spPr>
    </xdr:pic>
    <xdr:clientData/>
  </xdr:oneCellAnchor>
  <xdr:oneCellAnchor>
    <xdr:from>
      <xdr:col>9</xdr:col>
      <xdr:colOff>201929</xdr:colOff>
      <xdr:row>3</xdr:row>
      <xdr:rowOff>49142</xdr:rowOff>
    </xdr:from>
    <xdr:ext cx="381000" cy="290285"/>
    <xdr:pic>
      <xdr:nvPicPr>
        <xdr:cNvPr id="29" name="image5.jpeg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81000" cy="290285"/>
        </a:xfrm>
        <a:prstGeom prst="rect">
          <a:avLst/>
        </a:prstGeom>
      </xdr:spPr>
    </xdr:pic>
    <xdr:clientData/>
  </xdr:oneCellAnchor>
  <xdr:oneCellAnchor>
    <xdr:from>
      <xdr:col>1</xdr:col>
      <xdr:colOff>226059</xdr:colOff>
      <xdr:row>22</xdr:row>
      <xdr:rowOff>0</xdr:rowOff>
    </xdr:from>
    <xdr:ext cx="7486015" cy="3724910"/>
    <xdr:grpSp>
      <xdr:nvGrpSpPr>
        <xdr:cNvPr id="30" name="Group 30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GrpSpPr/>
      </xdr:nvGrpSpPr>
      <xdr:grpSpPr>
        <a:xfrm>
          <a:off x="607059" y="5814060"/>
          <a:ext cx="7486015" cy="3724910"/>
          <a:chOff x="0" y="0"/>
          <a:chExt cx="7486015" cy="3724910"/>
        </a:xfrm>
      </xdr:grpSpPr>
      <xdr:sp macro="" textlink="">
        <xdr:nvSpPr>
          <xdr:cNvPr id="31" name="Shape 31">
            <a:extLst>
              <a:ext uri="{FF2B5EF4-FFF2-40B4-BE49-F238E27FC236}">
                <a16:creationId xmlns:a16="http://schemas.microsoft.com/office/drawing/2014/main" id="{00000000-0008-0000-0200-00001F000000}"/>
              </a:ext>
            </a:extLst>
          </xdr:cNvPr>
          <xdr:cNvSpPr/>
        </xdr:nvSpPr>
        <xdr:spPr>
          <a:xfrm>
            <a:off x="0" y="0"/>
            <a:ext cx="7486015" cy="2066925"/>
          </a:xfrm>
          <a:custGeom>
            <a:avLst/>
            <a:gdLst/>
            <a:ahLst/>
            <a:cxnLst/>
            <a:rect l="0" t="0" r="0" b="0"/>
            <a:pathLst>
              <a:path w="7486015" h="2066925">
                <a:moveTo>
                  <a:pt x="312420" y="1242060"/>
                </a:moveTo>
                <a:lnTo>
                  <a:pt x="0" y="1242060"/>
                </a:lnTo>
                <a:lnTo>
                  <a:pt x="0" y="2066544"/>
                </a:lnTo>
                <a:lnTo>
                  <a:pt x="312420" y="2066544"/>
                </a:lnTo>
                <a:lnTo>
                  <a:pt x="312420" y="1242060"/>
                </a:lnTo>
                <a:close/>
              </a:path>
              <a:path w="7486015" h="2066925">
                <a:moveTo>
                  <a:pt x="312420" y="0"/>
                </a:moveTo>
                <a:lnTo>
                  <a:pt x="0" y="0"/>
                </a:lnTo>
                <a:lnTo>
                  <a:pt x="0" y="1239012"/>
                </a:lnTo>
                <a:lnTo>
                  <a:pt x="312420" y="1239012"/>
                </a:lnTo>
                <a:lnTo>
                  <a:pt x="312420" y="0"/>
                </a:lnTo>
                <a:close/>
              </a:path>
              <a:path w="7486015" h="2066925">
                <a:moveTo>
                  <a:pt x="1264920" y="1242060"/>
                </a:moveTo>
                <a:lnTo>
                  <a:pt x="315468" y="1242060"/>
                </a:lnTo>
                <a:lnTo>
                  <a:pt x="315468" y="2066544"/>
                </a:lnTo>
                <a:lnTo>
                  <a:pt x="1264920" y="2066544"/>
                </a:lnTo>
                <a:lnTo>
                  <a:pt x="1264920" y="1242060"/>
                </a:lnTo>
                <a:close/>
              </a:path>
              <a:path w="7486015" h="2066925">
                <a:moveTo>
                  <a:pt x="1264920" y="0"/>
                </a:moveTo>
                <a:lnTo>
                  <a:pt x="315468" y="0"/>
                </a:lnTo>
                <a:lnTo>
                  <a:pt x="315468" y="1239012"/>
                </a:lnTo>
                <a:lnTo>
                  <a:pt x="1264920" y="1239012"/>
                </a:lnTo>
                <a:lnTo>
                  <a:pt x="1264920" y="0"/>
                </a:lnTo>
                <a:close/>
              </a:path>
              <a:path w="7486015" h="2066925">
                <a:moveTo>
                  <a:pt x="2531364" y="1242060"/>
                </a:moveTo>
                <a:lnTo>
                  <a:pt x="1267968" y="1242060"/>
                </a:lnTo>
                <a:lnTo>
                  <a:pt x="1267968" y="2066544"/>
                </a:lnTo>
                <a:lnTo>
                  <a:pt x="2531364" y="2066544"/>
                </a:lnTo>
                <a:lnTo>
                  <a:pt x="2531364" y="1242060"/>
                </a:lnTo>
                <a:close/>
              </a:path>
              <a:path w="7486015" h="2066925">
                <a:moveTo>
                  <a:pt x="2531364" y="0"/>
                </a:moveTo>
                <a:lnTo>
                  <a:pt x="1267968" y="0"/>
                </a:lnTo>
                <a:lnTo>
                  <a:pt x="1267968" y="1239012"/>
                </a:lnTo>
                <a:lnTo>
                  <a:pt x="2531364" y="1239012"/>
                </a:lnTo>
                <a:lnTo>
                  <a:pt x="2531364" y="0"/>
                </a:lnTo>
                <a:close/>
              </a:path>
              <a:path w="7486015" h="2066925">
                <a:moveTo>
                  <a:pt x="3037332" y="1862328"/>
                </a:moveTo>
                <a:lnTo>
                  <a:pt x="2534412" y="1862328"/>
                </a:lnTo>
                <a:lnTo>
                  <a:pt x="2534412" y="2066544"/>
                </a:lnTo>
                <a:lnTo>
                  <a:pt x="3037332" y="2066544"/>
                </a:lnTo>
                <a:lnTo>
                  <a:pt x="3037332" y="1862328"/>
                </a:lnTo>
                <a:close/>
              </a:path>
              <a:path w="7486015" h="2066925">
                <a:moveTo>
                  <a:pt x="3037332" y="1655064"/>
                </a:moveTo>
                <a:lnTo>
                  <a:pt x="2534412" y="1655064"/>
                </a:lnTo>
                <a:lnTo>
                  <a:pt x="2534412" y="1859280"/>
                </a:lnTo>
                <a:lnTo>
                  <a:pt x="3037332" y="1859280"/>
                </a:lnTo>
                <a:lnTo>
                  <a:pt x="3037332" y="1655064"/>
                </a:lnTo>
                <a:close/>
              </a:path>
              <a:path w="7486015" h="2066925">
                <a:moveTo>
                  <a:pt x="3037332" y="1449324"/>
                </a:moveTo>
                <a:lnTo>
                  <a:pt x="2534412" y="1449324"/>
                </a:lnTo>
                <a:lnTo>
                  <a:pt x="2534412" y="1652016"/>
                </a:lnTo>
                <a:lnTo>
                  <a:pt x="3037332" y="1652016"/>
                </a:lnTo>
                <a:lnTo>
                  <a:pt x="3037332" y="1449324"/>
                </a:lnTo>
                <a:close/>
              </a:path>
              <a:path w="7486015" h="2066925">
                <a:moveTo>
                  <a:pt x="3037332" y="1242060"/>
                </a:moveTo>
                <a:lnTo>
                  <a:pt x="2534412" y="1242060"/>
                </a:lnTo>
                <a:lnTo>
                  <a:pt x="2534412" y="1446276"/>
                </a:lnTo>
                <a:lnTo>
                  <a:pt x="3037332" y="1446276"/>
                </a:lnTo>
                <a:lnTo>
                  <a:pt x="3037332" y="1242060"/>
                </a:lnTo>
                <a:close/>
              </a:path>
              <a:path w="7486015" h="2066925">
                <a:moveTo>
                  <a:pt x="3037332" y="1034796"/>
                </a:moveTo>
                <a:lnTo>
                  <a:pt x="2534412" y="1034796"/>
                </a:lnTo>
                <a:lnTo>
                  <a:pt x="2534412" y="1239012"/>
                </a:lnTo>
                <a:lnTo>
                  <a:pt x="3037332" y="1239012"/>
                </a:lnTo>
                <a:lnTo>
                  <a:pt x="3037332" y="1034796"/>
                </a:lnTo>
                <a:close/>
              </a:path>
              <a:path w="7486015" h="2066925">
                <a:moveTo>
                  <a:pt x="3037332" y="827532"/>
                </a:moveTo>
                <a:lnTo>
                  <a:pt x="2534412" y="827532"/>
                </a:lnTo>
                <a:lnTo>
                  <a:pt x="2534412" y="1031748"/>
                </a:lnTo>
                <a:lnTo>
                  <a:pt x="3037332" y="1031748"/>
                </a:lnTo>
                <a:lnTo>
                  <a:pt x="3037332" y="827532"/>
                </a:lnTo>
                <a:close/>
              </a:path>
              <a:path w="7486015" h="2066925">
                <a:moveTo>
                  <a:pt x="3037332" y="621792"/>
                </a:moveTo>
                <a:lnTo>
                  <a:pt x="2534412" y="621792"/>
                </a:lnTo>
                <a:lnTo>
                  <a:pt x="2534412" y="824484"/>
                </a:lnTo>
                <a:lnTo>
                  <a:pt x="3037332" y="824484"/>
                </a:lnTo>
                <a:lnTo>
                  <a:pt x="3037332" y="621792"/>
                </a:lnTo>
                <a:close/>
              </a:path>
              <a:path w="7486015" h="2066925">
                <a:moveTo>
                  <a:pt x="3037332" y="414528"/>
                </a:moveTo>
                <a:lnTo>
                  <a:pt x="2534412" y="414528"/>
                </a:lnTo>
                <a:lnTo>
                  <a:pt x="2534412" y="618744"/>
                </a:lnTo>
                <a:lnTo>
                  <a:pt x="3037332" y="618744"/>
                </a:lnTo>
                <a:lnTo>
                  <a:pt x="3037332" y="414528"/>
                </a:lnTo>
                <a:close/>
              </a:path>
              <a:path w="7486015" h="2066925">
                <a:moveTo>
                  <a:pt x="3037332" y="207264"/>
                </a:moveTo>
                <a:lnTo>
                  <a:pt x="2534412" y="207264"/>
                </a:lnTo>
                <a:lnTo>
                  <a:pt x="2534412" y="411480"/>
                </a:lnTo>
                <a:lnTo>
                  <a:pt x="3037332" y="411480"/>
                </a:lnTo>
                <a:lnTo>
                  <a:pt x="3037332" y="207264"/>
                </a:lnTo>
                <a:close/>
              </a:path>
              <a:path w="7486015" h="2066925">
                <a:moveTo>
                  <a:pt x="3037332" y="0"/>
                </a:moveTo>
                <a:lnTo>
                  <a:pt x="2534412" y="0"/>
                </a:lnTo>
                <a:lnTo>
                  <a:pt x="2534412" y="204216"/>
                </a:lnTo>
                <a:lnTo>
                  <a:pt x="3037332" y="204216"/>
                </a:lnTo>
                <a:lnTo>
                  <a:pt x="3037332" y="0"/>
                </a:lnTo>
                <a:close/>
              </a:path>
              <a:path w="7486015" h="2066925">
                <a:moveTo>
                  <a:pt x="3674364" y="1862328"/>
                </a:moveTo>
                <a:lnTo>
                  <a:pt x="3040380" y="1862328"/>
                </a:lnTo>
                <a:lnTo>
                  <a:pt x="3040380" y="2066544"/>
                </a:lnTo>
                <a:lnTo>
                  <a:pt x="3674364" y="2066544"/>
                </a:lnTo>
                <a:lnTo>
                  <a:pt x="3674364" y="1862328"/>
                </a:lnTo>
                <a:close/>
              </a:path>
              <a:path w="7486015" h="2066925">
                <a:moveTo>
                  <a:pt x="3674364" y="1655064"/>
                </a:moveTo>
                <a:lnTo>
                  <a:pt x="3040380" y="1655064"/>
                </a:lnTo>
                <a:lnTo>
                  <a:pt x="3040380" y="1859280"/>
                </a:lnTo>
                <a:lnTo>
                  <a:pt x="3674364" y="1859280"/>
                </a:lnTo>
                <a:lnTo>
                  <a:pt x="3674364" y="1655064"/>
                </a:lnTo>
                <a:close/>
              </a:path>
              <a:path w="7486015" h="2066925">
                <a:moveTo>
                  <a:pt x="3674364" y="1449324"/>
                </a:moveTo>
                <a:lnTo>
                  <a:pt x="3040380" y="1449324"/>
                </a:lnTo>
                <a:lnTo>
                  <a:pt x="3040380" y="1652016"/>
                </a:lnTo>
                <a:lnTo>
                  <a:pt x="3674364" y="1652016"/>
                </a:lnTo>
                <a:lnTo>
                  <a:pt x="3674364" y="1449324"/>
                </a:lnTo>
                <a:close/>
              </a:path>
              <a:path w="7486015" h="2066925">
                <a:moveTo>
                  <a:pt x="3674364" y="1242060"/>
                </a:moveTo>
                <a:lnTo>
                  <a:pt x="3040380" y="1242060"/>
                </a:lnTo>
                <a:lnTo>
                  <a:pt x="3040380" y="1446276"/>
                </a:lnTo>
                <a:lnTo>
                  <a:pt x="3674364" y="1446276"/>
                </a:lnTo>
                <a:lnTo>
                  <a:pt x="3674364" y="1242060"/>
                </a:lnTo>
                <a:close/>
              </a:path>
              <a:path w="7486015" h="2066925">
                <a:moveTo>
                  <a:pt x="3674364" y="1034796"/>
                </a:moveTo>
                <a:lnTo>
                  <a:pt x="3040380" y="1034796"/>
                </a:lnTo>
                <a:lnTo>
                  <a:pt x="3040380" y="1239012"/>
                </a:lnTo>
                <a:lnTo>
                  <a:pt x="3674364" y="1239012"/>
                </a:lnTo>
                <a:lnTo>
                  <a:pt x="3674364" y="1034796"/>
                </a:lnTo>
                <a:close/>
              </a:path>
              <a:path w="7486015" h="2066925">
                <a:moveTo>
                  <a:pt x="3674364" y="827532"/>
                </a:moveTo>
                <a:lnTo>
                  <a:pt x="3040380" y="827532"/>
                </a:lnTo>
                <a:lnTo>
                  <a:pt x="3040380" y="1031748"/>
                </a:lnTo>
                <a:lnTo>
                  <a:pt x="3674364" y="1031748"/>
                </a:lnTo>
                <a:lnTo>
                  <a:pt x="3674364" y="827532"/>
                </a:lnTo>
                <a:close/>
              </a:path>
              <a:path w="7486015" h="2066925">
                <a:moveTo>
                  <a:pt x="3674364" y="621792"/>
                </a:moveTo>
                <a:lnTo>
                  <a:pt x="3040380" y="621792"/>
                </a:lnTo>
                <a:lnTo>
                  <a:pt x="3040380" y="824484"/>
                </a:lnTo>
                <a:lnTo>
                  <a:pt x="3674364" y="824484"/>
                </a:lnTo>
                <a:lnTo>
                  <a:pt x="3674364" y="621792"/>
                </a:lnTo>
                <a:close/>
              </a:path>
              <a:path w="7486015" h="2066925">
                <a:moveTo>
                  <a:pt x="3674364" y="414528"/>
                </a:moveTo>
                <a:lnTo>
                  <a:pt x="3040380" y="414528"/>
                </a:lnTo>
                <a:lnTo>
                  <a:pt x="3040380" y="618744"/>
                </a:lnTo>
                <a:lnTo>
                  <a:pt x="3674364" y="618744"/>
                </a:lnTo>
                <a:lnTo>
                  <a:pt x="3674364" y="414528"/>
                </a:lnTo>
                <a:close/>
              </a:path>
              <a:path w="7486015" h="2066925">
                <a:moveTo>
                  <a:pt x="3674364" y="207264"/>
                </a:moveTo>
                <a:lnTo>
                  <a:pt x="3040380" y="207264"/>
                </a:lnTo>
                <a:lnTo>
                  <a:pt x="3040380" y="411480"/>
                </a:lnTo>
                <a:lnTo>
                  <a:pt x="3674364" y="411480"/>
                </a:lnTo>
                <a:lnTo>
                  <a:pt x="3674364" y="207264"/>
                </a:lnTo>
                <a:close/>
              </a:path>
              <a:path w="7486015" h="2066925">
                <a:moveTo>
                  <a:pt x="3674364" y="0"/>
                </a:moveTo>
                <a:lnTo>
                  <a:pt x="3040380" y="0"/>
                </a:lnTo>
                <a:lnTo>
                  <a:pt x="3040380" y="204216"/>
                </a:lnTo>
                <a:lnTo>
                  <a:pt x="3674364" y="204216"/>
                </a:lnTo>
                <a:lnTo>
                  <a:pt x="3674364" y="0"/>
                </a:lnTo>
                <a:close/>
              </a:path>
              <a:path w="7486015" h="2066925">
                <a:moveTo>
                  <a:pt x="4437888" y="1655064"/>
                </a:moveTo>
                <a:lnTo>
                  <a:pt x="3677412" y="1655064"/>
                </a:lnTo>
                <a:lnTo>
                  <a:pt x="3677412" y="1859280"/>
                </a:lnTo>
                <a:lnTo>
                  <a:pt x="4437888" y="1859280"/>
                </a:lnTo>
                <a:lnTo>
                  <a:pt x="4437888" y="1655064"/>
                </a:lnTo>
                <a:close/>
              </a:path>
              <a:path w="7486015" h="2066925">
                <a:moveTo>
                  <a:pt x="4437888" y="1449324"/>
                </a:moveTo>
                <a:lnTo>
                  <a:pt x="3677412" y="1449324"/>
                </a:lnTo>
                <a:lnTo>
                  <a:pt x="3677412" y="1652016"/>
                </a:lnTo>
                <a:lnTo>
                  <a:pt x="4437888" y="1652016"/>
                </a:lnTo>
                <a:lnTo>
                  <a:pt x="4437888" y="1449324"/>
                </a:lnTo>
                <a:close/>
              </a:path>
              <a:path w="7486015" h="2066925">
                <a:moveTo>
                  <a:pt x="4437888" y="1242060"/>
                </a:moveTo>
                <a:lnTo>
                  <a:pt x="3677412" y="1242060"/>
                </a:lnTo>
                <a:lnTo>
                  <a:pt x="3677412" y="1446276"/>
                </a:lnTo>
                <a:lnTo>
                  <a:pt x="4437888" y="1446276"/>
                </a:lnTo>
                <a:lnTo>
                  <a:pt x="4437888" y="1242060"/>
                </a:lnTo>
                <a:close/>
              </a:path>
              <a:path w="7486015" h="2066925">
                <a:moveTo>
                  <a:pt x="4437888" y="1034796"/>
                </a:moveTo>
                <a:lnTo>
                  <a:pt x="3677412" y="1034796"/>
                </a:lnTo>
                <a:lnTo>
                  <a:pt x="3677412" y="1239012"/>
                </a:lnTo>
                <a:lnTo>
                  <a:pt x="4437888" y="1239012"/>
                </a:lnTo>
                <a:lnTo>
                  <a:pt x="4437888" y="1034796"/>
                </a:lnTo>
                <a:close/>
              </a:path>
              <a:path w="7486015" h="2066925">
                <a:moveTo>
                  <a:pt x="4437888" y="827532"/>
                </a:moveTo>
                <a:lnTo>
                  <a:pt x="3677412" y="827532"/>
                </a:lnTo>
                <a:lnTo>
                  <a:pt x="3677412" y="1031748"/>
                </a:lnTo>
                <a:lnTo>
                  <a:pt x="4437888" y="1031748"/>
                </a:lnTo>
                <a:lnTo>
                  <a:pt x="4437888" y="827532"/>
                </a:lnTo>
                <a:close/>
              </a:path>
              <a:path w="7486015" h="2066925">
                <a:moveTo>
                  <a:pt x="4437888" y="621792"/>
                </a:moveTo>
                <a:lnTo>
                  <a:pt x="3677412" y="621792"/>
                </a:lnTo>
                <a:lnTo>
                  <a:pt x="3677412" y="824484"/>
                </a:lnTo>
                <a:lnTo>
                  <a:pt x="4437888" y="824484"/>
                </a:lnTo>
                <a:lnTo>
                  <a:pt x="4437888" y="621792"/>
                </a:lnTo>
                <a:close/>
              </a:path>
              <a:path w="7486015" h="2066925">
                <a:moveTo>
                  <a:pt x="4437888" y="414528"/>
                </a:moveTo>
                <a:lnTo>
                  <a:pt x="3677412" y="414528"/>
                </a:lnTo>
                <a:lnTo>
                  <a:pt x="3677412" y="618744"/>
                </a:lnTo>
                <a:lnTo>
                  <a:pt x="4437888" y="618744"/>
                </a:lnTo>
                <a:lnTo>
                  <a:pt x="4437888" y="414528"/>
                </a:lnTo>
                <a:close/>
              </a:path>
              <a:path w="7486015" h="2066925">
                <a:moveTo>
                  <a:pt x="4437888" y="207264"/>
                </a:moveTo>
                <a:lnTo>
                  <a:pt x="3677412" y="207264"/>
                </a:lnTo>
                <a:lnTo>
                  <a:pt x="3677412" y="411480"/>
                </a:lnTo>
                <a:lnTo>
                  <a:pt x="4437888" y="411480"/>
                </a:lnTo>
                <a:lnTo>
                  <a:pt x="4437888" y="207264"/>
                </a:lnTo>
                <a:close/>
              </a:path>
              <a:path w="7486015" h="2066925">
                <a:moveTo>
                  <a:pt x="4437888" y="0"/>
                </a:moveTo>
                <a:lnTo>
                  <a:pt x="3677412" y="0"/>
                </a:lnTo>
                <a:lnTo>
                  <a:pt x="3677412" y="204216"/>
                </a:lnTo>
                <a:lnTo>
                  <a:pt x="4437888" y="204216"/>
                </a:lnTo>
                <a:lnTo>
                  <a:pt x="4437888" y="0"/>
                </a:lnTo>
                <a:close/>
              </a:path>
              <a:path w="7486015" h="2066925">
                <a:moveTo>
                  <a:pt x="5199888" y="1655064"/>
                </a:moveTo>
                <a:lnTo>
                  <a:pt x="4440936" y="1655064"/>
                </a:lnTo>
                <a:lnTo>
                  <a:pt x="4440936" y="1859280"/>
                </a:lnTo>
                <a:lnTo>
                  <a:pt x="5199888" y="1859280"/>
                </a:lnTo>
                <a:lnTo>
                  <a:pt x="5199888" y="1655064"/>
                </a:lnTo>
                <a:close/>
              </a:path>
              <a:path w="7486015" h="2066925">
                <a:moveTo>
                  <a:pt x="5199888" y="1449324"/>
                </a:moveTo>
                <a:lnTo>
                  <a:pt x="4440936" y="1449324"/>
                </a:lnTo>
                <a:lnTo>
                  <a:pt x="4440936" y="1652016"/>
                </a:lnTo>
                <a:lnTo>
                  <a:pt x="5199888" y="1652016"/>
                </a:lnTo>
                <a:lnTo>
                  <a:pt x="5199888" y="1449324"/>
                </a:lnTo>
                <a:close/>
              </a:path>
              <a:path w="7486015" h="2066925">
                <a:moveTo>
                  <a:pt x="5199888" y="1242060"/>
                </a:moveTo>
                <a:lnTo>
                  <a:pt x="4440936" y="1242060"/>
                </a:lnTo>
                <a:lnTo>
                  <a:pt x="4440936" y="1446276"/>
                </a:lnTo>
                <a:lnTo>
                  <a:pt x="5199888" y="1446276"/>
                </a:lnTo>
                <a:lnTo>
                  <a:pt x="5199888" y="1242060"/>
                </a:lnTo>
                <a:close/>
              </a:path>
              <a:path w="7486015" h="2066925">
                <a:moveTo>
                  <a:pt x="5199888" y="1034796"/>
                </a:moveTo>
                <a:lnTo>
                  <a:pt x="4440936" y="1034796"/>
                </a:lnTo>
                <a:lnTo>
                  <a:pt x="4440936" y="1239012"/>
                </a:lnTo>
                <a:lnTo>
                  <a:pt x="5199888" y="1239012"/>
                </a:lnTo>
                <a:lnTo>
                  <a:pt x="5199888" y="1034796"/>
                </a:lnTo>
                <a:close/>
              </a:path>
              <a:path w="7486015" h="2066925">
                <a:moveTo>
                  <a:pt x="5199888" y="827532"/>
                </a:moveTo>
                <a:lnTo>
                  <a:pt x="4440936" y="827532"/>
                </a:lnTo>
                <a:lnTo>
                  <a:pt x="4440936" y="1031748"/>
                </a:lnTo>
                <a:lnTo>
                  <a:pt x="5199888" y="1031748"/>
                </a:lnTo>
                <a:lnTo>
                  <a:pt x="5199888" y="827532"/>
                </a:lnTo>
                <a:close/>
              </a:path>
              <a:path w="7486015" h="2066925">
                <a:moveTo>
                  <a:pt x="5199888" y="621792"/>
                </a:moveTo>
                <a:lnTo>
                  <a:pt x="4440936" y="621792"/>
                </a:lnTo>
                <a:lnTo>
                  <a:pt x="4440936" y="824484"/>
                </a:lnTo>
                <a:lnTo>
                  <a:pt x="5199888" y="824484"/>
                </a:lnTo>
                <a:lnTo>
                  <a:pt x="5199888" y="621792"/>
                </a:lnTo>
                <a:close/>
              </a:path>
              <a:path w="7486015" h="2066925">
                <a:moveTo>
                  <a:pt x="5199888" y="414528"/>
                </a:moveTo>
                <a:lnTo>
                  <a:pt x="4440936" y="414528"/>
                </a:lnTo>
                <a:lnTo>
                  <a:pt x="4440936" y="618744"/>
                </a:lnTo>
                <a:lnTo>
                  <a:pt x="5199888" y="618744"/>
                </a:lnTo>
                <a:lnTo>
                  <a:pt x="5199888" y="414528"/>
                </a:lnTo>
                <a:close/>
              </a:path>
              <a:path w="7486015" h="2066925">
                <a:moveTo>
                  <a:pt x="5199888" y="207264"/>
                </a:moveTo>
                <a:lnTo>
                  <a:pt x="4440936" y="207264"/>
                </a:lnTo>
                <a:lnTo>
                  <a:pt x="4440936" y="411480"/>
                </a:lnTo>
                <a:lnTo>
                  <a:pt x="5199888" y="411480"/>
                </a:lnTo>
                <a:lnTo>
                  <a:pt x="5199888" y="207264"/>
                </a:lnTo>
                <a:close/>
              </a:path>
              <a:path w="7486015" h="2066925">
                <a:moveTo>
                  <a:pt x="5199888" y="0"/>
                </a:moveTo>
                <a:lnTo>
                  <a:pt x="4440936" y="0"/>
                </a:lnTo>
                <a:lnTo>
                  <a:pt x="4440936" y="204216"/>
                </a:lnTo>
                <a:lnTo>
                  <a:pt x="5199888" y="204216"/>
                </a:lnTo>
                <a:lnTo>
                  <a:pt x="5199888" y="0"/>
                </a:lnTo>
                <a:close/>
              </a:path>
              <a:path w="7486015" h="2066925">
                <a:moveTo>
                  <a:pt x="5961875" y="1655064"/>
                </a:moveTo>
                <a:lnTo>
                  <a:pt x="5202936" y="1655064"/>
                </a:lnTo>
                <a:lnTo>
                  <a:pt x="5202936" y="1859280"/>
                </a:lnTo>
                <a:lnTo>
                  <a:pt x="5961875" y="1859280"/>
                </a:lnTo>
                <a:lnTo>
                  <a:pt x="5961875" y="1655064"/>
                </a:lnTo>
                <a:close/>
              </a:path>
              <a:path w="7486015" h="2066925">
                <a:moveTo>
                  <a:pt x="5961875" y="1449324"/>
                </a:moveTo>
                <a:lnTo>
                  <a:pt x="5202936" y="1449324"/>
                </a:lnTo>
                <a:lnTo>
                  <a:pt x="5202936" y="1652016"/>
                </a:lnTo>
                <a:lnTo>
                  <a:pt x="5961875" y="1652016"/>
                </a:lnTo>
                <a:lnTo>
                  <a:pt x="5961875" y="1449324"/>
                </a:lnTo>
                <a:close/>
              </a:path>
              <a:path w="7486015" h="2066925">
                <a:moveTo>
                  <a:pt x="5961875" y="1242060"/>
                </a:moveTo>
                <a:lnTo>
                  <a:pt x="5202936" y="1242060"/>
                </a:lnTo>
                <a:lnTo>
                  <a:pt x="5202936" y="1446276"/>
                </a:lnTo>
                <a:lnTo>
                  <a:pt x="5961875" y="1446276"/>
                </a:lnTo>
                <a:lnTo>
                  <a:pt x="5961875" y="1242060"/>
                </a:lnTo>
                <a:close/>
              </a:path>
              <a:path w="7486015" h="2066925">
                <a:moveTo>
                  <a:pt x="5961875" y="1034796"/>
                </a:moveTo>
                <a:lnTo>
                  <a:pt x="5202936" y="1034796"/>
                </a:lnTo>
                <a:lnTo>
                  <a:pt x="5202936" y="1239012"/>
                </a:lnTo>
                <a:lnTo>
                  <a:pt x="5961875" y="1239012"/>
                </a:lnTo>
                <a:lnTo>
                  <a:pt x="5961875" y="1034796"/>
                </a:lnTo>
                <a:close/>
              </a:path>
              <a:path w="7486015" h="2066925">
                <a:moveTo>
                  <a:pt x="5961875" y="827532"/>
                </a:moveTo>
                <a:lnTo>
                  <a:pt x="5202936" y="827532"/>
                </a:lnTo>
                <a:lnTo>
                  <a:pt x="5202936" y="1031748"/>
                </a:lnTo>
                <a:lnTo>
                  <a:pt x="5961875" y="1031748"/>
                </a:lnTo>
                <a:lnTo>
                  <a:pt x="5961875" y="827532"/>
                </a:lnTo>
                <a:close/>
              </a:path>
              <a:path w="7486015" h="2066925">
                <a:moveTo>
                  <a:pt x="5961875" y="621792"/>
                </a:moveTo>
                <a:lnTo>
                  <a:pt x="5202936" y="621792"/>
                </a:lnTo>
                <a:lnTo>
                  <a:pt x="5202936" y="824484"/>
                </a:lnTo>
                <a:lnTo>
                  <a:pt x="5961875" y="824484"/>
                </a:lnTo>
                <a:lnTo>
                  <a:pt x="5961875" y="621792"/>
                </a:lnTo>
                <a:close/>
              </a:path>
              <a:path w="7486015" h="2066925">
                <a:moveTo>
                  <a:pt x="5961875" y="414528"/>
                </a:moveTo>
                <a:lnTo>
                  <a:pt x="5202936" y="414528"/>
                </a:lnTo>
                <a:lnTo>
                  <a:pt x="5202936" y="618744"/>
                </a:lnTo>
                <a:lnTo>
                  <a:pt x="5961875" y="618744"/>
                </a:lnTo>
                <a:lnTo>
                  <a:pt x="5961875" y="414528"/>
                </a:lnTo>
                <a:close/>
              </a:path>
              <a:path w="7486015" h="2066925">
                <a:moveTo>
                  <a:pt x="5961875" y="207264"/>
                </a:moveTo>
                <a:lnTo>
                  <a:pt x="5202936" y="207264"/>
                </a:lnTo>
                <a:lnTo>
                  <a:pt x="5202936" y="411480"/>
                </a:lnTo>
                <a:lnTo>
                  <a:pt x="5961875" y="411480"/>
                </a:lnTo>
                <a:lnTo>
                  <a:pt x="5961875" y="207264"/>
                </a:lnTo>
                <a:close/>
              </a:path>
              <a:path w="7486015" h="2066925">
                <a:moveTo>
                  <a:pt x="5961875" y="0"/>
                </a:moveTo>
                <a:lnTo>
                  <a:pt x="5202936" y="0"/>
                </a:lnTo>
                <a:lnTo>
                  <a:pt x="5202936" y="204216"/>
                </a:lnTo>
                <a:lnTo>
                  <a:pt x="5961875" y="204216"/>
                </a:lnTo>
                <a:lnTo>
                  <a:pt x="5961875" y="0"/>
                </a:lnTo>
                <a:close/>
              </a:path>
              <a:path w="7486015" h="2066925">
                <a:moveTo>
                  <a:pt x="6723888" y="1655064"/>
                </a:moveTo>
                <a:lnTo>
                  <a:pt x="5964936" y="1655064"/>
                </a:lnTo>
                <a:lnTo>
                  <a:pt x="5964936" y="1859280"/>
                </a:lnTo>
                <a:lnTo>
                  <a:pt x="6723888" y="1859280"/>
                </a:lnTo>
                <a:lnTo>
                  <a:pt x="6723888" y="1655064"/>
                </a:lnTo>
                <a:close/>
              </a:path>
              <a:path w="7486015" h="2066925">
                <a:moveTo>
                  <a:pt x="6723888" y="1449324"/>
                </a:moveTo>
                <a:lnTo>
                  <a:pt x="5964936" y="1449324"/>
                </a:lnTo>
                <a:lnTo>
                  <a:pt x="5964936" y="1652016"/>
                </a:lnTo>
                <a:lnTo>
                  <a:pt x="6723888" y="1652016"/>
                </a:lnTo>
                <a:lnTo>
                  <a:pt x="6723888" y="1449324"/>
                </a:lnTo>
                <a:close/>
              </a:path>
              <a:path w="7486015" h="2066925">
                <a:moveTo>
                  <a:pt x="6723888" y="1242060"/>
                </a:moveTo>
                <a:lnTo>
                  <a:pt x="5964936" y="1242060"/>
                </a:lnTo>
                <a:lnTo>
                  <a:pt x="5964936" y="1446276"/>
                </a:lnTo>
                <a:lnTo>
                  <a:pt x="6723888" y="1446276"/>
                </a:lnTo>
                <a:lnTo>
                  <a:pt x="6723888" y="1242060"/>
                </a:lnTo>
                <a:close/>
              </a:path>
              <a:path w="7486015" h="2066925">
                <a:moveTo>
                  <a:pt x="6723888" y="1034796"/>
                </a:moveTo>
                <a:lnTo>
                  <a:pt x="5964936" y="1034796"/>
                </a:lnTo>
                <a:lnTo>
                  <a:pt x="5964936" y="1239012"/>
                </a:lnTo>
                <a:lnTo>
                  <a:pt x="6723888" y="1239012"/>
                </a:lnTo>
                <a:lnTo>
                  <a:pt x="6723888" y="1034796"/>
                </a:lnTo>
                <a:close/>
              </a:path>
              <a:path w="7486015" h="2066925">
                <a:moveTo>
                  <a:pt x="6723888" y="827532"/>
                </a:moveTo>
                <a:lnTo>
                  <a:pt x="5964936" y="827532"/>
                </a:lnTo>
                <a:lnTo>
                  <a:pt x="5964936" y="1031748"/>
                </a:lnTo>
                <a:lnTo>
                  <a:pt x="6723888" y="1031748"/>
                </a:lnTo>
                <a:lnTo>
                  <a:pt x="6723888" y="827532"/>
                </a:lnTo>
                <a:close/>
              </a:path>
              <a:path w="7486015" h="2066925">
                <a:moveTo>
                  <a:pt x="6723888" y="621792"/>
                </a:moveTo>
                <a:lnTo>
                  <a:pt x="5964936" y="621792"/>
                </a:lnTo>
                <a:lnTo>
                  <a:pt x="5964936" y="824484"/>
                </a:lnTo>
                <a:lnTo>
                  <a:pt x="6723888" y="824484"/>
                </a:lnTo>
                <a:lnTo>
                  <a:pt x="6723888" y="621792"/>
                </a:lnTo>
                <a:close/>
              </a:path>
              <a:path w="7486015" h="2066925">
                <a:moveTo>
                  <a:pt x="6723888" y="414528"/>
                </a:moveTo>
                <a:lnTo>
                  <a:pt x="5964936" y="414528"/>
                </a:lnTo>
                <a:lnTo>
                  <a:pt x="5964936" y="618744"/>
                </a:lnTo>
                <a:lnTo>
                  <a:pt x="6723888" y="618744"/>
                </a:lnTo>
                <a:lnTo>
                  <a:pt x="6723888" y="414528"/>
                </a:lnTo>
                <a:close/>
              </a:path>
              <a:path w="7486015" h="2066925">
                <a:moveTo>
                  <a:pt x="6723888" y="207264"/>
                </a:moveTo>
                <a:lnTo>
                  <a:pt x="5964936" y="207264"/>
                </a:lnTo>
                <a:lnTo>
                  <a:pt x="5964936" y="411480"/>
                </a:lnTo>
                <a:lnTo>
                  <a:pt x="6723888" y="411480"/>
                </a:lnTo>
                <a:lnTo>
                  <a:pt x="6723888" y="207264"/>
                </a:lnTo>
                <a:close/>
              </a:path>
              <a:path w="7486015" h="2066925">
                <a:moveTo>
                  <a:pt x="6723888" y="0"/>
                </a:moveTo>
                <a:lnTo>
                  <a:pt x="5964936" y="0"/>
                </a:lnTo>
                <a:lnTo>
                  <a:pt x="5964936" y="204216"/>
                </a:lnTo>
                <a:lnTo>
                  <a:pt x="6723888" y="204216"/>
                </a:lnTo>
                <a:lnTo>
                  <a:pt x="6723888" y="0"/>
                </a:lnTo>
                <a:close/>
              </a:path>
              <a:path w="7486015" h="2066925">
                <a:moveTo>
                  <a:pt x="7485888" y="1655064"/>
                </a:moveTo>
                <a:lnTo>
                  <a:pt x="6726936" y="1655064"/>
                </a:lnTo>
                <a:lnTo>
                  <a:pt x="6726936" y="1859280"/>
                </a:lnTo>
                <a:lnTo>
                  <a:pt x="7485888" y="1859280"/>
                </a:lnTo>
                <a:lnTo>
                  <a:pt x="7485888" y="1655064"/>
                </a:lnTo>
                <a:close/>
              </a:path>
              <a:path w="7486015" h="2066925">
                <a:moveTo>
                  <a:pt x="7485888" y="1449324"/>
                </a:moveTo>
                <a:lnTo>
                  <a:pt x="6726936" y="1449324"/>
                </a:lnTo>
                <a:lnTo>
                  <a:pt x="6726936" y="1652016"/>
                </a:lnTo>
                <a:lnTo>
                  <a:pt x="7485888" y="1652016"/>
                </a:lnTo>
                <a:lnTo>
                  <a:pt x="7485888" y="1449324"/>
                </a:lnTo>
                <a:close/>
              </a:path>
              <a:path w="7486015" h="2066925">
                <a:moveTo>
                  <a:pt x="7485888" y="1242060"/>
                </a:moveTo>
                <a:lnTo>
                  <a:pt x="6726936" y="1242060"/>
                </a:lnTo>
                <a:lnTo>
                  <a:pt x="6726936" y="1446276"/>
                </a:lnTo>
                <a:lnTo>
                  <a:pt x="7485888" y="1446276"/>
                </a:lnTo>
                <a:lnTo>
                  <a:pt x="7485888" y="1242060"/>
                </a:lnTo>
                <a:close/>
              </a:path>
              <a:path w="7486015" h="2066925">
                <a:moveTo>
                  <a:pt x="7485888" y="1034796"/>
                </a:moveTo>
                <a:lnTo>
                  <a:pt x="6726936" y="1034796"/>
                </a:lnTo>
                <a:lnTo>
                  <a:pt x="6726936" y="1239012"/>
                </a:lnTo>
                <a:lnTo>
                  <a:pt x="7485888" y="1239012"/>
                </a:lnTo>
                <a:lnTo>
                  <a:pt x="7485888" y="1034796"/>
                </a:lnTo>
                <a:close/>
              </a:path>
              <a:path w="7486015" h="2066925">
                <a:moveTo>
                  <a:pt x="7485888" y="827532"/>
                </a:moveTo>
                <a:lnTo>
                  <a:pt x="6726936" y="827532"/>
                </a:lnTo>
                <a:lnTo>
                  <a:pt x="6726936" y="1031748"/>
                </a:lnTo>
                <a:lnTo>
                  <a:pt x="7485888" y="1031748"/>
                </a:lnTo>
                <a:lnTo>
                  <a:pt x="7485888" y="827532"/>
                </a:lnTo>
                <a:close/>
              </a:path>
              <a:path w="7486015" h="2066925">
                <a:moveTo>
                  <a:pt x="7485888" y="621792"/>
                </a:moveTo>
                <a:lnTo>
                  <a:pt x="6726936" y="621792"/>
                </a:lnTo>
                <a:lnTo>
                  <a:pt x="6726936" y="824484"/>
                </a:lnTo>
                <a:lnTo>
                  <a:pt x="7485888" y="824484"/>
                </a:lnTo>
                <a:lnTo>
                  <a:pt x="7485888" y="621792"/>
                </a:lnTo>
                <a:close/>
              </a:path>
              <a:path w="7486015" h="2066925">
                <a:moveTo>
                  <a:pt x="7485888" y="414528"/>
                </a:moveTo>
                <a:lnTo>
                  <a:pt x="6726936" y="414528"/>
                </a:lnTo>
                <a:lnTo>
                  <a:pt x="6726936" y="618744"/>
                </a:lnTo>
                <a:lnTo>
                  <a:pt x="7485888" y="618744"/>
                </a:lnTo>
                <a:lnTo>
                  <a:pt x="7485888" y="414528"/>
                </a:lnTo>
                <a:close/>
              </a:path>
              <a:path w="7486015" h="2066925">
                <a:moveTo>
                  <a:pt x="7485888" y="207264"/>
                </a:moveTo>
                <a:lnTo>
                  <a:pt x="6726936" y="207264"/>
                </a:lnTo>
                <a:lnTo>
                  <a:pt x="6726936" y="411480"/>
                </a:lnTo>
                <a:lnTo>
                  <a:pt x="7485888" y="411480"/>
                </a:lnTo>
                <a:lnTo>
                  <a:pt x="7485888" y="207264"/>
                </a:lnTo>
                <a:close/>
              </a:path>
              <a:path w="7486015" h="2066925">
                <a:moveTo>
                  <a:pt x="7485888" y="0"/>
                </a:moveTo>
                <a:lnTo>
                  <a:pt x="6726936" y="0"/>
                </a:lnTo>
                <a:lnTo>
                  <a:pt x="6726936" y="204216"/>
                </a:lnTo>
                <a:lnTo>
                  <a:pt x="7485888" y="204216"/>
                </a:lnTo>
                <a:lnTo>
                  <a:pt x="7485888" y="0"/>
                </a:lnTo>
                <a:close/>
              </a:path>
            </a:pathLst>
          </a:custGeom>
          <a:solidFill>
            <a:srgbClr val="FFFFFF"/>
          </a:solidFill>
        </xdr:spPr>
      </xdr:sp>
      <xdr:sp macro="" textlink="">
        <xdr:nvSpPr>
          <xdr:cNvPr id="32" name="Shape 32">
            <a:extLst>
              <a:ext uri="{FF2B5EF4-FFF2-40B4-BE49-F238E27FC236}">
                <a16:creationId xmlns:a16="http://schemas.microsoft.com/office/drawing/2014/main" id="{00000000-0008-0000-0200-000020000000}"/>
              </a:ext>
            </a:extLst>
          </xdr:cNvPr>
          <xdr:cNvSpPr/>
        </xdr:nvSpPr>
        <xdr:spPr>
          <a:xfrm>
            <a:off x="0" y="1862327"/>
            <a:ext cx="7486015" cy="1862455"/>
          </a:xfrm>
          <a:custGeom>
            <a:avLst/>
            <a:gdLst/>
            <a:ahLst/>
            <a:cxnLst/>
            <a:rect l="0" t="0" r="0" b="0"/>
            <a:pathLst>
              <a:path w="7486015" h="1862455">
                <a:moveTo>
                  <a:pt x="312420" y="1037844"/>
                </a:moveTo>
                <a:lnTo>
                  <a:pt x="0" y="1037844"/>
                </a:lnTo>
                <a:lnTo>
                  <a:pt x="0" y="1862328"/>
                </a:lnTo>
                <a:lnTo>
                  <a:pt x="312420" y="1862328"/>
                </a:lnTo>
                <a:lnTo>
                  <a:pt x="312420" y="1037844"/>
                </a:lnTo>
                <a:close/>
              </a:path>
              <a:path w="7486015" h="1862455">
                <a:moveTo>
                  <a:pt x="312420" y="623316"/>
                </a:moveTo>
                <a:lnTo>
                  <a:pt x="0" y="623316"/>
                </a:lnTo>
                <a:lnTo>
                  <a:pt x="0" y="1034796"/>
                </a:lnTo>
                <a:lnTo>
                  <a:pt x="312420" y="1034796"/>
                </a:lnTo>
                <a:lnTo>
                  <a:pt x="312420" y="623316"/>
                </a:lnTo>
                <a:close/>
              </a:path>
              <a:path w="7486015" h="1862455">
                <a:moveTo>
                  <a:pt x="312420" y="207264"/>
                </a:moveTo>
                <a:lnTo>
                  <a:pt x="0" y="207264"/>
                </a:lnTo>
                <a:lnTo>
                  <a:pt x="0" y="618744"/>
                </a:lnTo>
                <a:lnTo>
                  <a:pt x="312420" y="618744"/>
                </a:lnTo>
                <a:lnTo>
                  <a:pt x="312420" y="207264"/>
                </a:lnTo>
                <a:close/>
              </a:path>
              <a:path w="7486015" h="1862455">
                <a:moveTo>
                  <a:pt x="1264920" y="1037844"/>
                </a:moveTo>
                <a:lnTo>
                  <a:pt x="315468" y="1037844"/>
                </a:lnTo>
                <a:lnTo>
                  <a:pt x="315468" y="1862328"/>
                </a:lnTo>
                <a:lnTo>
                  <a:pt x="1264920" y="1862328"/>
                </a:lnTo>
                <a:lnTo>
                  <a:pt x="1264920" y="1037844"/>
                </a:lnTo>
                <a:close/>
              </a:path>
              <a:path w="7486015" h="1862455">
                <a:moveTo>
                  <a:pt x="1264920" y="623316"/>
                </a:moveTo>
                <a:lnTo>
                  <a:pt x="315468" y="623316"/>
                </a:lnTo>
                <a:lnTo>
                  <a:pt x="315468" y="1034796"/>
                </a:lnTo>
                <a:lnTo>
                  <a:pt x="1264920" y="1034796"/>
                </a:lnTo>
                <a:lnTo>
                  <a:pt x="1264920" y="623316"/>
                </a:lnTo>
                <a:close/>
              </a:path>
              <a:path w="7486015" h="1862455">
                <a:moveTo>
                  <a:pt x="1264920" y="207264"/>
                </a:moveTo>
                <a:lnTo>
                  <a:pt x="315468" y="207264"/>
                </a:lnTo>
                <a:lnTo>
                  <a:pt x="315468" y="618744"/>
                </a:lnTo>
                <a:lnTo>
                  <a:pt x="1264920" y="618744"/>
                </a:lnTo>
                <a:lnTo>
                  <a:pt x="1264920" y="207264"/>
                </a:lnTo>
                <a:close/>
              </a:path>
              <a:path w="7486015" h="1862455">
                <a:moveTo>
                  <a:pt x="2531364" y="1037844"/>
                </a:moveTo>
                <a:lnTo>
                  <a:pt x="1267968" y="1037844"/>
                </a:lnTo>
                <a:lnTo>
                  <a:pt x="1267968" y="1862328"/>
                </a:lnTo>
                <a:lnTo>
                  <a:pt x="2531364" y="1862328"/>
                </a:lnTo>
                <a:lnTo>
                  <a:pt x="2531364" y="1037844"/>
                </a:lnTo>
                <a:close/>
              </a:path>
              <a:path w="7486015" h="1862455">
                <a:moveTo>
                  <a:pt x="2531364" y="623316"/>
                </a:moveTo>
                <a:lnTo>
                  <a:pt x="1267968" y="623316"/>
                </a:lnTo>
                <a:lnTo>
                  <a:pt x="1267968" y="1034796"/>
                </a:lnTo>
                <a:lnTo>
                  <a:pt x="2531364" y="1034796"/>
                </a:lnTo>
                <a:lnTo>
                  <a:pt x="2531364" y="623316"/>
                </a:lnTo>
                <a:close/>
              </a:path>
              <a:path w="7486015" h="1862455">
                <a:moveTo>
                  <a:pt x="2531364" y="207264"/>
                </a:moveTo>
                <a:lnTo>
                  <a:pt x="1267968" y="207264"/>
                </a:lnTo>
                <a:lnTo>
                  <a:pt x="1267968" y="618744"/>
                </a:lnTo>
                <a:lnTo>
                  <a:pt x="2531364" y="618744"/>
                </a:lnTo>
                <a:lnTo>
                  <a:pt x="2531364" y="207264"/>
                </a:lnTo>
                <a:close/>
              </a:path>
              <a:path w="7486015" h="1862455">
                <a:moveTo>
                  <a:pt x="3037332" y="1658112"/>
                </a:moveTo>
                <a:lnTo>
                  <a:pt x="2534412" y="1658112"/>
                </a:lnTo>
                <a:lnTo>
                  <a:pt x="2534412" y="1862328"/>
                </a:lnTo>
                <a:lnTo>
                  <a:pt x="3037332" y="1862328"/>
                </a:lnTo>
                <a:lnTo>
                  <a:pt x="3037332" y="1658112"/>
                </a:lnTo>
                <a:close/>
              </a:path>
              <a:path w="7486015" h="1862455">
                <a:moveTo>
                  <a:pt x="3037332" y="1450848"/>
                </a:moveTo>
                <a:lnTo>
                  <a:pt x="2534412" y="1450848"/>
                </a:lnTo>
                <a:lnTo>
                  <a:pt x="2534412" y="1655064"/>
                </a:lnTo>
                <a:lnTo>
                  <a:pt x="3037332" y="1655064"/>
                </a:lnTo>
                <a:lnTo>
                  <a:pt x="3037332" y="1450848"/>
                </a:lnTo>
                <a:close/>
              </a:path>
              <a:path w="7486015" h="1862455">
                <a:moveTo>
                  <a:pt x="3037332" y="1243584"/>
                </a:moveTo>
                <a:lnTo>
                  <a:pt x="2534412" y="1243584"/>
                </a:lnTo>
                <a:lnTo>
                  <a:pt x="2534412" y="1447800"/>
                </a:lnTo>
                <a:lnTo>
                  <a:pt x="3037332" y="1447800"/>
                </a:lnTo>
                <a:lnTo>
                  <a:pt x="3037332" y="1243584"/>
                </a:lnTo>
                <a:close/>
              </a:path>
              <a:path w="7486015" h="1862455">
                <a:moveTo>
                  <a:pt x="3037332" y="1037844"/>
                </a:moveTo>
                <a:lnTo>
                  <a:pt x="2534412" y="1037844"/>
                </a:lnTo>
                <a:lnTo>
                  <a:pt x="2534412" y="1240536"/>
                </a:lnTo>
                <a:lnTo>
                  <a:pt x="3037332" y="1240536"/>
                </a:lnTo>
                <a:lnTo>
                  <a:pt x="3037332" y="1037844"/>
                </a:lnTo>
                <a:close/>
              </a:path>
              <a:path w="7486015" h="1862455">
                <a:moveTo>
                  <a:pt x="3037332" y="829056"/>
                </a:moveTo>
                <a:lnTo>
                  <a:pt x="2534412" y="829056"/>
                </a:lnTo>
                <a:lnTo>
                  <a:pt x="2534412" y="1034796"/>
                </a:lnTo>
                <a:lnTo>
                  <a:pt x="3037332" y="1034796"/>
                </a:lnTo>
                <a:lnTo>
                  <a:pt x="3037332" y="829056"/>
                </a:lnTo>
                <a:close/>
              </a:path>
              <a:path w="7486015" h="1862455">
                <a:moveTo>
                  <a:pt x="3037332" y="623316"/>
                </a:moveTo>
                <a:lnTo>
                  <a:pt x="2534412" y="623316"/>
                </a:lnTo>
                <a:lnTo>
                  <a:pt x="2534412" y="826008"/>
                </a:lnTo>
                <a:lnTo>
                  <a:pt x="3037332" y="826008"/>
                </a:lnTo>
                <a:lnTo>
                  <a:pt x="3037332" y="623316"/>
                </a:lnTo>
                <a:close/>
              </a:path>
              <a:path w="7486015" h="1862455">
                <a:moveTo>
                  <a:pt x="3037332" y="207264"/>
                </a:moveTo>
                <a:lnTo>
                  <a:pt x="2534412" y="207264"/>
                </a:lnTo>
                <a:lnTo>
                  <a:pt x="2534412" y="618744"/>
                </a:lnTo>
                <a:lnTo>
                  <a:pt x="3037332" y="618744"/>
                </a:lnTo>
                <a:lnTo>
                  <a:pt x="3037332" y="207264"/>
                </a:lnTo>
                <a:close/>
              </a:path>
              <a:path w="7486015" h="1862455">
                <a:moveTo>
                  <a:pt x="3674364" y="1658112"/>
                </a:moveTo>
                <a:lnTo>
                  <a:pt x="3040380" y="1658112"/>
                </a:lnTo>
                <a:lnTo>
                  <a:pt x="3040380" y="1862328"/>
                </a:lnTo>
                <a:lnTo>
                  <a:pt x="3674364" y="1862328"/>
                </a:lnTo>
                <a:lnTo>
                  <a:pt x="3674364" y="1658112"/>
                </a:lnTo>
                <a:close/>
              </a:path>
              <a:path w="7486015" h="1862455">
                <a:moveTo>
                  <a:pt x="3674364" y="1450848"/>
                </a:moveTo>
                <a:lnTo>
                  <a:pt x="3040380" y="1450848"/>
                </a:lnTo>
                <a:lnTo>
                  <a:pt x="3040380" y="1655064"/>
                </a:lnTo>
                <a:lnTo>
                  <a:pt x="3674364" y="1655064"/>
                </a:lnTo>
                <a:lnTo>
                  <a:pt x="3674364" y="1450848"/>
                </a:lnTo>
                <a:close/>
              </a:path>
              <a:path w="7486015" h="1862455">
                <a:moveTo>
                  <a:pt x="3674364" y="1243584"/>
                </a:moveTo>
                <a:lnTo>
                  <a:pt x="3040380" y="1243584"/>
                </a:lnTo>
                <a:lnTo>
                  <a:pt x="3040380" y="1447800"/>
                </a:lnTo>
                <a:lnTo>
                  <a:pt x="3674364" y="1447800"/>
                </a:lnTo>
                <a:lnTo>
                  <a:pt x="3674364" y="1243584"/>
                </a:lnTo>
                <a:close/>
              </a:path>
              <a:path w="7486015" h="1862455">
                <a:moveTo>
                  <a:pt x="3674364" y="1037844"/>
                </a:moveTo>
                <a:lnTo>
                  <a:pt x="3040380" y="1037844"/>
                </a:lnTo>
                <a:lnTo>
                  <a:pt x="3040380" y="1240536"/>
                </a:lnTo>
                <a:lnTo>
                  <a:pt x="3674364" y="1240536"/>
                </a:lnTo>
                <a:lnTo>
                  <a:pt x="3674364" y="1037844"/>
                </a:lnTo>
                <a:close/>
              </a:path>
              <a:path w="7486015" h="1862455">
                <a:moveTo>
                  <a:pt x="3674364" y="829056"/>
                </a:moveTo>
                <a:lnTo>
                  <a:pt x="3040380" y="829056"/>
                </a:lnTo>
                <a:lnTo>
                  <a:pt x="3040380" y="1034796"/>
                </a:lnTo>
                <a:lnTo>
                  <a:pt x="3674364" y="1034796"/>
                </a:lnTo>
                <a:lnTo>
                  <a:pt x="3674364" y="829056"/>
                </a:lnTo>
                <a:close/>
              </a:path>
              <a:path w="7486015" h="1862455">
                <a:moveTo>
                  <a:pt x="3674364" y="623316"/>
                </a:moveTo>
                <a:lnTo>
                  <a:pt x="3040380" y="623316"/>
                </a:lnTo>
                <a:lnTo>
                  <a:pt x="3040380" y="826008"/>
                </a:lnTo>
                <a:lnTo>
                  <a:pt x="3674364" y="826008"/>
                </a:lnTo>
                <a:lnTo>
                  <a:pt x="3674364" y="623316"/>
                </a:lnTo>
                <a:close/>
              </a:path>
              <a:path w="7486015" h="1862455">
                <a:moveTo>
                  <a:pt x="3674364" y="207264"/>
                </a:moveTo>
                <a:lnTo>
                  <a:pt x="3040380" y="207264"/>
                </a:lnTo>
                <a:lnTo>
                  <a:pt x="3040380" y="618744"/>
                </a:lnTo>
                <a:lnTo>
                  <a:pt x="3674364" y="618744"/>
                </a:lnTo>
                <a:lnTo>
                  <a:pt x="3674364" y="207264"/>
                </a:lnTo>
                <a:close/>
              </a:path>
              <a:path w="7486015" h="1862455">
                <a:moveTo>
                  <a:pt x="3674364" y="0"/>
                </a:moveTo>
                <a:lnTo>
                  <a:pt x="3040380" y="0"/>
                </a:lnTo>
                <a:lnTo>
                  <a:pt x="3040380" y="204216"/>
                </a:lnTo>
                <a:lnTo>
                  <a:pt x="3674364" y="204216"/>
                </a:lnTo>
                <a:lnTo>
                  <a:pt x="3674364" y="0"/>
                </a:lnTo>
                <a:close/>
              </a:path>
              <a:path w="7486015" h="1862455">
                <a:moveTo>
                  <a:pt x="4437888" y="1658112"/>
                </a:moveTo>
                <a:lnTo>
                  <a:pt x="3677412" y="1658112"/>
                </a:lnTo>
                <a:lnTo>
                  <a:pt x="3677412" y="1862328"/>
                </a:lnTo>
                <a:lnTo>
                  <a:pt x="4437888" y="1862328"/>
                </a:lnTo>
                <a:lnTo>
                  <a:pt x="4437888" y="1658112"/>
                </a:lnTo>
                <a:close/>
              </a:path>
              <a:path w="7486015" h="1862455">
                <a:moveTo>
                  <a:pt x="4437888" y="1450848"/>
                </a:moveTo>
                <a:lnTo>
                  <a:pt x="3677412" y="1450848"/>
                </a:lnTo>
                <a:lnTo>
                  <a:pt x="3677412" y="1655064"/>
                </a:lnTo>
                <a:lnTo>
                  <a:pt x="4437888" y="1655064"/>
                </a:lnTo>
                <a:lnTo>
                  <a:pt x="4437888" y="1450848"/>
                </a:lnTo>
                <a:close/>
              </a:path>
              <a:path w="7486015" h="1862455">
                <a:moveTo>
                  <a:pt x="4437888" y="1243584"/>
                </a:moveTo>
                <a:lnTo>
                  <a:pt x="3677412" y="1243584"/>
                </a:lnTo>
                <a:lnTo>
                  <a:pt x="3677412" y="1447800"/>
                </a:lnTo>
                <a:lnTo>
                  <a:pt x="4437888" y="1447800"/>
                </a:lnTo>
                <a:lnTo>
                  <a:pt x="4437888" y="1243584"/>
                </a:lnTo>
                <a:close/>
              </a:path>
              <a:path w="7486015" h="1862455">
                <a:moveTo>
                  <a:pt x="4437888" y="1037844"/>
                </a:moveTo>
                <a:lnTo>
                  <a:pt x="3677412" y="1037844"/>
                </a:lnTo>
                <a:lnTo>
                  <a:pt x="3677412" y="1240536"/>
                </a:lnTo>
                <a:lnTo>
                  <a:pt x="4437888" y="1240536"/>
                </a:lnTo>
                <a:lnTo>
                  <a:pt x="4437888" y="1037844"/>
                </a:lnTo>
                <a:close/>
              </a:path>
              <a:path w="7486015" h="1862455">
                <a:moveTo>
                  <a:pt x="4437888" y="829056"/>
                </a:moveTo>
                <a:lnTo>
                  <a:pt x="3677412" y="829056"/>
                </a:lnTo>
                <a:lnTo>
                  <a:pt x="3677412" y="1034796"/>
                </a:lnTo>
                <a:lnTo>
                  <a:pt x="4437888" y="1034796"/>
                </a:lnTo>
                <a:lnTo>
                  <a:pt x="4437888" y="829056"/>
                </a:lnTo>
                <a:close/>
              </a:path>
              <a:path w="7486015" h="1862455">
                <a:moveTo>
                  <a:pt x="4437888" y="623316"/>
                </a:moveTo>
                <a:lnTo>
                  <a:pt x="3677412" y="623316"/>
                </a:lnTo>
                <a:lnTo>
                  <a:pt x="3677412" y="826008"/>
                </a:lnTo>
                <a:lnTo>
                  <a:pt x="4437888" y="826008"/>
                </a:lnTo>
                <a:lnTo>
                  <a:pt x="4437888" y="623316"/>
                </a:lnTo>
                <a:close/>
              </a:path>
              <a:path w="7486015" h="1862455">
                <a:moveTo>
                  <a:pt x="4437888" y="207264"/>
                </a:moveTo>
                <a:lnTo>
                  <a:pt x="3677412" y="207264"/>
                </a:lnTo>
                <a:lnTo>
                  <a:pt x="3677412" y="618744"/>
                </a:lnTo>
                <a:lnTo>
                  <a:pt x="4437888" y="618744"/>
                </a:lnTo>
                <a:lnTo>
                  <a:pt x="4437888" y="207264"/>
                </a:lnTo>
                <a:close/>
              </a:path>
              <a:path w="7486015" h="1862455">
                <a:moveTo>
                  <a:pt x="4437888" y="0"/>
                </a:moveTo>
                <a:lnTo>
                  <a:pt x="3677412" y="0"/>
                </a:lnTo>
                <a:lnTo>
                  <a:pt x="3677412" y="204216"/>
                </a:lnTo>
                <a:lnTo>
                  <a:pt x="4437888" y="204216"/>
                </a:lnTo>
                <a:lnTo>
                  <a:pt x="4437888" y="0"/>
                </a:lnTo>
                <a:close/>
              </a:path>
              <a:path w="7486015" h="1862455">
                <a:moveTo>
                  <a:pt x="5199888" y="1658112"/>
                </a:moveTo>
                <a:lnTo>
                  <a:pt x="4440936" y="1658112"/>
                </a:lnTo>
                <a:lnTo>
                  <a:pt x="4440936" y="1862328"/>
                </a:lnTo>
                <a:lnTo>
                  <a:pt x="5199888" y="1862328"/>
                </a:lnTo>
                <a:lnTo>
                  <a:pt x="5199888" y="1658112"/>
                </a:lnTo>
                <a:close/>
              </a:path>
              <a:path w="7486015" h="1862455">
                <a:moveTo>
                  <a:pt x="5199888" y="1450848"/>
                </a:moveTo>
                <a:lnTo>
                  <a:pt x="4440936" y="1450848"/>
                </a:lnTo>
                <a:lnTo>
                  <a:pt x="4440936" y="1655064"/>
                </a:lnTo>
                <a:lnTo>
                  <a:pt x="5199888" y="1655064"/>
                </a:lnTo>
                <a:lnTo>
                  <a:pt x="5199888" y="1450848"/>
                </a:lnTo>
                <a:close/>
              </a:path>
              <a:path w="7486015" h="1862455">
                <a:moveTo>
                  <a:pt x="5199888" y="1243584"/>
                </a:moveTo>
                <a:lnTo>
                  <a:pt x="4440936" y="1243584"/>
                </a:lnTo>
                <a:lnTo>
                  <a:pt x="4440936" y="1447800"/>
                </a:lnTo>
                <a:lnTo>
                  <a:pt x="5199888" y="1447800"/>
                </a:lnTo>
                <a:lnTo>
                  <a:pt x="5199888" y="1243584"/>
                </a:lnTo>
                <a:close/>
              </a:path>
              <a:path w="7486015" h="1862455">
                <a:moveTo>
                  <a:pt x="5199888" y="1037844"/>
                </a:moveTo>
                <a:lnTo>
                  <a:pt x="4440936" y="1037844"/>
                </a:lnTo>
                <a:lnTo>
                  <a:pt x="4440936" y="1240536"/>
                </a:lnTo>
                <a:lnTo>
                  <a:pt x="5199888" y="1240536"/>
                </a:lnTo>
                <a:lnTo>
                  <a:pt x="5199888" y="1037844"/>
                </a:lnTo>
                <a:close/>
              </a:path>
              <a:path w="7486015" h="1862455">
                <a:moveTo>
                  <a:pt x="5199888" y="829056"/>
                </a:moveTo>
                <a:lnTo>
                  <a:pt x="4440936" y="829056"/>
                </a:lnTo>
                <a:lnTo>
                  <a:pt x="4440936" y="1034796"/>
                </a:lnTo>
                <a:lnTo>
                  <a:pt x="5199888" y="1034796"/>
                </a:lnTo>
                <a:lnTo>
                  <a:pt x="5199888" y="829056"/>
                </a:lnTo>
                <a:close/>
              </a:path>
              <a:path w="7486015" h="1862455">
                <a:moveTo>
                  <a:pt x="5199888" y="623316"/>
                </a:moveTo>
                <a:lnTo>
                  <a:pt x="4440936" y="623316"/>
                </a:lnTo>
                <a:lnTo>
                  <a:pt x="4440936" y="826008"/>
                </a:lnTo>
                <a:lnTo>
                  <a:pt x="5199888" y="826008"/>
                </a:lnTo>
                <a:lnTo>
                  <a:pt x="5199888" y="623316"/>
                </a:lnTo>
                <a:close/>
              </a:path>
              <a:path w="7486015" h="1862455">
                <a:moveTo>
                  <a:pt x="5199888" y="207264"/>
                </a:moveTo>
                <a:lnTo>
                  <a:pt x="4440936" y="207264"/>
                </a:lnTo>
                <a:lnTo>
                  <a:pt x="4440936" y="618744"/>
                </a:lnTo>
                <a:lnTo>
                  <a:pt x="5199888" y="618744"/>
                </a:lnTo>
                <a:lnTo>
                  <a:pt x="5199888" y="207264"/>
                </a:lnTo>
                <a:close/>
              </a:path>
              <a:path w="7486015" h="1862455">
                <a:moveTo>
                  <a:pt x="5199888" y="0"/>
                </a:moveTo>
                <a:lnTo>
                  <a:pt x="4440936" y="0"/>
                </a:lnTo>
                <a:lnTo>
                  <a:pt x="4440936" y="204216"/>
                </a:lnTo>
                <a:lnTo>
                  <a:pt x="5199888" y="204216"/>
                </a:lnTo>
                <a:lnTo>
                  <a:pt x="5199888" y="0"/>
                </a:lnTo>
                <a:close/>
              </a:path>
              <a:path w="7486015" h="1862455">
                <a:moveTo>
                  <a:pt x="5961875" y="1658112"/>
                </a:moveTo>
                <a:lnTo>
                  <a:pt x="5202936" y="1658112"/>
                </a:lnTo>
                <a:lnTo>
                  <a:pt x="5202936" y="1862328"/>
                </a:lnTo>
                <a:lnTo>
                  <a:pt x="5961875" y="1862328"/>
                </a:lnTo>
                <a:lnTo>
                  <a:pt x="5961875" y="1658112"/>
                </a:lnTo>
                <a:close/>
              </a:path>
              <a:path w="7486015" h="1862455">
                <a:moveTo>
                  <a:pt x="5961875" y="1450848"/>
                </a:moveTo>
                <a:lnTo>
                  <a:pt x="5202936" y="1450848"/>
                </a:lnTo>
                <a:lnTo>
                  <a:pt x="5202936" y="1655064"/>
                </a:lnTo>
                <a:lnTo>
                  <a:pt x="5961875" y="1655064"/>
                </a:lnTo>
                <a:lnTo>
                  <a:pt x="5961875" y="1450848"/>
                </a:lnTo>
                <a:close/>
              </a:path>
              <a:path w="7486015" h="1862455">
                <a:moveTo>
                  <a:pt x="5961875" y="1243584"/>
                </a:moveTo>
                <a:lnTo>
                  <a:pt x="5202936" y="1243584"/>
                </a:lnTo>
                <a:lnTo>
                  <a:pt x="5202936" y="1447800"/>
                </a:lnTo>
                <a:lnTo>
                  <a:pt x="5961875" y="1447800"/>
                </a:lnTo>
                <a:lnTo>
                  <a:pt x="5961875" y="1243584"/>
                </a:lnTo>
                <a:close/>
              </a:path>
              <a:path w="7486015" h="1862455">
                <a:moveTo>
                  <a:pt x="5961875" y="1037844"/>
                </a:moveTo>
                <a:lnTo>
                  <a:pt x="5202936" y="1037844"/>
                </a:lnTo>
                <a:lnTo>
                  <a:pt x="5202936" y="1240536"/>
                </a:lnTo>
                <a:lnTo>
                  <a:pt x="5961875" y="1240536"/>
                </a:lnTo>
                <a:lnTo>
                  <a:pt x="5961875" y="1037844"/>
                </a:lnTo>
                <a:close/>
              </a:path>
              <a:path w="7486015" h="1862455">
                <a:moveTo>
                  <a:pt x="5961875" y="829056"/>
                </a:moveTo>
                <a:lnTo>
                  <a:pt x="5202936" y="829056"/>
                </a:lnTo>
                <a:lnTo>
                  <a:pt x="5202936" y="1034796"/>
                </a:lnTo>
                <a:lnTo>
                  <a:pt x="5961875" y="1034796"/>
                </a:lnTo>
                <a:lnTo>
                  <a:pt x="5961875" y="829056"/>
                </a:lnTo>
                <a:close/>
              </a:path>
              <a:path w="7486015" h="1862455">
                <a:moveTo>
                  <a:pt x="5961875" y="623316"/>
                </a:moveTo>
                <a:lnTo>
                  <a:pt x="5202936" y="623316"/>
                </a:lnTo>
                <a:lnTo>
                  <a:pt x="5202936" y="826008"/>
                </a:lnTo>
                <a:lnTo>
                  <a:pt x="5961875" y="826008"/>
                </a:lnTo>
                <a:lnTo>
                  <a:pt x="5961875" y="623316"/>
                </a:lnTo>
                <a:close/>
              </a:path>
              <a:path w="7486015" h="1862455">
                <a:moveTo>
                  <a:pt x="5961875" y="207264"/>
                </a:moveTo>
                <a:lnTo>
                  <a:pt x="5202936" y="207264"/>
                </a:lnTo>
                <a:lnTo>
                  <a:pt x="5202936" y="618744"/>
                </a:lnTo>
                <a:lnTo>
                  <a:pt x="5961875" y="618744"/>
                </a:lnTo>
                <a:lnTo>
                  <a:pt x="5961875" y="207264"/>
                </a:lnTo>
                <a:close/>
              </a:path>
              <a:path w="7486015" h="1862455">
                <a:moveTo>
                  <a:pt x="5961875" y="0"/>
                </a:moveTo>
                <a:lnTo>
                  <a:pt x="5202936" y="0"/>
                </a:lnTo>
                <a:lnTo>
                  <a:pt x="5202936" y="204216"/>
                </a:lnTo>
                <a:lnTo>
                  <a:pt x="5961875" y="204216"/>
                </a:lnTo>
                <a:lnTo>
                  <a:pt x="5961875" y="0"/>
                </a:lnTo>
                <a:close/>
              </a:path>
              <a:path w="7486015" h="1862455">
                <a:moveTo>
                  <a:pt x="6723888" y="1658112"/>
                </a:moveTo>
                <a:lnTo>
                  <a:pt x="5964936" y="1658112"/>
                </a:lnTo>
                <a:lnTo>
                  <a:pt x="5964936" y="1862328"/>
                </a:lnTo>
                <a:lnTo>
                  <a:pt x="6723888" y="1862328"/>
                </a:lnTo>
                <a:lnTo>
                  <a:pt x="6723888" y="1658112"/>
                </a:lnTo>
                <a:close/>
              </a:path>
              <a:path w="7486015" h="1862455">
                <a:moveTo>
                  <a:pt x="6723888" y="1450848"/>
                </a:moveTo>
                <a:lnTo>
                  <a:pt x="5964936" y="1450848"/>
                </a:lnTo>
                <a:lnTo>
                  <a:pt x="5964936" y="1655064"/>
                </a:lnTo>
                <a:lnTo>
                  <a:pt x="6723888" y="1655064"/>
                </a:lnTo>
                <a:lnTo>
                  <a:pt x="6723888" y="1450848"/>
                </a:lnTo>
                <a:close/>
              </a:path>
              <a:path w="7486015" h="1862455">
                <a:moveTo>
                  <a:pt x="6723888" y="1243584"/>
                </a:moveTo>
                <a:lnTo>
                  <a:pt x="5964936" y="1243584"/>
                </a:lnTo>
                <a:lnTo>
                  <a:pt x="5964936" y="1447800"/>
                </a:lnTo>
                <a:lnTo>
                  <a:pt x="6723888" y="1447800"/>
                </a:lnTo>
                <a:lnTo>
                  <a:pt x="6723888" y="1243584"/>
                </a:lnTo>
                <a:close/>
              </a:path>
              <a:path w="7486015" h="1862455">
                <a:moveTo>
                  <a:pt x="6723888" y="1037844"/>
                </a:moveTo>
                <a:lnTo>
                  <a:pt x="5964936" y="1037844"/>
                </a:lnTo>
                <a:lnTo>
                  <a:pt x="5964936" y="1240536"/>
                </a:lnTo>
                <a:lnTo>
                  <a:pt x="6723888" y="1240536"/>
                </a:lnTo>
                <a:lnTo>
                  <a:pt x="6723888" y="1037844"/>
                </a:lnTo>
                <a:close/>
              </a:path>
              <a:path w="7486015" h="1862455">
                <a:moveTo>
                  <a:pt x="6723888" y="829056"/>
                </a:moveTo>
                <a:lnTo>
                  <a:pt x="5964936" y="829056"/>
                </a:lnTo>
                <a:lnTo>
                  <a:pt x="5964936" y="1034796"/>
                </a:lnTo>
                <a:lnTo>
                  <a:pt x="6723888" y="1034796"/>
                </a:lnTo>
                <a:lnTo>
                  <a:pt x="6723888" y="829056"/>
                </a:lnTo>
                <a:close/>
              </a:path>
              <a:path w="7486015" h="1862455">
                <a:moveTo>
                  <a:pt x="6723888" y="623316"/>
                </a:moveTo>
                <a:lnTo>
                  <a:pt x="5964936" y="623316"/>
                </a:lnTo>
                <a:lnTo>
                  <a:pt x="5964936" y="826008"/>
                </a:lnTo>
                <a:lnTo>
                  <a:pt x="6723888" y="826008"/>
                </a:lnTo>
                <a:lnTo>
                  <a:pt x="6723888" y="623316"/>
                </a:lnTo>
                <a:close/>
              </a:path>
              <a:path w="7486015" h="1862455">
                <a:moveTo>
                  <a:pt x="6723888" y="207264"/>
                </a:moveTo>
                <a:lnTo>
                  <a:pt x="5964936" y="207264"/>
                </a:lnTo>
                <a:lnTo>
                  <a:pt x="5964936" y="618744"/>
                </a:lnTo>
                <a:lnTo>
                  <a:pt x="6723888" y="618744"/>
                </a:lnTo>
                <a:lnTo>
                  <a:pt x="6723888" y="207264"/>
                </a:lnTo>
                <a:close/>
              </a:path>
              <a:path w="7486015" h="1862455">
                <a:moveTo>
                  <a:pt x="6723888" y="0"/>
                </a:moveTo>
                <a:lnTo>
                  <a:pt x="5964936" y="0"/>
                </a:lnTo>
                <a:lnTo>
                  <a:pt x="5964936" y="204216"/>
                </a:lnTo>
                <a:lnTo>
                  <a:pt x="6723888" y="204216"/>
                </a:lnTo>
                <a:lnTo>
                  <a:pt x="6723888" y="0"/>
                </a:lnTo>
                <a:close/>
              </a:path>
              <a:path w="7486015" h="1862455">
                <a:moveTo>
                  <a:pt x="7485888" y="1658112"/>
                </a:moveTo>
                <a:lnTo>
                  <a:pt x="6726936" y="1658112"/>
                </a:lnTo>
                <a:lnTo>
                  <a:pt x="6726936" y="1862328"/>
                </a:lnTo>
                <a:lnTo>
                  <a:pt x="7485888" y="1862328"/>
                </a:lnTo>
                <a:lnTo>
                  <a:pt x="7485888" y="1658112"/>
                </a:lnTo>
                <a:close/>
              </a:path>
              <a:path w="7486015" h="1862455">
                <a:moveTo>
                  <a:pt x="7485888" y="1450848"/>
                </a:moveTo>
                <a:lnTo>
                  <a:pt x="6726936" y="1450848"/>
                </a:lnTo>
                <a:lnTo>
                  <a:pt x="6726936" y="1655064"/>
                </a:lnTo>
                <a:lnTo>
                  <a:pt x="7485888" y="1655064"/>
                </a:lnTo>
                <a:lnTo>
                  <a:pt x="7485888" y="1450848"/>
                </a:lnTo>
                <a:close/>
              </a:path>
              <a:path w="7486015" h="1862455">
                <a:moveTo>
                  <a:pt x="7485888" y="1243584"/>
                </a:moveTo>
                <a:lnTo>
                  <a:pt x="6726936" y="1243584"/>
                </a:lnTo>
                <a:lnTo>
                  <a:pt x="6726936" y="1447800"/>
                </a:lnTo>
                <a:lnTo>
                  <a:pt x="7485888" y="1447800"/>
                </a:lnTo>
                <a:lnTo>
                  <a:pt x="7485888" y="1243584"/>
                </a:lnTo>
                <a:close/>
              </a:path>
              <a:path w="7486015" h="1862455">
                <a:moveTo>
                  <a:pt x="7485888" y="1037844"/>
                </a:moveTo>
                <a:lnTo>
                  <a:pt x="6726936" y="1037844"/>
                </a:lnTo>
                <a:lnTo>
                  <a:pt x="6726936" y="1240536"/>
                </a:lnTo>
                <a:lnTo>
                  <a:pt x="7485888" y="1240536"/>
                </a:lnTo>
                <a:lnTo>
                  <a:pt x="7485888" y="1037844"/>
                </a:lnTo>
                <a:close/>
              </a:path>
              <a:path w="7486015" h="1862455">
                <a:moveTo>
                  <a:pt x="7485888" y="829056"/>
                </a:moveTo>
                <a:lnTo>
                  <a:pt x="6726936" y="829056"/>
                </a:lnTo>
                <a:lnTo>
                  <a:pt x="6726936" y="1034796"/>
                </a:lnTo>
                <a:lnTo>
                  <a:pt x="7485888" y="1034796"/>
                </a:lnTo>
                <a:lnTo>
                  <a:pt x="7485888" y="829056"/>
                </a:lnTo>
                <a:close/>
              </a:path>
              <a:path w="7486015" h="1862455">
                <a:moveTo>
                  <a:pt x="7485888" y="623316"/>
                </a:moveTo>
                <a:lnTo>
                  <a:pt x="6726936" y="623316"/>
                </a:lnTo>
                <a:lnTo>
                  <a:pt x="6726936" y="826008"/>
                </a:lnTo>
                <a:lnTo>
                  <a:pt x="7485888" y="826008"/>
                </a:lnTo>
                <a:lnTo>
                  <a:pt x="7485888" y="623316"/>
                </a:lnTo>
                <a:close/>
              </a:path>
              <a:path w="7486015" h="1862455">
                <a:moveTo>
                  <a:pt x="7485888" y="207264"/>
                </a:moveTo>
                <a:lnTo>
                  <a:pt x="6726936" y="207264"/>
                </a:lnTo>
                <a:lnTo>
                  <a:pt x="6726936" y="618744"/>
                </a:lnTo>
                <a:lnTo>
                  <a:pt x="7485888" y="618744"/>
                </a:lnTo>
                <a:lnTo>
                  <a:pt x="7485888" y="207264"/>
                </a:lnTo>
                <a:close/>
              </a:path>
              <a:path w="7486015" h="1862455">
                <a:moveTo>
                  <a:pt x="7485888" y="0"/>
                </a:moveTo>
                <a:lnTo>
                  <a:pt x="6726936" y="0"/>
                </a:lnTo>
                <a:lnTo>
                  <a:pt x="6726936" y="204216"/>
                </a:lnTo>
                <a:lnTo>
                  <a:pt x="7485888" y="204216"/>
                </a:lnTo>
                <a:lnTo>
                  <a:pt x="7485888" y="0"/>
                </a:lnTo>
                <a:close/>
              </a:path>
            </a:pathLst>
          </a:custGeom>
          <a:solidFill>
            <a:srgbClr val="FFFFFF"/>
          </a:solidFill>
        </xdr:spPr>
      </xdr:sp>
    </xdr:grpSp>
    <xdr:clientData/>
  </xdr:oneCellAnchor>
  <xdr:oneCellAnchor>
    <xdr:from>
      <xdr:col>11</xdr:col>
      <xdr:colOff>546481</xdr:colOff>
      <xdr:row>23</xdr:row>
      <xdr:rowOff>0</xdr:rowOff>
    </xdr:from>
    <xdr:ext cx="645160" cy="3724910"/>
    <xdr:sp macro="" textlink="">
      <xdr:nvSpPr>
        <xdr:cNvPr id="33" name="Shape 33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SpPr/>
      </xdr:nvSpPr>
      <xdr:spPr>
        <a:xfrm>
          <a:off x="0" y="0"/>
          <a:ext cx="645160" cy="3724910"/>
        </a:xfrm>
        <a:custGeom>
          <a:avLst/>
          <a:gdLst/>
          <a:ahLst/>
          <a:cxnLst/>
          <a:rect l="0" t="0" r="0" b="0"/>
          <a:pathLst>
            <a:path w="645160" h="3724910">
              <a:moveTo>
                <a:pt x="644652" y="3520440"/>
              </a:moveTo>
              <a:lnTo>
                <a:pt x="0" y="3520440"/>
              </a:lnTo>
              <a:lnTo>
                <a:pt x="0" y="3724656"/>
              </a:lnTo>
              <a:lnTo>
                <a:pt x="644652" y="3724656"/>
              </a:lnTo>
              <a:lnTo>
                <a:pt x="644652" y="3520440"/>
              </a:lnTo>
              <a:close/>
            </a:path>
            <a:path w="645160" h="3724910">
              <a:moveTo>
                <a:pt x="644652" y="3313176"/>
              </a:moveTo>
              <a:lnTo>
                <a:pt x="0" y="3313176"/>
              </a:lnTo>
              <a:lnTo>
                <a:pt x="0" y="3517392"/>
              </a:lnTo>
              <a:lnTo>
                <a:pt x="644652" y="3517392"/>
              </a:lnTo>
              <a:lnTo>
                <a:pt x="644652" y="3313176"/>
              </a:lnTo>
              <a:close/>
            </a:path>
            <a:path w="645160" h="3724910">
              <a:moveTo>
                <a:pt x="644652" y="3105912"/>
              </a:moveTo>
              <a:lnTo>
                <a:pt x="0" y="3105912"/>
              </a:lnTo>
              <a:lnTo>
                <a:pt x="0" y="3310128"/>
              </a:lnTo>
              <a:lnTo>
                <a:pt x="644652" y="3310128"/>
              </a:lnTo>
              <a:lnTo>
                <a:pt x="644652" y="3105912"/>
              </a:lnTo>
              <a:close/>
            </a:path>
            <a:path w="645160" h="3724910">
              <a:moveTo>
                <a:pt x="644652" y="2900172"/>
              </a:moveTo>
              <a:lnTo>
                <a:pt x="0" y="2900172"/>
              </a:lnTo>
              <a:lnTo>
                <a:pt x="0" y="3102864"/>
              </a:lnTo>
              <a:lnTo>
                <a:pt x="644652" y="3102864"/>
              </a:lnTo>
              <a:lnTo>
                <a:pt x="644652" y="2900172"/>
              </a:lnTo>
              <a:close/>
            </a:path>
            <a:path w="645160" h="3724910">
              <a:moveTo>
                <a:pt x="644652" y="2691384"/>
              </a:moveTo>
              <a:lnTo>
                <a:pt x="0" y="2691384"/>
              </a:lnTo>
              <a:lnTo>
                <a:pt x="0" y="2897124"/>
              </a:lnTo>
              <a:lnTo>
                <a:pt x="644652" y="2897124"/>
              </a:lnTo>
              <a:lnTo>
                <a:pt x="644652" y="2691384"/>
              </a:lnTo>
              <a:close/>
            </a:path>
            <a:path w="645160" h="3724910">
              <a:moveTo>
                <a:pt x="644652" y="2485644"/>
              </a:moveTo>
              <a:lnTo>
                <a:pt x="0" y="2485644"/>
              </a:lnTo>
              <a:lnTo>
                <a:pt x="0" y="2688336"/>
              </a:lnTo>
              <a:lnTo>
                <a:pt x="644652" y="2688336"/>
              </a:lnTo>
              <a:lnTo>
                <a:pt x="644652" y="2485644"/>
              </a:lnTo>
              <a:close/>
            </a:path>
            <a:path w="645160" h="3724910">
              <a:moveTo>
                <a:pt x="644652" y="2069592"/>
              </a:moveTo>
              <a:lnTo>
                <a:pt x="0" y="2069592"/>
              </a:lnTo>
              <a:lnTo>
                <a:pt x="0" y="2481072"/>
              </a:lnTo>
              <a:lnTo>
                <a:pt x="644652" y="2481072"/>
              </a:lnTo>
              <a:lnTo>
                <a:pt x="644652" y="2069592"/>
              </a:lnTo>
              <a:close/>
            </a:path>
            <a:path w="645160" h="3724910">
              <a:moveTo>
                <a:pt x="644652" y="1862328"/>
              </a:moveTo>
              <a:lnTo>
                <a:pt x="0" y="1862328"/>
              </a:lnTo>
              <a:lnTo>
                <a:pt x="0" y="2066544"/>
              </a:lnTo>
              <a:lnTo>
                <a:pt x="644652" y="2066544"/>
              </a:lnTo>
              <a:lnTo>
                <a:pt x="644652" y="1862328"/>
              </a:lnTo>
              <a:close/>
            </a:path>
            <a:path w="645160" h="3724910">
              <a:moveTo>
                <a:pt x="644652" y="1655064"/>
              </a:moveTo>
              <a:lnTo>
                <a:pt x="0" y="1655064"/>
              </a:lnTo>
              <a:lnTo>
                <a:pt x="0" y="1859280"/>
              </a:lnTo>
              <a:lnTo>
                <a:pt x="644652" y="1859280"/>
              </a:lnTo>
              <a:lnTo>
                <a:pt x="644652" y="1655064"/>
              </a:lnTo>
              <a:close/>
            </a:path>
            <a:path w="645160" h="3724910">
              <a:moveTo>
                <a:pt x="644652" y="1449324"/>
              </a:moveTo>
              <a:lnTo>
                <a:pt x="0" y="1449324"/>
              </a:lnTo>
              <a:lnTo>
                <a:pt x="0" y="1652016"/>
              </a:lnTo>
              <a:lnTo>
                <a:pt x="644652" y="1652016"/>
              </a:lnTo>
              <a:lnTo>
                <a:pt x="644652" y="1449324"/>
              </a:lnTo>
              <a:close/>
            </a:path>
            <a:path w="645160" h="3724910">
              <a:moveTo>
                <a:pt x="644652" y="1242060"/>
              </a:moveTo>
              <a:lnTo>
                <a:pt x="0" y="1242060"/>
              </a:lnTo>
              <a:lnTo>
                <a:pt x="0" y="1446276"/>
              </a:lnTo>
              <a:lnTo>
                <a:pt x="644652" y="1446276"/>
              </a:lnTo>
              <a:lnTo>
                <a:pt x="644652" y="1242060"/>
              </a:lnTo>
              <a:close/>
            </a:path>
            <a:path w="645160" h="3724910">
              <a:moveTo>
                <a:pt x="644652" y="1034796"/>
              </a:moveTo>
              <a:lnTo>
                <a:pt x="0" y="1034796"/>
              </a:lnTo>
              <a:lnTo>
                <a:pt x="0" y="1239012"/>
              </a:lnTo>
              <a:lnTo>
                <a:pt x="644652" y="1239012"/>
              </a:lnTo>
              <a:lnTo>
                <a:pt x="644652" y="1034796"/>
              </a:lnTo>
              <a:close/>
            </a:path>
            <a:path w="645160" h="3724910">
              <a:moveTo>
                <a:pt x="644652" y="827532"/>
              </a:moveTo>
              <a:lnTo>
                <a:pt x="0" y="827532"/>
              </a:lnTo>
              <a:lnTo>
                <a:pt x="0" y="1031748"/>
              </a:lnTo>
              <a:lnTo>
                <a:pt x="644652" y="1031748"/>
              </a:lnTo>
              <a:lnTo>
                <a:pt x="644652" y="827532"/>
              </a:lnTo>
              <a:close/>
            </a:path>
            <a:path w="645160" h="3724910">
              <a:moveTo>
                <a:pt x="644652" y="621792"/>
              </a:moveTo>
              <a:lnTo>
                <a:pt x="0" y="621792"/>
              </a:lnTo>
              <a:lnTo>
                <a:pt x="0" y="824484"/>
              </a:lnTo>
              <a:lnTo>
                <a:pt x="644652" y="824484"/>
              </a:lnTo>
              <a:lnTo>
                <a:pt x="644652" y="621792"/>
              </a:lnTo>
              <a:close/>
            </a:path>
            <a:path w="645160" h="3724910">
              <a:moveTo>
                <a:pt x="644652" y="414528"/>
              </a:moveTo>
              <a:lnTo>
                <a:pt x="0" y="414528"/>
              </a:lnTo>
              <a:lnTo>
                <a:pt x="0" y="618744"/>
              </a:lnTo>
              <a:lnTo>
                <a:pt x="644652" y="618744"/>
              </a:lnTo>
              <a:lnTo>
                <a:pt x="644652" y="414528"/>
              </a:lnTo>
              <a:close/>
            </a:path>
            <a:path w="645160" h="3724910">
              <a:moveTo>
                <a:pt x="644652" y="207264"/>
              </a:moveTo>
              <a:lnTo>
                <a:pt x="0" y="207264"/>
              </a:lnTo>
              <a:lnTo>
                <a:pt x="0" y="411480"/>
              </a:lnTo>
              <a:lnTo>
                <a:pt x="644652" y="411480"/>
              </a:lnTo>
              <a:lnTo>
                <a:pt x="644652" y="207264"/>
              </a:lnTo>
              <a:close/>
            </a:path>
            <a:path w="645160" h="3724910">
              <a:moveTo>
                <a:pt x="644652" y="0"/>
              </a:moveTo>
              <a:lnTo>
                <a:pt x="0" y="0"/>
              </a:lnTo>
              <a:lnTo>
                <a:pt x="0" y="204216"/>
              </a:lnTo>
              <a:lnTo>
                <a:pt x="644652" y="204216"/>
              </a:lnTo>
              <a:lnTo>
                <a:pt x="644652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543687</xdr:colOff>
      <xdr:row>23</xdr:row>
      <xdr:rowOff>0</xdr:rowOff>
    </xdr:from>
    <xdr:ext cx="3808729" cy="480059"/>
    <xdr:sp macro="" textlink="">
      <xdr:nvSpPr>
        <xdr:cNvPr id="34" name="Shape 34">
          <a:extLst>
            <a:ext uri="{FF2B5EF4-FFF2-40B4-BE49-F238E27FC236}">
              <a16:creationId xmlns:a16="http://schemas.microsoft.com/office/drawing/2014/main" id="{00000000-0008-0000-0300-000022000000}"/>
            </a:ext>
          </a:extLst>
        </xdr:cNvPr>
        <xdr:cNvSpPr/>
      </xdr:nvSpPr>
      <xdr:spPr>
        <a:xfrm>
          <a:off x="0" y="0"/>
          <a:ext cx="3808729" cy="480059"/>
        </a:xfrm>
        <a:custGeom>
          <a:avLst/>
          <a:gdLst/>
          <a:ahLst/>
          <a:cxnLst/>
          <a:rect l="0" t="0" r="0" b="0"/>
          <a:pathLst>
            <a:path w="3808729" h="480059">
              <a:moveTo>
                <a:pt x="760476" y="0"/>
              </a:moveTo>
              <a:lnTo>
                <a:pt x="0" y="0"/>
              </a:lnTo>
              <a:lnTo>
                <a:pt x="0" y="480060"/>
              </a:lnTo>
              <a:lnTo>
                <a:pt x="760476" y="480060"/>
              </a:lnTo>
              <a:lnTo>
                <a:pt x="760476" y="0"/>
              </a:lnTo>
              <a:close/>
            </a:path>
            <a:path w="3808729" h="480059">
              <a:moveTo>
                <a:pt x="1522476" y="0"/>
              </a:moveTo>
              <a:lnTo>
                <a:pt x="763524" y="0"/>
              </a:lnTo>
              <a:lnTo>
                <a:pt x="763524" y="480060"/>
              </a:lnTo>
              <a:lnTo>
                <a:pt x="1522476" y="480060"/>
              </a:lnTo>
              <a:lnTo>
                <a:pt x="1522476" y="0"/>
              </a:lnTo>
              <a:close/>
            </a:path>
            <a:path w="3808729" h="480059">
              <a:moveTo>
                <a:pt x="2284463" y="0"/>
              </a:moveTo>
              <a:lnTo>
                <a:pt x="1525524" y="0"/>
              </a:lnTo>
              <a:lnTo>
                <a:pt x="1525524" y="480060"/>
              </a:lnTo>
              <a:lnTo>
                <a:pt x="2284463" y="480060"/>
              </a:lnTo>
              <a:lnTo>
                <a:pt x="2284463" y="0"/>
              </a:lnTo>
              <a:close/>
            </a:path>
            <a:path w="3808729" h="480059">
              <a:moveTo>
                <a:pt x="3046476" y="0"/>
              </a:moveTo>
              <a:lnTo>
                <a:pt x="2287524" y="0"/>
              </a:lnTo>
              <a:lnTo>
                <a:pt x="2287524" y="480060"/>
              </a:lnTo>
              <a:lnTo>
                <a:pt x="3046476" y="480060"/>
              </a:lnTo>
              <a:lnTo>
                <a:pt x="3046476" y="0"/>
              </a:lnTo>
              <a:close/>
            </a:path>
            <a:path w="3808729" h="480059">
              <a:moveTo>
                <a:pt x="3808476" y="0"/>
              </a:moveTo>
              <a:lnTo>
                <a:pt x="3049524" y="0"/>
              </a:lnTo>
              <a:lnTo>
                <a:pt x="3049524" y="480060"/>
              </a:lnTo>
              <a:lnTo>
                <a:pt x="3808476" y="480060"/>
              </a:lnTo>
              <a:lnTo>
                <a:pt x="3808476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5</xdr:col>
      <xdr:colOff>299453</xdr:colOff>
      <xdr:row>3</xdr:row>
      <xdr:rowOff>49142</xdr:rowOff>
    </xdr:from>
    <xdr:ext cx="193523" cy="290285"/>
    <xdr:pic>
      <xdr:nvPicPr>
        <xdr:cNvPr id="35" name="image1.jpeg">
          <a:extLst>
            <a:ext uri="{FF2B5EF4-FFF2-40B4-BE49-F238E27FC236}">
              <a16:creationId xmlns:a16="http://schemas.microsoft.com/office/drawing/2014/main" id="{00000000-0008-0000-03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93523" cy="290285"/>
        </a:xfrm>
        <a:prstGeom prst="rect">
          <a:avLst/>
        </a:prstGeom>
      </xdr:spPr>
    </xdr:pic>
    <xdr:clientData/>
  </xdr:oneCellAnchor>
  <xdr:oneCellAnchor>
    <xdr:from>
      <xdr:col>6</xdr:col>
      <xdr:colOff>201929</xdr:colOff>
      <xdr:row>3</xdr:row>
      <xdr:rowOff>761</xdr:rowOff>
    </xdr:from>
    <xdr:ext cx="381000" cy="381000"/>
    <xdr:pic>
      <xdr:nvPicPr>
        <xdr:cNvPr id="36" name="image2.jpeg">
          <a:extLst>
            <a:ext uri="{FF2B5EF4-FFF2-40B4-BE49-F238E27FC236}">
              <a16:creationId xmlns:a16="http://schemas.microsoft.com/office/drawing/2014/main" id="{00000000-0008-0000-03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81000" cy="381000"/>
        </a:xfrm>
        <a:prstGeom prst="rect">
          <a:avLst/>
        </a:prstGeom>
      </xdr:spPr>
    </xdr:pic>
    <xdr:clientData/>
  </xdr:oneCellAnchor>
  <xdr:oneCellAnchor>
    <xdr:from>
      <xdr:col>7</xdr:col>
      <xdr:colOff>201930</xdr:colOff>
      <xdr:row>3</xdr:row>
      <xdr:rowOff>761</xdr:rowOff>
    </xdr:from>
    <xdr:ext cx="381000" cy="381000"/>
    <xdr:pic>
      <xdr:nvPicPr>
        <xdr:cNvPr id="37" name="image3.jpeg">
          <a:extLst>
            <a:ext uri="{FF2B5EF4-FFF2-40B4-BE49-F238E27FC236}">
              <a16:creationId xmlns:a16="http://schemas.microsoft.com/office/drawing/2014/main" id="{00000000-0008-0000-03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81000" cy="381000"/>
        </a:xfrm>
        <a:prstGeom prst="rect">
          <a:avLst/>
        </a:prstGeom>
      </xdr:spPr>
    </xdr:pic>
    <xdr:clientData/>
  </xdr:oneCellAnchor>
  <xdr:oneCellAnchor>
    <xdr:from>
      <xdr:col>8</xdr:col>
      <xdr:colOff>201929</xdr:colOff>
      <xdr:row>3</xdr:row>
      <xdr:rowOff>49142</xdr:rowOff>
    </xdr:from>
    <xdr:ext cx="381000" cy="290285"/>
    <xdr:pic>
      <xdr:nvPicPr>
        <xdr:cNvPr id="38" name="image4.jpeg">
          <a:extLst>
            <a:ext uri="{FF2B5EF4-FFF2-40B4-BE49-F238E27FC236}">
              <a16:creationId xmlns:a16="http://schemas.microsoft.com/office/drawing/2014/main" id="{00000000-0008-0000-03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81000" cy="290285"/>
        </a:xfrm>
        <a:prstGeom prst="rect">
          <a:avLst/>
        </a:prstGeom>
      </xdr:spPr>
    </xdr:pic>
    <xdr:clientData/>
  </xdr:oneCellAnchor>
  <xdr:oneCellAnchor>
    <xdr:from>
      <xdr:col>9</xdr:col>
      <xdr:colOff>201929</xdr:colOff>
      <xdr:row>3</xdr:row>
      <xdr:rowOff>49142</xdr:rowOff>
    </xdr:from>
    <xdr:ext cx="381000" cy="290285"/>
    <xdr:pic>
      <xdr:nvPicPr>
        <xdr:cNvPr id="39" name="image5.jpeg">
          <a:extLst>
            <a:ext uri="{FF2B5EF4-FFF2-40B4-BE49-F238E27FC236}">
              <a16:creationId xmlns:a16="http://schemas.microsoft.com/office/drawing/2014/main" id="{00000000-0008-0000-03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81000" cy="290285"/>
        </a:xfrm>
        <a:prstGeom prst="rect">
          <a:avLst/>
        </a:prstGeom>
      </xdr:spPr>
    </xdr:pic>
    <xdr:clientData/>
  </xdr:oneCellAnchor>
  <xdr:oneCellAnchor>
    <xdr:from>
      <xdr:col>1</xdr:col>
      <xdr:colOff>226059</xdr:colOff>
      <xdr:row>24</xdr:row>
      <xdr:rowOff>0</xdr:rowOff>
    </xdr:from>
    <xdr:ext cx="7486015" cy="4119879"/>
    <xdr:grpSp>
      <xdr:nvGrpSpPr>
        <xdr:cNvPr id="40" name="Group 40">
          <a:extLst>
            <a:ext uri="{FF2B5EF4-FFF2-40B4-BE49-F238E27FC236}">
              <a16:creationId xmlns:a16="http://schemas.microsoft.com/office/drawing/2014/main" id="{00000000-0008-0000-0300-000028000000}"/>
            </a:ext>
          </a:extLst>
        </xdr:cNvPr>
        <xdr:cNvGrpSpPr/>
      </xdr:nvGrpSpPr>
      <xdr:grpSpPr>
        <a:xfrm>
          <a:off x="607059" y="6210300"/>
          <a:ext cx="7486015" cy="4119879"/>
          <a:chOff x="0" y="0"/>
          <a:chExt cx="7486015" cy="4119879"/>
        </a:xfrm>
      </xdr:grpSpPr>
      <xdr:sp macro="" textlink="">
        <xdr:nvSpPr>
          <xdr:cNvPr id="41" name="Shape 41">
            <a:extLst>
              <a:ext uri="{FF2B5EF4-FFF2-40B4-BE49-F238E27FC236}">
                <a16:creationId xmlns:a16="http://schemas.microsoft.com/office/drawing/2014/main" id="{00000000-0008-0000-0300-000029000000}"/>
              </a:ext>
            </a:extLst>
          </xdr:cNvPr>
          <xdr:cNvSpPr/>
        </xdr:nvSpPr>
        <xdr:spPr>
          <a:xfrm>
            <a:off x="0" y="0"/>
            <a:ext cx="7486015" cy="1859280"/>
          </a:xfrm>
          <a:custGeom>
            <a:avLst/>
            <a:gdLst/>
            <a:ahLst/>
            <a:cxnLst/>
            <a:rect l="0" t="0" r="0" b="0"/>
            <a:pathLst>
              <a:path w="7486015" h="1859280">
                <a:moveTo>
                  <a:pt x="312420" y="1242060"/>
                </a:moveTo>
                <a:lnTo>
                  <a:pt x="0" y="1242060"/>
                </a:lnTo>
                <a:lnTo>
                  <a:pt x="0" y="1652016"/>
                </a:lnTo>
                <a:lnTo>
                  <a:pt x="312420" y="1652016"/>
                </a:lnTo>
                <a:lnTo>
                  <a:pt x="312420" y="1242060"/>
                </a:lnTo>
                <a:close/>
              </a:path>
              <a:path w="7486015" h="1859280">
                <a:moveTo>
                  <a:pt x="312420" y="621792"/>
                </a:moveTo>
                <a:lnTo>
                  <a:pt x="0" y="621792"/>
                </a:lnTo>
                <a:lnTo>
                  <a:pt x="0" y="1239012"/>
                </a:lnTo>
                <a:lnTo>
                  <a:pt x="312420" y="1239012"/>
                </a:lnTo>
                <a:lnTo>
                  <a:pt x="312420" y="621792"/>
                </a:lnTo>
                <a:close/>
              </a:path>
              <a:path w="7486015" h="1859280">
                <a:moveTo>
                  <a:pt x="312420" y="0"/>
                </a:moveTo>
                <a:lnTo>
                  <a:pt x="0" y="0"/>
                </a:lnTo>
                <a:lnTo>
                  <a:pt x="0" y="618744"/>
                </a:lnTo>
                <a:lnTo>
                  <a:pt x="312420" y="618744"/>
                </a:lnTo>
                <a:lnTo>
                  <a:pt x="312420" y="0"/>
                </a:lnTo>
                <a:close/>
              </a:path>
              <a:path w="7486015" h="1859280">
                <a:moveTo>
                  <a:pt x="1264920" y="1242060"/>
                </a:moveTo>
                <a:lnTo>
                  <a:pt x="315468" y="1242060"/>
                </a:lnTo>
                <a:lnTo>
                  <a:pt x="315468" y="1652016"/>
                </a:lnTo>
                <a:lnTo>
                  <a:pt x="1264920" y="1652016"/>
                </a:lnTo>
                <a:lnTo>
                  <a:pt x="1264920" y="1242060"/>
                </a:lnTo>
                <a:close/>
              </a:path>
              <a:path w="7486015" h="1859280">
                <a:moveTo>
                  <a:pt x="1264920" y="621792"/>
                </a:moveTo>
                <a:lnTo>
                  <a:pt x="315468" y="621792"/>
                </a:lnTo>
                <a:lnTo>
                  <a:pt x="315468" y="1239012"/>
                </a:lnTo>
                <a:lnTo>
                  <a:pt x="1264920" y="1239012"/>
                </a:lnTo>
                <a:lnTo>
                  <a:pt x="1264920" y="621792"/>
                </a:lnTo>
                <a:close/>
              </a:path>
              <a:path w="7486015" h="1859280">
                <a:moveTo>
                  <a:pt x="1264920" y="0"/>
                </a:moveTo>
                <a:lnTo>
                  <a:pt x="315468" y="0"/>
                </a:lnTo>
                <a:lnTo>
                  <a:pt x="315468" y="618744"/>
                </a:lnTo>
                <a:lnTo>
                  <a:pt x="1264920" y="618744"/>
                </a:lnTo>
                <a:lnTo>
                  <a:pt x="1264920" y="0"/>
                </a:lnTo>
                <a:close/>
              </a:path>
              <a:path w="7486015" h="1859280">
                <a:moveTo>
                  <a:pt x="2531364" y="1242060"/>
                </a:moveTo>
                <a:lnTo>
                  <a:pt x="1267968" y="1242060"/>
                </a:lnTo>
                <a:lnTo>
                  <a:pt x="1267968" y="1652016"/>
                </a:lnTo>
                <a:lnTo>
                  <a:pt x="2531364" y="1652016"/>
                </a:lnTo>
                <a:lnTo>
                  <a:pt x="2531364" y="1242060"/>
                </a:lnTo>
                <a:close/>
              </a:path>
              <a:path w="7486015" h="1859280">
                <a:moveTo>
                  <a:pt x="2531364" y="621792"/>
                </a:moveTo>
                <a:lnTo>
                  <a:pt x="1267968" y="621792"/>
                </a:lnTo>
                <a:lnTo>
                  <a:pt x="1267968" y="1239012"/>
                </a:lnTo>
                <a:lnTo>
                  <a:pt x="2531364" y="1239012"/>
                </a:lnTo>
                <a:lnTo>
                  <a:pt x="2531364" y="621792"/>
                </a:lnTo>
                <a:close/>
              </a:path>
              <a:path w="7486015" h="1859280">
                <a:moveTo>
                  <a:pt x="2531364" y="0"/>
                </a:moveTo>
                <a:lnTo>
                  <a:pt x="1267968" y="0"/>
                </a:lnTo>
                <a:lnTo>
                  <a:pt x="1267968" y="618744"/>
                </a:lnTo>
                <a:lnTo>
                  <a:pt x="2531364" y="618744"/>
                </a:lnTo>
                <a:lnTo>
                  <a:pt x="2531364" y="0"/>
                </a:lnTo>
                <a:close/>
              </a:path>
              <a:path w="7486015" h="1859280">
                <a:moveTo>
                  <a:pt x="3037332" y="1655064"/>
                </a:moveTo>
                <a:lnTo>
                  <a:pt x="2534412" y="1655064"/>
                </a:lnTo>
                <a:lnTo>
                  <a:pt x="2534412" y="1859280"/>
                </a:lnTo>
                <a:lnTo>
                  <a:pt x="3037332" y="1859280"/>
                </a:lnTo>
                <a:lnTo>
                  <a:pt x="3037332" y="1655064"/>
                </a:lnTo>
                <a:close/>
              </a:path>
              <a:path w="7486015" h="1859280">
                <a:moveTo>
                  <a:pt x="3037332" y="1449324"/>
                </a:moveTo>
                <a:lnTo>
                  <a:pt x="2534412" y="1449324"/>
                </a:lnTo>
                <a:lnTo>
                  <a:pt x="2534412" y="1652016"/>
                </a:lnTo>
                <a:lnTo>
                  <a:pt x="3037332" y="1652016"/>
                </a:lnTo>
                <a:lnTo>
                  <a:pt x="3037332" y="1449324"/>
                </a:lnTo>
                <a:close/>
              </a:path>
              <a:path w="7486015" h="1859280">
                <a:moveTo>
                  <a:pt x="3037332" y="1242060"/>
                </a:moveTo>
                <a:lnTo>
                  <a:pt x="2534412" y="1242060"/>
                </a:lnTo>
                <a:lnTo>
                  <a:pt x="2534412" y="1446276"/>
                </a:lnTo>
                <a:lnTo>
                  <a:pt x="3037332" y="1446276"/>
                </a:lnTo>
                <a:lnTo>
                  <a:pt x="3037332" y="1242060"/>
                </a:lnTo>
                <a:close/>
              </a:path>
              <a:path w="7486015" h="1859280">
                <a:moveTo>
                  <a:pt x="3037332" y="1034796"/>
                </a:moveTo>
                <a:lnTo>
                  <a:pt x="2534412" y="1034796"/>
                </a:lnTo>
                <a:lnTo>
                  <a:pt x="2534412" y="1239012"/>
                </a:lnTo>
                <a:lnTo>
                  <a:pt x="3037332" y="1239012"/>
                </a:lnTo>
                <a:lnTo>
                  <a:pt x="3037332" y="1034796"/>
                </a:lnTo>
                <a:close/>
              </a:path>
              <a:path w="7486015" h="1859280">
                <a:moveTo>
                  <a:pt x="3037332" y="827532"/>
                </a:moveTo>
                <a:lnTo>
                  <a:pt x="2534412" y="827532"/>
                </a:lnTo>
                <a:lnTo>
                  <a:pt x="2534412" y="1031748"/>
                </a:lnTo>
                <a:lnTo>
                  <a:pt x="3037332" y="1031748"/>
                </a:lnTo>
                <a:lnTo>
                  <a:pt x="3037332" y="827532"/>
                </a:lnTo>
                <a:close/>
              </a:path>
              <a:path w="7486015" h="1859280">
                <a:moveTo>
                  <a:pt x="3037332" y="621792"/>
                </a:moveTo>
                <a:lnTo>
                  <a:pt x="2534412" y="621792"/>
                </a:lnTo>
                <a:lnTo>
                  <a:pt x="2534412" y="824484"/>
                </a:lnTo>
                <a:lnTo>
                  <a:pt x="3037332" y="824484"/>
                </a:lnTo>
                <a:lnTo>
                  <a:pt x="3037332" y="621792"/>
                </a:lnTo>
                <a:close/>
              </a:path>
              <a:path w="7486015" h="1859280">
                <a:moveTo>
                  <a:pt x="3037332" y="414528"/>
                </a:moveTo>
                <a:lnTo>
                  <a:pt x="2534412" y="414528"/>
                </a:lnTo>
                <a:lnTo>
                  <a:pt x="2534412" y="618744"/>
                </a:lnTo>
                <a:lnTo>
                  <a:pt x="3037332" y="618744"/>
                </a:lnTo>
                <a:lnTo>
                  <a:pt x="3037332" y="414528"/>
                </a:lnTo>
                <a:close/>
              </a:path>
              <a:path w="7486015" h="1859280">
                <a:moveTo>
                  <a:pt x="3037332" y="207264"/>
                </a:moveTo>
                <a:lnTo>
                  <a:pt x="2534412" y="207264"/>
                </a:lnTo>
                <a:lnTo>
                  <a:pt x="2534412" y="411480"/>
                </a:lnTo>
                <a:lnTo>
                  <a:pt x="3037332" y="411480"/>
                </a:lnTo>
                <a:lnTo>
                  <a:pt x="3037332" y="207264"/>
                </a:lnTo>
                <a:close/>
              </a:path>
              <a:path w="7486015" h="1859280">
                <a:moveTo>
                  <a:pt x="3037332" y="0"/>
                </a:moveTo>
                <a:lnTo>
                  <a:pt x="2534412" y="0"/>
                </a:lnTo>
                <a:lnTo>
                  <a:pt x="2534412" y="204216"/>
                </a:lnTo>
                <a:lnTo>
                  <a:pt x="3037332" y="204216"/>
                </a:lnTo>
                <a:lnTo>
                  <a:pt x="3037332" y="0"/>
                </a:lnTo>
                <a:close/>
              </a:path>
              <a:path w="7486015" h="1859280">
                <a:moveTo>
                  <a:pt x="3674364" y="1655064"/>
                </a:moveTo>
                <a:lnTo>
                  <a:pt x="3040380" y="1655064"/>
                </a:lnTo>
                <a:lnTo>
                  <a:pt x="3040380" y="1859280"/>
                </a:lnTo>
                <a:lnTo>
                  <a:pt x="3674364" y="1859280"/>
                </a:lnTo>
                <a:lnTo>
                  <a:pt x="3674364" y="1655064"/>
                </a:lnTo>
                <a:close/>
              </a:path>
              <a:path w="7486015" h="1859280">
                <a:moveTo>
                  <a:pt x="3674364" y="1449324"/>
                </a:moveTo>
                <a:lnTo>
                  <a:pt x="3040380" y="1449324"/>
                </a:lnTo>
                <a:lnTo>
                  <a:pt x="3040380" y="1652016"/>
                </a:lnTo>
                <a:lnTo>
                  <a:pt x="3674364" y="1652016"/>
                </a:lnTo>
                <a:lnTo>
                  <a:pt x="3674364" y="1449324"/>
                </a:lnTo>
                <a:close/>
              </a:path>
              <a:path w="7486015" h="1859280">
                <a:moveTo>
                  <a:pt x="3674364" y="1242060"/>
                </a:moveTo>
                <a:lnTo>
                  <a:pt x="3040380" y="1242060"/>
                </a:lnTo>
                <a:lnTo>
                  <a:pt x="3040380" y="1446276"/>
                </a:lnTo>
                <a:lnTo>
                  <a:pt x="3674364" y="1446276"/>
                </a:lnTo>
                <a:lnTo>
                  <a:pt x="3674364" y="1242060"/>
                </a:lnTo>
                <a:close/>
              </a:path>
              <a:path w="7486015" h="1859280">
                <a:moveTo>
                  <a:pt x="3674364" y="1034796"/>
                </a:moveTo>
                <a:lnTo>
                  <a:pt x="3040380" y="1034796"/>
                </a:lnTo>
                <a:lnTo>
                  <a:pt x="3040380" y="1239012"/>
                </a:lnTo>
                <a:lnTo>
                  <a:pt x="3674364" y="1239012"/>
                </a:lnTo>
                <a:lnTo>
                  <a:pt x="3674364" y="1034796"/>
                </a:lnTo>
                <a:close/>
              </a:path>
              <a:path w="7486015" h="1859280">
                <a:moveTo>
                  <a:pt x="3674364" y="827532"/>
                </a:moveTo>
                <a:lnTo>
                  <a:pt x="3040380" y="827532"/>
                </a:lnTo>
                <a:lnTo>
                  <a:pt x="3040380" y="1031748"/>
                </a:lnTo>
                <a:lnTo>
                  <a:pt x="3674364" y="1031748"/>
                </a:lnTo>
                <a:lnTo>
                  <a:pt x="3674364" y="827532"/>
                </a:lnTo>
                <a:close/>
              </a:path>
              <a:path w="7486015" h="1859280">
                <a:moveTo>
                  <a:pt x="3674364" y="621792"/>
                </a:moveTo>
                <a:lnTo>
                  <a:pt x="3040380" y="621792"/>
                </a:lnTo>
                <a:lnTo>
                  <a:pt x="3040380" y="824484"/>
                </a:lnTo>
                <a:lnTo>
                  <a:pt x="3674364" y="824484"/>
                </a:lnTo>
                <a:lnTo>
                  <a:pt x="3674364" y="621792"/>
                </a:lnTo>
                <a:close/>
              </a:path>
              <a:path w="7486015" h="1859280">
                <a:moveTo>
                  <a:pt x="3674364" y="414528"/>
                </a:moveTo>
                <a:lnTo>
                  <a:pt x="3040380" y="414528"/>
                </a:lnTo>
                <a:lnTo>
                  <a:pt x="3040380" y="618744"/>
                </a:lnTo>
                <a:lnTo>
                  <a:pt x="3674364" y="618744"/>
                </a:lnTo>
                <a:lnTo>
                  <a:pt x="3674364" y="414528"/>
                </a:lnTo>
                <a:close/>
              </a:path>
              <a:path w="7486015" h="1859280">
                <a:moveTo>
                  <a:pt x="3674364" y="207264"/>
                </a:moveTo>
                <a:lnTo>
                  <a:pt x="3040380" y="207264"/>
                </a:lnTo>
                <a:lnTo>
                  <a:pt x="3040380" y="411480"/>
                </a:lnTo>
                <a:lnTo>
                  <a:pt x="3674364" y="411480"/>
                </a:lnTo>
                <a:lnTo>
                  <a:pt x="3674364" y="207264"/>
                </a:lnTo>
                <a:close/>
              </a:path>
              <a:path w="7486015" h="1859280">
                <a:moveTo>
                  <a:pt x="3674364" y="0"/>
                </a:moveTo>
                <a:lnTo>
                  <a:pt x="3040380" y="0"/>
                </a:lnTo>
                <a:lnTo>
                  <a:pt x="3040380" y="204216"/>
                </a:lnTo>
                <a:lnTo>
                  <a:pt x="3674364" y="204216"/>
                </a:lnTo>
                <a:lnTo>
                  <a:pt x="3674364" y="0"/>
                </a:lnTo>
                <a:close/>
              </a:path>
              <a:path w="7486015" h="1859280">
                <a:moveTo>
                  <a:pt x="4437888" y="1655064"/>
                </a:moveTo>
                <a:lnTo>
                  <a:pt x="3677412" y="1655064"/>
                </a:lnTo>
                <a:lnTo>
                  <a:pt x="3677412" y="1859280"/>
                </a:lnTo>
                <a:lnTo>
                  <a:pt x="4437888" y="1859280"/>
                </a:lnTo>
                <a:lnTo>
                  <a:pt x="4437888" y="1655064"/>
                </a:lnTo>
                <a:close/>
              </a:path>
              <a:path w="7486015" h="1859280">
                <a:moveTo>
                  <a:pt x="4437888" y="1449324"/>
                </a:moveTo>
                <a:lnTo>
                  <a:pt x="3677412" y="1449324"/>
                </a:lnTo>
                <a:lnTo>
                  <a:pt x="3677412" y="1652016"/>
                </a:lnTo>
                <a:lnTo>
                  <a:pt x="4437888" y="1652016"/>
                </a:lnTo>
                <a:lnTo>
                  <a:pt x="4437888" y="1449324"/>
                </a:lnTo>
                <a:close/>
              </a:path>
              <a:path w="7486015" h="1859280">
                <a:moveTo>
                  <a:pt x="4437888" y="1242060"/>
                </a:moveTo>
                <a:lnTo>
                  <a:pt x="3677412" y="1242060"/>
                </a:lnTo>
                <a:lnTo>
                  <a:pt x="3677412" y="1446276"/>
                </a:lnTo>
                <a:lnTo>
                  <a:pt x="4437888" y="1446276"/>
                </a:lnTo>
                <a:lnTo>
                  <a:pt x="4437888" y="1242060"/>
                </a:lnTo>
                <a:close/>
              </a:path>
              <a:path w="7486015" h="1859280">
                <a:moveTo>
                  <a:pt x="4437888" y="1034796"/>
                </a:moveTo>
                <a:lnTo>
                  <a:pt x="3677412" y="1034796"/>
                </a:lnTo>
                <a:lnTo>
                  <a:pt x="3677412" y="1239012"/>
                </a:lnTo>
                <a:lnTo>
                  <a:pt x="4437888" y="1239012"/>
                </a:lnTo>
                <a:lnTo>
                  <a:pt x="4437888" y="1034796"/>
                </a:lnTo>
                <a:close/>
              </a:path>
              <a:path w="7486015" h="1859280">
                <a:moveTo>
                  <a:pt x="4437888" y="827532"/>
                </a:moveTo>
                <a:lnTo>
                  <a:pt x="3677412" y="827532"/>
                </a:lnTo>
                <a:lnTo>
                  <a:pt x="3677412" y="1031748"/>
                </a:lnTo>
                <a:lnTo>
                  <a:pt x="4437888" y="1031748"/>
                </a:lnTo>
                <a:lnTo>
                  <a:pt x="4437888" y="827532"/>
                </a:lnTo>
                <a:close/>
              </a:path>
              <a:path w="7486015" h="1859280">
                <a:moveTo>
                  <a:pt x="4437888" y="621792"/>
                </a:moveTo>
                <a:lnTo>
                  <a:pt x="3677412" y="621792"/>
                </a:lnTo>
                <a:lnTo>
                  <a:pt x="3677412" y="824484"/>
                </a:lnTo>
                <a:lnTo>
                  <a:pt x="4437888" y="824484"/>
                </a:lnTo>
                <a:lnTo>
                  <a:pt x="4437888" y="621792"/>
                </a:lnTo>
                <a:close/>
              </a:path>
              <a:path w="7486015" h="1859280">
                <a:moveTo>
                  <a:pt x="4437888" y="414528"/>
                </a:moveTo>
                <a:lnTo>
                  <a:pt x="3677412" y="414528"/>
                </a:lnTo>
                <a:lnTo>
                  <a:pt x="3677412" y="618744"/>
                </a:lnTo>
                <a:lnTo>
                  <a:pt x="4437888" y="618744"/>
                </a:lnTo>
                <a:lnTo>
                  <a:pt x="4437888" y="414528"/>
                </a:lnTo>
                <a:close/>
              </a:path>
              <a:path w="7486015" h="1859280">
                <a:moveTo>
                  <a:pt x="4437888" y="207264"/>
                </a:moveTo>
                <a:lnTo>
                  <a:pt x="3677412" y="207264"/>
                </a:lnTo>
                <a:lnTo>
                  <a:pt x="3677412" y="411480"/>
                </a:lnTo>
                <a:lnTo>
                  <a:pt x="4437888" y="411480"/>
                </a:lnTo>
                <a:lnTo>
                  <a:pt x="4437888" y="207264"/>
                </a:lnTo>
                <a:close/>
              </a:path>
              <a:path w="7486015" h="1859280">
                <a:moveTo>
                  <a:pt x="4437888" y="0"/>
                </a:moveTo>
                <a:lnTo>
                  <a:pt x="3677412" y="0"/>
                </a:lnTo>
                <a:lnTo>
                  <a:pt x="3677412" y="204216"/>
                </a:lnTo>
                <a:lnTo>
                  <a:pt x="4437888" y="204216"/>
                </a:lnTo>
                <a:lnTo>
                  <a:pt x="4437888" y="0"/>
                </a:lnTo>
                <a:close/>
              </a:path>
              <a:path w="7486015" h="1859280">
                <a:moveTo>
                  <a:pt x="5199888" y="1655064"/>
                </a:moveTo>
                <a:lnTo>
                  <a:pt x="4440936" y="1655064"/>
                </a:lnTo>
                <a:lnTo>
                  <a:pt x="4440936" y="1859280"/>
                </a:lnTo>
                <a:lnTo>
                  <a:pt x="5199888" y="1859280"/>
                </a:lnTo>
                <a:lnTo>
                  <a:pt x="5199888" y="1655064"/>
                </a:lnTo>
                <a:close/>
              </a:path>
              <a:path w="7486015" h="1859280">
                <a:moveTo>
                  <a:pt x="5199888" y="1449324"/>
                </a:moveTo>
                <a:lnTo>
                  <a:pt x="4440936" y="1449324"/>
                </a:lnTo>
                <a:lnTo>
                  <a:pt x="4440936" y="1652016"/>
                </a:lnTo>
                <a:lnTo>
                  <a:pt x="5199888" y="1652016"/>
                </a:lnTo>
                <a:lnTo>
                  <a:pt x="5199888" y="1449324"/>
                </a:lnTo>
                <a:close/>
              </a:path>
              <a:path w="7486015" h="1859280">
                <a:moveTo>
                  <a:pt x="5199888" y="1242060"/>
                </a:moveTo>
                <a:lnTo>
                  <a:pt x="4440936" y="1242060"/>
                </a:lnTo>
                <a:lnTo>
                  <a:pt x="4440936" y="1446276"/>
                </a:lnTo>
                <a:lnTo>
                  <a:pt x="5199888" y="1446276"/>
                </a:lnTo>
                <a:lnTo>
                  <a:pt x="5199888" y="1242060"/>
                </a:lnTo>
                <a:close/>
              </a:path>
              <a:path w="7486015" h="1859280">
                <a:moveTo>
                  <a:pt x="5199888" y="1034796"/>
                </a:moveTo>
                <a:lnTo>
                  <a:pt x="4440936" y="1034796"/>
                </a:lnTo>
                <a:lnTo>
                  <a:pt x="4440936" y="1239012"/>
                </a:lnTo>
                <a:lnTo>
                  <a:pt x="5199888" y="1239012"/>
                </a:lnTo>
                <a:lnTo>
                  <a:pt x="5199888" y="1034796"/>
                </a:lnTo>
                <a:close/>
              </a:path>
              <a:path w="7486015" h="1859280">
                <a:moveTo>
                  <a:pt x="5199888" y="827532"/>
                </a:moveTo>
                <a:lnTo>
                  <a:pt x="4440936" y="827532"/>
                </a:lnTo>
                <a:lnTo>
                  <a:pt x="4440936" y="1031748"/>
                </a:lnTo>
                <a:lnTo>
                  <a:pt x="5199888" y="1031748"/>
                </a:lnTo>
                <a:lnTo>
                  <a:pt x="5199888" y="827532"/>
                </a:lnTo>
                <a:close/>
              </a:path>
              <a:path w="7486015" h="1859280">
                <a:moveTo>
                  <a:pt x="5199888" y="621792"/>
                </a:moveTo>
                <a:lnTo>
                  <a:pt x="4440936" y="621792"/>
                </a:lnTo>
                <a:lnTo>
                  <a:pt x="4440936" y="824484"/>
                </a:lnTo>
                <a:lnTo>
                  <a:pt x="5199888" y="824484"/>
                </a:lnTo>
                <a:lnTo>
                  <a:pt x="5199888" y="621792"/>
                </a:lnTo>
                <a:close/>
              </a:path>
              <a:path w="7486015" h="1859280">
                <a:moveTo>
                  <a:pt x="5199888" y="414528"/>
                </a:moveTo>
                <a:lnTo>
                  <a:pt x="4440936" y="414528"/>
                </a:lnTo>
                <a:lnTo>
                  <a:pt x="4440936" y="618744"/>
                </a:lnTo>
                <a:lnTo>
                  <a:pt x="5199888" y="618744"/>
                </a:lnTo>
                <a:lnTo>
                  <a:pt x="5199888" y="414528"/>
                </a:lnTo>
                <a:close/>
              </a:path>
              <a:path w="7486015" h="1859280">
                <a:moveTo>
                  <a:pt x="5199888" y="207264"/>
                </a:moveTo>
                <a:lnTo>
                  <a:pt x="4440936" y="207264"/>
                </a:lnTo>
                <a:lnTo>
                  <a:pt x="4440936" y="411480"/>
                </a:lnTo>
                <a:lnTo>
                  <a:pt x="5199888" y="411480"/>
                </a:lnTo>
                <a:lnTo>
                  <a:pt x="5199888" y="207264"/>
                </a:lnTo>
                <a:close/>
              </a:path>
              <a:path w="7486015" h="1859280">
                <a:moveTo>
                  <a:pt x="5199888" y="0"/>
                </a:moveTo>
                <a:lnTo>
                  <a:pt x="4440936" y="0"/>
                </a:lnTo>
                <a:lnTo>
                  <a:pt x="4440936" y="204216"/>
                </a:lnTo>
                <a:lnTo>
                  <a:pt x="5199888" y="204216"/>
                </a:lnTo>
                <a:lnTo>
                  <a:pt x="5199888" y="0"/>
                </a:lnTo>
                <a:close/>
              </a:path>
              <a:path w="7486015" h="1859280">
                <a:moveTo>
                  <a:pt x="5961875" y="1655064"/>
                </a:moveTo>
                <a:lnTo>
                  <a:pt x="5202936" y="1655064"/>
                </a:lnTo>
                <a:lnTo>
                  <a:pt x="5202936" y="1859280"/>
                </a:lnTo>
                <a:lnTo>
                  <a:pt x="5961875" y="1859280"/>
                </a:lnTo>
                <a:lnTo>
                  <a:pt x="5961875" y="1655064"/>
                </a:lnTo>
                <a:close/>
              </a:path>
              <a:path w="7486015" h="1859280">
                <a:moveTo>
                  <a:pt x="5961875" y="1449324"/>
                </a:moveTo>
                <a:lnTo>
                  <a:pt x="5202936" y="1449324"/>
                </a:lnTo>
                <a:lnTo>
                  <a:pt x="5202936" y="1652016"/>
                </a:lnTo>
                <a:lnTo>
                  <a:pt x="5961875" y="1652016"/>
                </a:lnTo>
                <a:lnTo>
                  <a:pt x="5961875" y="1449324"/>
                </a:lnTo>
                <a:close/>
              </a:path>
              <a:path w="7486015" h="1859280">
                <a:moveTo>
                  <a:pt x="5961875" y="1242060"/>
                </a:moveTo>
                <a:lnTo>
                  <a:pt x="5202936" y="1242060"/>
                </a:lnTo>
                <a:lnTo>
                  <a:pt x="5202936" y="1446276"/>
                </a:lnTo>
                <a:lnTo>
                  <a:pt x="5961875" y="1446276"/>
                </a:lnTo>
                <a:lnTo>
                  <a:pt x="5961875" y="1242060"/>
                </a:lnTo>
                <a:close/>
              </a:path>
              <a:path w="7486015" h="1859280">
                <a:moveTo>
                  <a:pt x="5961875" y="1034796"/>
                </a:moveTo>
                <a:lnTo>
                  <a:pt x="5202936" y="1034796"/>
                </a:lnTo>
                <a:lnTo>
                  <a:pt x="5202936" y="1239012"/>
                </a:lnTo>
                <a:lnTo>
                  <a:pt x="5961875" y="1239012"/>
                </a:lnTo>
                <a:lnTo>
                  <a:pt x="5961875" y="1034796"/>
                </a:lnTo>
                <a:close/>
              </a:path>
              <a:path w="7486015" h="1859280">
                <a:moveTo>
                  <a:pt x="5961875" y="827532"/>
                </a:moveTo>
                <a:lnTo>
                  <a:pt x="5202936" y="827532"/>
                </a:lnTo>
                <a:lnTo>
                  <a:pt x="5202936" y="1031748"/>
                </a:lnTo>
                <a:lnTo>
                  <a:pt x="5961875" y="1031748"/>
                </a:lnTo>
                <a:lnTo>
                  <a:pt x="5961875" y="827532"/>
                </a:lnTo>
                <a:close/>
              </a:path>
              <a:path w="7486015" h="1859280">
                <a:moveTo>
                  <a:pt x="5961875" y="621792"/>
                </a:moveTo>
                <a:lnTo>
                  <a:pt x="5202936" y="621792"/>
                </a:lnTo>
                <a:lnTo>
                  <a:pt x="5202936" y="824484"/>
                </a:lnTo>
                <a:lnTo>
                  <a:pt x="5961875" y="824484"/>
                </a:lnTo>
                <a:lnTo>
                  <a:pt x="5961875" y="621792"/>
                </a:lnTo>
                <a:close/>
              </a:path>
              <a:path w="7486015" h="1859280">
                <a:moveTo>
                  <a:pt x="5961875" y="414528"/>
                </a:moveTo>
                <a:lnTo>
                  <a:pt x="5202936" y="414528"/>
                </a:lnTo>
                <a:lnTo>
                  <a:pt x="5202936" y="618744"/>
                </a:lnTo>
                <a:lnTo>
                  <a:pt x="5961875" y="618744"/>
                </a:lnTo>
                <a:lnTo>
                  <a:pt x="5961875" y="414528"/>
                </a:lnTo>
                <a:close/>
              </a:path>
              <a:path w="7486015" h="1859280">
                <a:moveTo>
                  <a:pt x="5961875" y="207264"/>
                </a:moveTo>
                <a:lnTo>
                  <a:pt x="5202936" y="207264"/>
                </a:lnTo>
                <a:lnTo>
                  <a:pt x="5202936" y="411480"/>
                </a:lnTo>
                <a:lnTo>
                  <a:pt x="5961875" y="411480"/>
                </a:lnTo>
                <a:lnTo>
                  <a:pt x="5961875" y="207264"/>
                </a:lnTo>
                <a:close/>
              </a:path>
              <a:path w="7486015" h="1859280">
                <a:moveTo>
                  <a:pt x="5961875" y="0"/>
                </a:moveTo>
                <a:lnTo>
                  <a:pt x="5202936" y="0"/>
                </a:lnTo>
                <a:lnTo>
                  <a:pt x="5202936" y="204216"/>
                </a:lnTo>
                <a:lnTo>
                  <a:pt x="5961875" y="204216"/>
                </a:lnTo>
                <a:lnTo>
                  <a:pt x="5961875" y="0"/>
                </a:lnTo>
                <a:close/>
              </a:path>
              <a:path w="7486015" h="1859280">
                <a:moveTo>
                  <a:pt x="6723888" y="1655064"/>
                </a:moveTo>
                <a:lnTo>
                  <a:pt x="5964936" y="1655064"/>
                </a:lnTo>
                <a:lnTo>
                  <a:pt x="5964936" y="1859280"/>
                </a:lnTo>
                <a:lnTo>
                  <a:pt x="6723888" y="1859280"/>
                </a:lnTo>
                <a:lnTo>
                  <a:pt x="6723888" y="1655064"/>
                </a:lnTo>
                <a:close/>
              </a:path>
              <a:path w="7486015" h="1859280">
                <a:moveTo>
                  <a:pt x="6723888" y="1449324"/>
                </a:moveTo>
                <a:lnTo>
                  <a:pt x="5964936" y="1449324"/>
                </a:lnTo>
                <a:lnTo>
                  <a:pt x="5964936" y="1652016"/>
                </a:lnTo>
                <a:lnTo>
                  <a:pt x="6723888" y="1652016"/>
                </a:lnTo>
                <a:lnTo>
                  <a:pt x="6723888" y="1449324"/>
                </a:lnTo>
                <a:close/>
              </a:path>
              <a:path w="7486015" h="1859280">
                <a:moveTo>
                  <a:pt x="6723888" y="1242060"/>
                </a:moveTo>
                <a:lnTo>
                  <a:pt x="5964936" y="1242060"/>
                </a:lnTo>
                <a:lnTo>
                  <a:pt x="5964936" y="1446276"/>
                </a:lnTo>
                <a:lnTo>
                  <a:pt x="6723888" y="1446276"/>
                </a:lnTo>
                <a:lnTo>
                  <a:pt x="6723888" y="1242060"/>
                </a:lnTo>
                <a:close/>
              </a:path>
              <a:path w="7486015" h="1859280">
                <a:moveTo>
                  <a:pt x="6723888" y="1034796"/>
                </a:moveTo>
                <a:lnTo>
                  <a:pt x="5964936" y="1034796"/>
                </a:lnTo>
                <a:lnTo>
                  <a:pt x="5964936" y="1239012"/>
                </a:lnTo>
                <a:lnTo>
                  <a:pt x="6723888" y="1239012"/>
                </a:lnTo>
                <a:lnTo>
                  <a:pt x="6723888" y="1034796"/>
                </a:lnTo>
                <a:close/>
              </a:path>
              <a:path w="7486015" h="1859280">
                <a:moveTo>
                  <a:pt x="6723888" y="827532"/>
                </a:moveTo>
                <a:lnTo>
                  <a:pt x="5964936" y="827532"/>
                </a:lnTo>
                <a:lnTo>
                  <a:pt x="5964936" y="1031748"/>
                </a:lnTo>
                <a:lnTo>
                  <a:pt x="6723888" y="1031748"/>
                </a:lnTo>
                <a:lnTo>
                  <a:pt x="6723888" y="827532"/>
                </a:lnTo>
                <a:close/>
              </a:path>
              <a:path w="7486015" h="1859280">
                <a:moveTo>
                  <a:pt x="6723888" y="621792"/>
                </a:moveTo>
                <a:lnTo>
                  <a:pt x="5964936" y="621792"/>
                </a:lnTo>
                <a:lnTo>
                  <a:pt x="5964936" y="824484"/>
                </a:lnTo>
                <a:lnTo>
                  <a:pt x="6723888" y="824484"/>
                </a:lnTo>
                <a:lnTo>
                  <a:pt x="6723888" y="621792"/>
                </a:lnTo>
                <a:close/>
              </a:path>
              <a:path w="7486015" h="1859280">
                <a:moveTo>
                  <a:pt x="6723888" y="414528"/>
                </a:moveTo>
                <a:lnTo>
                  <a:pt x="5964936" y="414528"/>
                </a:lnTo>
                <a:lnTo>
                  <a:pt x="5964936" y="618744"/>
                </a:lnTo>
                <a:lnTo>
                  <a:pt x="6723888" y="618744"/>
                </a:lnTo>
                <a:lnTo>
                  <a:pt x="6723888" y="414528"/>
                </a:lnTo>
                <a:close/>
              </a:path>
              <a:path w="7486015" h="1859280">
                <a:moveTo>
                  <a:pt x="6723888" y="207264"/>
                </a:moveTo>
                <a:lnTo>
                  <a:pt x="5964936" y="207264"/>
                </a:lnTo>
                <a:lnTo>
                  <a:pt x="5964936" y="411480"/>
                </a:lnTo>
                <a:lnTo>
                  <a:pt x="6723888" y="411480"/>
                </a:lnTo>
                <a:lnTo>
                  <a:pt x="6723888" y="207264"/>
                </a:lnTo>
                <a:close/>
              </a:path>
              <a:path w="7486015" h="1859280">
                <a:moveTo>
                  <a:pt x="6723888" y="0"/>
                </a:moveTo>
                <a:lnTo>
                  <a:pt x="5964936" y="0"/>
                </a:lnTo>
                <a:lnTo>
                  <a:pt x="5964936" y="204216"/>
                </a:lnTo>
                <a:lnTo>
                  <a:pt x="6723888" y="204216"/>
                </a:lnTo>
                <a:lnTo>
                  <a:pt x="6723888" y="0"/>
                </a:lnTo>
                <a:close/>
              </a:path>
              <a:path w="7486015" h="1859280">
                <a:moveTo>
                  <a:pt x="7485888" y="1449324"/>
                </a:moveTo>
                <a:lnTo>
                  <a:pt x="6726936" y="1449324"/>
                </a:lnTo>
                <a:lnTo>
                  <a:pt x="6726936" y="1652016"/>
                </a:lnTo>
                <a:lnTo>
                  <a:pt x="7485888" y="1652016"/>
                </a:lnTo>
                <a:lnTo>
                  <a:pt x="7485888" y="1449324"/>
                </a:lnTo>
                <a:close/>
              </a:path>
              <a:path w="7486015" h="1859280">
                <a:moveTo>
                  <a:pt x="7485888" y="1242060"/>
                </a:moveTo>
                <a:lnTo>
                  <a:pt x="6726936" y="1242060"/>
                </a:lnTo>
                <a:lnTo>
                  <a:pt x="6726936" y="1446276"/>
                </a:lnTo>
                <a:lnTo>
                  <a:pt x="7485888" y="1446276"/>
                </a:lnTo>
                <a:lnTo>
                  <a:pt x="7485888" y="1242060"/>
                </a:lnTo>
                <a:close/>
              </a:path>
              <a:path w="7486015" h="1859280">
                <a:moveTo>
                  <a:pt x="7485888" y="1034796"/>
                </a:moveTo>
                <a:lnTo>
                  <a:pt x="6726936" y="1034796"/>
                </a:lnTo>
                <a:lnTo>
                  <a:pt x="6726936" y="1239012"/>
                </a:lnTo>
                <a:lnTo>
                  <a:pt x="7485888" y="1239012"/>
                </a:lnTo>
                <a:lnTo>
                  <a:pt x="7485888" y="1034796"/>
                </a:lnTo>
                <a:close/>
              </a:path>
              <a:path w="7486015" h="1859280">
                <a:moveTo>
                  <a:pt x="7485888" y="827532"/>
                </a:moveTo>
                <a:lnTo>
                  <a:pt x="6726936" y="827532"/>
                </a:lnTo>
                <a:lnTo>
                  <a:pt x="6726936" y="1031748"/>
                </a:lnTo>
                <a:lnTo>
                  <a:pt x="7485888" y="1031748"/>
                </a:lnTo>
                <a:lnTo>
                  <a:pt x="7485888" y="827532"/>
                </a:lnTo>
                <a:close/>
              </a:path>
              <a:path w="7486015" h="1859280">
                <a:moveTo>
                  <a:pt x="7485888" y="621792"/>
                </a:moveTo>
                <a:lnTo>
                  <a:pt x="6726936" y="621792"/>
                </a:lnTo>
                <a:lnTo>
                  <a:pt x="6726936" y="824484"/>
                </a:lnTo>
                <a:lnTo>
                  <a:pt x="7485888" y="824484"/>
                </a:lnTo>
                <a:lnTo>
                  <a:pt x="7485888" y="621792"/>
                </a:lnTo>
                <a:close/>
              </a:path>
              <a:path w="7486015" h="1859280">
                <a:moveTo>
                  <a:pt x="7485888" y="414528"/>
                </a:moveTo>
                <a:lnTo>
                  <a:pt x="6726936" y="414528"/>
                </a:lnTo>
                <a:lnTo>
                  <a:pt x="6726936" y="618744"/>
                </a:lnTo>
                <a:lnTo>
                  <a:pt x="7485888" y="618744"/>
                </a:lnTo>
                <a:lnTo>
                  <a:pt x="7485888" y="414528"/>
                </a:lnTo>
                <a:close/>
              </a:path>
              <a:path w="7486015" h="1859280">
                <a:moveTo>
                  <a:pt x="7485888" y="207264"/>
                </a:moveTo>
                <a:lnTo>
                  <a:pt x="6726936" y="207264"/>
                </a:lnTo>
                <a:lnTo>
                  <a:pt x="6726936" y="411480"/>
                </a:lnTo>
                <a:lnTo>
                  <a:pt x="7485888" y="411480"/>
                </a:lnTo>
                <a:lnTo>
                  <a:pt x="7485888" y="207264"/>
                </a:lnTo>
                <a:close/>
              </a:path>
              <a:path w="7486015" h="1859280">
                <a:moveTo>
                  <a:pt x="7485888" y="0"/>
                </a:moveTo>
                <a:lnTo>
                  <a:pt x="6726936" y="0"/>
                </a:lnTo>
                <a:lnTo>
                  <a:pt x="6726936" y="204216"/>
                </a:lnTo>
                <a:lnTo>
                  <a:pt x="7485888" y="204216"/>
                </a:lnTo>
                <a:lnTo>
                  <a:pt x="7485888" y="0"/>
                </a:lnTo>
                <a:close/>
              </a:path>
            </a:pathLst>
          </a:custGeom>
          <a:solidFill>
            <a:srgbClr val="FFFFFF"/>
          </a:solidFill>
        </xdr:spPr>
      </xdr:sp>
      <xdr:sp macro="" textlink="">
        <xdr:nvSpPr>
          <xdr:cNvPr id="42" name="Shape 42">
            <a:extLst>
              <a:ext uri="{FF2B5EF4-FFF2-40B4-BE49-F238E27FC236}">
                <a16:creationId xmlns:a16="http://schemas.microsoft.com/office/drawing/2014/main" id="{00000000-0008-0000-0300-00002A000000}"/>
              </a:ext>
            </a:extLst>
          </xdr:cNvPr>
          <xdr:cNvSpPr/>
        </xdr:nvSpPr>
        <xdr:spPr>
          <a:xfrm>
            <a:off x="0" y="1655063"/>
            <a:ext cx="7486015" cy="2164080"/>
          </a:xfrm>
          <a:custGeom>
            <a:avLst/>
            <a:gdLst/>
            <a:ahLst/>
            <a:cxnLst/>
            <a:rect l="0" t="0" r="0" b="0"/>
            <a:pathLst>
              <a:path w="7486015" h="2164080">
                <a:moveTo>
                  <a:pt x="312420" y="1752600"/>
                </a:moveTo>
                <a:lnTo>
                  <a:pt x="0" y="1752600"/>
                </a:lnTo>
                <a:lnTo>
                  <a:pt x="0" y="2164080"/>
                </a:lnTo>
                <a:lnTo>
                  <a:pt x="312420" y="2164080"/>
                </a:lnTo>
                <a:lnTo>
                  <a:pt x="312420" y="1752600"/>
                </a:lnTo>
                <a:close/>
              </a:path>
              <a:path w="7486015" h="2164080">
                <a:moveTo>
                  <a:pt x="312420" y="1336548"/>
                </a:moveTo>
                <a:lnTo>
                  <a:pt x="0" y="1336548"/>
                </a:lnTo>
                <a:lnTo>
                  <a:pt x="0" y="1749552"/>
                </a:lnTo>
                <a:lnTo>
                  <a:pt x="312420" y="1749552"/>
                </a:lnTo>
                <a:lnTo>
                  <a:pt x="312420" y="1336548"/>
                </a:lnTo>
                <a:close/>
              </a:path>
              <a:path w="7486015" h="2164080">
                <a:moveTo>
                  <a:pt x="312420" y="1036320"/>
                </a:moveTo>
                <a:lnTo>
                  <a:pt x="0" y="1036320"/>
                </a:lnTo>
                <a:lnTo>
                  <a:pt x="0" y="1333500"/>
                </a:lnTo>
                <a:lnTo>
                  <a:pt x="312420" y="1333500"/>
                </a:lnTo>
                <a:lnTo>
                  <a:pt x="312420" y="1036320"/>
                </a:lnTo>
                <a:close/>
              </a:path>
              <a:path w="7486015" h="2164080">
                <a:moveTo>
                  <a:pt x="312420" y="416052"/>
                </a:moveTo>
                <a:lnTo>
                  <a:pt x="0" y="416052"/>
                </a:lnTo>
                <a:lnTo>
                  <a:pt x="0" y="1033272"/>
                </a:lnTo>
                <a:lnTo>
                  <a:pt x="312420" y="1033272"/>
                </a:lnTo>
                <a:lnTo>
                  <a:pt x="312420" y="416052"/>
                </a:lnTo>
                <a:close/>
              </a:path>
              <a:path w="7486015" h="2164080">
                <a:moveTo>
                  <a:pt x="312420" y="0"/>
                </a:moveTo>
                <a:lnTo>
                  <a:pt x="0" y="0"/>
                </a:lnTo>
                <a:lnTo>
                  <a:pt x="0" y="413004"/>
                </a:lnTo>
                <a:lnTo>
                  <a:pt x="312420" y="413004"/>
                </a:lnTo>
                <a:lnTo>
                  <a:pt x="312420" y="0"/>
                </a:lnTo>
                <a:close/>
              </a:path>
              <a:path w="7486015" h="2164080">
                <a:moveTo>
                  <a:pt x="1264920" y="1336548"/>
                </a:moveTo>
                <a:lnTo>
                  <a:pt x="315468" y="1336548"/>
                </a:lnTo>
                <a:lnTo>
                  <a:pt x="315468" y="1749552"/>
                </a:lnTo>
                <a:lnTo>
                  <a:pt x="1264920" y="1749552"/>
                </a:lnTo>
                <a:lnTo>
                  <a:pt x="1264920" y="1336548"/>
                </a:lnTo>
                <a:close/>
              </a:path>
              <a:path w="7486015" h="2164080">
                <a:moveTo>
                  <a:pt x="1264920" y="1036320"/>
                </a:moveTo>
                <a:lnTo>
                  <a:pt x="315468" y="1036320"/>
                </a:lnTo>
                <a:lnTo>
                  <a:pt x="315468" y="1333500"/>
                </a:lnTo>
                <a:lnTo>
                  <a:pt x="1264920" y="1333500"/>
                </a:lnTo>
                <a:lnTo>
                  <a:pt x="1264920" y="1036320"/>
                </a:lnTo>
                <a:close/>
              </a:path>
              <a:path w="7486015" h="2164080">
                <a:moveTo>
                  <a:pt x="1264920" y="416052"/>
                </a:moveTo>
                <a:lnTo>
                  <a:pt x="315468" y="416052"/>
                </a:lnTo>
                <a:lnTo>
                  <a:pt x="315468" y="1033272"/>
                </a:lnTo>
                <a:lnTo>
                  <a:pt x="1264920" y="1033272"/>
                </a:lnTo>
                <a:lnTo>
                  <a:pt x="1264920" y="416052"/>
                </a:lnTo>
                <a:close/>
              </a:path>
              <a:path w="7486015" h="2164080">
                <a:moveTo>
                  <a:pt x="1264920" y="0"/>
                </a:moveTo>
                <a:lnTo>
                  <a:pt x="315468" y="0"/>
                </a:lnTo>
                <a:lnTo>
                  <a:pt x="315468" y="413004"/>
                </a:lnTo>
                <a:lnTo>
                  <a:pt x="1264920" y="413004"/>
                </a:lnTo>
                <a:lnTo>
                  <a:pt x="1264920" y="0"/>
                </a:lnTo>
                <a:close/>
              </a:path>
              <a:path w="7486015" h="2164080">
                <a:moveTo>
                  <a:pt x="2531364" y="1336548"/>
                </a:moveTo>
                <a:lnTo>
                  <a:pt x="1267968" y="1336548"/>
                </a:lnTo>
                <a:lnTo>
                  <a:pt x="1267968" y="1749552"/>
                </a:lnTo>
                <a:lnTo>
                  <a:pt x="2531364" y="1749552"/>
                </a:lnTo>
                <a:lnTo>
                  <a:pt x="2531364" y="1336548"/>
                </a:lnTo>
                <a:close/>
              </a:path>
              <a:path w="7486015" h="2164080">
                <a:moveTo>
                  <a:pt x="2531364" y="1036320"/>
                </a:moveTo>
                <a:lnTo>
                  <a:pt x="1267968" y="1036320"/>
                </a:lnTo>
                <a:lnTo>
                  <a:pt x="1267968" y="1333500"/>
                </a:lnTo>
                <a:lnTo>
                  <a:pt x="2531364" y="1333500"/>
                </a:lnTo>
                <a:lnTo>
                  <a:pt x="2531364" y="1036320"/>
                </a:lnTo>
                <a:close/>
              </a:path>
              <a:path w="7486015" h="2164080">
                <a:moveTo>
                  <a:pt x="2531364" y="416052"/>
                </a:moveTo>
                <a:lnTo>
                  <a:pt x="1267968" y="416052"/>
                </a:lnTo>
                <a:lnTo>
                  <a:pt x="1267968" y="1033272"/>
                </a:lnTo>
                <a:lnTo>
                  <a:pt x="2531364" y="1033272"/>
                </a:lnTo>
                <a:lnTo>
                  <a:pt x="2531364" y="416052"/>
                </a:lnTo>
                <a:close/>
              </a:path>
              <a:path w="7486015" h="2164080">
                <a:moveTo>
                  <a:pt x="2531364" y="0"/>
                </a:moveTo>
                <a:lnTo>
                  <a:pt x="1267968" y="0"/>
                </a:lnTo>
                <a:lnTo>
                  <a:pt x="1267968" y="413004"/>
                </a:lnTo>
                <a:lnTo>
                  <a:pt x="2531364" y="413004"/>
                </a:lnTo>
                <a:lnTo>
                  <a:pt x="2531364" y="0"/>
                </a:lnTo>
                <a:close/>
              </a:path>
              <a:path w="7486015" h="2164080">
                <a:moveTo>
                  <a:pt x="3037332" y="1752600"/>
                </a:moveTo>
                <a:lnTo>
                  <a:pt x="2534412" y="1752600"/>
                </a:lnTo>
                <a:lnTo>
                  <a:pt x="2534412" y="1956816"/>
                </a:lnTo>
                <a:lnTo>
                  <a:pt x="3037332" y="1956816"/>
                </a:lnTo>
                <a:lnTo>
                  <a:pt x="3037332" y="1752600"/>
                </a:lnTo>
                <a:close/>
              </a:path>
              <a:path w="7486015" h="2164080">
                <a:moveTo>
                  <a:pt x="3037332" y="1543812"/>
                </a:moveTo>
                <a:lnTo>
                  <a:pt x="2534412" y="1543812"/>
                </a:lnTo>
                <a:lnTo>
                  <a:pt x="2534412" y="1749552"/>
                </a:lnTo>
                <a:lnTo>
                  <a:pt x="3037332" y="1749552"/>
                </a:lnTo>
                <a:lnTo>
                  <a:pt x="3037332" y="1543812"/>
                </a:lnTo>
                <a:close/>
              </a:path>
              <a:path w="7486015" h="2164080">
                <a:moveTo>
                  <a:pt x="3037332" y="1336548"/>
                </a:moveTo>
                <a:lnTo>
                  <a:pt x="2534412" y="1336548"/>
                </a:lnTo>
                <a:lnTo>
                  <a:pt x="2534412" y="1540764"/>
                </a:lnTo>
                <a:lnTo>
                  <a:pt x="3037332" y="1540764"/>
                </a:lnTo>
                <a:lnTo>
                  <a:pt x="3037332" y="1336548"/>
                </a:lnTo>
                <a:close/>
              </a:path>
              <a:path w="7486015" h="2164080">
                <a:moveTo>
                  <a:pt x="3037332" y="1036320"/>
                </a:moveTo>
                <a:lnTo>
                  <a:pt x="2534412" y="1036320"/>
                </a:lnTo>
                <a:lnTo>
                  <a:pt x="2534412" y="1333500"/>
                </a:lnTo>
                <a:lnTo>
                  <a:pt x="3037332" y="1333500"/>
                </a:lnTo>
                <a:lnTo>
                  <a:pt x="3037332" y="1036320"/>
                </a:lnTo>
                <a:close/>
              </a:path>
              <a:path w="7486015" h="2164080">
                <a:moveTo>
                  <a:pt x="3037332" y="829056"/>
                </a:moveTo>
                <a:lnTo>
                  <a:pt x="2534412" y="829056"/>
                </a:lnTo>
                <a:lnTo>
                  <a:pt x="2534412" y="1033272"/>
                </a:lnTo>
                <a:lnTo>
                  <a:pt x="3037332" y="1033272"/>
                </a:lnTo>
                <a:lnTo>
                  <a:pt x="3037332" y="829056"/>
                </a:lnTo>
                <a:close/>
              </a:path>
              <a:path w="7486015" h="2164080">
                <a:moveTo>
                  <a:pt x="3037332" y="623316"/>
                </a:moveTo>
                <a:lnTo>
                  <a:pt x="2534412" y="623316"/>
                </a:lnTo>
                <a:lnTo>
                  <a:pt x="2534412" y="826008"/>
                </a:lnTo>
                <a:lnTo>
                  <a:pt x="3037332" y="826008"/>
                </a:lnTo>
                <a:lnTo>
                  <a:pt x="3037332" y="623316"/>
                </a:lnTo>
                <a:close/>
              </a:path>
              <a:path w="7486015" h="2164080">
                <a:moveTo>
                  <a:pt x="3037332" y="416052"/>
                </a:moveTo>
                <a:lnTo>
                  <a:pt x="2534412" y="416052"/>
                </a:lnTo>
                <a:lnTo>
                  <a:pt x="2534412" y="620268"/>
                </a:lnTo>
                <a:lnTo>
                  <a:pt x="3037332" y="620268"/>
                </a:lnTo>
                <a:lnTo>
                  <a:pt x="3037332" y="416052"/>
                </a:lnTo>
                <a:close/>
              </a:path>
              <a:path w="7486015" h="2164080">
                <a:moveTo>
                  <a:pt x="3037332" y="207264"/>
                </a:moveTo>
                <a:lnTo>
                  <a:pt x="2534412" y="207264"/>
                </a:lnTo>
                <a:lnTo>
                  <a:pt x="2534412" y="413004"/>
                </a:lnTo>
                <a:lnTo>
                  <a:pt x="3037332" y="413004"/>
                </a:lnTo>
                <a:lnTo>
                  <a:pt x="3037332" y="207264"/>
                </a:lnTo>
                <a:close/>
              </a:path>
              <a:path w="7486015" h="2164080">
                <a:moveTo>
                  <a:pt x="3674364" y="1752600"/>
                </a:moveTo>
                <a:lnTo>
                  <a:pt x="3040380" y="1752600"/>
                </a:lnTo>
                <a:lnTo>
                  <a:pt x="3040380" y="1956816"/>
                </a:lnTo>
                <a:lnTo>
                  <a:pt x="3674364" y="1956816"/>
                </a:lnTo>
                <a:lnTo>
                  <a:pt x="3674364" y="1752600"/>
                </a:lnTo>
                <a:close/>
              </a:path>
              <a:path w="7486015" h="2164080">
                <a:moveTo>
                  <a:pt x="3674364" y="1543812"/>
                </a:moveTo>
                <a:lnTo>
                  <a:pt x="3040380" y="1543812"/>
                </a:lnTo>
                <a:lnTo>
                  <a:pt x="3040380" y="1749552"/>
                </a:lnTo>
                <a:lnTo>
                  <a:pt x="3674364" y="1749552"/>
                </a:lnTo>
                <a:lnTo>
                  <a:pt x="3674364" y="1543812"/>
                </a:lnTo>
                <a:close/>
              </a:path>
              <a:path w="7486015" h="2164080">
                <a:moveTo>
                  <a:pt x="3674364" y="1336548"/>
                </a:moveTo>
                <a:lnTo>
                  <a:pt x="3040380" y="1336548"/>
                </a:lnTo>
                <a:lnTo>
                  <a:pt x="3040380" y="1540764"/>
                </a:lnTo>
                <a:lnTo>
                  <a:pt x="3674364" y="1540764"/>
                </a:lnTo>
                <a:lnTo>
                  <a:pt x="3674364" y="1336548"/>
                </a:lnTo>
                <a:close/>
              </a:path>
              <a:path w="7486015" h="2164080">
                <a:moveTo>
                  <a:pt x="3674364" y="1036320"/>
                </a:moveTo>
                <a:lnTo>
                  <a:pt x="3040380" y="1036320"/>
                </a:lnTo>
                <a:lnTo>
                  <a:pt x="3040380" y="1333500"/>
                </a:lnTo>
                <a:lnTo>
                  <a:pt x="3674364" y="1333500"/>
                </a:lnTo>
                <a:lnTo>
                  <a:pt x="3674364" y="1036320"/>
                </a:lnTo>
                <a:close/>
              </a:path>
              <a:path w="7486015" h="2164080">
                <a:moveTo>
                  <a:pt x="3674364" y="829056"/>
                </a:moveTo>
                <a:lnTo>
                  <a:pt x="3040380" y="829056"/>
                </a:lnTo>
                <a:lnTo>
                  <a:pt x="3040380" y="1033272"/>
                </a:lnTo>
                <a:lnTo>
                  <a:pt x="3674364" y="1033272"/>
                </a:lnTo>
                <a:lnTo>
                  <a:pt x="3674364" y="829056"/>
                </a:lnTo>
                <a:close/>
              </a:path>
              <a:path w="7486015" h="2164080">
                <a:moveTo>
                  <a:pt x="3674364" y="623316"/>
                </a:moveTo>
                <a:lnTo>
                  <a:pt x="3040380" y="623316"/>
                </a:lnTo>
                <a:lnTo>
                  <a:pt x="3040380" y="826008"/>
                </a:lnTo>
                <a:lnTo>
                  <a:pt x="3674364" y="826008"/>
                </a:lnTo>
                <a:lnTo>
                  <a:pt x="3674364" y="623316"/>
                </a:lnTo>
                <a:close/>
              </a:path>
              <a:path w="7486015" h="2164080">
                <a:moveTo>
                  <a:pt x="3674364" y="416052"/>
                </a:moveTo>
                <a:lnTo>
                  <a:pt x="3040380" y="416052"/>
                </a:lnTo>
                <a:lnTo>
                  <a:pt x="3040380" y="620268"/>
                </a:lnTo>
                <a:lnTo>
                  <a:pt x="3674364" y="620268"/>
                </a:lnTo>
                <a:lnTo>
                  <a:pt x="3674364" y="416052"/>
                </a:lnTo>
                <a:close/>
              </a:path>
              <a:path w="7486015" h="2164080">
                <a:moveTo>
                  <a:pt x="3674364" y="207264"/>
                </a:moveTo>
                <a:lnTo>
                  <a:pt x="3040380" y="207264"/>
                </a:lnTo>
                <a:lnTo>
                  <a:pt x="3040380" y="413004"/>
                </a:lnTo>
                <a:lnTo>
                  <a:pt x="3674364" y="413004"/>
                </a:lnTo>
                <a:lnTo>
                  <a:pt x="3674364" y="207264"/>
                </a:lnTo>
                <a:close/>
              </a:path>
              <a:path w="7486015" h="2164080">
                <a:moveTo>
                  <a:pt x="4437888" y="1752600"/>
                </a:moveTo>
                <a:lnTo>
                  <a:pt x="3677412" y="1752600"/>
                </a:lnTo>
                <a:lnTo>
                  <a:pt x="3677412" y="1956816"/>
                </a:lnTo>
                <a:lnTo>
                  <a:pt x="4437888" y="1956816"/>
                </a:lnTo>
                <a:lnTo>
                  <a:pt x="4437888" y="1752600"/>
                </a:lnTo>
                <a:close/>
              </a:path>
              <a:path w="7486015" h="2164080">
                <a:moveTo>
                  <a:pt x="4437888" y="1543812"/>
                </a:moveTo>
                <a:lnTo>
                  <a:pt x="3677412" y="1543812"/>
                </a:lnTo>
                <a:lnTo>
                  <a:pt x="3677412" y="1749552"/>
                </a:lnTo>
                <a:lnTo>
                  <a:pt x="4437888" y="1749552"/>
                </a:lnTo>
                <a:lnTo>
                  <a:pt x="4437888" y="1543812"/>
                </a:lnTo>
                <a:close/>
              </a:path>
              <a:path w="7486015" h="2164080">
                <a:moveTo>
                  <a:pt x="4437888" y="1336548"/>
                </a:moveTo>
                <a:lnTo>
                  <a:pt x="3677412" y="1336548"/>
                </a:lnTo>
                <a:lnTo>
                  <a:pt x="3677412" y="1540764"/>
                </a:lnTo>
                <a:lnTo>
                  <a:pt x="4437888" y="1540764"/>
                </a:lnTo>
                <a:lnTo>
                  <a:pt x="4437888" y="1336548"/>
                </a:lnTo>
                <a:close/>
              </a:path>
              <a:path w="7486015" h="2164080">
                <a:moveTo>
                  <a:pt x="4437888" y="1036320"/>
                </a:moveTo>
                <a:lnTo>
                  <a:pt x="3677412" y="1036320"/>
                </a:lnTo>
                <a:lnTo>
                  <a:pt x="3677412" y="1333500"/>
                </a:lnTo>
                <a:lnTo>
                  <a:pt x="4437888" y="1333500"/>
                </a:lnTo>
                <a:lnTo>
                  <a:pt x="4437888" y="1036320"/>
                </a:lnTo>
                <a:close/>
              </a:path>
              <a:path w="7486015" h="2164080">
                <a:moveTo>
                  <a:pt x="4437888" y="829056"/>
                </a:moveTo>
                <a:lnTo>
                  <a:pt x="3677412" y="829056"/>
                </a:lnTo>
                <a:lnTo>
                  <a:pt x="3677412" y="1033272"/>
                </a:lnTo>
                <a:lnTo>
                  <a:pt x="4437888" y="1033272"/>
                </a:lnTo>
                <a:lnTo>
                  <a:pt x="4437888" y="829056"/>
                </a:lnTo>
                <a:close/>
              </a:path>
              <a:path w="7486015" h="2164080">
                <a:moveTo>
                  <a:pt x="4437888" y="623316"/>
                </a:moveTo>
                <a:lnTo>
                  <a:pt x="3677412" y="623316"/>
                </a:lnTo>
                <a:lnTo>
                  <a:pt x="3677412" y="826008"/>
                </a:lnTo>
                <a:lnTo>
                  <a:pt x="4437888" y="826008"/>
                </a:lnTo>
                <a:lnTo>
                  <a:pt x="4437888" y="623316"/>
                </a:lnTo>
                <a:close/>
              </a:path>
              <a:path w="7486015" h="2164080">
                <a:moveTo>
                  <a:pt x="4437888" y="416052"/>
                </a:moveTo>
                <a:lnTo>
                  <a:pt x="3677412" y="416052"/>
                </a:lnTo>
                <a:lnTo>
                  <a:pt x="3677412" y="620268"/>
                </a:lnTo>
                <a:lnTo>
                  <a:pt x="4437888" y="620268"/>
                </a:lnTo>
                <a:lnTo>
                  <a:pt x="4437888" y="416052"/>
                </a:lnTo>
                <a:close/>
              </a:path>
              <a:path w="7486015" h="2164080">
                <a:moveTo>
                  <a:pt x="4437888" y="207264"/>
                </a:moveTo>
                <a:lnTo>
                  <a:pt x="3677412" y="207264"/>
                </a:lnTo>
                <a:lnTo>
                  <a:pt x="3677412" y="413004"/>
                </a:lnTo>
                <a:lnTo>
                  <a:pt x="4437888" y="413004"/>
                </a:lnTo>
                <a:lnTo>
                  <a:pt x="4437888" y="207264"/>
                </a:lnTo>
                <a:close/>
              </a:path>
              <a:path w="7486015" h="2164080">
                <a:moveTo>
                  <a:pt x="5199888" y="1752600"/>
                </a:moveTo>
                <a:lnTo>
                  <a:pt x="4440936" y="1752600"/>
                </a:lnTo>
                <a:lnTo>
                  <a:pt x="4440936" y="1956816"/>
                </a:lnTo>
                <a:lnTo>
                  <a:pt x="5199888" y="1956816"/>
                </a:lnTo>
                <a:lnTo>
                  <a:pt x="5199888" y="1752600"/>
                </a:lnTo>
                <a:close/>
              </a:path>
              <a:path w="7486015" h="2164080">
                <a:moveTo>
                  <a:pt x="5199888" y="1543812"/>
                </a:moveTo>
                <a:lnTo>
                  <a:pt x="4440936" y="1543812"/>
                </a:lnTo>
                <a:lnTo>
                  <a:pt x="4440936" y="1749552"/>
                </a:lnTo>
                <a:lnTo>
                  <a:pt x="5199888" y="1749552"/>
                </a:lnTo>
                <a:lnTo>
                  <a:pt x="5199888" y="1543812"/>
                </a:lnTo>
                <a:close/>
              </a:path>
              <a:path w="7486015" h="2164080">
                <a:moveTo>
                  <a:pt x="5199888" y="1336548"/>
                </a:moveTo>
                <a:lnTo>
                  <a:pt x="4440936" y="1336548"/>
                </a:lnTo>
                <a:lnTo>
                  <a:pt x="4440936" y="1540764"/>
                </a:lnTo>
                <a:lnTo>
                  <a:pt x="5199888" y="1540764"/>
                </a:lnTo>
                <a:lnTo>
                  <a:pt x="5199888" y="1336548"/>
                </a:lnTo>
                <a:close/>
              </a:path>
              <a:path w="7486015" h="2164080">
                <a:moveTo>
                  <a:pt x="5199888" y="1036320"/>
                </a:moveTo>
                <a:lnTo>
                  <a:pt x="4440936" y="1036320"/>
                </a:lnTo>
                <a:lnTo>
                  <a:pt x="4440936" y="1333500"/>
                </a:lnTo>
                <a:lnTo>
                  <a:pt x="5199888" y="1333500"/>
                </a:lnTo>
                <a:lnTo>
                  <a:pt x="5199888" y="1036320"/>
                </a:lnTo>
                <a:close/>
              </a:path>
              <a:path w="7486015" h="2164080">
                <a:moveTo>
                  <a:pt x="5199888" y="829056"/>
                </a:moveTo>
                <a:lnTo>
                  <a:pt x="4440936" y="829056"/>
                </a:lnTo>
                <a:lnTo>
                  <a:pt x="4440936" y="1033272"/>
                </a:lnTo>
                <a:lnTo>
                  <a:pt x="5199888" y="1033272"/>
                </a:lnTo>
                <a:lnTo>
                  <a:pt x="5199888" y="829056"/>
                </a:lnTo>
                <a:close/>
              </a:path>
              <a:path w="7486015" h="2164080">
                <a:moveTo>
                  <a:pt x="5199888" y="623316"/>
                </a:moveTo>
                <a:lnTo>
                  <a:pt x="4440936" y="623316"/>
                </a:lnTo>
                <a:lnTo>
                  <a:pt x="4440936" y="826008"/>
                </a:lnTo>
                <a:lnTo>
                  <a:pt x="5199888" y="826008"/>
                </a:lnTo>
                <a:lnTo>
                  <a:pt x="5199888" y="623316"/>
                </a:lnTo>
                <a:close/>
              </a:path>
              <a:path w="7486015" h="2164080">
                <a:moveTo>
                  <a:pt x="5199888" y="416052"/>
                </a:moveTo>
                <a:lnTo>
                  <a:pt x="4440936" y="416052"/>
                </a:lnTo>
                <a:lnTo>
                  <a:pt x="4440936" y="620268"/>
                </a:lnTo>
                <a:lnTo>
                  <a:pt x="5199888" y="620268"/>
                </a:lnTo>
                <a:lnTo>
                  <a:pt x="5199888" y="416052"/>
                </a:lnTo>
                <a:close/>
              </a:path>
              <a:path w="7486015" h="2164080">
                <a:moveTo>
                  <a:pt x="5199888" y="207264"/>
                </a:moveTo>
                <a:lnTo>
                  <a:pt x="4440936" y="207264"/>
                </a:lnTo>
                <a:lnTo>
                  <a:pt x="4440936" y="413004"/>
                </a:lnTo>
                <a:lnTo>
                  <a:pt x="5199888" y="413004"/>
                </a:lnTo>
                <a:lnTo>
                  <a:pt x="5199888" y="207264"/>
                </a:lnTo>
                <a:close/>
              </a:path>
              <a:path w="7486015" h="2164080">
                <a:moveTo>
                  <a:pt x="5961875" y="1752600"/>
                </a:moveTo>
                <a:lnTo>
                  <a:pt x="5202936" y="1752600"/>
                </a:lnTo>
                <a:lnTo>
                  <a:pt x="5202936" y="1956816"/>
                </a:lnTo>
                <a:lnTo>
                  <a:pt x="5961875" y="1956816"/>
                </a:lnTo>
                <a:lnTo>
                  <a:pt x="5961875" y="1752600"/>
                </a:lnTo>
                <a:close/>
              </a:path>
              <a:path w="7486015" h="2164080">
                <a:moveTo>
                  <a:pt x="5961875" y="1543812"/>
                </a:moveTo>
                <a:lnTo>
                  <a:pt x="5202936" y="1543812"/>
                </a:lnTo>
                <a:lnTo>
                  <a:pt x="5202936" y="1749552"/>
                </a:lnTo>
                <a:lnTo>
                  <a:pt x="5961875" y="1749552"/>
                </a:lnTo>
                <a:lnTo>
                  <a:pt x="5961875" y="1543812"/>
                </a:lnTo>
                <a:close/>
              </a:path>
              <a:path w="7486015" h="2164080">
                <a:moveTo>
                  <a:pt x="5961875" y="1336548"/>
                </a:moveTo>
                <a:lnTo>
                  <a:pt x="5202936" y="1336548"/>
                </a:lnTo>
                <a:lnTo>
                  <a:pt x="5202936" y="1540764"/>
                </a:lnTo>
                <a:lnTo>
                  <a:pt x="5961875" y="1540764"/>
                </a:lnTo>
                <a:lnTo>
                  <a:pt x="5961875" y="1336548"/>
                </a:lnTo>
                <a:close/>
              </a:path>
              <a:path w="7486015" h="2164080">
                <a:moveTo>
                  <a:pt x="5961875" y="1036320"/>
                </a:moveTo>
                <a:lnTo>
                  <a:pt x="5202936" y="1036320"/>
                </a:lnTo>
                <a:lnTo>
                  <a:pt x="5202936" y="1333500"/>
                </a:lnTo>
                <a:lnTo>
                  <a:pt x="5961875" y="1333500"/>
                </a:lnTo>
                <a:lnTo>
                  <a:pt x="5961875" y="1036320"/>
                </a:lnTo>
                <a:close/>
              </a:path>
              <a:path w="7486015" h="2164080">
                <a:moveTo>
                  <a:pt x="5961875" y="829056"/>
                </a:moveTo>
                <a:lnTo>
                  <a:pt x="5202936" y="829056"/>
                </a:lnTo>
                <a:lnTo>
                  <a:pt x="5202936" y="1033272"/>
                </a:lnTo>
                <a:lnTo>
                  <a:pt x="5961875" y="1033272"/>
                </a:lnTo>
                <a:lnTo>
                  <a:pt x="5961875" y="829056"/>
                </a:lnTo>
                <a:close/>
              </a:path>
              <a:path w="7486015" h="2164080">
                <a:moveTo>
                  <a:pt x="5961875" y="623316"/>
                </a:moveTo>
                <a:lnTo>
                  <a:pt x="5202936" y="623316"/>
                </a:lnTo>
                <a:lnTo>
                  <a:pt x="5202936" y="826008"/>
                </a:lnTo>
                <a:lnTo>
                  <a:pt x="5961875" y="826008"/>
                </a:lnTo>
                <a:lnTo>
                  <a:pt x="5961875" y="623316"/>
                </a:lnTo>
                <a:close/>
              </a:path>
              <a:path w="7486015" h="2164080">
                <a:moveTo>
                  <a:pt x="5961875" y="416052"/>
                </a:moveTo>
                <a:lnTo>
                  <a:pt x="5202936" y="416052"/>
                </a:lnTo>
                <a:lnTo>
                  <a:pt x="5202936" y="620268"/>
                </a:lnTo>
                <a:lnTo>
                  <a:pt x="5961875" y="620268"/>
                </a:lnTo>
                <a:lnTo>
                  <a:pt x="5961875" y="416052"/>
                </a:lnTo>
                <a:close/>
              </a:path>
              <a:path w="7486015" h="2164080">
                <a:moveTo>
                  <a:pt x="5961875" y="207264"/>
                </a:moveTo>
                <a:lnTo>
                  <a:pt x="5202936" y="207264"/>
                </a:lnTo>
                <a:lnTo>
                  <a:pt x="5202936" y="413004"/>
                </a:lnTo>
                <a:lnTo>
                  <a:pt x="5961875" y="413004"/>
                </a:lnTo>
                <a:lnTo>
                  <a:pt x="5961875" y="207264"/>
                </a:lnTo>
                <a:close/>
              </a:path>
              <a:path w="7486015" h="2164080">
                <a:moveTo>
                  <a:pt x="6723888" y="1752600"/>
                </a:moveTo>
                <a:lnTo>
                  <a:pt x="5964936" y="1752600"/>
                </a:lnTo>
                <a:lnTo>
                  <a:pt x="5964936" y="1956816"/>
                </a:lnTo>
                <a:lnTo>
                  <a:pt x="6723888" y="1956816"/>
                </a:lnTo>
                <a:lnTo>
                  <a:pt x="6723888" y="1752600"/>
                </a:lnTo>
                <a:close/>
              </a:path>
              <a:path w="7486015" h="2164080">
                <a:moveTo>
                  <a:pt x="6723888" y="1543812"/>
                </a:moveTo>
                <a:lnTo>
                  <a:pt x="5964936" y="1543812"/>
                </a:lnTo>
                <a:lnTo>
                  <a:pt x="5964936" y="1749552"/>
                </a:lnTo>
                <a:lnTo>
                  <a:pt x="6723888" y="1749552"/>
                </a:lnTo>
                <a:lnTo>
                  <a:pt x="6723888" y="1543812"/>
                </a:lnTo>
                <a:close/>
              </a:path>
              <a:path w="7486015" h="2164080">
                <a:moveTo>
                  <a:pt x="6723888" y="1336548"/>
                </a:moveTo>
                <a:lnTo>
                  <a:pt x="5964936" y="1336548"/>
                </a:lnTo>
                <a:lnTo>
                  <a:pt x="5964936" y="1540764"/>
                </a:lnTo>
                <a:lnTo>
                  <a:pt x="6723888" y="1540764"/>
                </a:lnTo>
                <a:lnTo>
                  <a:pt x="6723888" y="1336548"/>
                </a:lnTo>
                <a:close/>
              </a:path>
              <a:path w="7486015" h="2164080">
                <a:moveTo>
                  <a:pt x="6723888" y="1036320"/>
                </a:moveTo>
                <a:lnTo>
                  <a:pt x="5964936" y="1036320"/>
                </a:lnTo>
                <a:lnTo>
                  <a:pt x="5964936" y="1333500"/>
                </a:lnTo>
                <a:lnTo>
                  <a:pt x="6723888" y="1333500"/>
                </a:lnTo>
                <a:lnTo>
                  <a:pt x="6723888" y="1036320"/>
                </a:lnTo>
                <a:close/>
              </a:path>
              <a:path w="7486015" h="2164080">
                <a:moveTo>
                  <a:pt x="6723888" y="829056"/>
                </a:moveTo>
                <a:lnTo>
                  <a:pt x="5964936" y="829056"/>
                </a:lnTo>
                <a:lnTo>
                  <a:pt x="5964936" y="1033272"/>
                </a:lnTo>
                <a:lnTo>
                  <a:pt x="6723888" y="1033272"/>
                </a:lnTo>
                <a:lnTo>
                  <a:pt x="6723888" y="829056"/>
                </a:lnTo>
                <a:close/>
              </a:path>
              <a:path w="7486015" h="2164080">
                <a:moveTo>
                  <a:pt x="6723888" y="623316"/>
                </a:moveTo>
                <a:lnTo>
                  <a:pt x="5964936" y="623316"/>
                </a:lnTo>
                <a:lnTo>
                  <a:pt x="5964936" y="826008"/>
                </a:lnTo>
                <a:lnTo>
                  <a:pt x="6723888" y="826008"/>
                </a:lnTo>
                <a:lnTo>
                  <a:pt x="6723888" y="623316"/>
                </a:lnTo>
                <a:close/>
              </a:path>
              <a:path w="7486015" h="2164080">
                <a:moveTo>
                  <a:pt x="6723888" y="416052"/>
                </a:moveTo>
                <a:lnTo>
                  <a:pt x="5964936" y="416052"/>
                </a:lnTo>
                <a:lnTo>
                  <a:pt x="5964936" y="620268"/>
                </a:lnTo>
                <a:lnTo>
                  <a:pt x="6723888" y="620268"/>
                </a:lnTo>
                <a:lnTo>
                  <a:pt x="6723888" y="416052"/>
                </a:lnTo>
                <a:close/>
              </a:path>
              <a:path w="7486015" h="2164080">
                <a:moveTo>
                  <a:pt x="6723888" y="207264"/>
                </a:moveTo>
                <a:lnTo>
                  <a:pt x="5964936" y="207264"/>
                </a:lnTo>
                <a:lnTo>
                  <a:pt x="5964936" y="413004"/>
                </a:lnTo>
                <a:lnTo>
                  <a:pt x="6723888" y="413004"/>
                </a:lnTo>
                <a:lnTo>
                  <a:pt x="6723888" y="207264"/>
                </a:lnTo>
                <a:close/>
              </a:path>
              <a:path w="7486015" h="2164080">
                <a:moveTo>
                  <a:pt x="6723888" y="0"/>
                </a:moveTo>
                <a:lnTo>
                  <a:pt x="5964936" y="0"/>
                </a:lnTo>
                <a:lnTo>
                  <a:pt x="5964936" y="204216"/>
                </a:lnTo>
                <a:lnTo>
                  <a:pt x="6723888" y="204216"/>
                </a:lnTo>
                <a:lnTo>
                  <a:pt x="6723888" y="0"/>
                </a:lnTo>
                <a:close/>
              </a:path>
              <a:path w="7486015" h="2164080">
                <a:moveTo>
                  <a:pt x="7485888" y="1752600"/>
                </a:moveTo>
                <a:lnTo>
                  <a:pt x="6726936" y="1752600"/>
                </a:lnTo>
                <a:lnTo>
                  <a:pt x="6726936" y="1956816"/>
                </a:lnTo>
                <a:lnTo>
                  <a:pt x="7485888" y="1956816"/>
                </a:lnTo>
                <a:lnTo>
                  <a:pt x="7485888" y="1752600"/>
                </a:lnTo>
                <a:close/>
              </a:path>
              <a:path w="7486015" h="2164080">
                <a:moveTo>
                  <a:pt x="7485888" y="1543812"/>
                </a:moveTo>
                <a:lnTo>
                  <a:pt x="6726936" y="1543812"/>
                </a:lnTo>
                <a:lnTo>
                  <a:pt x="6726936" y="1749552"/>
                </a:lnTo>
                <a:lnTo>
                  <a:pt x="7485888" y="1749552"/>
                </a:lnTo>
                <a:lnTo>
                  <a:pt x="7485888" y="1543812"/>
                </a:lnTo>
                <a:close/>
              </a:path>
              <a:path w="7486015" h="2164080">
                <a:moveTo>
                  <a:pt x="7485888" y="1336548"/>
                </a:moveTo>
                <a:lnTo>
                  <a:pt x="6726936" y="1336548"/>
                </a:lnTo>
                <a:lnTo>
                  <a:pt x="6726936" y="1540764"/>
                </a:lnTo>
                <a:lnTo>
                  <a:pt x="7485888" y="1540764"/>
                </a:lnTo>
                <a:lnTo>
                  <a:pt x="7485888" y="1336548"/>
                </a:lnTo>
                <a:close/>
              </a:path>
              <a:path w="7486015" h="2164080">
                <a:moveTo>
                  <a:pt x="7485888" y="1036320"/>
                </a:moveTo>
                <a:lnTo>
                  <a:pt x="6726936" y="1036320"/>
                </a:lnTo>
                <a:lnTo>
                  <a:pt x="6726936" y="1333500"/>
                </a:lnTo>
                <a:lnTo>
                  <a:pt x="7485888" y="1333500"/>
                </a:lnTo>
                <a:lnTo>
                  <a:pt x="7485888" y="1036320"/>
                </a:lnTo>
                <a:close/>
              </a:path>
              <a:path w="7486015" h="2164080">
                <a:moveTo>
                  <a:pt x="7485888" y="829056"/>
                </a:moveTo>
                <a:lnTo>
                  <a:pt x="6726936" y="829056"/>
                </a:lnTo>
                <a:lnTo>
                  <a:pt x="6726936" y="1033272"/>
                </a:lnTo>
                <a:lnTo>
                  <a:pt x="7485888" y="1033272"/>
                </a:lnTo>
                <a:lnTo>
                  <a:pt x="7485888" y="829056"/>
                </a:lnTo>
                <a:close/>
              </a:path>
              <a:path w="7486015" h="2164080">
                <a:moveTo>
                  <a:pt x="7485888" y="623316"/>
                </a:moveTo>
                <a:lnTo>
                  <a:pt x="6726936" y="623316"/>
                </a:lnTo>
                <a:lnTo>
                  <a:pt x="6726936" y="826008"/>
                </a:lnTo>
                <a:lnTo>
                  <a:pt x="7485888" y="826008"/>
                </a:lnTo>
                <a:lnTo>
                  <a:pt x="7485888" y="623316"/>
                </a:lnTo>
                <a:close/>
              </a:path>
              <a:path w="7486015" h="2164080">
                <a:moveTo>
                  <a:pt x="7485888" y="416052"/>
                </a:moveTo>
                <a:lnTo>
                  <a:pt x="6726936" y="416052"/>
                </a:lnTo>
                <a:lnTo>
                  <a:pt x="6726936" y="620268"/>
                </a:lnTo>
                <a:lnTo>
                  <a:pt x="7485888" y="620268"/>
                </a:lnTo>
                <a:lnTo>
                  <a:pt x="7485888" y="416052"/>
                </a:lnTo>
                <a:close/>
              </a:path>
              <a:path w="7486015" h="2164080">
                <a:moveTo>
                  <a:pt x="7485888" y="207264"/>
                </a:moveTo>
                <a:lnTo>
                  <a:pt x="6726936" y="207264"/>
                </a:lnTo>
                <a:lnTo>
                  <a:pt x="6726936" y="413004"/>
                </a:lnTo>
                <a:lnTo>
                  <a:pt x="7485888" y="413004"/>
                </a:lnTo>
                <a:lnTo>
                  <a:pt x="7485888" y="207264"/>
                </a:lnTo>
                <a:close/>
              </a:path>
              <a:path w="7486015" h="2164080">
                <a:moveTo>
                  <a:pt x="7485888" y="0"/>
                </a:moveTo>
                <a:lnTo>
                  <a:pt x="6726936" y="0"/>
                </a:lnTo>
                <a:lnTo>
                  <a:pt x="6726936" y="204216"/>
                </a:lnTo>
                <a:lnTo>
                  <a:pt x="7485888" y="204216"/>
                </a:lnTo>
                <a:lnTo>
                  <a:pt x="7485888" y="0"/>
                </a:lnTo>
                <a:close/>
              </a:path>
            </a:pathLst>
          </a:custGeom>
          <a:solidFill>
            <a:srgbClr val="FFFFFF"/>
          </a:solidFill>
        </xdr:spPr>
      </xdr:sp>
      <xdr:sp macro="" textlink="">
        <xdr:nvSpPr>
          <xdr:cNvPr id="43" name="Shape 43">
            <a:extLst>
              <a:ext uri="{FF2B5EF4-FFF2-40B4-BE49-F238E27FC236}">
                <a16:creationId xmlns:a16="http://schemas.microsoft.com/office/drawing/2014/main" id="{00000000-0008-0000-0300-00002B000000}"/>
              </a:ext>
            </a:extLst>
          </xdr:cNvPr>
          <xdr:cNvSpPr/>
        </xdr:nvSpPr>
        <xdr:spPr>
          <a:xfrm>
            <a:off x="0" y="3407664"/>
            <a:ext cx="7486015" cy="711835"/>
          </a:xfrm>
          <a:custGeom>
            <a:avLst/>
            <a:gdLst/>
            <a:ahLst/>
            <a:cxnLst/>
            <a:rect l="0" t="0" r="0" b="0"/>
            <a:pathLst>
              <a:path w="7486015" h="711835">
                <a:moveTo>
                  <a:pt x="312420" y="414528"/>
                </a:moveTo>
                <a:lnTo>
                  <a:pt x="0" y="414528"/>
                </a:lnTo>
                <a:lnTo>
                  <a:pt x="0" y="711708"/>
                </a:lnTo>
                <a:lnTo>
                  <a:pt x="312420" y="711708"/>
                </a:lnTo>
                <a:lnTo>
                  <a:pt x="312420" y="414528"/>
                </a:lnTo>
                <a:close/>
              </a:path>
              <a:path w="7486015" h="711835">
                <a:moveTo>
                  <a:pt x="312420" y="0"/>
                </a:moveTo>
                <a:lnTo>
                  <a:pt x="0" y="0"/>
                </a:lnTo>
                <a:lnTo>
                  <a:pt x="0" y="411480"/>
                </a:lnTo>
                <a:lnTo>
                  <a:pt x="312420" y="411480"/>
                </a:lnTo>
                <a:lnTo>
                  <a:pt x="312420" y="0"/>
                </a:lnTo>
                <a:close/>
              </a:path>
              <a:path w="7486015" h="711835">
                <a:moveTo>
                  <a:pt x="1264920" y="414528"/>
                </a:moveTo>
                <a:lnTo>
                  <a:pt x="315468" y="414528"/>
                </a:lnTo>
                <a:lnTo>
                  <a:pt x="315468" y="711708"/>
                </a:lnTo>
                <a:lnTo>
                  <a:pt x="1264920" y="711708"/>
                </a:lnTo>
                <a:lnTo>
                  <a:pt x="1264920" y="414528"/>
                </a:lnTo>
                <a:close/>
              </a:path>
              <a:path w="7486015" h="711835">
                <a:moveTo>
                  <a:pt x="1264920" y="0"/>
                </a:moveTo>
                <a:lnTo>
                  <a:pt x="315468" y="0"/>
                </a:lnTo>
                <a:lnTo>
                  <a:pt x="315468" y="411480"/>
                </a:lnTo>
                <a:lnTo>
                  <a:pt x="1264920" y="411480"/>
                </a:lnTo>
                <a:lnTo>
                  <a:pt x="1264920" y="0"/>
                </a:lnTo>
                <a:close/>
              </a:path>
              <a:path w="7486015" h="711835">
                <a:moveTo>
                  <a:pt x="2531364" y="414528"/>
                </a:moveTo>
                <a:lnTo>
                  <a:pt x="1267968" y="414528"/>
                </a:lnTo>
                <a:lnTo>
                  <a:pt x="1267968" y="711708"/>
                </a:lnTo>
                <a:lnTo>
                  <a:pt x="2531364" y="711708"/>
                </a:lnTo>
                <a:lnTo>
                  <a:pt x="2531364" y="414528"/>
                </a:lnTo>
                <a:close/>
              </a:path>
              <a:path w="7486015" h="711835">
                <a:moveTo>
                  <a:pt x="2531364" y="0"/>
                </a:moveTo>
                <a:lnTo>
                  <a:pt x="1267968" y="0"/>
                </a:lnTo>
                <a:lnTo>
                  <a:pt x="1267968" y="411480"/>
                </a:lnTo>
                <a:lnTo>
                  <a:pt x="2531364" y="411480"/>
                </a:lnTo>
                <a:lnTo>
                  <a:pt x="2531364" y="0"/>
                </a:lnTo>
                <a:close/>
              </a:path>
              <a:path w="7486015" h="711835">
                <a:moveTo>
                  <a:pt x="3037332" y="414528"/>
                </a:moveTo>
                <a:lnTo>
                  <a:pt x="2534412" y="414528"/>
                </a:lnTo>
                <a:lnTo>
                  <a:pt x="2534412" y="711708"/>
                </a:lnTo>
                <a:lnTo>
                  <a:pt x="3037332" y="711708"/>
                </a:lnTo>
                <a:lnTo>
                  <a:pt x="3037332" y="414528"/>
                </a:lnTo>
                <a:close/>
              </a:path>
              <a:path w="7486015" h="711835">
                <a:moveTo>
                  <a:pt x="3037332" y="207264"/>
                </a:moveTo>
                <a:lnTo>
                  <a:pt x="2534412" y="207264"/>
                </a:lnTo>
                <a:lnTo>
                  <a:pt x="2534412" y="411480"/>
                </a:lnTo>
                <a:lnTo>
                  <a:pt x="3037332" y="411480"/>
                </a:lnTo>
                <a:lnTo>
                  <a:pt x="3037332" y="207264"/>
                </a:lnTo>
                <a:close/>
              </a:path>
              <a:path w="7486015" h="711835">
                <a:moveTo>
                  <a:pt x="3674364" y="414528"/>
                </a:moveTo>
                <a:lnTo>
                  <a:pt x="3040380" y="414528"/>
                </a:lnTo>
                <a:lnTo>
                  <a:pt x="3040380" y="711708"/>
                </a:lnTo>
                <a:lnTo>
                  <a:pt x="3674364" y="711708"/>
                </a:lnTo>
                <a:lnTo>
                  <a:pt x="3674364" y="414528"/>
                </a:lnTo>
                <a:close/>
              </a:path>
              <a:path w="7486015" h="711835">
                <a:moveTo>
                  <a:pt x="3674364" y="207264"/>
                </a:moveTo>
                <a:lnTo>
                  <a:pt x="3040380" y="207264"/>
                </a:lnTo>
                <a:lnTo>
                  <a:pt x="3040380" y="411480"/>
                </a:lnTo>
                <a:lnTo>
                  <a:pt x="3674364" y="411480"/>
                </a:lnTo>
                <a:lnTo>
                  <a:pt x="3674364" y="207264"/>
                </a:lnTo>
                <a:close/>
              </a:path>
              <a:path w="7486015" h="711835">
                <a:moveTo>
                  <a:pt x="4437888" y="414528"/>
                </a:moveTo>
                <a:lnTo>
                  <a:pt x="3677412" y="414528"/>
                </a:lnTo>
                <a:lnTo>
                  <a:pt x="3677412" y="711708"/>
                </a:lnTo>
                <a:lnTo>
                  <a:pt x="4437888" y="711708"/>
                </a:lnTo>
                <a:lnTo>
                  <a:pt x="4437888" y="414528"/>
                </a:lnTo>
                <a:close/>
              </a:path>
              <a:path w="7486015" h="711835">
                <a:moveTo>
                  <a:pt x="4437888" y="207264"/>
                </a:moveTo>
                <a:lnTo>
                  <a:pt x="3677412" y="207264"/>
                </a:lnTo>
                <a:lnTo>
                  <a:pt x="3677412" y="411480"/>
                </a:lnTo>
                <a:lnTo>
                  <a:pt x="4437888" y="411480"/>
                </a:lnTo>
                <a:lnTo>
                  <a:pt x="4437888" y="207264"/>
                </a:lnTo>
                <a:close/>
              </a:path>
              <a:path w="7486015" h="711835">
                <a:moveTo>
                  <a:pt x="5199888" y="414528"/>
                </a:moveTo>
                <a:lnTo>
                  <a:pt x="4440936" y="414528"/>
                </a:lnTo>
                <a:lnTo>
                  <a:pt x="4440936" y="711708"/>
                </a:lnTo>
                <a:lnTo>
                  <a:pt x="5199888" y="711708"/>
                </a:lnTo>
                <a:lnTo>
                  <a:pt x="5199888" y="414528"/>
                </a:lnTo>
                <a:close/>
              </a:path>
              <a:path w="7486015" h="711835">
                <a:moveTo>
                  <a:pt x="5199888" y="207264"/>
                </a:moveTo>
                <a:lnTo>
                  <a:pt x="4440936" y="207264"/>
                </a:lnTo>
                <a:lnTo>
                  <a:pt x="4440936" y="411480"/>
                </a:lnTo>
                <a:lnTo>
                  <a:pt x="5199888" y="411480"/>
                </a:lnTo>
                <a:lnTo>
                  <a:pt x="5199888" y="207264"/>
                </a:lnTo>
                <a:close/>
              </a:path>
              <a:path w="7486015" h="711835">
                <a:moveTo>
                  <a:pt x="5961875" y="414528"/>
                </a:moveTo>
                <a:lnTo>
                  <a:pt x="5202936" y="414528"/>
                </a:lnTo>
                <a:lnTo>
                  <a:pt x="5202936" y="711708"/>
                </a:lnTo>
                <a:lnTo>
                  <a:pt x="5961875" y="711708"/>
                </a:lnTo>
                <a:lnTo>
                  <a:pt x="5961875" y="414528"/>
                </a:lnTo>
                <a:close/>
              </a:path>
              <a:path w="7486015" h="711835">
                <a:moveTo>
                  <a:pt x="5961875" y="207264"/>
                </a:moveTo>
                <a:lnTo>
                  <a:pt x="5202936" y="207264"/>
                </a:lnTo>
                <a:lnTo>
                  <a:pt x="5202936" y="411480"/>
                </a:lnTo>
                <a:lnTo>
                  <a:pt x="5961875" y="411480"/>
                </a:lnTo>
                <a:lnTo>
                  <a:pt x="5961875" y="207264"/>
                </a:lnTo>
                <a:close/>
              </a:path>
              <a:path w="7486015" h="711835">
                <a:moveTo>
                  <a:pt x="6723888" y="414528"/>
                </a:moveTo>
                <a:lnTo>
                  <a:pt x="5964936" y="414528"/>
                </a:lnTo>
                <a:lnTo>
                  <a:pt x="5964936" y="711708"/>
                </a:lnTo>
                <a:lnTo>
                  <a:pt x="6723888" y="711708"/>
                </a:lnTo>
                <a:lnTo>
                  <a:pt x="6723888" y="414528"/>
                </a:lnTo>
                <a:close/>
              </a:path>
              <a:path w="7486015" h="711835">
                <a:moveTo>
                  <a:pt x="6723888" y="207264"/>
                </a:moveTo>
                <a:lnTo>
                  <a:pt x="5964936" y="207264"/>
                </a:lnTo>
                <a:lnTo>
                  <a:pt x="5964936" y="411480"/>
                </a:lnTo>
                <a:lnTo>
                  <a:pt x="6723888" y="411480"/>
                </a:lnTo>
                <a:lnTo>
                  <a:pt x="6723888" y="207264"/>
                </a:lnTo>
                <a:close/>
              </a:path>
              <a:path w="7486015" h="711835">
                <a:moveTo>
                  <a:pt x="7485888" y="414528"/>
                </a:moveTo>
                <a:lnTo>
                  <a:pt x="6726936" y="414528"/>
                </a:lnTo>
                <a:lnTo>
                  <a:pt x="6726936" y="711708"/>
                </a:lnTo>
                <a:lnTo>
                  <a:pt x="7485888" y="711708"/>
                </a:lnTo>
                <a:lnTo>
                  <a:pt x="7485888" y="414528"/>
                </a:lnTo>
                <a:close/>
              </a:path>
              <a:path w="7486015" h="711835">
                <a:moveTo>
                  <a:pt x="7485888" y="207264"/>
                </a:moveTo>
                <a:lnTo>
                  <a:pt x="6726936" y="207264"/>
                </a:lnTo>
                <a:lnTo>
                  <a:pt x="6726936" y="411480"/>
                </a:lnTo>
                <a:lnTo>
                  <a:pt x="7485888" y="411480"/>
                </a:lnTo>
                <a:lnTo>
                  <a:pt x="7485888" y="207264"/>
                </a:lnTo>
                <a:close/>
              </a:path>
            </a:pathLst>
          </a:custGeom>
          <a:solidFill>
            <a:srgbClr val="FFFFFF"/>
          </a:solidFill>
        </xdr:spPr>
      </xdr:sp>
    </xdr:grpSp>
    <xdr:clientData/>
  </xdr:oneCellAnchor>
  <xdr:oneCellAnchor>
    <xdr:from>
      <xdr:col>11</xdr:col>
      <xdr:colOff>546481</xdr:colOff>
      <xdr:row>25</xdr:row>
      <xdr:rowOff>0</xdr:rowOff>
    </xdr:from>
    <xdr:ext cx="645160" cy="4119879"/>
    <xdr:sp macro="" textlink="">
      <xdr:nvSpPr>
        <xdr:cNvPr id="44" name="Shape 44">
          <a:extLst>
            <a:ext uri="{FF2B5EF4-FFF2-40B4-BE49-F238E27FC236}">
              <a16:creationId xmlns:a16="http://schemas.microsoft.com/office/drawing/2014/main" id="{00000000-0008-0000-0300-00002C000000}"/>
            </a:ext>
          </a:extLst>
        </xdr:cNvPr>
        <xdr:cNvSpPr/>
      </xdr:nvSpPr>
      <xdr:spPr>
        <a:xfrm>
          <a:off x="0" y="0"/>
          <a:ext cx="645160" cy="4119879"/>
        </a:xfrm>
        <a:custGeom>
          <a:avLst/>
          <a:gdLst/>
          <a:ahLst/>
          <a:cxnLst/>
          <a:rect l="0" t="0" r="0" b="0"/>
          <a:pathLst>
            <a:path w="645160" h="4119879">
              <a:moveTo>
                <a:pt x="644652" y="3822192"/>
              </a:moveTo>
              <a:lnTo>
                <a:pt x="0" y="3822192"/>
              </a:lnTo>
              <a:lnTo>
                <a:pt x="0" y="4119372"/>
              </a:lnTo>
              <a:lnTo>
                <a:pt x="644652" y="4119372"/>
              </a:lnTo>
              <a:lnTo>
                <a:pt x="644652" y="3822192"/>
              </a:lnTo>
              <a:close/>
            </a:path>
            <a:path w="645160" h="4119879">
              <a:moveTo>
                <a:pt x="644652" y="3614928"/>
              </a:moveTo>
              <a:lnTo>
                <a:pt x="0" y="3614928"/>
              </a:lnTo>
              <a:lnTo>
                <a:pt x="0" y="3819144"/>
              </a:lnTo>
              <a:lnTo>
                <a:pt x="644652" y="3819144"/>
              </a:lnTo>
              <a:lnTo>
                <a:pt x="644652" y="3614928"/>
              </a:lnTo>
              <a:close/>
            </a:path>
            <a:path w="645160" h="4119879">
              <a:moveTo>
                <a:pt x="644652" y="3407664"/>
              </a:moveTo>
              <a:lnTo>
                <a:pt x="0" y="3407664"/>
              </a:lnTo>
              <a:lnTo>
                <a:pt x="0" y="3611880"/>
              </a:lnTo>
              <a:lnTo>
                <a:pt x="644652" y="3611880"/>
              </a:lnTo>
              <a:lnTo>
                <a:pt x="644652" y="3407664"/>
              </a:lnTo>
              <a:close/>
            </a:path>
            <a:path w="645160" h="4119879">
              <a:moveTo>
                <a:pt x="644652" y="3198876"/>
              </a:moveTo>
              <a:lnTo>
                <a:pt x="0" y="3198876"/>
              </a:lnTo>
              <a:lnTo>
                <a:pt x="0" y="3404616"/>
              </a:lnTo>
              <a:lnTo>
                <a:pt x="644652" y="3404616"/>
              </a:lnTo>
              <a:lnTo>
                <a:pt x="644652" y="3198876"/>
              </a:lnTo>
              <a:close/>
            </a:path>
            <a:path w="645160" h="4119879">
              <a:moveTo>
                <a:pt x="644652" y="2991612"/>
              </a:moveTo>
              <a:lnTo>
                <a:pt x="0" y="2991612"/>
              </a:lnTo>
              <a:lnTo>
                <a:pt x="0" y="3195828"/>
              </a:lnTo>
              <a:lnTo>
                <a:pt x="644652" y="3195828"/>
              </a:lnTo>
              <a:lnTo>
                <a:pt x="644652" y="2991612"/>
              </a:lnTo>
              <a:close/>
            </a:path>
            <a:path w="645160" h="4119879">
              <a:moveTo>
                <a:pt x="644652" y="2691384"/>
              </a:moveTo>
              <a:lnTo>
                <a:pt x="0" y="2691384"/>
              </a:lnTo>
              <a:lnTo>
                <a:pt x="0" y="2988564"/>
              </a:lnTo>
              <a:lnTo>
                <a:pt x="644652" y="2988564"/>
              </a:lnTo>
              <a:lnTo>
                <a:pt x="644652" y="2691384"/>
              </a:lnTo>
              <a:close/>
            </a:path>
            <a:path w="645160" h="4119879">
              <a:moveTo>
                <a:pt x="644652" y="2484120"/>
              </a:moveTo>
              <a:lnTo>
                <a:pt x="0" y="2484120"/>
              </a:lnTo>
              <a:lnTo>
                <a:pt x="0" y="2688336"/>
              </a:lnTo>
              <a:lnTo>
                <a:pt x="644652" y="2688336"/>
              </a:lnTo>
              <a:lnTo>
                <a:pt x="644652" y="2484120"/>
              </a:lnTo>
              <a:close/>
            </a:path>
            <a:path w="645160" h="4119879">
              <a:moveTo>
                <a:pt x="644652" y="2278380"/>
              </a:moveTo>
              <a:lnTo>
                <a:pt x="0" y="2278380"/>
              </a:lnTo>
              <a:lnTo>
                <a:pt x="0" y="2481072"/>
              </a:lnTo>
              <a:lnTo>
                <a:pt x="644652" y="2481072"/>
              </a:lnTo>
              <a:lnTo>
                <a:pt x="644652" y="2278380"/>
              </a:lnTo>
              <a:close/>
            </a:path>
            <a:path w="645160" h="4119879">
              <a:moveTo>
                <a:pt x="644652" y="2071116"/>
              </a:moveTo>
              <a:lnTo>
                <a:pt x="0" y="2071116"/>
              </a:lnTo>
              <a:lnTo>
                <a:pt x="0" y="2275332"/>
              </a:lnTo>
              <a:lnTo>
                <a:pt x="644652" y="2275332"/>
              </a:lnTo>
              <a:lnTo>
                <a:pt x="644652" y="2071116"/>
              </a:lnTo>
              <a:close/>
            </a:path>
            <a:path w="645160" h="4119879">
              <a:moveTo>
                <a:pt x="644652" y="1862328"/>
              </a:moveTo>
              <a:lnTo>
                <a:pt x="0" y="1862328"/>
              </a:lnTo>
              <a:lnTo>
                <a:pt x="0" y="2068068"/>
              </a:lnTo>
              <a:lnTo>
                <a:pt x="644652" y="2068068"/>
              </a:lnTo>
              <a:lnTo>
                <a:pt x="644652" y="1862328"/>
              </a:lnTo>
              <a:close/>
            </a:path>
            <a:path w="645160" h="4119879">
              <a:moveTo>
                <a:pt x="644652" y="1655064"/>
              </a:moveTo>
              <a:lnTo>
                <a:pt x="0" y="1655064"/>
              </a:lnTo>
              <a:lnTo>
                <a:pt x="0" y="1859280"/>
              </a:lnTo>
              <a:lnTo>
                <a:pt x="644652" y="1859280"/>
              </a:lnTo>
              <a:lnTo>
                <a:pt x="644652" y="1655064"/>
              </a:lnTo>
              <a:close/>
            </a:path>
            <a:path w="645160" h="4119879">
              <a:moveTo>
                <a:pt x="644652" y="1449324"/>
              </a:moveTo>
              <a:lnTo>
                <a:pt x="0" y="1449324"/>
              </a:lnTo>
              <a:lnTo>
                <a:pt x="0" y="1652016"/>
              </a:lnTo>
              <a:lnTo>
                <a:pt x="644652" y="1652016"/>
              </a:lnTo>
              <a:lnTo>
                <a:pt x="644652" y="1449324"/>
              </a:lnTo>
              <a:close/>
            </a:path>
            <a:path w="645160" h="4119879">
              <a:moveTo>
                <a:pt x="644652" y="1242060"/>
              </a:moveTo>
              <a:lnTo>
                <a:pt x="0" y="1242060"/>
              </a:lnTo>
              <a:lnTo>
                <a:pt x="0" y="1446276"/>
              </a:lnTo>
              <a:lnTo>
                <a:pt x="644652" y="1446276"/>
              </a:lnTo>
              <a:lnTo>
                <a:pt x="644652" y="1242060"/>
              </a:lnTo>
              <a:close/>
            </a:path>
            <a:path w="645160" h="4119879">
              <a:moveTo>
                <a:pt x="644652" y="1034796"/>
              </a:moveTo>
              <a:lnTo>
                <a:pt x="0" y="1034796"/>
              </a:lnTo>
              <a:lnTo>
                <a:pt x="0" y="1239012"/>
              </a:lnTo>
              <a:lnTo>
                <a:pt x="644652" y="1239012"/>
              </a:lnTo>
              <a:lnTo>
                <a:pt x="644652" y="1034796"/>
              </a:lnTo>
              <a:close/>
            </a:path>
            <a:path w="645160" h="4119879">
              <a:moveTo>
                <a:pt x="644652" y="827532"/>
              </a:moveTo>
              <a:lnTo>
                <a:pt x="0" y="827532"/>
              </a:lnTo>
              <a:lnTo>
                <a:pt x="0" y="1031748"/>
              </a:lnTo>
              <a:lnTo>
                <a:pt x="644652" y="1031748"/>
              </a:lnTo>
              <a:lnTo>
                <a:pt x="644652" y="827532"/>
              </a:lnTo>
              <a:close/>
            </a:path>
            <a:path w="645160" h="4119879">
              <a:moveTo>
                <a:pt x="644652" y="621792"/>
              </a:moveTo>
              <a:lnTo>
                <a:pt x="0" y="621792"/>
              </a:lnTo>
              <a:lnTo>
                <a:pt x="0" y="824484"/>
              </a:lnTo>
              <a:lnTo>
                <a:pt x="644652" y="824484"/>
              </a:lnTo>
              <a:lnTo>
                <a:pt x="644652" y="621792"/>
              </a:lnTo>
              <a:close/>
            </a:path>
            <a:path w="645160" h="4119879">
              <a:moveTo>
                <a:pt x="644652" y="414528"/>
              </a:moveTo>
              <a:lnTo>
                <a:pt x="0" y="414528"/>
              </a:lnTo>
              <a:lnTo>
                <a:pt x="0" y="618744"/>
              </a:lnTo>
              <a:lnTo>
                <a:pt x="644652" y="618744"/>
              </a:lnTo>
              <a:lnTo>
                <a:pt x="644652" y="414528"/>
              </a:lnTo>
              <a:close/>
            </a:path>
            <a:path w="645160" h="4119879">
              <a:moveTo>
                <a:pt x="644652" y="207264"/>
              </a:moveTo>
              <a:lnTo>
                <a:pt x="0" y="207264"/>
              </a:lnTo>
              <a:lnTo>
                <a:pt x="0" y="411480"/>
              </a:lnTo>
              <a:lnTo>
                <a:pt x="644652" y="411480"/>
              </a:lnTo>
              <a:lnTo>
                <a:pt x="644652" y="207264"/>
              </a:lnTo>
              <a:close/>
            </a:path>
            <a:path w="645160" h="4119879">
              <a:moveTo>
                <a:pt x="644652" y="0"/>
              </a:moveTo>
              <a:lnTo>
                <a:pt x="0" y="0"/>
              </a:lnTo>
              <a:lnTo>
                <a:pt x="0" y="204216"/>
              </a:lnTo>
              <a:lnTo>
                <a:pt x="644652" y="204216"/>
              </a:lnTo>
              <a:lnTo>
                <a:pt x="644652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543687</xdr:colOff>
      <xdr:row>22</xdr:row>
      <xdr:rowOff>206501</xdr:rowOff>
    </xdr:from>
    <xdr:ext cx="3808729" cy="480059"/>
    <xdr:sp macro="" textlink="">
      <xdr:nvSpPr>
        <xdr:cNvPr id="45" name="Shape 45">
          <a:extLst>
            <a:ext uri="{FF2B5EF4-FFF2-40B4-BE49-F238E27FC236}">
              <a16:creationId xmlns:a16="http://schemas.microsoft.com/office/drawing/2014/main" id="{00000000-0008-0000-0400-00002D000000}"/>
            </a:ext>
          </a:extLst>
        </xdr:cNvPr>
        <xdr:cNvSpPr/>
      </xdr:nvSpPr>
      <xdr:spPr>
        <a:xfrm>
          <a:off x="0" y="0"/>
          <a:ext cx="3808729" cy="480059"/>
        </a:xfrm>
        <a:custGeom>
          <a:avLst/>
          <a:gdLst/>
          <a:ahLst/>
          <a:cxnLst/>
          <a:rect l="0" t="0" r="0" b="0"/>
          <a:pathLst>
            <a:path w="3808729" h="480059">
              <a:moveTo>
                <a:pt x="760476" y="0"/>
              </a:moveTo>
              <a:lnTo>
                <a:pt x="0" y="0"/>
              </a:lnTo>
              <a:lnTo>
                <a:pt x="0" y="480060"/>
              </a:lnTo>
              <a:lnTo>
                <a:pt x="760476" y="480060"/>
              </a:lnTo>
              <a:lnTo>
                <a:pt x="760476" y="0"/>
              </a:lnTo>
              <a:close/>
            </a:path>
            <a:path w="3808729" h="480059">
              <a:moveTo>
                <a:pt x="1522476" y="0"/>
              </a:moveTo>
              <a:lnTo>
                <a:pt x="763524" y="0"/>
              </a:lnTo>
              <a:lnTo>
                <a:pt x="763524" y="480060"/>
              </a:lnTo>
              <a:lnTo>
                <a:pt x="1522476" y="480060"/>
              </a:lnTo>
              <a:lnTo>
                <a:pt x="1522476" y="0"/>
              </a:lnTo>
              <a:close/>
            </a:path>
            <a:path w="3808729" h="480059">
              <a:moveTo>
                <a:pt x="2284463" y="0"/>
              </a:moveTo>
              <a:lnTo>
                <a:pt x="1525524" y="0"/>
              </a:lnTo>
              <a:lnTo>
                <a:pt x="1525524" y="480060"/>
              </a:lnTo>
              <a:lnTo>
                <a:pt x="2284463" y="480060"/>
              </a:lnTo>
              <a:lnTo>
                <a:pt x="2284463" y="0"/>
              </a:lnTo>
              <a:close/>
            </a:path>
            <a:path w="3808729" h="480059">
              <a:moveTo>
                <a:pt x="3046476" y="0"/>
              </a:moveTo>
              <a:lnTo>
                <a:pt x="2287524" y="0"/>
              </a:lnTo>
              <a:lnTo>
                <a:pt x="2287524" y="480060"/>
              </a:lnTo>
              <a:lnTo>
                <a:pt x="3046476" y="480060"/>
              </a:lnTo>
              <a:lnTo>
                <a:pt x="3046476" y="0"/>
              </a:lnTo>
              <a:close/>
            </a:path>
            <a:path w="3808729" h="480059">
              <a:moveTo>
                <a:pt x="3808476" y="0"/>
              </a:moveTo>
              <a:lnTo>
                <a:pt x="3049524" y="0"/>
              </a:lnTo>
              <a:lnTo>
                <a:pt x="3049524" y="480060"/>
              </a:lnTo>
              <a:lnTo>
                <a:pt x="3808476" y="480060"/>
              </a:lnTo>
              <a:lnTo>
                <a:pt x="3808476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5</xdr:col>
      <xdr:colOff>299453</xdr:colOff>
      <xdr:row>3</xdr:row>
      <xdr:rowOff>49142</xdr:rowOff>
    </xdr:from>
    <xdr:ext cx="193523" cy="290285"/>
    <xdr:pic>
      <xdr:nvPicPr>
        <xdr:cNvPr id="46" name="image1.jpeg">
          <a:extLst>
            <a:ext uri="{FF2B5EF4-FFF2-40B4-BE49-F238E27FC236}">
              <a16:creationId xmlns:a16="http://schemas.microsoft.com/office/drawing/2014/main" id="{00000000-0008-0000-0400-00002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93523" cy="290285"/>
        </a:xfrm>
        <a:prstGeom prst="rect">
          <a:avLst/>
        </a:prstGeom>
      </xdr:spPr>
    </xdr:pic>
    <xdr:clientData/>
  </xdr:oneCellAnchor>
  <xdr:oneCellAnchor>
    <xdr:from>
      <xdr:col>6</xdr:col>
      <xdr:colOff>201929</xdr:colOff>
      <xdr:row>3</xdr:row>
      <xdr:rowOff>761</xdr:rowOff>
    </xdr:from>
    <xdr:ext cx="381000" cy="381000"/>
    <xdr:pic>
      <xdr:nvPicPr>
        <xdr:cNvPr id="47" name="image2.jpeg">
          <a:extLst>
            <a:ext uri="{FF2B5EF4-FFF2-40B4-BE49-F238E27FC236}">
              <a16:creationId xmlns:a16="http://schemas.microsoft.com/office/drawing/2014/main" id="{00000000-0008-0000-04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81000" cy="381000"/>
        </a:xfrm>
        <a:prstGeom prst="rect">
          <a:avLst/>
        </a:prstGeom>
      </xdr:spPr>
    </xdr:pic>
    <xdr:clientData/>
  </xdr:oneCellAnchor>
  <xdr:oneCellAnchor>
    <xdr:from>
      <xdr:col>7</xdr:col>
      <xdr:colOff>201930</xdr:colOff>
      <xdr:row>3</xdr:row>
      <xdr:rowOff>761</xdr:rowOff>
    </xdr:from>
    <xdr:ext cx="381000" cy="381000"/>
    <xdr:pic>
      <xdr:nvPicPr>
        <xdr:cNvPr id="48" name="image3.jpeg">
          <a:extLst>
            <a:ext uri="{FF2B5EF4-FFF2-40B4-BE49-F238E27FC236}">
              <a16:creationId xmlns:a16="http://schemas.microsoft.com/office/drawing/2014/main" id="{00000000-0008-0000-04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81000" cy="381000"/>
        </a:xfrm>
        <a:prstGeom prst="rect">
          <a:avLst/>
        </a:prstGeom>
      </xdr:spPr>
    </xdr:pic>
    <xdr:clientData/>
  </xdr:oneCellAnchor>
  <xdr:oneCellAnchor>
    <xdr:from>
      <xdr:col>8</xdr:col>
      <xdr:colOff>201929</xdr:colOff>
      <xdr:row>3</xdr:row>
      <xdr:rowOff>49142</xdr:rowOff>
    </xdr:from>
    <xdr:ext cx="381000" cy="290285"/>
    <xdr:pic>
      <xdr:nvPicPr>
        <xdr:cNvPr id="49" name="image4.jpeg">
          <a:extLst>
            <a:ext uri="{FF2B5EF4-FFF2-40B4-BE49-F238E27FC236}">
              <a16:creationId xmlns:a16="http://schemas.microsoft.com/office/drawing/2014/main" id="{00000000-0008-0000-0400-00003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81000" cy="290285"/>
        </a:xfrm>
        <a:prstGeom prst="rect">
          <a:avLst/>
        </a:prstGeom>
      </xdr:spPr>
    </xdr:pic>
    <xdr:clientData/>
  </xdr:oneCellAnchor>
  <xdr:oneCellAnchor>
    <xdr:from>
      <xdr:col>9</xdr:col>
      <xdr:colOff>201929</xdr:colOff>
      <xdr:row>3</xdr:row>
      <xdr:rowOff>49142</xdr:rowOff>
    </xdr:from>
    <xdr:ext cx="381000" cy="290285"/>
    <xdr:pic>
      <xdr:nvPicPr>
        <xdr:cNvPr id="50" name="image5.jpeg">
          <a:extLst>
            <a:ext uri="{FF2B5EF4-FFF2-40B4-BE49-F238E27FC236}">
              <a16:creationId xmlns:a16="http://schemas.microsoft.com/office/drawing/2014/main" id="{00000000-0008-0000-0400-00003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81000" cy="290285"/>
        </a:xfrm>
        <a:prstGeom prst="rect">
          <a:avLst/>
        </a:prstGeom>
      </xdr:spPr>
    </xdr:pic>
    <xdr:clientData/>
  </xdr:oneCellAnchor>
  <xdr:oneCellAnchor>
    <xdr:from>
      <xdr:col>1</xdr:col>
      <xdr:colOff>226059</xdr:colOff>
      <xdr:row>24</xdr:row>
      <xdr:rowOff>0</xdr:rowOff>
    </xdr:from>
    <xdr:ext cx="7486015" cy="4023360"/>
    <xdr:grpSp>
      <xdr:nvGrpSpPr>
        <xdr:cNvPr id="51" name="Group 51">
          <a:extLst>
            <a:ext uri="{FF2B5EF4-FFF2-40B4-BE49-F238E27FC236}">
              <a16:creationId xmlns:a16="http://schemas.microsoft.com/office/drawing/2014/main" id="{00000000-0008-0000-0400-000033000000}"/>
            </a:ext>
          </a:extLst>
        </xdr:cNvPr>
        <xdr:cNvGrpSpPr/>
      </xdr:nvGrpSpPr>
      <xdr:grpSpPr>
        <a:xfrm>
          <a:off x="607059" y="6126480"/>
          <a:ext cx="7486015" cy="4023360"/>
          <a:chOff x="0" y="0"/>
          <a:chExt cx="7486015" cy="4023360"/>
        </a:xfrm>
      </xdr:grpSpPr>
      <xdr:sp macro="" textlink="">
        <xdr:nvSpPr>
          <xdr:cNvPr id="52" name="Shape 52">
            <a:extLst>
              <a:ext uri="{FF2B5EF4-FFF2-40B4-BE49-F238E27FC236}">
                <a16:creationId xmlns:a16="http://schemas.microsoft.com/office/drawing/2014/main" id="{00000000-0008-0000-0400-000034000000}"/>
              </a:ext>
            </a:extLst>
          </xdr:cNvPr>
          <xdr:cNvSpPr/>
        </xdr:nvSpPr>
        <xdr:spPr>
          <a:xfrm>
            <a:off x="0" y="0"/>
            <a:ext cx="7486015" cy="1955800"/>
          </a:xfrm>
          <a:custGeom>
            <a:avLst/>
            <a:gdLst/>
            <a:ahLst/>
            <a:cxnLst/>
            <a:rect l="0" t="0" r="0" b="0"/>
            <a:pathLst>
              <a:path w="7486015" h="1955800">
                <a:moveTo>
                  <a:pt x="312420" y="716280"/>
                </a:moveTo>
                <a:lnTo>
                  <a:pt x="0" y="716280"/>
                </a:lnTo>
                <a:lnTo>
                  <a:pt x="0" y="1748028"/>
                </a:lnTo>
                <a:lnTo>
                  <a:pt x="312420" y="1748028"/>
                </a:lnTo>
                <a:lnTo>
                  <a:pt x="312420" y="716280"/>
                </a:lnTo>
                <a:close/>
              </a:path>
              <a:path w="7486015" h="1955800">
                <a:moveTo>
                  <a:pt x="312420" y="414528"/>
                </a:moveTo>
                <a:lnTo>
                  <a:pt x="0" y="414528"/>
                </a:lnTo>
                <a:lnTo>
                  <a:pt x="0" y="713232"/>
                </a:lnTo>
                <a:lnTo>
                  <a:pt x="312420" y="713232"/>
                </a:lnTo>
                <a:lnTo>
                  <a:pt x="312420" y="414528"/>
                </a:lnTo>
                <a:close/>
              </a:path>
              <a:path w="7486015" h="1955800">
                <a:moveTo>
                  <a:pt x="312420" y="0"/>
                </a:moveTo>
                <a:lnTo>
                  <a:pt x="0" y="0"/>
                </a:lnTo>
                <a:lnTo>
                  <a:pt x="0" y="411480"/>
                </a:lnTo>
                <a:lnTo>
                  <a:pt x="312420" y="411480"/>
                </a:lnTo>
                <a:lnTo>
                  <a:pt x="312420" y="0"/>
                </a:lnTo>
                <a:close/>
              </a:path>
              <a:path w="7486015" h="1955800">
                <a:moveTo>
                  <a:pt x="1264920" y="716280"/>
                </a:moveTo>
                <a:lnTo>
                  <a:pt x="315468" y="716280"/>
                </a:lnTo>
                <a:lnTo>
                  <a:pt x="315468" y="1748028"/>
                </a:lnTo>
                <a:lnTo>
                  <a:pt x="1264920" y="1748028"/>
                </a:lnTo>
                <a:lnTo>
                  <a:pt x="1264920" y="716280"/>
                </a:lnTo>
                <a:close/>
              </a:path>
              <a:path w="7486015" h="1955800">
                <a:moveTo>
                  <a:pt x="1264920" y="414528"/>
                </a:moveTo>
                <a:lnTo>
                  <a:pt x="315468" y="414528"/>
                </a:lnTo>
                <a:lnTo>
                  <a:pt x="315468" y="713232"/>
                </a:lnTo>
                <a:lnTo>
                  <a:pt x="1264920" y="713232"/>
                </a:lnTo>
                <a:lnTo>
                  <a:pt x="1264920" y="414528"/>
                </a:lnTo>
                <a:close/>
              </a:path>
              <a:path w="7486015" h="1955800">
                <a:moveTo>
                  <a:pt x="1264920" y="0"/>
                </a:moveTo>
                <a:lnTo>
                  <a:pt x="315468" y="0"/>
                </a:lnTo>
                <a:lnTo>
                  <a:pt x="315468" y="411480"/>
                </a:lnTo>
                <a:lnTo>
                  <a:pt x="1264920" y="411480"/>
                </a:lnTo>
                <a:lnTo>
                  <a:pt x="1264920" y="0"/>
                </a:lnTo>
                <a:close/>
              </a:path>
              <a:path w="7486015" h="1955800">
                <a:moveTo>
                  <a:pt x="2531364" y="716280"/>
                </a:moveTo>
                <a:lnTo>
                  <a:pt x="1267968" y="716280"/>
                </a:lnTo>
                <a:lnTo>
                  <a:pt x="1267968" y="1748028"/>
                </a:lnTo>
                <a:lnTo>
                  <a:pt x="2531364" y="1748028"/>
                </a:lnTo>
                <a:lnTo>
                  <a:pt x="2531364" y="716280"/>
                </a:lnTo>
                <a:close/>
              </a:path>
              <a:path w="7486015" h="1955800">
                <a:moveTo>
                  <a:pt x="2531364" y="414528"/>
                </a:moveTo>
                <a:lnTo>
                  <a:pt x="1267968" y="414528"/>
                </a:lnTo>
                <a:lnTo>
                  <a:pt x="1267968" y="713232"/>
                </a:lnTo>
                <a:lnTo>
                  <a:pt x="2531364" y="713232"/>
                </a:lnTo>
                <a:lnTo>
                  <a:pt x="2531364" y="414528"/>
                </a:lnTo>
                <a:close/>
              </a:path>
              <a:path w="7486015" h="1955800">
                <a:moveTo>
                  <a:pt x="2531364" y="0"/>
                </a:moveTo>
                <a:lnTo>
                  <a:pt x="1267968" y="0"/>
                </a:lnTo>
                <a:lnTo>
                  <a:pt x="1267968" y="411480"/>
                </a:lnTo>
                <a:lnTo>
                  <a:pt x="2531364" y="411480"/>
                </a:lnTo>
                <a:lnTo>
                  <a:pt x="2531364" y="0"/>
                </a:lnTo>
                <a:close/>
              </a:path>
              <a:path w="7486015" h="1955800">
                <a:moveTo>
                  <a:pt x="3037332" y="1751076"/>
                </a:moveTo>
                <a:lnTo>
                  <a:pt x="2534412" y="1751076"/>
                </a:lnTo>
                <a:lnTo>
                  <a:pt x="2534412" y="1955292"/>
                </a:lnTo>
                <a:lnTo>
                  <a:pt x="3037332" y="1955292"/>
                </a:lnTo>
                <a:lnTo>
                  <a:pt x="3037332" y="1751076"/>
                </a:lnTo>
                <a:close/>
              </a:path>
              <a:path w="7486015" h="1955800">
                <a:moveTo>
                  <a:pt x="3037332" y="1543812"/>
                </a:moveTo>
                <a:lnTo>
                  <a:pt x="2534412" y="1543812"/>
                </a:lnTo>
                <a:lnTo>
                  <a:pt x="2534412" y="1748028"/>
                </a:lnTo>
                <a:lnTo>
                  <a:pt x="3037332" y="1748028"/>
                </a:lnTo>
                <a:lnTo>
                  <a:pt x="3037332" y="1543812"/>
                </a:lnTo>
                <a:close/>
              </a:path>
              <a:path w="7486015" h="1955800">
                <a:moveTo>
                  <a:pt x="3037332" y="1336548"/>
                </a:moveTo>
                <a:lnTo>
                  <a:pt x="2534412" y="1336548"/>
                </a:lnTo>
                <a:lnTo>
                  <a:pt x="2534412" y="1540764"/>
                </a:lnTo>
                <a:lnTo>
                  <a:pt x="3037332" y="1540764"/>
                </a:lnTo>
                <a:lnTo>
                  <a:pt x="3037332" y="1336548"/>
                </a:lnTo>
                <a:close/>
              </a:path>
              <a:path w="7486015" h="1955800">
                <a:moveTo>
                  <a:pt x="3037332" y="1129284"/>
                </a:moveTo>
                <a:lnTo>
                  <a:pt x="2534412" y="1129284"/>
                </a:lnTo>
                <a:lnTo>
                  <a:pt x="2534412" y="1333500"/>
                </a:lnTo>
                <a:lnTo>
                  <a:pt x="3037332" y="1333500"/>
                </a:lnTo>
                <a:lnTo>
                  <a:pt x="3037332" y="1129284"/>
                </a:lnTo>
                <a:close/>
              </a:path>
              <a:path w="7486015" h="1955800">
                <a:moveTo>
                  <a:pt x="3037332" y="922020"/>
                </a:moveTo>
                <a:lnTo>
                  <a:pt x="2534412" y="922020"/>
                </a:lnTo>
                <a:lnTo>
                  <a:pt x="2534412" y="1126236"/>
                </a:lnTo>
                <a:lnTo>
                  <a:pt x="3037332" y="1126236"/>
                </a:lnTo>
                <a:lnTo>
                  <a:pt x="3037332" y="922020"/>
                </a:lnTo>
                <a:close/>
              </a:path>
              <a:path w="7486015" h="1955800">
                <a:moveTo>
                  <a:pt x="3037332" y="716280"/>
                </a:moveTo>
                <a:lnTo>
                  <a:pt x="2534412" y="716280"/>
                </a:lnTo>
                <a:lnTo>
                  <a:pt x="2534412" y="918972"/>
                </a:lnTo>
                <a:lnTo>
                  <a:pt x="3037332" y="918972"/>
                </a:lnTo>
                <a:lnTo>
                  <a:pt x="3037332" y="716280"/>
                </a:lnTo>
                <a:close/>
              </a:path>
              <a:path w="7486015" h="1955800">
                <a:moveTo>
                  <a:pt x="3037332" y="414528"/>
                </a:moveTo>
                <a:lnTo>
                  <a:pt x="2534412" y="414528"/>
                </a:lnTo>
                <a:lnTo>
                  <a:pt x="2534412" y="713232"/>
                </a:lnTo>
                <a:lnTo>
                  <a:pt x="3037332" y="713232"/>
                </a:lnTo>
                <a:lnTo>
                  <a:pt x="3037332" y="414528"/>
                </a:lnTo>
                <a:close/>
              </a:path>
              <a:path w="7486015" h="1955800">
                <a:moveTo>
                  <a:pt x="3037332" y="207264"/>
                </a:moveTo>
                <a:lnTo>
                  <a:pt x="2534412" y="207264"/>
                </a:lnTo>
                <a:lnTo>
                  <a:pt x="2534412" y="411480"/>
                </a:lnTo>
                <a:lnTo>
                  <a:pt x="3037332" y="411480"/>
                </a:lnTo>
                <a:lnTo>
                  <a:pt x="3037332" y="207264"/>
                </a:lnTo>
                <a:close/>
              </a:path>
              <a:path w="7486015" h="1955800">
                <a:moveTo>
                  <a:pt x="3037332" y="0"/>
                </a:moveTo>
                <a:lnTo>
                  <a:pt x="2534412" y="0"/>
                </a:lnTo>
                <a:lnTo>
                  <a:pt x="2534412" y="204216"/>
                </a:lnTo>
                <a:lnTo>
                  <a:pt x="3037332" y="204216"/>
                </a:lnTo>
                <a:lnTo>
                  <a:pt x="3037332" y="0"/>
                </a:lnTo>
                <a:close/>
              </a:path>
              <a:path w="7486015" h="1955800">
                <a:moveTo>
                  <a:pt x="3674364" y="1751076"/>
                </a:moveTo>
                <a:lnTo>
                  <a:pt x="3040380" y="1751076"/>
                </a:lnTo>
                <a:lnTo>
                  <a:pt x="3040380" y="1955292"/>
                </a:lnTo>
                <a:lnTo>
                  <a:pt x="3674364" y="1955292"/>
                </a:lnTo>
                <a:lnTo>
                  <a:pt x="3674364" y="1751076"/>
                </a:lnTo>
                <a:close/>
              </a:path>
              <a:path w="7486015" h="1955800">
                <a:moveTo>
                  <a:pt x="3674364" y="1543812"/>
                </a:moveTo>
                <a:lnTo>
                  <a:pt x="3040380" y="1543812"/>
                </a:lnTo>
                <a:lnTo>
                  <a:pt x="3040380" y="1748028"/>
                </a:lnTo>
                <a:lnTo>
                  <a:pt x="3674364" y="1748028"/>
                </a:lnTo>
                <a:lnTo>
                  <a:pt x="3674364" y="1543812"/>
                </a:lnTo>
                <a:close/>
              </a:path>
              <a:path w="7486015" h="1955800">
                <a:moveTo>
                  <a:pt x="3674364" y="1336548"/>
                </a:moveTo>
                <a:lnTo>
                  <a:pt x="3040380" y="1336548"/>
                </a:lnTo>
                <a:lnTo>
                  <a:pt x="3040380" y="1540764"/>
                </a:lnTo>
                <a:lnTo>
                  <a:pt x="3674364" y="1540764"/>
                </a:lnTo>
                <a:lnTo>
                  <a:pt x="3674364" y="1336548"/>
                </a:lnTo>
                <a:close/>
              </a:path>
              <a:path w="7486015" h="1955800">
                <a:moveTo>
                  <a:pt x="3674364" y="1129284"/>
                </a:moveTo>
                <a:lnTo>
                  <a:pt x="3040380" y="1129284"/>
                </a:lnTo>
                <a:lnTo>
                  <a:pt x="3040380" y="1333500"/>
                </a:lnTo>
                <a:lnTo>
                  <a:pt x="3674364" y="1333500"/>
                </a:lnTo>
                <a:lnTo>
                  <a:pt x="3674364" y="1129284"/>
                </a:lnTo>
                <a:close/>
              </a:path>
              <a:path w="7486015" h="1955800">
                <a:moveTo>
                  <a:pt x="3674364" y="922020"/>
                </a:moveTo>
                <a:lnTo>
                  <a:pt x="3040380" y="922020"/>
                </a:lnTo>
                <a:lnTo>
                  <a:pt x="3040380" y="1126236"/>
                </a:lnTo>
                <a:lnTo>
                  <a:pt x="3674364" y="1126236"/>
                </a:lnTo>
                <a:lnTo>
                  <a:pt x="3674364" y="922020"/>
                </a:lnTo>
                <a:close/>
              </a:path>
              <a:path w="7486015" h="1955800">
                <a:moveTo>
                  <a:pt x="3674364" y="716280"/>
                </a:moveTo>
                <a:lnTo>
                  <a:pt x="3040380" y="716280"/>
                </a:lnTo>
                <a:lnTo>
                  <a:pt x="3040380" y="918972"/>
                </a:lnTo>
                <a:lnTo>
                  <a:pt x="3674364" y="918972"/>
                </a:lnTo>
                <a:lnTo>
                  <a:pt x="3674364" y="716280"/>
                </a:lnTo>
                <a:close/>
              </a:path>
              <a:path w="7486015" h="1955800">
                <a:moveTo>
                  <a:pt x="3674364" y="414528"/>
                </a:moveTo>
                <a:lnTo>
                  <a:pt x="3040380" y="414528"/>
                </a:lnTo>
                <a:lnTo>
                  <a:pt x="3040380" y="713232"/>
                </a:lnTo>
                <a:lnTo>
                  <a:pt x="3674364" y="713232"/>
                </a:lnTo>
                <a:lnTo>
                  <a:pt x="3674364" y="414528"/>
                </a:lnTo>
                <a:close/>
              </a:path>
              <a:path w="7486015" h="1955800">
                <a:moveTo>
                  <a:pt x="3674364" y="207264"/>
                </a:moveTo>
                <a:lnTo>
                  <a:pt x="3040380" y="207264"/>
                </a:lnTo>
                <a:lnTo>
                  <a:pt x="3040380" y="411480"/>
                </a:lnTo>
                <a:lnTo>
                  <a:pt x="3674364" y="411480"/>
                </a:lnTo>
                <a:lnTo>
                  <a:pt x="3674364" y="207264"/>
                </a:lnTo>
                <a:close/>
              </a:path>
              <a:path w="7486015" h="1955800">
                <a:moveTo>
                  <a:pt x="3674364" y="0"/>
                </a:moveTo>
                <a:lnTo>
                  <a:pt x="3040380" y="0"/>
                </a:lnTo>
                <a:lnTo>
                  <a:pt x="3040380" y="204216"/>
                </a:lnTo>
                <a:lnTo>
                  <a:pt x="3674364" y="204216"/>
                </a:lnTo>
                <a:lnTo>
                  <a:pt x="3674364" y="0"/>
                </a:lnTo>
                <a:close/>
              </a:path>
              <a:path w="7486015" h="1955800">
                <a:moveTo>
                  <a:pt x="4437888" y="1751076"/>
                </a:moveTo>
                <a:lnTo>
                  <a:pt x="3677412" y="1751076"/>
                </a:lnTo>
                <a:lnTo>
                  <a:pt x="3677412" y="1955292"/>
                </a:lnTo>
                <a:lnTo>
                  <a:pt x="4437888" y="1955292"/>
                </a:lnTo>
                <a:lnTo>
                  <a:pt x="4437888" y="1751076"/>
                </a:lnTo>
                <a:close/>
              </a:path>
              <a:path w="7486015" h="1955800">
                <a:moveTo>
                  <a:pt x="4437888" y="1543812"/>
                </a:moveTo>
                <a:lnTo>
                  <a:pt x="3677412" y="1543812"/>
                </a:lnTo>
                <a:lnTo>
                  <a:pt x="3677412" y="1748028"/>
                </a:lnTo>
                <a:lnTo>
                  <a:pt x="4437888" y="1748028"/>
                </a:lnTo>
                <a:lnTo>
                  <a:pt x="4437888" y="1543812"/>
                </a:lnTo>
                <a:close/>
              </a:path>
              <a:path w="7486015" h="1955800">
                <a:moveTo>
                  <a:pt x="4437888" y="1336548"/>
                </a:moveTo>
                <a:lnTo>
                  <a:pt x="3677412" y="1336548"/>
                </a:lnTo>
                <a:lnTo>
                  <a:pt x="3677412" y="1540764"/>
                </a:lnTo>
                <a:lnTo>
                  <a:pt x="4437888" y="1540764"/>
                </a:lnTo>
                <a:lnTo>
                  <a:pt x="4437888" y="1336548"/>
                </a:lnTo>
                <a:close/>
              </a:path>
              <a:path w="7486015" h="1955800">
                <a:moveTo>
                  <a:pt x="4437888" y="1129284"/>
                </a:moveTo>
                <a:lnTo>
                  <a:pt x="3677412" y="1129284"/>
                </a:lnTo>
                <a:lnTo>
                  <a:pt x="3677412" y="1333500"/>
                </a:lnTo>
                <a:lnTo>
                  <a:pt x="4437888" y="1333500"/>
                </a:lnTo>
                <a:lnTo>
                  <a:pt x="4437888" y="1129284"/>
                </a:lnTo>
                <a:close/>
              </a:path>
              <a:path w="7486015" h="1955800">
                <a:moveTo>
                  <a:pt x="4437888" y="922020"/>
                </a:moveTo>
                <a:lnTo>
                  <a:pt x="3677412" y="922020"/>
                </a:lnTo>
                <a:lnTo>
                  <a:pt x="3677412" y="1126236"/>
                </a:lnTo>
                <a:lnTo>
                  <a:pt x="4437888" y="1126236"/>
                </a:lnTo>
                <a:lnTo>
                  <a:pt x="4437888" y="922020"/>
                </a:lnTo>
                <a:close/>
              </a:path>
              <a:path w="7486015" h="1955800">
                <a:moveTo>
                  <a:pt x="4437888" y="716280"/>
                </a:moveTo>
                <a:lnTo>
                  <a:pt x="3677412" y="716280"/>
                </a:lnTo>
                <a:lnTo>
                  <a:pt x="3677412" y="918972"/>
                </a:lnTo>
                <a:lnTo>
                  <a:pt x="4437888" y="918972"/>
                </a:lnTo>
                <a:lnTo>
                  <a:pt x="4437888" y="716280"/>
                </a:lnTo>
                <a:close/>
              </a:path>
              <a:path w="7486015" h="1955800">
                <a:moveTo>
                  <a:pt x="4437888" y="414528"/>
                </a:moveTo>
                <a:lnTo>
                  <a:pt x="3677412" y="414528"/>
                </a:lnTo>
                <a:lnTo>
                  <a:pt x="3677412" y="713232"/>
                </a:lnTo>
                <a:lnTo>
                  <a:pt x="4437888" y="713232"/>
                </a:lnTo>
                <a:lnTo>
                  <a:pt x="4437888" y="414528"/>
                </a:lnTo>
                <a:close/>
              </a:path>
              <a:path w="7486015" h="1955800">
                <a:moveTo>
                  <a:pt x="4437888" y="207264"/>
                </a:moveTo>
                <a:lnTo>
                  <a:pt x="3677412" y="207264"/>
                </a:lnTo>
                <a:lnTo>
                  <a:pt x="3677412" y="411480"/>
                </a:lnTo>
                <a:lnTo>
                  <a:pt x="4437888" y="411480"/>
                </a:lnTo>
                <a:lnTo>
                  <a:pt x="4437888" y="207264"/>
                </a:lnTo>
                <a:close/>
              </a:path>
              <a:path w="7486015" h="1955800">
                <a:moveTo>
                  <a:pt x="4437888" y="0"/>
                </a:moveTo>
                <a:lnTo>
                  <a:pt x="3677412" y="0"/>
                </a:lnTo>
                <a:lnTo>
                  <a:pt x="3677412" y="204216"/>
                </a:lnTo>
                <a:lnTo>
                  <a:pt x="4437888" y="204216"/>
                </a:lnTo>
                <a:lnTo>
                  <a:pt x="4437888" y="0"/>
                </a:lnTo>
                <a:close/>
              </a:path>
              <a:path w="7486015" h="1955800">
                <a:moveTo>
                  <a:pt x="5199888" y="1751076"/>
                </a:moveTo>
                <a:lnTo>
                  <a:pt x="4440936" y="1751076"/>
                </a:lnTo>
                <a:lnTo>
                  <a:pt x="4440936" y="1955292"/>
                </a:lnTo>
                <a:lnTo>
                  <a:pt x="5199888" y="1955292"/>
                </a:lnTo>
                <a:lnTo>
                  <a:pt x="5199888" y="1751076"/>
                </a:lnTo>
                <a:close/>
              </a:path>
              <a:path w="7486015" h="1955800">
                <a:moveTo>
                  <a:pt x="5199888" y="1543812"/>
                </a:moveTo>
                <a:lnTo>
                  <a:pt x="4440936" y="1543812"/>
                </a:lnTo>
                <a:lnTo>
                  <a:pt x="4440936" y="1748028"/>
                </a:lnTo>
                <a:lnTo>
                  <a:pt x="5199888" y="1748028"/>
                </a:lnTo>
                <a:lnTo>
                  <a:pt x="5199888" y="1543812"/>
                </a:lnTo>
                <a:close/>
              </a:path>
              <a:path w="7486015" h="1955800">
                <a:moveTo>
                  <a:pt x="5199888" y="1336548"/>
                </a:moveTo>
                <a:lnTo>
                  <a:pt x="4440936" y="1336548"/>
                </a:lnTo>
                <a:lnTo>
                  <a:pt x="4440936" y="1540764"/>
                </a:lnTo>
                <a:lnTo>
                  <a:pt x="5199888" y="1540764"/>
                </a:lnTo>
                <a:lnTo>
                  <a:pt x="5199888" y="1336548"/>
                </a:lnTo>
                <a:close/>
              </a:path>
              <a:path w="7486015" h="1955800">
                <a:moveTo>
                  <a:pt x="5199888" y="1129284"/>
                </a:moveTo>
                <a:lnTo>
                  <a:pt x="4440936" y="1129284"/>
                </a:lnTo>
                <a:lnTo>
                  <a:pt x="4440936" y="1333500"/>
                </a:lnTo>
                <a:lnTo>
                  <a:pt x="5199888" y="1333500"/>
                </a:lnTo>
                <a:lnTo>
                  <a:pt x="5199888" y="1129284"/>
                </a:lnTo>
                <a:close/>
              </a:path>
              <a:path w="7486015" h="1955800">
                <a:moveTo>
                  <a:pt x="5199888" y="922020"/>
                </a:moveTo>
                <a:lnTo>
                  <a:pt x="4440936" y="922020"/>
                </a:lnTo>
                <a:lnTo>
                  <a:pt x="4440936" y="1126236"/>
                </a:lnTo>
                <a:lnTo>
                  <a:pt x="5199888" y="1126236"/>
                </a:lnTo>
                <a:lnTo>
                  <a:pt x="5199888" y="922020"/>
                </a:lnTo>
                <a:close/>
              </a:path>
              <a:path w="7486015" h="1955800">
                <a:moveTo>
                  <a:pt x="5199888" y="716280"/>
                </a:moveTo>
                <a:lnTo>
                  <a:pt x="4440936" y="716280"/>
                </a:lnTo>
                <a:lnTo>
                  <a:pt x="4440936" y="918972"/>
                </a:lnTo>
                <a:lnTo>
                  <a:pt x="5199888" y="918972"/>
                </a:lnTo>
                <a:lnTo>
                  <a:pt x="5199888" y="716280"/>
                </a:lnTo>
                <a:close/>
              </a:path>
              <a:path w="7486015" h="1955800">
                <a:moveTo>
                  <a:pt x="5199888" y="414528"/>
                </a:moveTo>
                <a:lnTo>
                  <a:pt x="4440936" y="414528"/>
                </a:lnTo>
                <a:lnTo>
                  <a:pt x="4440936" y="713232"/>
                </a:lnTo>
                <a:lnTo>
                  <a:pt x="5199888" y="713232"/>
                </a:lnTo>
                <a:lnTo>
                  <a:pt x="5199888" y="414528"/>
                </a:lnTo>
                <a:close/>
              </a:path>
              <a:path w="7486015" h="1955800">
                <a:moveTo>
                  <a:pt x="5199888" y="207264"/>
                </a:moveTo>
                <a:lnTo>
                  <a:pt x="4440936" y="207264"/>
                </a:lnTo>
                <a:lnTo>
                  <a:pt x="4440936" y="411480"/>
                </a:lnTo>
                <a:lnTo>
                  <a:pt x="5199888" y="411480"/>
                </a:lnTo>
                <a:lnTo>
                  <a:pt x="5199888" y="207264"/>
                </a:lnTo>
                <a:close/>
              </a:path>
              <a:path w="7486015" h="1955800">
                <a:moveTo>
                  <a:pt x="5199888" y="0"/>
                </a:moveTo>
                <a:lnTo>
                  <a:pt x="4440936" y="0"/>
                </a:lnTo>
                <a:lnTo>
                  <a:pt x="4440936" y="204216"/>
                </a:lnTo>
                <a:lnTo>
                  <a:pt x="5199888" y="204216"/>
                </a:lnTo>
                <a:lnTo>
                  <a:pt x="5199888" y="0"/>
                </a:lnTo>
                <a:close/>
              </a:path>
              <a:path w="7486015" h="1955800">
                <a:moveTo>
                  <a:pt x="5961875" y="1751076"/>
                </a:moveTo>
                <a:lnTo>
                  <a:pt x="5202936" y="1751076"/>
                </a:lnTo>
                <a:lnTo>
                  <a:pt x="5202936" y="1955292"/>
                </a:lnTo>
                <a:lnTo>
                  <a:pt x="5961875" y="1955292"/>
                </a:lnTo>
                <a:lnTo>
                  <a:pt x="5961875" y="1751076"/>
                </a:lnTo>
                <a:close/>
              </a:path>
              <a:path w="7486015" h="1955800">
                <a:moveTo>
                  <a:pt x="5961875" y="1543812"/>
                </a:moveTo>
                <a:lnTo>
                  <a:pt x="5202936" y="1543812"/>
                </a:lnTo>
                <a:lnTo>
                  <a:pt x="5202936" y="1748028"/>
                </a:lnTo>
                <a:lnTo>
                  <a:pt x="5961875" y="1748028"/>
                </a:lnTo>
                <a:lnTo>
                  <a:pt x="5961875" y="1543812"/>
                </a:lnTo>
                <a:close/>
              </a:path>
              <a:path w="7486015" h="1955800">
                <a:moveTo>
                  <a:pt x="5961875" y="1336548"/>
                </a:moveTo>
                <a:lnTo>
                  <a:pt x="5202936" y="1336548"/>
                </a:lnTo>
                <a:lnTo>
                  <a:pt x="5202936" y="1540764"/>
                </a:lnTo>
                <a:lnTo>
                  <a:pt x="5961875" y="1540764"/>
                </a:lnTo>
                <a:lnTo>
                  <a:pt x="5961875" y="1336548"/>
                </a:lnTo>
                <a:close/>
              </a:path>
              <a:path w="7486015" h="1955800">
                <a:moveTo>
                  <a:pt x="5961875" y="1129284"/>
                </a:moveTo>
                <a:lnTo>
                  <a:pt x="5202936" y="1129284"/>
                </a:lnTo>
                <a:lnTo>
                  <a:pt x="5202936" y="1333500"/>
                </a:lnTo>
                <a:lnTo>
                  <a:pt x="5961875" y="1333500"/>
                </a:lnTo>
                <a:lnTo>
                  <a:pt x="5961875" y="1129284"/>
                </a:lnTo>
                <a:close/>
              </a:path>
              <a:path w="7486015" h="1955800">
                <a:moveTo>
                  <a:pt x="5961875" y="922020"/>
                </a:moveTo>
                <a:lnTo>
                  <a:pt x="5202936" y="922020"/>
                </a:lnTo>
                <a:lnTo>
                  <a:pt x="5202936" y="1126236"/>
                </a:lnTo>
                <a:lnTo>
                  <a:pt x="5961875" y="1126236"/>
                </a:lnTo>
                <a:lnTo>
                  <a:pt x="5961875" y="922020"/>
                </a:lnTo>
                <a:close/>
              </a:path>
              <a:path w="7486015" h="1955800">
                <a:moveTo>
                  <a:pt x="5961875" y="716280"/>
                </a:moveTo>
                <a:lnTo>
                  <a:pt x="5202936" y="716280"/>
                </a:lnTo>
                <a:lnTo>
                  <a:pt x="5202936" y="918972"/>
                </a:lnTo>
                <a:lnTo>
                  <a:pt x="5961875" y="918972"/>
                </a:lnTo>
                <a:lnTo>
                  <a:pt x="5961875" y="716280"/>
                </a:lnTo>
                <a:close/>
              </a:path>
              <a:path w="7486015" h="1955800">
                <a:moveTo>
                  <a:pt x="5961875" y="414528"/>
                </a:moveTo>
                <a:lnTo>
                  <a:pt x="5202936" y="414528"/>
                </a:lnTo>
                <a:lnTo>
                  <a:pt x="5202936" y="713232"/>
                </a:lnTo>
                <a:lnTo>
                  <a:pt x="5961875" y="713232"/>
                </a:lnTo>
                <a:lnTo>
                  <a:pt x="5961875" y="414528"/>
                </a:lnTo>
                <a:close/>
              </a:path>
              <a:path w="7486015" h="1955800">
                <a:moveTo>
                  <a:pt x="5961875" y="207264"/>
                </a:moveTo>
                <a:lnTo>
                  <a:pt x="5202936" y="207264"/>
                </a:lnTo>
                <a:lnTo>
                  <a:pt x="5202936" y="411480"/>
                </a:lnTo>
                <a:lnTo>
                  <a:pt x="5961875" y="411480"/>
                </a:lnTo>
                <a:lnTo>
                  <a:pt x="5961875" y="207264"/>
                </a:lnTo>
                <a:close/>
              </a:path>
              <a:path w="7486015" h="1955800">
                <a:moveTo>
                  <a:pt x="5961875" y="0"/>
                </a:moveTo>
                <a:lnTo>
                  <a:pt x="5202936" y="0"/>
                </a:lnTo>
                <a:lnTo>
                  <a:pt x="5202936" y="204216"/>
                </a:lnTo>
                <a:lnTo>
                  <a:pt x="5961875" y="204216"/>
                </a:lnTo>
                <a:lnTo>
                  <a:pt x="5961875" y="0"/>
                </a:lnTo>
                <a:close/>
              </a:path>
              <a:path w="7486015" h="1955800">
                <a:moveTo>
                  <a:pt x="6723888" y="1751076"/>
                </a:moveTo>
                <a:lnTo>
                  <a:pt x="5964936" y="1751076"/>
                </a:lnTo>
                <a:lnTo>
                  <a:pt x="5964936" y="1955292"/>
                </a:lnTo>
                <a:lnTo>
                  <a:pt x="6723888" y="1955292"/>
                </a:lnTo>
                <a:lnTo>
                  <a:pt x="6723888" y="1751076"/>
                </a:lnTo>
                <a:close/>
              </a:path>
              <a:path w="7486015" h="1955800">
                <a:moveTo>
                  <a:pt x="6723888" y="1543812"/>
                </a:moveTo>
                <a:lnTo>
                  <a:pt x="5964936" y="1543812"/>
                </a:lnTo>
                <a:lnTo>
                  <a:pt x="5964936" y="1748028"/>
                </a:lnTo>
                <a:lnTo>
                  <a:pt x="6723888" y="1748028"/>
                </a:lnTo>
                <a:lnTo>
                  <a:pt x="6723888" y="1543812"/>
                </a:lnTo>
                <a:close/>
              </a:path>
              <a:path w="7486015" h="1955800">
                <a:moveTo>
                  <a:pt x="6723888" y="1336548"/>
                </a:moveTo>
                <a:lnTo>
                  <a:pt x="5964936" y="1336548"/>
                </a:lnTo>
                <a:lnTo>
                  <a:pt x="5964936" y="1540764"/>
                </a:lnTo>
                <a:lnTo>
                  <a:pt x="6723888" y="1540764"/>
                </a:lnTo>
                <a:lnTo>
                  <a:pt x="6723888" y="1336548"/>
                </a:lnTo>
                <a:close/>
              </a:path>
              <a:path w="7486015" h="1955800">
                <a:moveTo>
                  <a:pt x="6723888" y="1129284"/>
                </a:moveTo>
                <a:lnTo>
                  <a:pt x="5964936" y="1129284"/>
                </a:lnTo>
                <a:lnTo>
                  <a:pt x="5964936" y="1333500"/>
                </a:lnTo>
                <a:lnTo>
                  <a:pt x="6723888" y="1333500"/>
                </a:lnTo>
                <a:lnTo>
                  <a:pt x="6723888" y="1129284"/>
                </a:lnTo>
                <a:close/>
              </a:path>
              <a:path w="7486015" h="1955800">
                <a:moveTo>
                  <a:pt x="6723888" y="922020"/>
                </a:moveTo>
                <a:lnTo>
                  <a:pt x="5964936" y="922020"/>
                </a:lnTo>
                <a:lnTo>
                  <a:pt x="5964936" y="1126236"/>
                </a:lnTo>
                <a:lnTo>
                  <a:pt x="6723888" y="1126236"/>
                </a:lnTo>
                <a:lnTo>
                  <a:pt x="6723888" y="922020"/>
                </a:lnTo>
                <a:close/>
              </a:path>
              <a:path w="7486015" h="1955800">
                <a:moveTo>
                  <a:pt x="6723888" y="716280"/>
                </a:moveTo>
                <a:lnTo>
                  <a:pt x="5964936" y="716280"/>
                </a:lnTo>
                <a:lnTo>
                  <a:pt x="5964936" y="918972"/>
                </a:lnTo>
                <a:lnTo>
                  <a:pt x="6723888" y="918972"/>
                </a:lnTo>
                <a:lnTo>
                  <a:pt x="6723888" y="716280"/>
                </a:lnTo>
                <a:close/>
              </a:path>
              <a:path w="7486015" h="1955800">
                <a:moveTo>
                  <a:pt x="6723888" y="414528"/>
                </a:moveTo>
                <a:lnTo>
                  <a:pt x="5964936" y="414528"/>
                </a:lnTo>
                <a:lnTo>
                  <a:pt x="5964936" y="713232"/>
                </a:lnTo>
                <a:lnTo>
                  <a:pt x="6723888" y="713232"/>
                </a:lnTo>
                <a:lnTo>
                  <a:pt x="6723888" y="414528"/>
                </a:lnTo>
                <a:close/>
              </a:path>
              <a:path w="7486015" h="1955800">
                <a:moveTo>
                  <a:pt x="6723888" y="207264"/>
                </a:moveTo>
                <a:lnTo>
                  <a:pt x="5964936" y="207264"/>
                </a:lnTo>
                <a:lnTo>
                  <a:pt x="5964936" y="411480"/>
                </a:lnTo>
                <a:lnTo>
                  <a:pt x="6723888" y="411480"/>
                </a:lnTo>
                <a:lnTo>
                  <a:pt x="6723888" y="207264"/>
                </a:lnTo>
                <a:close/>
              </a:path>
              <a:path w="7486015" h="1955800">
                <a:moveTo>
                  <a:pt x="6723888" y="0"/>
                </a:moveTo>
                <a:lnTo>
                  <a:pt x="5964936" y="0"/>
                </a:lnTo>
                <a:lnTo>
                  <a:pt x="5964936" y="204216"/>
                </a:lnTo>
                <a:lnTo>
                  <a:pt x="6723888" y="204216"/>
                </a:lnTo>
                <a:lnTo>
                  <a:pt x="6723888" y="0"/>
                </a:lnTo>
                <a:close/>
              </a:path>
              <a:path w="7486015" h="1955800">
                <a:moveTo>
                  <a:pt x="7485888" y="1543812"/>
                </a:moveTo>
                <a:lnTo>
                  <a:pt x="6726936" y="1543812"/>
                </a:lnTo>
                <a:lnTo>
                  <a:pt x="6726936" y="1748028"/>
                </a:lnTo>
                <a:lnTo>
                  <a:pt x="7485888" y="1748028"/>
                </a:lnTo>
                <a:lnTo>
                  <a:pt x="7485888" y="1543812"/>
                </a:lnTo>
                <a:close/>
              </a:path>
              <a:path w="7486015" h="1955800">
                <a:moveTo>
                  <a:pt x="7485888" y="1336548"/>
                </a:moveTo>
                <a:lnTo>
                  <a:pt x="6726936" y="1336548"/>
                </a:lnTo>
                <a:lnTo>
                  <a:pt x="6726936" y="1540764"/>
                </a:lnTo>
                <a:lnTo>
                  <a:pt x="7485888" y="1540764"/>
                </a:lnTo>
                <a:lnTo>
                  <a:pt x="7485888" y="1336548"/>
                </a:lnTo>
                <a:close/>
              </a:path>
              <a:path w="7486015" h="1955800">
                <a:moveTo>
                  <a:pt x="7485888" y="1129284"/>
                </a:moveTo>
                <a:lnTo>
                  <a:pt x="6726936" y="1129284"/>
                </a:lnTo>
                <a:lnTo>
                  <a:pt x="6726936" y="1333500"/>
                </a:lnTo>
                <a:lnTo>
                  <a:pt x="7485888" y="1333500"/>
                </a:lnTo>
                <a:lnTo>
                  <a:pt x="7485888" y="1129284"/>
                </a:lnTo>
                <a:close/>
              </a:path>
              <a:path w="7486015" h="1955800">
                <a:moveTo>
                  <a:pt x="7485888" y="922020"/>
                </a:moveTo>
                <a:lnTo>
                  <a:pt x="6726936" y="922020"/>
                </a:lnTo>
                <a:lnTo>
                  <a:pt x="6726936" y="1126236"/>
                </a:lnTo>
                <a:lnTo>
                  <a:pt x="7485888" y="1126236"/>
                </a:lnTo>
                <a:lnTo>
                  <a:pt x="7485888" y="922020"/>
                </a:lnTo>
                <a:close/>
              </a:path>
              <a:path w="7486015" h="1955800">
                <a:moveTo>
                  <a:pt x="7485888" y="716280"/>
                </a:moveTo>
                <a:lnTo>
                  <a:pt x="6726936" y="716280"/>
                </a:lnTo>
                <a:lnTo>
                  <a:pt x="6726936" y="918972"/>
                </a:lnTo>
                <a:lnTo>
                  <a:pt x="7485888" y="918972"/>
                </a:lnTo>
                <a:lnTo>
                  <a:pt x="7485888" y="716280"/>
                </a:lnTo>
                <a:close/>
              </a:path>
              <a:path w="7486015" h="1955800">
                <a:moveTo>
                  <a:pt x="7485888" y="414528"/>
                </a:moveTo>
                <a:lnTo>
                  <a:pt x="6726936" y="414528"/>
                </a:lnTo>
                <a:lnTo>
                  <a:pt x="6726936" y="713232"/>
                </a:lnTo>
                <a:lnTo>
                  <a:pt x="7485888" y="713232"/>
                </a:lnTo>
                <a:lnTo>
                  <a:pt x="7485888" y="414528"/>
                </a:lnTo>
                <a:close/>
              </a:path>
              <a:path w="7486015" h="1955800">
                <a:moveTo>
                  <a:pt x="7485888" y="207264"/>
                </a:moveTo>
                <a:lnTo>
                  <a:pt x="6726936" y="207264"/>
                </a:lnTo>
                <a:lnTo>
                  <a:pt x="6726936" y="411480"/>
                </a:lnTo>
                <a:lnTo>
                  <a:pt x="7485888" y="411480"/>
                </a:lnTo>
                <a:lnTo>
                  <a:pt x="7485888" y="207264"/>
                </a:lnTo>
                <a:close/>
              </a:path>
              <a:path w="7486015" h="1955800">
                <a:moveTo>
                  <a:pt x="7485888" y="0"/>
                </a:moveTo>
                <a:lnTo>
                  <a:pt x="6726936" y="0"/>
                </a:lnTo>
                <a:lnTo>
                  <a:pt x="6726936" y="204216"/>
                </a:lnTo>
                <a:lnTo>
                  <a:pt x="7485888" y="204216"/>
                </a:lnTo>
                <a:lnTo>
                  <a:pt x="7485888" y="0"/>
                </a:lnTo>
                <a:close/>
              </a:path>
            </a:pathLst>
          </a:custGeom>
          <a:solidFill>
            <a:srgbClr val="FFFFFF"/>
          </a:solidFill>
        </xdr:spPr>
      </xdr:sp>
      <xdr:sp macro="" textlink="">
        <xdr:nvSpPr>
          <xdr:cNvPr id="53" name="Shape 53">
            <a:extLst>
              <a:ext uri="{FF2B5EF4-FFF2-40B4-BE49-F238E27FC236}">
                <a16:creationId xmlns:a16="http://schemas.microsoft.com/office/drawing/2014/main" id="{00000000-0008-0000-0400-000035000000}"/>
              </a:ext>
            </a:extLst>
          </xdr:cNvPr>
          <xdr:cNvSpPr/>
        </xdr:nvSpPr>
        <xdr:spPr>
          <a:xfrm>
            <a:off x="0" y="1751075"/>
            <a:ext cx="7486015" cy="2065020"/>
          </a:xfrm>
          <a:custGeom>
            <a:avLst/>
            <a:gdLst/>
            <a:ahLst/>
            <a:cxnLst/>
            <a:rect l="0" t="0" r="0" b="0"/>
            <a:pathLst>
              <a:path w="7486015" h="2065020">
                <a:moveTo>
                  <a:pt x="312420" y="620268"/>
                </a:moveTo>
                <a:lnTo>
                  <a:pt x="0" y="620268"/>
                </a:lnTo>
                <a:lnTo>
                  <a:pt x="0" y="1237488"/>
                </a:lnTo>
                <a:lnTo>
                  <a:pt x="312420" y="1237488"/>
                </a:lnTo>
                <a:lnTo>
                  <a:pt x="312420" y="620268"/>
                </a:lnTo>
                <a:close/>
              </a:path>
              <a:path w="7486015" h="2065020">
                <a:moveTo>
                  <a:pt x="312420" y="0"/>
                </a:moveTo>
                <a:lnTo>
                  <a:pt x="0" y="0"/>
                </a:lnTo>
                <a:lnTo>
                  <a:pt x="0" y="617220"/>
                </a:lnTo>
                <a:lnTo>
                  <a:pt x="312420" y="617220"/>
                </a:lnTo>
                <a:lnTo>
                  <a:pt x="312420" y="0"/>
                </a:lnTo>
                <a:close/>
              </a:path>
              <a:path w="7486015" h="2065020">
                <a:moveTo>
                  <a:pt x="1264920" y="620268"/>
                </a:moveTo>
                <a:lnTo>
                  <a:pt x="315468" y="620268"/>
                </a:lnTo>
                <a:lnTo>
                  <a:pt x="315468" y="1237488"/>
                </a:lnTo>
                <a:lnTo>
                  <a:pt x="1264920" y="1237488"/>
                </a:lnTo>
                <a:lnTo>
                  <a:pt x="1264920" y="620268"/>
                </a:lnTo>
                <a:close/>
              </a:path>
              <a:path w="7486015" h="2065020">
                <a:moveTo>
                  <a:pt x="1264920" y="0"/>
                </a:moveTo>
                <a:lnTo>
                  <a:pt x="315468" y="0"/>
                </a:lnTo>
                <a:lnTo>
                  <a:pt x="315468" y="617220"/>
                </a:lnTo>
                <a:lnTo>
                  <a:pt x="1264920" y="617220"/>
                </a:lnTo>
                <a:lnTo>
                  <a:pt x="1264920" y="0"/>
                </a:lnTo>
                <a:close/>
              </a:path>
              <a:path w="7486015" h="2065020">
                <a:moveTo>
                  <a:pt x="2531364" y="620268"/>
                </a:moveTo>
                <a:lnTo>
                  <a:pt x="1267968" y="620268"/>
                </a:lnTo>
                <a:lnTo>
                  <a:pt x="1267968" y="1237488"/>
                </a:lnTo>
                <a:lnTo>
                  <a:pt x="2531364" y="1237488"/>
                </a:lnTo>
                <a:lnTo>
                  <a:pt x="2531364" y="620268"/>
                </a:lnTo>
                <a:close/>
              </a:path>
              <a:path w="7486015" h="2065020">
                <a:moveTo>
                  <a:pt x="2531364" y="0"/>
                </a:moveTo>
                <a:lnTo>
                  <a:pt x="1267968" y="0"/>
                </a:lnTo>
                <a:lnTo>
                  <a:pt x="1267968" y="617220"/>
                </a:lnTo>
                <a:lnTo>
                  <a:pt x="2531364" y="617220"/>
                </a:lnTo>
                <a:lnTo>
                  <a:pt x="2531364" y="0"/>
                </a:lnTo>
                <a:close/>
              </a:path>
              <a:path w="7486015" h="2065020">
                <a:moveTo>
                  <a:pt x="3037332" y="1862328"/>
                </a:moveTo>
                <a:lnTo>
                  <a:pt x="2534412" y="1862328"/>
                </a:lnTo>
                <a:lnTo>
                  <a:pt x="2534412" y="2065020"/>
                </a:lnTo>
                <a:lnTo>
                  <a:pt x="3037332" y="2065020"/>
                </a:lnTo>
                <a:lnTo>
                  <a:pt x="3037332" y="1862328"/>
                </a:lnTo>
                <a:close/>
              </a:path>
              <a:path w="7486015" h="2065020">
                <a:moveTo>
                  <a:pt x="3037332" y="1655064"/>
                </a:moveTo>
                <a:lnTo>
                  <a:pt x="2534412" y="1655064"/>
                </a:lnTo>
                <a:lnTo>
                  <a:pt x="2534412" y="1859280"/>
                </a:lnTo>
                <a:lnTo>
                  <a:pt x="3037332" y="1859280"/>
                </a:lnTo>
                <a:lnTo>
                  <a:pt x="3037332" y="1655064"/>
                </a:lnTo>
                <a:close/>
              </a:path>
              <a:path w="7486015" h="2065020">
                <a:moveTo>
                  <a:pt x="3037332" y="1447800"/>
                </a:moveTo>
                <a:lnTo>
                  <a:pt x="2534412" y="1447800"/>
                </a:lnTo>
                <a:lnTo>
                  <a:pt x="2534412" y="1652016"/>
                </a:lnTo>
                <a:lnTo>
                  <a:pt x="3037332" y="1652016"/>
                </a:lnTo>
                <a:lnTo>
                  <a:pt x="3037332" y="1447800"/>
                </a:lnTo>
                <a:close/>
              </a:path>
              <a:path w="7486015" h="2065020">
                <a:moveTo>
                  <a:pt x="3037332" y="1240536"/>
                </a:moveTo>
                <a:lnTo>
                  <a:pt x="2534412" y="1240536"/>
                </a:lnTo>
                <a:lnTo>
                  <a:pt x="2534412" y="1444752"/>
                </a:lnTo>
                <a:lnTo>
                  <a:pt x="3037332" y="1444752"/>
                </a:lnTo>
                <a:lnTo>
                  <a:pt x="3037332" y="1240536"/>
                </a:lnTo>
                <a:close/>
              </a:path>
              <a:path w="7486015" h="2065020">
                <a:moveTo>
                  <a:pt x="3037332" y="1034796"/>
                </a:moveTo>
                <a:lnTo>
                  <a:pt x="2534412" y="1034796"/>
                </a:lnTo>
                <a:lnTo>
                  <a:pt x="2534412" y="1237488"/>
                </a:lnTo>
                <a:lnTo>
                  <a:pt x="3037332" y="1237488"/>
                </a:lnTo>
                <a:lnTo>
                  <a:pt x="3037332" y="1034796"/>
                </a:lnTo>
                <a:close/>
              </a:path>
              <a:path w="7486015" h="2065020">
                <a:moveTo>
                  <a:pt x="3037332" y="827532"/>
                </a:moveTo>
                <a:lnTo>
                  <a:pt x="2534412" y="827532"/>
                </a:lnTo>
                <a:lnTo>
                  <a:pt x="2534412" y="1031748"/>
                </a:lnTo>
                <a:lnTo>
                  <a:pt x="3037332" y="1031748"/>
                </a:lnTo>
                <a:lnTo>
                  <a:pt x="3037332" y="827532"/>
                </a:lnTo>
                <a:close/>
              </a:path>
              <a:path w="7486015" h="2065020">
                <a:moveTo>
                  <a:pt x="3037332" y="620268"/>
                </a:moveTo>
                <a:lnTo>
                  <a:pt x="2534412" y="620268"/>
                </a:lnTo>
                <a:lnTo>
                  <a:pt x="2534412" y="824484"/>
                </a:lnTo>
                <a:lnTo>
                  <a:pt x="3037332" y="824484"/>
                </a:lnTo>
                <a:lnTo>
                  <a:pt x="3037332" y="620268"/>
                </a:lnTo>
                <a:close/>
              </a:path>
              <a:path w="7486015" h="2065020">
                <a:moveTo>
                  <a:pt x="3037332" y="413004"/>
                </a:moveTo>
                <a:lnTo>
                  <a:pt x="2534412" y="413004"/>
                </a:lnTo>
                <a:lnTo>
                  <a:pt x="2534412" y="617220"/>
                </a:lnTo>
                <a:lnTo>
                  <a:pt x="3037332" y="617220"/>
                </a:lnTo>
                <a:lnTo>
                  <a:pt x="3037332" y="413004"/>
                </a:lnTo>
                <a:close/>
              </a:path>
              <a:path w="7486015" h="2065020">
                <a:moveTo>
                  <a:pt x="3037332" y="207264"/>
                </a:moveTo>
                <a:lnTo>
                  <a:pt x="2534412" y="207264"/>
                </a:lnTo>
                <a:lnTo>
                  <a:pt x="2534412" y="409956"/>
                </a:lnTo>
                <a:lnTo>
                  <a:pt x="3037332" y="409956"/>
                </a:lnTo>
                <a:lnTo>
                  <a:pt x="3037332" y="207264"/>
                </a:lnTo>
                <a:close/>
              </a:path>
              <a:path w="7486015" h="2065020">
                <a:moveTo>
                  <a:pt x="3674364" y="1862328"/>
                </a:moveTo>
                <a:lnTo>
                  <a:pt x="3040380" y="1862328"/>
                </a:lnTo>
                <a:lnTo>
                  <a:pt x="3040380" y="2065020"/>
                </a:lnTo>
                <a:lnTo>
                  <a:pt x="3674364" y="2065020"/>
                </a:lnTo>
                <a:lnTo>
                  <a:pt x="3674364" y="1862328"/>
                </a:lnTo>
                <a:close/>
              </a:path>
              <a:path w="7486015" h="2065020">
                <a:moveTo>
                  <a:pt x="3674364" y="1655064"/>
                </a:moveTo>
                <a:lnTo>
                  <a:pt x="3040380" y="1655064"/>
                </a:lnTo>
                <a:lnTo>
                  <a:pt x="3040380" y="1859280"/>
                </a:lnTo>
                <a:lnTo>
                  <a:pt x="3674364" y="1859280"/>
                </a:lnTo>
                <a:lnTo>
                  <a:pt x="3674364" y="1655064"/>
                </a:lnTo>
                <a:close/>
              </a:path>
              <a:path w="7486015" h="2065020">
                <a:moveTo>
                  <a:pt x="3674364" y="1447800"/>
                </a:moveTo>
                <a:lnTo>
                  <a:pt x="3040380" y="1447800"/>
                </a:lnTo>
                <a:lnTo>
                  <a:pt x="3040380" y="1652016"/>
                </a:lnTo>
                <a:lnTo>
                  <a:pt x="3674364" y="1652016"/>
                </a:lnTo>
                <a:lnTo>
                  <a:pt x="3674364" y="1447800"/>
                </a:lnTo>
                <a:close/>
              </a:path>
              <a:path w="7486015" h="2065020">
                <a:moveTo>
                  <a:pt x="3674364" y="1240536"/>
                </a:moveTo>
                <a:lnTo>
                  <a:pt x="3040380" y="1240536"/>
                </a:lnTo>
                <a:lnTo>
                  <a:pt x="3040380" y="1444752"/>
                </a:lnTo>
                <a:lnTo>
                  <a:pt x="3674364" y="1444752"/>
                </a:lnTo>
                <a:lnTo>
                  <a:pt x="3674364" y="1240536"/>
                </a:lnTo>
                <a:close/>
              </a:path>
              <a:path w="7486015" h="2065020">
                <a:moveTo>
                  <a:pt x="3674364" y="1034796"/>
                </a:moveTo>
                <a:lnTo>
                  <a:pt x="3040380" y="1034796"/>
                </a:lnTo>
                <a:lnTo>
                  <a:pt x="3040380" y="1237488"/>
                </a:lnTo>
                <a:lnTo>
                  <a:pt x="3674364" y="1237488"/>
                </a:lnTo>
                <a:lnTo>
                  <a:pt x="3674364" y="1034796"/>
                </a:lnTo>
                <a:close/>
              </a:path>
              <a:path w="7486015" h="2065020">
                <a:moveTo>
                  <a:pt x="3674364" y="827532"/>
                </a:moveTo>
                <a:lnTo>
                  <a:pt x="3040380" y="827532"/>
                </a:lnTo>
                <a:lnTo>
                  <a:pt x="3040380" y="1031748"/>
                </a:lnTo>
                <a:lnTo>
                  <a:pt x="3674364" y="1031748"/>
                </a:lnTo>
                <a:lnTo>
                  <a:pt x="3674364" y="827532"/>
                </a:lnTo>
                <a:close/>
              </a:path>
              <a:path w="7486015" h="2065020">
                <a:moveTo>
                  <a:pt x="3674364" y="620268"/>
                </a:moveTo>
                <a:lnTo>
                  <a:pt x="3040380" y="620268"/>
                </a:lnTo>
                <a:lnTo>
                  <a:pt x="3040380" y="824484"/>
                </a:lnTo>
                <a:lnTo>
                  <a:pt x="3674364" y="824484"/>
                </a:lnTo>
                <a:lnTo>
                  <a:pt x="3674364" y="620268"/>
                </a:lnTo>
                <a:close/>
              </a:path>
              <a:path w="7486015" h="2065020">
                <a:moveTo>
                  <a:pt x="3674364" y="413004"/>
                </a:moveTo>
                <a:lnTo>
                  <a:pt x="3040380" y="413004"/>
                </a:lnTo>
                <a:lnTo>
                  <a:pt x="3040380" y="617220"/>
                </a:lnTo>
                <a:lnTo>
                  <a:pt x="3674364" y="617220"/>
                </a:lnTo>
                <a:lnTo>
                  <a:pt x="3674364" y="413004"/>
                </a:lnTo>
                <a:close/>
              </a:path>
              <a:path w="7486015" h="2065020">
                <a:moveTo>
                  <a:pt x="3674364" y="207264"/>
                </a:moveTo>
                <a:lnTo>
                  <a:pt x="3040380" y="207264"/>
                </a:lnTo>
                <a:lnTo>
                  <a:pt x="3040380" y="409956"/>
                </a:lnTo>
                <a:lnTo>
                  <a:pt x="3674364" y="409956"/>
                </a:lnTo>
                <a:lnTo>
                  <a:pt x="3674364" y="207264"/>
                </a:lnTo>
                <a:close/>
              </a:path>
              <a:path w="7486015" h="2065020">
                <a:moveTo>
                  <a:pt x="4437888" y="1862328"/>
                </a:moveTo>
                <a:lnTo>
                  <a:pt x="3677412" y="1862328"/>
                </a:lnTo>
                <a:lnTo>
                  <a:pt x="3677412" y="2065020"/>
                </a:lnTo>
                <a:lnTo>
                  <a:pt x="4437888" y="2065020"/>
                </a:lnTo>
                <a:lnTo>
                  <a:pt x="4437888" y="1862328"/>
                </a:lnTo>
                <a:close/>
              </a:path>
              <a:path w="7486015" h="2065020">
                <a:moveTo>
                  <a:pt x="4437888" y="1655064"/>
                </a:moveTo>
                <a:lnTo>
                  <a:pt x="3677412" y="1655064"/>
                </a:lnTo>
                <a:lnTo>
                  <a:pt x="3677412" y="1859280"/>
                </a:lnTo>
                <a:lnTo>
                  <a:pt x="4437888" y="1859280"/>
                </a:lnTo>
                <a:lnTo>
                  <a:pt x="4437888" y="1655064"/>
                </a:lnTo>
                <a:close/>
              </a:path>
              <a:path w="7486015" h="2065020">
                <a:moveTo>
                  <a:pt x="4437888" y="1447800"/>
                </a:moveTo>
                <a:lnTo>
                  <a:pt x="3677412" y="1447800"/>
                </a:lnTo>
                <a:lnTo>
                  <a:pt x="3677412" y="1652016"/>
                </a:lnTo>
                <a:lnTo>
                  <a:pt x="4437888" y="1652016"/>
                </a:lnTo>
                <a:lnTo>
                  <a:pt x="4437888" y="1447800"/>
                </a:lnTo>
                <a:close/>
              </a:path>
              <a:path w="7486015" h="2065020">
                <a:moveTo>
                  <a:pt x="4437888" y="1240536"/>
                </a:moveTo>
                <a:lnTo>
                  <a:pt x="3677412" y="1240536"/>
                </a:lnTo>
                <a:lnTo>
                  <a:pt x="3677412" y="1444752"/>
                </a:lnTo>
                <a:lnTo>
                  <a:pt x="4437888" y="1444752"/>
                </a:lnTo>
                <a:lnTo>
                  <a:pt x="4437888" y="1240536"/>
                </a:lnTo>
                <a:close/>
              </a:path>
              <a:path w="7486015" h="2065020">
                <a:moveTo>
                  <a:pt x="4437888" y="1034796"/>
                </a:moveTo>
                <a:lnTo>
                  <a:pt x="3677412" y="1034796"/>
                </a:lnTo>
                <a:lnTo>
                  <a:pt x="3677412" y="1237488"/>
                </a:lnTo>
                <a:lnTo>
                  <a:pt x="4437888" y="1237488"/>
                </a:lnTo>
                <a:lnTo>
                  <a:pt x="4437888" y="1034796"/>
                </a:lnTo>
                <a:close/>
              </a:path>
              <a:path w="7486015" h="2065020">
                <a:moveTo>
                  <a:pt x="4437888" y="827532"/>
                </a:moveTo>
                <a:lnTo>
                  <a:pt x="3677412" y="827532"/>
                </a:lnTo>
                <a:lnTo>
                  <a:pt x="3677412" y="1031748"/>
                </a:lnTo>
                <a:lnTo>
                  <a:pt x="4437888" y="1031748"/>
                </a:lnTo>
                <a:lnTo>
                  <a:pt x="4437888" y="827532"/>
                </a:lnTo>
                <a:close/>
              </a:path>
              <a:path w="7486015" h="2065020">
                <a:moveTo>
                  <a:pt x="4437888" y="620268"/>
                </a:moveTo>
                <a:lnTo>
                  <a:pt x="3677412" y="620268"/>
                </a:lnTo>
                <a:lnTo>
                  <a:pt x="3677412" y="824484"/>
                </a:lnTo>
                <a:lnTo>
                  <a:pt x="4437888" y="824484"/>
                </a:lnTo>
                <a:lnTo>
                  <a:pt x="4437888" y="620268"/>
                </a:lnTo>
                <a:close/>
              </a:path>
              <a:path w="7486015" h="2065020">
                <a:moveTo>
                  <a:pt x="4437888" y="413004"/>
                </a:moveTo>
                <a:lnTo>
                  <a:pt x="3677412" y="413004"/>
                </a:lnTo>
                <a:lnTo>
                  <a:pt x="3677412" y="617220"/>
                </a:lnTo>
                <a:lnTo>
                  <a:pt x="4437888" y="617220"/>
                </a:lnTo>
                <a:lnTo>
                  <a:pt x="4437888" y="413004"/>
                </a:lnTo>
                <a:close/>
              </a:path>
              <a:path w="7486015" h="2065020">
                <a:moveTo>
                  <a:pt x="4437888" y="207264"/>
                </a:moveTo>
                <a:lnTo>
                  <a:pt x="3677412" y="207264"/>
                </a:lnTo>
                <a:lnTo>
                  <a:pt x="3677412" y="409956"/>
                </a:lnTo>
                <a:lnTo>
                  <a:pt x="4437888" y="409956"/>
                </a:lnTo>
                <a:lnTo>
                  <a:pt x="4437888" y="207264"/>
                </a:lnTo>
                <a:close/>
              </a:path>
              <a:path w="7486015" h="2065020">
                <a:moveTo>
                  <a:pt x="5199888" y="1862328"/>
                </a:moveTo>
                <a:lnTo>
                  <a:pt x="4440936" y="1862328"/>
                </a:lnTo>
                <a:lnTo>
                  <a:pt x="4440936" y="2065020"/>
                </a:lnTo>
                <a:lnTo>
                  <a:pt x="5199888" y="2065020"/>
                </a:lnTo>
                <a:lnTo>
                  <a:pt x="5199888" y="1862328"/>
                </a:lnTo>
                <a:close/>
              </a:path>
              <a:path w="7486015" h="2065020">
                <a:moveTo>
                  <a:pt x="5199888" y="1655064"/>
                </a:moveTo>
                <a:lnTo>
                  <a:pt x="4440936" y="1655064"/>
                </a:lnTo>
                <a:lnTo>
                  <a:pt x="4440936" y="1859280"/>
                </a:lnTo>
                <a:lnTo>
                  <a:pt x="5199888" y="1859280"/>
                </a:lnTo>
                <a:lnTo>
                  <a:pt x="5199888" y="1655064"/>
                </a:lnTo>
                <a:close/>
              </a:path>
              <a:path w="7486015" h="2065020">
                <a:moveTo>
                  <a:pt x="5199888" y="1447800"/>
                </a:moveTo>
                <a:lnTo>
                  <a:pt x="4440936" y="1447800"/>
                </a:lnTo>
                <a:lnTo>
                  <a:pt x="4440936" y="1652016"/>
                </a:lnTo>
                <a:lnTo>
                  <a:pt x="5199888" y="1652016"/>
                </a:lnTo>
                <a:lnTo>
                  <a:pt x="5199888" y="1447800"/>
                </a:lnTo>
                <a:close/>
              </a:path>
              <a:path w="7486015" h="2065020">
                <a:moveTo>
                  <a:pt x="5199888" y="1240536"/>
                </a:moveTo>
                <a:lnTo>
                  <a:pt x="4440936" y="1240536"/>
                </a:lnTo>
                <a:lnTo>
                  <a:pt x="4440936" y="1444752"/>
                </a:lnTo>
                <a:lnTo>
                  <a:pt x="5199888" y="1444752"/>
                </a:lnTo>
                <a:lnTo>
                  <a:pt x="5199888" y="1240536"/>
                </a:lnTo>
                <a:close/>
              </a:path>
              <a:path w="7486015" h="2065020">
                <a:moveTo>
                  <a:pt x="5199888" y="1034796"/>
                </a:moveTo>
                <a:lnTo>
                  <a:pt x="4440936" y="1034796"/>
                </a:lnTo>
                <a:lnTo>
                  <a:pt x="4440936" y="1237488"/>
                </a:lnTo>
                <a:lnTo>
                  <a:pt x="5199888" y="1237488"/>
                </a:lnTo>
                <a:lnTo>
                  <a:pt x="5199888" y="1034796"/>
                </a:lnTo>
                <a:close/>
              </a:path>
              <a:path w="7486015" h="2065020">
                <a:moveTo>
                  <a:pt x="5199888" y="827532"/>
                </a:moveTo>
                <a:lnTo>
                  <a:pt x="4440936" y="827532"/>
                </a:lnTo>
                <a:lnTo>
                  <a:pt x="4440936" y="1031748"/>
                </a:lnTo>
                <a:lnTo>
                  <a:pt x="5199888" y="1031748"/>
                </a:lnTo>
                <a:lnTo>
                  <a:pt x="5199888" y="827532"/>
                </a:lnTo>
                <a:close/>
              </a:path>
              <a:path w="7486015" h="2065020">
                <a:moveTo>
                  <a:pt x="5199888" y="620268"/>
                </a:moveTo>
                <a:lnTo>
                  <a:pt x="4440936" y="620268"/>
                </a:lnTo>
                <a:lnTo>
                  <a:pt x="4440936" y="824484"/>
                </a:lnTo>
                <a:lnTo>
                  <a:pt x="5199888" y="824484"/>
                </a:lnTo>
                <a:lnTo>
                  <a:pt x="5199888" y="620268"/>
                </a:lnTo>
                <a:close/>
              </a:path>
              <a:path w="7486015" h="2065020">
                <a:moveTo>
                  <a:pt x="5199888" y="413004"/>
                </a:moveTo>
                <a:lnTo>
                  <a:pt x="4440936" y="413004"/>
                </a:lnTo>
                <a:lnTo>
                  <a:pt x="4440936" y="617220"/>
                </a:lnTo>
                <a:lnTo>
                  <a:pt x="5199888" y="617220"/>
                </a:lnTo>
                <a:lnTo>
                  <a:pt x="5199888" y="413004"/>
                </a:lnTo>
                <a:close/>
              </a:path>
              <a:path w="7486015" h="2065020">
                <a:moveTo>
                  <a:pt x="5199888" y="207264"/>
                </a:moveTo>
                <a:lnTo>
                  <a:pt x="4440936" y="207264"/>
                </a:lnTo>
                <a:lnTo>
                  <a:pt x="4440936" y="409956"/>
                </a:lnTo>
                <a:lnTo>
                  <a:pt x="5199888" y="409956"/>
                </a:lnTo>
                <a:lnTo>
                  <a:pt x="5199888" y="207264"/>
                </a:lnTo>
                <a:close/>
              </a:path>
              <a:path w="7486015" h="2065020">
                <a:moveTo>
                  <a:pt x="5961875" y="1862328"/>
                </a:moveTo>
                <a:lnTo>
                  <a:pt x="5202936" y="1862328"/>
                </a:lnTo>
                <a:lnTo>
                  <a:pt x="5202936" y="2065020"/>
                </a:lnTo>
                <a:lnTo>
                  <a:pt x="5961875" y="2065020"/>
                </a:lnTo>
                <a:lnTo>
                  <a:pt x="5961875" y="1862328"/>
                </a:lnTo>
                <a:close/>
              </a:path>
              <a:path w="7486015" h="2065020">
                <a:moveTo>
                  <a:pt x="5961875" y="1655064"/>
                </a:moveTo>
                <a:lnTo>
                  <a:pt x="5202936" y="1655064"/>
                </a:lnTo>
                <a:lnTo>
                  <a:pt x="5202936" y="1859280"/>
                </a:lnTo>
                <a:lnTo>
                  <a:pt x="5961875" y="1859280"/>
                </a:lnTo>
                <a:lnTo>
                  <a:pt x="5961875" y="1655064"/>
                </a:lnTo>
                <a:close/>
              </a:path>
              <a:path w="7486015" h="2065020">
                <a:moveTo>
                  <a:pt x="5961875" y="1447800"/>
                </a:moveTo>
                <a:lnTo>
                  <a:pt x="5202936" y="1447800"/>
                </a:lnTo>
                <a:lnTo>
                  <a:pt x="5202936" y="1652016"/>
                </a:lnTo>
                <a:lnTo>
                  <a:pt x="5961875" y="1652016"/>
                </a:lnTo>
                <a:lnTo>
                  <a:pt x="5961875" y="1447800"/>
                </a:lnTo>
                <a:close/>
              </a:path>
              <a:path w="7486015" h="2065020">
                <a:moveTo>
                  <a:pt x="5961875" y="1240536"/>
                </a:moveTo>
                <a:lnTo>
                  <a:pt x="5202936" y="1240536"/>
                </a:lnTo>
                <a:lnTo>
                  <a:pt x="5202936" y="1444752"/>
                </a:lnTo>
                <a:lnTo>
                  <a:pt x="5961875" y="1444752"/>
                </a:lnTo>
                <a:lnTo>
                  <a:pt x="5961875" y="1240536"/>
                </a:lnTo>
                <a:close/>
              </a:path>
              <a:path w="7486015" h="2065020">
                <a:moveTo>
                  <a:pt x="5961875" y="1034796"/>
                </a:moveTo>
                <a:lnTo>
                  <a:pt x="5202936" y="1034796"/>
                </a:lnTo>
                <a:lnTo>
                  <a:pt x="5202936" y="1237488"/>
                </a:lnTo>
                <a:lnTo>
                  <a:pt x="5961875" y="1237488"/>
                </a:lnTo>
                <a:lnTo>
                  <a:pt x="5961875" y="1034796"/>
                </a:lnTo>
                <a:close/>
              </a:path>
              <a:path w="7486015" h="2065020">
                <a:moveTo>
                  <a:pt x="5961875" y="827532"/>
                </a:moveTo>
                <a:lnTo>
                  <a:pt x="5202936" y="827532"/>
                </a:lnTo>
                <a:lnTo>
                  <a:pt x="5202936" y="1031748"/>
                </a:lnTo>
                <a:lnTo>
                  <a:pt x="5961875" y="1031748"/>
                </a:lnTo>
                <a:lnTo>
                  <a:pt x="5961875" y="827532"/>
                </a:lnTo>
                <a:close/>
              </a:path>
              <a:path w="7486015" h="2065020">
                <a:moveTo>
                  <a:pt x="5961875" y="620268"/>
                </a:moveTo>
                <a:lnTo>
                  <a:pt x="5202936" y="620268"/>
                </a:lnTo>
                <a:lnTo>
                  <a:pt x="5202936" y="824484"/>
                </a:lnTo>
                <a:lnTo>
                  <a:pt x="5961875" y="824484"/>
                </a:lnTo>
                <a:lnTo>
                  <a:pt x="5961875" y="620268"/>
                </a:lnTo>
                <a:close/>
              </a:path>
              <a:path w="7486015" h="2065020">
                <a:moveTo>
                  <a:pt x="5961875" y="413004"/>
                </a:moveTo>
                <a:lnTo>
                  <a:pt x="5202936" y="413004"/>
                </a:lnTo>
                <a:lnTo>
                  <a:pt x="5202936" y="617220"/>
                </a:lnTo>
                <a:lnTo>
                  <a:pt x="5961875" y="617220"/>
                </a:lnTo>
                <a:lnTo>
                  <a:pt x="5961875" y="413004"/>
                </a:lnTo>
                <a:close/>
              </a:path>
              <a:path w="7486015" h="2065020">
                <a:moveTo>
                  <a:pt x="5961875" y="207264"/>
                </a:moveTo>
                <a:lnTo>
                  <a:pt x="5202936" y="207264"/>
                </a:lnTo>
                <a:lnTo>
                  <a:pt x="5202936" y="409956"/>
                </a:lnTo>
                <a:lnTo>
                  <a:pt x="5961875" y="409956"/>
                </a:lnTo>
                <a:lnTo>
                  <a:pt x="5961875" y="207264"/>
                </a:lnTo>
                <a:close/>
              </a:path>
              <a:path w="7486015" h="2065020">
                <a:moveTo>
                  <a:pt x="6723888" y="1862328"/>
                </a:moveTo>
                <a:lnTo>
                  <a:pt x="5964936" y="1862328"/>
                </a:lnTo>
                <a:lnTo>
                  <a:pt x="5964936" y="2065020"/>
                </a:lnTo>
                <a:lnTo>
                  <a:pt x="6723888" y="2065020"/>
                </a:lnTo>
                <a:lnTo>
                  <a:pt x="6723888" y="1862328"/>
                </a:lnTo>
                <a:close/>
              </a:path>
              <a:path w="7486015" h="2065020">
                <a:moveTo>
                  <a:pt x="6723888" y="1655064"/>
                </a:moveTo>
                <a:lnTo>
                  <a:pt x="5964936" y="1655064"/>
                </a:lnTo>
                <a:lnTo>
                  <a:pt x="5964936" y="1859280"/>
                </a:lnTo>
                <a:lnTo>
                  <a:pt x="6723888" y="1859280"/>
                </a:lnTo>
                <a:lnTo>
                  <a:pt x="6723888" y="1655064"/>
                </a:lnTo>
                <a:close/>
              </a:path>
              <a:path w="7486015" h="2065020">
                <a:moveTo>
                  <a:pt x="6723888" y="1447800"/>
                </a:moveTo>
                <a:lnTo>
                  <a:pt x="5964936" y="1447800"/>
                </a:lnTo>
                <a:lnTo>
                  <a:pt x="5964936" y="1652016"/>
                </a:lnTo>
                <a:lnTo>
                  <a:pt x="6723888" y="1652016"/>
                </a:lnTo>
                <a:lnTo>
                  <a:pt x="6723888" y="1447800"/>
                </a:lnTo>
                <a:close/>
              </a:path>
              <a:path w="7486015" h="2065020">
                <a:moveTo>
                  <a:pt x="6723888" y="1240536"/>
                </a:moveTo>
                <a:lnTo>
                  <a:pt x="5964936" y="1240536"/>
                </a:lnTo>
                <a:lnTo>
                  <a:pt x="5964936" y="1444752"/>
                </a:lnTo>
                <a:lnTo>
                  <a:pt x="6723888" y="1444752"/>
                </a:lnTo>
                <a:lnTo>
                  <a:pt x="6723888" y="1240536"/>
                </a:lnTo>
                <a:close/>
              </a:path>
              <a:path w="7486015" h="2065020">
                <a:moveTo>
                  <a:pt x="6723888" y="1034796"/>
                </a:moveTo>
                <a:lnTo>
                  <a:pt x="5964936" y="1034796"/>
                </a:lnTo>
                <a:lnTo>
                  <a:pt x="5964936" y="1237488"/>
                </a:lnTo>
                <a:lnTo>
                  <a:pt x="6723888" y="1237488"/>
                </a:lnTo>
                <a:lnTo>
                  <a:pt x="6723888" y="1034796"/>
                </a:lnTo>
                <a:close/>
              </a:path>
              <a:path w="7486015" h="2065020">
                <a:moveTo>
                  <a:pt x="6723888" y="827532"/>
                </a:moveTo>
                <a:lnTo>
                  <a:pt x="5964936" y="827532"/>
                </a:lnTo>
                <a:lnTo>
                  <a:pt x="5964936" y="1031748"/>
                </a:lnTo>
                <a:lnTo>
                  <a:pt x="6723888" y="1031748"/>
                </a:lnTo>
                <a:lnTo>
                  <a:pt x="6723888" y="827532"/>
                </a:lnTo>
                <a:close/>
              </a:path>
              <a:path w="7486015" h="2065020">
                <a:moveTo>
                  <a:pt x="6723888" y="620268"/>
                </a:moveTo>
                <a:lnTo>
                  <a:pt x="5964936" y="620268"/>
                </a:lnTo>
                <a:lnTo>
                  <a:pt x="5964936" y="824484"/>
                </a:lnTo>
                <a:lnTo>
                  <a:pt x="6723888" y="824484"/>
                </a:lnTo>
                <a:lnTo>
                  <a:pt x="6723888" y="620268"/>
                </a:lnTo>
                <a:close/>
              </a:path>
              <a:path w="7486015" h="2065020">
                <a:moveTo>
                  <a:pt x="6723888" y="413004"/>
                </a:moveTo>
                <a:lnTo>
                  <a:pt x="5964936" y="413004"/>
                </a:lnTo>
                <a:lnTo>
                  <a:pt x="5964936" y="617220"/>
                </a:lnTo>
                <a:lnTo>
                  <a:pt x="6723888" y="617220"/>
                </a:lnTo>
                <a:lnTo>
                  <a:pt x="6723888" y="413004"/>
                </a:lnTo>
                <a:close/>
              </a:path>
              <a:path w="7486015" h="2065020">
                <a:moveTo>
                  <a:pt x="6723888" y="207264"/>
                </a:moveTo>
                <a:lnTo>
                  <a:pt x="5964936" y="207264"/>
                </a:lnTo>
                <a:lnTo>
                  <a:pt x="5964936" y="409956"/>
                </a:lnTo>
                <a:lnTo>
                  <a:pt x="6723888" y="409956"/>
                </a:lnTo>
                <a:lnTo>
                  <a:pt x="6723888" y="207264"/>
                </a:lnTo>
                <a:close/>
              </a:path>
              <a:path w="7486015" h="2065020">
                <a:moveTo>
                  <a:pt x="6723888" y="0"/>
                </a:moveTo>
                <a:lnTo>
                  <a:pt x="5964936" y="0"/>
                </a:lnTo>
                <a:lnTo>
                  <a:pt x="5964936" y="204216"/>
                </a:lnTo>
                <a:lnTo>
                  <a:pt x="6723888" y="204216"/>
                </a:lnTo>
                <a:lnTo>
                  <a:pt x="6723888" y="0"/>
                </a:lnTo>
                <a:close/>
              </a:path>
              <a:path w="7486015" h="2065020">
                <a:moveTo>
                  <a:pt x="7485888" y="1862328"/>
                </a:moveTo>
                <a:lnTo>
                  <a:pt x="6726936" y="1862328"/>
                </a:lnTo>
                <a:lnTo>
                  <a:pt x="6726936" y="2065020"/>
                </a:lnTo>
                <a:lnTo>
                  <a:pt x="7485888" y="2065020"/>
                </a:lnTo>
                <a:lnTo>
                  <a:pt x="7485888" y="1862328"/>
                </a:lnTo>
                <a:close/>
              </a:path>
              <a:path w="7486015" h="2065020">
                <a:moveTo>
                  <a:pt x="7485888" y="1655064"/>
                </a:moveTo>
                <a:lnTo>
                  <a:pt x="6726936" y="1655064"/>
                </a:lnTo>
                <a:lnTo>
                  <a:pt x="6726936" y="1859280"/>
                </a:lnTo>
                <a:lnTo>
                  <a:pt x="7485888" y="1859280"/>
                </a:lnTo>
                <a:lnTo>
                  <a:pt x="7485888" y="1655064"/>
                </a:lnTo>
                <a:close/>
              </a:path>
              <a:path w="7486015" h="2065020">
                <a:moveTo>
                  <a:pt x="7485888" y="1447800"/>
                </a:moveTo>
                <a:lnTo>
                  <a:pt x="6726936" y="1447800"/>
                </a:lnTo>
                <a:lnTo>
                  <a:pt x="6726936" y="1652016"/>
                </a:lnTo>
                <a:lnTo>
                  <a:pt x="7485888" y="1652016"/>
                </a:lnTo>
                <a:lnTo>
                  <a:pt x="7485888" y="1447800"/>
                </a:lnTo>
                <a:close/>
              </a:path>
              <a:path w="7486015" h="2065020">
                <a:moveTo>
                  <a:pt x="7485888" y="1240536"/>
                </a:moveTo>
                <a:lnTo>
                  <a:pt x="6726936" y="1240536"/>
                </a:lnTo>
                <a:lnTo>
                  <a:pt x="6726936" y="1444752"/>
                </a:lnTo>
                <a:lnTo>
                  <a:pt x="7485888" y="1444752"/>
                </a:lnTo>
                <a:lnTo>
                  <a:pt x="7485888" y="1240536"/>
                </a:lnTo>
                <a:close/>
              </a:path>
              <a:path w="7486015" h="2065020">
                <a:moveTo>
                  <a:pt x="7485888" y="1034796"/>
                </a:moveTo>
                <a:lnTo>
                  <a:pt x="6726936" y="1034796"/>
                </a:lnTo>
                <a:lnTo>
                  <a:pt x="6726936" y="1237488"/>
                </a:lnTo>
                <a:lnTo>
                  <a:pt x="7485888" y="1237488"/>
                </a:lnTo>
                <a:lnTo>
                  <a:pt x="7485888" y="1034796"/>
                </a:lnTo>
                <a:close/>
              </a:path>
              <a:path w="7486015" h="2065020">
                <a:moveTo>
                  <a:pt x="7485888" y="827532"/>
                </a:moveTo>
                <a:lnTo>
                  <a:pt x="6726936" y="827532"/>
                </a:lnTo>
                <a:lnTo>
                  <a:pt x="6726936" y="1031748"/>
                </a:lnTo>
                <a:lnTo>
                  <a:pt x="7485888" y="1031748"/>
                </a:lnTo>
                <a:lnTo>
                  <a:pt x="7485888" y="827532"/>
                </a:lnTo>
                <a:close/>
              </a:path>
              <a:path w="7486015" h="2065020">
                <a:moveTo>
                  <a:pt x="7485888" y="620268"/>
                </a:moveTo>
                <a:lnTo>
                  <a:pt x="6726936" y="620268"/>
                </a:lnTo>
                <a:lnTo>
                  <a:pt x="6726936" y="824484"/>
                </a:lnTo>
                <a:lnTo>
                  <a:pt x="7485888" y="824484"/>
                </a:lnTo>
                <a:lnTo>
                  <a:pt x="7485888" y="620268"/>
                </a:lnTo>
                <a:close/>
              </a:path>
              <a:path w="7486015" h="2065020">
                <a:moveTo>
                  <a:pt x="7485888" y="413004"/>
                </a:moveTo>
                <a:lnTo>
                  <a:pt x="6726936" y="413004"/>
                </a:lnTo>
                <a:lnTo>
                  <a:pt x="6726936" y="617220"/>
                </a:lnTo>
                <a:lnTo>
                  <a:pt x="7485888" y="617220"/>
                </a:lnTo>
                <a:lnTo>
                  <a:pt x="7485888" y="413004"/>
                </a:lnTo>
                <a:close/>
              </a:path>
              <a:path w="7486015" h="2065020">
                <a:moveTo>
                  <a:pt x="7485888" y="207264"/>
                </a:moveTo>
                <a:lnTo>
                  <a:pt x="6726936" y="207264"/>
                </a:lnTo>
                <a:lnTo>
                  <a:pt x="6726936" y="409956"/>
                </a:lnTo>
                <a:lnTo>
                  <a:pt x="7485888" y="409956"/>
                </a:lnTo>
                <a:lnTo>
                  <a:pt x="7485888" y="207264"/>
                </a:lnTo>
                <a:close/>
              </a:path>
              <a:path w="7486015" h="2065020">
                <a:moveTo>
                  <a:pt x="7485888" y="0"/>
                </a:moveTo>
                <a:lnTo>
                  <a:pt x="6726936" y="0"/>
                </a:lnTo>
                <a:lnTo>
                  <a:pt x="6726936" y="204216"/>
                </a:lnTo>
                <a:lnTo>
                  <a:pt x="7485888" y="204216"/>
                </a:lnTo>
                <a:lnTo>
                  <a:pt x="7485888" y="0"/>
                </a:lnTo>
                <a:close/>
              </a:path>
            </a:pathLst>
          </a:custGeom>
          <a:solidFill>
            <a:srgbClr val="FFFFFF"/>
          </a:solidFill>
        </xdr:spPr>
      </xdr:sp>
      <xdr:sp macro="" textlink="">
        <xdr:nvSpPr>
          <xdr:cNvPr id="54" name="Shape 54">
            <a:extLst>
              <a:ext uri="{FF2B5EF4-FFF2-40B4-BE49-F238E27FC236}">
                <a16:creationId xmlns:a16="http://schemas.microsoft.com/office/drawing/2014/main" id="{00000000-0008-0000-0400-000036000000}"/>
              </a:ext>
            </a:extLst>
          </xdr:cNvPr>
          <xdr:cNvSpPr/>
        </xdr:nvSpPr>
        <xdr:spPr>
          <a:xfrm>
            <a:off x="0" y="2991611"/>
            <a:ext cx="7486015" cy="1031875"/>
          </a:xfrm>
          <a:custGeom>
            <a:avLst/>
            <a:gdLst/>
            <a:ahLst/>
            <a:cxnLst/>
            <a:rect l="0" t="0" r="0" b="0"/>
            <a:pathLst>
              <a:path w="7486015" h="1031875">
                <a:moveTo>
                  <a:pt x="312420" y="0"/>
                </a:moveTo>
                <a:lnTo>
                  <a:pt x="0" y="0"/>
                </a:lnTo>
                <a:lnTo>
                  <a:pt x="0" y="1031748"/>
                </a:lnTo>
                <a:lnTo>
                  <a:pt x="312420" y="1031748"/>
                </a:lnTo>
                <a:lnTo>
                  <a:pt x="312420" y="0"/>
                </a:lnTo>
                <a:close/>
              </a:path>
              <a:path w="7486015" h="1031875">
                <a:moveTo>
                  <a:pt x="1264920" y="0"/>
                </a:moveTo>
                <a:lnTo>
                  <a:pt x="315468" y="0"/>
                </a:lnTo>
                <a:lnTo>
                  <a:pt x="315468" y="1031748"/>
                </a:lnTo>
                <a:lnTo>
                  <a:pt x="1264920" y="1031748"/>
                </a:lnTo>
                <a:lnTo>
                  <a:pt x="1264920" y="0"/>
                </a:lnTo>
                <a:close/>
              </a:path>
              <a:path w="7486015" h="1031875">
                <a:moveTo>
                  <a:pt x="2531364" y="0"/>
                </a:moveTo>
                <a:lnTo>
                  <a:pt x="1267968" y="0"/>
                </a:lnTo>
                <a:lnTo>
                  <a:pt x="1267968" y="1031748"/>
                </a:lnTo>
                <a:lnTo>
                  <a:pt x="2531364" y="1031748"/>
                </a:lnTo>
                <a:lnTo>
                  <a:pt x="2531364" y="0"/>
                </a:lnTo>
                <a:close/>
              </a:path>
              <a:path w="7486015" h="1031875">
                <a:moveTo>
                  <a:pt x="3037332" y="827532"/>
                </a:moveTo>
                <a:lnTo>
                  <a:pt x="2534412" y="827532"/>
                </a:lnTo>
                <a:lnTo>
                  <a:pt x="2534412" y="1031748"/>
                </a:lnTo>
                <a:lnTo>
                  <a:pt x="3037332" y="1031748"/>
                </a:lnTo>
                <a:lnTo>
                  <a:pt x="3037332" y="827532"/>
                </a:lnTo>
                <a:close/>
              </a:path>
              <a:path w="7486015" h="1031875">
                <a:moveTo>
                  <a:pt x="3674364" y="827532"/>
                </a:moveTo>
                <a:lnTo>
                  <a:pt x="3040380" y="827532"/>
                </a:lnTo>
                <a:lnTo>
                  <a:pt x="3040380" y="1031748"/>
                </a:lnTo>
                <a:lnTo>
                  <a:pt x="3674364" y="1031748"/>
                </a:lnTo>
                <a:lnTo>
                  <a:pt x="3674364" y="827532"/>
                </a:lnTo>
                <a:close/>
              </a:path>
              <a:path w="7486015" h="1031875">
                <a:moveTo>
                  <a:pt x="4437888" y="827532"/>
                </a:moveTo>
                <a:lnTo>
                  <a:pt x="3677412" y="827532"/>
                </a:lnTo>
                <a:lnTo>
                  <a:pt x="3677412" y="1031748"/>
                </a:lnTo>
                <a:lnTo>
                  <a:pt x="4437888" y="1031748"/>
                </a:lnTo>
                <a:lnTo>
                  <a:pt x="4437888" y="827532"/>
                </a:lnTo>
                <a:close/>
              </a:path>
              <a:path w="7486015" h="1031875">
                <a:moveTo>
                  <a:pt x="5199888" y="827532"/>
                </a:moveTo>
                <a:lnTo>
                  <a:pt x="4440936" y="827532"/>
                </a:lnTo>
                <a:lnTo>
                  <a:pt x="4440936" y="1031748"/>
                </a:lnTo>
                <a:lnTo>
                  <a:pt x="5199888" y="1031748"/>
                </a:lnTo>
                <a:lnTo>
                  <a:pt x="5199888" y="827532"/>
                </a:lnTo>
                <a:close/>
              </a:path>
              <a:path w="7486015" h="1031875">
                <a:moveTo>
                  <a:pt x="5961875" y="827532"/>
                </a:moveTo>
                <a:lnTo>
                  <a:pt x="5202936" y="827532"/>
                </a:lnTo>
                <a:lnTo>
                  <a:pt x="5202936" y="1031748"/>
                </a:lnTo>
                <a:lnTo>
                  <a:pt x="5961875" y="1031748"/>
                </a:lnTo>
                <a:lnTo>
                  <a:pt x="5961875" y="827532"/>
                </a:lnTo>
                <a:close/>
              </a:path>
              <a:path w="7486015" h="1031875">
                <a:moveTo>
                  <a:pt x="6723888" y="827532"/>
                </a:moveTo>
                <a:lnTo>
                  <a:pt x="5964936" y="827532"/>
                </a:lnTo>
                <a:lnTo>
                  <a:pt x="5964936" y="1031748"/>
                </a:lnTo>
                <a:lnTo>
                  <a:pt x="6723888" y="1031748"/>
                </a:lnTo>
                <a:lnTo>
                  <a:pt x="6723888" y="827532"/>
                </a:lnTo>
                <a:close/>
              </a:path>
              <a:path w="7486015" h="1031875">
                <a:moveTo>
                  <a:pt x="7485888" y="827532"/>
                </a:moveTo>
                <a:lnTo>
                  <a:pt x="6726936" y="827532"/>
                </a:lnTo>
                <a:lnTo>
                  <a:pt x="6726936" y="1031748"/>
                </a:lnTo>
                <a:lnTo>
                  <a:pt x="7485888" y="1031748"/>
                </a:lnTo>
                <a:lnTo>
                  <a:pt x="7485888" y="827532"/>
                </a:lnTo>
                <a:close/>
              </a:path>
              <a:path w="7486015" h="1031875">
                <a:moveTo>
                  <a:pt x="7485888" y="621792"/>
                </a:moveTo>
                <a:lnTo>
                  <a:pt x="6726936" y="621792"/>
                </a:lnTo>
                <a:lnTo>
                  <a:pt x="6726936" y="824484"/>
                </a:lnTo>
                <a:lnTo>
                  <a:pt x="7485888" y="824484"/>
                </a:lnTo>
                <a:lnTo>
                  <a:pt x="7485888" y="621792"/>
                </a:lnTo>
                <a:close/>
              </a:path>
            </a:pathLst>
          </a:custGeom>
          <a:solidFill>
            <a:srgbClr val="FFFFFF"/>
          </a:solidFill>
        </xdr:spPr>
      </xdr:sp>
    </xdr:grpSp>
    <xdr:clientData/>
  </xdr:oneCellAnchor>
  <xdr:oneCellAnchor>
    <xdr:from>
      <xdr:col>11</xdr:col>
      <xdr:colOff>546481</xdr:colOff>
      <xdr:row>25</xdr:row>
      <xdr:rowOff>0</xdr:rowOff>
    </xdr:from>
    <xdr:ext cx="645160" cy="4023360"/>
    <xdr:sp macro="" textlink="">
      <xdr:nvSpPr>
        <xdr:cNvPr id="55" name="Shape 55">
          <a:extLst>
            <a:ext uri="{FF2B5EF4-FFF2-40B4-BE49-F238E27FC236}">
              <a16:creationId xmlns:a16="http://schemas.microsoft.com/office/drawing/2014/main" id="{00000000-0008-0000-0400-000037000000}"/>
            </a:ext>
          </a:extLst>
        </xdr:cNvPr>
        <xdr:cNvSpPr/>
      </xdr:nvSpPr>
      <xdr:spPr>
        <a:xfrm>
          <a:off x="0" y="0"/>
          <a:ext cx="645160" cy="4023360"/>
        </a:xfrm>
        <a:custGeom>
          <a:avLst/>
          <a:gdLst/>
          <a:ahLst/>
          <a:cxnLst/>
          <a:rect l="0" t="0" r="0" b="0"/>
          <a:pathLst>
            <a:path w="645160" h="4023360">
              <a:moveTo>
                <a:pt x="644652" y="3819144"/>
              </a:moveTo>
              <a:lnTo>
                <a:pt x="0" y="3819144"/>
              </a:lnTo>
              <a:lnTo>
                <a:pt x="0" y="4023360"/>
              </a:lnTo>
              <a:lnTo>
                <a:pt x="644652" y="4023360"/>
              </a:lnTo>
              <a:lnTo>
                <a:pt x="644652" y="3819144"/>
              </a:lnTo>
              <a:close/>
            </a:path>
            <a:path w="645160" h="4023360">
              <a:moveTo>
                <a:pt x="644652" y="3613404"/>
              </a:moveTo>
              <a:lnTo>
                <a:pt x="0" y="3613404"/>
              </a:lnTo>
              <a:lnTo>
                <a:pt x="0" y="3816096"/>
              </a:lnTo>
              <a:lnTo>
                <a:pt x="644652" y="3816096"/>
              </a:lnTo>
              <a:lnTo>
                <a:pt x="644652" y="3613404"/>
              </a:lnTo>
              <a:close/>
            </a:path>
            <a:path w="645160" h="4023360">
              <a:moveTo>
                <a:pt x="644652" y="3406140"/>
              </a:moveTo>
              <a:lnTo>
                <a:pt x="0" y="3406140"/>
              </a:lnTo>
              <a:lnTo>
                <a:pt x="0" y="3610356"/>
              </a:lnTo>
              <a:lnTo>
                <a:pt x="644652" y="3610356"/>
              </a:lnTo>
              <a:lnTo>
                <a:pt x="644652" y="3406140"/>
              </a:lnTo>
              <a:close/>
            </a:path>
            <a:path w="645160" h="4023360">
              <a:moveTo>
                <a:pt x="644652" y="3198876"/>
              </a:moveTo>
              <a:lnTo>
                <a:pt x="0" y="3198876"/>
              </a:lnTo>
              <a:lnTo>
                <a:pt x="0" y="3403092"/>
              </a:lnTo>
              <a:lnTo>
                <a:pt x="644652" y="3403092"/>
              </a:lnTo>
              <a:lnTo>
                <a:pt x="644652" y="3198876"/>
              </a:lnTo>
              <a:close/>
            </a:path>
            <a:path w="645160" h="4023360">
              <a:moveTo>
                <a:pt x="644652" y="2991612"/>
              </a:moveTo>
              <a:lnTo>
                <a:pt x="0" y="2991612"/>
              </a:lnTo>
              <a:lnTo>
                <a:pt x="0" y="3195828"/>
              </a:lnTo>
              <a:lnTo>
                <a:pt x="644652" y="3195828"/>
              </a:lnTo>
              <a:lnTo>
                <a:pt x="644652" y="2991612"/>
              </a:lnTo>
              <a:close/>
            </a:path>
            <a:path w="645160" h="4023360">
              <a:moveTo>
                <a:pt x="644652" y="2785872"/>
              </a:moveTo>
              <a:lnTo>
                <a:pt x="0" y="2785872"/>
              </a:lnTo>
              <a:lnTo>
                <a:pt x="0" y="2988564"/>
              </a:lnTo>
              <a:lnTo>
                <a:pt x="644652" y="2988564"/>
              </a:lnTo>
              <a:lnTo>
                <a:pt x="644652" y="2785872"/>
              </a:lnTo>
              <a:close/>
            </a:path>
            <a:path w="645160" h="4023360">
              <a:moveTo>
                <a:pt x="644652" y="2578608"/>
              </a:moveTo>
              <a:lnTo>
                <a:pt x="0" y="2578608"/>
              </a:lnTo>
              <a:lnTo>
                <a:pt x="0" y="2782824"/>
              </a:lnTo>
              <a:lnTo>
                <a:pt x="644652" y="2782824"/>
              </a:lnTo>
              <a:lnTo>
                <a:pt x="644652" y="2578608"/>
              </a:lnTo>
              <a:close/>
            </a:path>
            <a:path w="645160" h="4023360">
              <a:moveTo>
                <a:pt x="644652" y="2371344"/>
              </a:moveTo>
              <a:lnTo>
                <a:pt x="0" y="2371344"/>
              </a:lnTo>
              <a:lnTo>
                <a:pt x="0" y="2575560"/>
              </a:lnTo>
              <a:lnTo>
                <a:pt x="644652" y="2575560"/>
              </a:lnTo>
              <a:lnTo>
                <a:pt x="644652" y="2371344"/>
              </a:lnTo>
              <a:close/>
            </a:path>
            <a:path w="645160" h="4023360">
              <a:moveTo>
                <a:pt x="644652" y="2164080"/>
              </a:moveTo>
              <a:lnTo>
                <a:pt x="0" y="2164080"/>
              </a:lnTo>
              <a:lnTo>
                <a:pt x="0" y="2368296"/>
              </a:lnTo>
              <a:lnTo>
                <a:pt x="644652" y="2368296"/>
              </a:lnTo>
              <a:lnTo>
                <a:pt x="644652" y="2164080"/>
              </a:lnTo>
              <a:close/>
            </a:path>
            <a:path w="645160" h="4023360">
              <a:moveTo>
                <a:pt x="644652" y="1958340"/>
              </a:moveTo>
              <a:lnTo>
                <a:pt x="0" y="1958340"/>
              </a:lnTo>
              <a:lnTo>
                <a:pt x="0" y="2161032"/>
              </a:lnTo>
              <a:lnTo>
                <a:pt x="644652" y="2161032"/>
              </a:lnTo>
              <a:lnTo>
                <a:pt x="644652" y="1958340"/>
              </a:lnTo>
              <a:close/>
            </a:path>
            <a:path w="645160" h="4023360">
              <a:moveTo>
                <a:pt x="644652" y="1751076"/>
              </a:moveTo>
              <a:lnTo>
                <a:pt x="0" y="1751076"/>
              </a:lnTo>
              <a:lnTo>
                <a:pt x="0" y="1955292"/>
              </a:lnTo>
              <a:lnTo>
                <a:pt x="644652" y="1955292"/>
              </a:lnTo>
              <a:lnTo>
                <a:pt x="644652" y="1751076"/>
              </a:lnTo>
              <a:close/>
            </a:path>
            <a:path w="645160" h="4023360">
              <a:moveTo>
                <a:pt x="644652" y="1543812"/>
              </a:moveTo>
              <a:lnTo>
                <a:pt x="0" y="1543812"/>
              </a:lnTo>
              <a:lnTo>
                <a:pt x="0" y="1748028"/>
              </a:lnTo>
              <a:lnTo>
                <a:pt x="644652" y="1748028"/>
              </a:lnTo>
              <a:lnTo>
                <a:pt x="644652" y="1543812"/>
              </a:lnTo>
              <a:close/>
            </a:path>
            <a:path w="645160" h="4023360">
              <a:moveTo>
                <a:pt x="644652" y="1336548"/>
              </a:moveTo>
              <a:lnTo>
                <a:pt x="0" y="1336548"/>
              </a:lnTo>
              <a:lnTo>
                <a:pt x="0" y="1540764"/>
              </a:lnTo>
              <a:lnTo>
                <a:pt x="644652" y="1540764"/>
              </a:lnTo>
              <a:lnTo>
                <a:pt x="644652" y="1336548"/>
              </a:lnTo>
              <a:close/>
            </a:path>
            <a:path w="645160" h="4023360">
              <a:moveTo>
                <a:pt x="644652" y="1129284"/>
              </a:moveTo>
              <a:lnTo>
                <a:pt x="0" y="1129284"/>
              </a:lnTo>
              <a:lnTo>
                <a:pt x="0" y="1333500"/>
              </a:lnTo>
              <a:lnTo>
                <a:pt x="644652" y="1333500"/>
              </a:lnTo>
              <a:lnTo>
                <a:pt x="644652" y="1129284"/>
              </a:lnTo>
              <a:close/>
            </a:path>
            <a:path w="645160" h="4023360">
              <a:moveTo>
                <a:pt x="644652" y="922020"/>
              </a:moveTo>
              <a:lnTo>
                <a:pt x="0" y="922020"/>
              </a:lnTo>
              <a:lnTo>
                <a:pt x="0" y="1126236"/>
              </a:lnTo>
              <a:lnTo>
                <a:pt x="644652" y="1126236"/>
              </a:lnTo>
              <a:lnTo>
                <a:pt x="644652" y="922020"/>
              </a:lnTo>
              <a:close/>
            </a:path>
            <a:path w="645160" h="4023360">
              <a:moveTo>
                <a:pt x="644652" y="716280"/>
              </a:moveTo>
              <a:lnTo>
                <a:pt x="0" y="716280"/>
              </a:lnTo>
              <a:lnTo>
                <a:pt x="0" y="918972"/>
              </a:lnTo>
              <a:lnTo>
                <a:pt x="644652" y="918972"/>
              </a:lnTo>
              <a:lnTo>
                <a:pt x="644652" y="716280"/>
              </a:lnTo>
              <a:close/>
            </a:path>
            <a:path w="645160" h="4023360">
              <a:moveTo>
                <a:pt x="644652" y="414528"/>
              </a:moveTo>
              <a:lnTo>
                <a:pt x="0" y="414528"/>
              </a:lnTo>
              <a:lnTo>
                <a:pt x="0" y="713232"/>
              </a:lnTo>
              <a:lnTo>
                <a:pt x="644652" y="713232"/>
              </a:lnTo>
              <a:lnTo>
                <a:pt x="644652" y="414528"/>
              </a:lnTo>
              <a:close/>
            </a:path>
            <a:path w="645160" h="4023360">
              <a:moveTo>
                <a:pt x="644652" y="207264"/>
              </a:moveTo>
              <a:lnTo>
                <a:pt x="0" y="207264"/>
              </a:lnTo>
              <a:lnTo>
                <a:pt x="0" y="411480"/>
              </a:lnTo>
              <a:lnTo>
                <a:pt x="644652" y="411480"/>
              </a:lnTo>
              <a:lnTo>
                <a:pt x="644652" y="207264"/>
              </a:lnTo>
              <a:close/>
            </a:path>
            <a:path w="645160" h="4023360">
              <a:moveTo>
                <a:pt x="644652" y="0"/>
              </a:moveTo>
              <a:lnTo>
                <a:pt x="0" y="0"/>
              </a:lnTo>
              <a:lnTo>
                <a:pt x="0" y="204216"/>
              </a:lnTo>
              <a:lnTo>
                <a:pt x="644652" y="204216"/>
              </a:lnTo>
              <a:lnTo>
                <a:pt x="644652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543687</xdr:colOff>
      <xdr:row>21</xdr:row>
      <xdr:rowOff>206501</xdr:rowOff>
    </xdr:from>
    <xdr:ext cx="3808729" cy="480059"/>
    <xdr:sp macro="" textlink="">
      <xdr:nvSpPr>
        <xdr:cNvPr id="56" name="Shape 56">
          <a:extLst>
            <a:ext uri="{FF2B5EF4-FFF2-40B4-BE49-F238E27FC236}">
              <a16:creationId xmlns:a16="http://schemas.microsoft.com/office/drawing/2014/main" id="{00000000-0008-0000-0500-000038000000}"/>
            </a:ext>
          </a:extLst>
        </xdr:cNvPr>
        <xdr:cNvSpPr/>
      </xdr:nvSpPr>
      <xdr:spPr>
        <a:xfrm>
          <a:off x="0" y="0"/>
          <a:ext cx="3808729" cy="480059"/>
        </a:xfrm>
        <a:custGeom>
          <a:avLst/>
          <a:gdLst/>
          <a:ahLst/>
          <a:cxnLst/>
          <a:rect l="0" t="0" r="0" b="0"/>
          <a:pathLst>
            <a:path w="3808729" h="480059">
              <a:moveTo>
                <a:pt x="760476" y="0"/>
              </a:moveTo>
              <a:lnTo>
                <a:pt x="0" y="0"/>
              </a:lnTo>
              <a:lnTo>
                <a:pt x="0" y="480060"/>
              </a:lnTo>
              <a:lnTo>
                <a:pt x="760476" y="480060"/>
              </a:lnTo>
              <a:lnTo>
                <a:pt x="760476" y="0"/>
              </a:lnTo>
              <a:close/>
            </a:path>
            <a:path w="3808729" h="480059">
              <a:moveTo>
                <a:pt x="1522476" y="0"/>
              </a:moveTo>
              <a:lnTo>
                <a:pt x="763524" y="0"/>
              </a:lnTo>
              <a:lnTo>
                <a:pt x="763524" y="480060"/>
              </a:lnTo>
              <a:lnTo>
                <a:pt x="1522476" y="480060"/>
              </a:lnTo>
              <a:lnTo>
                <a:pt x="1522476" y="0"/>
              </a:lnTo>
              <a:close/>
            </a:path>
            <a:path w="3808729" h="480059">
              <a:moveTo>
                <a:pt x="2284463" y="0"/>
              </a:moveTo>
              <a:lnTo>
                <a:pt x="1525524" y="0"/>
              </a:lnTo>
              <a:lnTo>
                <a:pt x="1525524" y="480060"/>
              </a:lnTo>
              <a:lnTo>
                <a:pt x="2284463" y="480060"/>
              </a:lnTo>
              <a:lnTo>
                <a:pt x="2284463" y="0"/>
              </a:lnTo>
              <a:close/>
            </a:path>
            <a:path w="3808729" h="480059">
              <a:moveTo>
                <a:pt x="3046476" y="0"/>
              </a:moveTo>
              <a:lnTo>
                <a:pt x="2287524" y="0"/>
              </a:lnTo>
              <a:lnTo>
                <a:pt x="2287524" y="480060"/>
              </a:lnTo>
              <a:lnTo>
                <a:pt x="3046476" y="480060"/>
              </a:lnTo>
              <a:lnTo>
                <a:pt x="3046476" y="0"/>
              </a:lnTo>
              <a:close/>
            </a:path>
            <a:path w="3808729" h="480059">
              <a:moveTo>
                <a:pt x="3808476" y="0"/>
              </a:moveTo>
              <a:lnTo>
                <a:pt x="3049524" y="0"/>
              </a:lnTo>
              <a:lnTo>
                <a:pt x="3049524" y="480060"/>
              </a:lnTo>
              <a:lnTo>
                <a:pt x="3808476" y="480060"/>
              </a:lnTo>
              <a:lnTo>
                <a:pt x="3808476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5</xdr:col>
      <xdr:colOff>299453</xdr:colOff>
      <xdr:row>3</xdr:row>
      <xdr:rowOff>49142</xdr:rowOff>
    </xdr:from>
    <xdr:ext cx="193523" cy="290285"/>
    <xdr:pic>
      <xdr:nvPicPr>
        <xdr:cNvPr id="57" name="image1.jpeg">
          <a:extLst>
            <a:ext uri="{FF2B5EF4-FFF2-40B4-BE49-F238E27FC236}">
              <a16:creationId xmlns:a16="http://schemas.microsoft.com/office/drawing/2014/main" id="{00000000-0008-0000-0500-00003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93523" cy="290285"/>
        </a:xfrm>
        <a:prstGeom prst="rect">
          <a:avLst/>
        </a:prstGeom>
      </xdr:spPr>
    </xdr:pic>
    <xdr:clientData/>
  </xdr:oneCellAnchor>
  <xdr:oneCellAnchor>
    <xdr:from>
      <xdr:col>6</xdr:col>
      <xdr:colOff>201929</xdr:colOff>
      <xdr:row>3</xdr:row>
      <xdr:rowOff>761</xdr:rowOff>
    </xdr:from>
    <xdr:ext cx="381000" cy="381000"/>
    <xdr:pic>
      <xdr:nvPicPr>
        <xdr:cNvPr id="58" name="image2.jpeg">
          <a:extLst>
            <a:ext uri="{FF2B5EF4-FFF2-40B4-BE49-F238E27FC236}">
              <a16:creationId xmlns:a16="http://schemas.microsoft.com/office/drawing/2014/main" id="{00000000-0008-0000-0500-00003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81000" cy="381000"/>
        </a:xfrm>
        <a:prstGeom prst="rect">
          <a:avLst/>
        </a:prstGeom>
      </xdr:spPr>
    </xdr:pic>
    <xdr:clientData/>
  </xdr:oneCellAnchor>
  <xdr:oneCellAnchor>
    <xdr:from>
      <xdr:col>7</xdr:col>
      <xdr:colOff>201930</xdr:colOff>
      <xdr:row>3</xdr:row>
      <xdr:rowOff>761</xdr:rowOff>
    </xdr:from>
    <xdr:ext cx="381000" cy="381000"/>
    <xdr:pic>
      <xdr:nvPicPr>
        <xdr:cNvPr id="59" name="image3.jpeg">
          <a:extLst>
            <a:ext uri="{FF2B5EF4-FFF2-40B4-BE49-F238E27FC236}">
              <a16:creationId xmlns:a16="http://schemas.microsoft.com/office/drawing/2014/main" id="{00000000-0008-0000-0500-00003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81000" cy="381000"/>
        </a:xfrm>
        <a:prstGeom prst="rect">
          <a:avLst/>
        </a:prstGeom>
      </xdr:spPr>
    </xdr:pic>
    <xdr:clientData/>
  </xdr:oneCellAnchor>
  <xdr:oneCellAnchor>
    <xdr:from>
      <xdr:col>8</xdr:col>
      <xdr:colOff>201929</xdr:colOff>
      <xdr:row>3</xdr:row>
      <xdr:rowOff>49142</xdr:rowOff>
    </xdr:from>
    <xdr:ext cx="381000" cy="290285"/>
    <xdr:pic>
      <xdr:nvPicPr>
        <xdr:cNvPr id="60" name="image4.jpeg">
          <a:extLst>
            <a:ext uri="{FF2B5EF4-FFF2-40B4-BE49-F238E27FC236}">
              <a16:creationId xmlns:a16="http://schemas.microsoft.com/office/drawing/2014/main" id="{00000000-0008-0000-0500-00003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81000" cy="290285"/>
        </a:xfrm>
        <a:prstGeom prst="rect">
          <a:avLst/>
        </a:prstGeom>
      </xdr:spPr>
    </xdr:pic>
    <xdr:clientData/>
  </xdr:oneCellAnchor>
  <xdr:oneCellAnchor>
    <xdr:from>
      <xdr:col>9</xdr:col>
      <xdr:colOff>201929</xdr:colOff>
      <xdr:row>3</xdr:row>
      <xdr:rowOff>49142</xdr:rowOff>
    </xdr:from>
    <xdr:ext cx="381000" cy="290285"/>
    <xdr:pic>
      <xdr:nvPicPr>
        <xdr:cNvPr id="61" name="image5.jpeg">
          <a:extLst>
            <a:ext uri="{FF2B5EF4-FFF2-40B4-BE49-F238E27FC236}">
              <a16:creationId xmlns:a16="http://schemas.microsoft.com/office/drawing/2014/main" id="{00000000-0008-0000-0500-00003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81000" cy="290285"/>
        </a:xfrm>
        <a:prstGeom prst="rect">
          <a:avLst/>
        </a:prstGeom>
      </xdr:spPr>
    </xdr:pic>
    <xdr:clientData/>
  </xdr:oneCellAnchor>
  <xdr:oneCellAnchor>
    <xdr:from>
      <xdr:col>1</xdr:col>
      <xdr:colOff>226059</xdr:colOff>
      <xdr:row>23</xdr:row>
      <xdr:rowOff>0</xdr:rowOff>
    </xdr:from>
    <xdr:ext cx="7486015" cy="3931920"/>
    <xdr:grpSp>
      <xdr:nvGrpSpPr>
        <xdr:cNvPr id="62" name="Group 62">
          <a:extLst>
            <a:ext uri="{FF2B5EF4-FFF2-40B4-BE49-F238E27FC236}">
              <a16:creationId xmlns:a16="http://schemas.microsoft.com/office/drawing/2014/main" id="{00000000-0008-0000-0500-00003E000000}"/>
            </a:ext>
          </a:extLst>
        </xdr:cNvPr>
        <xdr:cNvGrpSpPr/>
      </xdr:nvGrpSpPr>
      <xdr:grpSpPr>
        <a:xfrm>
          <a:off x="607059" y="6027420"/>
          <a:ext cx="7486015" cy="3931920"/>
          <a:chOff x="0" y="0"/>
          <a:chExt cx="7486015" cy="3931920"/>
        </a:xfrm>
      </xdr:grpSpPr>
      <xdr:sp macro="" textlink="">
        <xdr:nvSpPr>
          <xdr:cNvPr id="63" name="Shape 63">
            <a:extLst>
              <a:ext uri="{FF2B5EF4-FFF2-40B4-BE49-F238E27FC236}">
                <a16:creationId xmlns:a16="http://schemas.microsoft.com/office/drawing/2014/main" id="{00000000-0008-0000-0500-00003F000000}"/>
              </a:ext>
            </a:extLst>
          </xdr:cNvPr>
          <xdr:cNvSpPr/>
        </xdr:nvSpPr>
        <xdr:spPr>
          <a:xfrm>
            <a:off x="0" y="0"/>
            <a:ext cx="7486015" cy="2068195"/>
          </a:xfrm>
          <a:custGeom>
            <a:avLst/>
            <a:gdLst/>
            <a:ahLst/>
            <a:cxnLst/>
            <a:rect l="0" t="0" r="0" b="0"/>
            <a:pathLst>
              <a:path w="7486015" h="2068195">
                <a:moveTo>
                  <a:pt x="312420" y="1449324"/>
                </a:moveTo>
                <a:lnTo>
                  <a:pt x="0" y="1449324"/>
                </a:lnTo>
                <a:lnTo>
                  <a:pt x="0" y="1862328"/>
                </a:lnTo>
                <a:lnTo>
                  <a:pt x="312420" y="1862328"/>
                </a:lnTo>
                <a:lnTo>
                  <a:pt x="312420" y="1449324"/>
                </a:lnTo>
                <a:close/>
              </a:path>
              <a:path w="7486015" h="2068195">
                <a:moveTo>
                  <a:pt x="312420" y="414528"/>
                </a:moveTo>
                <a:lnTo>
                  <a:pt x="0" y="414528"/>
                </a:lnTo>
                <a:lnTo>
                  <a:pt x="0" y="1446276"/>
                </a:lnTo>
                <a:lnTo>
                  <a:pt x="312420" y="1446276"/>
                </a:lnTo>
                <a:lnTo>
                  <a:pt x="312420" y="414528"/>
                </a:lnTo>
                <a:close/>
              </a:path>
              <a:path w="7486015" h="2068195">
                <a:moveTo>
                  <a:pt x="312420" y="0"/>
                </a:moveTo>
                <a:lnTo>
                  <a:pt x="0" y="0"/>
                </a:lnTo>
                <a:lnTo>
                  <a:pt x="0" y="411480"/>
                </a:lnTo>
                <a:lnTo>
                  <a:pt x="312420" y="411480"/>
                </a:lnTo>
                <a:lnTo>
                  <a:pt x="312420" y="0"/>
                </a:lnTo>
                <a:close/>
              </a:path>
              <a:path w="7486015" h="2068195">
                <a:moveTo>
                  <a:pt x="1264920" y="1449324"/>
                </a:moveTo>
                <a:lnTo>
                  <a:pt x="315468" y="1449324"/>
                </a:lnTo>
                <a:lnTo>
                  <a:pt x="315468" y="1862328"/>
                </a:lnTo>
                <a:lnTo>
                  <a:pt x="1264920" y="1862328"/>
                </a:lnTo>
                <a:lnTo>
                  <a:pt x="1264920" y="1449324"/>
                </a:lnTo>
                <a:close/>
              </a:path>
              <a:path w="7486015" h="2068195">
                <a:moveTo>
                  <a:pt x="1264920" y="414528"/>
                </a:moveTo>
                <a:lnTo>
                  <a:pt x="315468" y="414528"/>
                </a:lnTo>
                <a:lnTo>
                  <a:pt x="315468" y="1446276"/>
                </a:lnTo>
                <a:lnTo>
                  <a:pt x="1264920" y="1446276"/>
                </a:lnTo>
                <a:lnTo>
                  <a:pt x="1264920" y="414528"/>
                </a:lnTo>
                <a:close/>
              </a:path>
              <a:path w="7486015" h="2068195">
                <a:moveTo>
                  <a:pt x="1264920" y="0"/>
                </a:moveTo>
                <a:lnTo>
                  <a:pt x="315468" y="0"/>
                </a:lnTo>
                <a:lnTo>
                  <a:pt x="315468" y="411480"/>
                </a:lnTo>
                <a:lnTo>
                  <a:pt x="1264920" y="411480"/>
                </a:lnTo>
                <a:lnTo>
                  <a:pt x="1264920" y="0"/>
                </a:lnTo>
                <a:close/>
              </a:path>
              <a:path w="7486015" h="2068195">
                <a:moveTo>
                  <a:pt x="2531364" y="1449324"/>
                </a:moveTo>
                <a:lnTo>
                  <a:pt x="1267968" y="1449324"/>
                </a:lnTo>
                <a:lnTo>
                  <a:pt x="1267968" y="1862328"/>
                </a:lnTo>
                <a:lnTo>
                  <a:pt x="2531364" y="1862328"/>
                </a:lnTo>
                <a:lnTo>
                  <a:pt x="2531364" y="1449324"/>
                </a:lnTo>
                <a:close/>
              </a:path>
              <a:path w="7486015" h="2068195">
                <a:moveTo>
                  <a:pt x="2531364" y="414528"/>
                </a:moveTo>
                <a:lnTo>
                  <a:pt x="1267968" y="414528"/>
                </a:lnTo>
                <a:lnTo>
                  <a:pt x="1267968" y="1446276"/>
                </a:lnTo>
                <a:lnTo>
                  <a:pt x="2531364" y="1446276"/>
                </a:lnTo>
                <a:lnTo>
                  <a:pt x="2531364" y="414528"/>
                </a:lnTo>
                <a:close/>
              </a:path>
              <a:path w="7486015" h="2068195">
                <a:moveTo>
                  <a:pt x="2531364" y="0"/>
                </a:moveTo>
                <a:lnTo>
                  <a:pt x="1267968" y="0"/>
                </a:lnTo>
                <a:lnTo>
                  <a:pt x="1267968" y="411480"/>
                </a:lnTo>
                <a:lnTo>
                  <a:pt x="2531364" y="411480"/>
                </a:lnTo>
                <a:lnTo>
                  <a:pt x="2531364" y="0"/>
                </a:lnTo>
                <a:close/>
              </a:path>
              <a:path w="7486015" h="2068195">
                <a:moveTo>
                  <a:pt x="3037332" y="1865376"/>
                </a:moveTo>
                <a:lnTo>
                  <a:pt x="2534412" y="1865376"/>
                </a:lnTo>
                <a:lnTo>
                  <a:pt x="2534412" y="2068068"/>
                </a:lnTo>
                <a:lnTo>
                  <a:pt x="3037332" y="2068068"/>
                </a:lnTo>
                <a:lnTo>
                  <a:pt x="3037332" y="1865376"/>
                </a:lnTo>
                <a:close/>
              </a:path>
              <a:path w="7486015" h="2068195">
                <a:moveTo>
                  <a:pt x="3037332" y="1656588"/>
                </a:moveTo>
                <a:lnTo>
                  <a:pt x="2534412" y="1656588"/>
                </a:lnTo>
                <a:lnTo>
                  <a:pt x="2534412" y="1862328"/>
                </a:lnTo>
                <a:lnTo>
                  <a:pt x="3037332" y="1862328"/>
                </a:lnTo>
                <a:lnTo>
                  <a:pt x="3037332" y="1656588"/>
                </a:lnTo>
                <a:close/>
              </a:path>
              <a:path w="7486015" h="2068195">
                <a:moveTo>
                  <a:pt x="3037332" y="1449324"/>
                </a:moveTo>
                <a:lnTo>
                  <a:pt x="2534412" y="1449324"/>
                </a:lnTo>
                <a:lnTo>
                  <a:pt x="2534412" y="1653540"/>
                </a:lnTo>
                <a:lnTo>
                  <a:pt x="3037332" y="1653540"/>
                </a:lnTo>
                <a:lnTo>
                  <a:pt x="3037332" y="1449324"/>
                </a:lnTo>
                <a:close/>
              </a:path>
              <a:path w="7486015" h="2068195">
                <a:moveTo>
                  <a:pt x="3037332" y="1242060"/>
                </a:moveTo>
                <a:lnTo>
                  <a:pt x="2534412" y="1242060"/>
                </a:lnTo>
                <a:lnTo>
                  <a:pt x="2534412" y="1446276"/>
                </a:lnTo>
                <a:lnTo>
                  <a:pt x="3037332" y="1446276"/>
                </a:lnTo>
                <a:lnTo>
                  <a:pt x="3037332" y="1242060"/>
                </a:lnTo>
                <a:close/>
              </a:path>
              <a:path w="7486015" h="2068195">
                <a:moveTo>
                  <a:pt x="3037332" y="1036320"/>
                </a:moveTo>
                <a:lnTo>
                  <a:pt x="2534412" y="1036320"/>
                </a:lnTo>
                <a:lnTo>
                  <a:pt x="2534412" y="1239012"/>
                </a:lnTo>
                <a:lnTo>
                  <a:pt x="3037332" y="1239012"/>
                </a:lnTo>
                <a:lnTo>
                  <a:pt x="3037332" y="1036320"/>
                </a:lnTo>
                <a:close/>
              </a:path>
              <a:path w="7486015" h="2068195">
                <a:moveTo>
                  <a:pt x="3037332" y="829056"/>
                </a:moveTo>
                <a:lnTo>
                  <a:pt x="2534412" y="829056"/>
                </a:lnTo>
                <a:lnTo>
                  <a:pt x="2534412" y="1033272"/>
                </a:lnTo>
                <a:lnTo>
                  <a:pt x="3037332" y="1033272"/>
                </a:lnTo>
                <a:lnTo>
                  <a:pt x="3037332" y="829056"/>
                </a:lnTo>
                <a:close/>
              </a:path>
              <a:path w="7486015" h="2068195">
                <a:moveTo>
                  <a:pt x="3037332" y="621792"/>
                </a:moveTo>
                <a:lnTo>
                  <a:pt x="2534412" y="621792"/>
                </a:lnTo>
                <a:lnTo>
                  <a:pt x="2534412" y="826008"/>
                </a:lnTo>
                <a:lnTo>
                  <a:pt x="3037332" y="826008"/>
                </a:lnTo>
                <a:lnTo>
                  <a:pt x="3037332" y="621792"/>
                </a:lnTo>
                <a:close/>
              </a:path>
              <a:path w="7486015" h="2068195">
                <a:moveTo>
                  <a:pt x="3037332" y="414528"/>
                </a:moveTo>
                <a:lnTo>
                  <a:pt x="2534412" y="414528"/>
                </a:lnTo>
                <a:lnTo>
                  <a:pt x="2534412" y="618744"/>
                </a:lnTo>
                <a:lnTo>
                  <a:pt x="3037332" y="618744"/>
                </a:lnTo>
                <a:lnTo>
                  <a:pt x="3037332" y="414528"/>
                </a:lnTo>
                <a:close/>
              </a:path>
              <a:path w="7486015" h="2068195">
                <a:moveTo>
                  <a:pt x="3037332" y="0"/>
                </a:moveTo>
                <a:lnTo>
                  <a:pt x="2534412" y="0"/>
                </a:lnTo>
                <a:lnTo>
                  <a:pt x="2534412" y="411480"/>
                </a:lnTo>
                <a:lnTo>
                  <a:pt x="3037332" y="411480"/>
                </a:lnTo>
                <a:lnTo>
                  <a:pt x="3037332" y="0"/>
                </a:lnTo>
                <a:close/>
              </a:path>
              <a:path w="7486015" h="2068195">
                <a:moveTo>
                  <a:pt x="3674364" y="1865376"/>
                </a:moveTo>
                <a:lnTo>
                  <a:pt x="3040380" y="1865376"/>
                </a:lnTo>
                <a:lnTo>
                  <a:pt x="3040380" y="2068068"/>
                </a:lnTo>
                <a:lnTo>
                  <a:pt x="3674364" y="2068068"/>
                </a:lnTo>
                <a:lnTo>
                  <a:pt x="3674364" y="1865376"/>
                </a:lnTo>
                <a:close/>
              </a:path>
              <a:path w="7486015" h="2068195">
                <a:moveTo>
                  <a:pt x="3674364" y="1656588"/>
                </a:moveTo>
                <a:lnTo>
                  <a:pt x="3040380" y="1656588"/>
                </a:lnTo>
                <a:lnTo>
                  <a:pt x="3040380" y="1862328"/>
                </a:lnTo>
                <a:lnTo>
                  <a:pt x="3674364" y="1862328"/>
                </a:lnTo>
                <a:lnTo>
                  <a:pt x="3674364" y="1656588"/>
                </a:lnTo>
                <a:close/>
              </a:path>
              <a:path w="7486015" h="2068195">
                <a:moveTo>
                  <a:pt x="3674364" y="1449324"/>
                </a:moveTo>
                <a:lnTo>
                  <a:pt x="3040380" y="1449324"/>
                </a:lnTo>
                <a:lnTo>
                  <a:pt x="3040380" y="1653540"/>
                </a:lnTo>
                <a:lnTo>
                  <a:pt x="3674364" y="1653540"/>
                </a:lnTo>
                <a:lnTo>
                  <a:pt x="3674364" y="1449324"/>
                </a:lnTo>
                <a:close/>
              </a:path>
              <a:path w="7486015" h="2068195">
                <a:moveTo>
                  <a:pt x="3674364" y="1242060"/>
                </a:moveTo>
                <a:lnTo>
                  <a:pt x="3040380" y="1242060"/>
                </a:lnTo>
                <a:lnTo>
                  <a:pt x="3040380" y="1446276"/>
                </a:lnTo>
                <a:lnTo>
                  <a:pt x="3674364" y="1446276"/>
                </a:lnTo>
                <a:lnTo>
                  <a:pt x="3674364" y="1242060"/>
                </a:lnTo>
                <a:close/>
              </a:path>
              <a:path w="7486015" h="2068195">
                <a:moveTo>
                  <a:pt x="3674364" y="1036320"/>
                </a:moveTo>
                <a:lnTo>
                  <a:pt x="3040380" y="1036320"/>
                </a:lnTo>
                <a:lnTo>
                  <a:pt x="3040380" y="1239012"/>
                </a:lnTo>
                <a:lnTo>
                  <a:pt x="3674364" y="1239012"/>
                </a:lnTo>
                <a:lnTo>
                  <a:pt x="3674364" y="1036320"/>
                </a:lnTo>
                <a:close/>
              </a:path>
              <a:path w="7486015" h="2068195">
                <a:moveTo>
                  <a:pt x="3674364" y="829056"/>
                </a:moveTo>
                <a:lnTo>
                  <a:pt x="3040380" y="829056"/>
                </a:lnTo>
                <a:lnTo>
                  <a:pt x="3040380" y="1033272"/>
                </a:lnTo>
                <a:lnTo>
                  <a:pt x="3674364" y="1033272"/>
                </a:lnTo>
                <a:lnTo>
                  <a:pt x="3674364" y="829056"/>
                </a:lnTo>
                <a:close/>
              </a:path>
              <a:path w="7486015" h="2068195">
                <a:moveTo>
                  <a:pt x="3674364" y="621792"/>
                </a:moveTo>
                <a:lnTo>
                  <a:pt x="3040380" y="621792"/>
                </a:lnTo>
                <a:lnTo>
                  <a:pt x="3040380" y="826008"/>
                </a:lnTo>
                <a:lnTo>
                  <a:pt x="3674364" y="826008"/>
                </a:lnTo>
                <a:lnTo>
                  <a:pt x="3674364" y="621792"/>
                </a:lnTo>
                <a:close/>
              </a:path>
              <a:path w="7486015" h="2068195">
                <a:moveTo>
                  <a:pt x="3674364" y="414528"/>
                </a:moveTo>
                <a:lnTo>
                  <a:pt x="3040380" y="414528"/>
                </a:lnTo>
                <a:lnTo>
                  <a:pt x="3040380" y="618744"/>
                </a:lnTo>
                <a:lnTo>
                  <a:pt x="3674364" y="618744"/>
                </a:lnTo>
                <a:lnTo>
                  <a:pt x="3674364" y="414528"/>
                </a:lnTo>
                <a:close/>
              </a:path>
              <a:path w="7486015" h="2068195">
                <a:moveTo>
                  <a:pt x="3674364" y="0"/>
                </a:moveTo>
                <a:lnTo>
                  <a:pt x="3040380" y="0"/>
                </a:lnTo>
                <a:lnTo>
                  <a:pt x="3040380" y="411480"/>
                </a:lnTo>
                <a:lnTo>
                  <a:pt x="3674364" y="411480"/>
                </a:lnTo>
                <a:lnTo>
                  <a:pt x="3674364" y="0"/>
                </a:lnTo>
                <a:close/>
              </a:path>
              <a:path w="7486015" h="2068195">
                <a:moveTo>
                  <a:pt x="4437888" y="1865376"/>
                </a:moveTo>
                <a:lnTo>
                  <a:pt x="3677412" y="1865376"/>
                </a:lnTo>
                <a:lnTo>
                  <a:pt x="3677412" y="2068068"/>
                </a:lnTo>
                <a:lnTo>
                  <a:pt x="4437888" y="2068068"/>
                </a:lnTo>
                <a:lnTo>
                  <a:pt x="4437888" y="1865376"/>
                </a:lnTo>
                <a:close/>
              </a:path>
              <a:path w="7486015" h="2068195">
                <a:moveTo>
                  <a:pt x="4437888" y="1656588"/>
                </a:moveTo>
                <a:lnTo>
                  <a:pt x="3677412" y="1656588"/>
                </a:lnTo>
                <a:lnTo>
                  <a:pt x="3677412" y="1862328"/>
                </a:lnTo>
                <a:lnTo>
                  <a:pt x="4437888" y="1862328"/>
                </a:lnTo>
                <a:lnTo>
                  <a:pt x="4437888" y="1656588"/>
                </a:lnTo>
                <a:close/>
              </a:path>
              <a:path w="7486015" h="2068195">
                <a:moveTo>
                  <a:pt x="4437888" y="1449324"/>
                </a:moveTo>
                <a:lnTo>
                  <a:pt x="3677412" y="1449324"/>
                </a:lnTo>
                <a:lnTo>
                  <a:pt x="3677412" y="1653540"/>
                </a:lnTo>
                <a:lnTo>
                  <a:pt x="4437888" y="1653540"/>
                </a:lnTo>
                <a:lnTo>
                  <a:pt x="4437888" y="1449324"/>
                </a:lnTo>
                <a:close/>
              </a:path>
              <a:path w="7486015" h="2068195">
                <a:moveTo>
                  <a:pt x="4437888" y="1242060"/>
                </a:moveTo>
                <a:lnTo>
                  <a:pt x="3677412" y="1242060"/>
                </a:lnTo>
                <a:lnTo>
                  <a:pt x="3677412" y="1446276"/>
                </a:lnTo>
                <a:lnTo>
                  <a:pt x="4437888" y="1446276"/>
                </a:lnTo>
                <a:lnTo>
                  <a:pt x="4437888" y="1242060"/>
                </a:lnTo>
                <a:close/>
              </a:path>
              <a:path w="7486015" h="2068195">
                <a:moveTo>
                  <a:pt x="4437888" y="1036320"/>
                </a:moveTo>
                <a:lnTo>
                  <a:pt x="3677412" y="1036320"/>
                </a:lnTo>
                <a:lnTo>
                  <a:pt x="3677412" y="1239012"/>
                </a:lnTo>
                <a:lnTo>
                  <a:pt x="4437888" y="1239012"/>
                </a:lnTo>
                <a:lnTo>
                  <a:pt x="4437888" y="1036320"/>
                </a:lnTo>
                <a:close/>
              </a:path>
              <a:path w="7486015" h="2068195">
                <a:moveTo>
                  <a:pt x="4437888" y="829056"/>
                </a:moveTo>
                <a:lnTo>
                  <a:pt x="3677412" y="829056"/>
                </a:lnTo>
                <a:lnTo>
                  <a:pt x="3677412" y="1033272"/>
                </a:lnTo>
                <a:lnTo>
                  <a:pt x="4437888" y="1033272"/>
                </a:lnTo>
                <a:lnTo>
                  <a:pt x="4437888" y="829056"/>
                </a:lnTo>
                <a:close/>
              </a:path>
              <a:path w="7486015" h="2068195">
                <a:moveTo>
                  <a:pt x="4437888" y="621792"/>
                </a:moveTo>
                <a:lnTo>
                  <a:pt x="3677412" y="621792"/>
                </a:lnTo>
                <a:lnTo>
                  <a:pt x="3677412" y="826008"/>
                </a:lnTo>
                <a:lnTo>
                  <a:pt x="4437888" y="826008"/>
                </a:lnTo>
                <a:lnTo>
                  <a:pt x="4437888" y="621792"/>
                </a:lnTo>
                <a:close/>
              </a:path>
              <a:path w="7486015" h="2068195">
                <a:moveTo>
                  <a:pt x="4437888" y="414528"/>
                </a:moveTo>
                <a:lnTo>
                  <a:pt x="3677412" y="414528"/>
                </a:lnTo>
                <a:lnTo>
                  <a:pt x="3677412" y="618744"/>
                </a:lnTo>
                <a:lnTo>
                  <a:pt x="4437888" y="618744"/>
                </a:lnTo>
                <a:lnTo>
                  <a:pt x="4437888" y="414528"/>
                </a:lnTo>
                <a:close/>
              </a:path>
              <a:path w="7486015" h="2068195">
                <a:moveTo>
                  <a:pt x="4437888" y="0"/>
                </a:moveTo>
                <a:lnTo>
                  <a:pt x="3677412" y="0"/>
                </a:lnTo>
                <a:lnTo>
                  <a:pt x="3677412" y="411480"/>
                </a:lnTo>
                <a:lnTo>
                  <a:pt x="4437888" y="411480"/>
                </a:lnTo>
                <a:lnTo>
                  <a:pt x="4437888" y="0"/>
                </a:lnTo>
                <a:close/>
              </a:path>
              <a:path w="7486015" h="2068195">
                <a:moveTo>
                  <a:pt x="5199888" y="1865376"/>
                </a:moveTo>
                <a:lnTo>
                  <a:pt x="4440936" y="1865376"/>
                </a:lnTo>
                <a:lnTo>
                  <a:pt x="4440936" y="2068068"/>
                </a:lnTo>
                <a:lnTo>
                  <a:pt x="5199888" y="2068068"/>
                </a:lnTo>
                <a:lnTo>
                  <a:pt x="5199888" y="1865376"/>
                </a:lnTo>
                <a:close/>
              </a:path>
              <a:path w="7486015" h="2068195">
                <a:moveTo>
                  <a:pt x="5199888" y="1656588"/>
                </a:moveTo>
                <a:lnTo>
                  <a:pt x="4440936" y="1656588"/>
                </a:lnTo>
                <a:lnTo>
                  <a:pt x="4440936" y="1862328"/>
                </a:lnTo>
                <a:lnTo>
                  <a:pt x="5199888" y="1862328"/>
                </a:lnTo>
                <a:lnTo>
                  <a:pt x="5199888" y="1656588"/>
                </a:lnTo>
                <a:close/>
              </a:path>
              <a:path w="7486015" h="2068195">
                <a:moveTo>
                  <a:pt x="5199888" y="1449324"/>
                </a:moveTo>
                <a:lnTo>
                  <a:pt x="4440936" y="1449324"/>
                </a:lnTo>
                <a:lnTo>
                  <a:pt x="4440936" y="1653540"/>
                </a:lnTo>
                <a:lnTo>
                  <a:pt x="5199888" y="1653540"/>
                </a:lnTo>
                <a:lnTo>
                  <a:pt x="5199888" y="1449324"/>
                </a:lnTo>
                <a:close/>
              </a:path>
              <a:path w="7486015" h="2068195">
                <a:moveTo>
                  <a:pt x="5199888" y="1242060"/>
                </a:moveTo>
                <a:lnTo>
                  <a:pt x="4440936" y="1242060"/>
                </a:lnTo>
                <a:lnTo>
                  <a:pt x="4440936" y="1446276"/>
                </a:lnTo>
                <a:lnTo>
                  <a:pt x="5199888" y="1446276"/>
                </a:lnTo>
                <a:lnTo>
                  <a:pt x="5199888" y="1242060"/>
                </a:lnTo>
                <a:close/>
              </a:path>
              <a:path w="7486015" h="2068195">
                <a:moveTo>
                  <a:pt x="5199888" y="1036320"/>
                </a:moveTo>
                <a:lnTo>
                  <a:pt x="4440936" y="1036320"/>
                </a:lnTo>
                <a:lnTo>
                  <a:pt x="4440936" y="1239012"/>
                </a:lnTo>
                <a:lnTo>
                  <a:pt x="5199888" y="1239012"/>
                </a:lnTo>
                <a:lnTo>
                  <a:pt x="5199888" y="1036320"/>
                </a:lnTo>
                <a:close/>
              </a:path>
              <a:path w="7486015" h="2068195">
                <a:moveTo>
                  <a:pt x="5199888" y="829056"/>
                </a:moveTo>
                <a:lnTo>
                  <a:pt x="4440936" y="829056"/>
                </a:lnTo>
                <a:lnTo>
                  <a:pt x="4440936" y="1033272"/>
                </a:lnTo>
                <a:lnTo>
                  <a:pt x="5199888" y="1033272"/>
                </a:lnTo>
                <a:lnTo>
                  <a:pt x="5199888" y="829056"/>
                </a:lnTo>
                <a:close/>
              </a:path>
              <a:path w="7486015" h="2068195">
                <a:moveTo>
                  <a:pt x="5199888" y="621792"/>
                </a:moveTo>
                <a:lnTo>
                  <a:pt x="4440936" y="621792"/>
                </a:lnTo>
                <a:lnTo>
                  <a:pt x="4440936" y="826008"/>
                </a:lnTo>
                <a:lnTo>
                  <a:pt x="5199888" y="826008"/>
                </a:lnTo>
                <a:lnTo>
                  <a:pt x="5199888" y="621792"/>
                </a:lnTo>
                <a:close/>
              </a:path>
              <a:path w="7486015" h="2068195">
                <a:moveTo>
                  <a:pt x="5199888" y="414528"/>
                </a:moveTo>
                <a:lnTo>
                  <a:pt x="4440936" y="414528"/>
                </a:lnTo>
                <a:lnTo>
                  <a:pt x="4440936" y="618744"/>
                </a:lnTo>
                <a:lnTo>
                  <a:pt x="5199888" y="618744"/>
                </a:lnTo>
                <a:lnTo>
                  <a:pt x="5199888" y="414528"/>
                </a:lnTo>
                <a:close/>
              </a:path>
              <a:path w="7486015" h="2068195">
                <a:moveTo>
                  <a:pt x="5199888" y="0"/>
                </a:moveTo>
                <a:lnTo>
                  <a:pt x="4440936" y="0"/>
                </a:lnTo>
                <a:lnTo>
                  <a:pt x="4440936" y="411480"/>
                </a:lnTo>
                <a:lnTo>
                  <a:pt x="5199888" y="411480"/>
                </a:lnTo>
                <a:lnTo>
                  <a:pt x="5199888" y="0"/>
                </a:lnTo>
                <a:close/>
              </a:path>
              <a:path w="7486015" h="2068195">
                <a:moveTo>
                  <a:pt x="5961875" y="1865376"/>
                </a:moveTo>
                <a:lnTo>
                  <a:pt x="5202936" y="1865376"/>
                </a:lnTo>
                <a:lnTo>
                  <a:pt x="5202936" y="2068068"/>
                </a:lnTo>
                <a:lnTo>
                  <a:pt x="5961875" y="2068068"/>
                </a:lnTo>
                <a:lnTo>
                  <a:pt x="5961875" y="1865376"/>
                </a:lnTo>
                <a:close/>
              </a:path>
              <a:path w="7486015" h="2068195">
                <a:moveTo>
                  <a:pt x="5961875" y="1656588"/>
                </a:moveTo>
                <a:lnTo>
                  <a:pt x="5202936" y="1656588"/>
                </a:lnTo>
                <a:lnTo>
                  <a:pt x="5202936" y="1862328"/>
                </a:lnTo>
                <a:lnTo>
                  <a:pt x="5961875" y="1862328"/>
                </a:lnTo>
                <a:lnTo>
                  <a:pt x="5961875" y="1656588"/>
                </a:lnTo>
                <a:close/>
              </a:path>
              <a:path w="7486015" h="2068195">
                <a:moveTo>
                  <a:pt x="5961875" y="1449324"/>
                </a:moveTo>
                <a:lnTo>
                  <a:pt x="5202936" y="1449324"/>
                </a:lnTo>
                <a:lnTo>
                  <a:pt x="5202936" y="1653540"/>
                </a:lnTo>
                <a:lnTo>
                  <a:pt x="5961875" y="1653540"/>
                </a:lnTo>
                <a:lnTo>
                  <a:pt x="5961875" y="1449324"/>
                </a:lnTo>
                <a:close/>
              </a:path>
              <a:path w="7486015" h="2068195">
                <a:moveTo>
                  <a:pt x="5961875" y="1242060"/>
                </a:moveTo>
                <a:lnTo>
                  <a:pt x="5202936" y="1242060"/>
                </a:lnTo>
                <a:lnTo>
                  <a:pt x="5202936" y="1446276"/>
                </a:lnTo>
                <a:lnTo>
                  <a:pt x="5961875" y="1446276"/>
                </a:lnTo>
                <a:lnTo>
                  <a:pt x="5961875" y="1242060"/>
                </a:lnTo>
                <a:close/>
              </a:path>
              <a:path w="7486015" h="2068195">
                <a:moveTo>
                  <a:pt x="5961875" y="1036320"/>
                </a:moveTo>
                <a:lnTo>
                  <a:pt x="5202936" y="1036320"/>
                </a:lnTo>
                <a:lnTo>
                  <a:pt x="5202936" y="1239012"/>
                </a:lnTo>
                <a:lnTo>
                  <a:pt x="5961875" y="1239012"/>
                </a:lnTo>
                <a:lnTo>
                  <a:pt x="5961875" y="1036320"/>
                </a:lnTo>
                <a:close/>
              </a:path>
              <a:path w="7486015" h="2068195">
                <a:moveTo>
                  <a:pt x="5961875" y="829056"/>
                </a:moveTo>
                <a:lnTo>
                  <a:pt x="5202936" y="829056"/>
                </a:lnTo>
                <a:lnTo>
                  <a:pt x="5202936" y="1033272"/>
                </a:lnTo>
                <a:lnTo>
                  <a:pt x="5961875" y="1033272"/>
                </a:lnTo>
                <a:lnTo>
                  <a:pt x="5961875" y="829056"/>
                </a:lnTo>
                <a:close/>
              </a:path>
              <a:path w="7486015" h="2068195">
                <a:moveTo>
                  <a:pt x="5961875" y="621792"/>
                </a:moveTo>
                <a:lnTo>
                  <a:pt x="5202936" y="621792"/>
                </a:lnTo>
                <a:lnTo>
                  <a:pt x="5202936" y="826008"/>
                </a:lnTo>
                <a:lnTo>
                  <a:pt x="5961875" y="826008"/>
                </a:lnTo>
                <a:lnTo>
                  <a:pt x="5961875" y="621792"/>
                </a:lnTo>
                <a:close/>
              </a:path>
              <a:path w="7486015" h="2068195">
                <a:moveTo>
                  <a:pt x="5961875" y="414528"/>
                </a:moveTo>
                <a:lnTo>
                  <a:pt x="5202936" y="414528"/>
                </a:lnTo>
                <a:lnTo>
                  <a:pt x="5202936" y="618744"/>
                </a:lnTo>
                <a:lnTo>
                  <a:pt x="5961875" y="618744"/>
                </a:lnTo>
                <a:lnTo>
                  <a:pt x="5961875" y="414528"/>
                </a:lnTo>
                <a:close/>
              </a:path>
              <a:path w="7486015" h="2068195">
                <a:moveTo>
                  <a:pt x="5961875" y="0"/>
                </a:moveTo>
                <a:lnTo>
                  <a:pt x="5202936" y="0"/>
                </a:lnTo>
                <a:lnTo>
                  <a:pt x="5202936" y="411480"/>
                </a:lnTo>
                <a:lnTo>
                  <a:pt x="5961875" y="411480"/>
                </a:lnTo>
                <a:lnTo>
                  <a:pt x="5961875" y="0"/>
                </a:lnTo>
                <a:close/>
              </a:path>
              <a:path w="7486015" h="2068195">
                <a:moveTo>
                  <a:pt x="6723888" y="1865376"/>
                </a:moveTo>
                <a:lnTo>
                  <a:pt x="5964936" y="1865376"/>
                </a:lnTo>
                <a:lnTo>
                  <a:pt x="5964936" y="2068068"/>
                </a:lnTo>
                <a:lnTo>
                  <a:pt x="6723888" y="2068068"/>
                </a:lnTo>
                <a:lnTo>
                  <a:pt x="6723888" y="1865376"/>
                </a:lnTo>
                <a:close/>
              </a:path>
              <a:path w="7486015" h="2068195">
                <a:moveTo>
                  <a:pt x="6723888" y="1656588"/>
                </a:moveTo>
                <a:lnTo>
                  <a:pt x="5964936" y="1656588"/>
                </a:lnTo>
                <a:lnTo>
                  <a:pt x="5964936" y="1862328"/>
                </a:lnTo>
                <a:lnTo>
                  <a:pt x="6723888" y="1862328"/>
                </a:lnTo>
                <a:lnTo>
                  <a:pt x="6723888" y="1656588"/>
                </a:lnTo>
                <a:close/>
              </a:path>
              <a:path w="7486015" h="2068195">
                <a:moveTo>
                  <a:pt x="6723888" y="1449324"/>
                </a:moveTo>
                <a:lnTo>
                  <a:pt x="5964936" y="1449324"/>
                </a:lnTo>
                <a:lnTo>
                  <a:pt x="5964936" y="1653540"/>
                </a:lnTo>
                <a:lnTo>
                  <a:pt x="6723888" y="1653540"/>
                </a:lnTo>
                <a:lnTo>
                  <a:pt x="6723888" y="1449324"/>
                </a:lnTo>
                <a:close/>
              </a:path>
              <a:path w="7486015" h="2068195">
                <a:moveTo>
                  <a:pt x="6723888" y="1242060"/>
                </a:moveTo>
                <a:lnTo>
                  <a:pt x="5964936" y="1242060"/>
                </a:lnTo>
                <a:lnTo>
                  <a:pt x="5964936" y="1446276"/>
                </a:lnTo>
                <a:lnTo>
                  <a:pt x="6723888" y="1446276"/>
                </a:lnTo>
                <a:lnTo>
                  <a:pt x="6723888" y="1242060"/>
                </a:lnTo>
                <a:close/>
              </a:path>
              <a:path w="7486015" h="2068195">
                <a:moveTo>
                  <a:pt x="6723888" y="1036320"/>
                </a:moveTo>
                <a:lnTo>
                  <a:pt x="5964936" y="1036320"/>
                </a:lnTo>
                <a:lnTo>
                  <a:pt x="5964936" y="1239012"/>
                </a:lnTo>
                <a:lnTo>
                  <a:pt x="6723888" y="1239012"/>
                </a:lnTo>
                <a:lnTo>
                  <a:pt x="6723888" y="1036320"/>
                </a:lnTo>
                <a:close/>
              </a:path>
              <a:path w="7486015" h="2068195">
                <a:moveTo>
                  <a:pt x="6723888" y="829056"/>
                </a:moveTo>
                <a:lnTo>
                  <a:pt x="5964936" y="829056"/>
                </a:lnTo>
                <a:lnTo>
                  <a:pt x="5964936" y="1033272"/>
                </a:lnTo>
                <a:lnTo>
                  <a:pt x="6723888" y="1033272"/>
                </a:lnTo>
                <a:lnTo>
                  <a:pt x="6723888" y="829056"/>
                </a:lnTo>
                <a:close/>
              </a:path>
              <a:path w="7486015" h="2068195">
                <a:moveTo>
                  <a:pt x="6723888" y="621792"/>
                </a:moveTo>
                <a:lnTo>
                  <a:pt x="5964936" y="621792"/>
                </a:lnTo>
                <a:lnTo>
                  <a:pt x="5964936" y="826008"/>
                </a:lnTo>
                <a:lnTo>
                  <a:pt x="6723888" y="826008"/>
                </a:lnTo>
                <a:lnTo>
                  <a:pt x="6723888" y="621792"/>
                </a:lnTo>
                <a:close/>
              </a:path>
              <a:path w="7486015" h="2068195">
                <a:moveTo>
                  <a:pt x="6723888" y="414528"/>
                </a:moveTo>
                <a:lnTo>
                  <a:pt x="5964936" y="414528"/>
                </a:lnTo>
                <a:lnTo>
                  <a:pt x="5964936" y="618744"/>
                </a:lnTo>
                <a:lnTo>
                  <a:pt x="6723888" y="618744"/>
                </a:lnTo>
                <a:lnTo>
                  <a:pt x="6723888" y="414528"/>
                </a:lnTo>
                <a:close/>
              </a:path>
              <a:path w="7486015" h="2068195">
                <a:moveTo>
                  <a:pt x="6723888" y="0"/>
                </a:moveTo>
                <a:lnTo>
                  <a:pt x="5964936" y="0"/>
                </a:lnTo>
                <a:lnTo>
                  <a:pt x="5964936" y="411480"/>
                </a:lnTo>
                <a:lnTo>
                  <a:pt x="6723888" y="411480"/>
                </a:lnTo>
                <a:lnTo>
                  <a:pt x="6723888" y="0"/>
                </a:lnTo>
                <a:close/>
              </a:path>
              <a:path w="7486015" h="2068195">
                <a:moveTo>
                  <a:pt x="7485888" y="1656588"/>
                </a:moveTo>
                <a:lnTo>
                  <a:pt x="6726936" y="1656588"/>
                </a:lnTo>
                <a:lnTo>
                  <a:pt x="6726936" y="1862328"/>
                </a:lnTo>
                <a:lnTo>
                  <a:pt x="7485888" y="1862328"/>
                </a:lnTo>
                <a:lnTo>
                  <a:pt x="7485888" y="1656588"/>
                </a:lnTo>
                <a:close/>
              </a:path>
              <a:path w="7486015" h="2068195">
                <a:moveTo>
                  <a:pt x="7485888" y="1449324"/>
                </a:moveTo>
                <a:lnTo>
                  <a:pt x="6726936" y="1449324"/>
                </a:lnTo>
                <a:lnTo>
                  <a:pt x="6726936" y="1653540"/>
                </a:lnTo>
                <a:lnTo>
                  <a:pt x="7485888" y="1653540"/>
                </a:lnTo>
                <a:lnTo>
                  <a:pt x="7485888" y="1449324"/>
                </a:lnTo>
                <a:close/>
              </a:path>
              <a:path w="7486015" h="2068195">
                <a:moveTo>
                  <a:pt x="7485888" y="1242060"/>
                </a:moveTo>
                <a:lnTo>
                  <a:pt x="6726936" y="1242060"/>
                </a:lnTo>
                <a:lnTo>
                  <a:pt x="6726936" y="1446276"/>
                </a:lnTo>
                <a:lnTo>
                  <a:pt x="7485888" y="1446276"/>
                </a:lnTo>
                <a:lnTo>
                  <a:pt x="7485888" y="1242060"/>
                </a:lnTo>
                <a:close/>
              </a:path>
              <a:path w="7486015" h="2068195">
                <a:moveTo>
                  <a:pt x="7485888" y="1036320"/>
                </a:moveTo>
                <a:lnTo>
                  <a:pt x="6726936" y="1036320"/>
                </a:lnTo>
                <a:lnTo>
                  <a:pt x="6726936" y="1239012"/>
                </a:lnTo>
                <a:lnTo>
                  <a:pt x="7485888" y="1239012"/>
                </a:lnTo>
                <a:lnTo>
                  <a:pt x="7485888" y="1036320"/>
                </a:lnTo>
                <a:close/>
              </a:path>
              <a:path w="7486015" h="2068195">
                <a:moveTo>
                  <a:pt x="7485888" y="829056"/>
                </a:moveTo>
                <a:lnTo>
                  <a:pt x="6726936" y="829056"/>
                </a:lnTo>
                <a:lnTo>
                  <a:pt x="6726936" y="1033272"/>
                </a:lnTo>
                <a:lnTo>
                  <a:pt x="7485888" y="1033272"/>
                </a:lnTo>
                <a:lnTo>
                  <a:pt x="7485888" y="829056"/>
                </a:lnTo>
                <a:close/>
              </a:path>
              <a:path w="7486015" h="2068195">
                <a:moveTo>
                  <a:pt x="7485888" y="621792"/>
                </a:moveTo>
                <a:lnTo>
                  <a:pt x="6726936" y="621792"/>
                </a:lnTo>
                <a:lnTo>
                  <a:pt x="6726936" y="826008"/>
                </a:lnTo>
                <a:lnTo>
                  <a:pt x="7485888" y="826008"/>
                </a:lnTo>
                <a:lnTo>
                  <a:pt x="7485888" y="621792"/>
                </a:lnTo>
                <a:close/>
              </a:path>
              <a:path w="7486015" h="2068195">
                <a:moveTo>
                  <a:pt x="7485888" y="414528"/>
                </a:moveTo>
                <a:lnTo>
                  <a:pt x="6726936" y="414528"/>
                </a:lnTo>
                <a:lnTo>
                  <a:pt x="6726936" y="618744"/>
                </a:lnTo>
                <a:lnTo>
                  <a:pt x="7485888" y="618744"/>
                </a:lnTo>
                <a:lnTo>
                  <a:pt x="7485888" y="414528"/>
                </a:lnTo>
                <a:close/>
              </a:path>
              <a:path w="7486015" h="2068195">
                <a:moveTo>
                  <a:pt x="7485888" y="0"/>
                </a:moveTo>
                <a:lnTo>
                  <a:pt x="6726936" y="0"/>
                </a:lnTo>
                <a:lnTo>
                  <a:pt x="6726936" y="411480"/>
                </a:lnTo>
                <a:lnTo>
                  <a:pt x="7485888" y="411480"/>
                </a:lnTo>
                <a:lnTo>
                  <a:pt x="7485888" y="0"/>
                </a:lnTo>
                <a:close/>
              </a:path>
            </a:pathLst>
          </a:custGeom>
          <a:solidFill>
            <a:srgbClr val="FFFFFF"/>
          </a:solidFill>
        </xdr:spPr>
      </xdr:sp>
      <xdr:sp macro="" textlink="">
        <xdr:nvSpPr>
          <xdr:cNvPr id="64" name="Shape 64">
            <a:extLst>
              <a:ext uri="{FF2B5EF4-FFF2-40B4-BE49-F238E27FC236}">
                <a16:creationId xmlns:a16="http://schemas.microsoft.com/office/drawing/2014/main" id="{00000000-0008-0000-0500-000040000000}"/>
              </a:ext>
            </a:extLst>
          </xdr:cNvPr>
          <xdr:cNvSpPr/>
        </xdr:nvSpPr>
        <xdr:spPr>
          <a:xfrm>
            <a:off x="0" y="1865375"/>
            <a:ext cx="7486015" cy="2066925"/>
          </a:xfrm>
          <a:custGeom>
            <a:avLst/>
            <a:gdLst/>
            <a:ahLst/>
            <a:cxnLst/>
            <a:rect l="0" t="0" r="0" b="0"/>
            <a:pathLst>
              <a:path w="7486015" h="2066925">
                <a:moveTo>
                  <a:pt x="312420" y="1034796"/>
                </a:moveTo>
                <a:lnTo>
                  <a:pt x="0" y="1034796"/>
                </a:lnTo>
                <a:lnTo>
                  <a:pt x="0" y="2066544"/>
                </a:lnTo>
                <a:lnTo>
                  <a:pt x="312420" y="2066544"/>
                </a:lnTo>
                <a:lnTo>
                  <a:pt x="312420" y="1034796"/>
                </a:lnTo>
                <a:close/>
              </a:path>
              <a:path w="7486015" h="2066925">
                <a:moveTo>
                  <a:pt x="312420" y="0"/>
                </a:moveTo>
                <a:lnTo>
                  <a:pt x="0" y="0"/>
                </a:lnTo>
                <a:lnTo>
                  <a:pt x="0" y="1031748"/>
                </a:lnTo>
                <a:lnTo>
                  <a:pt x="312420" y="1031748"/>
                </a:lnTo>
                <a:lnTo>
                  <a:pt x="312420" y="0"/>
                </a:lnTo>
                <a:close/>
              </a:path>
              <a:path w="7486015" h="2066925">
                <a:moveTo>
                  <a:pt x="1264920" y="1034796"/>
                </a:moveTo>
                <a:lnTo>
                  <a:pt x="315468" y="1034796"/>
                </a:lnTo>
                <a:lnTo>
                  <a:pt x="315468" y="2066544"/>
                </a:lnTo>
                <a:lnTo>
                  <a:pt x="1264920" y="2066544"/>
                </a:lnTo>
                <a:lnTo>
                  <a:pt x="1264920" y="1034796"/>
                </a:lnTo>
                <a:close/>
              </a:path>
              <a:path w="7486015" h="2066925">
                <a:moveTo>
                  <a:pt x="1264920" y="0"/>
                </a:moveTo>
                <a:lnTo>
                  <a:pt x="315468" y="0"/>
                </a:lnTo>
                <a:lnTo>
                  <a:pt x="315468" y="1031748"/>
                </a:lnTo>
                <a:lnTo>
                  <a:pt x="1264920" y="1031748"/>
                </a:lnTo>
                <a:lnTo>
                  <a:pt x="1264920" y="0"/>
                </a:lnTo>
                <a:close/>
              </a:path>
              <a:path w="7486015" h="2066925">
                <a:moveTo>
                  <a:pt x="2531364" y="1034796"/>
                </a:moveTo>
                <a:lnTo>
                  <a:pt x="1267968" y="1034796"/>
                </a:lnTo>
                <a:lnTo>
                  <a:pt x="1267968" y="2066544"/>
                </a:lnTo>
                <a:lnTo>
                  <a:pt x="2531364" y="2066544"/>
                </a:lnTo>
                <a:lnTo>
                  <a:pt x="2531364" y="1034796"/>
                </a:lnTo>
                <a:close/>
              </a:path>
              <a:path w="7486015" h="2066925">
                <a:moveTo>
                  <a:pt x="2531364" y="0"/>
                </a:moveTo>
                <a:lnTo>
                  <a:pt x="1267968" y="0"/>
                </a:lnTo>
                <a:lnTo>
                  <a:pt x="1267968" y="1031748"/>
                </a:lnTo>
                <a:lnTo>
                  <a:pt x="2531364" y="1031748"/>
                </a:lnTo>
                <a:lnTo>
                  <a:pt x="2531364" y="0"/>
                </a:lnTo>
                <a:close/>
              </a:path>
              <a:path w="7486015" h="2066925">
                <a:moveTo>
                  <a:pt x="3037332" y="1862328"/>
                </a:moveTo>
                <a:lnTo>
                  <a:pt x="2534412" y="1862328"/>
                </a:lnTo>
                <a:lnTo>
                  <a:pt x="2534412" y="2066544"/>
                </a:lnTo>
                <a:lnTo>
                  <a:pt x="3037332" y="2066544"/>
                </a:lnTo>
                <a:lnTo>
                  <a:pt x="3037332" y="1862328"/>
                </a:lnTo>
                <a:close/>
              </a:path>
              <a:path w="7486015" h="2066925">
                <a:moveTo>
                  <a:pt x="3037332" y="1655064"/>
                </a:moveTo>
                <a:lnTo>
                  <a:pt x="2534412" y="1655064"/>
                </a:lnTo>
                <a:lnTo>
                  <a:pt x="2534412" y="1859280"/>
                </a:lnTo>
                <a:lnTo>
                  <a:pt x="3037332" y="1859280"/>
                </a:lnTo>
                <a:lnTo>
                  <a:pt x="3037332" y="1655064"/>
                </a:lnTo>
                <a:close/>
              </a:path>
              <a:path w="7486015" h="2066925">
                <a:moveTo>
                  <a:pt x="3037332" y="1447800"/>
                </a:moveTo>
                <a:lnTo>
                  <a:pt x="2534412" y="1447800"/>
                </a:lnTo>
                <a:lnTo>
                  <a:pt x="2534412" y="1652016"/>
                </a:lnTo>
                <a:lnTo>
                  <a:pt x="3037332" y="1652016"/>
                </a:lnTo>
                <a:lnTo>
                  <a:pt x="3037332" y="1447800"/>
                </a:lnTo>
                <a:close/>
              </a:path>
              <a:path w="7486015" h="2066925">
                <a:moveTo>
                  <a:pt x="3037332" y="1240536"/>
                </a:moveTo>
                <a:lnTo>
                  <a:pt x="2534412" y="1240536"/>
                </a:lnTo>
                <a:lnTo>
                  <a:pt x="2534412" y="1444752"/>
                </a:lnTo>
                <a:lnTo>
                  <a:pt x="3037332" y="1444752"/>
                </a:lnTo>
                <a:lnTo>
                  <a:pt x="3037332" y="1240536"/>
                </a:lnTo>
                <a:close/>
              </a:path>
              <a:path w="7486015" h="2066925">
                <a:moveTo>
                  <a:pt x="3037332" y="1034796"/>
                </a:moveTo>
                <a:lnTo>
                  <a:pt x="2534412" y="1034796"/>
                </a:lnTo>
                <a:lnTo>
                  <a:pt x="2534412" y="1237488"/>
                </a:lnTo>
                <a:lnTo>
                  <a:pt x="3037332" y="1237488"/>
                </a:lnTo>
                <a:lnTo>
                  <a:pt x="3037332" y="1034796"/>
                </a:lnTo>
                <a:close/>
              </a:path>
              <a:path w="7486015" h="2066925">
                <a:moveTo>
                  <a:pt x="3037332" y="827532"/>
                </a:moveTo>
                <a:lnTo>
                  <a:pt x="2534412" y="827532"/>
                </a:lnTo>
                <a:lnTo>
                  <a:pt x="2534412" y="1031748"/>
                </a:lnTo>
                <a:lnTo>
                  <a:pt x="3037332" y="1031748"/>
                </a:lnTo>
                <a:lnTo>
                  <a:pt x="3037332" y="827532"/>
                </a:lnTo>
                <a:close/>
              </a:path>
              <a:path w="7486015" h="2066925">
                <a:moveTo>
                  <a:pt x="3037332" y="620268"/>
                </a:moveTo>
                <a:lnTo>
                  <a:pt x="2534412" y="620268"/>
                </a:lnTo>
                <a:lnTo>
                  <a:pt x="2534412" y="824484"/>
                </a:lnTo>
                <a:lnTo>
                  <a:pt x="3037332" y="824484"/>
                </a:lnTo>
                <a:lnTo>
                  <a:pt x="3037332" y="620268"/>
                </a:lnTo>
                <a:close/>
              </a:path>
              <a:path w="7486015" h="2066925">
                <a:moveTo>
                  <a:pt x="3037332" y="413004"/>
                </a:moveTo>
                <a:lnTo>
                  <a:pt x="2534412" y="413004"/>
                </a:lnTo>
                <a:lnTo>
                  <a:pt x="2534412" y="617220"/>
                </a:lnTo>
                <a:lnTo>
                  <a:pt x="3037332" y="617220"/>
                </a:lnTo>
                <a:lnTo>
                  <a:pt x="3037332" y="413004"/>
                </a:lnTo>
                <a:close/>
              </a:path>
              <a:path w="7486015" h="2066925">
                <a:moveTo>
                  <a:pt x="3037332" y="205740"/>
                </a:moveTo>
                <a:lnTo>
                  <a:pt x="2534412" y="205740"/>
                </a:lnTo>
                <a:lnTo>
                  <a:pt x="2534412" y="409956"/>
                </a:lnTo>
                <a:lnTo>
                  <a:pt x="3037332" y="409956"/>
                </a:lnTo>
                <a:lnTo>
                  <a:pt x="3037332" y="205740"/>
                </a:lnTo>
                <a:close/>
              </a:path>
              <a:path w="7486015" h="2066925">
                <a:moveTo>
                  <a:pt x="3674364" y="1862328"/>
                </a:moveTo>
                <a:lnTo>
                  <a:pt x="3040380" y="1862328"/>
                </a:lnTo>
                <a:lnTo>
                  <a:pt x="3040380" y="2066544"/>
                </a:lnTo>
                <a:lnTo>
                  <a:pt x="3674364" y="2066544"/>
                </a:lnTo>
                <a:lnTo>
                  <a:pt x="3674364" y="1862328"/>
                </a:lnTo>
                <a:close/>
              </a:path>
              <a:path w="7486015" h="2066925">
                <a:moveTo>
                  <a:pt x="3674364" y="1655064"/>
                </a:moveTo>
                <a:lnTo>
                  <a:pt x="3040380" y="1655064"/>
                </a:lnTo>
                <a:lnTo>
                  <a:pt x="3040380" y="1859280"/>
                </a:lnTo>
                <a:lnTo>
                  <a:pt x="3674364" y="1859280"/>
                </a:lnTo>
                <a:lnTo>
                  <a:pt x="3674364" y="1655064"/>
                </a:lnTo>
                <a:close/>
              </a:path>
              <a:path w="7486015" h="2066925">
                <a:moveTo>
                  <a:pt x="3674364" y="1447800"/>
                </a:moveTo>
                <a:lnTo>
                  <a:pt x="3040380" y="1447800"/>
                </a:lnTo>
                <a:lnTo>
                  <a:pt x="3040380" y="1652016"/>
                </a:lnTo>
                <a:lnTo>
                  <a:pt x="3674364" y="1652016"/>
                </a:lnTo>
                <a:lnTo>
                  <a:pt x="3674364" y="1447800"/>
                </a:lnTo>
                <a:close/>
              </a:path>
              <a:path w="7486015" h="2066925">
                <a:moveTo>
                  <a:pt x="3674364" y="1240536"/>
                </a:moveTo>
                <a:lnTo>
                  <a:pt x="3040380" y="1240536"/>
                </a:lnTo>
                <a:lnTo>
                  <a:pt x="3040380" y="1444752"/>
                </a:lnTo>
                <a:lnTo>
                  <a:pt x="3674364" y="1444752"/>
                </a:lnTo>
                <a:lnTo>
                  <a:pt x="3674364" y="1240536"/>
                </a:lnTo>
                <a:close/>
              </a:path>
              <a:path w="7486015" h="2066925">
                <a:moveTo>
                  <a:pt x="3674364" y="1034796"/>
                </a:moveTo>
                <a:lnTo>
                  <a:pt x="3040380" y="1034796"/>
                </a:lnTo>
                <a:lnTo>
                  <a:pt x="3040380" y="1237488"/>
                </a:lnTo>
                <a:lnTo>
                  <a:pt x="3674364" y="1237488"/>
                </a:lnTo>
                <a:lnTo>
                  <a:pt x="3674364" y="1034796"/>
                </a:lnTo>
                <a:close/>
              </a:path>
              <a:path w="7486015" h="2066925">
                <a:moveTo>
                  <a:pt x="3674364" y="827532"/>
                </a:moveTo>
                <a:lnTo>
                  <a:pt x="3040380" y="827532"/>
                </a:lnTo>
                <a:lnTo>
                  <a:pt x="3040380" y="1031748"/>
                </a:lnTo>
                <a:lnTo>
                  <a:pt x="3674364" y="1031748"/>
                </a:lnTo>
                <a:lnTo>
                  <a:pt x="3674364" y="827532"/>
                </a:lnTo>
                <a:close/>
              </a:path>
              <a:path w="7486015" h="2066925">
                <a:moveTo>
                  <a:pt x="3674364" y="620268"/>
                </a:moveTo>
                <a:lnTo>
                  <a:pt x="3040380" y="620268"/>
                </a:lnTo>
                <a:lnTo>
                  <a:pt x="3040380" y="824484"/>
                </a:lnTo>
                <a:lnTo>
                  <a:pt x="3674364" y="824484"/>
                </a:lnTo>
                <a:lnTo>
                  <a:pt x="3674364" y="620268"/>
                </a:lnTo>
                <a:close/>
              </a:path>
              <a:path w="7486015" h="2066925">
                <a:moveTo>
                  <a:pt x="3674364" y="413004"/>
                </a:moveTo>
                <a:lnTo>
                  <a:pt x="3040380" y="413004"/>
                </a:lnTo>
                <a:lnTo>
                  <a:pt x="3040380" y="617220"/>
                </a:lnTo>
                <a:lnTo>
                  <a:pt x="3674364" y="617220"/>
                </a:lnTo>
                <a:lnTo>
                  <a:pt x="3674364" y="413004"/>
                </a:lnTo>
                <a:close/>
              </a:path>
              <a:path w="7486015" h="2066925">
                <a:moveTo>
                  <a:pt x="3674364" y="205740"/>
                </a:moveTo>
                <a:lnTo>
                  <a:pt x="3040380" y="205740"/>
                </a:lnTo>
                <a:lnTo>
                  <a:pt x="3040380" y="409956"/>
                </a:lnTo>
                <a:lnTo>
                  <a:pt x="3674364" y="409956"/>
                </a:lnTo>
                <a:lnTo>
                  <a:pt x="3674364" y="205740"/>
                </a:lnTo>
                <a:close/>
              </a:path>
              <a:path w="7486015" h="2066925">
                <a:moveTo>
                  <a:pt x="4437888" y="1862328"/>
                </a:moveTo>
                <a:lnTo>
                  <a:pt x="3677412" y="1862328"/>
                </a:lnTo>
                <a:lnTo>
                  <a:pt x="3677412" y="2066544"/>
                </a:lnTo>
                <a:lnTo>
                  <a:pt x="4437888" y="2066544"/>
                </a:lnTo>
                <a:lnTo>
                  <a:pt x="4437888" y="1862328"/>
                </a:lnTo>
                <a:close/>
              </a:path>
              <a:path w="7486015" h="2066925">
                <a:moveTo>
                  <a:pt x="4437888" y="1655064"/>
                </a:moveTo>
                <a:lnTo>
                  <a:pt x="3677412" y="1655064"/>
                </a:lnTo>
                <a:lnTo>
                  <a:pt x="3677412" y="1859280"/>
                </a:lnTo>
                <a:lnTo>
                  <a:pt x="4437888" y="1859280"/>
                </a:lnTo>
                <a:lnTo>
                  <a:pt x="4437888" y="1655064"/>
                </a:lnTo>
                <a:close/>
              </a:path>
              <a:path w="7486015" h="2066925">
                <a:moveTo>
                  <a:pt x="4437888" y="1447800"/>
                </a:moveTo>
                <a:lnTo>
                  <a:pt x="3677412" y="1447800"/>
                </a:lnTo>
                <a:lnTo>
                  <a:pt x="3677412" y="1652016"/>
                </a:lnTo>
                <a:lnTo>
                  <a:pt x="4437888" y="1652016"/>
                </a:lnTo>
                <a:lnTo>
                  <a:pt x="4437888" y="1447800"/>
                </a:lnTo>
                <a:close/>
              </a:path>
              <a:path w="7486015" h="2066925">
                <a:moveTo>
                  <a:pt x="4437888" y="1240536"/>
                </a:moveTo>
                <a:lnTo>
                  <a:pt x="3677412" y="1240536"/>
                </a:lnTo>
                <a:lnTo>
                  <a:pt x="3677412" y="1444752"/>
                </a:lnTo>
                <a:lnTo>
                  <a:pt x="4437888" y="1444752"/>
                </a:lnTo>
                <a:lnTo>
                  <a:pt x="4437888" y="1240536"/>
                </a:lnTo>
                <a:close/>
              </a:path>
              <a:path w="7486015" h="2066925">
                <a:moveTo>
                  <a:pt x="4437888" y="1034796"/>
                </a:moveTo>
                <a:lnTo>
                  <a:pt x="3677412" y="1034796"/>
                </a:lnTo>
                <a:lnTo>
                  <a:pt x="3677412" y="1237488"/>
                </a:lnTo>
                <a:lnTo>
                  <a:pt x="4437888" y="1237488"/>
                </a:lnTo>
                <a:lnTo>
                  <a:pt x="4437888" y="1034796"/>
                </a:lnTo>
                <a:close/>
              </a:path>
              <a:path w="7486015" h="2066925">
                <a:moveTo>
                  <a:pt x="4437888" y="827532"/>
                </a:moveTo>
                <a:lnTo>
                  <a:pt x="3677412" y="827532"/>
                </a:lnTo>
                <a:lnTo>
                  <a:pt x="3677412" y="1031748"/>
                </a:lnTo>
                <a:lnTo>
                  <a:pt x="4437888" y="1031748"/>
                </a:lnTo>
                <a:lnTo>
                  <a:pt x="4437888" y="827532"/>
                </a:lnTo>
                <a:close/>
              </a:path>
              <a:path w="7486015" h="2066925">
                <a:moveTo>
                  <a:pt x="4437888" y="620268"/>
                </a:moveTo>
                <a:lnTo>
                  <a:pt x="3677412" y="620268"/>
                </a:lnTo>
                <a:lnTo>
                  <a:pt x="3677412" y="824484"/>
                </a:lnTo>
                <a:lnTo>
                  <a:pt x="4437888" y="824484"/>
                </a:lnTo>
                <a:lnTo>
                  <a:pt x="4437888" y="620268"/>
                </a:lnTo>
                <a:close/>
              </a:path>
              <a:path w="7486015" h="2066925">
                <a:moveTo>
                  <a:pt x="4437888" y="413004"/>
                </a:moveTo>
                <a:lnTo>
                  <a:pt x="3677412" y="413004"/>
                </a:lnTo>
                <a:lnTo>
                  <a:pt x="3677412" y="617220"/>
                </a:lnTo>
                <a:lnTo>
                  <a:pt x="4437888" y="617220"/>
                </a:lnTo>
                <a:lnTo>
                  <a:pt x="4437888" y="413004"/>
                </a:lnTo>
                <a:close/>
              </a:path>
              <a:path w="7486015" h="2066925">
                <a:moveTo>
                  <a:pt x="4437888" y="205740"/>
                </a:moveTo>
                <a:lnTo>
                  <a:pt x="3677412" y="205740"/>
                </a:lnTo>
                <a:lnTo>
                  <a:pt x="3677412" y="409956"/>
                </a:lnTo>
                <a:lnTo>
                  <a:pt x="4437888" y="409956"/>
                </a:lnTo>
                <a:lnTo>
                  <a:pt x="4437888" y="205740"/>
                </a:lnTo>
                <a:close/>
              </a:path>
              <a:path w="7486015" h="2066925">
                <a:moveTo>
                  <a:pt x="5199888" y="1862328"/>
                </a:moveTo>
                <a:lnTo>
                  <a:pt x="4440936" y="1862328"/>
                </a:lnTo>
                <a:lnTo>
                  <a:pt x="4440936" y="2066544"/>
                </a:lnTo>
                <a:lnTo>
                  <a:pt x="5199888" y="2066544"/>
                </a:lnTo>
                <a:lnTo>
                  <a:pt x="5199888" y="1862328"/>
                </a:lnTo>
                <a:close/>
              </a:path>
              <a:path w="7486015" h="2066925">
                <a:moveTo>
                  <a:pt x="5199888" y="1655064"/>
                </a:moveTo>
                <a:lnTo>
                  <a:pt x="4440936" y="1655064"/>
                </a:lnTo>
                <a:lnTo>
                  <a:pt x="4440936" y="1859280"/>
                </a:lnTo>
                <a:lnTo>
                  <a:pt x="5199888" y="1859280"/>
                </a:lnTo>
                <a:lnTo>
                  <a:pt x="5199888" y="1655064"/>
                </a:lnTo>
                <a:close/>
              </a:path>
              <a:path w="7486015" h="2066925">
                <a:moveTo>
                  <a:pt x="5199888" y="1447800"/>
                </a:moveTo>
                <a:lnTo>
                  <a:pt x="4440936" y="1447800"/>
                </a:lnTo>
                <a:lnTo>
                  <a:pt x="4440936" y="1652016"/>
                </a:lnTo>
                <a:lnTo>
                  <a:pt x="5199888" y="1652016"/>
                </a:lnTo>
                <a:lnTo>
                  <a:pt x="5199888" y="1447800"/>
                </a:lnTo>
                <a:close/>
              </a:path>
              <a:path w="7486015" h="2066925">
                <a:moveTo>
                  <a:pt x="5199888" y="1240536"/>
                </a:moveTo>
                <a:lnTo>
                  <a:pt x="4440936" y="1240536"/>
                </a:lnTo>
                <a:lnTo>
                  <a:pt x="4440936" y="1444752"/>
                </a:lnTo>
                <a:lnTo>
                  <a:pt x="5199888" y="1444752"/>
                </a:lnTo>
                <a:lnTo>
                  <a:pt x="5199888" y="1240536"/>
                </a:lnTo>
                <a:close/>
              </a:path>
              <a:path w="7486015" h="2066925">
                <a:moveTo>
                  <a:pt x="5199888" y="1034796"/>
                </a:moveTo>
                <a:lnTo>
                  <a:pt x="4440936" y="1034796"/>
                </a:lnTo>
                <a:lnTo>
                  <a:pt x="4440936" y="1237488"/>
                </a:lnTo>
                <a:lnTo>
                  <a:pt x="5199888" y="1237488"/>
                </a:lnTo>
                <a:lnTo>
                  <a:pt x="5199888" y="1034796"/>
                </a:lnTo>
                <a:close/>
              </a:path>
              <a:path w="7486015" h="2066925">
                <a:moveTo>
                  <a:pt x="5199888" y="827532"/>
                </a:moveTo>
                <a:lnTo>
                  <a:pt x="4440936" y="827532"/>
                </a:lnTo>
                <a:lnTo>
                  <a:pt x="4440936" y="1031748"/>
                </a:lnTo>
                <a:lnTo>
                  <a:pt x="5199888" y="1031748"/>
                </a:lnTo>
                <a:lnTo>
                  <a:pt x="5199888" y="827532"/>
                </a:lnTo>
                <a:close/>
              </a:path>
              <a:path w="7486015" h="2066925">
                <a:moveTo>
                  <a:pt x="5199888" y="620268"/>
                </a:moveTo>
                <a:lnTo>
                  <a:pt x="4440936" y="620268"/>
                </a:lnTo>
                <a:lnTo>
                  <a:pt x="4440936" y="824484"/>
                </a:lnTo>
                <a:lnTo>
                  <a:pt x="5199888" y="824484"/>
                </a:lnTo>
                <a:lnTo>
                  <a:pt x="5199888" y="620268"/>
                </a:lnTo>
                <a:close/>
              </a:path>
              <a:path w="7486015" h="2066925">
                <a:moveTo>
                  <a:pt x="5199888" y="413004"/>
                </a:moveTo>
                <a:lnTo>
                  <a:pt x="4440936" y="413004"/>
                </a:lnTo>
                <a:lnTo>
                  <a:pt x="4440936" y="617220"/>
                </a:lnTo>
                <a:lnTo>
                  <a:pt x="5199888" y="617220"/>
                </a:lnTo>
                <a:lnTo>
                  <a:pt x="5199888" y="413004"/>
                </a:lnTo>
                <a:close/>
              </a:path>
              <a:path w="7486015" h="2066925">
                <a:moveTo>
                  <a:pt x="5199888" y="205740"/>
                </a:moveTo>
                <a:lnTo>
                  <a:pt x="4440936" y="205740"/>
                </a:lnTo>
                <a:lnTo>
                  <a:pt x="4440936" y="409956"/>
                </a:lnTo>
                <a:lnTo>
                  <a:pt x="5199888" y="409956"/>
                </a:lnTo>
                <a:lnTo>
                  <a:pt x="5199888" y="205740"/>
                </a:lnTo>
                <a:close/>
              </a:path>
              <a:path w="7486015" h="2066925">
                <a:moveTo>
                  <a:pt x="5961875" y="1862328"/>
                </a:moveTo>
                <a:lnTo>
                  <a:pt x="5202936" y="1862328"/>
                </a:lnTo>
                <a:lnTo>
                  <a:pt x="5202936" y="2066544"/>
                </a:lnTo>
                <a:lnTo>
                  <a:pt x="5961875" y="2066544"/>
                </a:lnTo>
                <a:lnTo>
                  <a:pt x="5961875" y="1862328"/>
                </a:lnTo>
                <a:close/>
              </a:path>
              <a:path w="7486015" h="2066925">
                <a:moveTo>
                  <a:pt x="5961875" y="1655064"/>
                </a:moveTo>
                <a:lnTo>
                  <a:pt x="5202936" y="1655064"/>
                </a:lnTo>
                <a:lnTo>
                  <a:pt x="5202936" y="1859280"/>
                </a:lnTo>
                <a:lnTo>
                  <a:pt x="5961875" y="1859280"/>
                </a:lnTo>
                <a:lnTo>
                  <a:pt x="5961875" y="1655064"/>
                </a:lnTo>
                <a:close/>
              </a:path>
              <a:path w="7486015" h="2066925">
                <a:moveTo>
                  <a:pt x="5961875" y="1447800"/>
                </a:moveTo>
                <a:lnTo>
                  <a:pt x="5202936" y="1447800"/>
                </a:lnTo>
                <a:lnTo>
                  <a:pt x="5202936" y="1652016"/>
                </a:lnTo>
                <a:lnTo>
                  <a:pt x="5961875" y="1652016"/>
                </a:lnTo>
                <a:lnTo>
                  <a:pt x="5961875" y="1447800"/>
                </a:lnTo>
                <a:close/>
              </a:path>
              <a:path w="7486015" h="2066925">
                <a:moveTo>
                  <a:pt x="5961875" y="1240536"/>
                </a:moveTo>
                <a:lnTo>
                  <a:pt x="5202936" y="1240536"/>
                </a:lnTo>
                <a:lnTo>
                  <a:pt x="5202936" y="1444752"/>
                </a:lnTo>
                <a:lnTo>
                  <a:pt x="5961875" y="1444752"/>
                </a:lnTo>
                <a:lnTo>
                  <a:pt x="5961875" y="1240536"/>
                </a:lnTo>
                <a:close/>
              </a:path>
              <a:path w="7486015" h="2066925">
                <a:moveTo>
                  <a:pt x="5961875" y="1034796"/>
                </a:moveTo>
                <a:lnTo>
                  <a:pt x="5202936" y="1034796"/>
                </a:lnTo>
                <a:lnTo>
                  <a:pt x="5202936" y="1237488"/>
                </a:lnTo>
                <a:lnTo>
                  <a:pt x="5961875" y="1237488"/>
                </a:lnTo>
                <a:lnTo>
                  <a:pt x="5961875" y="1034796"/>
                </a:lnTo>
                <a:close/>
              </a:path>
              <a:path w="7486015" h="2066925">
                <a:moveTo>
                  <a:pt x="5961875" y="827532"/>
                </a:moveTo>
                <a:lnTo>
                  <a:pt x="5202936" y="827532"/>
                </a:lnTo>
                <a:lnTo>
                  <a:pt x="5202936" y="1031748"/>
                </a:lnTo>
                <a:lnTo>
                  <a:pt x="5961875" y="1031748"/>
                </a:lnTo>
                <a:lnTo>
                  <a:pt x="5961875" y="827532"/>
                </a:lnTo>
                <a:close/>
              </a:path>
              <a:path w="7486015" h="2066925">
                <a:moveTo>
                  <a:pt x="5961875" y="620268"/>
                </a:moveTo>
                <a:lnTo>
                  <a:pt x="5202936" y="620268"/>
                </a:lnTo>
                <a:lnTo>
                  <a:pt x="5202936" y="824484"/>
                </a:lnTo>
                <a:lnTo>
                  <a:pt x="5961875" y="824484"/>
                </a:lnTo>
                <a:lnTo>
                  <a:pt x="5961875" y="620268"/>
                </a:lnTo>
                <a:close/>
              </a:path>
              <a:path w="7486015" h="2066925">
                <a:moveTo>
                  <a:pt x="5961875" y="413004"/>
                </a:moveTo>
                <a:lnTo>
                  <a:pt x="5202936" y="413004"/>
                </a:lnTo>
                <a:lnTo>
                  <a:pt x="5202936" y="617220"/>
                </a:lnTo>
                <a:lnTo>
                  <a:pt x="5961875" y="617220"/>
                </a:lnTo>
                <a:lnTo>
                  <a:pt x="5961875" y="413004"/>
                </a:lnTo>
                <a:close/>
              </a:path>
              <a:path w="7486015" h="2066925">
                <a:moveTo>
                  <a:pt x="5961875" y="205740"/>
                </a:moveTo>
                <a:lnTo>
                  <a:pt x="5202936" y="205740"/>
                </a:lnTo>
                <a:lnTo>
                  <a:pt x="5202936" y="409956"/>
                </a:lnTo>
                <a:lnTo>
                  <a:pt x="5961875" y="409956"/>
                </a:lnTo>
                <a:lnTo>
                  <a:pt x="5961875" y="205740"/>
                </a:lnTo>
                <a:close/>
              </a:path>
              <a:path w="7486015" h="2066925">
                <a:moveTo>
                  <a:pt x="6723888" y="1862328"/>
                </a:moveTo>
                <a:lnTo>
                  <a:pt x="5964936" y="1862328"/>
                </a:lnTo>
                <a:lnTo>
                  <a:pt x="5964936" y="2066544"/>
                </a:lnTo>
                <a:lnTo>
                  <a:pt x="6723888" y="2066544"/>
                </a:lnTo>
                <a:lnTo>
                  <a:pt x="6723888" y="1862328"/>
                </a:lnTo>
                <a:close/>
              </a:path>
              <a:path w="7486015" h="2066925">
                <a:moveTo>
                  <a:pt x="6723888" y="1655064"/>
                </a:moveTo>
                <a:lnTo>
                  <a:pt x="5964936" y="1655064"/>
                </a:lnTo>
                <a:lnTo>
                  <a:pt x="5964936" y="1859280"/>
                </a:lnTo>
                <a:lnTo>
                  <a:pt x="6723888" y="1859280"/>
                </a:lnTo>
                <a:lnTo>
                  <a:pt x="6723888" y="1655064"/>
                </a:lnTo>
                <a:close/>
              </a:path>
              <a:path w="7486015" h="2066925">
                <a:moveTo>
                  <a:pt x="6723888" y="1447800"/>
                </a:moveTo>
                <a:lnTo>
                  <a:pt x="5964936" y="1447800"/>
                </a:lnTo>
                <a:lnTo>
                  <a:pt x="5964936" y="1652016"/>
                </a:lnTo>
                <a:lnTo>
                  <a:pt x="6723888" y="1652016"/>
                </a:lnTo>
                <a:lnTo>
                  <a:pt x="6723888" y="1447800"/>
                </a:lnTo>
                <a:close/>
              </a:path>
              <a:path w="7486015" h="2066925">
                <a:moveTo>
                  <a:pt x="6723888" y="1240536"/>
                </a:moveTo>
                <a:lnTo>
                  <a:pt x="5964936" y="1240536"/>
                </a:lnTo>
                <a:lnTo>
                  <a:pt x="5964936" y="1444752"/>
                </a:lnTo>
                <a:lnTo>
                  <a:pt x="6723888" y="1444752"/>
                </a:lnTo>
                <a:lnTo>
                  <a:pt x="6723888" y="1240536"/>
                </a:lnTo>
                <a:close/>
              </a:path>
              <a:path w="7486015" h="2066925">
                <a:moveTo>
                  <a:pt x="6723888" y="1034796"/>
                </a:moveTo>
                <a:lnTo>
                  <a:pt x="5964936" y="1034796"/>
                </a:lnTo>
                <a:lnTo>
                  <a:pt x="5964936" y="1237488"/>
                </a:lnTo>
                <a:lnTo>
                  <a:pt x="6723888" y="1237488"/>
                </a:lnTo>
                <a:lnTo>
                  <a:pt x="6723888" y="1034796"/>
                </a:lnTo>
                <a:close/>
              </a:path>
              <a:path w="7486015" h="2066925">
                <a:moveTo>
                  <a:pt x="6723888" y="827532"/>
                </a:moveTo>
                <a:lnTo>
                  <a:pt x="5964936" y="827532"/>
                </a:lnTo>
                <a:lnTo>
                  <a:pt x="5964936" y="1031748"/>
                </a:lnTo>
                <a:lnTo>
                  <a:pt x="6723888" y="1031748"/>
                </a:lnTo>
                <a:lnTo>
                  <a:pt x="6723888" y="827532"/>
                </a:lnTo>
                <a:close/>
              </a:path>
              <a:path w="7486015" h="2066925">
                <a:moveTo>
                  <a:pt x="6723888" y="620268"/>
                </a:moveTo>
                <a:lnTo>
                  <a:pt x="5964936" y="620268"/>
                </a:lnTo>
                <a:lnTo>
                  <a:pt x="5964936" y="824484"/>
                </a:lnTo>
                <a:lnTo>
                  <a:pt x="6723888" y="824484"/>
                </a:lnTo>
                <a:lnTo>
                  <a:pt x="6723888" y="620268"/>
                </a:lnTo>
                <a:close/>
              </a:path>
              <a:path w="7486015" h="2066925">
                <a:moveTo>
                  <a:pt x="6723888" y="413004"/>
                </a:moveTo>
                <a:lnTo>
                  <a:pt x="5964936" y="413004"/>
                </a:lnTo>
                <a:lnTo>
                  <a:pt x="5964936" y="617220"/>
                </a:lnTo>
                <a:lnTo>
                  <a:pt x="6723888" y="617220"/>
                </a:lnTo>
                <a:lnTo>
                  <a:pt x="6723888" y="413004"/>
                </a:lnTo>
                <a:close/>
              </a:path>
              <a:path w="7486015" h="2066925">
                <a:moveTo>
                  <a:pt x="6723888" y="205740"/>
                </a:moveTo>
                <a:lnTo>
                  <a:pt x="5964936" y="205740"/>
                </a:lnTo>
                <a:lnTo>
                  <a:pt x="5964936" y="409956"/>
                </a:lnTo>
                <a:lnTo>
                  <a:pt x="6723888" y="409956"/>
                </a:lnTo>
                <a:lnTo>
                  <a:pt x="6723888" y="205740"/>
                </a:lnTo>
                <a:close/>
              </a:path>
              <a:path w="7486015" h="2066925">
                <a:moveTo>
                  <a:pt x="6723888" y="0"/>
                </a:moveTo>
                <a:lnTo>
                  <a:pt x="5964936" y="0"/>
                </a:lnTo>
                <a:lnTo>
                  <a:pt x="5964936" y="202692"/>
                </a:lnTo>
                <a:lnTo>
                  <a:pt x="6723888" y="202692"/>
                </a:lnTo>
                <a:lnTo>
                  <a:pt x="6723888" y="0"/>
                </a:lnTo>
                <a:close/>
              </a:path>
              <a:path w="7486015" h="2066925">
                <a:moveTo>
                  <a:pt x="7485888" y="1862328"/>
                </a:moveTo>
                <a:lnTo>
                  <a:pt x="6726936" y="1862328"/>
                </a:lnTo>
                <a:lnTo>
                  <a:pt x="6726936" y="2066544"/>
                </a:lnTo>
                <a:lnTo>
                  <a:pt x="7485888" y="2066544"/>
                </a:lnTo>
                <a:lnTo>
                  <a:pt x="7485888" y="1862328"/>
                </a:lnTo>
                <a:close/>
              </a:path>
              <a:path w="7486015" h="2066925">
                <a:moveTo>
                  <a:pt x="7485888" y="1655064"/>
                </a:moveTo>
                <a:lnTo>
                  <a:pt x="6726936" y="1655064"/>
                </a:lnTo>
                <a:lnTo>
                  <a:pt x="6726936" y="1859280"/>
                </a:lnTo>
                <a:lnTo>
                  <a:pt x="7485888" y="1859280"/>
                </a:lnTo>
                <a:lnTo>
                  <a:pt x="7485888" y="1655064"/>
                </a:lnTo>
                <a:close/>
              </a:path>
              <a:path w="7486015" h="2066925">
                <a:moveTo>
                  <a:pt x="7485888" y="1447800"/>
                </a:moveTo>
                <a:lnTo>
                  <a:pt x="6726936" y="1447800"/>
                </a:lnTo>
                <a:lnTo>
                  <a:pt x="6726936" y="1652016"/>
                </a:lnTo>
                <a:lnTo>
                  <a:pt x="7485888" y="1652016"/>
                </a:lnTo>
                <a:lnTo>
                  <a:pt x="7485888" y="1447800"/>
                </a:lnTo>
                <a:close/>
              </a:path>
              <a:path w="7486015" h="2066925">
                <a:moveTo>
                  <a:pt x="7485888" y="1240536"/>
                </a:moveTo>
                <a:lnTo>
                  <a:pt x="6726936" y="1240536"/>
                </a:lnTo>
                <a:lnTo>
                  <a:pt x="6726936" y="1444752"/>
                </a:lnTo>
                <a:lnTo>
                  <a:pt x="7485888" y="1444752"/>
                </a:lnTo>
                <a:lnTo>
                  <a:pt x="7485888" y="1240536"/>
                </a:lnTo>
                <a:close/>
              </a:path>
              <a:path w="7486015" h="2066925">
                <a:moveTo>
                  <a:pt x="7485888" y="1034796"/>
                </a:moveTo>
                <a:lnTo>
                  <a:pt x="6726936" y="1034796"/>
                </a:lnTo>
                <a:lnTo>
                  <a:pt x="6726936" y="1237488"/>
                </a:lnTo>
                <a:lnTo>
                  <a:pt x="7485888" y="1237488"/>
                </a:lnTo>
                <a:lnTo>
                  <a:pt x="7485888" y="1034796"/>
                </a:lnTo>
                <a:close/>
              </a:path>
              <a:path w="7486015" h="2066925">
                <a:moveTo>
                  <a:pt x="7485888" y="827532"/>
                </a:moveTo>
                <a:lnTo>
                  <a:pt x="6726936" y="827532"/>
                </a:lnTo>
                <a:lnTo>
                  <a:pt x="6726936" y="1031748"/>
                </a:lnTo>
                <a:lnTo>
                  <a:pt x="7485888" y="1031748"/>
                </a:lnTo>
                <a:lnTo>
                  <a:pt x="7485888" y="827532"/>
                </a:lnTo>
                <a:close/>
              </a:path>
              <a:path w="7486015" h="2066925">
                <a:moveTo>
                  <a:pt x="7485888" y="620268"/>
                </a:moveTo>
                <a:lnTo>
                  <a:pt x="6726936" y="620268"/>
                </a:lnTo>
                <a:lnTo>
                  <a:pt x="6726936" y="824484"/>
                </a:lnTo>
                <a:lnTo>
                  <a:pt x="7485888" y="824484"/>
                </a:lnTo>
                <a:lnTo>
                  <a:pt x="7485888" y="620268"/>
                </a:lnTo>
                <a:close/>
              </a:path>
              <a:path w="7486015" h="2066925">
                <a:moveTo>
                  <a:pt x="7485888" y="413004"/>
                </a:moveTo>
                <a:lnTo>
                  <a:pt x="6726936" y="413004"/>
                </a:lnTo>
                <a:lnTo>
                  <a:pt x="6726936" y="617220"/>
                </a:lnTo>
                <a:lnTo>
                  <a:pt x="7485888" y="617220"/>
                </a:lnTo>
                <a:lnTo>
                  <a:pt x="7485888" y="413004"/>
                </a:lnTo>
                <a:close/>
              </a:path>
              <a:path w="7486015" h="2066925">
                <a:moveTo>
                  <a:pt x="7485888" y="205740"/>
                </a:moveTo>
                <a:lnTo>
                  <a:pt x="6726936" y="205740"/>
                </a:lnTo>
                <a:lnTo>
                  <a:pt x="6726936" y="409956"/>
                </a:lnTo>
                <a:lnTo>
                  <a:pt x="7485888" y="409956"/>
                </a:lnTo>
                <a:lnTo>
                  <a:pt x="7485888" y="205740"/>
                </a:lnTo>
                <a:close/>
              </a:path>
              <a:path w="7486015" h="2066925">
                <a:moveTo>
                  <a:pt x="7485888" y="0"/>
                </a:moveTo>
                <a:lnTo>
                  <a:pt x="6726936" y="0"/>
                </a:lnTo>
                <a:lnTo>
                  <a:pt x="6726936" y="202692"/>
                </a:lnTo>
                <a:lnTo>
                  <a:pt x="7485888" y="202692"/>
                </a:lnTo>
                <a:lnTo>
                  <a:pt x="7485888" y="0"/>
                </a:lnTo>
                <a:close/>
              </a:path>
            </a:pathLst>
          </a:custGeom>
          <a:solidFill>
            <a:srgbClr val="FFFFFF"/>
          </a:solidFill>
        </xdr:spPr>
      </xdr:sp>
      <xdr:sp macro="" textlink="">
        <xdr:nvSpPr>
          <xdr:cNvPr id="65" name="Shape 65">
            <a:extLst>
              <a:ext uri="{FF2B5EF4-FFF2-40B4-BE49-F238E27FC236}">
                <a16:creationId xmlns:a16="http://schemas.microsoft.com/office/drawing/2014/main" id="{00000000-0008-0000-0500-000041000000}"/>
              </a:ext>
            </a:extLst>
          </xdr:cNvPr>
          <xdr:cNvSpPr/>
        </xdr:nvSpPr>
        <xdr:spPr>
          <a:xfrm>
            <a:off x="6726935" y="3727703"/>
            <a:ext cx="759460" cy="204470"/>
          </a:xfrm>
          <a:custGeom>
            <a:avLst/>
            <a:gdLst/>
            <a:ahLst/>
            <a:cxnLst/>
            <a:rect l="0" t="0" r="0" b="0"/>
            <a:pathLst>
              <a:path w="759460" h="204470">
                <a:moveTo>
                  <a:pt x="758952" y="0"/>
                </a:moveTo>
                <a:lnTo>
                  <a:pt x="0" y="0"/>
                </a:lnTo>
                <a:lnTo>
                  <a:pt x="0" y="204215"/>
                </a:lnTo>
                <a:lnTo>
                  <a:pt x="758952" y="204215"/>
                </a:lnTo>
                <a:lnTo>
                  <a:pt x="758952" y="0"/>
                </a:lnTo>
                <a:close/>
              </a:path>
            </a:pathLst>
          </a:custGeom>
          <a:solidFill>
            <a:srgbClr val="FFFFFF"/>
          </a:solidFill>
        </xdr:spPr>
      </xdr:sp>
    </xdr:grpSp>
    <xdr:clientData/>
  </xdr:oneCellAnchor>
  <xdr:oneCellAnchor>
    <xdr:from>
      <xdr:col>11</xdr:col>
      <xdr:colOff>546481</xdr:colOff>
      <xdr:row>24</xdr:row>
      <xdr:rowOff>0</xdr:rowOff>
    </xdr:from>
    <xdr:ext cx="645160" cy="3931920"/>
    <xdr:sp macro="" textlink="">
      <xdr:nvSpPr>
        <xdr:cNvPr id="66" name="Shape 66">
          <a:extLst>
            <a:ext uri="{FF2B5EF4-FFF2-40B4-BE49-F238E27FC236}">
              <a16:creationId xmlns:a16="http://schemas.microsoft.com/office/drawing/2014/main" id="{00000000-0008-0000-0500-000042000000}"/>
            </a:ext>
          </a:extLst>
        </xdr:cNvPr>
        <xdr:cNvSpPr/>
      </xdr:nvSpPr>
      <xdr:spPr>
        <a:xfrm>
          <a:off x="0" y="0"/>
          <a:ext cx="645160" cy="3931920"/>
        </a:xfrm>
        <a:custGeom>
          <a:avLst/>
          <a:gdLst/>
          <a:ahLst/>
          <a:cxnLst/>
          <a:rect l="0" t="0" r="0" b="0"/>
          <a:pathLst>
            <a:path w="645160" h="3931920">
              <a:moveTo>
                <a:pt x="644652" y="3727704"/>
              </a:moveTo>
              <a:lnTo>
                <a:pt x="0" y="3727704"/>
              </a:lnTo>
              <a:lnTo>
                <a:pt x="0" y="3931920"/>
              </a:lnTo>
              <a:lnTo>
                <a:pt x="644652" y="3931920"/>
              </a:lnTo>
              <a:lnTo>
                <a:pt x="644652" y="3727704"/>
              </a:lnTo>
              <a:close/>
            </a:path>
            <a:path w="645160" h="3931920">
              <a:moveTo>
                <a:pt x="644652" y="3520440"/>
              </a:moveTo>
              <a:lnTo>
                <a:pt x="0" y="3520440"/>
              </a:lnTo>
              <a:lnTo>
                <a:pt x="0" y="3724656"/>
              </a:lnTo>
              <a:lnTo>
                <a:pt x="644652" y="3724656"/>
              </a:lnTo>
              <a:lnTo>
                <a:pt x="644652" y="3520440"/>
              </a:lnTo>
              <a:close/>
            </a:path>
            <a:path w="645160" h="3931920">
              <a:moveTo>
                <a:pt x="644652" y="3313176"/>
              </a:moveTo>
              <a:lnTo>
                <a:pt x="0" y="3313176"/>
              </a:lnTo>
              <a:lnTo>
                <a:pt x="0" y="3517392"/>
              </a:lnTo>
              <a:lnTo>
                <a:pt x="644652" y="3517392"/>
              </a:lnTo>
              <a:lnTo>
                <a:pt x="644652" y="3313176"/>
              </a:lnTo>
              <a:close/>
            </a:path>
            <a:path w="645160" h="3931920">
              <a:moveTo>
                <a:pt x="644652" y="3105912"/>
              </a:moveTo>
              <a:lnTo>
                <a:pt x="0" y="3105912"/>
              </a:lnTo>
              <a:lnTo>
                <a:pt x="0" y="3310128"/>
              </a:lnTo>
              <a:lnTo>
                <a:pt x="644652" y="3310128"/>
              </a:lnTo>
              <a:lnTo>
                <a:pt x="644652" y="3105912"/>
              </a:lnTo>
              <a:close/>
            </a:path>
            <a:path w="645160" h="3931920">
              <a:moveTo>
                <a:pt x="644652" y="2900172"/>
              </a:moveTo>
              <a:lnTo>
                <a:pt x="0" y="2900172"/>
              </a:lnTo>
              <a:lnTo>
                <a:pt x="0" y="3102864"/>
              </a:lnTo>
              <a:lnTo>
                <a:pt x="644652" y="3102864"/>
              </a:lnTo>
              <a:lnTo>
                <a:pt x="644652" y="2900172"/>
              </a:lnTo>
              <a:close/>
            </a:path>
            <a:path w="645160" h="3931920">
              <a:moveTo>
                <a:pt x="644652" y="2692908"/>
              </a:moveTo>
              <a:lnTo>
                <a:pt x="0" y="2692908"/>
              </a:lnTo>
              <a:lnTo>
                <a:pt x="0" y="2897124"/>
              </a:lnTo>
              <a:lnTo>
                <a:pt x="644652" y="2897124"/>
              </a:lnTo>
              <a:lnTo>
                <a:pt x="644652" y="2692908"/>
              </a:lnTo>
              <a:close/>
            </a:path>
            <a:path w="645160" h="3931920">
              <a:moveTo>
                <a:pt x="644652" y="2485644"/>
              </a:moveTo>
              <a:lnTo>
                <a:pt x="0" y="2485644"/>
              </a:lnTo>
              <a:lnTo>
                <a:pt x="0" y="2689860"/>
              </a:lnTo>
              <a:lnTo>
                <a:pt x="644652" y="2689860"/>
              </a:lnTo>
              <a:lnTo>
                <a:pt x="644652" y="2485644"/>
              </a:lnTo>
              <a:close/>
            </a:path>
            <a:path w="645160" h="3931920">
              <a:moveTo>
                <a:pt x="644652" y="2278380"/>
              </a:moveTo>
              <a:lnTo>
                <a:pt x="0" y="2278380"/>
              </a:lnTo>
              <a:lnTo>
                <a:pt x="0" y="2482596"/>
              </a:lnTo>
              <a:lnTo>
                <a:pt x="644652" y="2482596"/>
              </a:lnTo>
              <a:lnTo>
                <a:pt x="644652" y="2278380"/>
              </a:lnTo>
              <a:close/>
            </a:path>
            <a:path w="645160" h="3931920">
              <a:moveTo>
                <a:pt x="644652" y="2071116"/>
              </a:moveTo>
              <a:lnTo>
                <a:pt x="0" y="2071116"/>
              </a:lnTo>
              <a:lnTo>
                <a:pt x="0" y="2275332"/>
              </a:lnTo>
              <a:lnTo>
                <a:pt x="644652" y="2275332"/>
              </a:lnTo>
              <a:lnTo>
                <a:pt x="644652" y="2071116"/>
              </a:lnTo>
              <a:close/>
            </a:path>
            <a:path w="645160" h="3931920">
              <a:moveTo>
                <a:pt x="644652" y="1865376"/>
              </a:moveTo>
              <a:lnTo>
                <a:pt x="0" y="1865376"/>
              </a:lnTo>
              <a:lnTo>
                <a:pt x="0" y="2068068"/>
              </a:lnTo>
              <a:lnTo>
                <a:pt x="644652" y="2068068"/>
              </a:lnTo>
              <a:lnTo>
                <a:pt x="644652" y="1865376"/>
              </a:lnTo>
              <a:close/>
            </a:path>
            <a:path w="645160" h="3931920">
              <a:moveTo>
                <a:pt x="644652" y="1656588"/>
              </a:moveTo>
              <a:lnTo>
                <a:pt x="0" y="1656588"/>
              </a:lnTo>
              <a:lnTo>
                <a:pt x="0" y="1862328"/>
              </a:lnTo>
              <a:lnTo>
                <a:pt x="644652" y="1862328"/>
              </a:lnTo>
              <a:lnTo>
                <a:pt x="644652" y="1656588"/>
              </a:lnTo>
              <a:close/>
            </a:path>
            <a:path w="645160" h="3931920">
              <a:moveTo>
                <a:pt x="644652" y="1449324"/>
              </a:moveTo>
              <a:lnTo>
                <a:pt x="0" y="1449324"/>
              </a:lnTo>
              <a:lnTo>
                <a:pt x="0" y="1653540"/>
              </a:lnTo>
              <a:lnTo>
                <a:pt x="644652" y="1653540"/>
              </a:lnTo>
              <a:lnTo>
                <a:pt x="644652" y="1449324"/>
              </a:lnTo>
              <a:close/>
            </a:path>
            <a:path w="645160" h="3931920">
              <a:moveTo>
                <a:pt x="644652" y="1242060"/>
              </a:moveTo>
              <a:lnTo>
                <a:pt x="0" y="1242060"/>
              </a:lnTo>
              <a:lnTo>
                <a:pt x="0" y="1446276"/>
              </a:lnTo>
              <a:lnTo>
                <a:pt x="644652" y="1446276"/>
              </a:lnTo>
              <a:lnTo>
                <a:pt x="644652" y="1242060"/>
              </a:lnTo>
              <a:close/>
            </a:path>
            <a:path w="645160" h="3931920">
              <a:moveTo>
                <a:pt x="644652" y="1036320"/>
              </a:moveTo>
              <a:lnTo>
                <a:pt x="0" y="1036320"/>
              </a:lnTo>
              <a:lnTo>
                <a:pt x="0" y="1239012"/>
              </a:lnTo>
              <a:lnTo>
                <a:pt x="644652" y="1239012"/>
              </a:lnTo>
              <a:lnTo>
                <a:pt x="644652" y="1036320"/>
              </a:lnTo>
              <a:close/>
            </a:path>
            <a:path w="645160" h="3931920">
              <a:moveTo>
                <a:pt x="644652" y="829056"/>
              </a:moveTo>
              <a:lnTo>
                <a:pt x="0" y="829056"/>
              </a:lnTo>
              <a:lnTo>
                <a:pt x="0" y="1033272"/>
              </a:lnTo>
              <a:lnTo>
                <a:pt x="644652" y="1033272"/>
              </a:lnTo>
              <a:lnTo>
                <a:pt x="644652" y="829056"/>
              </a:lnTo>
              <a:close/>
            </a:path>
            <a:path w="645160" h="3931920">
              <a:moveTo>
                <a:pt x="644652" y="621792"/>
              </a:moveTo>
              <a:lnTo>
                <a:pt x="0" y="621792"/>
              </a:lnTo>
              <a:lnTo>
                <a:pt x="0" y="826008"/>
              </a:lnTo>
              <a:lnTo>
                <a:pt x="644652" y="826008"/>
              </a:lnTo>
              <a:lnTo>
                <a:pt x="644652" y="621792"/>
              </a:lnTo>
              <a:close/>
            </a:path>
            <a:path w="645160" h="3931920">
              <a:moveTo>
                <a:pt x="644652" y="414528"/>
              </a:moveTo>
              <a:lnTo>
                <a:pt x="0" y="414528"/>
              </a:lnTo>
              <a:lnTo>
                <a:pt x="0" y="618744"/>
              </a:lnTo>
              <a:lnTo>
                <a:pt x="644652" y="618744"/>
              </a:lnTo>
              <a:lnTo>
                <a:pt x="644652" y="414528"/>
              </a:lnTo>
              <a:close/>
            </a:path>
            <a:path w="645160" h="3931920">
              <a:moveTo>
                <a:pt x="644652" y="0"/>
              </a:moveTo>
              <a:lnTo>
                <a:pt x="0" y="0"/>
              </a:lnTo>
              <a:lnTo>
                <a:pt x="0" y="411480"/>
              </a:lnTo>
              <a:lnTo>
                <a:pt x="644652" y="411480"/>
              </a:lnTo>
              <a:lnTo>
                <a:pt x="644652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543687</xdr:colOff>
      <xdr:row>17</xdr:row>
      <xdr:rowOff>0</xdr:rowOff>
    </xdr:from>
    <xdr:ext cx="3808729" cy="480059"/>
    <xdr:sp macro="" textlink="">
      <xdr:nvSpPr>
        <xdr:cNvPr id="67" name="Shape 67">
          <a:extLst>
            <a:ext uri="{FF2B5EF4-FFF2-40B4-BE49-F238E27FC236}">
              <a16:creationId xmlns:a16="http://schemas.microsoft.com/office/drawing/2014/main" id="{00000000-0008-0000-0600-000043000000}"/>
            </a:ext>
          </a:extLst>
        </xdr:cNvPr>
        <xdr:cNvSpPr/>
      </xdr:nvSpPr>
      <xdr:spPr>
        <a:xfrm>
          <a:off x="0" y="0"/>
          <a:ext cx="3808729" cy="480059"/>
        </a:xfrm>
        <a:custGeom>
          <a:avLst/>
          <a:gdLst/>
          <a:ahLst/>
          <a:cxnLst/>
          <a:rect l="0" t="0" r="0" b="0"/>
          <a:pathLst>
            <a:path w="3808729" h="480059">
              <a:moveTo>
                <a:pt x="760476" y="0"/>
              </a:moveTo>
              <a:lnTo>
                <a:pt x="0" y="0"/>
              </a:lnTo>
              <a:lnTo>
                <a:pt x="0" y="480060"/>
              </a:lnTo>
              <a:lnTo>
                <a:pt x="760476" y="480060"/>
              </a:lnTo>
              <a:lnTo>
                <a:pt x="760476" y="0"/>
              </a:lnTo>
              <a:close/>
            </a:path>
            <a:path w="3808729" h="480059">
              <a:moveTo>
                <a:pt x="1522476" y="0"/>
              </a:moveTo>
              <a:lnTo>
                <a:pt x="763524" y="0"/>
              </a:lnTo>
              <a:lnTo>
                <a:pt x="763524" y="480060"/>
              </a:lnTo>
              <a:lnTo>
                <a:pt x="1522476" y="480060"/>
              </a:lnTo>
              <a:lnTo>
                <a:pt x="1522476" y="0"/>
              </a:lnTo>
              <a:close/>
            </a:path>
            <a:path w="3808729" h="480059">
              <a:moveTo>
                <a:pt x="2284463" y="0"/>
              </a:moveTo>
              <a:lnTo>
                <a:pt x="1525524" y="0"/>
              </a:lnTo>
              <a:lnTo>
                <a:pt x="1525524" y="480060"/>
              </a:lnTo>
              <a:lnTo>
                <a:pt x="2284463" y="480060"/>
              </a:lnTo>
              <a:lnTo>
                <a:pt x="2284463" y="0"/>
              </a:lnTo>
              <a:close/>
            </a:path>
            <a:path w="3808729" h="480059">
              <a:moveTo>
                <a:pt x="3046476" y="0"/>
              </a:moveTo>
              <a:lnTo>
                <a:pt x="2287524" y="0"/>
              </a:lnTo>
              <a:lnTo>
                <a:pt x="2287524" y="480060"/>
              </a:lnTo>
              <a:lnTo>
                <a:pt x="3046476" y="480060"/>
              </a:lnTo>
              <a:lnTo>
                <a:pt x="3046476" y="0"/>
              </a:lnTo>
              <a:close/>
            </a:path>
            <a:path w="3808729" h="480059">
              <a:moveTo>
                <a:pt x="3808476" y="0"/>
              </a:moveTo>
              <a:lnTo>
                <a:pt x="3049524" y="0"/>
              </a:lnTo>
              <a:lnTo>
                <a:pt x="3049524" y="480060"/>
              </a:lnTo>
              <a:lnTo>
                <a:pt x="3808476" y="480060"/>
              </a:lnTo>
              <a:lnTo>
                <a:pt x="3808476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5</xdr:col>
      <xdr:colOff>299453</xdr:colOff>
      <xdr:row>3</xdr:row>
      <xdr:rowOff>49142</xdr:rowOff>
    </xdr:from>
    <xdr:ext cx="193523" cy="290285"/>
    <xdr:pic>
      <xdr:nvPicPr>
        <xdr:cNvPr id="68" name="image1.jpeg">
          <a:extLst>
            <a:ext uri="{FF2B5EF4-FFF2-40B4-BE49-F238E27FC236}">
              <a16:creationId xmlns:a16="http://schemas.microsoft.com/office/drawing/2014/main" id="{00000000-0008-0000-0600-00004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93523" cy="290285"/>
        </a:xfrm>
        <a:prstGeom prst="rect">
          <a:avLst/>
        </a:prstGeom>
      </xdr:spPr>
    </xdr:pic>
    <xdr:clientData/>
  </xdr:oneCellAnchor>
  <xdr:oneCellAnchor>
    <xdr:from>
      <xdr:col>6</xdr:col>
      <xdr:colOff>201929</xdr:colOff>
      <xdr:row>3</xdr:row>
      <xdr:rowOff>761</xdr:rowOff>
    </xdr:from>
    <xdr:ext cx="381000" cy="381000"/>
    <xdr:pic>
      <xdr:nvPicPr>
        <xdr:cNvPr id="69" name="image2.jpeg">
          <a:extLst>
            <a:ext uri="{FF2B5EF4-FFF2-40B4-BE49-F238E27FC236}">
              <a16:creationId xmlns:a16="http://schemas.microsoft.com/office/drawing/2014/main" id="{00000000-0008-0000-0600-00004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81000" cy="381000"/>
        </a:xfrm>
        <a:prstGeom prst="rect">
          <a:avLst/>
        </a:prstGeom>
      </xdr:spPr>
    </xdr:pic>
    <xdr:clientData/>
  </xdr:oneCellAnchor>
  <xdr:oneCellAnchor>
    <xdr:from>
      <xdr:col>7</xdr:col>
      <xdr:colOff>201930</xdr:colOff>
      <xdr:row>3</xdr:row>
      <xdr:rowOff>761</xdr:rowOff>
    </xdr:from>
    <xdr:ext cx="381000" cy="381000"/>
    <xdr:pic>
      <xdr:nvPicPr>
        <xdr:cNvPr id="70" name="image3.jpeg">
          <a:extLst>
            <a:ext uri="{FF2B5EF4-FFF2-40B4-BE49-F238E27FC236}">
              <a16:creationId xmlns:a16="http://schemas.microsoft.com/office/drawing/2014/main" id="{00000000-0008-0000-0600-00004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81000" cy="381000"/>
        </a:xfrm>
        <a:prstGeom prst="rect">
          <a:avLst/>
        </a:prstGeom>
      </xdr:spPr>
    </xdr:pic>
    <xdr:clientData/>
  </xdr:oneCellAnchor>
  <xdr:oneCellAnchor>
    <xdr:from>
      <xdr:col>8</xdr:col>
      <xdr:colOff>201929</xdr:colOff>
      <xdr:row>3</xdr:row>
      <xdr:rowOff>49142</xdr:rowOff>
    </xdr:from>
    <xdr:ext cx="381000" cy="290285"/>
    <xdr:pic>
      <xdr:nvPicPr>
        <xdr:cNvPr id="71" name="image4.jpeg">
          <a:extLst>
            <a:ext uri="{FF2B5EF4-FFF2-40B4-BE49-F238E27FC236}">
              <a16:creationId xmlns:a16="http://schemas.microsoft.com/office/drawing/2014/main" id="{00000000-0008-0000-0600-00004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81000" cy="290285"/>
        </a:xfrm>
        <a:prstGeom prst="rect">
          <a:avLst/>
        </a:prstGeom>
      </xdr:spPr>
    </xdr:pic>
    <xdr:clientData/>
  </xdr:oneCellAnchor>
  <xdr:oneCellAnchor>
    <xdr:from>
      <xdr:col>9</xdr:col>
      <xdr:colOff>201929</xdr:colOff>
      <xdr:row>3</xdr:row>
      <xdr:rowOff>49142</xdr:rowOff>
    </xdr:from>
    <xdr:ext cx="381000" cy="290285"/>
    <xdr:pic>
      <xdr:nvPicPr>
        <xdr:cNvPr id="72" name="image5.jpeg">
          <a:extLst>
            <a:ext uri="{FF2B5EF4-FFF2-40B4-BE49-F238E27FC236}">
              <a16:creationId xmlns:a16="http://schemas.microsoft.com/office/drawing/2014/main" id="{00000000-0008-0000-0600-00004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81000" cy="290285"/>
        </a:xfrm>
        <a:prstGeom prst="rect">
          <a:avLst/>
        </a:prstGeom>
      </xdr:spPr>
    </xdr:pic>
    <xdr:clientData/>
  </xdr:oneCellAnchor>
  <xdr:oneCellAnchor>
    <xdr:from>
      <xdr:col>1</xdr:col>
      <xdr:colOff>226059</xdr:colOff>
      <xdr:row>18</xdr:row>
      <xdr:rowOff>0</xdr:rowOff>
    </xdr:from>
    <xdr:ext cx="7486015" cy="2895600"/>
    <xdr:grpSp>
      <xdr:nvGrpSpPr>
        <xdr:cNvPr id="73" name="Group 73">
          <a:extLst>
            <a:ext uri="{FF2B5EF4-FFF2-40B4-BE49-F238E27FC236}">
              <a16:creationId xmlns:a16="http://schemas.microsoft.com/office/drawing/2014/main" id="{00000000-0008-0000-0600-000049000000}"/>
            </a:ext>
          </a:extLst>
        </xdr:cNvPr>
        <xdr:cNvGrpSpPr/>
      </xdr:nvGrpSpPr>
      <xdr:grpSpPr>
        <a:xfrm>
          <a:off x="607059" y="4960620"/>
          <a:ext cx="7486015" cy="2895600"/>
          <a:chOff x="0" y="0"/>
          <a:chExt cx="7486015" cy="2895600"/>
        </a:xfrm>
      </xdr:grpSpPr>
      <xdr:sp macro="" textlink="">
        <xdr:nvSpPr>
          <xdr:cNvPr id="74" name="Shape 74">
            <a:extLst>
              <a:ext uri="{FF2B5EF4-FFF2-40B4-BE49-F238E27FC236}">
                <a16:creationId xmlns:a16="http://schemas.microsoft.com/office/drawing/2014/main" id="{00000000-0008-0000-0600-00004A000000}"/>
              </a:ext>
            </a:extLst>
          </xdr:cNvPr>
          <xdr:cNvSpPr/>
        </xdr:nvSpPr>
        <xdr:spPr>
          <a:xfrm>
            <a:off x="0" y="0"/>
            <a:ext cx="7486015" cy="2066925"/>
          </a:xfrm>
          <a:custGeom>
            <a:avLst/>
            <a:gdLst/>
            <a:ahLst/>
            <a:cxnLst/>
            <a:rect l="0" t="0" r="0" b="0"/>
            <a:pathLst>
              <a:path w="7486015" h="2066925">
                <a:moveTo>
                  <a:pt x="312420" y="827532"/>
                </a:moveTo>
                <a:lnTo>
                  <a:pt x="0" y="827532"/>
                </a:lnTo>
                <a:lnTo>
                  <a:pt x="0" y="1859280"/>
                </a:lnTo>
                <a:lnTo>
                  <a:pt x="312420" y="1859280"/>
                </a:lnTo>
                <a:lnTo>
                  <a:pt x="312420" y="827532"/>
                </a:lnTo>
                <a:close/>
              </a:path>
              <a:path w="7486015" h="2066925">
                <a:moveTo>
                  <a:pt x="312420" y="0"/>
                </a:moveTo>
                <a:lnTo>
                  <a:pt x="0" y="0"/>
                </a:lnTo>
                <a:lnTo>
                  <a:pt x="0" y="824484"/>
                </a:lnTo>
                <a:lnTo>
                  <a:pt x="312420" y="824484"/>
                </a:lnTo>
                <a:lnTo>
                  <a:pt x="312420" y="0"/>
                </a:lnTo>
                <a:close/>
              </a:path>
              <a:path w="7486015" h="2066925">
                <a:moveTo>
                  <a:pt x="1264920" y="827532"/>
                </a:moveTo>
                <a:lnTo>
                  <a:pt x="315468" y="827532"/>
                </a:lnTo>
                <a:lnTo>
                  <a:pt x="315468" y="1859280"/>
                </a:lnTo>
                <a:lnTo>
                  <a:pt x="1264920" y="1859280"/>
                </a:lnTo>
                <a:lnTo>
                  <a:pt x="1264920" y="827532"/>
                </a:lnTo>
                <a:close/>
              </a:path>
              <a:path w="7486015" h="2066925">
                <a:moveTo>
                  <a:pt x="1264920" y="0"/>
                </a:moveTo>
                <a:lnTo>
                  <a:pt x="315468" y="0"/>
                </a:lnTo>
                <a:lnTo>
                  <a:pt x="315468" y="824484"/>
                </a:lnTo>
                <a:lnTo>
                  <a:pt x="1264920" y="824484"/>
                </a:lnTo>
                <a:lnTo>
                  <a:pt x="1264920" y="0"/>
                </a:lnTo>
                <a:close/>
              </a:path>
              <a:path w="7486015" h="2066925">
                <a:moveTo>
                  <a:pt x="2531364" y="827532"/>
                </a:moveTo>
                <a:lnTo>
                  <a:pt x="1267968" y="827532"/>
                </a:lnTo>
                <a:lnTo>
                  <a:pt x="1267968" y="1859280"/>
                </a:lnTo>
                <a:lnTo>
                  <a:pt x="2531364" y="1859280"/>
                </a:lnTo>
                <a:lnTo>
                  <a:pt x="2531364" y="827532"/>
                </a:lnTo>
                <a:close/>
              </a:path>
              <a:path w="7486015" h="2066925">
                <a:moveTo>
                  <a:pt x="2531364" y="0"/>
                </a:moveTo>
                <a:lnTo>
                  <a:pt x="1267968" y="0"/>
                </a:lnTo>
                <a:lnTo>
                  <a:pt x="1267968" y="824484"/>
                </a:lnTo>
                <a:lnTo>
                  <a:pt x="2531364" y="824484"/>
                </a:lnTo>
                <a:lnTo>
                  <a:pt x="2531364" y="0"/>
                </a:lnTo>
                <a:close/>
              </a:path>
              <a:path w="7486015" h="2066925">
                <a:moveTo>
                  <a:pt x="3037332" y="1862328"/>
                </a:moveTo>
                <a:lnTo>
                  <a:pt x="2534412" y="1862328"/>
                </a:lnTo>
                <a:lnTo>
                  <a:pt x="2534412" y="2066544"/>
                </a:lnTo>
                <a:lnTo>
                  <a:pt x="3037332" y="2066544"/>
                </a:lnTo>
                <a:lnTo>
                  <a:pt x="3037332" y="1862328"/>
                </a:lnTo>
                <a:close/>
              </a:path>
              <a:path w="7486015" h="2066925">
                <a:moveTo>
                  <a:pt x="3037332" y="1655064"/>
                </a:moveTo>
                <a:lnTo>
                  <a:pt x="2534412" y="1655064"/>
                </a:lnTo>
                <a:lnTo>
                  <a:pt x="2534412" y="1859280"/>
                </a:lnTo>
                <a:lnTo>
                  <a:pt x="3037332" y="1859280"/>
                </a:lnTo>
                <a:lnTo>
                  <a:pt x="3037332" y="1655064"/>
                </a:lnTo>
                <a:close/>
              </a:path>
              <a:path w="7486015" h="2066925">
                <a:moveTo>
                  <a:pt x="3037332" y="1449324"/>
                </a:moveTo>
                <a:lnTo>
                  <a:pt x="2534412" y="1449324"/>
                </a:lnTo>
                <a:lnTo>
                  <a:pt x="2534412" y="1652016"/>
                </a:lnTo>
                <a:lnTo>
                  <a:pt x="3037332" y="1652016"/>
                </a:lnTo>
                <a:lnTo>
                  <a:pt x="3037332" y="1449324"/>
                </a:lnTo>
                <a:close/>
              </a:path>
              <a:path w="7486015" h="2066925">
                <a:moveTo>
                  <a:pt x="3037332" y="1242060"/>
                </a:moveTo>
                <a:lnTo>
                  <a:pt x="2534412" y="1242060"/>
                </a:lnTo>
                <a:lnTo>
                  <a:pt x="2534412" y="1446276"/>
                </a:lnTo>
                <a:lnTo>
                  <a:pt x="3037332" y="1446276"/>
                </a:lnTo>
                <a:lnTo>
                  <a:pt x="3037332" y="1242060"/>
                </a:lnTo>
                <a:close/>
              </a:path>
              <a:path w="7486015" h="2066925">
                <a:moveTo>
                  <a:pt x="3037332" y="1034796"/>
                </a:moveTo>
                <a:lnTo>
                  <a:pt x="2534412" y="1034796"/>
                </a:lnTo>
                <a:lnTo>
                  <a:pt x="2534412" y="1239012"/>
                </a:lnTo>
                <a:lnTo>
                  <a:pt x="3037332" y="1239012"/>
                </a:lnTo>
                <a:lnTo>
                  <a:pt x="3037332" y="1034796"/>
                </a:lnTo>
                <a:close/>
              </a:path>
              <a:path w="7486015" h="2066925">
                <a:moveTo>
                  <a:pt x="3037332" y="827532"/>
                </a:moveTo>
                <a:lnTo>
                  <a:pt x="2534412" y="827532"/>
                </a:lnTo>
                <a:lnTo>
                  <a:pt x="2534412" y="1031748"/>
                </a:lnTo>
                <a:lnTo>
                  <a:pt x="3037332" y="1031748"/>
                </a:lnTo>
                <a:lnTo>
                  <a:pt x="3037332" y="827532"/>
                </a:lnTo>
                <a:close/>
              </a:path>
              <a:path w="7486015" h="2066925">
                <a:moveTo>
                  <a:pt x="3037332" y="621792"/>
                </a:moveTo>
                <a:lnTo>
                  <a:pt x="2534412" y="621792"/>
                </a:lnTo>
                <a:lnTo>
                  <a:pt x="2534412" y="824484"/>
                </a:lnTo>
                <a:lnTo>
                  <a:pt x="3037332" y="824484"/>
                </a:lnTo>
                <a:lnTo>
                  <a:pt x="3037332" y="621792"/>
                </a:lnTo>
                <a:close/>
              </a:path>
              <a:path w="7486015" h="2066925">
                <a:moveTo>
                  <a:pt x="3037332" y="414528"/>
                </a:moveTo>
                <a:lnTo>
                  <a:pt x="2534412" y="414528"/>
                </a:lnTo>
                <a:lnTo>
                  <a:pt x="2534412" y="618744"/>
                </a:lnTo>
                <a:lnTo>
                  <a:pt x="3037332" y="618744"/>
                </a:lnTo>
                <a:lnTo>
                  <a:pt x="3037332" y="414528"/>
                </a:lnTo>
                <a:close/>
              </a:path>
              <a:path w="7486015" h="2066925">
                <a:moveTo>
                  <a:pt x="3037332" y="207264"/>
                </a:moveTo>
                <a:lnTo>
                  <a:pt x="2534412" y="207264"/>
                </a:lnTo>
                <a:lnTo>
                  <a:pt x="2534412" y="411480"/>
                </a:lnTo>
                <a:lnTo>
                  <a:pt x="3037332" y="411480"/>
                </a:lnTo>
                <a:lnTo>
                  <a:pt x="3037332" y="207264"/>
                </a:lnTo>
                <a:close/>
              </a:path>
              <a:path w="7486015" h="2066925">
                <a:moveTo>
                  <a:pt x="3037332" y="0"/>
                </a:moveTo>
                <a:lnTo>
                  <a:pt x="2534412" y="0"/>
                </a:lnTo>
                <a:lnTo>
                  <a:pt x="2534412" y="204216"/>
                </a:lnTo>
                <a:lnTo>
                  <a:pt x="3037332" y="204216"/>
                </a:lnTo>
                <a:lnTo>
                  <a:pt x="3037332" y="0"/>
                </a:lnTo>
                <a:close/>
              </a:path>
              <a:path w="7486015" h="2066925">
                <a:moveTo>
                  <a:pt x="3674364" y="1862328"/>
                </a:moveTo>
                <a:lnTo>
                  <a:pt x="3040380" y="1862328"/>
                </a:lnTo>
                <a:lnTo>
                  <a:pt x="3040380" y="2066544"/>
                </a:lnTo>
                <a:lnTo>
                  <a:pt x="3674364" y="2066544"/>
                </a:lnTo>
                <a:lnTo>
                  <a:pt x="3674364" y="1862328"/>
                </a:lnTo>
                <a:close/>
              </a:path>
              <a:path w="7486015" h="2066925">
                <a:moveTo>
                  <a:pt x="3674364" y="1655064"/>
                </a:moveTo>
                <a:lnTo>
                  <a:pt x="3040380" y="1655064"/>
                </a:lnTo>
                <a:lnTo>
                  <a:pt x="3040380" y="1859280"/>
                </a:lnTo>
                <a:lnTo>
                  <a:pt x="3674364" y="1859280"/>
                </a:lnTo>
                <a:lnTo>
                  <a:pt x="3674364" y="1655064"/>
                </a:lnTo>
                <a:close/>
              </a:path>
              <a:path w="7486015" h="2066925">
                <a:moveTo>
                  <a:pt x="3674364" y="1449324"/>
                </a:moveTo>
                <a:lnTo>
                  <a:pt x="3040380" y="1449324"/>
                </a:lnTo>
                <a:lnTo>
                  <a:pt x="3040380" y="1652016"/>
                </a:lnTo>
                <a:lnTo>
                  <a:pt x="3674364" y="1652016"/>
                </a:lnTo>
                <a:lnTo>
                  <a:pt x="3674364" y="1449324"/>
                </a:lnTo>
                <a:close/>
              </a:path>
              <a:path w="7486015" h="2066925">
                <a:moveTo>
                  <a:pt x="3674364" y="1242060"/>
                </a:moveTo>
                <a:lnTo>
                  <a:pt x="3040380" y="1242060"/>
                </a:lnTo>
                <a:lnTo>
                  <a:pt x="3040380" y="1446276"/>
                </a:lnTo>
                <a:lnTo>
                  <a:pt x="3674364" y="1446276"/>
                </a:lnTo>
                <a:lnTo>
                  <a:pt x="3674364" y="1242060"/>
                </a:lnTo>
                <a:close/>
              </a:path>
              <a:path w="7486015" h="2066925">
                <a:moveTo>
                  <a:pt x="3674364" y="1034796"/>
                </a:moveTo>
                <a:lnTo>
                  <a:pt x="3040380" y="1034796"/>
                </a:lnTo>
                <a:lnTo>
                  <a:pt x="3040380" y="1239012"/>
                </a:lnTo>
                <a:lnTo>
                  <a:pt x="3674364" y="1239012"/>
                </a:lnTo>
                <a:lnTo>
                  <a:pt x="3674364" y="1034796"/>
                </a:lnTo>
                <a:close/>
              </a:path>
              <a:path w="7486015" h="2066925">
                <a:moveTo>
                  <a:pt x="3674364" y="827532"/>
                </a:moveTo>
                <a:lnTo>
                  <a:pt x="3040380" y="827532"/>
                </a:lnTo>
                <a:lnTo>
                  <a:pt x="3040380" y="1031748"/>
                </a:lnTo>
                <a:lnTo>
                  <a:pt x="3674364" y="1031748"/>
                </a:lnTo>
                <a:lnTo>
                  <a:pt x="3674364" y="827532"/>
                </a:lnTo>
                <a:close/>
              </a:path>
              <a:path w="7486015" h="2066925">
                <a:moveTo>
                  <a:pt x="3674364" y="621792"/>
                </a:moveTo>
                <a:lnTo>
                  <a:pt x="3040380" y="621792"/>
                </a:lnTo>
                <a:lnTo>
                  <a:pt x="3040380" y="824484"/>
                </a:lnTo>
                <a:lnTo>
                  <a:pt x="3674364" y="824484"/>
                </a:lnTo>
                <a:lnTo>
                  <a:pt x="3674364" y="621792"/>
                </a:lnTo>
                <a:close/>
              </a:path>
              <a:path w="7486015" h="2066925">
                <a:moveTo>
                  <a:pt x="3674364" y="414528"/>
                </a:moveTo>
                <a:lnTo>
                  <a:pt x="3040380" y="414528"/>
                </a:lnTo>
                <a:lnTo>
                  <a:pt x="3040380" y="618744"/>
                </a:lnTo>
                <a:lnTo>
                  <a:pt x="3674364" y="618744"/>
                </a:lnTo>
                <a:lnTo>
                  <a:pt x="3674364" y="414528"/>
                </a:lnTo>
                <a:close/>
              </a:path>
              <a:path w="7486015" h="2066925">
                <a:moveTo>
                  <a:pt x="3674364" y="207264"/>
                </a:moveTo>
                <a:lnTo>
                  <a:pt x="3040380" y="207264"/>
                </a:lnTo>
                <a:lnTo>
                  <a:pt x="3040380" y="411480"/>
                </a:lnTo>
                <a:lnTo>
                  <a:pt x="3674364" y="411480"/>
                </a:lnTo>
                <a:lnTo>
                  <a:pt x="3674364" y="207264"/>
                </a:lnTo>
                <a:close/>
              </a:path>
              <a:path w="7486015" h="2066925">
                <a:moveTo>
                  <a:pt x="3674364" y="0"/>
                </a:moveTo>
                <a:lnTo>
                  <a:pt x="3040380" y="0"/>
                </a:lnTo>
                <a:lnTo>
                  <a:pt x="3040380" y="204216"/>
                </a:lnTo>
                <a:lnTo>
                  <a:pt x="3674364" y="204216"/>
                </a:lnTo>
                <a:lnTo>
                  <a:pt x="3674364" y="0"/>
                </a:lnTo>
                <a:close/>
              </a:path>
              <a:path w="7486015" h="2066925">
                <a:moveTo>
                  <a:pt x="4437888" y="1655064"/>
                </a:moveTo>
                <a:lnTo>
                  <a:pt x="3677412" y="1655064"/>
                </a:lnTo>
                <a:lnTo>
                  <a:pt x="3677412" y="1859280"/>
                </a:lnTo>
                <a:lnTo>
                  <a:pt x="4437888" y="1859280"/>
                </a:lnTo>
                <a:lnTo>
                  <a:pt x="4437888" y="1655064"/>
                </a:lnTo>
                <a:close/>
              </a:path>
              <a:path w="7486015" h="2066925">
                <a:moveTo>
                  <a:pt x="4437888" y="1449324"/>
                </a:moveTo>
                <a:lnTo>
                  <a:pt x="3677412" y="1449324"/>
                </a:lnTo>
                <a:lnTo>
                  <a:pt x="3677412" y="1652016"/>
                </a:lnTo>
                <a:lnTo>
                  <a:pt x="4437888" y="1652016"/>
                </a:lnTo>
                <a:lnTo>
                  <a:pt x="4437888" y="1449324"/>
                </a:lnTo>
                <a:close/>
              </a:path>
              <a:path w="7486015" h="2066925">
                <a:moveTo>
                  <a:pt x="4437888" y="1242060"/>
                </a:moveTo>
                <a:lnTo>
                  <a:pt x="3677412" y="1242060"/>
                </a:lnTo>
                <a:lnTo>
                  <a:pt x="3677412" y="1446276"/>
                </a:lnTo>
                <a:lnTo>
                  <a:pt x="4437888" y="1446276"/>
                </a:lnTo>
                <a:lnTo>
                  <a:pt x="4437888" y="1242060"/>
                </a:lnTo>
                <a:close/>
              </a:path>
              <a:path w="7486015" h="2066925">
                <a:moveTo>
                  <a:pt x="4437888" y="1034796"/>
                </a:moveTo>
                <a:lnTo>
                  <a:pt x="3677412" y="1034796"/>
                </a:lnTo>
                <a:lnTo>
                  <a:pt x="3677412" y="1239012"/>
                </a:lnTo>
                <a:lnTo>
                  <a:pt x="4437888" y="1239012"/>
                </a:lnTo>
                <a:lnTo>
                  <a:pt x="4437888" y="1034796"/>
                </a:lnTo>
                <a:close/>
              </a:path>
              <a:path w="7486015" h="2066925">
                <a:moveTo>
                  <a:pt x="4437888" y="827532"/>
                </a:moveTo>
                <a:lnTo>
                  <a:pt x="3677412" y="827532"/>
                </a:lnTo>
                <a:lnTo>
                  <a:pt x="3677412" y="1031748"/>
                </a:lnTo>
                <a:lnTo>
                  <a:pt x="4437888" y="1031748"/>
                </a:lnTo>
                <a:lnTo>
                  <a:pt x="4437888" y="827532"/>
                </a:lnTo>
                <a:close/>
              </a:path>
              <a:path w="7486015" h="2066925">
                <a:moveTo>
                  <a:pt x="4437888" y="621792"/>
                </a:moveTo>
                <a:lnTo>
                  <a:pt x="3677412" y="621792"/>
                </a:lnTo>
                <a:lnTo>
                  <a:pt x="3677412" y="824484"/>
                </a:lnTo>
                <a:lnTo>
                  <a:pt x="4437888" y="824484"/>
                </a:lnTo>
                <a:lnTo>
                  <a:pt x="4437888" y="621792"/>
                </a:lnTo>
                <a:close/>
              </a:path>
              <a:path w="7486015" h="2066925">
                <a:moveTo>
                  <a:pt x="4437888" y="414528"/>
                </a:moveTo>
                <a:lnTo>
                  <a:pt x="3677412" y="414528"/>
                </a:lnTo>
                <a:lnTo>
                  <a:pt x="3677412" y="618744"/>
                </a:lnTo>
                <a:lnTo>
                  <a:pt x="4437888" y="618744"/>
                </a:lnTo>
                <a:lnTo>
                  <a:pt x="4437888" y="414528"/>
                </a:lnTo>
                <a:close/>
              </a:path>
              <a:path w="7486015" h="2066925">
                <a:moveTo>
                  <a:pt x="4437888" y="207264"/>
                </a:moveTo>
                <a:lnTo>
                  <a:pt x="3677412" y="207264"/>
                </a:lnTo>
                <a:lnTo>
                  <a:pt x="3677412" y="411480"/>
                </a:lnTo>
                <a:lnTo>
                  <a:pt x="4437888" y="411480"/>
                </a:lnTo>
                <a:lnTo>
                  <a:pt x="4437888" y="207264"/>
                </a:lnTo>
                <a:close/>
              </a:path>
              <a:path w="7486015" h="2066925">
                <a:moveTo>
                  <a:pt x="4437888" y="0"/>
                </a:moveTo>
                <a:lnTo>
                  <a:pt x="3677412" y="0"/>
                </a:lnTo>
                <a:lnTo>
                  <a:pt x="3677412" y="204216"/>
                </a:lnTo>
                <a:lnTo>
                  <a:pt x="4437888" y="204216"/>
                </a:lnTo>
                <a:lnTo>
                  <a:pt x="4437888" y="0"/>
                </a:lnTo>
                <a:close/>
              </a:path>
              <a:path w="7486015" h="2066925">
                <a:moveTo>
                  <a:pt x="5199888" y="1655064"/>
                </a:moveTo>
                <a:lnTo>
                  <a:pt x="4440936" y="1655064"/>
                </a:lnTo>
                <a:lnTo>
                  <a:pt x="4440936" y="1859280"/>
                </a:lnTo>
                <a:lnTo>
                  <a:pt x="5199888" y="1859280"/>
                </a:lnTo>
                <a:lnTo>
                  <a:pt x="5199888" y="1655064"/>
                </a:lnTo>
                <a:close/>
              </a:path>
              <a:path w="7486015" h="2066925">
                <a:moveTo>
                  <a:pt x="5199888" y="1449324"/>
                </a:moveTo>
                <a:lnTo>
                  <a:pt x="4440936" y="1449324"/>
                </a:lnTo>
                <a:lnTo>
                  <a:pt x="4440936" y="1652016"/>
                </a:lnTo>
                <a:lnTo>
                  <a:pt x="5199888" y="1652016"/>
                </a:lnTo>
                <a:lnTo>
                  <a:pt x="5199888" y="1449324"/>
                </a:lnTo>
                <a:close/>
              </a:path>
              <a:path w="7486015" h="2066925">
                <a:moveTo>
                  <a:pt x="5199888" y="1242060"/>
                </a:moveTo>
                <a:lnTo>
                  <a:pt x="4440936" y="1242060"/>
                </a:lnTo>
                <a:lnTo>
                  <a:pt x="4440936" y="1446276"/>
                </a:lnTo>
                <a:lnTo>
                  <a:pt x="5199888" y="1446276"/>
                </a:lnTo>
                <a:lnTo>
                  <a:pt x="5199888" y="1242060"/>
                </a:lnTo>
                <a:close/>
              </a:path>
              <a:path w="7486015" h="2066925">
                <a:moveTo>
                  <a:pt x="5199888" y="1034796"/>
                </a:moveTo>
                <a:lnTo>
                  <a:pt x="4440936" y="1034796"/>
                </a:lnTo>
                <a:lnTo>
                  <a:pt x="4440936" y="1239012"/>
                </a:lnTo>
                <a:lnTo>
                  <a:pt x="5199888" y="1239012"/>
                </a:lnTo>
                <a:lnTo>
                  <a:pt x="5199888" y="1034796"/>
                </a:lnTo>
                <a:close/>
              </a:path>
              <a:path w="7486015" h="2066925">
                <a:moveTo>
                  <a:pt x="5199888" y="827532"/>
                </a:moveTo>
                <a:lnTo>
                  <a:pt x="4440936" y="827532"/>
                </a:lnTo>
                <a:lnTo>
                  <a:pt x="4440936" y="1031748"/>
                </a:lnTo>
                <a:lnTo>
                  <a:pt x="5199888" y="1031748"/>
                </a:lnTo>
                <a:lnTo>
                  <a:pt x="5199888" y="827532"/>
                </a:lnTo>
                <a:close/>
              </a:path>
              <a:path w="7486015" h="2066925">
                <a:moveTo>
                  <a:pt x="5199888" y="621792"/>
                </a:moveTo>
                <a:lnTo>
                  <a:pt x="4440936" y="621792"/>
                </a:lnTo>
                <a:lnTo>
                  <a:pt x="4440936" y="824484"/>
                </a:lnTo>
                <a:lnTo>
                  <a:pt x="5199888" y="824484"/>
                </a:lnTo>
                <a:lnTo>
                  <a:pt x="5199888" y="621792"/>
                </a:lnTo>
                <a:close/>
              </a:path>
              <a:path w="7486015" h="2066925">
                <a:moveTo>
                  <a:pt x="5199888" y="414528"/>
                </a:moveTo>
                <a:lnTo>
                  <a:pt x="4440936" y="414528"/>
                </a:lnTo>
                <a:lnTo>
                  <a:pt x="4440936" y="618744"/>
                </a:lnTo>
                <a:lnTo>
                  <a:pt x="5199888" y="618744"/>
                </a:lnTo>
                <a:lnTo>
                  <a:pt x="5199888" y="414528"/>
                </a:lnTo>
                <a:close/>
              </a:path>
              <a:path w="7486015" h="2066925">
                <a:moveTo>
                  <a:pt x="5199888" y="207264"/>
                </a:moveTo>
                <a:lnTo>
                  <a:pt x="4440936" y="207264"/>
                </a:lnTo>
                <a:lnTo>
                  <a:pt x="4440936" y="411480"/>
                </a:lnTo>
                <a:lnTo>
                  <a:pt x="5199888" y="411480"/>
                </a:lnTo>
                <a:lnTo>
                  <a:pt x="5199888" y="207264"/>
                </a:lnTo>
                <a:close/>
              </a:path>
              <a:path w="7486015" h="2066925">
                <a:moveTo>
                  <a:pt x="5199888" y="0"/>
                </a:moveTo>
                <a:lnTo>
                  <a:pt x="4440936" y="0"/>
                </a:lnTo>
                <a:lnTo>
                  <a:pt x="4440936" y="204216"/>
                </a:lnTo>
                <a:lnTo>
                  <a:pt x="5199888" y="204216"/>
                </a:lnTo>
                <a:lnTo>
                  <a:pt x="5199888" y="0"/>
                </a:lnTo>
                <a:close/>
              </a:path>
              <a:path w="7486015" h="2066925">
                <a:moveTo>
                  <a:pt x="5961875" y="1655064"/>
                </a:moveTo>
                <a:lnTo>
                  <a:pt x="5202936" y="1655064"/>
                </a:lnTo>
                <a:lnTo>
                  <a:pt x="5202936" y="1859280"/>
                </a:lnTo>
                <a:lnTo>
                  <a:pt x="5961875" y="1859280"/>
                </a:lnTo>
                <a:lnTo>
                  <a:pt x="5961875" y="1655064"/>
                </a:lnTo>
                <a:close/>
              </a:path>
              <a:path w="7486015" h="2066925">
                <a:moveTo>
                  <a:pt x="5961875" y="1449324"/>
                </a:moveTo>
                <a:lnTo>
                  <a:pt x="5202936" y="1449324"/>
                </a:lnTo>
                <a:lnTo>
                  <a:pt x="5202936" y="1652016"/>
                </a:lnTo>
                <a:lnTo>
                  <a:pt x="5961875" y="1652016"/>
                </a:lnTo>
                <a:lnTo>
                  <a:pt x="5961875" y="1449324"/>
                </a:lnTo>
                <a:close/>
              </a:path>
              <a:path w="7486015" h="2066925">
                <a:moveTo>
                  <a:pt x="5961875" y="1242060"/>
                </a:moveTo>
                <a:lnTo>
                  <a:pt x="5202936" y="1242060"/>
                </a:lnTo>
                <a:lnTo>
                  <a:pt x="5202936" y="1446276"/>
                </a:lnTo>
                <a:lnTo>
                  <a:pt x="5961875" y="1446276"/>
                </a:lnTo>
                <a:lnTo>
                  <a:pt x="5961875" y="1242060"/>
                </a:lnTo>
                <a:close/>
              </a:path>
              <a:path w="7486015" h="2066925">
                <a:moveTo>
                  <a:pt x="5961875" y="1034796"/>
                </a:moveTo>
                <a:lnTo>
                  <a:pt x="5202936" y="1034796"/>
                </a:lnTo>
                <a:lnTo>
                  <a:pt x="5202936" y="1239012"/>
                </a:lnTo>
                <a:lnTo>
                  <a:pt x="5961875" y="1239012"/>
                </a:lnTo>
                <a:lnTo>
                  <a:pt x="5961875" y="1034796"/>
                </a:lnTo>
                <a:close/>
              </a:path>
              <a:path w="7486015" h="2066925">
                <a:moveTo>
                  <a:pt x="5961875" y="827532"/>
                </a:moveTo>
                <a:lnTo>
                  <a:pt x="5202936" y="827532"/>
                </a:lnTo>
                <a:lnTo>
                  <a:pt x="5202936" y="1031748"/>
                </a:lnTo>
                <a:lnTo>
                  <a:pt x="5961875" y="1031748"/>
                </a:lnTo>
                <a:lnTo>
                  <a:pt x="5961875" y="827532"/>
                </a:lnTo>
                <a:close/>
              </a:path>
              <a:path w="7486015" h="2066925">
                <a:moveTo>
                  <a:pt x="5961875" y="621792"/>
                </a:moveTo>
                <a:lnTo>
                  <a:pt x="5202936" y="621792"/>
                </a:lnTo>
                <a:lnTo>
                  <a:pt x="5202936" y="824484"/>
                </a:lnTo>
                <a:lnTo>
                  <a:pt x="5961875" y="824484"/>
                </a:lnTo>
                <a:lnTo>
                  <a:pt x="5961875" y="621792"/>
                </a:lnTo>
                <a:close/>
              </a:path>
              <a:path w="7486015" h="2066925">
                <a:moveTo>
                  <a:pt x="5961875" y="414528"/>
                </a:moveTo>
                <a:lnTo>
                  <a:pt x="5202936" y="414528"/>
                </a:lnTo>
                <a:lnTo>
                  <a:pt x="5202936" y="618744"/>
                </a:lnTo>
                <a:lnTo>
                  <a:pt x="5961875" y="618744"/>
                </a:lnTo>
                <a:lnTo>
                  <a:pt x="5961875" y="414528"/>
                </a:lnTo>
                <a:close/>
              </a:path>
              <a:path w="7486015" h="2066925">
                <a:moveTo>
                  <a:pt x="5961875" y="207264"/>
                </a:moveTo>
                <a:lnTo>
                  <a:pt x="5202936" y="207264"/>
                </a:lnTo>
                <a:lnTo>
                  <a:pt x="5202936" y="411480"/>
                </a:lnTo>
                <a:lnTo>
                  <a:pt x="5961875" y="411480"/>
                </a:lnTo>
                <a:lnTo>
                  <a:pt x="5961875" y="207264"/>
                </a:lnTo>
                <a:close/>
              </a:path>
              <a:path w="7486015" h="2066925">
                <a:moveTo>
                  <a:pt x="5961875" y="0"/>
                </a:moveTo>
                <a:lnTo>
                  <a:pt x="5202936" y="0"/>
                </a:lnTo>
                <a:lnTo>
                  <a:pt x="5202936" y="204216"/>
                </a:lnTo>
                <a:lnTo>
                  <a:pt x="5961875" y="204216"/>
                </a:lnTo>
                <a:lnTo>
                  <a:pt x="5961875" y="0"/>
                </a:lnTo>
                <a:close/>
              </a:path>
              <a:path w="7486015" h="2066925">
                <a:moveTo>
                  <a:pt x="6723888" y="1655064"/>
                </a:moveTo>
                <a:lnTo>
                  <a:pt x="5964936" y="1655064"/>
                </a:lnTo>
                <a:lnTo>
                  <a:pt x="5964936" y="1859280"/>
                </a:lnTo>
                <a:lnTo>
                  <a:pt x="6723888" y="1859280"/>
                </a:lnTo>
                <a:lnTo>
                  <a:pt x="6723888" y="1655064"/>
                </a:lnTo>
                <a:close/>
              </a:path>
              <a:path w="7486015" h="2066925">
                <a:moveTo>
                  <a:pt x="6723888" y="1449324"/>
                </a:moveTo>
                <a:lnTo>
                  <a:pt x="5964936" y="1449324"/>
                </a:lnTo>
                <a:lnTo>
                  <a:pt x="5964936" y="1652016"/>
                </a:lnTo>
                <a:lnTo>
                  <a:pt x="6723888" y="1652016"/>
                </a:lnTo>
                <a:lnTo>
                  <a:pt x="6723888" y="1449324"/>
                </a:lnTo>
                <a:close/>
              </a:path>
              <a:path w="7486015" h="2066925">
                <a:moveTo>
                  <a:pt x="6723888" y="1242060"/>
                </a:moveTo>
                <a:lnTo>
                  <a:pt x="5964936" y="1242060"/>
                </a:lnTo>
                <a:lnTo>
                  <a:pt x="5964936" y="1446276"/>
                </a:lnTo>
                <a:lnTo>
                  <a:pt x="6723888" y="1446276"/>
                </a:lnTo>
                <a:lnTo>
                  <a:pt x="6723888" y="1242060"/>
                </a:lnTo>
                <a:close/>
              </a:path>
              <a:path w="7486015" h="2066925">
                <a:moveTo>
                  <a:pt x="6723888" y="1034796"/>
                </a:moveTo>
                <a:lnTo>
                  <a:pt x="5964936" y="1034796"/>
                </a:lnTo>
                <a:lnTo>
                  <a:pt x="5964936" y="1239012"/>
                </a:lnTo>
                <a:lnTo>
                  <a:pt x="6723888" y="1239012"/>
                </a:lnTo>
                <a:lnTo>
                  <a:pt x="6723888" y="1034796"/>
                </a:lnTo>
                <a:close/>
              </a:path>
              <a:path w="7486015" h="2066925">
                <a:moveTo>
                  <a:pt x="6723888" y="827532"/>
                </a:moveTo>
                <a:lnTo>
                  <a:pt x="5964936" y="827532"/>
                </a:lnTo>
                <a:lnTo>
                  <a:pt x="5964936" y="1031748"/>
                </a:lnTo>
                <a:lnTo>
                  <a:pt x="6723888" y="1031748"/>
                </a:lnTo>
                <a:lnTo>
                  <a:pt x="6723888" y="827532"/>
                </a:lnTo>
                <a:close/>
              </a:path>
              <a:path w="7486015" h="2066925">
                <a:moveTo>
                  <a:pt x="6723888" y="621792"/>
                </a:moveTo>
                <a:lnTo>
                  <a:pt x="5964936" y="621792"/>
                </a:lnTo>
                <a:lnTo>
                  <a:pt x="5964936" y="824484"/>
                </a:lnTo>
                <a:lnTo>
                  <a:pt x="6723888" y="824484"/>
                </a:lnTo>
                <a:lnTo>
                  <a:pt x="6723888" y="621792"/>
                </a:lnTo>
                <a:close/>
              </a:path>
              <a:path w="7486015" h="2066925">
                <a:moveTo>
                  <a:pt x="6723888" y="414528"/>
                </a:moveTo>
                <a:lnTo>
                  <a:pt x="5964936" y="414528"/>
                </a:lnTo>
                <a:lnTo>
                  <a:pt x="5964936" y="618744"/>
                </a:lnTo>
                <a:lnTo>
                  <a:pt x="6723888" y="618744"/>
                </a:lnTo>
                <a:lnTo>
                  <a:pt x="6723888" y="414528"/>
                </a:lnTo>
                <a:close/>
              </a:path>
              <a:path w="7486015" h="2066925">
                <a:moveTo>
                  <a:pt x="6723888" y="207264"/>
                </a:moveTo>
                <a:lnTo>
                  <a:pt x="5964936" y="207264"/>
                </a:lnTo>
                <a:lnTo>
                  <a:pt x="5964936" y="411480"/>
                </a:lnTo>
                <a:lnTo>
                  <a:pt x="6723888" y="411480"/>
                </a:lnTo>
                <a:lnTo>
                  <a:pt x="6723888" y="207264"/>
                </a:lnTo>
                <a:close/>
              </a:path>
              <a:path w="7486015" h="2066925">
                <a:moveTo>
                  <a:pt x="6723888" y="0"/>
                </a:moveTo>
                <a:lnTo>
                  <a:pt x="5964936" y="0"/>
                </a:lnTo>
                <a:lnTo>
                  <a:pt x="5964936" y="204216"/>
                </a:lnTo>
                <a:lnTo>
                  <a:pt x="6723888" y="204216"/>
                </a:lnTo>
                <a:lnTo>
                  <a:pt x="6723888" y="0"/>
                </a:lnTo>
                <a:close/>
              </a:path>
              <a:path w="7486015" h="2066925">
                <a:moveTo>
                  <a:pt x="7485888" y="1655064"/>
                </a:moveTo>
                <a:lnTo>
                  <a:pt x="6726936" y="1655064"/>
                </a:lnTo>
                <a:lnTo>
                  <a:pt x="6726936" y="1859280"/>
                </a:lnTo>
                <a:lnTo>
                  <a:pt x="7485888" y="1859280"/>
                </a:lnTo>
                <a:lnTo>
                  <a:pt x="7485888" y="1655064"/>
                </a:lnTo>
                <a:close/>
              </a:path>
              <a:path w="7486015" h="2066925">
                <a:moveTo>
                  <a:pt x="7485888" y="1449324"/>
                </a:moveTo>
                <a:lnTo>
                  <a:pt x="6726936" y="1449324"/>
                </a:lnTo>
                <a:lnTo>
                  <a:pt x="6726936" y="1652016"/>
                </a:lnTo>
                <a:lnTo>
                  <a:pt x="7485888" y="1652016"/>
                </a:lnTo>
                <a:lnTo>
                  <a:pt x="7485888" y="1449324"/>
                </a:lnTo>
                <a:close/>
              </a:path>
              <a:path w="7486015" h="2066925">
                <a:moveTo>
                  <a:pt x="7485888" y="1242060"/>
                </a:moveTo>
                <a:lnTo>
                  <a:pt x="6726936" y="1242060"/>
                </a:lnTo>
                <a:lnTo>
                  <a:pt x="6726936" y="1446276"/>
                </a:lnTo>
                <a:lnTo>
                  <a:pt x="7485888" y="1446276"/>
                </a:lnTo>
                <a:lnTo>
                  <a:pt x="7485888" y="1242060"/>
                </a:lnTo>
                <a:close/>
              </a:path>
              <a:path w="7486015" h="2066925">
                <a:moveTo>
                  <a:pt x="7485888" y="1034796"/>
                </a:moveTo>
                <a:lnTo>
                  <a:pt x="6726936" y="1034796"/>
                </a:lnTo>
                <a:lnTo>
                  <a:pt x="6726936" y="1239012"/>
                </a:lnTo>
                <a:lnTo>
                  <a:pt x="7485888" y="1239012"/>
                </a:lnTo>
                <a:lnTo>
                  <a:pt x="7485888" y="1034796"/>
                </a:lnTo>
                <a:close/>
              </a:path>
              <a:path w="7486015" h="2066925">
                <a:moveTo>
                  <a:pt x="7485888" y="827532"/>
                </a:moveTo>
                <a:lnTo>
                  <a:pt x="6726936" y="827532"/>
                </a:lnTo>
                <a:lnTo>
                  <a:pt x="6726936" y="1031748"/>
                </a:lnTo>
                <a:lnTo>
                  <a:pt x="7485888" y="1031748"/>
                </a:lnTo>
                <a:lnTo>
                  <a:pt x="7485888" y="827532"/>
                </a:lnTo>
                <a:close/>
              </a:path>
              <a:path w="7486015" h="2066925">
                <a:moveTo>
                  <a:pt x="7485888" y="621792"/>
                </a:moveTo>
                <a:lnTo>
                  <a:pt x="6726936" y="621792"/>
                </a:lnTo>
                <a:lnTo>
                  <a:pt x="6726936" y="824484"/>
                </a:lnTo>
                <a:lnTo>
                  <a:pt x="7485888" y="824484"/>
                </a:lnTo>
                <a:lnTo>
                  <a:pt x="7485888" y="621792"/>
                </a:lnTo>
                <a:close/>
              </a:path>
              <a:path w="7486015" h="2066925">
                <a:moveTo>
                  <a:pt x="7485888" y="414528"/>
                </a:moveTo>
                <a:lnTo>
                  <a:pt x="6726936" y="414528"/>
                </a:lnTo>
                <a:lnTo>
                  <a:pt x="6726936" y="618744"/>
                </a:lnTo>
                <a:lnTo>
                  <a:pt x="7485888" y="618744"/>
                </a:lnTo>
                <a:lnTo>
                  <a:pt x="7485888" y="414528"/>
                </a:lnTo>
                <a:close/>
              </a:path>
              <a:path w="7486015" h="2066925">
                <a:moveTo>
                  <a:pt x="7485888" y="207264"/>
                </a:moveTo>
                <a:lnTo>
                  <a:pt x="6726936" y="207264"/>
                </a:lnTo>
                <a:lnTo>
                  <a:pt x="6726936" y="411480"/>
                </a:lnTo>
                <a:lnTo>
                  <a:pt x="7485888" y="411480"/>
                </a:lnTo>
                <a:lnTo>
                  <a:pt x="7485888" y="207264"/>
                </a:lnTo>
                <a:close/>
              </a:path>
              <a:path w="7486015" h="2066925">
                <a:moveTo>
                  <a:pt x="7485888" y="0"/>
                </a:moveTo>
                <a:lnTo>
                  <a:pt x="6726936" y="0"/>
                </a:lnTo>
                <a:lnTo>
                  <a:pt x="6726936" y="204216"/>
                </a:lnTo>
                <a:lnTo>
                  <a:pt x="7485888" y="204216"/>
                </a:lnTo>
                <a:lnTo>
                  <a:pt x="7485888" y="0"/>
                </a:lnTo>
                <a:close/>
              </a:path>
            </a:pathLst>
          </a:custGeom>
          <a:solidFill>
            <a:srgbClr val="FFFFFF"/>
          </a:solidFill>
        </xdr:spPr>
      </xdr:sp>
      <xdr:sp macro="" textlink="">
        <xdr:nvSpPr>
          <xdr:cNvPr id="75" name="Shape 75">
            <a:extLst>
              <a:ext uri="{FF2B5EF4-FFF2-40B4-BE49-F238E27FC236}">
                <a16:creationId xmlns:a16="http://schemas.microsoft.com/office/drawing/2014/main" id="{00000000-0008-0000-0600-00004B000000}"/>
              </a:ext>
            </a:extLst>
          </xdr:cNvPr>
          <xdr:cNvSpPr/>
        </xdr:nvSpPr>
        <xdr:spPr>
          <a:xfrm>
            <a:off x="0" y="1862327"/>
            <a:ext cx="7486015" cy="1033780"/>
          </a:xfrm>
          <a:custGeom>
            <a:avLst/>
            <a:gdLst/>
            <a:ahLst/>
            <a:cxnLst/>
            <a:rect l="0" t="0" r="0" b="0"/>
            <a:pathLst>
              <a:path w="7486015" h="1033780">
                <a:moveTo>
                  <a:pt x="312420" y="620268"/>
                </a:moveTo>
                <a:lnTo>
                  <a:pt x="0" y="620268"/>
                </a:lnTo>
                <a:lnTo>
                  <a:pt x="0" y="1033272"/>
                </a:lnTo>
                <a:lnTo>
                  <a:pt x="312420" y="1033272"/>
                </a:lnTo>
                <a:lnTo>
                  <a:pt x="312420" y="620268"/>
                </a:lnTo>
                <a:close/>
              </a:path>
              <a:path w="7486015" h="1033780">
                <a:moveTo>
                  <a:pt x="312420" y="0"/>
                </a:moveTo>
                <a:lnTo>
                  <a:pt x="0" y="0"/>
                </a:lnTo>
                <a:lnTo>
                  <a:pt x="0" y="617220"/>
                </a:lnTo>
                <a:lnTo>
                  <a:pt x="312420" y="617220"/>
                </a:lnTo>
                <a:lnTo>
                  <a:pt x="312420" y="0"/>
                </a:lnTo>
                <a:close/>
              </a:path>
              <a:path w="7486015" h="1033780">
                <a:moveTo>
                  <a:pt x="1264920" y="620268"/>
                </a:moveTo>
                <a:lnTo>
                  <a:pt x="315468" y="620268"/>
                </a:lnTo>
                <a:lnTo>
                  <a:pt x="315468" y="1033272"/>
                </a:lnTo>
                <a:lnTo>
                  <a:pt x="1264920" y="1033272"/>
                </a:lnTo>
                <a:lnTo>
                  <a:pt x="1264920" y="620268"/>
                </a:lnTo>
                <a:close/>
              </a:path>
              <a:path w="7486015" h="1033780">
                <a:moveTo>
                  <a:pt x="1264920" y="0"/>
                </a:moveTo>
                <a:lnTo>
                  <a:pt x="315468" y="0"/>
                </a:lnTo>
                <a:lnTo>
                  <a:pt x="315468" y="617220"/>
                </a:lnTo>
                <a:lnTo>
                  <a:pt x="1264920" y="617220"/>
                </a:lnTo>
                <a:lnTo>
                  <a:pt x="1264920" y="0"/>
                </a:lnTo>
                <a:close/>
              </a:path>
              <a:path w="7486015" h="1033780">
                <a:moveTo>
                  <a:pt x="2531364" y="620268"/>
                </a:moveTo>
                <a:lnTo>
                  <a:pt x="1267968" y="620268"/>
                </a:lnTo>
                <a:lnTo>
                  <a:pt x="1267968" y="1033272"/>
                </a:lnTo>
                <a:lnTo>
                  <a:pt x="2531364" y="1033272"/>
                </a:lnTo>
                <a:lnTo>
                  <a:pt x="2531364" y="620268"/>
                </a:lnTo>
                <a:close/>
              </a:path>
              <a:path w="7486015" h="1033780">
                <a:moveTo>
                  <a:pt x="2531364" y="0"/>
                </a:moveTo>
                <a:lnTo>
                  <a:pt x="1267968" y="0"/>
                </a:lnTo>
                <a:lnTo>
                  <a:pt x="1267968" y="617220"/>
                </a:lnTo>
                <a:lnTo>
                  <a:pt x="2531364" y="617220"/>
                </a:lnTo>
                <a:lnTo>
                  <a:pt x="2531364" y="0"/>
                </a:lnTo>
                <a:close/>
              </a:path>
              <a:path w="7486015" h="1033780">
                <a:moveTo>
                  <a:pt x="3037332" y="620268"/>
                </a:moveTo>
                <a:lnTo>
                  <a:pt x="2534412" y="620268"/>
                </a:lnTo>
                <a:lnTo>
                  <a:pt x="2534412" y="1033272"/>
                </a:lnTo>
                <a:lnTo>
                  <a:pt x="3037332" y="1033272"/>
                </a:lnTo>
                <a:lnTo>
                  <a:pt x="3037332" y="620268"/>
                </a:lnTo>
                <a:close/>
              </a:path>
              <a:path w="7486015" h="1033780">
                <a:moveTo>
                  <a:pt x="3037332" y="414528"/>
                </a:moveTo>
                <a:lnTo>
                  <a:pt x="2534412" y="414528"/>
                </a:lnTo>
                <a:lnTo>
                  <a:pt x="2534412" y="617220"/>
                </a:lnTo>
                <a:lnTo>
                  <a:pt x="3037332" y="617220"/>
                </a:lnTo>
                <a:lnTo>
                  <a:pt x="3037332" y="414528"/>
                </a:lnTo>
                <a:close/>
              </a:path>
              <a:path w="7486015" h="1033780">
                <a:moveTo>
                  <a:pt x="3037332" y="207264"/>
                </a:moveTo>
                <a:lnTo>
                  <a:pt x="2534412" y="207264"/>
                </a:lnTo>
                <a:lnTo>
                  <a:pt x="2534412" y="411480"/>
                </a:lnTo>
                <a:lnTo>
                  <a:pt x="3037332" y="411480"/>
                </a:lnTo>
                <a:lnTo>
                  <a:pt x="3037332" y="207264"/>
                </a:lnTo>
                <a:close/>
              </a:path>
              <a:path w="7486015" h="1033780">
                <a:moveTo>
                  <a:pt x="3674364" y="620268"/>
                </a:moveTo>
                <a:lnTo>
                  <a:pt x="3040380" y="620268"/>
                </a:lnTo>
                <a:lnTo>
                  <a:pt x="3040380" y="1033272"/>
                </a:lnTo>
                <a:lnTo>
                  <a:pt x="3674364" y="1033272"/>
                </a:lnTo>
                <a:lnTo>
                  <a:pt x="3674364" y="620268"/>
                </a:lnTo>
                <a:close/>
              </a:path>
              <a:path w="7486015" h="1033780">
                <a:moveTo>
                  <a:pt x="3674364" y="414528"/>
                </a:moveTo>
                <a:lnTo>
                  <a:pt x="3040380" y="414528"/>
                </a:lnTo>
                <a:lnTo>
                  <a:pt x="3040380" y="617220"/>
                </a:lnTo>
                <a:lnTo>
                  <a:pt x="3674364" y="617220"/>
                </a:lnTo>
                <a:lnTo>
                  <a:pt x="3674364" y="414528"/>
                </a:lnTo>
                <a:close/>
              </a:path>
              <a:path w="7486015" h="1033780">
                <a:moveTo>
                  <a:pt x="3674364" y="207264"/>
                </a:moveTo>
                <a:lnTo>
                  <a:pt x="3040380" y="207264"/>
                </a:lnTo>
                <a:lnTo>
                  <a:pt x="3040380" y="411480"/>
                </a:lnTo>
                <a:lnTo>
                  <a:pt x="3674364" y="411480"/>
                </a:lnTo>
                <a:lnTo>
                  <a:pt x="3674364" y="207264"/>
                </a:lnTo>
                <a:close/>
              </a:path>
              <a:path w="7486015" h="1033780">
                <a:moveTo>
                  <a:pt x="3674364" y="0"/>
                </a:moveTo>
                <a:lnTo>
                  <a:pt x="3040380" y="0"/>
                </a:lnTo>
                <a:lnTo>
                  <a:pt x="3040380" y="204216"/>
                </a:lnTo>
                <a:lnTo>
                  <a:pt x="3674364" y="204216"/>
                </a:lnTo>
                <a:lnTo>
                  <a:pt x="3674364" y="0"/>
                </a:lnTo>
                <a:close/>
              </a:path>
              <a:path w="7486015" h="1033780">
                <a:moveTo>
                  <a:pt x="4437888" y="620268"/>
                </a:moveTo>
                <a:lnTo>
                  <a:pt x="3677412" y="620268"/>
                </a:lnTo>
                <a:lnTo>
                  <a:pt x="3677412" y="1033272"/>
                </a:lnTo>
                <a:lnTo>
                  <a:pt x="4437888" y="1033272"/>
                </a:lnTo>
                <a:lnTo>
                  <a:pt x="4437888" y="620268"/>
                </a:lnTo>
                <a:close/>
              </a:path>
              <a:path w="7486015" h="1033780">
                <a:moveTo>
                  <a:pt x="4437888" y="414528"/>
                </a:moveTo>
                <a:lnTo>
                  <a:pt x="3677412" y="414528"/>
                </a:lnTo>
                <a:lnTo>
                  <a:pt x="3677412" y="617220"/>
                </a:lnTo>
                <a:lnTo>
                  <a:pt x="4437888" y="617220"/>
                </a:lnTo>
                <a:lnTo>
                  <a:pt x="4437888" y="414528"/>
                </a:lnTo>
                <a:close/>
              </a:path>
              <a:path w="7486015" h="1033780">
                <a:moveTo>
                  <a:pt x="4437888" y="207264"/>
                </a:moveTo>
                <a:lnTo>
                  <a:pt x="3677412" y="207264"/>
                </a:lnTo>
                <a:lnTo>
                  <a:pt x="3677412" y="411480"/>
                </a:lnTo>
                <a:lnTo>
                  <a:pt x="4437888" y="411480"/>
                </a:lnTo>
                <a:lnTo>
                  <a:pt x="4437888" y="207264"/>
                </a:lnTo>
                <a:close/>
              </a:path>
              <a:path w="7486015" h="1033780">
                <a:moveTo>
                  <a:pt x="4437888" y="0"/>
                </a:moveTo>
                <a:lnTo>
                  <a:pt x="3677412" y="0"/>
                </a:lnTo>
                <a:lnTo>
                  <a:pt x="3677412" y="204216"/>
                </a:lnTo>
                <a:lnTo>
                  <a:pt x="4437888" y="204216"/>
                </a:lnTo>
                <a:lnTo>
                  <a:pt x="4437888" y="0"/>
                </a:lnTo>
                <a:close/>
              </a:path>
              <a:path w="7486015" h="1033780">
                <a:moveTo>
                  <a:pt x="5199888" y="620268"/>
                </a:moveTo>
                <a:lnTo>
                  <a:pt x="4440936" y="620268"/>
                </a:lnTo>
                <a:lnTo>
                  <a:pt x="4440936" y="1033272"/>
                </a:lnTo>
                <a:lnTo>
                  <a:pt x="5199888" y="1033272"/>
                </a:lnTo>
                <a:lnTo>
                  <a:pt x="5199888" y="620268"/>
                </a:lnTo>
                <a:close/>
              </a:path>
              <a:path w="7486015" h="1033780">
                <a:moveTo>
                  <a:pt x="5199888" y="414528"/>
                </a:moveTo>
                <a:lnTo>
                  <a:pt x="4440936" y="414528"/>
                </a:lnTo>
                <a:lnTo>
                  <a:pt x="4440936" y="617220"/>
                </a:lnTo>
                <a:lnTo>
                  <a:pt x="5199888" y="617220"/>
                </a:lnTo>
                <a:lnTo>
                  <a:pt x="5199888" y="414528"/>
                </a:lnTo>
                <a:close/>
              </a:path>
              <a:path w="7486015" h="1033780">
                <a:moveTo>
                  <a:pt x="5199888" y="207264"/>
                </a:moveTo>
                <a:lnTo>
                  <a:pt x="4440936" y="207264"/>
                </a:lnTo>
                <a:lnTo>
                  <a:pt x="4440936" y="411480"/>
                </a:lnTo>
                <a:lnTo>
                  <a:pt x="5199888" y="411480"/>
                </a:lnTo>
                <a:lnTo>
                  <a:pt x="5199888" y="207264"/>
                </a:lnTo>
                <a:close/>
              </a:path>
              <a:path w="7486015" h="1033780">
                <a:moveTo>
                  <a:pt x="5199888" y="0"/>
                </a:moveTo>
                <a:lnTo>
                  <a:pt x="4440936" y="0"/>
                </a:lnTo>
                <a:lnTo>
                  <a:pt x="4440936" y="204216"/>
                </a:lnTo>
                <a:lnTo>
                  <a:pt x="5199888" y="204216"/>
                </a:lnTo>
                <a:lnTo>
                  <a:pt x="5199888" y="0"/>
                </a:lnTo>
                <a:close/>
              </a:path>
              <a:path w="7486015" h="1033780">
                <a:moveTo>
                  <a:pt x="5961875" y="620268"/>
                </a:moveTo>
                <a:lnTo>
                  <a:pt x="5202936" y="620268"/>
                </a:lnTo>
                <a:lnTo>
                  <a:pt x="5202936" y="1033272"/>
                </a:lnTo>
                <a:lnTo>
                  <a:pt x="5961875" y="1033272"/>
                </a:lnTo>
                <a:lnTo>
                  <a:pt x="5961875" y="620268"/>
                </a:lnTo>
                <a:close/>
              </a:path>
              <a:path w="7486015" h="1033780">
                <a:moveTo>
                  <a:pt x="5961875" y="414528"/>
                </a:moveTo>
                <a:lnTo>
                  <a:pt x="5202936" y="414528"/>
                </a:lnTo>
                <a:lnTo>
                  <a:pt x="5202936" y="617220"/>
                </a:lnTo>
                <a:lnTo>
                  <a:pt x="5961875" y="617220"/>
                </a:lnTo>
                <a:lnTo>
                  <a:pt x="5961875" y="414528"/>
                </a:lnTo>
                <a:close/>
              </a:path>
              <a:path w="7486015" h="1033780">
                <a:moveTo>
                  <a:pt x="5961875" y="207264"/>
                </a:moveTo>
                <a:lnTo>
                  <a:pt x="5202936" y="207264"/>
                </a:lnTo>
                <a:lnTo>
                  <a:pt x="5202936" y="411480"/>
                </a:lnTo>
                <a:lnTo>
                  <a:pt x="5961875" y="411480"/>
                </a:lnTo>
                <a:lnTo>
                  <a:pt x="5961875" y="207264"/>
                </a:lnTo>
                <a:close/>
              </a:path>
              <a:path w="7486015" h="1033780">
                <a:moveTo>
                  <a:pt x="5961875" y="0"/>
                </a:moveTo>
                <a:lnTo>
                  <a:pt x="5202936" y="0"/>
                </a:lnTo>
                <a:lnTo>
                  <a:pt x="5202936" y="204216"/>
                </a:lnTo>
                <a:lnTo>
                  <a:pt x="5961875" y="204216"/>
                </a:lnTo>
                <a:lnTo>
                  <a:pt x="5961875" y="0"/>
                </a:lnTo>
                <a:close/>
              </a:path>
              <a:path w="7486015" h="1033780">
                <a:moveTo>
                  <a:pt x="6723888" y="620268"/>
                </a:moveTo>
                <a:lnTo>
                  <a:pt x="5964936" y="620268"/>
                </a:lnTo>
                <a:lnTo>
                  <a:pt x="5964936" y="1033272"/>
                </a:lnTo>
                <a:lnTo>
                  <a:pt x="6723888" y="1033272"/>
                </a:lnTo>
                <a:lnTo>
                  <a:pt x="6723888" y="620268"/>
                </a:lnTo>
                <a:close/>
              </a:path>
              <a:path w="7486015" h="1033780">
                <a:moveTo>
                  <a:pt x="6723888" y="414528"/>
                </a:moveTo>
                <a:lnTo>
                  <a:pt x="5964936" y="414528"/>
                </a:lnTo>
                <a:lnTo>
                  <a:pt x="5964936" y="617220"/>
                </a:lnTo>
                <a:lnTo>
                  <a:pt x="6723888" y="617220"/>
                </a:lnTo>
                <a:lnTo>
                  <a:pt x="6723888" y="414528"/>
                </a:lnTo>
                <a:close/>
              </a:path>
              <a:path w="7486015" h="1033780">
                <a:moveTo>
                  <a:pt x="6723888" y="207264"/>
                </a:moveTo>
                <a:lnTo>
                  <a:pt x="5964936" y="207264"/>
                </a:lnTo>
                <a:lnTo>
                  <a:pt x="5964936" y="411480"/>
                </a:lnTo>
                <a:lnTo>
                  <a:pt x="6723888" y="411480"/>
                </a:lnTo>
                <a:lnTo>
                  <a:pt x="6723888" y="207264"/>
                </a:lnTo>
                <a:close/>
              </a:path>
              <a:path w="7486015" h="1033780">
                <a:moveTo>
                  <a:pt x="6723888" y="0"/>
                </a:moveTo>
                <a:lnTo>
                  <a:pt x="5964936" y="0"/>
                </a:lnTo>
                <a:lnTo>
                  <a:pt x="5964936" y="204216"/>
                </a:lnTo>
                <a:lnTo>
                  <a:pt x="6723888" y="204216"/>
                </a:lnTo>
                <a:lnTo>
                  <a:pt x="6723888" y="0"/>
                </a:lnTo>
                <a:close/>
              </a:path>
              <a:path w="7486015" h="1033780">
                <a:moveTo>
                  <a:pt x="7485888" y="620268"/>
                </a:moveTo>
                <a:lnTo>
                  <a:pt x="6726936" y="620268"/>
                </a:lnTo>
                <a:lnTo>
                  <a:pt x="6726936" y="1033272"/>
                </a:lnTo>
                <a:lnTo>
                  <a:pt x="7485888" y="1033272"/>
                </a:lnTo>
                <a:lnTo>
                  <a:pt x="7485888" y="620268"/>
                </a:lnTo>
                <a:close/>
              </a:path>
              <a:path w="7486015" h="1033780">
                <a:moveTo>
                  <a:pt x="7485888" y="414528"/>
                </a:moveTo>
                <a:lnTo>
                  <a:pt x="6726936" y="414528"/>
                </a:lnTo>
                <a:lnTo>
                  <a:pt x="6726936" y="617220"/>
                </a:lnTo>
                <a:lnTo>
                  <a:pt x="7485888" y="617220"/>
                </a:lnTo>
                <a:lnTo>
                  <a:pt x="7485888" y="414528"/>
                </a:lnTo>
                <a:close/>
              </a:path>
              <a:path w="7486015" h="1033780">
                <a:moveTo>
                  <a:pt x="7485888" y="207264"/>
                </a:moveTo>
                <a:lnTo>
                  <a:pt x="6726936" y="207264"/>
                </a:lnTo>
                <a:lnTo>
                  <a:pt x="6726936" y="411480"/>
                </a:lnTo>
                <a:lnTo>
                  <a:pt x="7485888" y="411480"/>
                </a:lnTo>
                <a:lnTo>
                  <a:pt x="7485888" y="207264"/>
                </a:lnTo>
                <a:close/>
              </a:path>
              <a:path w="7486015" h="1033780">
                <a:moveTo>
                  <a:pt x="7485888" y="0"/>
                </a:moveTo>
                <a:lnTo>
                  <a:pt x="6726936" y="0"/>
                </a:lnTo>
                <a:lnTo>
                  <a:pt x="6726936" y="204216"/>
                </a:lnTo>
                <a:lnTo>
                  <a:pt x="7485888" y="204216"/>
                </a:lnTo>
                <a:lnTo>
                  <a:pt x="7485888" y="0"/>
                </a:lnTo>
                <a:close/>
              </a:path>
            </a:pathLst>
          </a:custGeom>
          <a:solidFill>
            <a:srgbClr val="FFFFFF"/>
          </a:solidFill>
        </xdr:spPr>
      </xdr:sp>
    </xdr:grpSp>
    <xdr:clientData/>
  </xdr:oneCellAnchor>
  <xdr:oneCellAnchor>
    <xdr:from>
      <xdr:col>11</xdr:col>
      <xdr:colOff>546481</xdr:colOff>
      <xdr:row>19</xdr:row>
      <xdr:rowOff>0</xdr:rowOff>
    </xdr:from>
    <xdr:ext cx="645160" cy="2895600"/>
    <xdr:sp macro="" textlink="">
      <xdr:nvSpPr>
        <xdr:cNvPr id="76" name="Shape 76">
          <a:extLst>
            <a:ext uri="{FF2B5EF4-FFF2-40B4-BE49-F238E27FC236}">
              <a16:creationId xmlns:a16="http://schemas.microsoft.com/office/drawing/2014/main" id="{00000000-0008-0000-0600-00004C000000}"/>
            </a:ext>
          </a:extLst>
        </xdr:cNvPr>
        <xdr:cNvSpPr/>
      </xdr:nvSpPr>
      <xdr:spPr>
        <a:xfrm>
          <a:off x="0" y="0"/>
          <a:ext cx="645160" cy="2895600"/>
        </a:xfrm>
        <a:custGeom>
          <a:avLst/>
          <a:gdLst/>
          <a:ahLst/>
          <a:cxnLst/>
          <a:rect l="0" t="0" r="0" b="0"/>
          <a:pathLst>
            <a:path w="645160" h="2895600">
              <a:moveTo>
                <a:pt x="644652" y="2482596"/>
              </a:moveTo>
              <a:lnTo>
                <a:pt x="0" y="2482596"/>
              </a:lnTo>
              <a:lnTo>
                <a:pt x="0" y="2895600"/>
              </a:lnTo>
              <a:lnTo>
                <a:pt x="644652" y="2895600"/>
              </a:lnTo>
              <a:lnTo>
                <a:pt x="644652" y="2482596"/>
              </a:lnTo>
              <a:close/>
            </a:path>
            <a:path w="645160" h="2895600">
              <a:moveTo>
                <a:pt x="644652" y="2276856"/>
              </a:moveTo>
              <a:lnTo>
                <a:pt x="0" y="2276856"/>
              </a:lnTo>
              <a:lnTo>
                <a:pt x="0" y="2479548"/>
              </a:lnTo>
              <a:lnTo>
                <a:pt x="644652" y="2479548"/>
              </a:lnTo>
              <a:lnTo>
                <a:pt x="644652" y="2276856"/>
              </a:lnTo>
              <a:close/>
            </a:path>
            <a:path w="645160" h="2895600">
              <a:moveTo>
                <a:pt x="644652" y="2069592"/>
              </a:moveTo>
              <a:lnTo>
                <a:pt x="0" y="2069592"/>
              </a:lnTo>
              <a:lnTo>
                <a:pt x="0" y="2273808"/>
              </a:lnTo>
              <a:lnTo>
                <a:pt x="644652" y="2273808"/>
              </a:lnTo>
              <a:lnTo>
                <a:pt x="644652" y="2069592"/>
              </a:lnTo>
              <a:close/>
            </a:path>
            <a:path w="645160" h="2895600">
              <a:moveTo>
                <a:pt x="644652" y="1862328"/>
              </a:moveTo>
              <a:lnTo>
                <a:pt x="0" y="1862328"/>
              </a:lnTo>
              <a:lnTo>
                <a:pt x="0" y="2066544"/>
              </a:lnTo>
              <a:lnTo>
                <a:pt x="644652" y="2066544"/>
              </a:lnTo>
              <a:lnTo>
                <a:pt x="644652" y="1862328"/>
              </a:lnTo>
              <a:close/>
            </a:path>
            <a:path w="645160" h="2895600">
              <a:moveTo>
                <a:pt x="644652" y="1655064"/>
              </a:moveTo>
              <a:lnTo>
                <a:pt x="0" y="1655064"/>
              </a:lnTo>
              <a:lnTo>
                <a:pt x="0" y="1859280"/>
              </a:lnTo>
              <a:lnTo>
                <a:pt x="644652" y="1859280"/>
              </a:lnTo>
              <a:lnTo>
                <a:pt x="644652" y="1655064"/>
              </a:lnTo>
              <a:close/>
            </a:path>
            <a:path w="645160" h="2895600">
              <a:moveTo>
                <a:pt x="644652" y="1449324"/>
              </a:moveTo>
              <a:lnTo>
                <a:pt x="0" y="1449324"/>
              </a:lnTo>
              <a:lnTo>
                <a:pt x="0" y="1652016"/>
              </a:lnTo>
              <a:lnTo>
                <a:pt x="644652" y="1652016"/>
              </a:lnTo>
              <a:lnTo>
                <a:pt x="644652" y="1449324"/>
              </a:lnTo>
              <a:close/>
            </a:path>
            <a:path w="645160" h="2895600">
              <a:moveTo>
                <a:pt x="644652" y="1242060"/>
              </a:moveTo>
              <a:lnTo>
                <a:pt x="0" y="1242060"/>
              </a:lnTo>
              <a:lnTo>
                <a:pt x="0" y="1446276"/>
              </a:lnTo>
              <a:lnTo>
                <a:pt x="644652" y="1446276"/>
              </a:lnTo>
              <a:lnTo>
                <a:pt x="644652" y="1242060"/>
              </a:lnTo>
              <a:close/>
            </a:path>
            <a:path w="645160" h="2895600">
              <a:moveTo>
                <a:pt x="644652" y="1034796"/>
              </a:moveTo>
              <a:lnTo>
                <a:pt x="0" y="1034796"/>
              </a:lnTo>
              <a:lnTo>
                <a:pt x="0" y="1239012"/>
              </a:lnTo>
              <a:lnTo>
                <a:pt x="644652" y="1239012"/>
              </a:lnTo>
              <a:lnTo>
                <a:pt x="644652" y="1034796"/>
              </a:lnTo>
              <a:close/>
            </a:path>
            <a:path w="645160" h="2895600">
              <a:moveTo>
                <a:pt x="644652" y="827532"/>
              </a:moveTo>
              <a:lnTo>
                <a:pt x="0" y="827532"/>
              </a:lnTo>
              <a:lnTo>
                <a:pt x="0" y="1031748"/>
              </a:lnTo>
              <a:lnTo>
                <a:pt x="644652" y="1031748"/>
              </a:lnTo>
              <a:lnTo>
                <a:pt x="644652" y="827532"/>
              </a:lnTo>
              <a:close/>
            </a:path>
            <a:path w="645160" h="2895600">
              <a:moveTo>
                <a:pt x="644652" y="621792"/>
              </a:moveTo>
              <a:lnTo>
                <a:pt x="0" y="621792"/>
              </a:lnTo>
              <a:lnTo>
                <a:pt x="0" y="824484"/>
              </a:lnTo>
              <a:lnTo>
                <a:pt x="644652" y="824484"/>
              </a:lnTo>
              <a:lnTo>
                <a:pt x="644652" y="621792"/>
              </a:lnTo>
              <a:close/>
            </a:path>
            <a:path w="645160" h="2895600">
              <a:moveTo>
                <a:pt x="644652" y="414528"/>
              </a:moveTo>
              <a:lnTo>
                <a:pt x="0" y="414528"/>
              </a:lnTo>
              <a:lnTo>
                <a:pt x="0" y="618744"/>
              </a:lnTo>
              <a:lnTo>
                <a:pt x="644652" y="618744"/>
              </a:lnTo>
              <a:lnTo>
                <a:pt x="644652" y="414528"/>
              </a:lnTo>
              <a:close/>
            </a:path>
            <a:path w="645160" h="2895600">
              <a:moveTo>
                <a:pt x="644652" y="207264"/>
              </a:moveTo>
              <a:lnTo>
                <a:pt x="0" y="207264"/>
              </a:lnTo>
              <a:lnTo>
                <a:pt x="0" y="411480"/>
              </a:lnTo>
              <a:lnTo>
                <a:pt x="644652" y="411480"/>
              </a:lnTo>
              <a:lnTo>
                <a:pt x="644652" y="207264"/>
              </a:lnTo>
              <a:close/>
            </a:path>
            <a:path w="645160" h="2895600">
              <a:moveTo>
                <a:pt x="644652" y="0"/>
              </a:moveTo>
              <a:lnTo>
                <a:pt x="0" y="0"/>
              </a:lnTo>
              <a:lnTo>
                <a:pt x="0" y="204216"/>
              </a:lnTo>
              <a:lnTo>
                <a:pt x="644652" y="204216"/>
              </a:lnTo>
              <a:lnTo>
                <a:pt x="644652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543687</xdr:colOff>
      <xdr:row>19</xdr:row>
      <xdr:rowOff>206501</xdr:rowOff>
    </xdr:from>
    <xdr:ext cx="3808729" cy="480059"/>
    <xdr:sp macro="" textlink="">
      <xdr:nvSpPr>
        <xdr:cNvPr id="77" name="Shape 77">
          <a:extLst>
            <a:ext uri="{FF2B5EF4-FFF2-40B4-BE49-F238E27FC236}">
              <a16:creationId xmlns:a16="http://schemas.microsoft.com/office/drawing/2014/main" id="{00000000-0008-0000-0700-00004D000000}"/>
            </a:ext>
          </a:extLst>
        </xdr:cNvPr>
        <xdr:cNvSpPr/>
      </xdr:nvSpPr>
      <xdr:spPr>
        <a:xfrm>
          <a:off x="0" y="0"/>
          <a:ext cx="3808729" cy="480059"/>
        </a:xfrm>
        <a:custGeom>
          <a:avLst/>
          <a:gdLst/>
          <a:ahLst/>
          <a:cxnLst/>
          <a:rect l="0" t="0" r="0" b="0"/>
          <a:pathLst>
            <a:path w="3808729" h="480059">
              <a:moveTo>
                <a:pt x="760476" y="0"/>
              </a:moveTo>
              <a:lnTo>
                <a:pt x="0" y="0"/>
              </a:lnTo>
              <a:lnTo>
                <a:pt x="0" y="480060"/>
              </a:lnTo>
              <a:lnTo>
                <a:pt x="760476" y="480060"/>
              </a:lnTo>
              <a:lnTo>
                <a:pt x="760476" y="0"/>
              </a:lnTo>
              <a:close/>
            </a:path>
            <a:path w="3808729" h="480059">
              <a:moveTo>
                <a:pt x="1522476" y="0"/>
              </a:moveTo>
              <a:lnTo>
                <a:pt x="763524" y="0"/>
              </a:lnTo>
              <a:lnTo>
                <a:pt x="763524" y="480060"/>
              </a:lnTo>
              <a:lnTo>
                <a:pt x="1522476" y="480060"/>
              </a:lnTo>
              <a:lnTo>
                <a:pt x="1522476" y="0"/>
              </a:lnTo>
              <a:close/>
            </a:path>
            <a:path w="3808729" h="480059">
              <a:moveTo>
                <a:pt x="2284463" y="0"/>
              </a:moveTo>
              <a:lnTo>
                <a:pt x="1525524" y="0"/>
              </a:lnTo>
              <a:lnTo>
                <a:pt x="1525524" y="480060"/>
              </a:lnTo>
              <a:lnTo>
                <a:pt x="2284463" y="480060"/>
              </a:lnTo>
              <a:lnTo>
                <a:pt x="2284463" y="0"/>
              </a:lnTo>
              <a:close/>
            </a:path>
            <a:path w="3808729" h="480059">
              <a:moveTo>
                <a:pt x="3046476" y="0"/>
              </a:moveTo>
              <a:lnTo>
                <a:pt x="2287524" y="0"/>
              </a:lnTo>
              <a:lnTo>
                <a:pt x="2287524" y="480060"/>
              </a:lnTo>
              <a:lnTo>
                <a:pt x="3046476" y="480060"/>
              </a:lnTo>
              <a:lnTo>
                <a:pt x="3046476" y="0"/>
              </a:lnTo>
              <a:close/>
            </a:path>
            <a:path w="3808729" h="480059">
              <a:moveTo>
                <a:pt x="3808476" y="0"/>
              </a:moveTo>
              <a:lnTo>
                <a:pt x="3049524" y="0"/>
              </a:lnTo>
              <a:lnTo>
                <a:pt x="3049524" y="480060"/>
              </a:lnTo>
              <a:lnTo>
                <a:pt x="3808476" y="480060"/>
              </a:lnTo>
              <a:lnTo>
                <a:pt x="3808476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5</xdr:col>
      <xdr:colOff>299453</xdr:colOff>
      <xdr:row>3</xdr:row>
      <xdr:rowOff>49142</xdr:rowOff>
    </xdr:from>
    <xdr:ext cx="193523" cy="290285"/>
    <xdr:pic>
      <xdr:nvPicPr>
        <xdr:cNvPr id="78" name="image1.jpeg">
          <a:extLst>
            <a:ext uri="{FF2B5EF4-FFF2-40B4-BE49-F238E27FC236}">
              <a16:creationId xmlns:a16="http://schemas.microsoft.com/office/drawing/2014/main" id="{00000000-0008-0000-0700-00004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93523" cy="290285"/>
        </a:xfrm>
        <a:prstGeom prst="rect">
          <a:avLst/>
        </a:prstGeom>
      </xdr:spPr>
    </xdr:pic>
    <xdr:clientData/>
  </xdr:oneCellAnchor>
  <xdr:oneCellAnchor>
    <xdr:from>
      <xdr:col>6</xdr:col>
      <xdr:colOff>201929</xdr:colOff>
      <xdr:row>3</xdr:row>
      <xdr:rowOff>761</xdr:rowOff>
    </xdr:from>
    <xdr:ext cx="381000" cy="381000"/>
    <xdr:pic>
      <xdr:nvPicPr>
        <xdr:cNvPr id="79" name="image2.jpeg">
          <a:extLst>
            <a:ext uri="{FF2B5EF4-FFF2-40B4-BE49-F238E27FC236}">
              <a16:creationId xmlns:a16="http://schemas.microsoft.com/office/drawing/2014/main" id="{00000000-0008-0000-0700-00004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81000" cy="381000"/>
        </a:xfrm>
        <a:prstGeom prst="rect">
          <a:avLst/>
        </a:prstGeom>
      </xdr:spPr>
    </xdr:pic>
    <xdr:clientData/>
  </xdr:oneCellAnchor>
  <xdr:oneCellAnchor>
    <xdr:from>
      <xdr:col>7</xdr:col>
      <xdr:colOff>201930</xdr:colOff>
      <xdr:row>3</xdr:row>
      <xdr:rowOff>761</xdr:rowOff>
    </xdr:from>
    <xdr:ext cx="381000" cy="381000"/>
    <xdr:pic>
      <xdr:nvPicPr>
        <xdr:cNvPr id="80" name="image3.jpeg">
          <a:extLst>
            <a:ext uri="{FF2B5EF4-FFF2-40B4-BE49-F238E27FC236}">
              <a16:creationId xmlns:a16="http://schemas.microsoft.com/office/drawing/2014/main" id="{00000000-0008-0000-0700-00005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81000" cy="381000"/>
        </a:xfrm>
        <a:prstGeom prst="rect">
          <a:avLst/>
        </a:prstGeom>
      </xdr:spPr>
    </xdr:pic>
    <xdr:clientData/>
  </xdr:oneCellAnchor>
  <xdr:oneCellAnchor>
    <xdr:from>
      <xdr:col>8</xdr:col>
      <xdr:colOff>201929</xdr:colOff>
      <xdr:row>3</xdr:row>
      <xdr:rowOff>49142</xdr:rowOff>
    </xdr:from>
    <xdr:ext cx="381000" cy="290285"/>
    <xdr:pic>
      <xdr:nvPicPr>
        <xdr:cNvPr id="81" name="image4.jpeg">
          <a:extLst>
            <a:ext uri="{FF2B5EF4-FFF2-40B4-BE49-F238E27FC236}">
              <a16:creationId xmlns:a16="http://schemas.microsoft.com/office/drawing/2014/main" id="{00000000-0008-0000-0700-00005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81000" cy="290285"/>
        </a:xfrm>
        <a:prstGeom prst="rect">
          <a:avLst/>
        </a:prstGeom>
      </xdr:spPr>
    </xdr:pic>
    <xdr:clientData/>
  </xdr:oneCellAnchor>
  <xdr:oneCellAnchor>
    <xdr:from>
      <xdr:col>9</xdr:col>
      <xdr:colOff>201929</xdr:colOff>
      <xdr:row>3</xdr:row>
      <xdr:rowOff>49142</xdr:rowOff>
    </xdr:from>
    <xdr:ext cx="381000" cy="290285"/>
    <xdr:pic>
      <xdr:nvPicPr>
        <xdr:cNvPr id="82" name="image5.jpeg">
          <a:extLst>
            <a:ext uri="{FF2B5EF4-FFF2-40B4-BE49-F238E27FC236}">
              <a16:creationId xmlns:a16="http://schemas.microsoft.com/office/drawing/2014/main" id="{00000000-0008-0000-0700-00005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81000" cy="290285"/>
        </a:xfrm>
        <a:prstGeom prst="rect">
          <a:avLst/>
        </a:prstGeom>
      </xdr:spPr>
    </xdr:pic>
    <xdr:clientData/>
  </xdr:oneCellAnchor>
  <xdr:oneCellAnchor>
    <xdr:from>
      <xdr:col>1</xdr:col>
      <xdr:colOff>226059</xdr:colOff>
      <xdr:row>21</xdr:row>
      <xdr:rowOff>0</xdr:rowOff>
    </xdr:from>
    <xdr:ext cx="7486015" cy="3632200"/>
    <xdr:grpSp>
      <xdr:nvGrpSpPr>
        <xdr:cNvPr id="83" name="Group 83">
          <a:extLst>
            <a:ext uri="{FF2B5EF4-FFF2-40B4-BE49-F238E27FC236}">
              <a16:creationId xmlns:a16="http://schemas.microsoft.com/office/drawing/2014/main" id="{00000000-0008-0000-0700-000053000000}"/>
            </a:ext>
          </a:extLst>
        </xdr:cNvPr>
        <xdr:cNvGrpSpPr/>
      </xdr:nvGrpSpPr>
      <xdr:grpSpPr>
        <a:xfrm>
          <a:off x="607059" y="5715000"/>
          <a:ext cx="7486015" cy="3632200"/>
          <a:chOff x="0" y="0"/>
          <a:chExt cx="7486015" cy="3632200"/>
        </a:xfrm>
      </xdr:grpSpPr>
      <xdr:sp macro="" textlink="">
        <xdr:nvSpPr>
          <xdr:cNvPr id="84" name="Shape 84">
            <a:extLst>
              <a:ext uri="{FF2B5EF4-FFF2-40B4-BE49-F238E27FC236}">
                <a16:creationId xmlns:a16="http://schemas.microsoft.com/office/drawing/2014/main" id="{00000000-0008-0000-0700-000054000000}"/>
              </a:ext>
            </a:extLst>
          </xdr:cNvPr>
          <xdr:cNvSpPr/>
        </xdr:nvSpPr>
        <xdr:spPr>
          <a:xfrm>
            <a:off x="0" y="0"/>
            <a:ext cx="7486015" cy="2066925"/>
          </a:xfrm>
          <a:custGeom>
            <a:avLst/>
            <a:gdLst/>
            <a:ahLst/>
            <a:cxnLst/>
            <a:rect l="0" t="0" r="0" b="0"/>
            <a:pathLst>
              <a:path w="7486015" h="2066925">
                <a:moveTo>
                  <a:pt x="312420" y="0"/>
                </a:moveTo>
                <a:lnTo>
                  <a:pt x="0" y="0"/>
                </a:lnTo>
                <a:lnTo>
                  <a:pt x="0" y="1859280"/>
                </a:lnTo>
                <a:lnTo>
                  <a:pt x="312420" y="1859280"/>
                </a:lnTo>
                <a:lnTo>
                  <a:pt x="312420" y="0"/>
                </a:lnTo>
                <a:close/>
              </a:path>
              <a:path w="7486015" h="2066925">
                <a:moveTo>
                  <a:pt x="1264920" y="0"/>
                </a:moveTo>
                <a:lnTo>
                  <a:pt x="315468" y="0"/>
                </a:lnTo>
                <a:lnTo>
                  <a:pt x="315468" y="1859280"/>
                </a:lnTo>
                <a:lnTo>
                  <a:pt x="1264920" y="1859280"/>
                </a:lnTo>
                <a:lnTo>
                  <a:pt x="1264920" y="0"/>
                </a:lnTo>
                <a:close/>
              </a:path>
              <a:path w="7486015" h="2066925">
                <a:moveTo>
                  <a:pt x="2531364" y="0"/>
                </a:moveTo>
                <a:lnTo>
                  <a:pt x="1267968" y="0"/>
                </a:lnTo>
                <a:lnTo>
                  <a:pt x="1267968" y="1859280"/>
                </a:lnTo>
                <a:lnTo>
                  <a:pt x="2531364" y="1859280"/>
                </a:lnTo>
                <a:lnTo>
                  <a:pt x="2531364" y="0"/>
                </a:lnTo>
                <a:close/>
              </a:path>
              <a:path w="7486015" h="2066925">
                <a:moveTo>
                  <a:pt x="3037332" y="1862328"/>
                </a:moveTo>
                <a:lnTo>
                  <a:pt x="2534412" y="1862328"/>
                </a:lnTo>
                <a:lnTo>
                  <a:pt x="2534412" y="2066544"/>
                </a:lnTo>
                <a:lnTo>
                  <a:pt x="3037332" y="2066544"/>
                </a:lnTo>
                <a:lnTo>
                  <a:pt x="3037332" y="1862328"/>
                </a:lnTo>
                <a:close/>
              </a:path>
              <a:path w="7486015" h="2066925">
                <a:moveTo>
                  <a:pt x="3037332" y="1655064"/>
                </a:moveTo>
                <a:lnTo>
                  <a:pt x="2534412" y="1655064"/>
                </a:lnTo>
                <a:lnTo>
                  <a:pt x="2534412" y="1859280"/>
                </a:lnTo>
                <a:lnTo>
                  <a:pt x="3037332" y="1859280"/>
                </a:lnTo>
                <a:lnTo>
                  <a:pt x="3037332" y="1655064"/>
                </a:lnTo>
                <a:close/>
              </a:path>
              <a:path w="7486015" h="2066925">
                <a:moveTo>
                  <a:pt x="3037332" y="1449324"/>
                </a:moveTo>
                <a:lnTo>
                  <a:pt x="2534412" y="1449324"/>
                </a:lnTo>
                <a:lnTo>
                  <a:pt x="2534412" y="1652016"/>
                </a:lnTo>
                <a:lnTo>
                  <a:pt x="3037332" y="1652016"/>
                </a:lnTo>
                <a:lnTo>
                  <a:pt x="3037332" y="1449324"/>
                </a:lnTo>
                <a:close/>
              </a:path>
              <a:path w="7486015" h="2066925">
                <a:moveTo>
                  <a:pt x="3037332" y="1242060"/>
                </a:moveTo>
                <a:lnTo>
                  <a:pt x="2534412" y="1242060"/>
                </a:lnTo>
                <a:lnTo>
                  <a:pt x="2534412" y="1446276"/>
                </a:lnTo>
                <a:lnTo>
                  <a:pt x="3037332" y="1446276"/>
                </a:lnTo>
                <a:lnTo>
                  <a:pt x="3037332" y="1242060"/>
                </a:lnTo>
                <a:close/>
              </a:path>
              <a:path w="7486015" h="2066925">
                <a:moveTo>
                  <a:pt x="3037332" y="1034796"/>
                </a:moveTo>
                <a:lnTo>
                  <a:pt x="2534412" y="1034796"/>
                </a:lnTo>
                <a:lnTo>
                  <a:pt x="2534412" y="1239012"/>
                </a:lnTo>
                <a:lnTo>
                  <a:pt x="3037332" y="1239012"/>
                </a:lnTo>
                <a:lnTo>
                  <a:pt x="3037332" y="1034796"/>
                </a:lnTo>
                <a:close/>
              </a:path>
              <a:path w="7486015" h="2066925">
                <a:moveTo>
                  <a:pt x="3037332" y="827532"/>
                </a:moveTo>
                <a:lnTo>
                  <a:pt x="2534412" y="827532"/>
                </a:lnTo>
                <a:lnTo>
                  <a:pt x="2534412" y="1031748"/>
                </a:lnTo>
                <a:lnTo>
                  <a:pt x="3037332" y="1031748"/>
                </a:lnTo>
                <a:lnTo>
                  <a:pt x="3037332" y="827532"/>
                </a:lnTo>
                <a:close/>
              </a:path>
              <a:path w="7486015" h="2066925">
                <a:moveTo>
                  <a:pt x="3037332" y="621792"/>
                </a:moveTo>
                <a:lnTo>
                  <a:pt x="2534412" y="621792"/>
                </a:lnTo>
                <a:lnTo>
                  <a:pt x="2534412" y="824484"/>
                </a:lnTo>
                <a:lnTo>
                  <a:pt x="3037332" y="824484"/>
                </a:lnTo>
                <a:lnTo>
                  <a:pt x="3037332" y="621792"/>
                </a:lnTo>
                <a:close/>
              </a:path>
              <a:path w="7486015" h="2066925">
                <a:moveTo>
                  <a:pt x="3037332" y="414528"/>
                </a:moveTo>
                <a:lnTo>
                  <a:pt x="2534412" y="414528"/>
                </a:lnTo>
                <a:lnTo>
                  <a:pt x="2534412" y="618744"/>
                </a:lnTo>
                <a:lnTo>
                  <a:pt x="3037332" y="618744"/>
                </a:lnTo>
                <a:lnTo>
                  <a:pt x="3037332" y="414528"/>
                </a:lnTo>
                <a:close/>
              </a:path>
              <a:path w="7486015" h="2066925">
                <a:moveTo>
                  <a:pt x="3037332" y="207264"/>
                </a:moveTo>
                <a:lnTo>
                  <a:pt x="2534412" y="207264"/>
                </a:lnTo>
                <a:lnTo>
                  <a:pt x="2534412" y="411480"/>
                </a:lnTo>
                <a:lnTo>
                  <a:pt x="3037332" y="411480"/>
                </a:lnTo>
                <a:lnTo>
                  <a:pt x="3037332" y="207264"/>
                </a:lnTo>
                <a:close/>
              </a:path>
              <a:path w="7486015" h="2066925">
                <a:moveTo>
                  <a:pt x="3037332" y="0"/>
                </a:moveTo>
                <a:lnTo>
                  <a:pt x="2534412" y="0"/>
                </a:lnTo>
                <a:lnTo>
                  <a:pt x="2534412" y="204216"/>
                </a:lnTo>
                <a:lnTo>
                  <a:pt x="3037332" y="204216"/>
                </a:lnTo>
                <a:lnTo>
                  <a:pt x="3037332" y="0"/>
                </a:lnTo>
                <a:close/>
              </a:path>
              <a:path w="7486015" h="2066925">
                <a:moveTo>
                  <a:pt x="3674364" y="1862328"/>
                </a:moveTo>
                <a:lnTo>
                  <a:pt x="3040380" y="1862328"/>
                </a:lnTo>
                <a:lnTo>
                  <a:pt x="3040380" y="2066544"/>
                </a:lnTo>
                <a:lnTo>
                  <a:pt x="3674364" y="2066544"/>
                </a:lnTo>
                <a:lnTo>
                  <a:pt x="3674364" y="1862328"/>
                </a:lnTo>
                <a:close/>
              </a:path>
              <a:path w="7486015" h="2066925">
                <a:moveTo>
                  <a:pt x="3674364" y="1655064"/>
                </a:moveTo>
                <a:lnTo>
                  <a:pt x="3040380" y="1655064"/>
                </a:lnTo>
                <a:lnTo>
                  <a:pt x="3040380" y="1859280"/>
                </a:lnTo>
                <a:lnTo>
                  <a:pt x="3674364" y="1859280"/>
                </a:lnTo>
                <a:lnTo>
                  <a:pt x="3674364" y="1655064"/>
                </a:lnTo>
                <a:close/>
              </a:path>
              <a:path w="7486015" h="2066925">
                <a:moveTo>
                  <a:pt x="3674364" y="1449324"/>
                </a:moveTo>
                <a:lnTo>
                  <a:pt x="3040380" y="1449324"/>
                </a:lnTo>
                <a:lnTo>
                  <a:pt x="3040380" y="1652016"/>
                </a:lnTo>
                <a:lnTo>
                  <a:pt x="3674364" y="1652016"/>
                </a:lnTo>
                <a:lnTo>
                  <a:pt x="3674364" y="1449324"/>
                </a:lnTo>
                <a:close/>
              </a:path>
              <a:path w="7486015" h="2066925">
                <a:moveTo>
                  <a:pt x="3674364" y="1242060"/>
                </a:moveTo>
                <a:lnTo>
                  <a:pt x="3040380" y="1242060"/>
                </a:lnTo>
                <a:lnTo>
                  <a:pt x="3040380" y="1446276"/>
                </a:lnTo>
                <a:lnTo>
                  <a:pt x="3674364" y="1446276"/>
                </a:lnTo>
                <a:lnTo>
                  <a:pt x="3674364" y="1242060"/>
                </a:lnTo>
                <a:close/>
              </a:path>
              <a:path w="7486015" h="2066925">
                <a:moveTo>
                  <a:pt x="3674364" y="1034796"/>
                </a:moveTo>
                <a:lnTo>
                  <a:pt x="3040380" y="1034796"/>
                </a:lnTo>
                <a:lnTo>
                  <a:pt x="3040380" y="1239012"/>
                </a:lnTo>
                <a:lnTo>
                  <a:pt x="3674364" y="1239012"/>
                </a:lnTo>
                <a:lnTo>
                  <a:pt x="3674364" y="1034796"/>
                </a:lnTo>
                <a:close/>
              </a:path>
              <a:path w="7486015" h="2066925">
                <a:moveTo>
                  <a:pt x="3674364" y="827532"/>
                </a:moveTo>
                <a:lnTo>
                  <a:pt x="3040380" y="827532"/>
                </a:lnTo>
                <a:lnTo>
                  <a:pt x="3040380" y="1031748"/>
                </a:lnTo>
                <a:lnTo>
                  <a:pt x="3674364" y="1031748"/>
                </a:lnTo>
                <a:lnTo>
                  <a:pt x="3674364" y="827532"/>
                </a:lnTo>
                <a:close/>
              </a:path>
              <a:path w="7486015" h="2066925">
                <a:moveTo>
                  <a:pt x="3674364" y="621792"/>
                </a:moveTo>
                <a:lnTo>
                  <a:pt x="3040380" y="621792"/>
                </a:lnTo>
                <a:lnTo>
                  <a:pt x="3040380" y="824484"/>
                </a:lnTo>
                <a:lnTo>
                  <a:pt x="3674364" y="824484"/>
                </a:lnTo>
                <a:lnTo>
                  <a:pt x="3674364" y="621792"/>
                </a:lnTo>
                <a:close/>
              </a:path>
              <a:path w="7486015" h="2066925">
                <a:moveTo>
                  <a:pt x="3674364" y="414528"/>
                </a:moveTo>
                <a:lnTo>
                  <a:pt x="3040380" y="414528"/>
                </a:lnTo>
                <a:lnTo>
                  <a:pt x="3040380" y="618744"/>
                </a:lnTo>
                <a:lnTo>
                  <a:pt x="3674364" y="618744"/>
                </a:lnTo>
                <a:lnTo>
                  <a:pt x="3674364" y="414528"/>
                </a:lnTo>
                <a:close/>
              </a:path>
              <a:path w="7486015" h="2066925">
                <a:moveTo>
                  <a:pt x="3674364" y="207264"/>
                </a:moveTo>
                <a:lnTo>
                  <a:pt x="3040380" y="207264"/>
                </a:lnTo>
                <a:lnTo>
                  <a:pt x="3040380" y="411480"/>
                </a:lnTo>
                <a:lnTo>
                  <a:pt x="3674364" y="411480"/>
                </a:lnTo>
                <a:lnTo>
                  <a:pt x="3674364" y="207264"/>
                </a:lnTo>
                <a:close/>
              </a:path>
              <a:path w="7486015" h="2066925">
                <a:moveTo>
                  <a:pt x="3674364" y="0"/>
                </a:moveTo>
                <a:lnTo>
                  <a:pt x="3040380" y="0"/>
                </a:lnTo>
                <a:lnTo>
                  <a:pt x="3040380" y="204216"/>
                </a:lnTo>
                <a:lnTo>
                  <a:pt x="3674364" y="204216"/>
                </a:lnTo>
                <a:lnTo>
                  <a:pt x="3674364" y="0"/>
                </a:lnTo>
                <a:close/>
              </a:path>
              <a:path w="7486015" h="2066925">
                <a:moveTo>
                  <a:pt x="4437888" y="1862328"/>
                </a:moveTo>
                <a:lnTo>
                  <a:pt x="3677412" y="1862328"/>
                </a:lnTo>
                <a:lnTo>
                  <a:pt x="3677412" y="2066544"/>
                </a:lnTo>
                <a:lnTo>
                  <a:pt x="4437888" y="2066544"/>
                </a:lnTo>
                <a:lnTo>
                  <a:pt x="4437888" y="1862328"/>
                </a:lnTo>
                <a:close/>
              </a:path>
              <a:path w="7486015" h="2066925">
                <a:moveTo>
                  <a:pt x="4437888" y="1655064"/>
                </a:moveTo>
                <a:lnTo>
                  <a:pt x="3677412" y="1655064"/>
                </a:lnTo>
                <a:lnTo>
                  <a:pt x="3677412" y="1859280"/>
                </a:lnTo>
                <a:lnTo>
                  <a:pt x="4437888" y="1859280"/>
                </a:lnTo>
                <a:lnTo>
                  <a:pt x="4437888" y="1655064"/>
                </a:lnTo>
                <a:close/>
              </a:path>
              <a:path w="7486015" h="2066925">
                <a:moveTo>
                  <a:pt x="4437888" y="1449324"/>
                </a:moveTo>
                <a:lnTo>
                  <a:pt x="3677412" y="1449324"/>
                </a:lnTo>
                <a:lnTo>
                  <a:pt x="3677412" y="1652016"/>
                </a:lnTo>
                <a:lnTo>
                  <a:pt x="4437888" y="1652016"/>
                </a:lnTo>
                <a:lnTo>
                  <a:pt x="4437888" y="1449324"/>
                </a:lnTo>
                <a:close/>
              </a:path>
              <a:path w="7486015" h="2066925">
                <a:moveTo>
                  <a:pt x="4437888" y="1242060"/>
                </a:moveTo>
                <a:lnTo>
                  <a:pt x="3677412" y="1242060"/>
                </a:lnTo>
                <a:lnTo>
                  <a:pt x="3677412" y="1446276"/>
                </a:lnTo>
                <a:lnTo>
                  <a:pt x="4437888" y="1446276"/>
                </a:lnTo>
                <a:lnTo>
                  <a:pt x="4437888" y="1242060"/>
                </a:lnTo>
                <a:close/>
              </a:path>
              <a:path w="7486015" h="2066925">
                <a:moveTo>
                  <a:pt x="4437888" y="1034796"/>
                </a:moveTo>
                <a:lnTo>
                  <a:pt x="3677412" y="1034796"/>
                </a:lnTo>
                <a:lnTo>
                  <a:pt x="3677412" y="1239012"/>
                </a:lnTo>
                <a:lnTo>
                  <a:pt x="4437888" y="1239012"/>
                </a:lnTo>
                <a:lnTo>
                  <a:pt x="4437888" y="1034796"/>
                </a:lnTo>
                <a:close/>
              </a:path>
              <a:path w="7486015" h="2066925">
                <a:moveTo>
                  <a:pt x="4437888" y="827532"/>
                </a:moveTo>
                <a:lnTo>
                  <a:pt x="3677412" y="827532"/>
                </a:lnTo>
                <a:lnTo>
                  <a:pt x="3677412" y="1031748"/>
                </a:lnTo>
                <a:lnTo>
                  <a:pt x="4437888" y="1031748"/>
                </a:lnTo>
                <a:lnTo>
                  <a:pt x="4437888" y="827532"/>
                </a:lnTo>
                <a:close/>
              </a:path>
              <a:path w="7486015" h="2066925">
                <a:moveTo>
                  <a:pt x="4437888" y="621792"/>
                </a:moveTo>
                <a:lnTo>
                  <a:pt x="3677412" y="621792"/>
                </a:lnTo>
                <a:lnTo>
                  <a:pt x="3677412" y="824484"/>
                </a:lnTo>
                <a:lnTo>
                  <a:pt x="4437888" y="824484"/>
                </a:lnTo>
                <a:lnTo>
                  <a:pt x="4437888" y="621792"/>
                </a:lnTo>
                <a:close/>
              </a:path>
              <a:path w="7486015" h="2066925">
                <a:moveTo>
                  <a:pt x="4437888" y="414528"/>
                </a:moveTo>
                <a:lnTo>
                  <a:pt x="3677412" y="414528"/>
                </a:lnTo>
                <a:lnTo>
                  <a:pt x="3677412" y="618744"/>
                </a:lnTo>
                <a:lnTo>
                  <a:pt x="4437888" y="618744"/>
                </a:lnTo>
                <a:lnTo>
                  <a:pt x="4437888" y="414528"/>
                </a:lnTo>
                <a:close/>
              </a:path>
              <a:path w="7486015" h="2066925">
                <a:moveTo>
                  <a:pt x="4437888" y="207264"/>
                </a:moveTo>
                <a:lnTo>
                  <a:pt x="3677412" y="207264"/>
                </a:lnTo>
                <a:lnTo>
                  <a:pt x="3677412" y="411480"/>
                </a:lnTo>
                <a:lnTo>
                  <a:pt x="4437888" y="411480"/>
                </a:lnTo>
                <a:lnTo>
                  <a:pt x="4437888" y="207264"/>
                </a:lnTo>
                <a:close/>
              </a:path>
              <a:path w="7486015" h="2066925">
                <a:moveTo>
                  <a:pt x="4437888" y="0"/>
                </a:moveTo>
                <a:lnTo>
                  <a:pt x="3677412" y="0"/>
                </a:lnTo>
                <a:lnTo>
                  <a:pt x="3677412" y="204216"/>
                </a:lnTo>
                <a:lnTo>
                  <a:pt x="4437888" y="204216"/>
                </a:lnTo>
                <a:lnTo>
                  <a:pt x="4437888" y="0"/>
                </a:lnTo>
                <a:close/>
              </a:path>
              <a:path w="7486015" h="2066925">
                <a:moveTo>
                  <a:pt x="5199888" y="1862328"/>
                </a:moveTo>
                <a:lnTo>
                  <a:pt x="4440936" y="1862328"/>
                </a:lnTo>
                <a:lnTo>
                  <a:pt x="4440936" y="2066544"/>
                </a:lnTo>
                <a:lnTo>
                  <a:pt x="5199888" y="2066544"/>
                </a:lnTo>
                <a:lnTo>
                  <a:pt x="5199888" y="1862328"/>
                </a:lnTo>
                <a:close/>
              </a:path>
              <a:path w="7486015" h="2066925">
                <a:moveTo>
                  <a:pt x="5199888" y="1655064"/>
                </a:moveTo>
                <a:lnTo>
                  <a:pt x="4440936" y="1655064"/>
                </a:lnTo>
                <a:lnTo>
                  <a:pt x="4440936" y="1859280"/>
                </a:lnTo>
                <a:lnTo>
                  <a:pt x="5199888" y="1859280"/>
                </a:lnTo>
                <a:lnTo>
                  <a:pt x="5199888" y="1655064"/>
                </a:lnTo>
                <a:close/>
              </a:path>
              <a:path w="7486015" h="2066925">
                <a:moveTo>
                  <a:pt x="5199888" y="1449324"/>
                </a:moveTo>
                <a:lnTo>
                  <a:pt x="4440936" y="1449324"/>
                </a:lnTo>
                <a:lnTo>
                  <a:pt x="4440936" y="1652016"/>
                </a:lnTo>
                <a:lnTo>
                  <a:pt x="5199888" y="1652016"/>
                </a:lnTo>
                <a:lnTo>
                  <a:pt x="5199888" y="1449324"/>
                </a:lnTo>
                <a:close/>
              </a:path>
              <a:path w="7486015" h="2066925">
                <a:moveTo>
                  <a:pt x="5199888" y="1242060"/>
                </a:moveTo>
                <a:lnTo>
                  <a:pt x="4440936" y="1242060"/>
                </a:lnTo>
                <a:lnTo>
                  <a:pt x="4440936" y="1446276"/>
                </a:lnTo>
                <a:lnTo>
                  <a:pt x="5199888" y="1446276"/>
                </a:lnTo>
                <a:lnTo>
                  <a:pt x="5199888" y="1242060"/>
                </a:lnTo>
                <a:close/>
              </a:path>
              <a:path w="7486015" h="2066925">
                <a:moveTo>
                  <a:pt x="5199888" y="1034796"/>
                </a:moveTo>
                <a:lnTo>
                  <a:pt x="4440936" y="1034796"/>
                </a:lnTo>
                <a:lnTo>
                  <a:pt x="4440936" y="1239012"/>
                </a:lnTo>
                <a:lnTo>
                  <a:pt x="5199888" y="1239012"/>
                </a:lnTo>
                <a:lnTo>
                  <a:pt x="5199888" y="1034796"/>
                </a:lnTo>
                <a:close/>
              </a:path>
              <a:path w="7486015" h="2066925">
                <a:moveTo>
                  <a:pt x="5199888" y="827532"/>
                </a:moveTo>
                <a:lnTo>
                  <a:pt x="4440936" y="827532"/>
                </a:lnTo>
                <a:lnTo>
                  <a:pt x="4440936" y="1031748"/>
                </a:lnTo>
                <a:lnTo>
                  <a:pt x="5199888" y="1031748"/>
                </a:lnTo>
                <a:lnTo>
                  <a:pt x="5199888" y="827532"/>
                </a:lnTo>
                <a:close/>
              </a:path>
              <a:path w="7486015" h="2066925">
                <a:moveTo>
                  <a:pt x="5199888" y="621792"/>
                </a:moveTo>
                <a:lnTo>
                  <a:pt x="4440936" y="621792"/>
                </a:lnTo>
                <a:lnTo>
                  <a:pt x="4440936" y="824484"/>
                </a:lnTo>
                <a:lnTo>
                  <a:pt x="5199888" y="824484"/>
                </a:lnTo>
                <a:lnTo>
                  <a:pt x="5199888" y="621792"/>
                </a:lnTo>
                <a:close/>
              </a:path>
              <a:path w="7486015" h="2066925">
                <a:moveTo>
                  <a:pt x="5199888" y="414528"/>
                </a:moveTo>
                <a:lnTo>
                  <a:pt x="4440936" y="414528"/>
                </a:lnTo>
                <a:lnTo>
                  <a:pt x="4440936" y="618744"/>
                </a:lnTo>
                <a:lnTo>
                  <a:pt x="5199888" y="618744"/>
                </a:lnTo>
                <a:lnTo>
                  <a:pt x="5199888" y="414528"/>
                </a:lnTo>
                <a:close/>
              </a:path>
              <a:path w="7486015" h="2066925">
                <a:moveTo>
                  <a:pt x="5199888" y="207264"/>
                </a:moveTo>
                <a:lnTo>
                  <a:pt x="4440936" y="207264"/>
                </a:lnTo>
                <a:lnTo>
                  <a:pt x="4440936" y="411480"/>
                </a:lnTo>
                <a:lnTo>
                  <a:pt x="5199888" y="411480"/>
                </a:lnTo>
                <a:lnTo>
                  <a:pt x="5199888" y="207264"/>
                </a:lnTo>
                <a:close/>
              </a:path>
              <a:path w="7486015" h="2066925">
                <a:moveTo>
                  <a:pt x="5199888" y="0"/>
                </a:moveTo>
                <a:lnTo>
                  <a:pt x="4440936" y="0"/>
                </a:lnTo>
                <a:lnTo>
                  <a:pt x="4440936" y="204216"/>
                </a:lnTo>
                <a:lnTo>
                  <a:pt x="5199888" y="204216"/>
                </a:lnTo>
                <a:lnTo>
                  <a:pt x="5199888" y="0"/>
                </a:lnTo>
                <a:close/>
              </a:path>
              <a:path w="7486015" h="2066925">
                <a:moveTo>
                  <a:pt x="5961875" y="1862328"/>
                </a:moveTo>
                <a:lnTo>
                  <a:pt x="5202936" y="1862328"/>
                </a:lnTo>
                <a:lnTo>
                  <a:pt x="5202936" y="2066544"/>
                </a:lnTo>
                <a:lnTo>
                  <a:pt x="5961875" y="2066544"/>
                </a:lnTo>
                <a:lnTo>
                  <a:pt x="5961875" y="1862328"/>
                </a:lnTo>
                <a:close/>
              </a:path>
              <a:path w="7486015" h="2066925">
                <a:moveTo>
                  <a:pt x="5961875" y="1655064"/>
                </a:moveTo>
                <a:lnTo>
                  <a:pt x="5202936" y="1655064"/>
                </a:lnTo>
                <a:lnTo>
                  <a:pt x="5202936" y="1859280"/>
                </a:lnTo>
                <a:lnTo>
                  <a:pt x="5961875" y="1859280"/>
                </a:lnTo>
                <a:lnTo>
                  <a:pt x="5961875" y="1655064"/>
                </a:lnTo>
                <a:close/>
              </a:path>
              <a:path w="7486015" h="2066925">
                <a:moveTo>
                  <a:pt x="5961875" y="1449324"/>
                </a:moveTo>
                <a:lnTo>
                  <a:pt x="5202936" y="1449324"/>
                </a:lnTo>
                <a:lnTo>
                  <a:pt x="5202936" y="1652016"/>
                </a:lnTo>
                <a:lnTo>
                  <a:pt x="5961875" y="1652016"/>
                </a:lnTo>
                <a:lnTo>
                  <a:pt x="5961875" y="1449324"/>
                </a:lnTo>
                <a:close/>
              </a:path>
              <a:path w="7486015" h="2066925">
                <a:moveTo>
                  <a:pt x="5961875" y="1242060"/>
                </a:moveTo>
                <a:lnTo>
                  <a:pt x="5202936" y="1242060"/>
                </a:lnTo>
                <a:lnTo>
                  <a:pt x="5202936" y="1446276"/>
                </a:lnTo>
                <a:lnTo>
                  <a:pt x="5961875" y="1446276"/>
                </a:lnTo>
                <a:lnTo>
                  <a:pt x="5961875" y="1242060"/>
                </a:lnTo>
                <a:close/>
              </a:path>
              <a:path w="7486015" h="2066925">
                <a:moveTo>
                  <a:pt x="5961875" y="1034796"/>
                </a:moveTo>
                <a:lnTo>
                  <a:pt x="5202936" y="1034796"/>
                </a:lnTo>
                <a:lnTo>
                  <a:pt x="5202936" y="1239012"/>
                </a:lnTo>
                <a:lnTo>
                  <a:pt x="5961875" y="1239012"/>
                </a:lnTo>
                <a:lnTo>
                  <a:pt x="5961875" y="1034796"/>
                </a:lnTo>
                <a:close/>
              </a:path>
              <a:path w="7486015" h="2066925">
                <a:moveTo>
                  <a:pt x="5961875" y="827532"/>
                </a:moveTo>
                <a:lnTo>
                  <a:pt x="5202936" y="827532"/>
                </a:lnTo>
                <a:lnTo>
                  <a:pt x="5202936" y="1031748"/>
                </a:lnTo>
                <a:lnTo>
                  <a:pt x="5961875" y="1031748"/>
                </a:lnTo>
                <a:lnTo>
                  <a:pt x="5961875" y="827532"/>
                </a:lnTo>
                <a:close/>
              </a:path>
              <a:path w="7486015" h="2066925">
                <a:moveTo>
                  <a:pt x="5961875" y="621792"/>
                </a:moveTo>
                <a:lnTo>
                  <a:pt x="5202936" y="621792"/>
                </a:lnTo>
                <a:lnTo>
                  <a:pt x="5202936" y="824484"/>
                </a:lnTo>
                <a:lnTo>
                  <a:pt x="5961875" y="824484"/>
                </a:lnTo>
                <a:lnTo>
                  <a:pt x="5961875" y="621792"/>
                </a:lnTo>
                <a:close/>
              </a:path>
              <a:path w="7486015" h="2066925">
                <a:moveTo>
                  <a:pt x="5961875" y="414528"/>
                </a:moveTo>
                <a:lnTo>
                  <a:pt x="5202936" y="414528"/>
                </a:lnTo>
                <a:lnTo>
                  <a:pt x="5202936" y="618744"/>
                </a:lnTo>
                <a:lnTo>
                  <a:pt x="5961875" y="618744"/>
                </a:lnTo>
                <a:lnTo>
                  <a:pt x="5961875" y="414528"/>
                </a:lnTo>
                <a:close/>
              </a:path>
              <a:path w="7486015" h="2066925">
                <a:moveTo>
                  <a:pt x="5961875" y="207264"/>
                </a:moveTo>
                <a:lnTo>
                  <a:pt x="5202936" y="207264"/>
                </a:lnTo>
                <a:lnTo>
                  <a:pt x="5202936" y="411480"/>
                </a:lnTo>
                <a:lnTo>
                  <a:pt x="5961875" y="411480"/>
                </a:lnTo>
                <a:lnTo>
                  <a:pt x="5961875" y="207264"/>
                </a:lnTo>
                <a:close/>
              </a:path>
              <a:path w="7486015" h="2066925">
                <a:moveTo>
                  <a:pt x="5961875" y="0"/>
                </a:moveTo>
                <a:lnTo>
                  <a:pt x="5202936" y="0"/>
                </a:lnTo>
                <a:lnTo>
                  <a:pt x="5202936" y="204216"/>
                </a:lnTo>
                <a:lnTo>
                  <a:pt x="5961875" y="204216"/>
                </a:lnTo>
                <a:lnTo>
                  <a:pt x="5961875" y="0"/>
                </a:lnTo>
                <a:close/>
              </a:path>
              <a:path w="7486015" h="2066925">
                <a:moveTo>
                  <a:pt x="6723888" y="1655064"/>
                </a:moveTo>
                <a:lnTo>
                  <a:pt x="5964936" y="1655064"/>
                </a:lnTo>
                <a:lnTo>
                  <a:pt x="5964936" y="1859280"/>
                </a:lnTo>
                <a:lnTo>
                  <a:pt x="6723888" y="1859280"/>
                </a:lnTo>
                <a:lnTo>
                  <a:pt x="6723888" y="1655064"/>
                </a:lnTo>
                <a:close/>
              </a:path>
              <a:path w="7486015" h="2066925">
                <a:moveTo>
                  <a:pt x="6723888" y="1449324"/>
                </a:moveTo>
                <a:lnTo>
                  <a:pt x="5964936" y="1449324"/>
                </a:lnTo>
                <a:lnTo>
                  <a:pt x="5964936" y="1652016"/>
                </a:lnTo>
                <a:lnTo>
                  <a:pt x="6723888" y="1652016"/>
                </a:lnTo>
                <a:lnTo>
                  <a:pt x="6723888" y="1449324"/>
                </a:lnTo>
                <a:close/>
              </a:path>
              <a:path w="7486015" h="2066925">
                <a:moveTo>
                  <a:pt x="6723888" y="1242060"/>
                </a:moveTo>
                <a:lnTo>
                  <a:pt x="5964936" y="1242060"/>
                </a:lnTo>
                <a:lnTo>
                  <a:pt x="5964936" y="1446276"/>
                </a:lnTo>
                <a:lnTo>
                  <a:pt x="6723888" y="1446276"/>
                </a:lnTo>
                <a:lnTo>
                  <a:pt x="6723888" y="1242060"/>
                </a:lnTo>
                <a:close/>
              </a:path>
              <a:path w="7486015" h="2066925">
                <a:moveTo>
                  <a:pt x="6723888" y="1034796"/>
                </a:moveTo>
                <a:lnTo>
                  <a:pt x="5964936" y="1034796"/>
                </a:lnTo>
                <a:lnTo>
                  <a:pt x="5964936" y="1239012"/>
                </a:lnTo>
                <a:lnTo>
                  <a:pt x="6723888" y="1239012"/>
                </a:lnTo>
                <a:lnTo>
                  <a:pt x="6723888" y="1034796"/>
                </a:lnTo>
                <a:close/>
              </a:path>
              <a:path w="7486015" h="2066925">
                <a:moveTo>
                  <a:pt x="6723888" y="827532"/>
                </a:moveTo>
                <a:lnTo>
                  <a:pt x="5964936" y="827532"/>
                </a:lnTo>
                <a:lnTo>
                  <a:pt x="5964936" y="1031748"/>
                </a:lnTo>
                <a:lnTo>
                  <a:pt x="6723888" y="1031748"/>
                </a:lnTo>
                <a:lnTo>
                  <a:pt x="6723888" y="827532"/>
                </a:lnTo>
                <a:close/>
              </a:path>
              <a:path w="7486015" h="2066925">
                <a:moveTo>
                  <a:pt x="6723888" y="621792"/>
                </a:moveTo>
                <a:lnTo>
                  <a:pt x="5964936" y="621792"/>
                </a:lnTo>
                <a:lnTo>
                  <a:pt x="5964936" y="824484"/>
                </a:lnTo>
                <a:lnTo>
                  <a:pt x="6723888" y="824484"/>
                </a:lnTo>
                <a:lnTo>
                  <a:pt x="6723888" y="621792"/>
                </a:lnTo>
                <a:close/>
              </a:path>
              <a:path w="7486015" h="2066925">
                <a:moveTo>
                  <a:pt x="6723888" y="414528"/>
                </a:moveTo>
                <a:lnTo>
                  <a:pt x="5964936" y="414528"/>
                </a:lnTo>
                <a:lnTo>
                  <a:pt x="5964936" y="618744"/>
                </a:lnTo>
                <a:lnTo>
                  <a:pt x="6723888" y="618744"/>
                </a:lnTo>
                <a:lnTo>
                  <a:pt x="6723888" y="414528"/>
                </a:lnTo>
                <a:close/>
              </a:path>
              <a:path w="7486015" h="2066925">
                <a:moveTo>
                  <a:pt x="6723888" y="207264"/>
                </a:moveTo>
                <a:lnTo>
                  <a:pt x="5964936" y="207264"/>
                </a:lnTo>
                <a:lnTo>
                  <a:pt x="5964936" y="411480"/>
                </a:lnTo>
                <a:lnTo>
                  <a:pt x="6723888" y="411480"/>
                </a:lnTo>
                <a:lnTo>
                  <a:pt x="6723888" y="207264"/>
                </a:lnTo>
                <a:close/>
              </a:path>
              <a:path w="7486015" h="2066925">
                <a:moveTo>
                  <a:pt x="6723888" y="0"/>
                </a:moveTo>
                <a:lnTo>
                  <a:pt x="5964936" y="0"/>
                </a:lnTo>
                <a:lnTo>
                  <a:pt x="5964936" y="204216"/>
                </a:lnTo>
                <a:lnTo>
                  <a:pt x="6723888" y="204216"/>
                </a:lnTo>
                <a:lnTo>
                  <a:pt x="6723888" y="0"/>
                </a:lnTo>
                <a:close/>
              </a:path>
              <a:path w="7486015" h="2066925">
                <a:moveTo>
                  <a:pt x="7485888" y="1655064"/>
                </a:moveTo>
                <a:lnTo>
                  <a:pt x="6726936" y="1655064"/>
                </a:lnTo>
                <a:lnTo>
                  <a:pt x="6726936" y="1859280"/>
                </a:lnTo>
                <a:lnTo>
                  <a:pt x="7485888" y="1859280"/>
                </a:lnTo>
                <a:lnTo>
                  <a:pt x="7485888" y="1655064"/>
                </a:lnTo>
                <a:close/>
              </a:path>
              <a:path w="7486015" h="2066925">
                <a:moveTo>
                  <a:pt x="7485888" y="1449324"/>
                </a:moveTo>
                <a:lnTo>
                  <a:pt x="6726936" y="1449324"/>
                </a:lnTo>
                <a:lnTo>
                  <a:pt x="6726936" y="1652016"/>
                </a:lnTo>
                <a:lnTo>
                  <a:pt x="7485888" y="1652016"/>
                </a:lnTo>
                <a:lnTo>
                  <a:pt x="7485888" y="1449324"/>
                </a:lnTo>
                <a:close/>
              </a:path>
              <a:path w="7486015" h="2066925">
                <a:moveTo>
                  <a:pt x="7485888" y="1242060"/>
                </a:moveTo>
                <a:lnTo>
                  <a:pt x="6726936" y="1242060"/>
                </a:lnTo>
                <a:lnTo>
                  <a:pt x="6726936" y="1446276"/>
                </a:lnTo>
                <a:lnTo>
                  <a:pt x="7485888" y="1446276"/>
                </a:lnTo>
                <a:lnTo>
                  <a:pt x="7485888" y="1242060"/>
                </a:lnTo>
                <a:close/>
              </a:path>
              <a:path w="7486015" h="2066925">
                <a:moveTo>
                  <a:pt x="7485888" y="1034796"/>
                </a:moveTo>
                <a:lnTo>
                  <a:pt x="6726936" y="1034796"/>
                </a:lnTo>
                <a:lnTo>
                  <a:pt x="6726936" y="1239012"/>
                </a:lnTo>
                <a:lnTo>
                  <a:pt x="7485888" y="1239012"/>
                </a:lnTo>
                <a:lnTo>
                  <a:pt x="7485888" y="1034796"/>
                </a:lnTo>
                <a:close/>
              </a:path>
              <a:path w="7486015" h="2066925">
                <a:moveTo>
                  <a:pt x="7485888" y="827532"/>
                </a:moveTo>
                <a:lnTo>
                  <a:pt x="6726936" y="827532"/>
                </a:lnTo>
                <a:lnTo>
                  <a:pt x="6726936" y="1031748"/>
                </a:lnTo>
                <a:lnTo>
                  <a:pt x="7485888" y="1031748"/>
                </a:lnTo>
                <a:lnTo>
                  <a:pt x="7485888" y="827532"/>
                </a:lnTo>
                <a:close/>
              </a:path>
              <a:path w="7486015" h="2066925">
                <a:moveTo>
                  <a:pt x="7485888" y="621792"/>
                </a:moveTo>
                <a:lnTo>
                  <a:pt x="6726936" y="621792"/>
                </a:lnTo>
                <a:lnTo>
                  <a:pt x="6726936" y="824484"/>
                </a:lnTo>
                <a:lnTo>
                  <a:pt x="7485888" y="824484"/>
                </a:lnTo>
                <a:lnTo>
                  <a:pt x="7485888" y="621792"/>
                </a:lnTo>
                <a:close/>
              </a:path>
              <a:path w="7486015" h="2066925">
                <a:moveTo>
                  <a:pt x="7485888" y="414528"/>
                </a:moveTo>
                <a:lnTo>
                  <a:pt x="6726936" y="414528"/>
                </a:lnTo>
                <a:lnTo>
                  <a:pt x="6726936" y="618744"/>
                </a:lnTo>
                <a:lnTo>
                  <a:pt x="7485888" y="618744"/>
                </a:lnTo>
                <a:lnTo>
                  <a:pt x="7485888" y="414528"/>
                </a:lnTo>
                <a:close/>
              </a:path>
              <a:path w="7486015" h="2066925">
                <a:moveTo>
                  <a:pt x="7485888" y="207264"/>
                </a:moveTo>
                <a:lnTo>
                  <a:pt x="6726936" y="207264"/>
                </a:lnTo>
                <a:lnTo>
                  <a:pt x="6726936" y="411480"/>
                </a:lnTo>
                <a:lnTo>
                  <a:pt x="7485888" y="411480"/>
                </a:lnTo>
                <a:lnTo>
                  <a:pt x="7485888" y="207264"/>
                </a:lnTo>
                <a:close/>
              </a:path>
              <a:path w="7486015" h="2066925">
                <a:moveTo>
                  <a:pt x="7485888" y="0"/>
                </a:moveTo>
                <a:lnTo>
                  <a:pt x="6726936" y="0"/>
                </a:lnTo>
                <a:lnTo>
                  <a:pt x="6726936" y="204216"/>
                </a:lnTo>
                <a:lnTo>
                  <a:pt x="7485888" y="204216"/>
                </a:lnTo>
                <a:lnTo>
                  <a:pt x="7485888" y="0"/>
                </a:lnTo>
                <a:close/>
              </a:path>
            </a:pathLst>
          </a:custGeom>
          <a:solidFill>
            <a:srgbClr val="FFFFFF"/>
          </a:solidFill>
        </xdr:spPr>
      </xdr:sp>
      <xdr:sp macro="" textlink="">
        <xdr:nvSpPr>
          <xdr:cNvPr id="85" name="Shape 85">
            <a:extLst>
              <a:ext uri="{FF2B5EF4-FFF2-40B4-BE49-F238E27FC236}">
                <a16:creationId xmlns:a16="http://schemas.microsoft.com/office/drawing/2014/main" id="{00000000-0008-0000-0700-000055000000}"/>
              </a:ext>
            </a:extLst>
          </xdr:cNvPr>
          <xdr:cNvSpPr/>
        </xdr:nvSpPr>
        <xdr:spPr>
          <a:xfrm>
            <a:off x="0" y="1862327"/>
            <a:ext cx="7486015" cy="1769745"/>
          </a:xfrm>
          <a:custGeom>
            <a:avLst/>
            <a:gdLst/>
            <a:ahLst/>
            <a:cxnLst/>
            <a:rect l="0" t="0" r="0" b="0"/>
            <a:pathLst>
              <a:path w="7486015" h="1769745">
                <a:moveTo>
                  <a:pt x="312420" y="944880"/>
                </a:moveTo>
                <a:lnTo>
                  <a:pt x="0" y="944880"/>
                </a:lnTo>
                <a:lnTo>
                  <a:pt x="0" y="1769364"/>
                </a:lnTo>
                <a:lnTo>
                  <a:pt x="312420" y="1769364"/>
                </a:lnTo>
                <a:lnTo>
                  <a:pt x="312420" y="944880"/>
                </a:lnTo>
                <a:close/>
              </a:path>
              <a:path w="7486015" h="1769745">
                <a:moveTo>
                  <a:pt x="312420" y="416052"/>
                </a:moveTo>
                <a:lnTo>
                  <a:pt x="0" y="416052"/>
                </a:lnTo>
                <a:lnTo>
                  <a:pt x="0" y="941832"/>
                </a:lnTo>
                <a:lnTo>
                  <a:pt x="312420" y="941832"/>
                </a:lnTo>
                <a:lnTo>
                  <a:pt x="312420" y="416052"/>
                </a:lnTo>
                <a:close/>
              </a:path>
              <a:path w="7486015" h="1769745">
                <a:moveTo>
                  <a:pt x="312420" y="0"/>
                </a:moveTo>
                <a:lnTo>
                  <a:pt x="0" y="0"/>
                </a:lnTo>
                <a:lnTo>
                  <a:pt x="0" y="413004"/>
                </a:lnTo>
                <a:lnTo>
                  <a:pt x="312420" y="413004"/>
                </a:lnTo>
                <a:lnTo>
                  <a:pt x="312420" y="0"/>
                </a:lnTo>
                <a:close/>
              </a:path>
              <a:path w="7486015" h="1769745">
                <a:moveTo>
                  <a:pt x="1264920" y="944880"/>
                </a:moveTo>
                <a:lnTo>
                  <a:pt x="315468" y="944880"/>
                </a:lnTo>
                <a:lnTo>
                  <a:pt x="315468" y="1769364"/>
                </a:lnTo>
                <a:lnTo>
                  <a:pt x="1264920" y="1769364"/>
                </a:lnTo>
                <a:lnTo>
                  <a:pt x="1264920" y="944880"/>
                </a:lnTo>
                <a:close/>
              </a:path>
              <a:path w="7486015" h="1769745">
                <a:moveTo>
                  <a:pt x="1264920" y="416052"/>
                </a:moveTo>
                <a:lnTo>
                  <a:pt x="315468" y="416052"/>
                </a:lnTo>
                <a:lnTo>
                  <a:pt x="315468" y="941832"/>
                </a:lnTo>
                <a:lnTo>
                  <a:pt x="1264920" y="941832"/>
                </a:lnTo>
                <a:lnTo>
                  <a:pt x="1264920" y="416052"/>
                </a:lnTo>
                <a:close/>
              </a:path>
              <a:path w="7486015" h="1769745">
                <a:moveTo>
                  <a:pt x="1264920" y="0"/>
                </a:moveTo>
                <a:lnTo>
                  <a:pt x="315468" y="0"/>
                </a:lnTo>
                <a:lnTo>
                  <a:pt x="315468" y="413004"/>
                </a:lnTo>
                <a:lnTo>
                  <a:pt x="1264920" y="413004"/>
                </a:lnTo>
                <a:lnTo>
                  <a:pt x="1264920" y="0"/>
                </a:lnTo>
                <a:close/>
              </a:path>
              <a:path w="7486015" h="1769745">
                <a:moveTo>
                  <a:pt x="2531364" y="944880"/>
                </a:moveTo>
                <a:lnTo>
                  <a:pt x="1267968" y="944880"/>
                </a:lnTo>
                <a:lnTo>
                  <a:pt x="1267968" y="1769364"/>
                </a:lnTo>
                <a:lnTo>
                  <a:pt x="2531364" y="1769364"/>
                </a:lnTo>
                <a:lnTo>
                  <a:pt x="2531364" y="944880"/>
                </a:lnTo>
                <a:close/>
              </a:path>
              <a:path w="7486015" h="1769745">
                <a:moveTo>
                  <a:pt x="2531364" y="416052"/>
                </a:moveTo>
                <a:lnTo>
                  <a:pt x="1267968" y="416052"/>
                </a:lnTo>
                <a:lnTo>
                  <a:pt x="1267968" y="941832"/>
                </a:lnTo>
                <a:lnTo>
                  <a:pt x="2531364" y="941832"/>
                </a:lnTo>
                <a:lnTo>
                  <a:pt x="2531364" y="416052"/>
                </a:lnTo>
                <a:close/>
              </a:path>
              <a:path w="7486015" h="1769745">
                <a:moveTo>
                  <a:pt x="2531364" y="0"/>
                </a:moveTo>
                <a:lnTo>
                  <a:pt x="1267968" y="0"/>
                </a:lnTo>
                <a:lnTo>
                  <a:pt x="1267968" y="413004"/>
                </a:lnTo>
                <a:lnTo>
                  <a:pt x="2531364" y="413004"/>
                </a:lnTo>
                <a:lnTo>
                  <a:pt x="2531364" y="0"/>
                </a:lnTo>
                <a:close/>
              </a:path>
              <a:path w="7486015" h="1769745">
                <a:moveTo>
                  <a:pt x="3037332" y="1565148"/>
                </a:moveTo>
                <a:lnTo>
                  <a:pt x="2534412" y="1565148"/>
                </a:lnTo>
                <a:lnTo>
                  <a:pt x="2534412" y="1769364"/>
                </a:lnTo>
                <a:lnTo>
                  <a:pt x="3037332" y="1769364"/>
                </a:lnTo>
                <a:lnTo>
                  <a:pt x="3037332" y="1565148"/>
                </a:lnTo>
                <a:close/>
              </a:path>
              <a:path w="7486015" h="1769745">
                <a:moveTo>
                  <a:pt x="3037332" y="1357884"/>
                </a:moveTo>
                <a:lnTo>
                  <a:pt x="2534412" y="1357884"/>
                </a:lnTo>
                <a:lnTo>
                  <a:pt x="2534412" y="1562100"/>
                </a:lnTo>
                <a:lnTo>
                  <a:pt x="3037332" y="1562100"/>
                </a:lnTo>
                <a:lnTo>
                  <a:pt x="3037332" y="1357884"/>
                </a:lnTo>
                <a:close/>
              </a:path>
              <a:path w="7486015" h="1769745">
                <a:moveTo>
                  <a:pt x="3037332" y="1152144"/>
                </a:moveTo>
                <a:lnTo>
                  <a:pt x="2534412" y="1152144"/>
                </a:lnTo>
                <a:lnTo>
                  <a:pt x="2534412" y="1354836"/>
                </a:lnTo>
                <a:lnTo>
                  <a:pt x="3037332" y="1354836"/>
                </a:lnTo>
                <a:lnTo>
                  <a:pt x="3037332" y="1152144"/>
                </a:lnTo>
                <a:close/>
              </a:path>
              <a:path w="7486015" h="1769745">
                <a:moveTo>
                  <a:pt x="3037332" y="944880"/>
                </a:moveTo>
                <a:lnTo>
                  <a:pt x="2534412" y="944880"/>
                </a:lnTo>
                <a:lnTo>
                  <a:pt x="2534412" y="1149096"/>
                </a:lnTo>
                <a:lnTo>
                  <a:pt x="3037332" y="1149096"/>
                </a:lnTo>
                <a:lnTo>
                  <a:pt x="3037332" y="944880"/>
                </a:lnTo>
                <a:close/>
              </a:path>
              <a:path w="7486015" h="1769745">
                <a:moveTo>
                  <a:pt x="3037332" y="416052"/>
                </a:moveTo>
                <a:lnTo>
                  <a:pt x="2534412" y="416052"/>
                </a:lnTo>
                <a:lnTo>
                  <a:pt x="2534412" y="941832"/>
                </a:lnTo>
                <a:lnTo>
                  <a:pt x="3037332" y="941832"/>
                </a:lnTo>
                <a:lnTo>
                  <a:pt x="3037332" y="416052"/>
                </a:lnTo>
                <a:close/>
              </a:path>
              <a:path w="7486015" h="1769745">
                <a:moveTo>
                  <a:pt x="3037332" y="207264"/>
                </a:moveTo>
                <a:lnTo>
                  <a:pt x="2534412" y="207264"/>
                </a:lnTo>
                <a:lnTo>
                  <a:pt x="2534412" y="413004"/>
                </a:lnTo>
                <a:lnTo>
                  <a:pt x="3037332" y="413004"/>
                </a:lnTo>
                <a:lnTo>
                  <a:pt x="3037332" y="207264"/>
                </a:lnTo>
                <a:close/>
              </a:path>
              <a:path w="7486015" h="1769745">
                <a:moveTo>
                  <a:pt x="3674364" y="1565148"/>
                </a:moveTo>
                <a:lnTo>
                  <a:pt x="3040380" y="1565148"/>
                </a:lnTo>
                <a:lnTo>
                  <a:pt x="3040380" y="1769364"/>
                </a:lnTo>
                <a:lnTo>
                  <a:pt x="3674364" y="1769364"/>
                </a:lnTo>
                <a:lnTo>
                  <a:pt x="3674364" y="1565148"/>
                </a:lnTo>
                <a:close/>
              </a:path>
              <a:path w="7486015" h="1769745">
                <a:moveTo>
                  <a:pt x="3674364" y="1357884"/>
                </a:moveTo>
                <a:lnTo>
                  <a:pt x="3040380" y="1357884"/>
                </a:lnTo>
                <a:lnTo>
                  <a:pt x="3040380" y="1562100"/>
                </a:lnTo>
                <a:lnTo>
                  <a:pt x="3674364" y="1562100"/>
                </a:lnTo>
                <a:lnTo>
                  <a:pt x="3674364" y="1357884"/>
                </a:lnTo>
                <a:close/>
              </a:path>
              <a:path w="7486015" h="1769745">
                <a:moveTo>
                  <a:pt x="3674364" y="1152144"/>
                </a:moveTo>
                <a:lnTo>
                  <a:pt x="3040380" y="1152144"/>
                </a:lnTo>
                <a:lnTo>
                  <a:pt x="3040380" y="1354836"/>
                </a:lnTo>
                <a:lnTo>
                  <a:pt x="3674364" y="1354836"/>
                </a:lnTo>
                <a:lnTo>
                  <a:pt x="3674364" y="1152144"/>
                </a:lnTo>
                <a:close/>
              </a:path>
              <a:path w="7486015" h="1769745">
                <a:moveTo>
                  <a:pt x="3674364" y="944880"/>
                </a:moveTo>
                <a:lnTo>
                  <a:pt x="3040380" y="944880"/>
                </a:lnTo>
                <a:lnTo>
                  <a:pt x="3040380" y="1149096"/>
                </a:lnTo>
                <a:lnTo>
                  <a:pt x="3674364" y="1149096"/>
                </a:lnTo>
                <a:lnTo>
                  <a:pt x="3674364" y="944880"/>
                </a:lnTo>
                <a:close/>
              </a:path>
              <a:path w="7486015" h="1769745">
                <a:moveTo>
                  <a:pt x="3674364" y="416052"/>
                </a:moveTo>
                <a:lnTo>
                  <a:pt x="3040380" y="416052"/>
                </a:lnTo>
                <a:lnTo>
                  <a:pt x="3040380" y="941832"/>
                </a:lnTo>
                <a:lnTo>
                  <a:pt x="3674364" y="941832"/>
                </a:lnTo>
                <a:lnTo>
                  <a:pt x="3674364" y="416052"/>
                </a:lnTo>
                <a:close/>
              </a:path>
              <a:path w="7486015" h="1769745">
                <a:moveTo>
                  <a:pt x="3674364" y="207264"/>
                </a:moveTo>
                <a:lnTo>
                  <a:pt x="3040380" y="207264"/>
                </a:lnTo>
                <a:lnTo>
                  <a:pt x="3040380" y="413004"/>
                </a:lnTo>
                <a:lnTo>
                  <a:pt x="3674364" y="413004"/>
                </a:lnTo>
                <a:lnTo>
                  <a:pt x="3674364" y="207264"/>
                </a:lnTo>
                <a:close/>
              </a:path>
              <a:path w="7486015" h="1769745">
                <a:moveTo>
                  <a:pt x="4437888" y="1565148"/>
                </a:moveTo>
                <a:lnTo>
                  <a:pt x="3677412" y="1565148"/>
                </a:lnTo>
                <a:lnTo>
                  <a:pt x="3677412" y="1769364"/>
                </a:lnTo>
                <a:lnTo>
                  <a:pt x="4437888" y="1769364"/>
                </a:lnTo>
                <a:lnTo>
                  <a:pt x="4437888" y="1565148"/>
                </a:lnTo>
                <a:close/>
              </a:path>
              <a:path w="7486015" h="1769745">
                <a:moveTo>
                  <a:pt x="4437888" y="1357884"/>
                </a:moveTo>
                <a:lnTo>
                  <a:pt x="3677412" y="1357884"/>
                </a:lnTo>
                <a:lnTo>
                  <a:pt x="3677412" y="1562100"/>
                </a:lnTo>
                <a:lnTo>
                  <a:pt x="4437888" y="1562100"/>
                </a:lnTo>
                <a:lnTo>
                  <a:pt x="4437888" y="1357884"/>
                </a:lnTo>
                <a:close/>
              </a:path>
              <a:path w="7486015" h="1769745">
                <a:moveTo>
                  <a:pt x="4437888" y="1152144"/>
                </a:moveTo>
                <a:lnTo>
                  <a:pt x="3677412" y="1152144"/>
                </a:lnTo>
                <a:lnTo>
                  <a:pt x="3677412" y="1354836"/>
                </a:lnTo>
                <a:lnTo>
                  <a:pt x="4437888" y="1354836"/>
                </a:lnTo>
                <a:lnTo>
                  <a:pt x="4437888" y="1152144"/>
                </a:lnTo>
                <a:close/>
              </a:path>
              <a:path w="7486015" h="1769745">
                <a:moveTo>
                  <a:pt x="4437888" y="944880"/>
                </a:moveTo>
                <a:lnTo>
                  <a:pt x="3677412" y="944880"/>
                </a:lnTo>
                <a:lnTo>
                  <a:pt x="3677412" y="1149096"/>
                </a:lnTo>
                <a:lnTo>
                  <a:pt x="4437888" y="1149096"/>
                </a:lnTo>
                <a:lnTo>
                  <a:pt x="4437888" y="944880"/>
                </a:lnTo>
                <a:close/>
              </a:path>
              <a:path w="7486015" h="1769745">
                <a:moveTo>
                  <a:pt x="4437888" y="416052"/>
                </a:moveTo>
                <a:lnTo>
                  <a:pt x="3677412" y="416052"/>
                </a:lnTo>
                <a:lnTo>
                  <a:pt x="3677412" y="941832"/>
                </a:lnTo>
                <a:lnTo>
                  <a:pt x="4437888" y="941832"/>
                </a:lnTo>
                <a:lnTo>
                  <a:pt x="4437888" y="416052"/>
                </a:lnTo>
                <a:close/>
              </a:path>
              <a:path w="7486015" h="1769745">
                <a:moveTo>
                  <a:pt x="4437888" y="207264"/>
                </a:moveTo>
                <a:lnTo>
                  <a:pt x="3677412" y="207264"/>
                </a:lnTo>
                <a:lnTo>
                  <a:pt x="3677412" y="413004"/>
                </a:lnTo>
                <a:lnTo>
                  <a:pt x="4437888" y="413004"/>
                </a:lnTo>
                <a:lnTo>
                  <a:pt x="4437888" y="207264"/>
                </a:lnTo>
                <a:close/>
              </a:path>
              <a:path w="7486015" h="1769745">
                <a:moveTo>
                  <a:pt x="5199888" y="1565148"/>
                </a:moveTo>
                <a:lnTo>
                  <a:pt x="4440936" y="1565148"/>
                </a:lnTo>
                <a:lnTo>
                  <a:pt x="4440936" y="1769364"/>
                </a:lnTo>
                <a:lnTo>
                  <a:pt x="5199888" y="1769364"/>
                </a:lnTo>
                <a:lnTo>
                  <a:pt x="5199888" y="1565148"/>
                </a:lnTo>
                <a:close/>
              </a:path>
              <a:path w="7486015" h="1769745">
                <a:moveTo>
                  <a:pt x="5199888" y="1357884"/>
                </a:moveTo>
                <a:lnTo>
                  <a:pt x="4440936" y="1357884"/>
                </a:lnTo>
                <a:lnTo>
                  <a:pt x="4440936" y="1562100"/>
                </a:lnTo>
                <a:lnTo>
                  <a:pt x="5199888" y="1562100"/>
                </a:lnTo>
                <a:lnTo>
                  <a:pt x="5199888" y="1357884"/>
                </a:lnTo>
                <a:close/>
              </a:path>
              <a:path w="7486015" h="1769745">
                <a:moveTo>
                  <a:pt x="5199888" y="1152144"/>
                </a:moveTo>
                <a:lnTo>
                  <a:pt x="4440936" y="1152144"/>
                </a:lnTo>
                <a:lnTo>
                  <a:pt x="4440936" y="1354836"/>
                </a:lnTo>
                <a:lnTo>
                  <a:pt x="5199888" y="1354836"/>
                </a:lnTo>
                <a:lnTo>
                  <a:pt x="5199888" y="1152144"/>
                </a:lnTo>
                <a:close/>
              </a:path>
              <a:path w="7486015" h="1769745">
                <a:moveTo>
                  <a:pt x="5199888" y="944880"/>
                </a:moveTo>
                <a:lnTo>
                  <a:pt x="4440936" y="944880"/>
                </a:lnTo>
                <a:lnTo>
                  <a:pt x="4440936" y="1149096"/>
                </a:lnTo>
                <a:lnTo>
                  <a:pt x="5199888" y="1149096"/>
                </a:lnTo>
                <a:lnTo>
                  <a:pt x="5199888" y="944880"/>
                </a:lnTo>
                <a:close/>
              </a:path>
              <a:path w="7486015" h="1769745">
                <a:moveTo>
                  <a:pt x="5199888" y="416052"/>
                </a:moveTo>
                <a:lnTo>
                  <a:pt x="4440936" y="416052"/>
                </a:lnTo>
                <a:lnTo>
                  <a:pt x="4440936" y="941832"/>
                </a:lnTo>
                <a:lnTo>
                  <a:pt x="5199888" y="941832"/>
                </a:lnTo>
                <a:lnTo>
                  <a:pt x="5199888" y="416052"/>
                </a:lnTo>
                <a:close/>
              </a:path>
              <a:path w="7486015" h="1769745">
                <a:moveTo>
                  <a:pt x="5199888" y="207264"/>
                </a:moveTo>
                <a:lnTo>
                  <a:pt x="4440936" y="207264"/>
                </a:lnTo>
                <a:lnTo>
                  <a:pt x="4440936" y="413004"/>
                </a:lnTo>
                <a:lnTo>
                  <a:pt x="5199888" y="413004"/>
                </a:lnTo>
                <a:lnTo>
                  <a:pt x="5199888" y="207264"/>
                </a:lnTo>
                <a:close/>
              </a:path>
              <a:path w="7486015" h="1769745">
                <a:moveTo>
                  <a:pt x="5961875" y="1565148"/>
                </a:moveTo>
                <a:lnTo>
                  <a:pt x="5202936" y="1565148"/>
                </a:lnTo>
                <a:lnTo>
                  <a:pt x="5202936" y="1769364"/>
                </a:lnTo>
                <a:lnTo>
                  <a:pt x="5961875" y="1769364"/>
                </a:lnTo>
                <a:lnTo>
                  <a:pt x="5961875" y="1565148"/>
                </a:lnTo>
                <a:close/>
              </a:path>
              <a:path w="7486015" h="1769745">
                <a:moveTo>
                  <a:pt x="5961875" y="1357884"/>
                </a:moveTo>
                <a:lnTo>
                  <a:pt x="5202936" y="1357884"/>
                </a:lnTo>
                <a:lnTo>
                  <a:pt x="5202936" y="1562100"/>
                </a:lnTo>
                <a:lnTo>
                  <a:pt x="5961875" y="1562100"/>
                </a:lnTo>
                <a:lnTo>
                  <a:pt x="5961875" y="1357884"/>
                </a:lnTo>
                <a:close/>
              </a:path>
              <a:path w="7486015" h="1769745">
                <a:moveTo>
                  <a:pt x="5961875" y="1152144"/>
                </a:moveTo>
                <a:lnTo>
                  <a:pt x="5202936" y="1152144"/>
                </a:lnTo>
                <a:lnTo>
                  <a:pt x="5202936" y="1354836"/>
                </a:lnTo>
                <a:lnTo>
                  <a:pt x="5961875" y="1354836"/>
                </a:lnTo>
                <a:lnTo>
                  <a:pt x="5961875" y="1152144"/>
                </a:lnTo>
                <a:close/>
              </a:path>
              <a:path w="7486015" h="1769745">
                <a:moveTo>
                  <a:pt x="5961875" y="944880"/>
                </a:moveTo>
                <a:lnTo>
                  <a:pt x="5202936" y="944880"/>
                </a:lnTo>
                <a:lnTo>
                  <a:pt x="5202936" y="1149096"/>
                </a:lnTo>
                <a:lnTo>
                  <a:pt x="5961875" y="1149096"/>
                </a:lnTo>
                <a:lnTo>
                  <a:pt x="5961875" y="944880"/>
                </a:lnTo>
                <a:close/>
              </a:path>
              <a:path w="7486015" h="1769745">
                <a:moveTo>
                  <a:pt x="5961875" y="416052"/>
                </a:moveTo>
                <a:lnTo>
                  <a:pt x="5202936" y="416052"/>
                </a:lnTo>
                <a:lnTo>
                  <a:pt x="5202936" y="941832"/>
                </a:lnTo>
                <a:lnTo>
                  <a:pt x="5961875" y="941832"/>
                </a:lnTo>
                <a:lnTo>
                  <a:pt x="5961875" y="416052"/>
                </a:lnTo>
                <a:close/>
              </a:path>
              <a:path w="7486015" h="1769745">
                <a:moveTo>
                  <a:pt x="5961875" y="207264"/>
                </a:moveTo>
                <a:lnTo>
                  <a:pt x="5202936" y="207264"/>
                </a:lnTo>
                <a:lnTo>
                  <a:pt x="5202936" y="413004"/>
                </a:lnTo>
                <a:lnTo>
                  <a:pt x="5961875" y="413004"/>
                </a:lnTo>
                <a:lnTo>
                  <a:pt x="5961875" y="207264"/>
                </a:lnTo>
                <a:close/>
              </a:path>
              <a:path w="7486015" h="1769745">
                <a:moveTo>
                  <a:pt x="5961875" y="0"/>
                </a:moveTo>
                <a:lnTo>
                  <a:pt x="5202936" y="0"/>
                </a:lnTo>
                <a:lnTo>
                  <a:pt x="5202936" y="204216"/>
                </a:lnTo>
                <a:lnTo>
                  <a:pt x="5961875" y="204216"/>
                </a:lnTo>
                <a:lnTo>
                  <a:pt x="5961875" y="0"/>
                </a:lnTo>
                <a:close/>
              </a:path>
              <a:path w="7486015" h="1769745">
                <a:moveTo>
                  <a:pt x="6723888" y="1565148"/>
                </a:moveTo>
                <a:lnTo>
                  <a:pt x="5964936" y="1565148"/>
                </a:lnTo>
                <a:lnTo>
                  <a:pt x="5964936" y="1769364"/>
                </a:lnTo>
                <a:lnTo>
                  <a:pt x="6723888" y="1769364"/>
                </a:lnTo>
                <a:lnTo>
                  <a:pt x="6723888" y="1565148"/>
                </a:lnTo>
                <a:close/>
              </a:path>
              <a:path w="7486015" h="1769745">
                <a:moveTo>
                  <a:pt x="6723888" y="1357884"/>
                </a:moveTo>
                <a:lnTo>
                  <a:pt x="5964936" y="1357884"/>
                </a:lnTo>
                <a:lnTo>
                  <a:pt x="5964936" y="1562100"/>
                </a:lnTo>
                <a:lnTo>
                  <a:pt x="6723888" y="1562100"/>
                </a:lnTo>
                <a:lnTo>
                  <a:pt x="6723888" y="1357884"/>
                </a:lnTo>
                <a:close/>
              </a:path>
              <a:path w="7486015" h="1769745">
                <a:moveTo>
                  <a:pt x="6723888" y="1152144"/>
                </a:moveTo>
                <a:lnTo>
                  <a:pt x="5964936" y="1152144"/>
                </a:lnTo>
                <a:lnTo>
                  <a:pt x="5964936" y="1354836"/>
                </a:lnTo>
                <a:lnTo>
                  <a:pt x="6723888" y="1354836"/>
                </a:lnTo>
                <a:lnTo>
                  <a:pt x="6723888" y="1152144"/>
                </a:lnTo>
                <a:close/>
              </a:path>
              <a:path w="7486015" h="1769745">
                <a:moveTo>
                  <a:pt x="6723888" y="944880"/>
                </a:moveTo>
                <a:lnTo>
                  <a:pt x="5964936" y="944880"/>
                </a:lnTo>
                <a:lnTo>
                  <a:pt x="5964936" y="1149096"/>
                </a:lnTo>
                <a:lnTo>
                  <a:pt x="6723888" y="1149096"/>
                </a:lnTo>
                <a:lnTo>
                  <a:pt x="6723888" y="944880"/>
                </a:lnTo>
                <a:close/>
              </a:path>
              <a:path w="7486015" h="1769745">
                <a:moveTo>
                  <a:pt x="6723888" y="416052"/>
                </a:moveTo>
                <a:lnTo>
                  <a:pt x="5964936" y="416052"/>
                </a:lnTo>
                <a:lnTo>
                  <a:pt x="5964936" y="941832"/>
                </a:lnTo>
                <a:lnTo>
                  <a:pt x="6723888" y="941832"/>
                </a:lnTo>
                <a:lnTo>
                  <a:pt x="6723888" y="416052"/>
                </a:lnTo>
                <a:close/>
              </a:path>
              <a:path w="7486015" h="1769745">
                <a:moveTo>
                  <a:pt x="6723888" y="207264"/>
                </a:moveTo>
                <a:lnTo>
                  <a:pt x="5964936" y="207264"/>
                </a:lnTo>
                <a:lnTo>
                  <a:pt x="5964936" y="413004"/>
                </a:lnTo>
                <a:lnTo>
                  <a:pt x="6723888" y="413004"/>
                </a:lnTo>
                <a:lnTo>
                  <a:pt x="6723888" y="207264"/>
                </a:lnTo>
                <a:close/>
              </a:path>
              <a:path w="7486015" h="1769745">
                <a:moveTo>
                  <a:pt x="6723888" y="0"/>
                </a:moveTo>
                <a:lnTo>
                  <a:pt x="5964936" y="0"/>
                </a:lnTo>
                <a:lnTo>
                  <a:pt x="5964936" y="204216"/>
                </a:lnTo>
                <a:lnTo>
                  <a:pt x="6723888" y="204216"/>
                </a:lnTo>
                <a:lnTo>
                  <a:pt x="6723888" y="0"/>
                </a:lnTo>
                <a:close/>
              </a:path>
              <a:path w="7486015" h="1769745">
                <a:moveTo>
                  <a:pt x="7485888" y="1565148"/>
                </a:moveTo>
                <a:lnTo>
                  <a:pt x="6726936" y="1565148"/>
                </a:lnTo>
                <a:lnTo>
                  <a:pt x="6726936" y="1769364"/>
                </a:lnTo>
                <a:lnTo>
                  <a:pt x="7485888" y="1769364"/>
                </a:lnTo>
                <a:lnTo>
                  <a:pt x="7485888" y="1565148"/>
                </a:lnTo>
                <a:close/>
              </a:path>
              <a:path w="7486015" h="1769745">
                <a:moveTo>
                  <a:pt x="7485888" y="1357884"/>
                </a:moveTo>
                <a:lnTo>
                  <a:pt x="6726936" y="1357884"/>
                </a:lnTo>
                <a:lnTo>
                  <a:pt x="6726936" y="1562100"/>
                </a:lnTo>
                <a:lnTo>
                  <a:pt x="7485888" y="1562100"/>
                </a:lnTo>
                <a:lnTo>
                  <a:pt x="7485888" y="1357884"/>
                </a:lnTo>
                <a:close/>
              </a:path>
              <a:path w="7486015" h="1769745">
                <a:moveTo>
                  <a:pt x="7485888" y="1152144"/>
                </a:moveTo>
                <a:lnTo>
                  <a:pt x="6726936" y="1152144"/>
                </a:lnTo>
                <a:lnTo>
                  <a:pt x="6726936" y="1354836"/>
                </a:lnTo>
                <a:lnTo>
                  <a:pt x="7485888" y="1354836"/>
                </a:lnTo>
                <a:lnTo>
                  <a:pt x="7485888" y="1152144"/>
                </a:lnTo>
                <a:close/>
              </a:path>
              <a:path w="7486015" h="1769745">
                <a:moveTo>
                  <a:pt x="7485888" y="944880"/>
                </a:moveTo>
                <a:lnTo>
                  <a:pt x="6726936" y="944880"/>
                </a:lnTo>
                <a:lnTo>
                  <a:pt x="6726936" y="1149096"/>
                </a:lnTo>
                <a:lnTo>
                  <a:pt x="7485888" y="1149096"/>
                </a:lnTo>
                <a:lnTo>
                  <a:pt x="7485888" y="944880"/>
                </a:lnTo>
                <a:close/>
              </a:path>
              <a:path w="7486015" h="1769745">
                <a:moveTo>
                  <a:pt x="7485888" y="416052"/>
                </a:moveTo>
                <a:lnTo>
                  <a:pt x="6726936" y="416052"/>
                </a:lnTo>
                <a:lnTo>
                  <a:pt x="6726936" y="941832"/>
                </a:lnTo>
                <a:lnTo>
                  <a:pt x="7485888" y="941832"/>
                </a:lnTo>
                <a:lnTo>
                  <a:pt x="7485888" y="416052"/>
                </a:lnTo>
                <a:close/>
              </a:path>
              <a:path w="7486015" h="1769745">
                <a:moveTo>
                  <a:pt x="7485888" y="207264"/>
                </a:moveTo>
                <a:lnTo>
                  <a:pt x="6726936" y="207264"/>
                </a:lnTo>
                <a:lnTo>
                  <a:pt x="6726936" y="413004"/>
                </a:lnTo>
                <a:lnTo>
                  <a:pt x="7485888" y="413004"/>
                </a:lnTo>
                <a:lnTo>
                  <a:pt x="7485888" y="207264"/>
                </a:lnTo>
                <a:close/>
              </a:path>
              <a:path w="7486015" h="1769745">
                <a:moveTo>
                  <a:pt x="7485888" y="0"/>
                </a:moveTo>
                <a:lnTo>
                  <a:pt x="6726936" y="0"/>
                </a:lnTo>
                <a:lnTo>
                  <a:pt x="6726936" y="204216"/>
                </a:lnTo>
                <a:lnTo>
                  <a:pt x="7485888" y="204216"/>
                </a:lnTo>
                <a:lnTo>
                  <a:pt x="7485888" y="0"/>
                </a:lnTo>
                <a:close/>
              </a:path>
            </a:pathLst>
          </a:custGeom>
          <a:solidFill>
            <a:srgbClr val="FFFFFF"/>
          </a:solidFill>
        </xdr:spPr>
      </xdr:sp>
    </xdr:grpSp>
    <xdr:clientData/>
  </xdr:oneCellAnchor>
  <xdr:oneCellAnchor>
    <xdr:from>
      <xdr:col>11</xdr:col>
      <xdr:colOff>546481</xdr:colOff>
      <xdr:row>22</xdr:row>
      <xdr:rowOff>0</xdr:rowOff>
    </xdr:from>
    <xdr:ext cx="645160" cy="3632200"/>
    <xdr:sp macro="" textlink="">
      <xdr:nvSpPr>
        <xdr:cNvPr id="86" name="Shape 86">
          <a:extLst>
            <a:ext uri="{FF2B5EF4-FFF2-40B4-BE49-F238E27FC236}">
              <a16:creationId xmlns:a16="http://schemas.microsoft.com/office/drawing/2014/main" id="{00000000-0008-0000-0700-000056000000}"/>
            </a:ext>
          </a:extLst>
        </xdr:cNvPr>
        <xdr:cNvSpPr/>
      </xdr:nvSpPr>
      <xdr:spPr>
        <a:xfrm>
          <a:off x="0" y="0"/>
          <a:ext cx="645160" cy="3632200"/>
        </a:xfrm>
        <a:custGeom>
          <a:avLst/>
          <a:gdLst/>
          <a:ahLst/>
          <a:cxnLst/>
          <a:rect l="0" t="0" r="0" b="0"/>
          <a:pathLst>
            <a:path w="645160" h="3632200">
              <a:moveTo>
                <a:pt x="644652" y="3427476"/>
              </a:moveTo>
              <a:lnTo>
                <a:pt x="0" y="3427476"/>
              </a:lnTo>
              <a:lnTo>
                <a:pt x="0" y="3631692"/>
              </a:lnTo>
              <a:lnTo>
                <a:pt x="644652" y="3631692"/>
              </a:lnTo>
              <a:lnTo>
                <a:pt x="644652" y="3427476"/>
              </a:lnTo>
              <a:close/>
            </a:path>
            <a:path w="645160" h="3632200">
              <a:moveTo>
                <a:pt x="644652" y="3220212"/>
              </a:moveTo>
              <a:lnTo>
                <a:pt x="0" y="3220212"/>
              </a:lnTo>
              <a:lnTo>
                <a:pt x="0" y="3424428"/>
              </a:lnTo>
              <a:lnTo>
                <a:pt x="644652" y="3424428"/>
              </a:lnTo>
              <a:lnTo>
                <a:pt x="644652" y="3220212"/>
              </a:lnTo>
              <a:close/>
            </a:path>
            <a:path w="645160" h="3632200">
              <a:moveTo>
                <a:pt x="644652" y="3014472"/>
              </a:moveTo>
              <a:lnTo>
                <a:pt x="0" y="3014472"/>
              </a:lnTo>
              <a:lnTo>
                <a:pt x="0" y="3217164"/>
              </a:lnTo>
              <a:lnTo>
                <a:pt x="644652" y="3217164"/>
              </a:lnTo>
              <a:lnTo>
                <a:pt x="644652" y="3014472"/>
              </a:lnTo>
              <a:close/>
            </a:path>
            <a:path w="645160" h="3632200">
              <a:moveTo>
                <a:pt x="644652" y="2807208"/>
              </a:moveTo>
              <a:lnTo>
                <a:pt x="0" y="2807208"/>
              </a:lnTo>
              <a:lnTo>
                <a:pt x="0" y="3011424"/>
              </a:lnTo>
              <a:lnTo>
                <a:pt x="644652" y="3011424"/>
              </a:lnTo>
              <a:lnTo>
                <a:pt x="644652" y="2807208"/>
              </a:lnTo>
              <a:close/>
            </a:path>
            <a:path w="645160" h="3632200">
              <a:moveTo>
                <a:pt x="644652" y="2278380"/>
              </a:moveTo>
              <a:lnTo>
                <a:pt x="0" y="2278380"/>
              </a:lnTo>
              <a:lnTo>
                <a:pt x="0" y="2804160"/>
              </a:lnTo>
              <a:lnTo>
                <a:pt x="644652" y="2804160"/>
              </a:lnTo>
              <a:lnTo>
                <a:pt x="644652" y="2278380"/>
              </a:lnTo>
              <a:close/>
            </a:path>
            <a:path w="645160" h="3632200">
              <a:moveTo>
                <a:pt x="644652" y="2069592"/>
              </a:moveTo>
              <a:lnTo>
                <a:pt x="0" y="2069592"/>
              </a:lnTo>
              <a:lnTo>
                <a:pt x="0" y="2275332"/>
              </a:lnTo>
              <a:lnTo>
                <a:pt x="644652" y="2275332"/>
              </a:lnTo>
              <a:lnTo>
                <a:pt x="644652" y="2069592"/>
              </a:lnTo>
              <a:close/>
            </a:path>
            <a:path w="645160" h="3632200">
              <a:moveTo>
                <a:pt x="644652" y="1862328"/>
              </a:moveTo>
              <a:lnTo>
                <a:pt x="0" y="1862328"/>
              </a:lnTo>
              <a:lnTo>
                <a:pt x="0" y="2066544"/>
              </a:lnTo>
              <a:lnTo>
                <a:pt x="644652" y="2066544"/>
              </a:lnTo>
              <a:lnTo>
                <a:pt x="644652" y="1862328"/>
              </a:lnTo>
              <a:close/>
            </a:path>
            <a:path w="645160" h="3632200">
              <a:moveTo>
                <a:pt x="644652" y="1655064"/>
              </a:moveTo>
              <a:lnTo>
                <a:pt x="0" y="1655064"/>
              </a:lnTo>
              <a:lnTo>
                <a:pt x="0" y="1859280"/>
              </a:lnTo>
              <a:lnTo>
                <a:pt x="644652" y="1859280"/>
              </a:lnTo>
              <a:lnTo>
                <a:pt x="644652" y="1655064"/>
              </a:lnTo>
              <a:close/>
            </a:path>
            <a:path w="645160" h="3632200">
              <a:moveTo>
                <a:pt x="644652" y="1449324"/>
              </a:moveTo>
              <a:lnTo>
                <a:pt x="0" y="1449324"/>
              </a:lnTo>
              <a:lnTo>
                <a:pt x="0" y="1652016"/>
              </a:lnTo>
              <a:lnTo>
                <a:pt x="644652" y="1652016"/>
              </a:lnTo>
              <a:lnTo>
                <a:pt x="644652" y="1449324"/>
              </a:lnTo>
              <a:close/>
            </a:path>
            <a:path w="645160" h="3632200">
              <a:moveTo>
                <a:pt x="644652" y="1242060"/>
              </a:moveTo>
              <a:lnTo>
                <a:pt x="0" y="1242060"/>
              </a:lnTo>
              <a:lnTo>
                <a:pt x="0" y="1446276"/>
              </a:lnTo>
              <a:lnTo>
                <a:pt x="644652" y="1446276"/>
              </a:lnTo>
              <a:lnTo>
                <a:pt x="644652" y="1242060"/>
              </a:lnTo>
              <a:close/>
            </a:path>
            <a:path w="645160" h="3632200">
              <a:moveTo>
                <a:pt x="644652" y="1034796"/>
              </a:moveTo>
              <a:lnTo>
                <a:pt x="0" y="1034796"/>
              </a:lnTo>
              <a:lnTo>
                <a:pt x="0" y="1239012"/>
              </a:lnTo>
              <a:lnTo>
                <a:pt x="644652" y="1239012"/>
              </a:lnTo>
              <a:lnTo>
                <a:pt x="644652" y="1034796"/>
              </a:lnTo>
              <a:close/>
            </a:path>
            <a:path w="645160" h="3632200">
              <a:moveTo>
                <a:pt x="644652" y="827532"/>
              </a:moveTo>
              <a:lnTo>
                <a:pt x="0" y="827532"/>
              </a:lnTo>
              <a:lnTo>
                <a:pt x="0" y="1031748"/>
              </a:lnTo>
              <a:lnTo>
                <a:pt x="644652" y="1031748"/>
              </a:lnTo>
              <a:lnTo>
                <a:pt x="644652" y="827532"/>
              </a:lnTo>
              <a:close/>
            </a:path>
            <a:path w="645160" h="3632200">
              <a:moveTo>
                <a:pt x="644652" y="621792"/>
              </a:moveTo>
              <a:lnTo>
                <a:pt x="0" y="621792"/>
              </a:lnTo>
              <a:lnTo>
                <a:pt x="0" y="824484"/>
              </a:lnTo>
              <a:lnTo>
                <a:pt x="644652" y="824484"/>
              </a:lnTo>
              <a:lnTo>
                <a:pt x="644652" y="621792"/>
              </a:lnTo>
              <a:close/>
            </a:path>
            <a:path w="645160" h="3632200">
              <a:moveTo>
                <a:pt x="644652" y="414528"/>
              </a:moveTo>
              <a:lnTo>
                <a:pt x="0" y="414528"/>
              </a:lnTo>
              <a:lnTo>
                <a:pt x="0" y="618744"/>
              </a:lnTo>
              <a:lnTo>
                <a:pt x="644652" y="618744"/>
              </a:lnTo>
              <a:lnTo>
                <a:pt x="644652" y="414528"/>
              </a:lnTo>
              <a:close/>
            </a:path>
            <a:path w="645160" h="3632200">
              <a:moveTo>
                <a:pt x="644652" y="207264"/>
              </a:moveTo>
              <a:lnTo>
                <a:pt x="0" y="207264"/>
              </a:lnTo>
              <a:lnTo>
                <a:pt x="0" y="411480"/>
              </a:lnTo>
              <a:lnTo>
                <a:pt x="644652" y="411480"/>
              </a:lnTo>
              <a:lnTo>
                <a:pt x="644652" y="207264"/>
              </a:lnTo>
              <a:close/>
            </a:path>
            <a:path w="645160" h="3632200">
              <a:moveTo>
                <a:pt x="644652" y="0"/>
              </a:moveTo>
              <a:lnTo>
                <a:pt x="0" y="0"/>
              </a:lnTo>
              <a:lnTo>
                <a:pt x="0" y="204216"/>
              </a:lnTo>
              <a:lnTo>
                <a:pt x="644652" y="204216"/>
              </a:lnTo>
              <a:lnTo>
                <a:pt x="644652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543687</xdr:colOff>
      <xdr:row>23</xdr:row>
      <xdr:rowOff>206501</xdr:rowOff>
    </xdr:from>
    <xdr:ext cx="3808729" cy="480059"/>
    <xdr:sp macro="" textlink="">
      <xdr:nvSpPr>
        <xdr:cNvPr id="87" name="Shape 87">
          <a:extLst>
            <a:ext uri="{FF2B5EF4-FFF2-40B4-BE49-F238E27FC236}">
              <a16:creationId xmlns:a16="http://schemas.microsoft.com/office/drawing/2014/main" id="{00000000-0008-0000-0800-000057000000}"/>
            </a:ext>
          </a:extLst>
        </xdr:cNvPr>
        <xdr:cNvSpPr/>
      </xdr:nvSpPr>
      <xdr:spPr>
        <a:xfrm>
          <a:off x="0" y="0"/>
          <a:ext cx="3808729" cy="480059"/>
        </a:xfrm>
        <a:custGeom>
          <a:avLst/>
          <a:gdLst/>
          <a:ahLst/>
          <a:cxnLst/>
          <a:rect l="0" t="0" r="0" b="0"/>
          <a:pathLst>
            <a:path w="3808729" h="480059">
              <a:moveTo>
                <a:pt x="760476" y="0"/>
              </a:moveTo>
              <a:lnTo>
                <a:pt x="0" y="0"/>
              </a:lnTo>
              <a:lnTo>
                <a:pt x="0" y="480060"/>
              </a:lnTo>
              <a:lnTo>
                <a:pt x="760476" y="480060"/>
              </a:lnTo>
              <a:lnTo>
                <a:pt x="760476" y="0"/>
              </a:lnTo>
              <a:close/>
            </a:path>
            <a:path w="3808729" h="480059">
              <a:moveTo>
                <a:pt x="1522476" y="0"/>
              </a:moveTo>
              <a:lnTo>
                <a:pt x="763524" y="0"/>
              </a:lnTo>
              <a:lnTo>
                <a:pt x="763524" y="480060"/>
              </a:lnTo>
              <a:lnTo>
                <a:pt x="1522476" y="480060"/>
              </a:lnTo>
              <a:lnTo>
                <a:pt x="1522476" y="0"/>
              </a:lnTo>
              <a:close/>
            </a:path>
            <a:path w="3808729" h="480059">
              <a:moveTo>
                <a:pt x="2284463" y="0"/>
              </a:moveTo>
              <a:lnTo>
                <a:pt x="1525524" y="0"/>
              </a:lnTo>
              <a:lnTo>
                <a:pt x="1525524" y="480060"/>
              </a:lnTo>
              <a:lnTo>
                <a:pt x="2284463" y="480060"/>
              </a:lnTo>
              <a:lnTo>
                <a:pt x="2284463" y="0"/>
              </a:lnTo>
              <a:close/>
            </a:path>
            <a:path w="3808729" h="480059">
              <a:moveTo>
                <a:pt x="3046476" y="0"/>
              </a:moveTo>
              <a:lnTo>
                <a:pt x="2287524" y="0"/>
              </a:lnTo>
              <a:lnTo>
                <a:pt x="2287524" y="480060"/>
              </a:lnTo>
              <a:lnTo>
                <a:pt x="3046476" y="480060"/>
              </a:lnTo>
              <a:lnTo>
                <a:pt x="3046476" y="0"/>
              </a:lnTo>
              <a:close/>
            </a:path>
            <a:path w="3808729" h="480059">
              <a:moveTo>
                <a:pt x="3808476" y="0"/>
              </a:moveTo>
              <a:lnTo>
                <a:pt x="3049524" y="0"/>
              </a:lnTo>
              <a:lnTo>
                <a:pt x="3049524" y="480060"/>
              </a:lnTo>
              <a:lnTo>
                <a:pt x="3808476" y="480060"/>
              </a:lnTo>
              <a:lnTo>
                <a:pt x="3808476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5</xdr:col>
      <xdr:colOff>299453</xdr:colOff>
      <xdr:row>3</xdr:row>
      <xdr:rowOff>49142</xdr:rowOff>
    </xdr:from>
    <xdr:ext cx="193523" cy="290285"/>
    <xdr:pic>
      <xdr:nvPicPr>
        <xdr:cNvPr id="88" name="image1.jpeg">
          <a:extLst>
            <a:ext uri="{FF2B5EF4-FFF2-40B4-BE49-F238E27FC236}">
              <a16:creationId xmlns:a16="http://schemas.microsoft.com/office/drawing/2014/main" id="{00000000-0008-0000-0800-00005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93523" cy="290285"/>
        </a:xfrm>
        <a:prstGeom prst="rect">
          <a:avLst/>
        </a:prstGeom>
      </xdr:spPr>
    </xdr:pic>
    <xdr:clientData/>
  </xdr:oneCellAnchor>
  <xdr:oneCellAnchor>
    <xdr:from>
      <xdr:col>6</xdr:col>
      <xdr:colOff>201929</xdr:colOff>
      <xdr:row>3</xdr:row>
      <xdr:rowOff>761</xdr:rowOff>
    </xdr:from>
    <xdr:ext cx="381000" cy="381000"/>
    <xdr:pic>
      <xdr:nvPicPr>
        <xdr:cNvPr id="89" name="image2.jpeg">
          <a:extLst>
            <a:ext uri="{FF2B5EF4-FFF2-40B4-BE49-F238E27FC236}">
              <a16:creationId xmlns:a16="http://schemas.microsoft.com/office/drawing/2014/main" id="{00000000-0008-0000-0800-00005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81000" cy="381000"/>
        </a:xfrm>
        <a:prstGeom prst="rect">
          <a:avLst/>
        </a:prstGeom>
      </xdr:spPr>
    </xdr:pic>
    <xdr:clientData/>
  </xdr:oneCellAnchor>
  <xdr:oneCellAnchor>
    <xdr:from>
      <xdr:col>7</xdr:col>
      <xdr:colOff>201930</xdr:colOff>
      <xdr:row>3</xdr:row>
      <xdr:rowOff>761</xdr:rowOff>
    </xdr:from>
    <xdr:ext cx="381000" cy="381000"/>
    <xdr:pic>
      <xdr:nvPicPr>
        <xdr:cNvPr id="90" name="image3.jpeg">
          <a:extLst>
            <a:ext uri="{FF2B5EF4-FFF2-40B4-BE49-F238E27FC236}">
              <a16:creationId xmlns:a16="http://schemas.microsoft.com/office/drawing/2014/main" id="{00000000-0008-0000-0800-00005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81000" cy="381000"/>
        </a:xfrm>
        <a:prstGeom prst="rect">
          <a:avLst/>
        </a:prstGeom>
      </xdr:spPr>
    </xdr:pic>
    <xdr:clientData/>
  </xdr:oneCellAnchor>
  <xdr:oneCellAnchor>
    <xdr:from>
      <xdr:col>8</xdr:col>
      <xdr:colOff>201929</xdr:colOff>
      <xdr:row>3</xdr:row>
      <xdr:rowOff>49142</xdr:rowOff>
    </xdr:from>
    <xdr:ext cx="381000" cy="290285"/>
    <xdr:pic>
      <xdr:nvPicPr>
        <xdr:cNvPr id="91" name="image4.jpeg">
          <a:extLst>
            <a:ext uri="{FF2B5EF4-FFF2-40B4-BE49-F238E27FC236}">
              <a16:creationId xmlns:a16="http://schemas.microsoft.com/office/drawing/2014/main" id="{00000000-0008-0000-0800-00005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81000" cy="290285"/>
        </a:xfrm>
        <a:prstGeom prst="rect">
          <a:avLst/>
        </a:prstGeom>
      </xdr:spPr>
    </xdr:pic>
    <xdr:clientData/>
  </xdr:oneCellAnchor>
  <xdr:oneCellAnchor>
    <xdr:from>
      <xdr:col>9</xdr:col>
      <xdr:colOff>201929</xdr:colOff>
      <xdr:row>3</xdr:row>
      <xdr:rowOff>49142</xdr:rowOff>
    </xdr:from>
    <xdr:ext cx="381000" cy="290285"/>
    <xdr:pic>
      <xdr:nvPicPr>
        <xdr:cNvPr id="92" name="image5.jpeg">
          <a:extLst>
            <a:ext uri="{FF2B5EF4-FFF2-40B4-BE49-F238E27FC236}">
              <a16:creationId xmlns:a16="http://schemas.microsoft.com/office/drawing/2014/main" id="{00000000-0008-0000-0800-00005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81000" cy="290285"/>
        </a:xfrm>
        <a:prstGeom prst="rect">
          <a:avLst/>
        </a:prstGeom>
      </xdr:spPr>
    </xdr:pic>
    <xdr:clientData/>
  </xdr:oneCellAnchor>
  <xdr:oneCellAnchor>
    <xdr:from>
      <xdr:col>1</xdr:col>
      <xdr:colOff>226059</xdr:colOff>
      <xdr:row>25</xdr:row>
      <xdr:rowOff>0</xdr:rowOff>
    </xdr:from>
    <xdr:ext cx="7486015" cy="4139565"/>
    <xdr:grpSp>
      <xdr:nvGrpSpPr>
        <xdr:cNvPr id="93" name="Group 93">
          <a:extLst>
            <a:ext uri="{FF2B5EF4-FFF2-40B4-BE49-F238E27FC236}">
              <a16:creationId xmlns:a16="http://schemas.microsoft.com/office/drawing/2014/main" id="{00000000-0008-0000-0800-00005D000000}"/>
            </a:ext>
          </a:extLst>
        </xdr:cNvPr>
        <xdr:cNvGrpSpPr/>
      </xdr:nvGrpSpPr>
      <xdr:grpSpPr>
        <a:xfrm>
          <a:off x="607059" y="6256020"/>
          <a:ext cx="7486015" cy="4139565"/>
          <a:chOff x="0" y="0"/>
          <a:chExt cx="7486015" cy="4139565"/>
        </a:xfrm>
      </xdr:grpSpPr>
      <xdr:sp macro="" textlink="">
        <xdr:nvSpPr>
          <xdr:cNvPr id="94" name="Shape 94">
            <a:extLst>
              <a:ext uri="{FF2B5EF4-FFF2-40B4-BE49-F238E27FC236}">
                <a16:creationId xmlns:a16="http://schemas.microsoft.com/office/drawing/2014/main" id="{00000000-0008-0000-0800-00005E000000}"/>
              </a:ext>
            </a:extLst>
          </xdr:cNvPr>
          <xdr:cNvSpPr/>
        </xdr:nvSpPr>
        <xdr:spPr>
          <a:xfrm>
            <a:off x="0" y="0"/>
            <a:ext cx="7486015" cy="2068195"/>
          </a:xfrm>
          <a:custGeom>
            <a:avLst/>
            <a:gdLst/>
            <a:ahLst/>
            <a:cxnLst/>
            <a:rect l="0" t="0" r="0" b="0"/>
            <a:pathLst>
              <a:path w="7486015" h="2068195">
                <a:moveTo>
                  <a:pt x="312420" y="1242060"/>
                </a:moveTo>
                <a:lnTo>
                  <a:pt x="0" y="1242060"/>
                </a:lnTo>
                <a:lnTo>
                  <a:pt x="0" y="1653540"/>
                </a:lnTo>
                <a:lnTo>
                  <a:pt x="312420" y="1653540"/>
                </a:lnTo>
                <a:lnTo>
                  <a:pt x="312420" y="1242060"/>
                </a:lnTo>
                <a:close/>
              </a:path>
              <a:path w="7486015" h="2068195">
                <a:moveTo>
                  <a:pt x="312420" y="0"/>
                </a:moveTo>
                <a:lnTo>
                  <a:pt x="0" y="0"/>
                </a:lnTo>
                <a:lnTo>
                  <a:pt x="0" y="1239012"/>
                </a:lnTo>
                <a:lnTo>
                  <a:pt x="312420" y="1239012"/>
                </a:lnTo>
                <a:lnTo>
                  <a:pt x="312420" y="0"/>
                </a:lnTo>
                <a:close/>
              </a:path>
              <a:path w="7486015" h="2068195">
                <a:moveTo>
                  <a:pt x="1264920" y="1242060"/>
                </a:moveTo>
                <a:lnTo>
                  <a:pt x="315468" y="1242060"/>
                </a:lnTo>
                <a:lnTo>
                  <a:pt x="315468" y="1653540"/>
                </a:lnTo>
                <a:lnTo>
                  <a:pt x="1264920" y="1653540"/>
                </a:lnTo>
                <a:lnTo>
                  <a:pt x="1264920" y="1242060"/>
                </a:lnTo>
                <a:close/>
              </a:path>
              <a:path w="7486015" h="2068195">
                <a:moveTo>
                  <a:pt x="1264920" y="0"/>
                </a:moveTo>
                <a:lnTo>
                  <a:pt x="315468" y="0"/>
                </a:lnTo>
                <a:lnTo>
                  <a:pt x="315468" y="1239012"/>
                </a:lnTo>
                <a:lnTo>
                  <a:pt x="1264920" y="1239012"/>
                </a:lnTo>
                <a:lnTo>
                  <a:pt x="1264920" y="0"/>
                </a:lnTo>
                <a:close/>
              </a:path>
              <a:path w="7486015" h="2068195">
                <a:moveTo>
                  <a:pt x="2531364" y="1242060"/>
                </a:moveTo>
                <a:lnTo>
                  <a:pt x="1267968" y="1242060"/>
                </a:lnTo>
                <a:lnTo>
                  <a:pt x="1267968" y="1653540"/>
                </a:lnTo>
                <a:lnTo>
                  <a:pt x="2531364" y="1653540"/>
                </a:lnTo>
                <a:lnTo>
                  <a:pt x="2531364" y="1242060"/>
                </a:lnTo>
                <a:close/>
              </a:path>
              <a:path w="7486015" h="2068195">
                <a:moveTo>
                  <a:pt x="2531364" y="0"/>
                </a:moveTo>
                <a:lnTo>
                  <a:pt x="1267968" y="0"/>
                </a:lnTo>
                <a:lnTo>
                  <a:pt x="1267968" y="1239012"/>
                </a:lnTo>
                <a:lnTo>
                  <a:pt x="2531364" y="1239012"/>
                </a:lnTo>
                <a:lnTo>
                  <a:pt x="2531364" y="0"/>
                </a:lnTo>
                <a:close/>
              </a:path>
              <a:path w="7486015" h="2068195">
                <a:moveTo>
                  <a:pt x="3037332" y="1863852"/>
                </a:moveTo>
                <a:lnTo>
                  <a:pt x="2534412" y="1863852"/>
                </a:lnTo>
                <a:lnTo>
                  <a:pt x="2534412" y="2068068"/>
                </a:lnTo>
                <a:lnTo>
                  <a:pt x="3037332" y="2068068"/>
                </a:lnTo>
                <a:lnTo>
                  <a:pt x="3037332" y="1863852"/>
                </a:lnTo>
                <a:close/>
              </a:path>
              <a:path w="7486015" h="2068195">
                <a:moveTo>
                  <a:pt x="3037332" y="1656588"/>
                </a:moveTo>
                <a:lnTo>
                  <a:pt x="2534412" y="1656588"/>
                </a:lnTo>
                <a:lnTo>
                  <a:pt x="2534412" y="1860804"/>
                </a:lnTo>
                <a:lnTo>
                  <a:pt x="3037332" y="1860804"/>
                </a:lnTo>
                <a:lnTo>
                  <a:pt x="3037332" y="1656588"/>
                </a:lnTo>
                <a:close/>
              </a:path>
              <a:path w="7486015" h="2068195">
                <a:moveTo>
                  <a:pt x="3037332" y="1449324"/>
                </a:moveTo>
                <a:lnTo>
                  <a:pt x="2534412" y="1449324"/>
                </a:lnTo>
                <a:lnTo>
                  <a:pt x="2534412" y="1653540"/>
                </a:lnTo>
                <a:lnTo>
                  <a:pt x="3037332" y="1653540"/>
                </a:lnTo>
                <a:lnTo>
                  <a:pt x="3037332" y="1449324"/>
                </a:lnTo>
                <a:close/>
              </a:path>
              <a:path w="7486015" h="2068195">
                <a:moveTo>
                  <a:pt x="3037332" y="1242060"/>
                </a:moveTo>
                <a:lnTo>
                  <a:pt x="2534412" y="1242060"/>
                </a:lnTo>
                <a:lnTo>
                  <a:pt x="2534412" y="1446276"/>
                </a:lnTo>
                <a:lnTo>
                  <a:pt x="3037332" y="1446276"/>
                </a:lnTo>
                <a:lnTo>
                  <a:pt x="3037332" y="1242060"/>
                </a:lnTo>
                <a:close/>
              </a:path>
              <a:path w="7486015" h="2068195">
                <a:moveTo>
                  <a:pt x="3037332" y="1034796"/>
                </a:moveTo>
                <a:lnTo>
                  <a:pt x="2534412" y="1034796"/>
                </a:lnTo>
                <a:lnTo>
                  <a:pt x="2534412" y="1239012"/>
                </a:lnTo>
                <a:lnTo>
                  <a:pt x="3037332" y="1239012"/>
                </a:lnTo>
                <a:lnTo>
                  <a:pt x="3037332" y="1034796"/>
                </a:lnTo>
                <a:close/>
              </a:path>
              <a:path w="7486015" h="2068195">
                <a:moveTo>
                  <a:pt x="3037332" y="827532"/>
                </a:moveTo>
                <a:lnTo>
                  <a:pt x="2534412" y="827532"/>
                </a:lnTo>
                <a:lnTo>
                  <a:pt x="2534412" y="1031748"/>
                </a:lnTo>
                <a:lnTo>
                  <a:pt x="3037332" y="1031748"/>
                </a:lnTo>
                <a:lnTo>
                  <a:pt x="3037332" y="827532"/>
                </a:lnTo>
                <a:close/>
              </a:path>
              <a:path w="7486015" h="2068195">
                <a:moveTo>
                  <a:pt x="3037332" y="621792"/>
                </a:moveTo>
                <a:lnTo>
                  <a:pt x="2534412" y="621792"/>
                </a:lnTo>
                <a:lnTo>
                  <a:pt x="2534412" y="824484"/>
                </a:lnTo>
                <a:lnTo>
                  <a:pt x="3037332" y="824484"/>
                </a:lnTo>
                <a:lnTo>
                  <a:pt x="3037332" y="621792"/>
                </a:lnTo>
                <a:close/>
              </a:path>
              <a:path w="7486015" h="2068195">
                <a:moveTo>
                  <a:pt x="3037332" y="414528"/>
                </a:moveTo>
                <a:lnTo>
                  <a:pt x="2534412" y="414528"/>
                </a:lnTo>
                <a:lnTo>
                  <a:pt x="2534412" y="618744"/>
                </a:lnTo>
                <a:lnTo>
                  <a:pt x="3037332" y="618744"/>
                </a:lnTo>
                <a:lnTo>
                  <a:pt x="3037332" y="414528"/>
                </a:lnTo>
                <a:close/>
              </a:path>
              <a:path w="7486015" h="2068195">
                <a:moveTo>
                  <a:pt x="3037332" y="207264"/>
                </a:moveTo>
                <a:lnTo>
                  <a:pt x="2534412" y="207264"/>
                </a:lnTo>
                <a:lnTo>
                  <a:pt x="2534412" y="411480"/>
                </a:lnTo>
                <a:lnTo>
                  <a:pt x="3037332" y="411480"/>
                </a:lnTo>
                <a:lnTo>
                  <a:pt x="3037332" y="207264"/>
                </a:lnTo>
                <a:close/>
              </a:path>
              <a:path w="7486015" h="2068195">
                <a:moveTo>
                  <a:pt x="3037332" y="0"/>
                </a:moveTo>
                <a:lnTo>
                  <a:pt x="2534412" y="0"/>
                </a:lnTo>
                <a:lnTo>
                  <a:pt x="2534412" y="204216"/>
                </a:lnTo>
                <a:lnTo>
                  <a:pt x="3037332" y="204216"/>
                </a:lnTo>
                <a:lnTo>
                  <a:pt x="3037332" y="0"/>
                </a:lnTo>
                <a:close/>
              </a:path>
              <a:path w="7486015" h="2068195">
                <a:moveTo>
                  <a:pt x="3674364" y="1863852"/>
                </a:moveTo>
                <a:lnTo>
                  <a:pt x="3040380" y="1863852"/>
                </a:lnTo>
                <a:lnTo>
                  <a:pt x="3040380" y="2068068"/>
                </a:lnTo>
                <a:lnTo>
                  <a:pt x="3674364" y="2068068"/>
                </a:lnTo>
                <a:lnTo>
                  <a:pt x="3674364" y="1863852"/>
                </a:lnTo>
                <a:close/>
              </a:path>
              <a:path w="7486015" h="2068195">
                <a:moveTo>
                  <a:pt x="3674364" y="1656588"/>
                </a:moveTo>
                <a:lnTo>
                  <a:pt x="3040380" y="1656588"/>
                </a:lnTo>
                <a:lnTo>
                  <a:pt x="3040380" y="1860804"/>
                </a:lnTo>
                <a:lnTo>
                  <a:pt x="3674364" y="1860804"/>
                </a:lnTo>
                <a:lnTo>
                  <a:pt x="3674364" y="1656588"/>
                </a:lnTo>
                <a:close/>
              </a:path>
              <a:path w="7486015" h="2068195">
                <a:moveTo>
                  <a:pt x="3674364" y="1449324"/>
                </a:moveTo>
                <a:lnTo>
                  <a:pt x="3040380" y="1449324"/>
                </a:lnTo>
                <a:lnTo>
                  <a:pt x="3040380" y="1653540"/>
                </a:lnTo>
                <a:lnTo>
                  <a:pt x="3674364" y="1653540"/>
                </a:lnTo>
                <a:lnTo>
                  <a:pt x="3674364" y="1449324"/>
                </a:lnTo>
                <a:close/>
              </a:path>
              <a:path w="7486015" h="2068195">
                <a:moveTo>
                  <a:pt x="3674364" y="1242060"/>
                </a:moveTo>
                <a:lnTo>
                  <a:pt x="3040380" y="1242060"/>
                </a:lnTo>
                <a:lnTo>
                  <a:pt x="3040380" y="1446276"/>
                </a:lnTo>
                <a:lnTo>
                  <a:pt x="3674364" y="1446276"/>
                </a:lnTo>
                <a:lnTo>
                  <a:pt x="3674364" y="1242060"/>
                </a:lnTo>
                <a:close/>
              </a:path>
              <a:path w="7486015" h="2068195">
                <a:moveTo>
                  <a:pt x="3674364" y="1034796"/>
                </a:moveTo>
                <a:lnTo>
                  <a:pt x="3040380" y="1034796"/>
                </a:lnTo>
                <a:lnTo>
                  <a:pt x="3040380" y="1239012"/>
                </a:lnTo>
                <a:lnTo>
                  <a:pt x="3674364" y="1239012"/>
                </a:lnTo>
                <a:lnTo>
                  <a:pt x="3674364" y="1034796"/>
                </a:lnTo>
                <a:close/>
              </a:path>
              <a:path w="7486015" h="2068195">
                <a:moveTo>
                  <a:pt x="3674364" y="827532"/>
                </a:moveTo>
                <a:lnTo>
                  <a:pt x="3040380" y="827532"/>
                </a:lnTo>
                <a:lnTo>
                  <a:pt x="3040380" y="1031748"/>
                </a:lnTo>
                <a:lnTo>
                  <a:pt x="3674364" y="1031748"/>
                </a:lnTo>
                <a:lnTo>
                  <a:pt x="3674364" y="827532"/>
                </a:lnTo>
                <a:close/>
              </a:path>
              <a:path w="7486015" h="2068195">
                <a:moveTo>
                  <a:pt x="3674364" y="621792"/>
                </a:moveTo>
                <a:lnTo>
                  <a:pt x="3040380" y="621792"/>
                </a:lnTo>
                <a:lnTo>
                  <a:pt x="3040380" y="824484"/>
                </a:lnTo>
                <a:lnTo>
                  <a:pt x="3674364" y="824484"/>
                </a:lnTo>
                <a:lnTo>
                  <a:pt x="3674364" y="621792"/>
                </a:lnTo>
                <a:close/>
              </a:path>
              <a:path w="7486015" h="2068195">
                <a:moveTo>
                  <a:pt x="3674364" y="414528"/>
                </a:moveTo>
                <a:lnTo>
                  <a:pt x="3040380" y="414528"/>
                </a:lnTo>
                <a:lnTo>
                  <a:pt x="3040380" y="618744"/>
                </a:lnTo>
                <a:lnTo>
                  <a:pt x="3674364" y="618744"/>
                </a:lnTo>
                <a:lnTo>
                  <a:pt x="3674364" y="414528"/>
                </a:lnTo>
                <a:close/>
              </a:path>
              <a:path w="7486015" h="2068195">
                <a:moveTo>
                  <a:pt x="3674364" y="207264"/>
                </a:moveTo>
                <a:lnTo>
                  <a:pt x="3040380" y="207264"/>
                </a:lnTo>
                <a:lnTo>
                  <a:pt x="3040380" y="411480"/>
                </a:lnTo>
                <a:lnTo>
                  <a:pt x="3674364" y="411480"/>
                </a:lnTo>
                <a:lnTo>
                  <a:pt x="3674364" y="207264"/>
                </a:lnTo>
                <a:close/>
              </a:path>
              <a:path w="7486015" h="2068195">
                <a:moveTo>
                  <a:pt x="3674364" y="0"/>
                </a:moveTo>
                <a:lnTo>
                  <a:pt x="3040380" y="0"/>
                </a:lnTo>
                <a:lnTo>
                  <a:pt x="3040380" y="204216"/>
                </a:lnTo>
                <a:lnTo>
                  <a:pt x="3674364" y="204216"/>
                </a:lnTo>
                <a:lnTo>
                  <a:pt x="3674364" y="0"/>
                </a:lnTo>
                <a:close/>
              </a:path>
              <a:path w="7486015" h="2068195">
                <a:moveTo>
                  <a:pt x="4437888" y="1656588"/>
                </a:moveTo>
                <a:lnTo>
                  <a:pt x="3677412" y="1656588"/>
                </a:lnTo>
                <a:lnTo>
                  <a:pt x="3677412" y="1860804"/>
                </a:lnTo>
                <a:lnTo>
                  <a:pt x="4437888" y="1860804"/>
                </a:lnTo>
                <a:lnTo>
                  <a:pt x="4437888" y="1656588"/>
                </a:lnTo>
                <a:close/>
              </a:path>
              <a:path w="7486015" h="2068195">
                <a:moveTo>
                  <a:pt x="4437888" y="1449324"/>
                </a:moveTo>
                <a:lnTo>
                  <a:pt x="3677412" y="1449324"/>
                </a:lnTo>
                <a:lnTo>
                  <a:pt x="3677412" y="1653540"/>
                </a:lnTo>
                <a:lnTo>
                  <a:pt x="4437888" y="1653540"/>
                </a:lnTo>
                <a:lnTo>
                  <a:pt x="4437888" y="1449324"/>
                </a:lnTo>
                <a:close/>
              </a:path>
              <a:path w="7486015" h="2068195">
                <a:moveTo>
                  <a:pt x="4437888" y="1242060"/>
                </a:moveTo>
                <a:lnTo>
                  <a:pt x="3677412" y="1242060"/>
                </a:lnTo>
                <a:lnTo>
                  <a:pt x="3677412" y="1446276"/>
                </a:lnTo>
                <a:lnTo>
                  <a:pt x="4437888" y="1446276"/>
                </a:lnTo>
                <a:lnTo>
                  <a:pt x="4437888" y="1242060"/>
                </a:lnTo>
                <a:close/>
              </a:path>
              <a:path w="7486015" h="2068195">
                <a:moveTo>
                  <a:pt x="4437888" y="1034796"/>
                </a:moveTo>
                <a:lnTo>
                  <a:pt x="3677412" y="1034796"/>
                </a:lnTo>
                <a:lnTo>
                  <a:pt x="3677412" y="1239012"/>
                </a:lnTo>
                <a:lnTo>
                  <a:pt x="4437888" y="1239012"/>
                </a:lnTo>
                <a:lnTo>
                  <a:pt x="4437888" y="1034796"/>
                </a:lnTo>
                <a:close/>
              </a:path>
              <a:path w="7486015" h="2068195">
                <a:moveTo>
                  <a:pt x="4437888" y="827532"/>
                </a:moveTo>
                <a:lnTo>
                  <a:pt x="3677412" y="827532"/>
                </a:lnTo>
                <a:lnTo>
                  <a:pt x="3677412" y="1031748"/>
                </a:lnTo>
                <a:lnTo>
                  <a:pt x="4437888" y="1031748"/>
                </a:lnTo>
                <a:lnTo>
                  <a:pt x="4437888" y="827532"/>
                </a:lnTo>
                <a:close/>
              </a:path>
              <a:path w="7486015" h="2068195">
                <a:moveTo>
                  <a:pt x="4437888" y="621792"/>
                </a:moveTo>
                <a:lnTo>
                  <a:pt x="3677412" y="621792"/>
                </a:lnTo>
                <a:lnTo>
                  <a:pt x="3677412" y="824484"/>
                </a:lnTo>
                <a:lnTo>
                  <a:pt x="4437888" y="824484"/>
                </a:lnTo>
                <a:lnTo>
                  <a:pt x="4437888" y="621792"/>
                </a:lnTo>
                <a:close/>
              </a:path>
              <a:path w="7486015" h="2068195">
                <a:moveTo>
                  <a:pt x="4437888" y="414528"/>
                </a:moveTo>
                <a:lnTo>
                  <a:pt x="3677412" y="414528"/>
                </a:lnTo>
                <a:lnTo>
                  <a:pt x="3677412" y="618744"/>
                </a:lnTo>
                <a:lnTo>
                  <a:pt x="4437888" y="618744"/>
                </a:lnTo>
                <a:lnTo>
                  <a:pt x="4437888" y="414528"/>
                </a:lnTo>
                <a:close/>
              </a:path>
              <a:path w="7486015" h="2068195">
                <a:moveTo>
                  <a:pt x="4437888" y="207264"/>
                </a:moveTo>
                <a:lnTo>
                  <a:pt x="3677412" y="207264"/>
                </a:lnTo>
                <a:lnTo>
                  <a:pt x="3677412" y="411480"/>
                </a:lnTo>
                <a:lnTo>
                  <a:pt x="4437888" y="411480"/>
                </a:lnTo>
                <a:lnTo>
                  <a:pt x="4437888" y="207264"/>
                </a:lnTo>
                <a:close/>
              </a:path>
              <a:path w="7486015" h="2068195">
                <a:moveTo>
                  <a:pt x="4437888" y="0"/>
                </a:moveTo>
                <a:lnTo>
                  <a:pt x="3677412" y="0"/>
                </a:lnTo>
                <a:lnTo>
                  <a:pt x="3677412" y="204216"/>
                </a:lnTo>
                <a:lnTo>
                  <a:pt x="4437888" y="204216"/>
                </a:lnTo>
                <a:lnTo>
                  <a:pt x="4437888" y="0"/>
                </a:lnTo>
                <a:close/>
              </a:path>
              <a:path w="7486015" h="2068195">
                <a:moveTo>
                  <a:pt x="5199888" y="1656588"/>
                </a:moveTo>
                <a:lnTo>
                  <a:pt x="4440936" y="1656588"/>
                </a:lnTo>
                <a:lnTo>
                  <a:pt x="4440936" y="1860804"/>
                </a:lnTo>
                <a:lnTo>
                  <a:pt x="5199888" y="1860804"/>
                </a:lnTo>
                <a:lnTo>
                  <a:pt x="5199888" y="1656588"/>
                </a:lnTo>
                <a:close/>
              </a:path>
              <a:path w="7486015" h="2068195">
                <a:moveTo>
                  <a:pt x="5199888" y="1449324"/>
                </a:moveTo>
                <a:lnTo>
                  <a:pt x="4440936" y="1449324"/>
                </a:lnTo>
                <a:lnTo>
                  <a:pt x="4440936" y="1653540"/>
                </a:lnTo>
                <a:lnTo>
                  <a:pt x="5199888" y="1653540"/>
                </a:lnTo>
                <a:lnTo>
                  <a:pt x="5199888" y="1449324"/>
                </a:lnTo>
                <a:close/>
              </a:path>
              <a:path w="7486015" h="2068195">
                <a:moveTo>
                  <a:pt x="5199888" y="1242060"/>
                </a:moveTo>
                <a:lnTo>
                  <a:pt x="4440936" y="1242060"/>
                </a:lnTo>
                <a:lnTo>
                  <a:pt x="4440936" y="1446276"/>
                </a:lnTo>
                <a:lnTo>
                  <a:pt x="5199888" y="1446276"/>
                </a:lnTo>
                <a:lnTo>
                  <a:pt x="5199888" y="1242060"/>
                </a:lnTo>
                <a:close/>
              </a:path>
              <a:path w="7486015" h="2068195">
                <a:moveTo>
                  <a:pt x="5199888" y="1034796"/>
                </a:moveTo>
                <a:lnTo>
                  <a:pt x="4440936" y="1034796"/>
                </a:lnTo>
                <a:lnTo>
                  <a:pt x="4440936" y="1239012"/>
                </a:lnTo>
                <a:lnTo>
                  <a:pt x="5199888" y="1239012"/>
                </a:lnTo>
                <a:lnTo>
                  <a:pt x="5199888" y="1034796"/>
                </a:lnTo>
                <a:close/>
              </a:path>
              <a:path w="7486015" h="2068195">
                <a:moveTo>
                  <a:pt x="5199888" y="827532"/>
                </a:moveTo>
                <a:lnTo>
                  <a:pt x="4440936" y="827532"/>
                </a:lnTo>
                <a:lnTo>
                  <a:pt x="4440936" y="1031748"/>
                </a:lnTo>
                <a:lnTo>
                  <a:pt x="5199888" y="1031748"/>
                </a:lnTo>
                <a:lnTo>
                  <a:pt x="5199888" y="827532"/>
                </a:lnTo>
                <a:close/>
              </a:path>
              <a:path w="7486015" h="2068195">
                <a:moveTo>
                  <a:pt x="5199888" y="621792"/>
                </a:moveTo>
                <a:lnTo>
                  <a:pt x="4440936" y="621792"/>
                </a:lnTo>
                <a:lnTo>
                  <a:pt x="4440936" y="824484"/>
                </a:lnTo>
                <a:lnTo>
                  <a:pt x="5199888" y="824484"/>
                </a:lnTo>
                <a:lnTo>
                  <a:pt x="5199888" y="621792"/>
                </a:lnTo>
                <a:close/>
              </a:path>
              <a:path w="7486015" h="2068195">
                <a:moveTo>
                  <a:pt x="5199888" y="414528"/>
                </a:moveTo>
                <a:lnTo>
                  <a:pt x="4440936" y="414528"/>
                </a:lnTo>
                <a:lnTo>
                  <a:pt x="4440936" y="618744"/>
                </a:lnTo>
                <a:lnTo>
                  <a:pt x="5199888" y="618744"/>
                </a:lnTo>
                <a:lnTo>
                  <a:pt x="5199888" y="414528"/>
                </a:lnTo>
                <a:close/>
              </a:path>
              <a:path w="7486015" h="2068195">
                <a:moveTo>
                  <a:pt x="5199888" y="207264"/>
                </a:moveTo>
                <a:lnTo>
                  <a:pt x="4440936" y="207264"/>
                </a:lnTo>
                <a:lnTo>
                  <a:pt x="4440936" y="411480"/>
                </a:lnTo>
                <a:lnTo>
                  <a:pt x="5199888" y="411480"/>
                </a:lnTo>
                <a:lnTo>
                  <a:pt x="5199888" y="207264"/>
                </a:lnTo>
                <a:close/>
              </a:path>
              <a:path w="7486015" h="2068195">
                <a:moveTo>
                  <a:pt x="5199888" y="0"/>
                </a:moveTo>
                <a:lnTo>
                  <a:pt x="4440936" y="0"/>
                </a:lnTo>
                <a:lnTo>
                  <a:pt x="4440936" y="204216"/>
                </a:lnTo>
                <a:lnTo>
                  <a:pt x="5199888" y="204216"/>
                </a:lnTo>
                <a:lnTo>
                  <a:pt x="5199888" y="0"/>
                </a:lnTo>
                <a:close/>
              </a:path>
              <a:path w="7486015" h="2068195">
                <a:moveTo>
                  <a:pt x="5961875" y="1656588"/>
                </a:moveTo>
                <a:lnTo>
                  <a:pt x="5202936" y="1656588"/>
                </a:lnTo>
                <a:lnTo>
                  <a:pt x="5202936" y="1860804"/>
                </a:lnTo>
                <a:lnTo>
                  <a:pt x="5961875" y="1860804"/>
                </a:lnTo>
                <a:lnTo>
                  <a:pt x="5961875" y="1656588"/>
                </a:lnTo>
                <a:close/>
              </a:path>
              <a:path w="7486015" h="2068195">
                <a:moveTo>
                  <a:pt x="5961875" y="1449324"/>
                </a:moveTo>
                <a:lnTo>
                  <a:pt x="5202936" y="1449324"/>
                </a:lnTo>
                <a:lnTo>
                  <a:pt x="5202936" y="1653540"/>
                </a:lnTo>
                <a:lnTo>
                  <a:pt x="5961875" y="1653540"/>
                </a:lnTo>
                <a:lnTo>
                  <a:pt x="5961875" y="1449324"/>
                </a:lnTo>
                <a:close/>
              </a:path>
              <a:path w="7486015" h="2068195">
                <a:moveTo>
                  <a:pt x="5961875" y="1242060"/>
                </a:moveTo>
                <a:lnTo>
                  <a:pt x="5202936" y="1242060"/>
                </a:lnTo>
                <a:lnTo>
                  <a:pt x="5202936" y="1446276"/>
                </a:lnTo>
                <a:lnTo>
                  <a:pt x="5961875" y="1446276"/>
                </a:lnTo>
                <a:lnTo>
                  <a:pt x="5961875" y="1242060"/>
                </a:lnTo>
                <a:close/>
              </a:path>
              <a:path w="7486015" h="2068195">
                <a:moveTo>
                  <a:pt x="5961875" y="1034796"/>
                </a:moveTo>
                <a:lnTo>
                  <a:pt x="5202936" y="1034796"/>
                </a:lnTo>
                <a:lnTo>
                  <a:pt x="5202936" y="1239012"/>
                </a:lnTo>
                <a:lnTo>
                  <a:pt x="5961875" y="1239012"/>
                </a:lnTo>
                <a:lnTo>
                  <a:pt x="5961875" y="1034796"/>
                </a:lnTo>
                <a:close/>
              </a:path>
              <a:path w="7486015" h="2068195">
                <a:moveTo>
                  <a:pt x="5961875" y="827532"/>
                </a:moveTo>
                <a:lnTo>
                  <a:pt x="5202936" y="827532"/>
                </a:lnTo>
                <a:lnTo>
                  <a:pt x="5202936" y="1031748"/>
                </a:lnTo>
                <a:lnTo>
                  <a:pt x="5961875" y="1031748"/>
                </a:lnTo>
                <a:lnTo>
                  <a:pt x="5961875" y="827532"/>
                </a:lnTo>
                <a:close/>
              </a:path>
              <a:path w="7486015" h="2068195">
                <a:moveTo>
                  <a:pt x="5961875" y="621792"/>
                </a:moveTo>
                <a:lnTo>
                  <a:pt x="5202936" y="621792"/>
                </a:lnTo>
                <a:lnTo>
                  <a:pt x="5202936" y="824484"/>
                </a:lnTo>
                <a:lnTo>
                  <a:pt x="5961875" y="824484"/>
                </a:lnTo>
                <a:lnTo>
                  <a:pt x="5961875" y="621792"/>
                </a:lnTo>
                <a:close/>
              </a:path>
              <a:path w="7486015" h="2068195">
                <a:moveTo>
                  <a:pt x="5961875" y="414528"/>
                </a:moveTo>
                <a:lnTo>
                  <a:pt x="5202936" y="414528"/>
                </a:lnTo>
                <a:lnTo>
                  <a:pt x="5202936" y="618744"/>
                </a:lnTo>
                <a:lnTo>
                  <a:pt x="5961875" y="618744"/>
                </a:lnTo>
                <a:lnTo>
                  <a:pt x="5961875" y="414528"/>
                </a:lnTo>
                <a:close/>
              </a:path>
              <a:path w="7486015" h="2068195">
                <a:moveTo>
                  <a:pt x="5961875" y="207264"/>
                </a:moveTo>
                <a:lnTo>
                  <a:pt x="5202936" y="207264"/>
                </a:lnTo>
                <a:lnTo>
                  <a:pt x="5202936" y="411480"/>
                </a:lnTo>
                <a:lnTo>
                  <a:pt x="5961875" y="411480"/>
                </a:lnTo>
                <a:lnTo>
                  <a:pt x="5961875" y="207264"/>
                </a:lnTo>
                <a:close/>
              </a:path>
              <a:path w="7486015" h="2068195">
                <a:moveTo>
                  <a:pt x="5961875" y="0"/>
                </a:moveTo>
                <a:lnTo>
                  <a:pt x="5202936" y="0"/>
                </a:lnTo>
                <a:lnTo>
                  <a:pt x="5202936" y="204216"/>
                </a:lnTo>
                <a:lnTo>
                  <a:pt x="5961875" y="204216"/>
                </a:lnTo>
                <a:lnTo>
                  <a:pt x="5961875" y="0"/>
                </a:lnTo>
                <a:close/>
              </a:path>
              <a:path w="7486015" h="2068195">
                <a:moveTo>
                  <a:pt x="6723888" y="1656588"/>
                </a:moveTo>
                <a:lnTo>
                  <a:pt x="5964936" y="1656588"/>
                </a:lnTo>
                <a:lnTo>
                  <a:pt x="5964936" y="1860804"/>
                </a:lnTo>
                <a:lnTo>
                  <a:pt x="6723888" y="1860804"/>
                </a:lnTo>
                <a:lnTo>
                  <a:pt x="6723888" y="1656588"/>
                </a:lnTo>
                <a:close/>
              </a:path>
              <a:path w="7486015" h="2068195">
                <a:moveTo>
                  <a:pt x="6723888" y="1449324"/>
                </a:moveTo>
                <a:lnTo>
                  <a:pt x="5964936" y="1449324"/>
                </a:lnTo>
                <a:lnTo>
                  <a:pt x="5964936" y="1653540"/>
                </a:lnTo>
                <a:lnTo>
                  <a:pt x="6723888" y="1653540"/>
                </a:lnTo>
                <a:lnTo>
                  <a:pt x="6723888" y="1449324"/>
                </a:lnTo>
                <a:close/>
              </a:path>
              <a:path w="7486015" h="2068195">
                <a:moveTo>
                  <a:pt x="6723888" y="1242060"/>
                </a:moveTo>
                <a:lnTo>
                  <a:pt x="5964936" y="1242060"/>
                </a:lnTo>
                <a:lnTo>
                  <a:pt x="5964936" y="1446276"/>
                </a:lnTo>
                <a:lnTo>
                  <a:pt x="6723888" y="1446276"/>
                </a:lnTo>
                <a:lnTo>
                  <a:pt x="6723888" y="1242060"/>
                </a:lnTo>
                <a:close/>
              </a:path>
              <a:path w="7486015" h="2068195">
                <a:moveTo>
                  <a:pt x="6723888" y="1034796"/>
                </a:moveTo>
                <a:lnTo>
                  <a:pt x="5964936" y="1034796"/>
                </a:lnTo>
                <a:lnTo>
                  <a:pt x="5964936" y="1239012"/>
                </a:lnTo>
                <a:lnTo>
                  <a:pt x="6723888" y="1239012"/>
                </a:lnTo>
                <a:lnTo>
                  <a:pt x="6723888" y="1034796"/>
                </a:lnTo>
                <a:close/>
              </a:path>
              <a:path w="7486015" h="2068195">
                <a:moveTo>
                  <a:pt x="6723888" y="827532"/>
                </a:moveTo>
                <a:lnTo>
                  <a:pt x="5964936" y="827532"/>
                </a:lnTo>
                <a:lnTo>
                  <a:pt x="5964936" y="1031748"/>
                </a:lnTo>
                <a:lnTo>
                  <a:pt x="6723888" y="1031748"/>
                </a:lnTo>
                <a:lnTo>
                  <a:pt x="6723888" y="827532"/>
                </a:lnTo>
                <a:close/>
              </a:path>
              <a:path w="7486015" h="2068195">
                <a:moveTo>
                  <a:pt x="6723888" y="621792"/>
                </a:moveTo>
                <a:lnTo>
                  <a:pt x="5964936" y="621792"/>
                </a:lnTo>
                <a:lnTo>
                  <a:pt x="5964936" y="824484"/>
                </a:lnTo>
                <a:lnTo>
                  <a:pt x="6723888" y="824484"/>
                </a:lnTo>
                <a:lnTo>
                  <a:pt x="6723888" y="621792"/>
                </a:lnTo>
                <a:close/>
              </a:path>
              <a:path w="7486015" h="2068195">
                <a:moveTo>
                  <a:pt x="6723888" y="414528"/>
                </a:moveTo>
                <a:lnTo>
                  <a:pt x="5964936" y="414528"/>
                </a:lnTo>
                <a:lnTo>
                  <a:pt x="5964936" y="618744"/>
                </a:lnTo>
                <a:lnTo>
                  <a:pt x="6723888" y="618744"/>
                </a:lnTo>
                <a:lnTo>
                  <a:pt x="6723888" y="414528"/>
                </a:lnTo>
                <a:close/>
              </a:path>
              <a:path w="7486015" h="2068195">
                <a:moveTo>
                  <a:pt x="6723888" y="207264"/>
                </a:moveTo>
                <a:lnTo>
                  <a:pt x="5964936" y="207264"/>
                </a:lnTo>
                <a:lnTo>
                  <a:pt x="5964936" y="411480"/>
                </a:lnTo>
                <a:lnTo>
                  <a:pt x="6723888" y="411480"/>
                </a:lnTo>
                <a:lnTo>
                  <a:pt x="6723888" y="207264"/>
                </a:lnTo>
                <a:close/>
              </a:path>
              <a:path w="7486015" h="2068195">
                <a:moveTo>
                  <a:pt x="6723888" y="0"/>
                </a:moveTo>
                <a:lnTo>
                  <a:pt x="5964936" y="0"/>
                </a:lnTo>
                <a:lnTo>
                  <a:pt x="5964936" y="204216"/>
                </a:lnTo>
                <a:lnTo>
                  <a:pt x="6723888" y="204216"/>
                </a:lnTo>
                <a:lnTo>
                  <a:pt x="6723888" y="0"/>
                </a:lnTo>
                <a:close/>
              </a:path>
              <a:path w="7486015" h="2068195">
                <a:moveTo>
                  <a:pt x="7485888" y="1656588"/>
                </a:moveTo>
                <a:lnTo>
                  <a:pt x="6726936" y="1656588"/>
                </a:lnTo>
                <a:lnTo>
                  <a:pt x="6726936" y="1860804"/>
                </a:lnTo>
                <a:lnTo>
                  <a:pt x="7485888" y="1860804"/>
                </a:lnTo>
                <a:lnTo>
                  <a:pt x="7485888" y="1656588"/>
                </a:lnTo>
                <a:close/>
              </a:path>
              <a:path w="7486015" h="2068195">
                <a:moveTo>
                  <a:pt x="7485888" y="1449324"/>
                </a:moveTo>
                <a:lnTo>
                  <a:pt x="6726936" y="1449324"/>
                </a:lnTo>
                <a:lnTo>
                  <a:pt x="6726936" y="1653540"/>
                </a:lnTo>
                <a:lnTo>
                  <a:pt x="7485888" y="1653540"/>
                </a:lnTo>
                <a:lnTo>
                  <a:pt x="7485888" y="1449324"/>
                </a:lnTo>
                <a:close/>
              </a:path>
              <a:path w="7486015" h="2068195">
                <a:moveTo>
                  <a:pt x="7485888" y="1242060"/>
                </a:moveTo>
                <a:lnTo>
                  <a:pt x="6726936" y="1242060"/>
                </a:lnTo>
                <a:lnTo>
                  <a:pt x="6726936" y="1446276"/>
                </a:lnTo>
                <a:lnTo>
                  <a:pt x="7485888" y="1446276"/>
                </a:lnTo>
                <a:lnTo>
                  <a:pt x="7485888" y="1242060"/>
                </a:lnTo>
                <a:close/>
              </a:path>
              <a:path w="7486015" h="2068195">
                <a:moveTo>
                  <a:pt x="7485888" y="1034796"/>
                </a:moveTo>
                <a:lnTo>
                  <a:pt x="6726936" y="1034796"/>
                </a:lnTo>
                <a:lnTo>
                  <a:pt x="6726936" y="1239012"/>
                </a:lnTo>
                <a:lnTo>
                  <a:pt x="7485888" y="1239012"/>
                </a:lnTo>
                <a:lnTo>
                  <a:pt x="7485888" y="1034796"/>
                </a:lnTo>
                <a:close/>
              </a:path>
              <a:path w="7486015" h="2068195">
                <a:moveTo>
                  <a:pt x="7485888" y="827532"/>
                </a:moveTo>
                <a:lnTo>
                  <a:pt x="6726936" y="827532"/>
                </a:lnTo>
                <a:lnTo>
                  <a:pt x="6726936" y="1031748"/>
                </a:lnTo>
                <a:lnTo>
                  <a:pt x="7485888" y="1031748"/>
                </a:lnTo>
                <a:lnTo>
                  <a:pt x="7485888" y="827532"/>
                </a:lnTo>
                <a:close/>
              </a:path>
              <a:path w="7486015" h="2068195">
                <a:moveTo>
                  <a:pt x="7485888" y="621792"/>
                </a:moveTo>
                <a:lnTo>
                  <a:pt x="6726936" y="621792"/>
                </a:lnTo>
                <a:lnTo>
                  <a:pt x="6726936" y="824484"/>
                </a:lnTo>
                <a:lnTo>
                  <a:pt x="7485888" y="824484"/>
                </a:lnTo>
                <a:lnTo>
                  <a:pt x="7485888" y="621792"/>
                </a:lnTo>
                <a:close/>
              </a:path>
              <a:path w="7486015" h="2068195">
                <a:moveTo>
                  <a:pt x="7485888" y="414528"/>
                </a:moveTo>
                <a:lnTo>
                  <a:pt x="6726936" y="414528"/>
                </a:lnTo>
                <a:lnTo>
                  <a:pt x="6726936" y="618744"/>
                </a:lnTo>
                <a:lnTo>
                  <a:pt x="7485888" y="618744"/>
                </a:lnTo>
                <a:lnTo>
                  <a:pt x="7485888" y="414528"/>
                </a:lnTo>
                <a:close/>
              </a:path>
              <a:path w="7486015" h="2068195">
                <a:moveTo>
                  <a:pt x="7485888" y="207264"/>
                </a:moveTo>
                <a:lnTo>
                  <a:pt x="6726936" y="207264"/>
                </a:lnTo>
                <a:lnTo>
                  <a:pt x="6726936" y="411480"/>
                </a:lnTo>
                <a:lnTo>
                  <a:pt x="7485888" y="411480"/>
                </a:lnTo>
                <a:lnTo>
                  <a:pt x="7485888" y="207264"/>
                </a:lnTo>
                <a:close/>
              </a:path>
              <a:path w="7486015" h="2068195">
                <a:moveTo>
                  <a:pt x="7485888" y="0"/>
                </a:moveTo>
                <a:lnTo>
                  <a:pt x="6726936" y="0"/>
                </a:lnTo>
                <a:lnTo>
                  <a:pt x="6726936" y="204216"/>
                </a:lnTo>
                <a:lnTo>
                  <a:pt x="7485888" y="204216"/>
                </a:lnTo>
                <a:lnTo>
                  <a:pt x="7485888" y="0"/>
                </a:lnTo>
                <a:close/>
              </a:path>
            </a:pathLst>
          </a:custGeom>
          <a:solidFill>
            <a:srgbClr val="FFFFFF"/>
          </a:solidFill>
        </xdr:spPr>
      </xdr:sp>
      <xdr:sp macro="" textlink="">
        <xdr:nvSpPr>
          <xdr:cNvPr id="95" name="Shape 95">
            <a:extLst>
              <a:ext uri="{FF2B5EF4-FFF2-40B4-BE49-F238E27FC236}">
                <a16:creationId xmlns:a16="http://schemas.microsoft.com/office/drawing/2014/main" id="{00000000-0008-0000-0800-00005F000000}"/>
              </a:ext>
            </a:extLst>
          </xdr:cNvPr>
          <xdr:cNvSpPr/>
        </xdr:nvSpPr>
        <xdr:spPr>
          <a:xfrm>
            <a:off x="0" y="1656587"/>
            <a:ext cx="7486015" cy="2068195"/>
          </a:xfrm>
          <a:custGeom>
            <a:avLst/>
            <a:gdLst/>
            <a:ahLst/>
            <a:cxnLst/>
            <a:rect l="0" t="0" r="0" b="0"/>
            <a:pathLst>
              <a:path w="7486015" h="2068195">
                <a:moveTo>
                  <a:pt x="312420" y="1242060"/>
                </a:moveTo>
                <a:lnTo>
                  <a:pt x="0" y="1242060"/>
                </a:lnTo>
                <a:lnTo>
                  <a:pt x="0" y="1653540"/>
                </a:lnTo>
                <a:lnTo>
                  <a:pt x="312420" y="1653540"/>
                </a:lnTo>
                <a:lnTo>
                  <a:pt x="312420" y="1242060"/>
                </a:lnTo>
                <a:close/>
              </a:path>
              <a:path w="7486015" h="2068195">
                <a:moveTo>
                  <a:pt x="312420" y="621792"/>
                </a:moveTo>
                <a:lnTo>
                  <a:pt x="0" y="621792"/>
                </a:lnTo>
                <a:lnTo>
                  <a:pt x="0" y="1239012"/>
                </a:lnTo>
                <a:lnTo>
                  <a:pt x="312420" y="1239012"/>
                </a:lnTo>
                <a:lnTo>
                  <a:pt x="312420" y="621792"/>
                </a:lnTo>
                <a:close/>
              </a:path>
              <a:path w="7486015" h="2068195">
                <a:moveTo>
                  <a:pt x="312420" y="0"/>
                </a:moveTo>
                <a:lnTo>
                  <a:pt x="0" y="0"/>
                </a:lnTo>
                <a:lnTo>
                  <a:pt x="0" y="618744"/>
                </a:lnTo>
                <a:lnTo>
                  <a:pt x="312420" y="618744"/>
                </a:lnTo>
                <a:lnTo>
                  <a:pt x="312420" y="0"/>
                </a:lnTo>
                <a:close/>
              </a:path>
              <a:path w="7486015" h="2068195">
                <a:moveTo>
                  <a:pt x="1264920" y="1242060"/>
                </a:moveTo>
                <a:lnTo>
                  <a:pt x="315468" y="1242060"/>
                </a:lnTo>
                <a:lnTo>
                  <a:pt x="315468" y="1653540"/>
                </a:lnTo>
                <a:lnTo>
                  <a:pt x="1264920" y="1653540"/>
                </a:lnTo>
                <a:lnTo>
                  <a:pt x="1264920" y="1242060"/>
                </a:lnTo>
                <a:close/>
              </a:path>
              <a:path w="7486015" h="2068195">
                <a:moveTo>
                  <a:pt x="1264920" y="621792"/>
                </a:moveTo>
                <a:lnTo>
                  <a:pt x="315468" y="621792"/>
                </a:lnTo>
                <a:lnTo>
                  <a:pt x="315468" y="1239012"/>
                </a:lnTo>
                <a:lnTo>
                  <a:pt x="1264920" y="1239012"/>
                </a:lnTo>
                <a:lnTo>
                  <a:pt x="1264920" y="621792"/>
                </a:lnTo>
                <a:close/>
              </a:path>
              <a:path w="7486015" h="2068195">
                <a:moveTo>
                  <a:pt x="1264920" y="0"/>
                </a:moveTo>
                <a:lnTo>
                  <a:pt x="315468" y="0"/>
                </a:lnTo>
                <a:lnTo>
                  <a:pt x="315468" y="618744"/>
                </a:lnTo>
                <a:lnTo>
                  <a:pt x="1264920" y="618744"/>
                </a:lnTo>
                <a:lnTo>
                  <a:pt x="1264920" y="0"/>
                </a:lnTo>
                <a:close/>
              </a:path>
              <a:path w="7486015" h="2068195">
                <a:moveTo>
                  <a:pt x="2531364" y="1242060"/>
                </a:moveTo>
                <a:lnTo>
                  <a:pt x="1267968" y="1242060"/>
                </a:lnTo>
                <a:lnTo>
                  <a:pt x="1267968" y="1653540"/>
                </a:lnTo>
                <a:lnTo>
                  <a:pt x="2531364" y="1653540"/>
                </a:lnTo>
                <a:lnTo>
                  <a:pt x="2531364" y="1242060"/>
                </a:lnTo>
                <a:close/>
              </a:path>
              <a:path w="7486015" h="2068195">
                <a:moveTo>
                  <a:pt x="2531364" y="621792"/>
                </a:moveTo>
                <a:lnTo>
                  <a:pt x="1267968" y="621792"/>
                </a:lnTo>
                <a:lnTo>
                  <a:pt x="1267968" y="1239012"/>
                </a:lnTo>
                <a:lnTo>
                  <a:pt x="2531364" y="1239012"/>
                </a:lnTo>
                <a:lnTo>
                  <a:pt x="2531364" y="621792"/>
                </a:lnTo>
                <a:close/>
              </a:path>
              <a:path w="7486015" h="2068195">
                <a:moveTo>
                  <a:pt x="2531364" y="0"/>
                </a:moveTo>
                <a:lnTo>
                  <a:pt x="1267968" y="0"/>
                </a:lnTo>
                <a:lnTo>
                  <a:pt x="1267968" y="618744"/>
                </a:lnTo>
                <a:lnTo>
                  <a:pt x="2531364" y="618744"/>
                </a:lnTo>
                <a:lnTo>
                  <a:pt x="2531364" y="0"/>
                </a:lnTo>
                <a:close/>
              </a:path>
              <a:path w="7486015" h="2068195">
                <a:moveTo>
                  <a:pt x="3037332" y="1863852"/>
                </a:moveTo>
                <a:lnTo>
                  <a:pt x="2534412" y="1863852"/>
                </a:lnTo>
                <a:lnTo>
                  <a:pt x="2534412" y="2068068"/>
                </a:lnTo>
                <a:lnTo>
                  <a:pt x="3037332" y="2068068"/>
                </a:lnTo>
                <a:lnTo>
                  <a:pt x="3037332" y="1863852"/>
                </a:lnTo>
                <a:close/>
              </a:path>
              <a:path w="7486015" h="2068195">
                <a:moveTo>
                  <a:pt x="3037332" y="1656588"/>
                </a:moveTo>
                <a:lnTo>
                  <a:pt x="2534412" y="1656588"/>
                </a:lnTo>
                <a:lnTo>
                  <a:pt x="2534412" y="1860804"/>
                </a:lnTo>
                <a:lnTo>
                  <a:pt x="3037332" y="1860804"/>
                </a:lnTo>
                <a:lnTo>
                  <a:pt x="3037332" y="1656588"/>
                </a:lnTo>
                <a:close/>
              </a:path>
              <a:path w="7486015" h="2068195">
                <a:moveTo>
                  <a:pt x="3037332" y="1449324"/>
                </a:moveTo>
                <a:lnTo>
                  <a:pt x="2534412" y="1449324"/>
                </a:lnTo>
                <a:lnTo>
                  <a:pt x="2534412" y="1653540"/>
                </a:lnTo>
                <a:lnTo>
                  <a:pt x="3037332" y="1653540"/>
                </a:lnTo>
                <a:lnTo>
                  <a:pt x="3037332" y="1449324"/>
                </a:lnTo>
                <a:close/>
              </a:path>
              <a:path w="7486015" h="2068195">
                <a:moveTo>
                  <a:pt x="3037332" y="1242060"/>
                </a:moveTo>
                <a:lnTo>
                  <a:pt x="2534412" y="1242060"/>
                </a:lnTo>
                <a:lnTo>
                  <a:pt x="2534412" y="1446276"/>
                </a:lnTo>
                <a:lnTo>
                  <a:pt x="3037332" y="1446276"/>
                </a:lnTo>
                <a:lnTo>
                  <a:pt x="3037332" y="1242060"/>
                </a:lnTo>
                <a:close/>
              </a:path>
              <a:path w="7486015" h="2068195">
                <a:moveTo>
                  <a:pt x="3037332" y="1034796"/>
                </a:moveTo>
                <a:lnTo>
                  <a:pt x="2534412" y="1034796"/>
                </a:lnTo>
                <a:lnTo>
                  <a:pt x="2534412" y="1239012"/>
                </a:lnTo>
                <a:lnTo>
                  <a:pt x="3037332" y="1239012"/>
                </a:lnTo>
                <a:lnTo>
                  <a:pt x="3037332" y="1034796"/>
                </a:lnTo>
                <a:close/>
              </a:path>
              <a:path w="7486015" h="2068195">
                <a:moveTo>
                  <a:pt x="3037332" y="827532"/>
                </a:moveTo>
                <a:lnTo>
                  <a:pt x="2534412" y="827532"/>
                </a:lnTo>
                <a:lnTo>
                  <a:pt x="2534412" y="1031748"/>
                </a:lnTo>
                <a:lnTo>
                  <a:pt x="3037332" y="1031748"/>
                </a:lnTo>
                <a:lnTo>
                  <a:pt x="3037332" y="827532"/>
                </a:lnTo>
                <a:close/>
              </a:path>
              <a:path w="7486015" h="2068195">
                <a:moveTo>
                  <a:pt x="3037332" y="621792"/>
                </a:moveTo>
                <a:lnTo>
                  <a:pt x="2534412" y="621792"/>
                </a:lnTo>
                <a:lnTo>
                  <a:pt x="2534412" y="824484"/>
                </a:lnTo>
                <a:lnTo>
                  <a:pt x="3037332" y="824484"/>
                </a:lnTo>
                <a:lnTo>
                  <a:pt x="3037332" y="621792"/>
                </a:lnTo>
                <a:close/>
              </a:path>
              <a:path w="7486015" h="2068195">
                <a:moveTo>
                  <a:pt x="3037332" y="414528"/>
                </a:moveTo>
                <a:lnTo>
                  <a:pt x="2534412" y="414528"/>
                </a:lnTo>
                <a:lnTo>
                  <a:pt x="2534412" y="618744"/>
                </a:lnTo>
                <a:lnTo>
                  <a:pt x="3037332" y="618744"/>
                </a:lnTo>
                <a:lnTo>
                  <a:pt x="3037332" y="414528"/>
                </a:lnTo>
                <a:close/>
              </a:path>
              <a:path w="7486015" h="2068195">
                <a:moveTo>
                  <a:pt x="3674364" y="1863852"/>
                </a:moveTo>
                <a:lnTo>
                  <a:pt x="3040380" y="1863852"/>
                </a:lnTo>
                <a:lnTo>
                  <a:pt x="3040380" y="2068068"/>
                </a:lnTo>
                <a:lnTo>
                  <a:pt x="3674364" y="2068068"/>
                </a:lnTo>
                <a:lnTo>
                  <a:pt x="3674364" y="1863852"/>
                </a:lnTo>
                <a:close/>
              </a:path>
              <a:path w="7486015" h="2068195">
                <a:moveTo>
                  <a:pt x="3674364" y="1656588"/>
                </a:moveTo>
                <a:lnTo>
                  <a:pt x="3040380" y="1656588"/>
                </a:lnTo>
                <a:lnTo>
                  <a:pt x="3040380" y="1860804"/>
                </a:lnTo>
                <a:lnTo>
                  <a:pt x="3674364" y="1860804"/>
                </a:lnTo>
                <a:lnTo>
                  <a:pt x="3674364" y="1656588"/>
                </a:lnTo>
                <a:close/>
              </a:path>
              <a:path w="7486015" h="2068195">
                <a:moveTo>
                  <a:pt x="3674364" y="1449324"/>
                </a:moveTo>
                <a:lnTo>
                  <a:pt x="3040380" y="1449324"/>
                </a:lnTo>
                <a:lnTo>
                  <a:pt x="3040380" y="1653540"/>
                </a:lnTo>
                <a:lnTo>
                  <a:pt x="3674364" y="1653540"/>
                </a:lnTo>
                <a:lnTo>
                  <a:pt x="3674364" y="1449324"/>
                </a:lnTo>
                <a:close/>
              </a:path>
              <a:path w="7486015" h="2068195">
                <a:moveTo>
                  <a:pt x="3674364" y="1242060"/>
                </a:moveTo>
                <a:lnTo>
                  <a:pt x="3040380" y="1242060"/>
                </a:lnTo>
                <a:lnTo>
                  <a:pt x="3040380" y="1446276"/>
                </a:lnTo>
                <a:lnTo>
                  <a:pt x="3674364" y="1446276"/>
                </a:lnTo>
                <a:lnTo>
                  <a:pt x="3674364" y="1242060"/>
                </a:lnTo>
                <a:close/>
              </a:path>
              <a:path w="7486015" h="2068195">
                <a:moveTo>
                  <a:pt x="3674364" y="1034796"/>
                </a:moveTo>
                <a:lnTo>
                  <a:pt x="3040380" y="1034796"/>
                </a:lnTo>
                <a:lnTo>
                  <a:pt x="3040380" y="1239012"/>
                </a:lnTo>
                <a:lnTo>
                  <a:pt x="3674364" y="1239012"/>
                </a:lnTo>
                <a:lnTo>
                  <a:pt x="3674364" y="1034796"/>
                </a:lnTo>
                <a:close/>
              </a:path>
              <a:path w="7486015" h="2068195">
                <a:moveTo>
                  <a:pt x="3674364" y="827532"/>
                </a:moveTo>
                <a:lnTo>
                  <a:pt x="3040380" y="827532"/>
                </a:lnTo>
                <a:lnTo>
                  <a:pt x="3040380" y="1031748"/>
                </a:lnTo>
                <a:lnTo>
                  <a:pt x="3674364" y="1031748"/>
                </a:lnTo>
                <a:lnTo>
                  <a:pt x="3674364" y="827532"/>
                </a:lnTo>
                <a:close/>
              </a:path>
              <a:path w="7486015" h="2068195">
                <a:moveTo>
                  <a:pt x="3674364" y="621792"/>
                </a:moveTo>
                <a:lnTo>
                  <a:pt x="3040380" y="621792"/>
                </a:lnTo>
                <a:lnTo>
                  <a:pt x="3040380" y="824484"/>
                </a:lnTo>
                <a:lnTo>
                  <a:pt x="3674364" y="824484"/>
                </a:lnTo>
                <a:lnTo>
                  <a:pt x="3674364" y="621792"/>
                </a:lnTo>
                <a:close/>
              </a:path>
              <a:path w="7486015" h="2068195">
                <a:moveTo>
                  <a:pt x="3674364" y="414528"/>
                </a:moveTo>
                <a:lnTo>
                  <a:pt x="3040380" y="414528"/>
                </a:lnTo>
                <a:lnTo>
                  <a:pt x="3040380" y="618744"/>
                </a:lnTo>
                <a:lnTo>
                  <a:pt x="3674364" y="618744"/>
                </a:lnTo>
                <a:lnTo>
                  <a:pt x="3674364" y="414528"/>
                </a:lnTo>
                <a:close/>
              </a:path>
              <a:path w="7486015" h="2068195">
                <a:moveTo>
                  <a:pt x="3674364" y="207264"/>
                </a:moveTo>
                <a:lnTo>
                  <a:pt x="3040380" y="207264"/>
                </a:lnTo>
                <a:lnTo>
                  <a:pt x="3040380" y="411480"/>
                </a:lnTo>
                <a:lnTo>
                  <a:pt x="3674364" y="411480"/>
                </a:lnTo>
                <a:lnTo>
                  <a:pt x="3674364" y="207264"/>
                </a:lnTo>
                <a:close/>
              </a:path>
              <a:path w="7486015" h="2068195">
                <a:moveTo>
                  <a:pt x="4437888" y="1863852"/>
                </a:moveTo>
                <a:lnTo>
                  <a:pt x="3677412" y="1863852"/>
                </a:lnTo>
                <a:lnTo>
                  <a:pt x="3677412" y="2068068"/>
                </a:lnTo>
                <a:lnTo>
                  <a:pt x="4437888" y="2068068"/>
                </a:lnTo>
                <a:lnTo>
                  <a:pt x="4437888" y="1863852"/>
                </a:lnTo>
                <a:close/>
              </a:path>
              <a:path w="7486015" h="2068195">
                <a:moveTo>
                  <a:pt x="4437888" y="1656588"/>
                </a:moveTo>
                <a:lnTo>
                  <a:pt x="3677412" y="1656588"/>
                </a:lnTo>
                <a:lnTo>
                  <a:pt x="3677412" y="1860804"/>
                </a:lnTo>
                <a:lnTo>
                  <a:pt x="4437888" y="1860804"/>
                </a:lnTo>
                <a:lnTo>
                  <a:pt x="4437888" y="1656588"/>
                </a:lnTo>
                <a:close/>
              </a:path>
              <a:path w="7486015" h="2068195">
                <a:moveTo>
                  <a:pt x="4437888" y="1449324"/>
                </a:moveTo>
                <a:lnTo>
                  <a:pt x="3677412" y="1449324"/>
                </a:lnTo>
                <a:lnTo>
                  <a:pt x="3677412" y="1653540"/>
                </a:lnTo>
                <a:lnTo>
                  <a:pt x="4437888" y="1653540"/>
                </a:lnTo>
                <a:lnTo>
                  <a:pt x="4437888" y="1449324"/>
                </a:lnTo>
                <a:close/>
              </a:path>
              <a:path w="7486015" h="2068195">
                <a:moveTo>
                  <a:pt x="4437888" y="1242060"/>
                </a:moveTo>
                <a:lnTo>
                  <a:pt x="3677412" y="1242060"/>
                </a:lnTo>
                <a:lnTo>
                  <a:pt x="3677412" y="1446276"/>
                </a:lnTo>
                <a:lnTo>
                  <a:pt x="4437888" y="1446276"/>
                </a:lnTo>
                <a:lnTo>
                  <a:pt x="4437888" y="1242060"/>
                </a:lnTo>
                <a:close/>
              </a:path>
              <a:path w="7486015" h="2068195">
                <a:moveTo>
                  <a:pt x="4437888" y="1034796"/>
                </a:moveTo>
                <a:lnTo>
                  <a:pt x="3677412" y="1034796"/>
                </a:lnTo>
                <a:lnTo>
                  <a:pt x="3677412" y="1239012"/>
                </a:lnTo>
                <a:lnTo>
                  <a:pt x="4437888" y="1239012"/>
                </a:lnTo>
                <a:lnTo>
                  <a:pt x="4437888" y="1034796"/>
                </a:lnTo>
                <a:close/>
              </a:path>
              <a:path w="7486015" h="2068195">
                <a:moveTo>
                  <a:pt x="4437888" y="827532"/>
                </a:moveTo>
                <a:lnTo>
                  <a:pt x="3677412" y="827532"/>
                </a:lnTo>
                <a:lnTo>
                  <a:pt x="3677412" y="1031748"/>
                </a:lnTo>
                <a:lnTo>
                  <a:pt x="4437888" y="1031748"/>
                </a:lnTo>
                <a:lnTo>
                  <a:pt x="4437888" y="827532"/>
                </a:lnTo>
                <a:close/>
              </a:path>
              <a:path w="7486015" h="2068195">
                <a:moveTo>
                  <a:pt x="4437888" y="621792"/>
                </a:moveTo>
                <a:lnTo>
                  <a:pt x="3677412" y="621792"/>
                </a:lnTo>
                <a:lnTo>
                  <a:pt x="3677412" y="824484"/>
                </a:lnTo>
                <a:lnTo>
                  <a:pt x="4437888" y="824484"/>
                </a:lnTo>
                <a:lnTo>
                  <a:pt x="4437888" y="621792"/>
                </a:lnTo>
                <a:close/>
              </a:path>
              <a:path w="7486015" h="2068195">
                <a:moveTo>
                  <a:pt x="4437888" y="414528"/>
                </a:moveTo>
                <a:lnTo>
                  <a:pt x="3677412" y="414528"/>
                </a:lnTo>
                <a:lnTo>
                  <a:pt x="3677412" y="618744"/>
                </a:lnTo>
                <a:lnTo>
                  <a:pt x="4437888" y="618744"/>
                </a:lnTo>
                <a:lnTo>
                  <a:pt x="4437888" y="414528"/>
                </a:lnTo>
                <a:close/>
              </a:path>
              <a:path w="7486015" h="2068195">
                <a:moveTo>
                  <a:pt x="4437888" y="207264"/>
                </a:moveTo>
                <a:lnTo>
                  <a:pt x="3677412" y="207264"/>
                </a:lnTo>
                <a:lnTo>
                  <a:pt x="3677412" y="411480"/>
                </a:lnTo>
                <a:lnTo>
                  <a:pt x="4437888" y="411480"/>
                </a:lnTo>
                <a:lnTo>
                  <a:pt x="4437888" y="207264"/>
                </a:lnTo>
                <a:close/>
              </a:path>
              <a:path w="7486015" h="2068195">
                <a:moveTo>
                  <a:pt x="5199888" y="1863852"/>
                </a:moveTo>
                <a:lnTo>
                  <a:pt x="4440936" y="1863852"/>
                </a:lnTo>
                <a:lnTo>
                  <a:pt x="4440936" y="2068068"/>
                </a:lnTo>
                <a:lnTo>
                  <a:pt x="5199888" y="2068068"/>
                </a:lnTo>
                <a:lnTo>
                  <a:pt x="5199888" y="1863852"/>
                </a:lnTo>
                <a:close/>
              </a:path>
              <a:path w="7486015" h="2068195">
                <a:moveTo>
                  <a:pt x="5199888" y="1656588"/>
                </a:moveTo>
                <a:lnTo>
                  <a:pt x="4440936" y="1656588"/>
                </a:lnTo>
                <a:lnTo>
                  <a:pt x="4440936" y="1860804"/>
                </a:lnTo>
                <a:lnTo>
                  <a:pt x="5199888" y="1860804"/>
                </a:lnTo>
                <a:lnTo>
                  <a:pt x="5199888" y="1656588"/>
                </a:lnTo>
                <a:close/>
              </a:path>
              <a:path w="7486015" h="2068195">
                <a:moveTo>
                  <a:pt x="5199888" y="1449324"/>
                </a:moveTo>
                <a:lnTo>
                  <a:pt x="4440936" y="1449324"/>
                </a:lnTo>
                <a:lnTo>
                  <a:pt x="4440936" y="1653540"/>
                </a:lnTo>
                <a:lnTo>
                  <a:pt x="5199888" y="1653540"/>
                </a:lnTo>
                <a:lnTo>
                  <a:pt x="5199888" y="1449324"/>
                </a:lnTo>
                <a:close/>
              </a:path>
              <a:path w="7486015" h="2068195">
                <a:moveTo>
                  <a:pt x="5199888" y="1242060"/>
                </a:moveTo>
                <a:lnTo>
                  <a:pt x="4440936" y="1242060"/>
                </a:lnTo>
                <a:lnTo>
                  <a:pt x="4440936" y="1446276"/>
                </a:lnTo>
                <a:lnTo>
                  <a:pt x="5199888" y="1446276"/>
                </a:lnTo>
                <a:lnTo>
                  <a:pt x="5199888" y="1242060"/>
                </a:lnTo>
                <a:close/>
              </a:path>
              <a:path w="7486015" h="2068195">
                <a:moveTo>
                  <a:pt x="5199888" y="1034796"/>
                </a:moveTo>
                <a:lnTo>
                  <a:pt x="4440936" y="1034796"/>
                </a:lnTo>
                <a:lnTo>
                  <a:pt x="4440936" y="1239012"/>
                </a:lnTo>
                <a:lnTo>
                  <a:pt x="5199888" y="1239012"/>
                </a:lnTo>
                <a:lnTo>
                  <a:pt x="5199888" y="1034796"/>
                </a:lnTo>
                <a:close/>
              </a:path>
              <a:path w="7486015" h="2068195">
                <a:moveTo>
                  <a:pt x="5199888" y="827532"/>
                </a:moveTo>
                <a:lnTo>
                  <a:pt x="4440936" y="827532"/>
                </a:lnTo>
                <a:lnTo>
                  <a:pt x="4440936" y="1031748"/>
                </a:lnTo>
                <a:lnTo>
                  <a:pt x="5199888" y="1031748"/>
                </a:lnTo>
                <a:lnTo>
                  <a:pt x="5199888" y="827532"/>
                </a:lnTo>
                <a:close/>
              </a:path>
              <a:path w="7486015" h="2068195">
                <a:moveTo>
                  <a:pt x="5199888" y="621792"/>
                </a:moveTo>
                <a:lnTo>
                  <a:pt x="4440936" y="621792"/>
                </a:lnTo>
                <a:lnTo>
                  <a:pt x="4440936" y="824484"/>
                </a:lnTo>
                <a:lnTo>
                  <a:pt x="5199888" y="824484"/>
                </a:lnTo>
                <a:lnTo>
                  <a:pt x="5199888" y="621792"/>
                </a:lnTo>
                <a:close/>
              </a:path>
              <a:path w="7486015" h="2068195">
                <a:moveTo>
                  <a:pt x="5199888" y="414528"/>
                </a:moveTo>
                <a:lnTo>
                  <a:pt x="4440936" y="414528"/>
                </a:lnTo>
                <a:lnTo>
                  <a:pt x="4440936" y="618744"/>
                </a:lnTo>
                <a:lnTo>
                  <a:pt x="5199888" y="618744"/>
                </a:lnTo>
                <a:lnTo>
                  <a:pt x="5199888" y="414528"/>
                </a:lnTo>
                <a:close/>
              </a:path>
              <a:path w="7486015" h="2068195">
                <a:moveTo>
                  <a:pt x="5199888" y="207264"/>
                </a:moveTo>
                <a:lnTo>
                  <a:pt x="4440936" y="207264"/>
                </a:lnTo>
                <a:lnTo>
                  <a:pt x="4440936" y="411480"/>
                </a:lnTo>
                <a:lnTo>
                  <a:pt x="5199888" y="411480"/>
                </a:lnTo>
                <a:lnTo>
                  <a:pt x="5199888" y="207264"/>
                </a:lnTo>
                <a:close/>
              </a:path>
              <a:path w="7486015" h="2068195">
                <a:moveTo>
                  <a:pt x="5961875" y="1863852"/>
                </a:moveTo>
                <a:lnTo>
                  <a:pt x="5202936" y="1863852"/>
                </a:lnTo>
                <a:lnTo>
                  <a:pt x="5202936" y="2068068"/>
                </a:lnTo>
                <a:lnTo>
                  <a:pt x="5961875" y="2068068"/>
                </a:lnTo>
                <a:lnTo>
                  <a:pt x="5961875" y="1863852"/>
                </a:lnTo>
                <a:close/>
              </a:path>
              <a:path w="7486015" h="2068195">
                <a:moveTo>
                  <a:pt x="5961875" y="1656588"/>
                </a:moveTo>
                <a:lnTo>
                  <a:pt x="5202936" y="1656588"/>
                </a:lnTo>
                <a:lnTo>
                  <a:pt x="5202936" y="1860804"/>
                </a:lnTo>
                <a:lnTo>
                  <a:pt x="5961875" y="1860804"/>
                </a:lnTo>
                <a:lnTo>
                  <a:pt x="5961875" y="1656588"/>
                </a:lnTo>
                <a:close/>
              </a:path>
              <a:path w="7486015" h="2068195">
                <a:moveTo>
                  <a:pt x="5961875" y="1449324"/>
                </a:moveTo>
                <a:lnTo>
                  <a:pt x="5202936" y="1449324"/>
                </a:lnTo>
                <a:lnTo>
                  <a:pt x="5202936" y="1653540"/>
                </a:lnTo>
                <a:lnTo>
                  <a:pt x="5961875" y="1653540"/>
                </a:lnTo>
                <a:lnTo>
                  <a:pt x="5961875" y="1449324"/>
                </a:lnTo>
                <a:close/>
              </a:path>
              <a:path w="7486015" h="2068195">
                <a:moveTo>
                  <a:pt x="5961875" y="1242060"/>
                </a:moveTo>
                <a:lnTo>
                  <a:pt x="5202936" y="1242060"/>
                </a:lnTo>
                <a:lnTo>
                  <a:pt x="5202936" y="1446276"/>
                </a:lnTo>
                <a:lnTo>
                  <a:pt x="5961875" y="1446276"/>
                </a:lnTo>
                <a:lnTo>
                  <a:pt x="5961875" y="1242060"/>
                </a:lnTo>
                <a:close/>
              </a:path>
              <a:path w="7486015" h="2068195">
                <a:moveTo>
                  <a:pt x="5961875" y="1034796"/>
                </a:moveTo>
                <a:lnTo>
                  <a:pt x="5202936" y="1034796"/>
                </a:lnTo>
                <a:lnTo>
                  <a:pt x="5202936" y="1239012"/>
                </a:lnTo>
                <a:lnTo>
                  <a:pt x="5961875" y="1239012"/>
                </a:lnTo>
                <a:lnTo>
                  <a:pt x="5961875" y="1034796"/>
                </a:lnTo>
                <a:close/>
              </a:path>
              <a:path w="7486015" h="2068195">
                <a:moveTo>
                  <a:pt x="5961875" y="827532"/>
                </a:moveTo>
                <a:lnTo>
                  <a:pt x="5202936" y="827532"/>
                </a:lnTo>
                <a:lnTo>
                  <a:pt x="5202936" y="1031748"/>
                </a:lnTo>
                <a:lnTo>
                  <a:pt x="5961875" y="1031748"/>
                </a:lnTo>
                <a:lnTo>
                  <a:pt x="5961875" y="827532"/>
                </a:lnTo>
                <a:close/>
              </a:path>
              <a:path w="7486015" h="2068195">
                <a:moveTo>
                  <a:pt x="5961875" y="621792"/>
                </a:moveTo>
                <a:lnTo>
                  <a:pt x="5202936" y="621792"/>
                </a:lnTo>
                <a:lnTo>
                  <a:pt x="5202936" y="824484"/>
                </a:lnTo>
                <a:lnTo>
                  <a:pt x="5961875" y="824484"/>
                </a:lnTo>
                <a:lnTo>
                  <a:pt x="5961875" y="621792"/>
                </a:lnTo>
                <a:close/>
              </a:path>
              <a:path w="7486015" h="2068195">
                <a:moveTo>
                  <a:pt x="5961875" y="414528"/>
                </a:moveTo>
                <a:lnTo>
                  <a:pt x="5202936" y="414528"/>
                </a:lnTo>
                <a:lnTo>
                  <a:pt x="5202936" y="618744"/>
                </a:lnTo>
                <a:lnTo>
                  <a:pt x="5961875" y="618744"/>
                </a:lnTo>
                <a:lnTo>
                  <a:pt x="5961875" y="414528"/>
                </a:lnTo>
                <a:close/>
              </a:path>
              <a:path w="7486015" h="2068195">
                <a:moveTo>
                  <a:pt x="5961875" y="207264"/>
                </a:moveTo>
                <a:lnTo>
                  <a:pt x="5202936" y="207264"/>
                </a:lnTo>
                <a:lnTo>
                  <a:pt x="5202936" y="411480"/>
                </a:lnTo>
                <a:lnTo>
                  <a:pt x="5961875" y="411480"/>
                </a:lnTo>
                <a:lnTo>
                  <a:pt x="5961875" y="207264"/>
                </a:lnTo>
                <a:close/>
              </a:path>
              <a:path w="7486015" h="2068195">
                <a:moveTo>
                  <a:pt x="6723888" y="1863852"/>
                </a:moveTo>
                <a:lnTo>
                  <a:pt x="5964936" y="1863852"/>
                </a:lnTo>
                <a:lnTo>
                  <a:pt x="5964936" y="2068068"/>
                </a:lnTo>
                <a:lnTo>
                  <a:pt x="6723888" y="2068068"/>
                </a:lnTo>
                <a:lnTo>
                  <a:pt x="6723888" y="1863852"/>
                </a:lnTo>
                <a:close/>
              </a:path>
              <a:path w="7486015" h="2068195">
                <a:moveTo>
                  <a:pt x="6723888" y="1656588"/>
                </a:moveTo>
                <a:lnTo>
                  <a:pt x="5964936" y="1656588"/>
                </a:lnTo>
                <a:lnTo>
                  <a:pt x="5964936" y="1860804"/>
                </a:lnTo>
                <a:lnTo>
                  <a:pt x="6723888" y="1860804"/>
                </a:lnTo>
                <a:lnTo>
                  <a:pt x="6723888" y="1656588"/>
                </a:lnTo>
                <a:close/>
              </a:path>
              <a:path w="7486015" h="2068195">
                <a:moveTo>
                  <a:pt x="6723888" y="1449324"/>
                </a:moveTo>
                <a:lnTo>
                  <a:pt x="5964936" y="1449324"/>
                </a:lnTo>
                <a:lnTo>
                  <a:pt x="5964936" y="1653540"/>
                </a:lnTo>
                <a:lnTo>
                  <a:pt x="6723888" y="1653540"/>
                </a:lnTo>
                <a:lnTo>
                  <a:pt x="6723888" y="1449324"/>
                </a:lnTo>
                <a:close/>
              </a:path>
              <a:path w="7486015" h="2068195">
                <a:moveTo>
                  <a:pt x="6723888" y="1242060"/>
                </a:moveTo>
                <a:lnTo>
                  <a:pt x="5964936" y="1242060"/>
                </a:lnTo>
                <a:lnTo>
                  <a:pt x="5964936" y="1446276"/>
                </a:lnTo>
                <a:lnTo>
                  <a:pt x="6723888" y="1446276"/>
                </a:lnTo>
                <a:lnTo>
                  <a:pt x="6723888" y="1242060"/>
                </a:lnTo>
                <a:close/>
              </a:path>
              <a:path w="7486015" h="2068195">
                <a:moveTo>
                  <a:pt x="6723888" y="1034796"/>
                </a:moveTo>
                <a:lnTo>
                  <a:pt x="5964936" y="1034796"/>
                </a:lnTo>
                <a:lnTo>
                  <a:pt x="5964936" y="1239012"/>
                </a:lnTo>
                <a:lnTo>
                  <a:pt x="6723888" y="1239012"/>
                </a:lnTo>
                <a:lnTo>
                  <a:pt x="6723888" y="1034796"/>
                </a:lnTo>
                <a:close/>
              </a:path>
              <a:path w="7486015" h="2068195">
                <a:moveTo>
                  <a:pt x="6723888" y="827532"/>
                </a:moveTo>
                <a:lnTo>
                  <a:pt x="5964936" y="827532"/>
                </a:lnTo>
                <a:lnTo>
                  <a:pt x="5964936" y="1031748"/>
                </a:lnTo>
                <a:lnTo>
                  <a:pt x="6723888" y="1031748"/>
                </a:lnTo>
                <a:lnTo>
                  <a:pt x="6723888" y="827532"/>
                </a:lnTo>
                <a:close/>
              </a:path>
              <a:path w="7486015" h="2068195">
                <a:moveTo>
                  <a:pt x="6723888" y="621792"/>
                </a:moveTo>
                <a:lnTo>
                  <a:pt x="5964936" y="621792"/>
                </a:lnTo>
                <a:lnTo>
                  <a:pt x="5964936" y="824484"/>
                </a:lnTo>
                <a:lnTo>
                  <a:pt x="6723888" y="824484"/>
                </a:lnTo>
                <a:lnTo>
                  <a:pt x="6723888" y="621792"/>
                </a:lnTo>
                <a:close/>
              </a:path>
              <a:path w="7486015" h="2068195">
                <a:moveTo>
                  <a:pt x="6723888" y="414528"/>
                </a:moveTo>
                <a:lnTo>
                  <a:pt x="5964936" y="414528"/>
                </a:lnTo>
                <a:lnTo>
                  <a:pt x="5964936" y="618744"/>
                </a:lnTo>
                <a:lnTo>
                  <a:pt x="6723888" y="618744"/>
                </a:lnTo>
                <a:lnTo>
                  <a:pt x="6723888" y="414528"/>
                </a:lnTo>
                <a:close/>
              </a:path>
              <a:path w="7486015" h="2068195">
                <a:moveTo>
                  <a:pt x="6723888" y="207264"/>
                </a:moveTo>
                <a:lnTo>
                  <a:pt x="5964936" y="207264"/>
                </a:lnTo>
                <a:lnTo>
                  <a:pt x="5964936" y="411480"/>
                </a:lnTo>
                <a:lnTo>
                  <a:pt x="6723888" y="411480"/>
                </a:lnTo>
                <a:lnTo>
                  <a:pt x="6723888" y="207264"/>
                </a:lnTo>
                <a:close/>
              </a:path>
              <a:path w="7486015" h="2068195">
                <a:moveTo>
                  <a:pt x="7485888" y="1863852"/>
                </a:moveTo>
                <a:lnTo>
                  <a:pt x="6726936" y="1863852"/>
                </a:lnTo>
                <a:lnTo>
                  <a:pt x="6726936" y="2068068"/>
                </a:lnTo>
                <a:lnTo>
                  <a:pt x="7485888" y="2068068"/>
                </a:lnTo>
                <a:lnTo>
                  <a:pt x="7485888" y="1863852"/>
                </a:lnTo>
                <a:close/>
              </a:path>
              <a:path w="7486015" h="2068195">
                <a:moveTo>
                  <a:pt x="7485888" y="1656588"/>
                </a:moveTo>
                <a:lnTo>
                  <a:pt x="6726936" y="1656588"/>
                </a:lnTo>
                <a:lnTo>
                  <a:pt x="6726936" y="1860804"/>
                </a:lnTo>
                <a:lnTo>
                  <a:pt x="7485888" y="1860804"/>
                </a:lnTo>
                <a:lnTo>
                  <a:pt x="7485888" y="1656588"/>
                </a:lnTo>
                <a:close/>
              </a:path>
              <a:path w="7486015" h="2068195">
                <a:moveTo>
                  <a:pt x="7485888" y="1449324"/>
                </a:moveTo>
                <a:lnTo>
                  <a:pt x="6726936" y="1449324"/>
                </a:lnTo>
                <a:lnTo>
                  <a:pt x="6726936" y="1653540"/>
                </a:lnTo>
                <a:lnTo>
                  <a:pt x="7485888" y="1653540"/>
                </a:lnTo>
                <a:lnTo>
                  <a:pt x="7485888" y="1449324"/>
                </a:lnTo>
                <a:close/>
              </a:path>
              <a:path w="7486015" h="2068195">
                <a:moveTo>
                  <a:pt x="7485888" y="1242060"/>
                </a:moveTo>
                <a:lnTo>
                  <a:pt x="6726936" y="1242060"/>
                </a:lnTo>
                <a:lnTo>
                  <a:pt x="6726936" y="1446276"/>
                </a:lnTo>
                <a:lnTo>
                  <a:pt x="7485888" y="1446276"/>
                </a:lnTo>
                <a:lnTo>
                  <a:pt x="7485888" y="1242060"/>
                </a:lnTo>
                <a:close/>
              </a:path>
              <a:path w="7486015" h="2068195">
                <a:moveTo>
                  <a:pt x="7485888" y="1034796"/>
                </a:moveTo>
                <a:lnTo>
                  <a:pt x="6726936" y="1034796"/>
                </a:lnTo>
                <a:lnTo>
                  <a:pt x="6726936" y="1239012"/>
                </a:lnTo>
                <a:lnTo>
                  <a:pt x="7485888" y="1239012"/>
                </a:lnTo>
                <a:lnTo>
                  <a:pt x="7485888" y="1034796"/>
                </a:lnTo>
                <a:close/>
              </a:path>
              <a:path w="7486015" h="2068195">
                <a:moveTo>
                  <a:pt x="7485888" y="827532"/>
                </a:moveTo>
                <a:lnTo>
                  <a:pt x="6726936" y="827532"/>
                </a:lnTo>
                <a:lnTo>
                  <a:pt x="6726936" y="1031748"/>
                </a:lnTo>
                <a:lnTo>
                  <a:pt x="7485888" y="1031748"/>
                </a:lnTo>
                <a:lnTo>
                  <a:pt x="7485888" y="827532"/>
                </a:lnTo>
                <a:close/>
              </a:path>
              <a:path w="7486015" h="2068195">
                <a:moveTo>
                  <a:pt x="7485888" y="621792"/>
                </a:moveTo>
                <a:lnTo>
                  <a:pt x="6726936" y="621792"/>
                </a:lnTo>
                <a:lnTo>
                  <a:pt x="6726936" y="824484"/>
                </a:lnTo>
                <a:lnTo>
                  <a:pt x="7485888" y="824484"/>
                </a:lnTo>
                <a:lnTo>
                  <a:pt x="7485888" y="621792"/>
                </a:lnTo>
                <a:close/>
              </a:path>
              <a:path w="7486015" h="2068195">
                <a:moveTo>
                  <a:pt x="7485888" y="414528"/>
                </a:moveTo>
                <a:lnTo>
                  <a:pt x="6726936" y="414528"/>
                </a:lnTo>
                <a:lnTo>
                  <a:pt x="6726936" y="618744"/>
                </a:lnTo>
                <a:lnTo>
                  <a:pt x="7485888" y="618744"/>
                </a:lnTo>
                <a:lnTo>
                  <a:pt x="7485888" y="414528"/>
                </a:lnTo>
                <a:close/>
              </a:path>
              <a:path w="7486015" h="2068195">
                <a:moveTo>
                  <a:pt x="7485888" y="207264"/>
                </a:moveTo>
                <a:lnTo>
                  <a:pt x="6726936" y="207264"/>
                </a:lnTo>
                <a:lnTo>
                  <a:pt x="6726936" y="411480"/>
                </a:lnTo>
                <a:lnTo>
                  <a:pt x="7485888" y="411480"/>
                </a:lnTo>
                <a:lnTo>
                  <a:pt x="7485888" y="207264"/>
                </a:lnTo>
                <a:close/>
              </a:path>
            </a:pathLst>
          </a:custGeom>
          <a:solidFill>
            <a:srgbClr val="FFFFFF"/>
          </a:solidFill>
        </xdr:spPr>
      </xdr:sp>
      <xdr:sp macro="" textlink="">
        <xdr:nvSpPr>
          <xdr:cNvPr id="96" name="Shape 96">
            <a:extLst>
              <a:ext uri="{FF2B5EF4-FFF2-40B4-BE49-F238E27FC236}">
                <a16:creationId xmlns:a16="http://schemas.microsoft.com/office/drawing/2014/main" id="{00000000-0008-0000-0800-000060000000}"/>
              </a:ext>
            </a:extLst>
          </xdr:cNvPr>
          <xdr:cNvSpPr/>
        </xdr:nvSpPr>
        <xdr:spPr>
          <a:xfrm>
            <a:off x="0" y="3313176"/>
            <a:ext cx="7486015" cy="826135"/>
          </a:xfrm>
          <a:custGeom>
            <a:avLst/>
            <a:gdLst/>
            <a:ahLst/>
            <a:cxnLst/>
            <a:rect l="0" t="0" r="0" b="0"/>
            <a:pathLst>
              <a:path w="7486015" h="826135">
                <a:moveTo>
                  <a:pt x="312420" y="0"/>
                </a:moveTo>
                <a:lnTo>
                  <a:pt x="0" y="0"/>
                </a:lnTo>
                <a:lnTo>
                  <a:pt x="0" y="826008"/>
                </a:lnTo>
                <a:lnTo>
                  <a:pt x="312420" y="826008"/>
                </a:lnTo>
                <a:lnTo>
                  <a:pt x="312420" y="0"/>
                </a:lnTo>
                <a:close/>
              </a:path>
              <a:path w="7486015" h="826135">
                <a:moveTo>
                  <a:pt x="1264920" y="0"/>
                </a:moveTo>
                <a:lnTo>
                  <a:pt x="315468" y="0"/>
                </a:lnTo>
                <a:lnTo>
                  <a:pt x="315468" y="826008"/>
                </a:lnTo>
                <a:lnTo>
                  <a:pt x="1264920" y="826008"/>
                </a:lnTo>
                <a:lnTo>
                  <a:pt x="1264920" y="0"/>
                </a:lnTo>
                <a:close/>
              </a:path>
              <a:path w="7486015" h="826135">
                <a:moveTo>
                  <a:pt x="2531364" y="0"/>
                </a:moveTo>
                <a:lnTo>
                  <a:pt x="1267968" y="0"/>
                </a:lnTo>
                <a:lnTo>
                  <a:pt x="1267968" y="826008"/>
                </a:lnTo>
                <a:lnTo>
                  <a:pt x="2531364" y="826008"/>
                </a:lnTo>
                <a:lnTo>
                  <a:pt x="2531364" y="0"/>
                </a:lnTo>
                <a:close/>
              </a:path>
              <a:path w="7486015" h="826135">
                <a:moveTo>
                  <a:pt x="3037332" y="621792"/>
                </a:moveTo>
                <a:lnTo>
                  <a:pt x="2534412" y="621792"/>
                </a:lnTo>
                <a:lnTo>
                  <a:pt x="2534412" y="826008"/>
                </a:lnTo>
                <a:lnTo>
                  <a:pt x="3037332" y="826008"/>
                </a:lnTo>
                <a:lnTo>
                  <a:pt x="3037332" y="621792"/>
                </a:lnTo>
                <a:close/>
              </a:path>
              <a:path w="7486015" h="826135">
                <a:moveTo>
                  <a:pt x="3037332" y="414528"/>
                </a:moveTo>
                <a:lnTo>
                  <a:pt x="2534412" y="414528"/>
                </a:lnTo>
                <a:lnTo>
                  <a:pt x="2534412" y="618744"/>
                </a:lnTo>
                <a:lnTo>
                  <a:pt x="3037332" y="618744"/>
                </a:lnTo>
                <a:lnTo>
                  <a:pt x="3037332" y="414528"/>
                </a:lnTo>
                <a:close/>
              </a:path>
              <a:path w="7486015" h="826135">
                <a:moveTo>
                  <a:pt x="3674364" y="621792"/>
                </a:moveTo>
                <a:lnTo>
                  <a:pt x="3040380" y="621792"/>
                </a:lnTo>
                <a:lnTo>
                  <a:pt x="3040380" y="826008"/>
                </a:lnTo>
                <a:lnTo>
                  <a:pt x="3674364" y="826008"/>
                </a:lnTo>
                <a:lnTo>
                  <a:pt x="3674364" y="621792"/>
                </a:lnTo>
                <a:close/>
              </a:path>
              <a:path w="7486015" h="826135">
                <a:moveTo>
                  <a:pt x="3674364" y="414528"/>
                </a:moveTo>
                <a:lnTo>
                  <a:pt x="3040380" y="414528"/>
                </a:lnTo>
                <a:lnTo>
                  <a:pt x="3040380" y="618744"/>
                </a:lnTo>
                <a:lnTo>
                  <a:pt x="3674364" y="618744"/>
                </a:lnTo>
                <a:lnTo>
                  <a:pt x="3674364" y="414528"/>
                </a:lnTo>
                <a:close/>
              </a:path>
              <a:path w="7486015" h="826135">
                <a:moveTo>
                  <a:pt x="4437888" y="621792"/>
                </a:moveTo>
                <a:lnTo>
                  <a:pt x="3677412" y="621792"/>
                </a:lnTo>
                <a:lnTo>
                  <a:pt x="3677412" y="826008"/>
                </a:lnTo>
                <a:lnTo>
                  <a:pt x="4437888" y="826008"/>
                </a:lnTo>
                <a:lnTo>
                  <a:pt x="4437888" y="621792"/>
                </a:lnTo>
                <a:close/>
              </a:path>
              <a:path w="7486015" h="826135">
                <a:moveTo>
                  <a:pt x="4437888" y="414528"/>
                </a:moveTo>
                <a:lnTo>
                  <a:pt x="3677412" y="414528"/>
                </a:lnTo>
                <a:lnTo>
                  <a:pt x="3677412" y="618744"/>
                </a:lnTo>
                <a:lnTo>
                  <a:pt x="4437888" y="618744"/>
                </a:lnTo>
                <a:lnTo>
                  <a:pt x="4437888" y="414528"/>
                </a:lnTo>
                <a:close/>
              </a:path>
              <a:path w="7486015" h="826135">
                <a:moveTo>
                  <a:pt x="5199888" y="621792"/>
                </a:moveTo>
                <a:lnTo>
                  <a:pt x="4440936" y="621792"/>
                </a:lnTo>
                <a:lnTo>
                  <a:pt x="4440936" y="826008"/>
                </a:lnTo>
                <a:lnTo>
                  <a:pt x="5199888" y="826008"/>
                </a:lnTo>
                <a:lnTo>
                  <a:pt x="5199888" y="621792"/>
                </a:lnTo>
                <a:close/>
              </a:path>
              <a:path w="7486015" h="826135">
                <a:moveTo>
                  <a:pt x="5199888" y="414528"/>
                </a:moveTo>
                <a:lnTo>
                  <a:pt x="4440936" y="414528"/>
                </a:lnTo>
                <a:lnTo>
                  <a:pt x="4440936" y="618744"/>
                </a:lnTo>
                <a:lnTo>
                  <a:pt x="5199888" y="618744"/>
                </a:lnTo>
                <a:lnTo>
                  <a:pt x="5199888" y="414528"/>
                </a:lnTo>
                <a:close/>
              </a:path>
              <a:path w="7486015" h="826135">
                <a:moveTo>
                  <a:pt x="5961875" y="621792"/>
                </a:moveTo>
                <a:lnTo>
                  <a:pt x="5202936" y="621792"/>
                </a:lnTo>
                <a:lnTo>
                  <a:pt x="5202936" y="826008"/>
                </a:lnTo>
                <a:lnTo>
                  <a:pt x="5961875" y="826008"/>
                </a:lnTo>
                <a:lnTo>
                  <a:pt x="5961875" y="621792"/>
                </a:lnTo>
                <a:close/>
              </a:path>
              <a:path w="7486015" h="826135">
                <a:moveTo>
                  <a:pt x="5961875" y="414528"/>
                </a:moveTo>
                <a:lnTo>
                  <a:pt x="5202936" y="414528"/>
                </a:lnTo>
                <a:lnTo>
                  <a:pt x="5202936" y="618744"/>
                </a:lnTo>
                <a:lnTo>
                  <a:pt x="5961875" y="618744"/>
                </a:lnTo>
                <a:lnTo>
                  <a:pt x="5961875" y="414528"/>
                </a:lnTo>
                <a:close/>
              </a:path>
              <a:path w="7486015" h="826135">
                <a:moveTo>
                  <a:pt x="6723888" y="621792"/>
                </a:moveTo>
                <a:lnTo>
                  <a:pt x="5964936" y="621792"/>
                </a:lnTo>
                <a:lnTo>
                  <a:pt x="5964936" y="826008"/>
                </a:lnTo>
                <a:lnTo>
                  <a:pt x="6723888" y="826008"/>
                </a:lnTo>
                <a:lnTo>
                  <a:pt x="6723888" y="621792"/>
                </a:lnTo>
                <a:close/>
              </a:path>
              <a:path w="7486015" h="826135">
                <a:moveTo>
                  <a:pt x="6723888" y="414528"/>
                </a:moveTo>
                <a:lnTo>
                  <a:pt x="5964936" y="414528"/>
                </a:lnTo>
                <a:lnTo>
                  <a:pt x="5964936" y="618744"/>
                </a:lnTo>
                <a:lnTo>
                  <a:pt x="6723888" y="618744"/>
                </a:lnTo>
                <a:lnTo>
                  <a:pt x="6723888" y="414528"/>
                </a:lnTo>
                <a:close/>
              </a:path>
              <a:path w="7486015" h="826135">
                <a:moveTo>
                  <a:pt x="7485888" y="621792"/>
                </a:moveTo>
                <a:lnTo>
                  <a:pt x="6726936" y="621792"/>
                </a:lnTo>
                <a:lnTo>
                  <a:pt x="6726936" y="826008"/>
                </a:lnTo>
                <a:lnTo>
                  <a:pt x="7485888" y="826008"/>
                </a:lnTo>
                <a:lnTo>
                  <a:pt x="7485888" y="621792"/>
                </a:lnTo>
                <a:close/>
              </a:path>
              <a:path w="7486015" h="826135">
                <a:moveTo>
                  <a:pt x="7485888" y="414528"/>
                </a:moveTo>
                <a:lnTo>
                  <a:pt x="6726936" y="414528"/>
                </a:lnTo>
                <a:lnTo>
                  <a:pt x="6726936" y="618744"/>
                </a:lnTo>
                <a:lnTo>
                  <a:pt x="7485888" y="618744"/>
                </a:lnTo>
                <a:lnTo>
                  <a:pt x="7485888" y="414528"/>
                </a:lnTo>
                <a:close/>
              </a:path>
              <a:path w="7486015" h="826135">
                <a:moveTo>
                  <a:pt x="7485888" y="207264"/>
                </a:moveTo>
                <a:lnTo>
                  <a:pt x="6726936" y="207264"/>
                </a:lnTo>
                <a:lnTo>
                  <a:pt x="6726936" y="411480"/>
                </a:lnTo>
                <a:lnTo>
                  <a:pt x="7485888" y="411480"/>
                </a:lnTo>
                <a:lnTo>
                  <a:pt x="7485888" y="207264"/>
                </a:lnTo>
                <a:close/>
              </a:path>
            </a:pathLst>
          </a:custGeom>
          <a:solidFill>
            <a:srgbClr val="FFFFFF"/>
          </a:solidFill>
        </xdr:spPr>
      </xdr:sp>
    </xdr:grpSp>
    <xdr:clientData/>
  </xdr:oneCellAnchor>
  <xdr:oneCellAnchor>
    <xdr:from>
      <xdr:col>11</xdr:col>
      <xdr:colOff>546481</xdr:colOff>
      <xdr:row>26</xdr:row>
      <xdr:rowOff>0</xdr:rowOff>
    </xdr:from>
    <xdr:ext cx="645160" cy="4139565"/>
    <xdr:sp macro="" textlink="">
      <xdr:nvSpPr>
        <xdr:cNvPr id="97" name="Shape 97">
          <a:extLst>
            <a:ext uri="{FF2B5EF4-FFF2-40B4-BE49-F238E27FC236}">
              <a16:creationId xmlns:a16="http://schemas.microsoft.com/office/drawing/2014/main" id="{00000000-0008-0000-0800-000061000000}"/>
            </a:ext>
          </a:extLst>
        </xdr:cNvPr>
        <xdr:cNvSpPr/>
      </xdr:nvSpPr>
      <xdr:spPr>
        <a:xfrm>
          <a:off x="0" y="0"/>
          <a:ext cx="645160" cy="4139565"/>
        </a:xfrm>
        <a:custGeom>
          <a:avLst/>
          <a:gdLst/>
          <a:ahLst/>
          <a:cxnLst/>
          <a:rect l="0" t="0" r="0" b="0"/>
          <a:pathLst>
            <a:path w="645160" h="4139565">
              <a:moveTo>
                <a:pt x="644652" y="3934968"/>
              </a:moveTo>
              <a:lnTo>
                <a:pt x="0" y="3934968"/>
              </a:lnTo>
              <a:lnTo>
                <a:pt x="0" y="4139184"/>
              </a:lnTo>
              <a:lnTo>
                <a:pt x="644652" y="4139184"/>
              </a:lnTo>
              <a:lnTo>
                <a:pt x="644652" y="3934968"/>
              </a:lnTo>
              <a:close/>
            </a:path>
            <a:path w="645160" h="4139565">
              <a:moveTo>
                <a:pt x="644652" y="3727704"/>
              </a:moveTo>
              <a:lnTo>
                <a:pt x="0" y="3727704"/>
              </a:lnTo>
              <a:lnTo>
                <a:pt x="0" y="3931920"/>
              </a:lnTo>
              <a:lnTo>
                <a:pt x="644652" y="3931920"/>
              </a:lnTo>
              <a:lnTo>
                <a:pt x="644652" y="3727704"/>
              </a:lnTo>
              <a:close/>
            </a:path>
            <a:path w="645160" h="4139565">
              <a:moveTo>
                <a:pt x="644652" y="3520440"/>
              </a:moveTo>
              <a:lnTo>
                <a:pt x="0" y="3520440"/>
              </a:lnTo>
              <a:lnTo>
                <a:pt x="0" y="3724656"/>
              </a:lnTo>
              <a:lnTo>
                <a:pt x="644652" y="3724656"/>
              </a:lnTo>
              <a:lnTo>
                <a:pt x="644652" y="3520440"/>
              </a:lnTo>
              <a:close/>
            </a:path>
            <a:path w="645160" h="4139565">
              <a:moveTo>
                <a:pt x="644652" y="3313176"/>
              </a:moveTo>
              <a:lnTo>
                <a:pt x="0" y="3313176"/>
              </a:lnTo>
              <a:lnTo>
                <a:pt x="0" y="3517392"/>
              </a:lnTo>
              <a:lnTo>
                <a:pt x="644652" y="3517392"/>
              </a:lnTo>
              <a:lnTo>
                <a:pt x="644652" y="3313176"/>
              </a:lnTo>
              <a:close/>
            </a:path>
            <a:path w="645160" h="4139565">
              <a:moveTo>
                <a:pt x="644652" y="3105912"/>
              </a:moveTo>
              <a:lnTo>
                <a:pt x="0" y="3105912"/>
              </a:lnTo>
              <a:lnTo>
                <a:pt x="0" y="3310128"/>
              </a:lnTo>
              <a:lnTo>
                <a:pt x="644652" y="3310128"/>
              </a:lnTo>
              <a:lnTo>
                <a:pt x="644652" y="3105912"/>
              </a:lnTo>
              <a:close/>
            </a:path>
            <a:path w="645160" h="4139565">
              <a:moveTo>
                <a:pt x="644652" y="2898648"/>
              </a:moveTo>
              <a:lnTo>
                <a:pt x="0" y="2898648"/>
              </a:lnTo>
              <a:lnTo>
                <a:pt x="0" y="3102864"/>
              </a:lnTo>
              <a:lnTo>
                <a:pt x="644652" y="3102864"/>
              </a:lnTo>
              <a:lnTo>
                <a:pt x="644652" y="2898648"/>
              </a:lnTo>
              <a:close/>
            </a:path>
            <a:path w="645160" h="4139565">
              <a:moveTo>
                <a:pt x="644652" y="2691384"/>
              </a:moveTo>
              <a:lnTo>
                <a:pt x="0" y="2691384"/>
              </a:lnTo>
              <a:lnTo>
                <a:pt x="0" y="2895600"/>
              </a:lnTo>
              <a:lnTo>
                <a:pt x="644652" y="2895600"/>
              </a:lnTo>
              <a:lnTo>
                <a:pt x="644652" y="2691384"/>
              </a:lnTo>
              <a:close/>
            </a:path>
            <a:path w="645160" h="4139565">
              <a:moveTo>
                <a:pt x="644652" y="2484120"/>
              </a:moveTo>
              <a:lnTo>
                <a:pt x="0" y="2484120"/>
              </a:lnTo>
              <a:lnTo>
                <a:pt x="0" y="2688336"/>
              </a:lnTo>
              <a:lnTo>
                <a:pt x="644652" y="2688336"/>
              </a:lnTo>
              <a:lnTo>
                <a:pt x="644652" y="2484120"/>
              </a:lnTo>
              <a:close/>
            </a:path>
            <a:path w="645160" h="4139565">
              <a:moveTo>
                <a:pt x="644652" y="2278380"/>
              </a:moveTo>
              <a:lnTo>
                <a:pt x="0" y="2278380"/>
              </a:lnTo>
              <a:lnTo>
                <a:pt x="0" y="2481072"/>
              </a:lnTo>
              <a:lnTo>
                <a:pt x="644652" y="2481072"/>
              </a:lnTo>
              <a:lnTo>
                <a:pt x="644652" y="2278380"/>
              </a:lnTo>
              <a:close/>
            </a:path>
            <a:path w="645160" h="4139565">
              <a:moveTo>
                <a:pt x="644652" y="2071116"/>
              </a:moveTo>
              <a:lnTo>
                <a:pt x="0" y="2071116"/>
              </a:lnTo>
              <a:lnTo>
                <a:pt x="0" y="2275332"/>
              </a:lnTo>
              <a:lnTo>
                <a:pt x="644652" y="2275332"/>
              </a:lnTo>
              <a:lnTo>
                <a:pt x="644652" y="2071116"/>
              </a:lnTo>
              <a:close/>
            </a:path>
            <a:path w="645160" h="4139565">
              <a:moveTo>
                <a:pt x="644652" y="1863852"/>
              </a:moveTo>
              <a:lnTo>
                <a:pt x="0" y="1863852"/>
              </a:lnTo>
              <a:lnTo>
                <a:pt x="0" y="2068068"/>
              </a:lnTo>
              <a:lnTo>
                <a:pt x="644652" y="2068068"/>
              </a:lnTo>
              <a:lnTo>
                <a:pt x="644652" y="1863852"/>
              </a:lnTo>
              <a:close/>
            </a:path>
            <a:path w="645160" h="4139565">
              <a:moveTo>
                <a:pt x="644652" y="1656588"/>
              </a:moveTo>
              <a:lnTo>
                <a:pt x="0" y="1656588"/>
              </a:lnTo>
              <a:lnTo>
                <a:pt x="0" y="1860804"/>
              </a:lnTo>
              <a:lnTo>
                <a:pt x="644652" y="1860804"/>
              </a:lnTo>
              <a:lnTo>
                <a:pt x="644652" y="1656588"/>
              </a:lnTo>
              <a:close/>
            </a:path>
            <a:path w="645160" h="4139565">
              <a:moveTo>
                <a:pt x="644652" y="1449324"/>
              </a:moveTo>
              <a:lnTo>
                <a:pt x="0" y="1449324"/>
              </a:lnTo>
              <a:lnTo>
                <a:pt x="0" y="1653540"/>
              </a:lnTo>
              <a:lnTo>
                <a:pt x="644652" y="1653540"/>
              </a:lnTo>
              <a:lnTo>
                <a:pt x="644652" y="1449324"/>
              </a:lnTo>
              <a:close/>
            </a:path>
            <a:path w="645160" h="4139565">
              <a:moveTo>
                <a:pt x="644652" y="1242060"/>
              </a:moveTo>
              <a:lnTo>
                <a:pt x="0" y="1242060"/>
              </a:lnTo>
              <a:lnTo>
                <a:pt x="0" y="1446276"/>
              </a:lnTo>
              <a:lnTo>
                <a:pt x="644652" y="1446276"/>
              </a:lnTo>
              <a:lnTo>
                <a:pt x="644652" y="1242060"/>
              </a:lnTo>
              <a:close/>
            </a:path>
            <a:path w="645160" h="4139565">
              <a:moveTo>
                <a:pt x="644652" y="1034796"/>
              </a:moveTo>
              <a:lnTo>
                <a:pt x="0" y="1034796"/>
              </a:lnTo>
              <a:lnTo>
                <a:pt x="0" y="1239012"/>
              </a:lnTo>
              <a:lnTo>
                <a:pt x="644652" y="1239012"/>
              </a:lnTo>
              <a:lnTo>
                <a:pt x="644652" y="1034796"/>
              </a:lnTo>
              <a:close/>
            </a:path>
            <a:path w="645160" h="4139565">
              <a:moveTo>
                <a:pt x="644652" y="827532"/>
              </a:moveTo>
              <a:lnTo>
                <a:pt x="0" y="827532"/>
              </a:lnTo>
              <a:lnTo>
                <a:pt x="0" y="1031748"/>
              </a:lnTo>
              <a:lnTo>
                <a:pt x="644652" y="1031748"/>
              </a:lnTo>
              <a:lnTo>
                <a:pt x="644652" y="827532"/>
              </a:lnTo>
              <a:close/>
            </a:path>
            <a:path w="645160" h="4139565">
              <a:moveTo>
                <a:pt x="644652" y="621792"/>
              </a:moveTo>
              <a:lnTo>
                <a:pt x="0" y="621792"/>
              </a:lnTo>
              <a:lnTo>
                <a:pt x="0" y="824484"/>
              </a:lnTo>
              <a:lnTo>
                <a:pt x="644652" y="824484"/>
              </a:lnTo>
              <a:lnTo>
                <a:pt x="644652" y="621792"/>
              </a:lnTo>
              <a:close/>
            </a:path>
            <a:path w="645160" h="4139565">
              <a:moveTo>
                <a:pt x="644652" y="414528"/>
              </a:moveTo>
              <a:lnTo>
                <a:pt x="0" y="414528"/>
              </a:lnTo>
              <a:lnTo>
                <a:pt x="0" y="618744"/>
              </a:lnTo>
              <a:lnTo>
                <a:pt x="644652" y="618744"/>
              </a:lnTo>
              <a:lnTo>
                <a:pt x="644652" y="414528"/>
              </a:lnTo>
              <a:close/>
            </a:path>
            <a:path w="645160" h="4139565">
              <a:moveTo>
                <a:pt x="644652" y="207264"/>
              </a:moveTo>
              <a:lnTo>
                <a:pt x="0" y="207264"/>
              </a:lnTo>
              <a:lnTo>
                <a:pt x="0" y="411480"/>
              </a:lnTo>
              <a:lnTo>
                <a:pt x="644652" y="411480"/>
              </a:lnTo>
              <a:lnTo>
                <a:pt x="644652" y="207264"/>
              </a:lnTo>
              <a:close/>
            </a:path>
            <a:path w="645160" h="4139565">
              <a:moveTo>
                <a:pt x="644652" y="0"/>
              </a:moveTo>
              <a:lnTo>
                <a:pt x="0" y="0"/>
              </a:lnTo>
              <a:lnTo>
                <a:pt x="0" y="204216"/>
              </a:lnTo>
              <a:lnTo>
                <a:pt x="644652" y="204216"/>
              </a:lnTo>
              <a:lnTo>
                <a:pt x="644652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543687</xdr:colOff>
      <xdr:row>20</xdr:row>
      <xdr:rowOff>206501</xdr:rowOff>
    </xdr:from>
    <xdr:ext cx="3808729" cy="480059"/>
    <xdr:sp macro="" textlink="">
      <xdr:nvSpPr>
        <xdr:cNvPr id="98" name="Shape 98">
          <a:extLst>
            <a:ext uri="{FF2B5EF4-FFF2-40B4-BE49-F238E27FC236}">
              <a16:creationId xmlns:a16="http://schemas.microsoft.com/office/drawing/2014/main" id="{00000000-0008-0000-0900-000062000000}"/>
            </a:ext>
          </a:extLst>
        </xdr:cNvPr>
        <xdr:cNvSpPr/>
      </xdr:nvSpPr>
      <xdr:spPr>
        <a:xfrm>
          <a:off x="0" y="0"/>
          <a:ext cx="3808729" cy="480059"/>
        </a:xfrm>
        <a:custGeom>
          <a:avLst/>
          <a:gdLst/>
          <a:ahLst/>
          <a:cxnLst/>
          <a:rect l="0" t="0" r="0" b="0"/>
          <a:pathLst>
            <a:path w="3808729" h="480059">
              <a:moveTo>
                <a:pt x="760476" y="0"/>
              </a:moveTo>
              <a:lnTo>
                <a:pt x="0" y="0"/>
              </a:lnTo>
              <a:lnTo>
                <a:pt x="0" y="480060"/>
              </a:lnTo>
              <a:lnTo>
                <a:pt x="760476" y="480060"/>
              </a:lnTo>
              <a:lnTo>
                <a:pt x="760476" y="0"/>
              </a:lnTo>
              <a:close/>
            </a:path>
            <a:path w="3808729" h="480059">
              <a:moveTo>
                <a:pt x="1522476" y="0"/>
              </a:moveTo>
              <a:lnTo>
                <a:pt x="763524" y="0"/>
              </a:lnTo>
              <a:lnTo>
                <a:pt x="763524" y="480060"/>
              </a:lnTo>
              <a:lnTo>
                <a:pt x="1522476" y="480060"/>
              </a:lnTo>
              <a:lnTo>
                <a:pt x="1522476" y="0"/>
              </a:lnTo>
              <a:close/>
            </a:path>
            <a:path w="3808729" h="480059">
              <a:moveTo>
                <a:pt x="2284463" y="0"/>
              </a:moveTo>
              <a:lnTo>
                <a:pt x="1525524" y="0"/>
              </a:lnTo>
              <a:lnTo>
                <a:pt x="1525524" y="480060"/>
              </a:lnTo>
              <a:lnTo>
                <a:pt x="2284463" y="480060"/>
              </a:lnTo>
              <a:lnTo>
                <a:pt x="2284463" y="0"/>
              </a:lnTo>
              <a:close/>
            </a:path>
            <a:path w="3808729" h="480059">
              <a:moveTo>
                <a:pt x="3046476" y="0"/>
              </a:moveTo>
              <a:lnTo>
                <a:pt x="2287524" y="0"/>
              </a:lnTo>
              <a:lnTo>
                <a:pt x="2287524" y="480060"/>
              </a:lnTo>
              <a:lnTo>
                <a:pt x="3046476" y="480060"/>
              </a:lnTo>
              <a:lnTo>
                <a:pt x="3046476" y="0"/>
              </a:lnTo>
              <a:close/>
            </a:path>
            <a:path w="3808729" h="480059">
              <a:moveTo>
                <a:pt x="3808476" y="0"/>
              </a:moveTo>
              <a:lnTo>
                <a:pt x="3049524" y="0"/>
              </a:lnTo>
              <a:lnTo>
                <a:pt x="3049524" y="480060"/>
              </a:lnTo>
              <a:lnTo>
                <a:pt x="3808476" y="480060"/>
              </a:lnTo>
              <a:lnTo>
                <a:pt x="3808476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5</xdr:col>
      <xdr:colOff>299453</xdr:colOff>
      <xdr:row>3</xdr:row>
      <xdr:rowOff>49142</xdr:rowOff>
    </xdr:from>
    <xdr:ext cx="193523" cy="290285"/>
    <xdr:pic>
      <xdr:nvPicPr>
        <xdr:cNvPr id="99" name="image1.jpeg">
          <a:extLst>
            <a:ext uri="{FF2B5EF4-FFF2-40B4-BE49-F238E27FC236}">
              <a16:creationId xmlns:a16="http://schemas.microsoft.com/office/drawing/2014/main" id="{00000000-0008-0000-0900-00006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93523" cy="290285"/>
        </a:xfrm>
        <a:prstGeom prst="rect">
          <a:avLst/>
        </a:prstGeom>
      </xdr:spPr>
    </xdr:pic>
    <xdr:clientData/>
  </xdr:oneCellAnchor>
  <xdr:oneCellAnchor>
    <xdr:from>
      <xdr:col>6</xdr:col>
      <xdr:colOff>201929</xdr:colOff>
      <xdr:row>3</xdr:row>
      <xdr:rowOff>761</xdr:rowOff>
    </xdr:from>
    <xdr:ext cx="381000" cy="381000"/>
    <xdr:pic>
      <xdr:nvPicPr>
        <xdr:cNvPr id="100" name="image2.jpeg">
          <a:extLst>
            <a:ext uri="{FF2B5EF4-FFF2-40B4-BE49-F238E27FC236}">
              <a16:creationId xmlns:a16="http://schemas.microsoft.com/office/drawing/2014/main" id="{00000000-0008-0000-0900-00006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81000" cy="381000"/>
        </a:xfrm>
        <a:prstGeom prst="rect">
          <a:avLst/>
        </a:prstGeom>
      </xdr:spPr>
    </xdr:pic>
    <xdr:clientData/>
  </xdr:oneCellAnchor>
  <xdr:oneCellAnchor>
    <xdr:from>
      <xdr:col>7</xdr:col>
      <xdr:colOff>201930</xdr:colOff>
      <xdr:row>3</xdr:row>
      <xdr:rowOff>761</xdr:rowOff>
    </xdr:from>
    <xdr:ext cx="381000" cy="381000"/>
    <xdr:pic>
      <xdr:nvPicPr>
        <xdr:cNvPr id="101" name="image3.jpeg">
          <a:extLst>
            <a:ext uri="{FF2B5EF4-FFF2-40B4-BE49-F238E27FC236}">
              <a16:creationId xmlns:a16="http://schemas.microsoft.com/office/drawing/2014/main" id="{00000000-0008-0000-0900-00006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81000" cy="381000"/>
        </a:xfrm>
        <a:prstGeom prst="rect">
          <a:avLst/>
        </a:prstGeom>
      </xdr:spPr>
    </xdr:pic>
    <xdr:clientData/>
  </xdr:oneCellAnchor>
  <xdr:oneCellAnchor>
    <xdr:from>
      <xdr:col>8</xdr:col>
      <xdr:colOff>201929</xdr:colOff>
      <xdr:row>3</xdr:row>
      <xdr:rowOff>49142</xdr:rowOff>
    </xdr:from>
    <xdr:ext cx="381000" cy="290285"/>
    <xdr:pic>
      <xdr:nvPicPr>
        <xdr:cNvPr id="102" name="image4.jpeg">
          <a:extLst>
            <a:ext uri="{FF2B5EF4-FFF2-40B4-BE49-F238E27FC236}">
              <a16:creationId xmlns:a16="http://schemas.microsoft.com/office/drawing/2014/main" id="{00000000-0008-0000-0900-00006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81000" cy="290285"/>
        </a:xfrm>
        <a:prstGeom prst="rect">
          <a:avLst/>
        </a:prstGeom>
      </xdr:spPr>
    </xdr:pic>
    <xdr:clientData/>
  </xdr:oneCellAnchor>
  <xdr:oneCellAnchor>
    <xdr:from>
      <xdr:col>9</xdr:col>
      <xdr:colOff>201929</xdr:colOff>
      <xdr:row>3</xdr:row>
      <xdr:rowOff>49142</xdr:rowOff>
    </xdr:from>
    <xdr:ext cx="381000" cy="290285"/>
    <xdr:pic>
      <xdr:nvPicPr>
        <xdr:cNvPr id="103" name="image5.jpeg">
          <a:extLst>
            <a:ext uri="{FF2B5EF4-FFF2-40B4-BE49-F238E27FC236}">
              <a16:creationId xmlns:a16="http://schemas.microsoft.com/office/drawing/2014/main" id="{00000000-0008-0000-0900-00006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81000" cy="290285"/>
        </a:xfrm>
        <a:prstGeom prst="rect">
          <a:avLst/>
        </a:prstGeom>
      </xdr:spPr>
    </xdr:pic>
    <xdr:clientData/>
  </xdr:oneCellAnchor>
  <xdr:oneCellAnchor>
    <xdr:from>
      <xdr:col>1</xdr:col>
      <xdr:colOff>226059</xdr:colOff>
      <xdr:row>22</xdr:row>
      <xdr:rowOff>0</xdr:rowOff>
    </xdr:from>
    <xdr:ext cx="7486015" cy="3724910"/>
    <xdr:grpSp>
      <xdr:nvGrpSpPr>
        <xdr:cNvPr id="104" name="Group 104">
          <a:extLst>
            <a:ext uri="{FF2B5EF4-FFF2-40B4-BE49-F238E27FC236}">
              <a16:creationId xmlns:a16="http://schemas.microsoft.com/office/drawing/2014/main" id="{00000000-0008-0000-0900-000068000000}"/>
            </a:ext>
          </a:extLst>
        </xdr:cNvPr>
        <xdr:cNvGrpSpPr/>
      </xdr:nvGrpSpPr>
      <xdr:grpSpPr>
        <a:xfrm>
          <a:off x="607059" y="5814060"/>
          <a:ext cx="7486015" cy="3724910"/>
          <a:chOff x="0" y="0"/>
          <a:chExt cx="7486015" cy="3724910"/>
        </a:xfrm>
      </xdr:grpSpPr>
      <xdr:sp macro="" textlink="">
        <xdr:nvSpPr>
          <xdr:cNvPr id="105" name="Shape 105">
            <a:extLst>
              <a:ext uri="{FF2B5EF4-FFF2-40B4-BE49-F238E27FC236}">
                <a16:creationId xmlns:a16="http://schemas.microsoft.com/office/drawing/2014/main" id="{00000000-0008-0000-0900-000069000000}"/>
              </a:ext>
            </a:extLst>
          </xdr:cNvPr>
          <xdr:cNvSpPr/>
        </xdr:nvSpPr>
        <xdr:spPr>
          <a:xfrm>
            <a:off x="0" y="0"/>
            <a:ext cx="7486015" cy="2068195"/>
          </a:xfrm>
          <a:custGeom>
            <a:avLst/>
            <a:gdLst/>
            <a:ahLst/>
            <a:cxnLst/>
            <a:rect l="0" t="0" r="0" b="0"/>
            <a:pathLst>
              <a:path w="7486015" h="2068195">
                <a:moveTo>
                  <a:pt x="312420" y="1655064"/>
                </a:moveTo>
                <a:lnTo>
                  <a:pt x="0" y="1655064"/>
                </a:lnTo>
                <a:lnTo>
                  <a:pt x="0" y="2068068"/>
                </a:lnTo>
                <a:lnTo>
                  <a:pt x="312420" y="2068068"/>
                </a:lnTo>
                <a:lnTo>
                  <a:pt x="312420" y="1655064"/>
                </a:lnTo>
                <a:close/>
              </a:path>
              <a:path w="7486015" h="2068195">
                <a:moveTo>
                  <a:pt x="312420" y="827532"/>
                </a:moveTo>
                <a:lnTo>
                  <a:pt x="0" y="827532"/>
                </a:lnTo>
                <a:lnTo>
                  <a:pt x="0" y="1652016"/>
                </a:lnTo>
                <a:lnTo>
                  <a:pt x="312420" y="1652016"/>
                </a:lnTo>
                <a:lnTo>
                  <a:pt x="312420" y="827532"/>
                </a:lnTo>
                <a:close/>
              </a:path>
              <a:path w="7486015" h="2068195">
                <a:moveTo>
                  <a:pt x="312420" y="0"/>
                </a:moveTo>
                <a:lnTo>
                  <a:pt x="0" y="0"/>
                </a:lnTo>
                <a:lnTo>
                  <a:pt x="0" y="824484"/>
                </a:lnTo>
                <a:lnTo>
                  <a:pt x="312420" y="824484"/>
                </a:lnTo>
                <a:lnTo>
                  <a:pt x="312420" y="0"/>
                </a:lnTo>
                <a:close/>
              </a:path>
              <a:path w="7486015" h="2068195">
                <a:moveTo>
                  <a:pt x="1264920" y="1655064"/>
                </a:moveTo>
                <a:lnTo>
                  <a:pt x="315468" y="1655064"/>
                </a:lnTo>
                <a:lnTo>
                  <a:pt x="315468" y="2068068"/>
                </a:lnTo>
                <a:lnTo>
                  <a:pt x="1264920" y="2068068"/>
                </a:lnTo>
                <a:lnTo>
                  <a:pt x="1264920" y="1655064"/>
                </a:lnTo>
                <a:close/>
              </a:path>
              <a:path w="7486015" h="2068195">
                <a:moveTo>
                  <a:pt x="1264920" y="827532"/>
                </a:moveTo>
                <a:lnTo>
                  <a:pt x="315468" y="827532"/>
                </a:lnTo>
                <a:lnTo>
                  <a:pt x="315468" y="1652016"/>
                </a:lnTo>
                <a:lnTo>
                  <a:pt x="1264920" y="1652016"/>
                </a:lnTo>
                <a:lnTo>
                  <a:pt x="1264920" y="827532"/>
                </a:lnTo>
                <a:close/>
              </a:path>
              <a:path w="7486015" h="2068195">
                <a:moveTo>
                  <a:pt x="1264920" y="0"/>
                </a:moveTo>
                <a:lnTo>
                  <a:pt x="315468" y="0"/>
                </a:lnTo>
                <a:lnTo>
                  <a:pt x="315468" y="824484"/>
                </a:lnTo>
                <a:lnTo>
                  <a:pt x="1264920" y="824484"/>
                </a:lnTo>
                <a:lnTo>
                  <a:pt x="1264920" y="0"/>
                </a:lnTo>
                <a:close/>
              </a:path>
              <a:path w="7486015" h="2068195">
                <a:moveTo>
                  <a:pt x="2531364" y="1655064"/>
                </a:moveTo>
                <a:lnTo>
                  <a:pt x="1267968" y="1655064"/>
                </a:lnTo>
                <a:lnTo>
                  <a:pt x="1267968" y="2068068"/>
                </a:lnTo>
                <a:lnTo>
                  <a:pt x="2531364" y="2068068"/>
                </a:lnTo>
                <a:lnTo>
                  <a:pt x="2531364" y="1655064"/>
                </a:lnTo>
                <a:close/>
              </a:path>
              <a:path w="7486015" h="2068195">
                <a:moveTo>
                  <a:pt x="2531364" y="827532"/>
                </a:moveTo>
                <a:lnTo>
                  <a:pt x="1267968" y="827532"/>
                </a:lnTo>
                <a:lnTo>
                  <a:pt x="1267968" y="1652016"/>
                </a:lnTo>
                <a:lnTo>
                  <a:pt x="2531364" y="1652016"/>
                </a:lnTo>
                <a:lnTo>
                  <a:pt x="2531364" y="827532"/>
                </a:lnTo>
                <a:close/>
              </a:path>
              <a:path w="7486015" h="2068195">
                <a:moveTo>
                  <a:pt x="2531364" y="0"/>
                </a:moveTo>
                <a:lnTo>
                  <a:pt x="1267968" y="0"/>
                </a:lnTo>
                <a:lnTo>
                  <a:pt x="1267968" y="824484"/>
                </a:lnTo>
                <a:lnTo>
                  <a:pt x="2531364" y="824484"/>
                </a:lnTo>
                <a:lnTo>
                  <a:pt x="2531364" y="0"/>
                </a:lnTo>
                <a:close/>
              </a:path>
              <a:path w="7486015" h="2068195">
                <a:moveTo>
                  <a:pt x="3037332" y="1655064"/>
                </a:moveTo>
                <a:lnTo>
                  <a:pt x="2534412" y="1655064"/>
                </a:lnTo>
                <a:lnTo>
                  <a:pt x="2534412" y="2068068"/>
                </a:lnTo>
                <a:lnTo>
                  <a:pt x="3037332" y="2068068"/>
                </a:lnTo>
                <a:lnTo>
                  <a:pt x="3037332" y="1655064"/>
                </a:lnTo>
                <a:close/>
              </a:path>
              <a:path w="7486015" h="2068195">
                <a:moveTo>
                  <a:pt x="3037332" y="1449324"/>
                </a:moveTo>
                <a:lnTo>
                  <a:pt x="2534412" y="1449324"/>
                </a:lnTo>
                <a:lnTo>
                  <a:pt x="2534412" y="1652016"/>
                </a:lnTo>
                <a:lnTo>
                  <a:pt x="3037332" y="1652016"/>
                </a:lnTo>
                <a:lnTo>
                  <a:pt x="3037332" y="1449324"/>
                </a:lnTo>
                <a:close/>
              </a:path>
              <a:path w="7486015" h="2068195">
                <a:moveTo>
                  <a:pt x="3037332" y="1242060"/>
                </a:moveTo>
                <a:lnTo>
                  <a:pt x="2534412" y="1242060"/>
                </a:lnTo>
                <a:lnTo>
                  <a:pt x="2534412" y="1446276"/>
                </a:lnTo>
                <a:lnTo>
                  <a:pt x="3037332" y="1446276"/>
                </a:lnTo>
                <a:lnTo>
                  <a:pt x="3037332" y="1242060"/>
                </a:lnTo>
                <a:close/>
              </a:path>
              <a:path w="7486015" h="2068195">
                <a:moveTo>
                  <a:pt x="3037332" y="1034796"/>
                </a:moveTo>
                <a:lnTo>
                  <a:pt x="2534412" y="1034796"/>
                </a:lnTo>
                <a:lnTo>
                  <a:pt x="2534412" y="1239012"/>
                </a:lnTo>
                <a:lnTo>
                  <a:pt x="3037332" y="1239012"/>
                </a:lnTo>
                <a:lnTo>
                  <a:pt x="3037332" y="1034796"/>
                </a:lnTo>
                <a:close/>
              </a:path>
              <a:path w="7486015" h="2068195">
                <a:moveTo>
                  <a:pt x="3037332" y="827532"/>
                </a:moveTo>
                <a:lnTo>
                  <a:pt x="2534412" y="827532"/>
                </a:lnTo>
                <a:lnTo>
                  <a:pt x="2534412" y="1031748"/>
                </a:lnTo>
                <a:lnTo>
                  <a:pt x="3037332" y="1031748"/>
                </a:lnTo>
                <a:lnTo>
                  <a:pt x="3037332" y="827532"/>
                </a:lnTo>
                <a:close/>
              </a:path>
              <a:path w="7486015" h="2068195">
                <a:moveTo>
                  <a:pt x="3037332" y="621792"/>
                </a:moveTo>
                <a:lnTo>
                  <a:pt x="2534412" y="621792"/>
                </a:lnTo>
                <a:lnTo>
                  <a:pt x="2534412" y="824484"/>
                </a:lnTo>
                <a:lnTo>
                  <a:pt x="3037332" y="824484"/>
                </a:lnTo>
                <a:lnTo>
                  <a:pt x="3037332" y="621792"/>
                </a:lnTo>
                <a:close/>
              </a:path>
              <a:path w="7486015" h="2068195">
                <a:moveTo>
                  <a:pt x="3037332" y="414528"/>
                </a:moveTo>
                <a:lnTo>
                  <a:pt x="2534412" y="414528"/>
                </a:lnTo>
                <a:lnTo>
                  <a:pt x="2534412" y="618744"/>
                </a:lnTo>
                <a:lnTo>
                  <a:pt x="3037332" y="618744"/>
                </a:lnTo>
                <a:lnTo>
                  <a:pt x="3037332" y="414528"/>
                </a:lnTo>
                <a:close/>
              </a:path>
              <a:path w="7486015" h="2068195">
                <a:moveTo>
                  <a:pt x="3037332" y="207264"/>
                </a:moveTo>
                <a:lnTo>
                  <a:pt x="2534412" y="207264"/>
                </a:lnTo>
                <a:lnTo>
                  <a:pt x="2534412" y="411480"/>
                </a:lnTo>
                <a:lnTo>
                  <a:pt x="3037332" y="411480"/>
                </a:lnTo>
                <a:lnTo>
                  <a:pt x="3037332" y="207264"/>
                </a:lnTo>
                <a:close/>
              </a:path>
              <a:path w="7486015" h="2068195">
                <a:moveTo>
                  <a:pt x="3037332" y="0"/>
                </a:moveTo>
                <a:lnTo>
                  <a:pt x="2534412" y="0"/>
                </a:lnTo>
                <a:lnTo>
                  <a:pt x="2534412" y="204216"/>
                </a:lnTo>
                <a:lnTo>
                  <a:pt x="3037332" y="204216"/>
                </a:lnTo>
                <a:lnTo>
                  <a:pt x="3037332" y="0"/>
                </a:lnTo>
                <a:close/>
              </a:path>
              <a:path w="7486015" h="2068195">
                <a:moveTo>
                  <a:pt x="3674364" y="1655064"/>
                </a:moveTo>
                <a:lnTo>
                  <a:pt x="3040380" y="1655064"/>
                </a:lnTo>
                <a:lnTo>
                  <a:pt x="3040380" y="2068068"/>
                </a:lnTo>
                <a:lnTo>
                  <a:pt x="3674364" y="2068068"/>
                </a:lnTo>
                <a:lnTo>
                  <a:pt x="3674364" y="1655064"/>
                </a:lnTo>
                <a:close/>
              </a:path>
              <a:path w="7486015" h="2068195">
                <a:moveTo>
                  <a:pt x="3674364" y="1449324"/>
                </a:moveTo>
                <a:lnTo>
                  <a:pt x="3040380" y="1449324"/>
                </a:lnTo>
                <a:lnTo>
                  <a:pt x="3040380" y="1652016"/>
                </a:lnTo>
                <a:lnTo>
                  <a:pt x="3674364" y="1652016"/>
                </a:lnTo>
                <a:lnTo>
                  <a:pt x="3674364" y="1449324"/>
                </a:lnTo>
                <a:close/>
              </a:path>
              <a:path w="7486015" h="2068195">
                <a:moveTo>
                  <a:pt x="3674364" y="1242060"/>
                </a:moveTo>
                <a:lnTo>
                  <a:pt x="3040380" y="1242060"/>
                </a:lnTo>
                <a:lnTo>
                  <a:pt x="3040380" y="1446276"/>
                </a:lnTo>
                <a:lnTo>
                  <a:pt x="3674364" y="1446276"/>
                </a:lnTo>
                <a:lnTo>
                  <a:pt x="3674364" y="1242060"/>
                </a:lnTo>
                <a:close/>
              </a:path>
              <a:path w="7486015" h="2068195">
                <a:moveTo>
                  <a:pt x="3674364" y="1034796"/>
                </a:moveTo>
                <a:lnTo>
                  <a:pt x="3040380" y="1034796"/>
                </a:lnTo>
                <a:lnTo>
                  <a:pt x="3040380" y="1239012"/>
                </a:lnTo>
                <a:lnTo>
                  <a:pt x="3674364" y="1239012"/>
                </a:lnTo>
                <a:lnTo>
                  <a:pt x="3674364" y="1034796"/>
                </a:lnTo>
                <a:close/>
              </a:path>
              <a:path w="7486015" h="2068195">
                <a:moveTo>
                  <a:pt x="3674364" y="827532"/>
                </a:moveTo>
                <a:lnTo>
                  <a:pt x="3040380" y="827532"/>
                </a:lnTo>
                <a:lnTo>
                  <a:pt x="3040380" y="1031748"/>
                </a:lnTo>
                <a:lnTo>
                  <a:pt x="3674364" y="1031748"/>
                </a:lnTo>
                <a:lnTo>
                  <a:pt x="3674364" y="827532"/>
                </a:lnTo>
                <a:close/>
              </a:path>
              <a:path w="7486015" h="2068195">
                <a:moveTo>
                  <a:pt x="3674364" y="621792"/>
                </a:moveTo>
                <a:lnTo>
                  <a:pt x="3040380" y="621792"/>
                </a:lnTo>
                <a:lnTo>
                  <a:pt x="3040380" y="824484"/>
                </a:lnTo>
                <a:lnTo>
                  <a:pt x="3674364" y="824484"/>
                </a:lnTo>
                <a:lnTo>
                  <a:pt x="3674364" y="621792"/>
                </a:lnTo>
                <a:close/>
              </a:path>
              <a:path w="7486015" h="2068195">
                <a:moveTo>
                  <a:pt x="3674364" y="414528"/>
                </a:moveTo>
                <a:lnTo>
                  <a:pt x="3040380" y="414528"/>
                </a:lnTo>
                <a:lnTo>
                  <a:pt x="3040380" y="618744"/>
                </a:lnTo>
                <a:lnTo>
                  <a:pt x="3674364" y="618744"/>
                </a:lnTo>
                <a:lnTo>
                  <a:pt x="3674364" y="414528"/>
                </a:lnTo>
                <a:close/>
              </a:path>
              <a:path w="7486015" h="2068195">
                <a:moveTo>
                  <a:pt x="3674364" y="207264"/>
                </a:moveTo>
                <a:lnTo>
                  <a:pt x="3040380" y="207264"/>
                </a:lnTo>
                <a:lnTo>
                  <a:pt x="3040380" y="411480"/>
                </a:lnTo>
                <a:lnTo>
                  <a:pt x="3674364" y="411480"/>
                </a:lnTo>
                <a:lnTo>
                  <a:pt x="3674364" y="207264"/>
                </a:lnTo>
                <a:close/>
              </a:path>
              <a:path w="7486015" h="2068195">
                <a:moveTo>
                  <a:pt x="3674364" y="0"/>
                </a:moveTo>
                <a:lnTo>
                  <a:pt x="3040380" y="0"/>
                </a:lnTo>
                <a:lnTo>
                  <a:pt x="3040380" y="204216"/>
                </a:lnTo>
                <a:lnTo>
                  <a:pt x="3674364" y="204216"/>
                </a:lnTo>
                <a:lnTo>
                  <a:pt x="3674364" y="0"/>
                </a:lnTo>
                <a:close/>
              </a:path>
              <a:path w="7486015" h="2068195">
                <a:moveTo>
                  <a:pt x="4437888" y="1655064"/>
                </a:moveTo>
                <a:lnTo>
                  <a:pt x="3677412" y="1655064"/>
                </a:lnTo>
                <a:lnTo>
                  <a:pt x="3677412" y="2068068"/>
                </a:lnTo>
                <a:lnTo>
                  <a:pt x="4437888" y="2068068"/>
                </a:lnTo>
                <a:lnTo>
                  <a:pt x="4437888" y="1655064"/>
                </a:lnTo>
                <a:close/>
              </a:path>
              <a:path w="7486015" h="2068195">
                <a:moveTo>
                  <a:pt x="4437888" y="1449324"/>
                </a:moveTo>
                <a:lnTo>
                  <a:pt x="3677412" y="1449324"/>
                </a:lnTo>
                <a:lnTo>
                  <a:pt x="3677412" y="1652016"/>
                </a:lnTo>
                <a:lnTo>
                  <a:pt x="4437888" y="1652016"/>
                </a:lnTo>
                <a:lnTo>
                  <a:pt x="4437888" y="1449324"/>
                </a:lnTo>
                <a:close/>
              </a:path>
              <a:path w="7486015" h="2068195">
                <a:moveTo>
                  <a:pt x="4437888" y="1242060"/>
                </a:moveTo>
                <a:lnTo>
                  <a:pt x="3677412" y="1242060"/>
                </a:lnTo>
                <a:lnTo>
                  <a:pt x="3677412" y="1446276"/>
                </a:lnTo>
                <a:lnTo>
                  <a:pt x="4437888" y="1446276"/>
                </a:lnTo>
                <a:lnTo>
                  <a:pt x="4437888" y="1242060"/>
                </a:lnTo>
                <a:close/>
              </a:path>
              <a:path w="7486015" h="2068195">
                <a:moveTo>
                  <a:pt x="4437888" y="1034796"/>
                </a:moveTo>
                <a:lnTo>
                  <a:pt x="3677412" y="1034796"/>
                </a:lnTo>
                <a:lnTo>
                  <a:pt x="3677412" y="1239012"/>
                </a:lnTo>
                <a:lnTo>
                  <a:pt x="4437888" y="1239012"/>
                </a:lnTo>
                <a:lnTo>
                  <a:pt x="4437888" y="1034796"/>
                </a:lnTo>
                <a:close/>
              </a:path>
              <a:path w="7486015" h="2068195">
                <a:moveTo>
                  <a:pt x="4437888" y="827532"/>
                </a:moveTo>
                <a:lnTo>
                  <a:pt x="3677412" y="827532"/>
                </a:lnTo>
                <a:lnTo>
                  <a:pt x="3677412" y="1031748"/>
                </a:lnTo>
                <a:lnTo>
                  <a:pt x="4437888" y="1031748"/>
                </a:lnTo>
                <a:lnTo>
                  <a:pt x="4437888" y="827532"/>
                </a:lnTo>
                <a:close/>
              </a:path>
              <a:path w="7486015" h="2068195">
                <a:moveTo>
                  <a:pt x="4437888" y="621792"/>
                </a:moveTo>
                <a:lnTo>
                  <a:pt x="3677412" y="621792"/>
                </a:lnTo>
                <a:lnTo>
                  <a:pt x="3677412" y="824484"/>
                </a:lnTo>
                <a:lnTo>
                  <a:pt x="4437888" y="824484"/>
                </a:lnTo>
                <a:lnTo>
                  <a:pt x="4437888" y="621792"/>
                </a:lnTo>
                <a:close/>
              </a:path>
              <a:path w="7486015" h="2068195">
                <a:moveTo>
                  <a:pt x="4437888" y="414528"/>
                </a:moveTo>
                <a:lnTo>
                  <a:pt x="3677412" y="414528"/>
                </a:lnTo>
                <a:lnTo>
                  <a:pt x="3677412" y="618744"/>
                </a:lnTo>
                <a:lnTo>
                  <a:pt x="4437888" y="618744"/>
                </a:lnTo>
                <a:lnTo>
                  <a:pt x="4437888" y="414528"/>
                </a:lnTo>
                <a:close/>
              </a:path>
              <a:path w="7486015" h="2068195">
                <a:moveTo>
                  <a:pt x="4437888" y="207264"/>
                </a:moveTo>
                <a:lnTo>
                  <a:pt x="3677412" y="207264"/>
                </a:lnTo>
                <a:lnTo>
                  <a:pt x="3677412" y="411480"/>
                </a:lnTo>
                <a:lnTo>
                  <a:pt x="4437888" y="411480"/>
                </a:lnTo>
                <a:lnTo>
                  <a:pt x="4437888" y="207264"/>
                </a:lnTo>
                <a:close/>
              </a:path>
              <a:path w="7486015" h="2068195">
                <a:moveTo>
                  <a:pt x="4437888" y="0"/>
                </a:moveTo>
                <a:lnTo>
                  <a:pt x="3677412" y="0"/>
                </a:lnTo>
                <a:lnTo>
                  <a:pt x="3677412" y="204216"/>
                </a:lnTo>
                <a:lnTo>
                  <a:pt x="4437888" y="204216"/>
                </a:lnTo>
                <a:lnTo>
                  <a:pt x="4437888" y="0"/>
                </a:lnTo>
                <a:close/>
              </a:path>
              <a:path w="7486015" h="2068195">
                <a:moveTo>
                  <a:pt x="5199888" y="1655064"/>
                </a:moveTo>
                <a:lnTo>
                  <a:pt x="4440936" y="1655064"/>
                </a:lnTo>
                <a:lnTo>
                  <a:pt x="4440936" y="2068068"/>
                </a:lnTo>
                <a:lnTo>
                  <a:pt x="5199888" y="2068068"/>
                </a:lnTo>
                <a:lnTo>
                  <a:pt x="5199888" y="1655064"/>
                </a:lnTo>
                <a:close/>
              </a:path>
              <a:path w="7486015" h="2068195">
                <a:moveTo>
                  <a:pt x="5199888" y="1449324"/>
                </a:moveTo>
                <a:lnTo>
                  <a:pt x="4440936" y="1449324"/>
                </a:lnTo>
                <a:lnTo>
                  <a:pt x="4440936" y="1652016"/>
                </a:lnTo>
                <a:lnTo>
                  <a:pt x="5199888" y="1652016"/>
                </a:lnTo>
                <a:lnTo>
                  <a:pt x="5199888" y="1449324"/>
                </a:lnTo>
                <a:close/>
              </a:path>
              <a:path w="7486015" h="2068195">
                <a:moveTo>
                  <a:pt x="5199888" y="1242060"/>
                </a:moveTo>
                <a:lnTo>
                  <a:pt x="4440936" y="1242060"/>
                </a:lnTo>
                <a:lnTo>
                  <a:pt x="4440936" y="1446276"/>
                </a:lnTo>
                <a:lnTo>
                  <a:pt x="5199888" y="1446276"/>
                </a:lnTo>
                <a:lnTo>
                  <a:pt x="5199888" y="1242060"/>
                </a:lnTo>
                <a:close/>
              </a:path>
              <a:path w="7486015" h="2068195">
                <a:moveTo>
                  <a:pt x="5199888" y="1034796"/>
                </a:moveTo>
                <a:lnTo>
                  <a:pt x="4440936" y="1034796"/>
                </a:lnTo>
                <a:lnTo>
                  <a:pt x="4440936" y="1239012"/>
                </a:lnTo>
                <a:lnTo>
                  <a:pt x="5199888" y="1239012"/>
                </a:lnTo>
                <a:lnTo>
                  <a:pt x="5199888" y="1034796"/>
                </a:lnTo>
                <a:close/>
              </a:path>
              <a:path w="7486015" h="2068195">
                <a:moveTo>
                  <a:pt x="5199888" y="827532"/>
                </a:moveTo>
                <a:lnTo>
                  <a:pt x="4440936" y="827532"/>
                </a:lnTo>
                <a:lnTo>
                  <a:pt x="4440936" y="1031748"/>
                </a:lnTo>
                <a:lnTo>
                  <a:pt x="5199888" y="1031748"/>
                </a:lnTo>
                <a:lnTo>
                  <a:pt x="5199888" y="827532"/>
                </a:lnTo>
                <a:close/>
              </a:path>
              <a:path w="7486015" h="2068195">
                <a:moveTo>
                  <a:pt x="5199888" y="621792"/>
                </a:moveTo>
                <a:lnTo>
                  <a:pt x="4440936" y="621792"/>
                </a:lnTo>
                <a:lnTo>
                  <a:pt x="4440936" y="824484"/>
                </a:lnTo>
                <a:lnTo>
                  <a:pt x="5199888" y="824484"/>
                </a:lnTo>
                <a:lnTo>
                  <a:pt x="5199888" y="621792"/>
                </a:lnTo>
                <a:close/>
              </a:path>
              <a:path w="7486015" h="2068195">
                <a:moveTo>
                  <a:pt x="5199888" y="414528"/>
                </a:moveTo>
                <a:lnTo>
                  <a:pt x="4440936" y="414528"/>
                </a:lnTo>
                <a:lnTo>
                  <a:pt x="4440936" y="618744"/>
                </a:lnTo>
                <a:lnTo>
                  <a:pt x="5199888" y="618744"/>
                </a:lnTo>
                <a:lnTo>
                  <a:pt x="5199888" y="414528"/>
                </a:lnTo>
                <a:close/>
              </a:path>
              <a:path w="7486015" h="2068195">
                <a:moveTo>
                  <a:pt x="5199888" y="207264"/>
                </a:moveTo>
                <a:lnTo>
                  <a:pt x="4440936" y="207264"/>
                </a:lnTo>
                <a:lnTo>
                  <a:pt x="4440936" y="411480"/>
                </a:lnTo>
                <a:lnTo>
                  <a:pt x="5199888" y="411480"/>
                </a:lnTo>
                <a:lnTo>
                  <a:pt x="5199888" y="207264"/>
                </a:lnTo>
                <a:close/>
              </a:path>
              <a:path w="7486015" h="2068195">
                <a:moveTo>
                  <a:pt x="5199888" y="0"/>
                </a:moveTo>
                <a:lnTo>
                  <a:pt x="4440936" y="0"/>
                </a:lnTo>
                <a:lnTo>
                  <a:pt x="4440936" y="204216"/>
                </a:lnTo>
                <a:lnTo>
                  <a:pt x="5199888" y="204216"/>
                </a:lnTo>
                <a:lnTo>
                  <a:pt x="5199888" y="0"/>
                </a:lnTo>
                <a:close/>
              </a:path>
              <a:path w="7486015" h="2068195">
                <a:moveTo>
                  <a:pt x="5961875" y="1655064"/>
                </a:moveTo>
                <a:lnTo>
                  <a:pt x="5202936" y="1655064"/>
                </a:lnTo>
                <a:lnTo>
                  <a:pt x="5202936" y="2068068"/>
                </a:lnTo>
                <a:lnTo>
                  <a:pt x="5961875" y="2068068"/>
                </a:lnTo>
                <a:lnTo>
                  <a:pt x="5961875" y="1655064"/>
                </a:lnTo>
                <a:close/>
              </a:path>
              <a:path w="7486015" h="2068195">
                <a:moveTo>
                  <a:pt x="5961875" y="1449324"/>
                </a:moveTo>
                <a:lnTo>
                  <a:pt x="5202936" y="1449324"/>
                </a:lnTo>
                <a:lnTo>
                  <a:pt x="5202936" y="1652016"/>
                </a:lnTo>
                <a:lnTo>
                  <a:pt x="5961875" y="1652016"/>
                </a:lnTo>
                <a:lnTo>
                  <a:pt x="5961875" y="1449324"/>
                </a:lnTo>
                <a:close/>
              </a:path>
              <a:path w="7486015" h="2068195">
                <a:moveTo>
                  <a:pt x="5961875" y="1242060"/>
                </a:moveTo>
                <a:lnTo>
                  <a:pt x="5202936" y="1242060"/>
                </a:lnTo>
                <a:lnTo>
                  <a:pt x="5202936" y="1446276"/>
                </a:lnTo>
                <a:lnTo>
                  <a:pt x="5961875" y="1446276"/>
                </a:lnTo>
                <a:lnTo>
                  <a:pt x="5961875" y="1242060"/>
                </a:lnTo>
                <a:close/>
              </a:path>
              <a:path w="7486015" h="2068195">
                <a:moveTo>
                  <a:pt x="5961875" y="1034796"/>
                </a:moveTo>
                <a:lnTo>
                  <a:pt x="5202936" y="1034796"/>
                </a:lnTo>
                <a:lnTo>
                  <a:pt x="5202936" y="1239012"/>
                </a:lnTo>
                <a:lnTo>
                  <a:pt x="5961875" y="1239012"/>
                </a:lnTo>
                <a:lnTo>
                  <a:pt x="5961875" y="1034796"/>
                </a:lnTo>
                <a:close/>
              </a:path>
              <a:path w="7486015" h="2068195">
                <a:moveTo>
                  <a:pt x="5961875" y="827532"/>
                </a:moveTo>
                <a:lnTo>
                  <a:pt x="5202936" y="827532"/>
                </a:lnTo>
                <a:lnTo>
                  <a:pt x="5202936" y="1031748"/>
                </a:lnTo>
                <a:lnTo>
                  <a:pt x="5961875" y="1031748"/>
                </a:lnTo>
                <a:lnTo>
                  <a:pt x="5961875" y="827532"/>
                </a:lnTo>
                <a:close/>
              </a:path>
              <a:path w="7486015" h="2068195">
                <a:moveTo>
                  <a:pt x="5961875" y="621792"/>
                </a:moveTo>
                <a:lnTo>
                  <a:pt x="5202936" y="621792"/>
                </a:lnTo>
                <a:lnTo>
                  <a:pt x="5202936" y="824484"/>
                </a:lnTo>
                <a:lnTo>
                  <a:pt x="5961875" y="824484"/>
                </a:lnTo>
                <a:lnTo>
                  <a:pt x="5961875" y="621792"/>
                </a:lnTo>
                <a:close/>
              </a:path>
              <a:path w="7486015" h="2068195">
                <a:moveTo>
                  <a:pt x="5961875" y="414528"/>
                </a:moveTo>
                <a:lnTo>
                  <a:pt x="5202936" y="414528"/>
                </a:lnTo>
                <a:lnTo>
                  <a:pt x="5202936" y="618744"/>
                </a:lnTo>
                <a:lnTo>
                  <a:pt x="5961875" y="618744"/>
                </a:lnTo>
                <a:lnTo>
                  <a:pt x="5961875" y="414528"/>
                </a:lnTo>
                <a:close/>
              </a:path>
              <a:path w="7486015" h="2068195">
                <a:moveTo>
                  <a:pt x="5961875" y="207264"/>
                </a:moveTo>
                <a:lnTo>
                  <a:pt x="5202936" y="207264"/>
                </a:lnTo>
                <a:lnTo>
                  <a:pt x="5202936" y="411480"/>
                </a:lnTo>
                <a:lnTo>
                  <a:pt x="5961875" y="411480"/>
                </a:lnTo>
                <a:lnTo>
                  <a:pt x="5961875" y="207264"/>
                </a:lnTo>
                <a:close/>
              </a:path>
              <a:path w="7486015" h="2068195">
                <a:moveTo>
                  <a:pt x="5961875" y="0"/>
                </a:moveTo>
                <a:lnTo>
                  <a:pt x="5202936" y="0"/>
                </a:lnTo>
                <a:lnTo>
                  <a:pt x="5202936" y="204216"/>
                </a:lnTo>
                <a:lnTo>
                  <a:pt x="5961875" y="204216"/>
                </a:lnTo>
                <a:lnTo>
                  <a:pt x="5961875" y="0"/>
                </a:lnTo>
                <a:close/>
              </a:path>
              <a:path w="7486015" h="2068195">
                <a:moveTo>
                  <a:pt x="6723888" y="1655064"/>
                </a:moveTo>
                <a:lnTo>
                  <a:pt x="5964936" y="1655064"/>
                </a:lnTo>
                <a:lnTo>
                  <a:pt x="5964936" y="2068068"/>
                </a:lnTo>
                <a:lnTo>
                  <a:pt x="6723888" y="2068068"/>
                </a:lnTo>
                <a:lnTo>
                  <a:pt x="6723888" y="1655064"/>
                </a:lnTo>
                <a:close/>
              </a:path>
              <a:path w="7486015" h="2068195">
                <a:moveTo>
                  <a:pt x="6723888" y="1449324"/>
                </a:moveTo>
                <a:lnTo>
                  <a:pt x="5964936" y="1449324"/>
                </a:lnTo>
                <a:lnTo>
                  <a:pt x="5964936" y="1652016"/>
                </a:lnTo>
                <a:lnTo>
                  <a:pt x="6723888" y="1652016"/>
                </a:lnTo>
                <a:lnTo>
                  <a:pt x="6723888" y="1449324"/>
                </a:lnTo>
                <a:close/>
              </a:path>
              <a:path w="7486015" h="2068195">
                <a:moveTo>
                  <a:pt x="6723888" y="1242060"/>
                </a:moveTo>
                <a:lnTo>
                  <a:pt x="5964936" y="1242060"/>
                </a:lnTo>
                <a:lnTo>
                  <a:pt x="5964936" y="1446276"/>
                </a:lnTo>
                <a:lnTo>
                  <a:pt x="6723888" y="1446276"/>
                </a:lnTo>
                <a:lnTo>
                  <a:pt x="6723888" y="1242060"/>
                </a:lnTo>
                <a:close/>
              </a:path>
              <a:path w="7486015" h="2068195">
                <a:moveTo>
                  <a:pt x="6723888" y="1034796"/>
                </a:moveTo>
                <a:lnTo>
                  <a:pt x="5964936" y="1034796"/>
                </a:lnTo>
                <a:lnTo>
                  <a:pt x="5964936" y="1239012"/>
                </a:lnTo>
                <a:lnTo>
                  <a:pt x="6723888" y="1239012"/>
                </a:lnTo>
                <a:lnTo>
                  <a:pt x="6723888" y="1034796"/>
                </a:lnTo>
                <a:close/>
              </a:path>
              <a:path w="7486015" h="2068195">
                <a:moveTo>
                  <a:pt x="6723888" y="827532"/>
                </a:moveTo>
                <a:lnTo>
                  <a:pt x="5964936" y="827532"/>
                </a:lnTo>
                <a:lnTo>
                  <a:pt x="5964936" y="1031748"/>
                </a:lnTo>
                <a:lnTo>
                  <a:pt x="6723888" y="1031748"/>
                </a:lnTo>
                <a:lnTo>
                  <a:pt x="6723888" y="827532"/>
                </a:lnTo>
                <a:close/>
              </a:path>
              <a:path w="7486015" h="2068195">
                <a:moveTo>
                  <a:pt x="6723888" y="621792"/>
                </a:moveTo>
                <a:lnTo>
                  <a:pt x="5964936" y="621792"/>
                </a:lnTo>
                <a:lnTo>
                  <a:pt x="5964936" y="824484"/>
                </a:lnTo>
                <a:lnTo>
                  <a:pt x="6723888" y="824484"/>
                </a:lnTo>
                <a:lnTo>
                  <a:pt x="6723888" y="621792"/>
                </a:lnTo>
                <a:close/>
              </a:path>
              <a:path w="7486015" h="2068195">
                <a:moveTo>
                  <a:pt x="6723888" y="414528"/>
                </a:moveTo>
                <a:lnTo>
                  <a:pt x="5964936" y="414528"/>
                </a:lnTo>
                <a:lnTo>
                  <a:pt x="5964936" y="618744"/>
                </a:lnTo>
                <a:lnTo>
                  <a:pt x="6723888" y="618744"/>
                </a:lnTo>
                <a:lnTo>
                  <a:pt x="6723888" y="414528"/>
                </a:lnTo>
                <a:close/>
              </a:path>
              <a:path w="7486015" h="2068195">
                <a:moveTo>
                  <a:pt x="6723888" y="207264"/>
                </a:moveTo>
                <a:lnTo>
                  <a:pt x="5964936" y="207264"/>
                </a:lnTo>
                <a:lnTo>
                  <a:pt x="5964936" y="411480"/>
                </a:lnTo>
                <a:lnTo>
                  <a:pt x="6723888" y="411480"/>
                </a:lnTo>
                <a:lnTo>
                  <a:pt x="6723888" y="207264"/>
                </a:lnTo>
                <a:close/>
              </a:path>
              <a:path w="7486015" h="2068195">
                <a:moveTo>
                  <a:pt x="6723888" y="0"/>
                </a:moveTo>
                <a:lnTo>
                  <a:pt x="5964936" y="0"/>
                </a:lnTo>
                <a:lnTo>
                  <a:pt x="5964936" y="204216"/>
                </a:lnTo>
                <a:lnTo>
                  <a:pt x="6723888" y="204216"/>
                </a:lnTo>
                <a:lnTo>
                  <a:pt x="6723888" y="0"/>
                </a:lnTo>
                <a:close/>
              </a:path>
              <a:path w="7486015" h="2068195">
                <a:moveTo>
                  <a:pt x="7485888" y="1449324"/>
                </a:moveTo>
                <a:lnTo>
                  <a:pt x="6726936" y="1449324"/>
                </a:lnTo>
                <a:lnTo>
                  <a:pt x="6726936" y="1652016"/>
                </a:lnTo>
                <a:lnTo>
                  <a:pt x="7485888" y="1652016"/>
                </a:lnTo>
                <a:lnTo>
                  <a:pt x="7485888" y="1449324"/>
                </a:lnTo>
                <a:close/>
              </a:path>
              <a:path w="7486015" h="2068195">
                <a:moveTo>
                  <a:pt x="7485888" y="1242060"/>
                </a:moveTo>
                <a:lnTo>
                  <a:pt x="6726936" y="1242060"/>
                </a:lnTo>
                <a:lnTo>
                  <a:pt x="6726936" y="1446276"/>
                </a:lnTo>
                <a:lnTo>
                  <a:pt x="7485888" y="1446276"/>
                </a:lnTo>
                <a:lnTo>
                  <a:pt x="7485888" y="1242060"/>
                </a:lnTo>
                <a:close/>
              </a:path>
              <a:path w="7486015" h="2068195">
                <a:moveTo>
                  <a:pt x="7485888" y="1034796"/>
                </a:moveTo>
                <a:lnTo>
                  <a:pt x="6726936" y="1034796"/>
                </a:lnTo>
                <a:lnTo>
                  <a:pt x="6726936" y="1239012"/>
                </a:lnTo>
                <a:lnTo>
                  <a:pt x="7485888" y="1239012"/>
                </a:lnTo>
                <a:lnTo>
                  <a:pt x="7485888" y="1034796"/>
                </a:lnTo>
                <a:close/>
              </a:path>
              <a:path w="7486015" h="2068195">
                <a:moveTo>
                  <a:pt x="7485888" y="827532"/>
                </a:moveTo>
                <a:lnTo>
                  <a:pt x="6726936" y="827532"/>
                </a:lnTo>
                <a:lnTo>
                  <a:pt x="6726936" y="1031748"/>
                </a:lnTo>
                <a:lnTo>
                  <a:pt x="7485888" y="1031748"/>
                </a:lnTo>
                <a:lnTo>
                  <a:pt x="7485888" y="827532"/>
                </a:lnTo>
                <a:close/>
              </a:path>
              <a:path w="7486015" h="2068195">
                <a:moveTo>
                  <a:pt x="7485888" y="621792"/>
                </a:moveTo>
                <a:lnTo>
                  <a:pt x="6726936" y="621792"/>
                </a:lnTo>
                <a:lnTo>
                  <a:pt x="6726936" y="824484"/>
                </a:lnTo>
                <a:lnTo>
                  <a:pt x="7485888" y="824484"/>
                </a:lnTo>
                <a:lnTo>
                  <a:pt x="7485888" y="621792"/>
                </a:lnTo>
                <a:close/>
              </a:path>
              <a:path w="7486015" h="2068195">
                <a:moveTo>
                  <a:pt x="7485888" y="414528"/>
                </a:moveTo>
                <a:lnTo>
                  <a:pt x="6726936" y="414528"/>
                </a:lnTo>
                <a:lnTo>
                  <a:pt x="6726936" y="618744"/>
                </a:lnTo>
                <a:lnTo>
                  <a:pt x="7485888" y="618744"/>
                </a:lnTo>
                <a:lnTo>
                  <a:pt x="7485888" y="414528"/>
                </a:lnTo>
                <a:close/>
              </a:path>
              <a:path w="7486015" h="2068195">
                <a:moveTo>
                  <a:pt x="7485888" y="207264"/>
                </a:moveTo>
                <a:lnTo>
                  <a:pt x="6726936" y="207264"/>
                </a:lnTo>
                <a:lnTo>
                  <a:pt x="6726936" y="411480"/>
                </a:lnTo>
                <a:lnTo>
                  <a:pt x="7485888" y="411480"/>
                </a:lnTo>
                <a:lnTo>
                  <a:pt x="7485888" y="207264"/>
                </a:lnTo>
                <a:close/>
              </a:path>
              <a:path w="7486015" h="2068195">
                <a:moveTo>
                  <a:pt x="7485888" y="0"/>
                </a:moveTo>
                <a:lnTo>
                  <a:pt x="6726936" y="0"/>
                </a:lnTo>
                <a:lnTo>
                  <a:pt x="6726936" y="204216"/>
                </a:lnTo>
                <a:lnTo>
                  <a:pt x="7485888" y="204216"/>
                </a:lnTo>
                <a:lnTo>
                  <a:pt x="7485888" y="0"/>
                </a:lnTo>
                <a:close/>
              </a:path>
            </a:pathLst>
          </a:custGeom>
          <a:solidFill>
            <a:srgbClr val="FFFFFF"/>
          </a:solidFill>
        </xdr:spPr>
      </xdr:sp>
      <xdr:sp macro="" textlink="">
        <xdr:nvSpPr>
          <xdr:cNvPr id="106" name="Shape 106">
            <a:extLst>
              <a:ext uri="{FF2B5EF4-FFF2-40B4-BE49-F238E27FC236}">
                <a16:creationId xmlns:a16="http://schemas.microsoft.com/office/drawing/2014/main" id="{00000000-0008-0000-0900-00006A000000}"/>
              </a:ext>
            </a:extLst>
          </xdr:cNvPr>
          <xdr:cNvSpPr/>
        </xdr:nvSpPr>
        <xdr:spPr>
          <a:xfrm>
            <a:off x="0" y="1655063"/>
            <a:ext cx="7486015" cy="2070100"/>
          </a:xfrm>
          <a:custGeom>
            <a:avLst/>
            <a:gdLst/>
            <a:ahLst/>
            <a:cxnLst/>
            <a:rect l="0" t="0" r="0" b="0"/>
            <a:pathLst>
              <a:path w="7486015" h="2070100">
                <a:moveTo>
                  <a:pt x="312420" y="1450848"/>
                </a:moveTo>
                <a:lnTo>
                  <a:pt x="0" y="1450848"/>
                </a:lnTo>
                <a:lnTo>
                  <a:pt x="0" y="2069592"/>
                </a:lnTo>
                <a:lnTo>
                  <a:pt x="312420" y="2069592"/>
                </a:lnTo>
                <a:lnTo>
                  <a:pt x="312420" y="1450848"/>
                </a:lnTo>
                <a:close/>
              </a:path>
              <a:path w="7486015" h="2070100">
                <a:moveTo>
                  <a:pt x="312420" y="830580"/>
                </a:moveTo>
                <a:lnTo>
                  <a:pt x="0" y="830580"/>
                </a:lnTo>
                <a:lnTo>
                  <a:pt x="0" y="1447800"/>
                </a:lnTo>
                <a:lnTo>
                  <a:pt x="312420" y="1447800"/>
                </a:lnTo>
                <a:lnTo>
                  <a:pt x="312420" y="830580"/>
                </a:lnTo>
                <a:close/>
              </a:path>
              <a:path w="7486015" h="2070100">
                <a:moveTo>
                  <a:pt x="312420" y="416052"/>
                </a:moveTo>
                <a:lnTo>
                  <a:pt x="0" y="416052"/>
                </a:lnTo>
                <a:lnTo>
                  <a:pt x="0" y="827532"/>
                </a:lnTo>
                <a:lnTo>
                  <a:pt x="312420" y="827532"/>
                </a:lnTo>
                <a:lnTo>
                  <a:pt x="312420" y="416052"/>
                </a:lnTo>
                <a:close/>
              </a:path>
              <a:path w="7486015" h="2070100">
                <a:moveTo>
                  <a:pt x="1264920" y="1450848"/>
                </a:moveTo>
                <a:lnTo>
                  <a:pt x="315468" y="1450848"/>
                </a:lnTo>
                <a:lnTo>
                  <a:pt x="315468" y="2069592"/>
                </a:lnTo>
                <a:lnTo>
                  <a:pt x="1264920" y="2069592"/>
                </a:lnTo>
                <a:lnTo>
                  <a:pt x="1264920" y="1450848"/>
                </a:lnTo>
                <a:close/>
              </a:path>
              <a:path w="7486015" h="2070100">
                <a:moveTo>
                  <a:pt x="1264920" y="830580"/>
                </a:moveTo>
                <a:lnTo>
                  <a:pt x="315468" y="830580"/>
                </a:lnTo>
                <a:lnTo>
                  <a:pt x="315468" y="1447800"/>
                </a:lnTo>
                <a:lnTo>
                  <a:pt x="1264920" y="1447800"/>
                </a:lnTo>
                <a:lnTo>
                  <a:pt x="1264920" y="830580"/>
                </a:lnTo>
                <a:close/>
              </a:path>
              <a:path w="7486015" h="2070100">
                <a:moveTo>
                  <a:pt x="1264920" y="416052"/>
                </a:moveTo>
                <a:lnTo>
                  <a:pt x="315468" y="416052"/>
                </a:lnTo>
                <a:lnTo>
                  <a:pt x="315468" y="827532"/>
                </a:lnTo>
                <a:lnTo>
                  <a:pt x="1264920" y="827532"/>
                </a:lnTo>
                <a:lnTo>
                  <a:pt x="1264920" y="416052"/>
                </a:lnTo>
                <a:close/>
              </a:path>
              <a:path w="7486015" h="2070100">
                <a:moveTo>
                  <a:pt x="2531364" y="1450848"/>
                </a:moveTo>
                <a:lnTo>
                  <a:pt x="1267968" y="1450848"/>
                </a:lnTo>
                <a:lnTo>
                  <a:pt x="1267968" y="2069592"/>
                </a:lnTo>
                <a:lnTo>
                  <a:pt x="2531364" y="2069592"/>
                </a:lnTo>
                <a:lnTo>
                  <a:pt x="2531364" y="1450848"/>
                </a:lnTo>
                <a:close/>
              </a:path>
              <a:path w="7486015" h="2070100">
                <a:moveTo>
                  <a:pt x="2531364" y="830580"/>
                </a:moveTo>
                <a:lnTo>
                  <a:pt x="1267968" y="830580"/>
                </a:lnTo>
                <a:lnTo>
                  <a:pt x="1267968" y="1447800"/>
                </a:lnTo>
                <a:lnTo>
                  <a:pt x="2531364" y="1447800"/>
                </a:lnTo>
                <a:lnTo>
                  <a:pt x="2531364" y="830580"/>
                </a:lnTo>
                <a:close/>
              </a:path>
              <a:path w="7486015" h="2070100">
                <a:moveTo>
                  <a:pt x="2531364" y="416052"/>
                </a:moveTo>
                <a:lnTo>
                  <a:pt x="1267968" y="416052"/>
                </a:lnTo>
                <a:lnTo>
                  <a:pt x="1267968" y="827532"/>
                </a:lnTo>
                <a:lnTo>
                  <a:pt x="2531364" y="827532"/>
                </a:lnTo>
                <a:lnTo>
                  <a:pt x="2531364" y="416052"/>
                </a:lnTo>
                <a:close/>
              </a:path>
              <a:path w="7486015" h="2070100">
                <a:moveTo>
                  <a:pt x="3037332" y="1865376"/>
                </a:moveTo>
                <a:lnTo>
                  <a:pt x="2534412" y="1865376"/>
                </a:lnTo>
                <a:lnTo>
                  <a:pt x="2534412" y="2069592"/>
                </a:lnTo>
                <a:lnTo>
                  <a:pt x="3037332" y="2069592"/>
                </a:lnTo>
                <a:lnTo>
                  <a:pt x="3037332" y="1865376"/>
                </a:lnTo>
                <a:close/>
              </a:path>
              <a:path w="7486015" h="2070100">
                <a:moveTo>
                  <a:pt x="3037332" y="1658112"/>
                </a:moveTo>
                <a:lnTo>
                  <a:pt x="2534412" y="1658112"/>
                </a:lnTo>
                <a:lnTo>
                  <a:pt x="2534412" y="1862328"/>
                </a:lnTo>
                <a:lnTo>
                  <a:pt x="3037332" y="1862328"/>
                </a:lnTo>
                <a:lnTo>
                  <a:pt x="3037332" y="1658112"/>
                </a:lnTo>
                <a:close/>
              </a:path>
              <a:path w="7486015" h="2070100">
                <a:moveTo>
                  <a:pt x="3037332" y="1450848"/>
                </a:moveTo>
                <a:lnTo>
                  <a:pt x="2534412" y="1450848"/>
                </a:lnTo>
                <a:lnTo>
                  <a:pt x="2534412" y="1655064"/>
                </a:lnTo>
                <a:lnTo>
                  <a:pt x="3037332" y="1655064"/>
                </a:lnTo>
                <a:lnTo>
                  <a:pt x="3037332" y="1450848"/>
                </a:lnTo>
                <a:close/>
              </a:path>
              <a:path w="7486015" h="2070100">
                <a:moveTo>
                  <a:pt x="3037332" y="1245108"/>
                </a:moveTo>
                <a:lnTo>
                  <a:pt x="2534412" y="1245108"/>
                </a:lnTo>
                <a:lnTo>
                  <a:pt x="2534412" y="1447800"/>
                </a:lnTo>
                <a:lnTo>
                  <a:pt x="3037332" y="1447800"/>
                </a:lnTo>
                <a:lnTo>
                  <a:pt x="3037332" y="1245108"/>
                </a:lnTo>
                <a:close/>
              </a:path>
              <a:path w="7486015" h="2070100">
                <a:moveTo>
                  <a:pt x="3037332" y="1037844"/>
                </a:moveTo>
                <a:lnTo>
                  <a:pt x="2534412" y="1037844"/>
                </a:lnTo>
                <a:lnTo>
                  <a:pt x="2534412" y="1242060"/>
                </a:lnTo>
                <a:lnTo>
                  <a:pt x="3037332" y="1242060"/>
                </a:lnTo>
                <a:lnTo>
                  <a:pt x="3037332" y="1037844"/>
                </a:lnTo>
                <a:close/>
              </a:path>
              <a:path w="7486015" h="2070100">
                <a:moveTo>
                  <a:pt x="3037332" y="830580"/>
                </a:moveTo>
                <a:lnTo>
                  <a:pt x="2534412" y="830580"/>
                </a:lnTo>
                <a:lnTo>
                  <a:pt x="2534412" y="1034796"/>
                </a:lnTo>
                <a:lnTo>
                  <a:pt x="3037332" y="1034796"/>
                </a:lnTo>
                <a:lnTo>
                  <a:pt x="3037332" y="830580"/>
                </a:lnTo>
                <a:close/>
              </a:path>
              <a:path w="7486015" h="2070100">
                <a:moveTo>
                  <a:pt x="3037332" y="623316"/>
                </a:moveTo>
                <a:lnTo>
                  <a:pt x="2534412" y="623316"/>
                </a:lnTo>
                <a:lnTo>
                  <a:pt x="2534412" y="827532"/>
                </a:lnTo>
                <a:lnTo>
                  <a:pt x="3037332" y="827532"/>
                </a:lnTo>
                <a:lnTo>
                  <a:pt x="3037332" y="623316"/>
                </a:lnTo>
                <a:close/>
              </a:path>
              <a:path w="7486015" h="2070100">
                <a:moveTo>
                  <a:pt x="3037332" y="416052"/>
                </a:moveTo>
                <a:lnTo>
                  <a:pt x="2534412" y="416052"/>
                </a:lnTo>
                <a:lnTo>
                  <a:pt x="2534412" y="620268"/>
                </a:lnTo>
                <a:lnTo>
                  <a:pt x="3037332" y="620268"/>
                </a:lnTo>
                <a:lnTo>
                  <a:pt x="3037332" y="416052"/>
                </a:lnTo>
                <a:close/>
              </a:path>
              <a:path w="7486015" h="2070100">
                <a:moveTo>
                  <a:pt x="3674364" y="1865376"/>
                </a:moveTo>
                <a:lnTo>
                  <a:pt x="3040380" y="1865376"/>
                </a:lnTo>
                <a:lnTo>
                  <a:pt x="3040380" y="2069592"/>
                </a:lnTo>
                <a:lnTo>
                  <a:pt x="3674364" y="2069592"/>
                </a:lnTo>
                <a:lnTo>
                  <a:pt x="3674364" y="1865376"/>
                </a:lnTo>
                <a:close/>
              </a:path>
              <a:path w="7486015" h="2070100">
                <a:moveTo>
                  <a:pt x="3674364" y="1658112"/>
                </a:moveTo>
                <a:lnTo>
                  <a:pt x="3040380" y="1658112"/>
                </a:lnTo>
                <a:lnTo>
                  <a:pt x="3040380" y="1862328"/>
                </a:lnTo>
                <a:lnTo>
                  <a:pt x="3674364" y="1862328"/>
                </a:lnTo>
                <a:lnTo>
                  <a:pt x="3674364" y="1658112"/>
                </a:lnTo>
                <a:close/>
              </a:path>
              <a:path w="7486015" h="2070100">
                <a:moveTo>
                  <a:pt x="3674364" y="1450848"/>
                </a:moveTo>
                <a:lnTo>
                  <a:pt x="3040380" y="1450848"/>
                </a:lnTo>
                <a:lnTo>
                  <a:pt x="3040380" y="1655064"/>
                </a:lnTo>
                <a:lnTo>
                  <a:pt x="3674364" y="1655064"/>
                </a:lnTo>
                <a:lnTo>
                  <a:pt x="3674364" y="1450848"/>
                </a:lnTo>
                <a:close/>
              </a:path>
              <a:path w="7486015" h="2070100">
                <a:moveTo>
                  <a:pt x="3674364" y="1245108"/>
                </a:moveTo>
                <a:lnTo>
                  <a:pt x="3040380" y="1245108"/>
                </a:lnTo>
                <a:lnTo>
                  <a:pt x="3040380" y="1447800"/>
                </a:lnTo>
                <a:lnTo>
                  <a:pt x="3674364" y="1447800"/>
                </a:lnTo>
                <a:lnTo>
                  <a:pt x="3674364" y="1245108"/>
                </a:lnTo>
                <a:close/>
              </a:path>
              <a:path w="7486015" h="2070100">
                <a:moveTo>
                  <a:pt x="3674364" y="1037844"/>
                </a:moveTo>
                <a:lnTo>
                  <a:pt x="3040380" y="1037844"/>
                </a:lnTo>
                <a:lnTo>
                  <a:pt x="3040380" y="1242060"/>
                </a:lnTo>
                <a:lnTo>
                  <a:pt x="3674364" y="1242060"/>
                </a:lnTo>
                <a:lnTo>
                  <a:pt x="3674364" y="1037844"/>
                </a:lnTo>
                <a:close/>
              </a:path>
              <a:path w="7486015" h="2070100">
                <a:moveTo>
                  <a:pt x="3674364" y="830580"/>
                </a:moveTo>
                <a:lnTo>
                  <a:pt x="3040380" y="830580"/>
                </a:lnTo>
                <a:lnTo>
                  <a:pt x="3040380" y="1034796"/>
                </a:lnTo>
                <a:lnTo>
                  <a:pt x="3674364" y="1034796"/>
                </a:lnTo>
                <a:lnTo>
                  <a:pt x="3674364" y="830580"/>
                </a:lnTo>
                <a:close/>
              </a:path>
              <a:path w="7486015" h="2070100">
                <a:moveTo>
                  <a:pt x="3674364" y="623316"/>
                </a:moveTo>
                <a:lnTo>
                  <a:pt x="3040380" y="623316"/>
                </a:lnTo>
                <a:lnTo>
                  <a:pt x="3040380" y="827532"/>
                </a:lnTo>
                <a:lnTo>
                  <a:pt x="3674364" y="827532"/>
                </a:lnTo>
                <a:lnTo>
                  <a:pt x="3674364" y="623316"/>
                </a:lnTo>
                <a:close/>
              </a:path>
              <a:path w="7486015" h="2070100">
                <a:moveTo>
                  <a:pt x="3674364" y="416052"/>
                </a:moveTo>
                <a:lnTo>
                  <a:pt x="3040380" y="416052"/>
                </a:lnTo>
                <a:lnTo>
                  <a:pt x="3040380" y="620268"/>
                </a:lnTo>
                <a:lnTo>
                  <a:pt x="3674364" y="620268"/>
                </a:lnTo>
                <a:lnTo>
                  <a:pt x="3674364" y="416052"/>
                </a:lnTo>
                <a:close/>
              </a:path>
              <a:path w="7486015" h="2070100">
                <a:moveTo>
                  <a:pt x="4437888" y="1865376"/>
                </a:moveTo>
                <a:lnTo>
                  <a:pt x="3677412" y="1865376"/>
                </a:lnTo>
                <a:lnTo>
                  <a:pt x="3677412" y="2069592"/>
                </a:lnTo>
                <a:lnTo>
                  <a:pt x="4437888" y="2069592"/>
                </a:lnTo>
                <a:lnTo>
                  <a:pt x="4437888" y="1865376"/>
                </a:lnTo>
                <a:close/>
              </a:path>
              <a:path w="7486015" h="2070100">
                <a:moveTo>
                  <a:pt x="4437888" y="1658112"/>
                </a:moveTo>
                <a:lnTo>
                  <a:pt x="3677412" y="1658112"/>
                </a:lnTo>
                <a:lnTo>
                  <a:pt x="3677412" y="1862328"/>
                </a:lnTo>
                <a:lnTo>
                  <a:pt x="4437888" y="1862328"/>
                </a:lnTo>
                <a:lnTo>
                  <a:pt x="4437888" y="1658112"/>
                </a:lnTo>
                <a:close/>
              </a:path>
              <a:path w="7486015" h="2070100">
                <a:moveTo>
                  <a:pt x="4437888" y="1450848"/>
                </a:moveTo>
                <a:lnTo>
                  <a:pt x="3677412" y="1450848"/>
                </a:lnTo>
                <a:lnTo>
                  <a:pt x="3677412" y="1655064"/>
                </a:lnTo>
                <a:lnTo>
                  <a:pt x="4437888" y="1655064"/>
                </a:lnTo>
                <a:lnTo>
                  <a:pt x="4437888" y="1450848"/>
                </a:lnTo>
                <a:close/>
              </a:path>
              <a:path w="7486015" h="2070100">
                <a:moveTo>
                  <a:pt x="4437888" y="1245108"/>
                </a:moveTo>
                <a:lnTo>
                  <a:pt x="3677412" y="1245108"/>
                </a:lnTo>
                <a:lnTo>
                  <a:pt x="3677412" y="1447800"/>
                </a:lnTo>
                <a:lnTo>
                  <a:pt x="4437888" y="1447800"/>
                </a:lnTo>
                <a:lnTo>
                  <a:pt x="4437888" y="1245108"/>
                </a:lnTo>
                <a:close/>
              </a:path>
              <a:path w="7486015" h="2070100">
                <a:moveTo>
                  <a:pt x="4437888" y="1037844"/>
                </a:moveTo>
                <a:lnTo>
                  <a:pt x="3677412" y="1037844"/>
                </a:lnTo>
                <a:lnTo>
                  <a:pt x="3677412" y="1242060"/>
                </a:lnTo>
                <a:lnTo>
                  <a:pt x="4437888" y="1242060"/>
                </a:lnTo>
                <a:lnTo>
                  <a:pt x="4437888" y="1037844"/>
                </a:lnTo>
                <a:close/>
              </a:path>
              <a:path w="7486015" h="2070100">
                <a:moveTo>
                  <a:pt x="4437888" y="830580"/>
                </a:moveTo>
                <a:lnTo>
                  <a:pt x="3677412" y="830580"/>
                </a:lnTo>
                <a:lnTo>
                  <a:pt x="3677412" y="1034796"/>
                </a:lnTo>
                <a:lnTo>
                  <a:pt x="4437888" y="1034796"/>
                </a:lnTo>
                <a:lnTo>
                  <a:pt x="4437888" y="830580"/>
                </a:lnTo>
                <a:close/>
              </a:path>
              <a:path w="7486015" h="2070100">
                <a:moveTo>
                  <a:pt x="4437888" y="623316"/>
                </a:moveTo>
                <a:lnTo>
                  <a:pt x="3677412" y="623316"/>
                </a:lnTo>
                <a:lnTo>
                  <a:pt x="3677412" y="827532"/>
                </a:lnTo>
                <a:lnTo>
                  <a:pt x="4437888" y="827532"/>
                </a:lnTo>
                <a:lnTo>
                  <a:pt x="4437888" y="623316"/>
                </a:lnTo>
                <a:close/>
              </a:path>
              <a:path w="7486015" h="2070100">
                <a:moveTo>
                  <a:pt x="4437888" y="416052"/>
                </a:moveTo>
                <a:lnTo>
                  <a:pt x="3677412" y="416052"/>
                </a:lnTo>
                <a:lnTo>
                  <a:pt x="3677412" y="620268"/>
                </a:lnTo>
                <a:lnTo>
                  <a:pt x="4437888" y="620268"/>
                </a:lnTo>
                <a:lnTo>
                  <a:pt x="4437888" y="416052"/>
                </a:lnTo>
                <a:close/>
              </a:path>
              <a:path w="7486015" h="2070100">
                <a:moveTo>
                  <a:pt x="5199888" y="1865376"/>
                </a:moveTo>
                <a:lnTo>
                  <a:pt x="4440936" y="1865376"/>
                </a:lnTo>
                <a:lnTo>
                  <a:pt x="4440936" y="2069592"/>
                </a:lnTo>
                <a:lnTo>
                  <a:pt x="5199888" y="2069592"/>
                </a:lnTo>
                <a:lnTo>
                  <a:pt x="5199888" y="1865376"/>
                </a:lnTo>
                <a:close/>
              </a:path>
              <a:path w="7486015" h="2070100">
                <a:moveTo>
                  <a:pt x="5199888" y="1658112"/>
                </a:moveTo>
                <a:lnTo>
                  <a:pt x="4440936" y="1658112"/>
                </a:lnTo>
                <a:lnTo>
                  <a:pt x="4440936" y="1862328"/>
                </a:lnTo>
                <a:lnTo>
                  <a:pt x="5199888" y="1862328"/>
                </a:lnTo>
                <a:lnTo>
                  <a:pt x="5199888" y="1658112"/>
                </a:lnTo>
                <a:close/>
              </a:path>
              <a:path w="7486015" h="2070100">
                <a:moveTo>
                  <a:pt x="5199888" y="1450848"/>
                </a:moveTo>
                <a:lnTo>
                  <a:pt x="4440936" y="1450848"/>
                </a:lnTo>
                <a:lnTo>
                  <a:pt x="4440936" y="1655064"/>
                </a:lnTo>
                <a:lnTo>
                  <a:pt x="5199888" y="1655064"/>
                </a:lnTo>
                <a:lnTo>
                  <a:pt x="5199888" y="1450848"/>
                </a:lnTo>
                <a:close/>
              </a:path>
              <a:path w="7486015" h="2070100">
                <a:moveTo>
                  <a:pt x="5199888" y="1245108"/>
                </a:moveTo>
                <a:lnTo>
                  <a:pt x="4440936" y="1245108"/>
                </a:lnTo>
                <a:lnTo>
                  <a:pt x="4440936" y="1447800"/>
                </a:lnTo>
                <a:lnTo>
                  <a:pt x="5199888" y="1447800"/>
                </a:lnTo>
                <a:lnTo>
                  <a:pt x="5199888" y="1245108"/>
                </a:lnTo>
                <a:close/>
              </a:path>
              <a:path w="7486015" h="2070100">
                <a:moveTo>
                  <a:pt x="5199888" y="1037844"/>
                </a:moveTo>
                <a:lnTo>
                  <a:pt x="4440936" y="1037844"/>
                </a:lnTo>
                <a:lnTo>
                  <a:pt x="4440936" y="1242060"/>
                </a:lnTo>
                <a:lnTo>
                  <a:pt x="5199888" y="1242060"/>
                </a:lnTo>
                <a:lnTo>
                  <a:pt x="5199888" y="1037844"/>
                </a:lnTo>
                <a:close/>
              </a:path>
              <a:path w="7486015" h="2070100">
                <a:moveTo>
                  <a:pt x="5199888" y="830580"/>
                </a:moveTo>
                <a:lnTo>
                  <a:pt x="4440936" y="830580"/>
                </a:lnTo>
                <a:lnTo>
                  <a:pt x="4440936" y="1034796"/>
                </a:lnTo>
                <a:lnTo>
                  <a:pt x="5199888" y="1034796"/>
                </a:lnTo>
                <a:lnTo>
                  <a:pt x="5199888" y="830580"/>
                </a:lnTo>
                <a:close/>
              </a:path>
              <a:path w="7486015" h="2070100">
                <a:moveTo>
                  <a:pt x="5199888" y="623316"/>
                </a:moveTo>
                <a:lnTo>
                  <a:pt x="4440936" y="623316"/>
                </a:lnTo>
                <a:lnTo>
                  <a:pt x="4440936" y="827532"/>
                </a:lnTo>
                <a:lnTo>
                  <a:pt x="5199888" y="827532"/>
                </a:lnTo>
                <a:lnTo>
                  <a:pt x="5199888" y="623316"/>
                </a:lnTo>
                <a:close/>
              </a:path>
              <a:path w="7486015" h="2070100">
                <a:moveTo>
                  <a:pt x="5199888" y="416052"/>
                </a:moveTo>
                <a:lnTo>
                  <a:pt x="4440936" y="416052"/>
                </a:lnTo>
                <a:lnTo>
                  <a:pt x="4440936" y="620268"/>
                </a:lnTo>
                <a:lnTo>
                  <a:pt x="5199888" y="620268"/>
                </a:lnTo>
                <a:lnTo>
                  <a:pt x="5199888" y="416052"/>
                </a:lnTo>
                <a:close/>
              </a:path>
              <a:path w="7486015" h="2070100">
                <a:moveTo>
                  <a:pt x="5961875" y="1865376"/>
                </a:moveTo>
                <a:lnTo>
                  <a:pt x="5202936" y="1865376"/>
                </a:lnTo>
                <a:lnTo>
                  <a:pt x="5202936" y="2069592"/>
                </a:lnTo>
                <a:lnTo>
                  <a:pt x="5961875" y="2069592"/>
                </a:lnTo>
                <a:lnTo>
                  <a:pt x="5961875" y="1865376"/>
                </a:lnTo>
                <a:close/>
              </a:path>
              <a:path w="7486015" h="2070100">
                <a:moveTo>
                  <a:pt x="5961875" y="1658112"/>
                </a:moveTo>
                <a:lnTo>
                  <a:pt x="5202936" y="1658112"/>
                </a:lnTo>
                <a:lnTo>
                  <a:pt x="5202936" y="1862328"/>
                </a:lnTo>
                <a:lnTo>
                  <a:pt x="5961875" y="1862328"/>
                </a:lnTo>
                <a:lnTo>
                  <a:pt x="5961875" y="1658112"/>
                </a:lnTo>
                <a:close/>
              </a:path>
              <a:path w="7486015" h="2070100">
                <a:moveTo>
                  <a:pt x="5961875" y="1450848"/>
                </a:moveTo>
                <a:lnTo>
                  <a:pt x="5202936" y="1450848"/>
                </a:lnTo>
                <a:lnTo>
                  <a:pt x="5202936" y="1655064"/>
                </a:lnTo>
                <a:lnTo>
                  <a:pt x="5961875" y="1655064"/>
                </a:lnTo>
                <a:lnTo>
                  <a:pt x="5961875" y="1450848"/>
                </a:lnTo>
                <a:close/>
              </a:path>
              <a:path w="7486015" h="2070100">
                <a:moveTo>
                  <a:pt x="5961875" y="1245108"/>
                </a:moveTo>
                <a:lnTo>
                  <a:pt x="5202936" y="1245108"/>
                </a:lnTo>
                <a:lnTo>
                  <a:pt x="5202936" y="1447800"/>
                </a:lnTo>
                <a:lnTo>
                  <a:pt x="5961875" y="1447800"/>
                </a:lnTo>
                <a:lnTo>
                  <a:pt x="5961875" y="1245108"/>
                </a:lnTo>
                <a:close/>
              </a:path>
              <a:path w="7486015" h="2070100">
                <a:moveTo>
                  <a:pt x="5961875" y="1037844"/>
                </a:moveTo>
                <a:lnTo>
                  <a:pt x="5202936" y="1037844"/>
                </a:lnTo>
                <a:lnTo>
                  <a:pt x="5202936" y="1242060"/>
                </a:lnTo>
                <a:lnTo>
                  <a:pt x="5961875" y="1242060"/>
                </a:lnTo>
                <a:lnTo>
                  <a:pt x="5961875" y="1037844"/>
                </a:lnTo>
                <a:close/>
              </a:path>
              <a:path w="7486015" h="2070100">
                <a:moveTo>
                  <a:pt x="5961875" y="830580"/>
                </a:moveTo>
                <a:lnTo>
                  <a:pt x="5202936" y="830580"/>
                </a:lnTo>
                <a:lnTo>
                  <a:pt x="5202936" y="1034796"/>
                </a:lnTo>
                <a:lnTo>
                  <a:pt x="5961875" y="1034796"/>
                </a:lnTo>
                <a:lnTo>
                  <a:pt x="5961875" y="830580"/>
                </a:lnTo>
                <a:close/>
              </a:path>
              <a:path w="7486015" h="2070100">
                <a:moveTo>
                  <a:pt x="5961875" y="623316"/>
                </a:moveTo>
                <a:lnTo>
                  <a:pt x="5202936" y="623316"/>
                </a:lnTo>
                <a:lnTo>
                  <a:pt x="5202936" y="827532"/>
                </a:lnTo>
                <a:lnTo>
                  <a:pt x="5961875" y="827532"/>
                </a:lnTo>
                <a:lnTo>
                  <a:pt x="5961875" y="623316"/>
                </a:lnTo>
                <a:close/>
              </a:path>
              <a:path w="7486015" h="2070100">
                <a:moveTo>
                  <a:pt x="5961875" y="416052"/>
                </a:moveTo>
                <a:lnTo>
                  <a:pt x="5202936" y="416052"/>
                </a:lnTo>
                <a:lnTo>
                  <a:pt x="5202936" y="620268"/>
                </a:lnTo>
                <a:lnTo>
                  <a:pt x="5961875" y="620268"/>
                </a:lnTo>
                <a:lnTo>
                  <a:pt x="5961875" y="416052"/>
                </a:lnTo>
                <a:close/>
              </a:path>
              <a:path w="7486015" h="2070100">
                <a:moveTo>
                  <a:pt x="6723888" y="1865376"/>
                </a:moveTo>
                <a:lnTo>
                  <a:pt x="5964936" y="1865376"/>
                </a:lnTo>
                <a:lnTo>
                  <a:pt x="5964936" y="2069592"/>
                </a:lnTo>
                <a:lnTo>
                  <a:pt x="6723888" y="2069592"/>
                </a:lnTo>
                <a:lnTo>
                  <a:pt x="6723888" y="1865376"/>
                </a:lnTo>
                <a:close/>
              </a:path>
              <a:path w="7486015" h="2070100">
                <a:moveTo>
                  <a:pt x="6723888" y="1658112"/>
                </a:moveTo>
                <a:lnTo>
                  <a:pt x="5964936" y="1658112"/>
                </a:lnTo>
                <a:lnTo>
                  <a:pt x="5964936" y="1862328"/>
                </a:lnTo>
                <a:lnTo>
                  <a:pt x="6723888" y="1862328"/>
                </a:lnTo>
                <a:lnTo>
                  <a:pt x="6723888" y="1658112"/>
                </a:lnTo>
                <a:close/>
              </a:path>
              <a:path w="7486015" h="2070100">
                <a:moveTo>
                  <a:pt x="6723888" y="1450848"/>
                </a:moveTo>
                <a:lnTo>
                  <a:pt x="5964936" y="1450848"/>
                </a:lnTo>
                <a:lnTo>
                  <a:pt x="5964936" y="1655064"/>
                </a:lnTo>
                <a:lnTo>
                  <a:pt x="6723888" y="1655064"/>
                </a:lnTo>
                <a:lnTo>
                  <a:pt x="6723888" y="1450848"/>
                </a:lnTo>
                <a:close/>
              </a:path>
              <a:path w="7486015" h="2070100">
                <a:moveTo>
                  <a:pt x="6723888" y="1245108"/>
                </a:moveTo>
                <a:lnTo>
                  <a:pt x="5964936" y="1245108"/>
                </a:lnTo>
                <a:lnTo>
                  <a:pt x="5964936" y="1447800"/>
                </a:lnTo>
                <a:lnTo>
                  <a:pt x="6723888" y="1447800"/>
                </a:lnTo>
                <a:lnTo>
                  <a:pt x="6723888" y="1245108"/>
                </a:lnTo>
                <a:close/>
              </a:path>
              <a:path w="7486015" h="2070100">
                <a:moveTo>
                  <a:pt x="6723888" y="1037844"/>
                </a:moveTo>
                <a:lnTo>
                  <a:pt x="5964936" y="1037844"/>
                </a:lnTo>
                <a:lnTo>
                  <a:pt x="5964936" y="1242060"/>
                </a:lnTo>
                <a:lnTo>
                  <a:pt x="6723888" y="1242060"/>
                </a:lnTo>
                <a:lnTo>
                  <a:pt x="6723888" y="1037844"/>
                </a:lnTo>
                <a:close/>
              </a:path>
              <a:path w="7486015" h="2070100">
                <a:moveTo>
                  <a:pt x="6723888" y="830580"/>
                </a:moveTo>
                <a:lnTo>
                  <a:pt x="5964936" y="830580"/>
                </a:lnTo>
                <a:lnTo>
                  <a:pt x="5964936" y="1034796"/>
                </a:lnTo>
                <a:lnTo>
                  <a:pt x="6723888" y="1034796"/>
                </a:lnTo>
                <a:lnTo>
                  <a:pt x="6723888" y="830580"/>
                </a:lnTo>
                <a:close/>
              </a:path>
              <a:path w="7486015" h="2070100">
                <a:moveTo>
                  <a:pt x="6723888" y="623316"/>
                </a:moveTo>
                <a:lnTo>
                  <a:pt x="5964936" y="623316"/>
                </a:lnTo>
                <a:lnTo>
                  <a:pt x="5964936" y="827532"/>
                </a:lnTo>
                <a:lnTo>
                  <a:pt x="6723888" y="827532"/>
                </a:lnTo>
                <a:lnTo>
                  <a:pt x="6723888" y="623316"/>
                </a:lnTo>
                <a:close/>
              </a:path>
              <a:path w="7486015" h="2070100">
                <a:moveTo>
                  <a:pt x="6723888" y="416052"/>
                </a:moveTo>
                <a:lnTo>
                  <a:pt x="5964936" y="416052"/>
                </a:lnTo>
                <a:lnTo>
                  <a:pt x="5964936" y="620268"/>
                </a:lnTo>
                <a:lnTo>
                  <a:pt x="6723888" y="620268"/>
                </a:lnTo>
                <a:lnTo>
                  <a:pt x="6723888" y="416052"/>
                </a:lnTo>
                <a:close/>
              </a:path>
              <a:path w="7486015" h="2070100">
                <a:moveTo>
                  <a:pt x="6723888" y="0"/>
                </a:moveTo>
                <a:lnTo>
                  <a:pt x="5964936" y="0"/>
                </a:lnTo>
                <a:lnTo>
                  <a:pt x="5964936" y="413004"/>
                </a:lnTo>
                <a:lnTo>
                  <a:pt x="6723888" y="413004"/>
                </a:lnTo>
                <a:lnTo>
                  <a:pt x="6723888" y="0"/>
                </a:lnTo>
                <a:close/>
              </a:path>
              <a:path w="7486015" h="2070100">
                <a:moveTo>
                  <a:pt x="7485888" y="1865376"/>
                </a:moveTo>
                <a:lnTo>
                  <a:pt x="6726936" y="1865376"/>
                </a:lnTo>
                <a:lnTo>
                  <a:pt x="6726936" y="2069592"/>
                </a:lnTo>
                <a:lnTo>
                  <a:pt x="7485888" y="2069592"/>
                </a:lnTo>
                <a:lnTo>
                  <a:pt x="7485888" y="1865376"/>
                </a:lnTo>
                <a:close/>
              </a:path>
              <a:path w="7486015" h="2070100">
                <a:moveTo>
                  <a:pt x="7485888" y="1658112"/>
                </a:moveTo>
                <a:lnTo>
                  <a:pt x="6726936" y="1658112"/>
                </a:lnTo>
                <a:lnTo>
                  <a:pt x="6726936" y="1862328"/>
                </a:lnTo>
                <a:lnTo>
                  <a:pt x="7485888" y="1862328"/>
                </a:lnTo>
                <a:lnTo>
                  <a:pt x="7485888" y="1658112"/>
                </a:lnTo>
                <a:close/>
              </a:path>
              <a:path w="7486015" h="2070100">
                <a:moveTo>
                  <a:pt x="7485888" y="1450848"/>
                </a:moveTo>
                <a:lnTo>
                  <a:pt x="6726936" y="1450848"/>
                </a:lnTo>
                <a:lnTo>
                  <a:pt x="6726936" y="1655064"/>
                </a:lnTo>
                <a:lnTo>
                  <a:pt x="7485888" y="1655064"/>
                </a:lnTo>
                <a:lnTo>
                  <a:pt x="7485888" y="1450848"/>
                </a:lnTo>
                <a:close/>
              </a:path>
              <a:path w="7486015" h="2070100">
                <a:moveTo>
                  <a:pt x="7485888" y="1245108"/>
                </a:moveTo>
                <a:lnTo>
                  <a:pt x="6726936" y="1245108"/>
                </a:lnTo>
                <a:lnTo>
                  <a:pt x="6726936" y="1447800"/>
                </a:lnTo>
                <a:lnTo>
                  <a:pt x="7485888" y="1447800"/>
                </a:lnTo>
                <a:lnTo>
                  <a:pt x="7485888" y="1245108"/>
                </a:lnTo>
                <a:close/>
              </a:path>
              <a:path w="7486015" h="2070100">
                <a:moveTo>
                  <a:pt x="7485888" y="1037844"/>
                </a:moveTo>
                <a:lnTo>
                  <a:pt x="6726936" y="1037844"/>
                </a:lnTo>
                <a:lnTo>
                  <a:pt x="6726936" y="1242060"/>
                </a:lnTo>
                <a:lnTo>
                  <a:pt x="7485888" y="1242060"/>
                </a:lnTo>
                <a:lnTo>
                  <a:pt x="7485888" y="1037844"/>
                </a:lnTo>
                <a:close/>
              </a:path>
              <a:path w="7486015" h="2070100">
                <a:moveTo>
                  <a:pt x="7485888" y="830580"/>
                </a:moveTo>
                <a:lnTo>
                  <a:pt x="6726936" y="830580"/>
                </a:lnTo>
                <a:lnTo>
                  <a:pt x="6726936" y="1034796"/>
                </a:lnTo>
                <a:lnTo>
                  <a:pt x="7485888" y="1034796"/>
                </a:lnTo>
                <a:lnTo>
                  <a:pt x="7485888" y="830580"/>
                </a:lnTo>
                <a:close/>
              </a:path>
              <a:path w="7486015" h="2070100">
                <a:moveTo>
                  <a:pt x="7485888" y="623316"/>
                </a:moveTo>
                <a:lnTo>
                  <a:pt x="6726936" y="623316"/>
                </a:lnTo>
                <a:lnTo>
                  <a:pt x="6726936" y="827532"/>
                </a:lnTo>
                <a:lnTo>
                  <a:pt x="7485888" y="827532"/>
                </a:lnTo>
                <a:lnTo>
                  <a:pt x="7485888" y="623316"/>
                </a:lnTo>
                <a:close/>
              </a:path>
              <a:path w="7486015" h="2070100">
                <a:moveTo>
                  <a:pt x="7485888" y="416052"/>
                </a:moveTo>
                <a:lnTo>
                  <a:pt x="6726936" y="416052"/>
                </a:lnTo>
                <a:lnTo>
                  <a:pt x="6726936" y="620268"/>
                </a:lnTo>
                <a:lnTo>
                  <a:pt x="7485888" y="620268"/>
                </a:lnTo>
                <a:lnTo>
                  <a:pt x="7485888" y="416052"/>
                </a:lnTo>
                <a:close/>
              </a:path>
              <a:path w="7486015" h="2070100">
                <a:moveTo>
                  <a:pt x="7485888" y="0"/>
                </a:moveTo>
                <a:lnTo>
                  <a:pt x="6726936" y="0"/>
                </a:lnTo>
                <a:lnTo>
                  <a:pt x="6726936" y="413004"/>
                </a:lnTo>
                <a:lnTo>
                  <a:pt x="7485888" y="413004"/>
                </a:lnTo>
                <a:lnTo>
                  <a:pt x="7485888" y="0"/>
                </a:lnTo>
                <a:close/>
              </a:path>
            </a:pathLst>
          </a:custGeom>
          <a:solidFill>
            <a:srgbClr val="FFFFFF"/>
          </a:solidFill>
        </xdr:spPr>
      </xdr:sp>
    </xdr:grpSp>
    <xdr:clientData/>
  </xdr:oneCellAnchor>
  <xdr:oneCellAnchor>
    <xdr:from>
      <xdr:col>11</xdr:col>
      <xdr:colOff>546481</xdr:colOff>
      <xdr:row>23</xdr:row>
      <xdr:rowOff>0</xdr:rowOff>
    </xdr:from>
    <xdr:ext cx="645160" cy="3724910"/>
    <xdr:sp macro="" textlink="">
      <xdr:nvSpPr>
        <xdr:cNvPr id="107" name="Shape 107">
          <a:extLst>
            <a:ext uri="{FF2B5EF4-FFF2-40B4-BE49-F238E27FC236}">
              <a16:creationId xmlns:a16="http://schemas.microsoft.com/office/drawing/2014/main" id="{00000000-0008-0000-0900-00006B000000}"/>
            </a:ext>
          </a:extLst>
        </xdr:cNvPr>
        <xdr:cNvSpPr/>
      </xdr:nvSpPr>
      <xdr:spPr>
        <a:xfrm>
          <a:off x="0" y="0"/>
          <a:ext cx="645160" cy="3724910"/>
        </a:xfrm>
        <a:custGeom>
          <a:avLst/>
          <a:gdLst/>
          <a:ahLst/>
          <a:cxnLst/>
          <a:rect l="0" t="0" r="0" b="0"/>
          <a:pathLst>
            <a:path w="645160" h="3724910">
              <a:moveTo>
                <a:pt x="644652" y="3520440"/>
              </a:moveTo>
              <a:lnTo>
                <a:pt x="0" y="3520440"/>
              </a:lnTo>
              <a:lnTo>
                <a:pt x="0" y="3724656"/>
              </a:lnTo>
              <a:lnTo>
                <a:pt x="644652" y="3724656"/>
              </a:lnTo>
              <a:lnTo>
                <a:pt x="644652" y="3520440"/>
              </a:lnTo>
              <a:close/>
            </a:path>
            <a:path w="645160" h="3724910">
              <a:moveTo>
                <a:pt x="644652" y="3313176"/>
              </a:moveTo>
              <a:lnTo>
                <a:pt x="0" y="3313176"/>
              </a:lnTo>
              <a:lnTo>
                <a:pt x="0" y="3517392"/>
              </a:lnTo>
              <a:lnTo>
                <a:pt x="644652" y="3517392"/>
              </a:lnTo>
              <a:lnTo>
                <a:pt x="644652" y="3313176"/>
              </a:lnTo>
              <a:close/>
            </a:path>
            <a:path w="645160" h="3724910">
              <a:moveTo>
                <a:pt x="644652" y="3105912"/>
              </a:moveTo>
              <a:lnTo>
                <a:pt x="0" y="3105912"/>
              </a:lnTo>
              <a:lnTo>
                <a:pt x="0" y="3310128"/>
              </a:lnTo>
              <a:lnTo>
                <a:pt x="644652" y="3310128"/>
              </a:lnTo>
              <a:lnTo>
                <a:pt x="644652" y="3105912"/>
              </a:lnTo>
              <a:close/>
            </a:path>
            <a:path w="645160" h="3724910">
              <a:moveTo>
                <a:pt x="644652" y="2900172"/>
              </a:moveTo>
              <a:lnTo>
                <a:pt x="0" y="2900172"/>
              </a:lnTo>
              <a:lnTo>
                <a:pt x="0" y="3102864"/>
              </a:lnTo>
              <a:lnTo>
                <a:pt x="644652" y="3102864"/>
              </a:lnTo>
              <a:lnTo>
                <a:pt x="644652" y="2900172"/>
              </a:lnTo>
              <a:close/>
            </a:path>
            <a:path w="645160" h="3724910">
              <a:moveTo>
                <a:pt x="644652" y="2692908"/>
              </a:moveTo>
              <a:lnTo>
                <a:pt x="0" y="2692908"/>
              </a:lnTo>
              <a:lnTo>
                <a:pt x="0" y="2897124"/>
              </a:lnTo>
              <a:lnTo>
                <a:pt x="644652" y="2897124"/>
              </a:lnTo>
              <a:lnTo>
                <a:pt x="644652" y="2692908"/>
              </a:lnTo>
              <a:close/>
            </a:path>
            <a:path w="645160" h="3724910">
              <a:moveTo>
                <a:pt x="644652" y="2485644"/>
              </a:moveTo>
              <a:lnTo>
                <a:pt x="0" y="2485644"/>
              </a:lnTo>
              <a:lnTo>
                <a:pt x="0" y="2689860"/>
              </a:lnTo>
              <a:lnTo>
                <a:pt x="644652" y="2689860"/>
              </a:lnTo>
              <a:lnTo>
                <a:pt x="644652" y="2485644"/>
              </a:lnTo>
              <a:close/>
            </a:path>
            <a:path w="645160" h="3724910">
              <a:moveTo>
                <a:pt x="644652" y="2278380"/>
              </a:moveTo>
              <a:lnTo>
                <a:pt x="0" y="2278380"/>
              </a:lnTo>
              <a:lnTo>
                <a:pt x="0" y="2482596"/>
              </a:lnTo>
              <a:lnTo>
                <a:pt x="644652" y="2482596"/>
              </a:lnTo>
              <a:lnTo>
                <a:pt x="644652" y="2278380"/>
              </a:lnTo>
              <a:close/>
            </a:path>
            <a:path w="645160" h="3724910">
              <a:moveTo>
                <a:pt x="644652" y="2071116"/>
              </a:moveTo>
              <a:lnTo>
                <a:pt x="0" y="2071116"/>
              </a:lnTo>
              <a:lnTo>
                <a:pt x="0" y="2275332"/>
              </a:lnTo>
              <a:lnTo>
                <a:pt x="644652" y="2275332"/>
              </a:lnTo>
              <a:lnTo>
                <a:pt x="644652" y="2071116"/>
              </a:lnTo>
              <a:close/>
            </a:path>
            <a:path w="645160" h="3724910">
              <a:moveTo>
                <a:pt x="644652" y="1655064"/>
              </a:moveTo>
              <a:lnTo>
                <a:pt x="0" y="1655064"/>
              </a:lnTo>
              <a:lnTo>
                <a:pt x="0" y="2068068"/>
              </a:lnTo>
              <a:lnTo>
                <a:pt x="644652" y="2068068"/>
              </a:lnTo>
              <a:lnTo>
                <a:pt x="644652" y="1655064"/>
              </a:lnTo>
              <a:close/>
            </a:path>
            <a:path w="645160" h="3724910">
              <a:moveTo>
                <a:pt x="644652" y="1449324"/>
              </a:moveTo>
              <a:lnTo>
                <a:pt x="0" y="1449324"/>
              </a:lnTo>
              <a:lnTo>
                <a:pt x="0" y="1652016"/>
              </a:lnTo>
              <a:lnTo>
                <a:pt x="644652" y="1652016"/>
              </a:lnTo>
              <a:lnTo>
                <a:pt x="644652" y="1449324"/>
              </a:lnTo>
              <a:close/>
            </a:path>
            <a:path w="645160" h="3724910">
              <a:moveTo>
                <a:pt x="644652" y="1242060"/>
              </a:moveTo>
              <a:lnTo>
                <a:pt x="0" y="1242060"/>
              </a:lnTo>
              <a:lnTo>
                <a:pt x="0" y="1446276"/>
              </a:lnTo>
              <a:lnTo>
                <a:pt x="644652" y="1446276"/>
              </a:lnTo>
              <a:lnTo>
                <a:pt x="644652" y="1242060"/>
              </a:lnTo>
              <a:close/>
            </a:path>
            <a:path w="645160" h="3724910">
              <a:moveTo>
                <a:pt x="644652" y="1034796"/>
              </a:moveTo>
              <a:lnTo>
                <a:pt x="0" y="1034796"/>
              </a:lnTo>
              <a:lnTo>
                <a:pt x="0" y="1239012"/>
              </a:lnTo>
              <a:lnTo>
                <a:pt x="644652" y="1239012"/>
              </a:lnTo>
              <a:lnTo>
                <a:pt x="644652" y="1034796"/>
              </a:lnTo>
              <a:close/>
            </a:path>
            <a:path w="645160" h="3724910">
              <a:moveTo>
                <a:pt x="644652" y="827532"/>
              </a:moveTo>
              <a:lnTo>
                <a:pt x="0" y="827532"/>
              </a:lnTo>
              <a:lnTo>
                <a:pt x="0" y="1031748"/>
              </a:lnTo>
              <a:lnTo>
                <a:pt x="644652" y="1031748"/>
              </a:lnTo>
              <a:lnTo>
                <a:pt x="644652" y="827532"/>
              </a:lnTo>
              <a:close/>
            </a:path>
            <a:path w="645160" h="3724910">
              <a:moveTo>
                <a:pt x="644652" y="621792"/>
              </a:moveTo>
              <a:lnTo>
                <a:pt x="0" y="621792"/>
              </a:lnTo>
              <a:lnTo>
                <a:pt x="0" y="824484"/>
              </a:lnTo>
              <a:lnTo>
                <a:pt x="644652" y="824484"/>
              </a:lnTo>
              <a:lnTo>
                <a:pt x="644652" y="621792"/>
              </a:lnTo>
              <a:close/>
            </a:path>
            <a:path w="645160" h="3724910">
              <a:moveTo>
                <a:pt x="644652" y="414528"/>
              </a:moveTo>
              <a:lnTo>
                <a:pt x="0" y="414528"/>
              </a:lnTo>
              <a:lnTo>
                <a:pt x="0" y="618744"/>
              </a:lnTo>
              <a:lnTo>
                <a:pt x="644652" y="618744"/>
              </a:lnTo>
              <a:lnTo>
                <a:pt x="644652" y="414528"/>
              </a:lnTo>
              <a:close/>
            </a:path>
            <a:path w="645160" h="3724910">
              <a:moveTo>
                <a:pt x="644652" y="207264"/>
              </a:moveTo>
              <a:lnTo>
                <a:pt x="0" y="207264"/>
              </a:lnTo>
              <a:lnTo>
                <a:pt x="0" y="411480"/>
              </a:lnTo>
              <a:lnTo>
                <a:pt x="644652" y="411480"/>
              </a:lnTo>
              <a:lnTo>
                <a:pt x="644652" y="207264"/>
              </a:lnTo>
              <a:close/>
            </a:path>
            <a:path w="645160" h="3724910">
              <a:moveTo>
                <a:pt x="644652" y="0"/>
              </a:moveTo>
              <a:lnTo>
                <a:pt x="0" y="0"/>
              </a:lnTo>
              <a:lnTo>
                <a:pt x="0" y="204216"/>
              </a:lnTo>
              <a:lnTo>
                <a:pt x="644652" y="204216"/>
              </a:lnTo>
              <a:lnTo>
                <a:pt x="644652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543687</xdr:colOff>
      <xdr:row>10</xdr:row>
      <xdr:rowOff>0</xdr:rowOff>
    </xdr:from>
    <xdr:ext cx="3808729" cy="480059"/>
    <xdr:sp macro="" textlink="">
      <xdr:nvSpPr>
        <xdr:cNvPr id="108" name="Shape 108">
          <a:extLst>
            <a:ext uri="{FF2B5EF4-FFF2-40B4-BE49-F238E27FC236}">
              <a16:creationId xmlns:a16="http://schemas.microsoft.com/office/drawing/2014/main" id="{00000000-0008-0000-0A00-00006C000000}"/>
            </a:ext>
          </a:extLst>
        </xdr:cNvPr>
        <xdr:cNvSpPr/>
      </xdr:nvSpPr>
      <xdr:spPr>
        <a:xfrm>
          <a:off x="0" y="0"/>
          <a:ext cx="3808729" cy="480059"/>
        </a:xfrm>
        <a:custGeom>
          <a:avLst/>
          <a:gdLst/>
          <a:ahLst/>
          <a:cxnLst/>
          <a:rect l="0" t="0" r="0" b="0"/>
          <a:pathLst>
            <a:path w="3808729" h="480059">
              <a:moveTo>
                <a:pt x="760476" y="0"/>
              </a:moveTo>
              <a:lnTo>
                <a:pt x="0" y="0"/>
              </a:lnTo>
              <a:lnTo>
                <a:pt x="0" y="480060"/>
              </a:lnTo>
              <a:lnTo>
                <a:pt x="760476" y="480060"/>
              </a:lnTo>
              <a:lnTo>
                <a:pt x="760476" y="0"/>
              </a:lnTo>
              <a:close/>
            </a:path>
            <a:path w="3808729" h="480059">
              <a:moveTo>
                <a:pt x="1522476" y="0"/>
              </a:moveTo>
              <a:lnTo>
                <a:pt x="763524" y="0"/>
              </a:lnTo>
              <a:lnTo>
                <a:pt x="763524" y="480060"/>
              </a:lnTo>
              <a:lnTo>
                <a:pt x="1522476" y="480060"/>
              </a:lnTo>
              <a:lnTo>
                <a:pt x="1522476" y="0"/>
              </a:lnTo>
              <a:close/>
            </a:path>
            <a:path w="3808729" h="480059">
              <a:moveTo>
                <a:pt x="2284463" y="0"/>
              </a:moveTo>
              <a:lnTo>
                <a:pt x="1525524" y="0"/>
              </a:lnTo>
              <a:lnTo>
                <a:pt x="1525524" y="480060"/>
              </a:lnTo>
              <a:lnTo>
                <a:pt x="2284463" y="480060"/>
              </a:lnTo>
              <a:lnTo>
                <a:pt x="2284463" y="0"/>
              </a:lnTo>
              <a:close/>
            </a:path>
            <a:path w="3808729" h="480059">
              <a:moveTo>
                <a:pt x="3046476" y="0"/>
              </a:moveTo>
              <a:lnTo>
                <a:pt x="2287524" y="0"/>
              </a:lnTo>
              <a:lnTo>
                <a:pt x="2287524" y="480060"/>
              </a:lnTo>
              <a:lnTo>
                <a:pt x="3046476" y="480060"/>
              </a:lnTo>
              <a:lnTo>
                <a:pt x="3046476" y="0"/>
              </a:lnTo>
              <a:close/>
            </a:path>
            <a:path w="3808729" h="480059">
              <a:moveTo>
                <a:pt x="3808476" y="0"/>
              </a:moveTo>
              <a:lnTo>
                <a:pt x="3049524" y="0"/>
              </a:lnTo>
              <a:lnTo>
                <a:pt x="3049524" y="480060"/>
              </a:lnTo>
              <a:lnTo>
                <a:pt x="3808476" y="480060"/>
              </a:lnTo>
              <a:lnTo>
                <a:pt x="3808476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5</xdr:col>
      <xdr:colOff>299453</xdr:colOff>
      <xdr:row>3</xdr:row>
      <xdr:rowOff>49142</xdr:rowOff>
    </xdr:from>
    <xdr:ext cx="193523" cy="290285"/>
    <xdr:pic>
      <xdr:nvPicPr>
        <xdr:cNvPr id="109" name="image1.jpeg">
          <a:extLst>
            <a:ext uri="{FF2B5EF4-FFF2-40B4-BE49-F238E27FC236}">
              <a16:creationId xmlns:a16="http://schemas.microsoft.com/office/drawing/2014/main" id="{00000000-0008-0000-0A00-00006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93523" cy="290285"/>
        </a:xfrm>
        <a:prstGeom prst="rect">
          <a:avLst/>
        </a:prstGeom>
      </xdr:spPr>
    </xdr:pic>
    <xdr:clientData/>
  </xdr:oneCellAnchor>
  <xdr:oneCellAnchor>
    <xdr:from>
      <xdr:col>6</xdr:col>
      <xdr:colOff>201929</xdr:colOff>
      <xdr:row>3</xdr:row>
      <xdr:rowOff>761</xdr:rowOff>
    </xdr:from>
    <xdr:ext cx="381000" cy="381000"/>
    <xdr:pic>
      <xdr:nvPicPr>
        <xdr:cNvPr id="110" name="image2.jpeg">
          <a:extLst>
            <a:ext uri="{FF2B5EF4-FFF2-40B4-BE49-F238E27FC236}">
              <a16:creationId xmlns:a16="http://schemas.microsoft.com/office/drawing/2014/main" id="{00000000-0008-0000-0A00-00006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81000" cy="381000"/>
        </a:xfrm>
        <a:prstGeom prst="rect">
          <a:avLst/>
        </a:prstGeom>
      </xdr:spPr>
    </xdr:pic>
    <xdr:clientData/>
  </xdr:oneCellAnchor>
  <xdr:oneCellAnchor>
    <xdr:from>
      <xdr:col>7</xdr:col>
      <xdr:colOff>201930</xdr:colOff>
      <xdr:row>3</xdr:row>
      <xdr:rowOff>761</xdr:rowOff>
    </xdr:from>
    <xdr:ext cx="381000" cy="381000"/>
    <xdr:pic>
      <xdr:nvPicPr>
        <xdr:cNvPr id="111" name="image3.jpeg">
          <a:extLst>
            <a:ext uri="{FF2B5EF4-FFF2-40B4-BE49-F238E27FC236}">
              <a16:creationId xmlns:a16="http://schemas.microsoft.com/office/drawing/2014/main" id="{00000000-0008-0000-0A00-00006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81000" cy="381000"/>
        </a:xfrm>
        <a:prstGeom prst="rect">
          <a:avLst/>
        </a:prstGeom>
      </xdr:spPr>
    </xdr:pic>
    <xdr:clientData/>
  </xdr:oneCellAnchor>
  <xdr:oneCellAnchor>
    <xdr:from>
      <xdr:col>8</xdr:col>
      <xdr:colOff>201929</xdr:colOff>
      <xdr:row>3</xdr:row>
      <xdr:rowOff>49142</xdr:rowOff>
    </xdr:from>
    <xdr:ext cx="381000" cy="290285"/>
    <xdr:pic>
      <xdr:nvPicPr>
        <xdr:cNvPr id="112" name="image4.jpeg">
          <a:extLst>
            <a:ext uri="{FF2B5EF4-FFF2-40B4-BE49-F238E27FC236}">
              <a16:creationId xmlns:a16="http://schemas.microsoft.com/office/drawing/2014/main" id="{00000000-0008-0000-0A00-00007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81000" cy="290285"/>
        </a:xfrm>
        <a:prstGeom prst="rect">
          <a:avLst/>
        </a:prstGeom>
      </xdr:spPr>
    </xdr:pic>
    <xdr:clientData/>
  </xdr:oneCellAnchor>
  <xdr:oneCellAnchor>
    <xdr:from>
      <xdr:col>9</xdr:col>
      <xdr:colOff>201929</xdr:colOff>
      <xdr:row>3</xdr:row>
      <xdr:rowOff>49142</xdr:rowOff>
    </xdr:from>
    <xdr:ext cx="381000" cy="290285"/>
    <xdr:pic>
      <xdr:nvPicPr>
        <xdr:cNvPr id="113" name="image5.jpeg">
          <a:extLst>
            <a:ext uri="{FF2B5EF4-FFF2-40B4-BE49-F238E27FC236}">
              <a16:creationId xmlns:a16="http://schemas.microsoft.com/office/drawing/2014/main" id="{00000000-0008-0000-0A00-00007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81000" cy="290285"/>
        </a:xfrm>
        <a:prstGeom prst="rect">
          <a:avLst/>
        </a:prstGeom>
      </xdr:spPr>
    </xdr:pic>
    <xdr:clientData/>
  </xdr:oneCellAnchor>
  <xdr:oneCellAnchor>
    <xdr:from>
      <xdr:col>1</xdr:col>
      <xdr:colOff>226060</xdr:colOff>
      <xdr:row>11</xdr:row>
      <xdr:rowOff>0</xdr:rowOff>
    </xdr:from>
    <xdr:ext cx="7486015" cy="1031875"/>
    <xdr:sp macro="" textlink="">
      <xdr:nvSpPr>
        <xdr:cNvPr id="114" name="Shape 114">
          <a:extLst>
            <a:ext uri="{FF2B5EF4-FFF2-40B4-BE49-F238E27FC236}">
              <a16:creationId xmlns:a16="http://schemas.microsoft.com/office/drawing/2014/main" id="{00000000-0008-0000-0A00-000072000000}"/>
            </a:ext>
          </a:extLst>
        </xdr:cNvPr>
        <xdr:cNvSpPr/>
      </xdr:nvSpPr>
      <xdr:spPr>
        <a:xfrm>
          <a:off x="0" y="0"/>
          <a:ext cx="7486015" cy="1031875"/>
        </a:xfrm>
        <a:custGeom>
          <a:avLst/>
          <a:gdLst/>
          <a:ahLst/>
          <a:cxnLst/>
          <a:rect l="0" t="0" r="0" b="0"/>
          <a:pathLst>
            <a:path w="7486015" h="1031875">
              <a:moveTo>
                <a:pt x="312420" y="0"/>
              </a:moveTo>
              <a:lnTo>
                <a:pt x="0" y="0"/>
              </a:lnTo>
              <a:lnTo>
                <a:pt x="0" y="1031748"/>
              </a:lnTo>
              <a:lnTo>
                <a:pt x="312420" y="1031748"/>
              </a:lnTo>
              <a:lnTo>
                <a:pt x="312420" y="0"/>
              </a:lnTo>
              <a:close/>
            </a:path>
            <a:path w="7486015" h="1031875">
              <a:moveTo>
                <a:pt x="1264920" y="0"/>
              </a:moveTo>
              <a:lnTo>
                <a:pt x="315468" y="0"/>
              </a:lnTo>
              <a:lnTo>
                <a:pt x="315468" y="1031748"/>
              </a:lnTo>
              <a:lnTo>
                <a:pt x="1264920" y="1031748"/>
              </a:lnTo>
              <a:lnTo>
                <a:pt x="1264920" y="0"/>
              </a:lnTo>
              <a:close/>
            </a:path>
            <a:path w="7486015" h="1031875">
              <a:moveTo>
                <a:pt x="2531364" y="0"/>
              </a:moveTo>
              <a:lnTo>
                <a:pt x="1267968" y="0"/>
              </a:lnTo>
              <a:lnTo>
                <a:pt x="1267968" y="1031748"/>
              </a:lnTo>
              <a:lnTo>
                <a:pt x="2531364" y="1031748"/>
              </a:lnTo>
              <a:lnTo>
                <a:pt x="2531364" y="0"/>
              </a:lnTo>
              <a:close/>
            </a:path>
            <a:path w="7486015" h="1031875">
              <a:moveTo>
                <a:pt x="3037332" y="827532"/>
              </a:moveTo>
              <a:lnTo>
                <a:pt x="2534412" y="827532"/>
              </a:lnTo>
              <a:lnTo>
                <a:pt x="2534412" y="1031748"/>
              </a:lnTo>
              <a:lnTo>
                <a:pt x="3037332" y="1031748"/>
              </a:lnTo>
              <a:lnTo>
                <a:pt x="3037332" y="827532"/>
              </a:lnTo>
              <a:close/>
            </a:path>
            <a:path w="7486015" h="1031875">
              <a:moveTo>
                <a:pt x="3037332" y="621792"/>
              </a:moveTo>
              <a:lnTo>
                <a:pt x="2534412" y="621792"/>
              </a:lnTo>
              <a:lnTo>
                <a:pt x="2534412" y="824484"/>
              </a:lnTo>
              <a:lnTo>
                <a:pt x="3037332" y="824484"/>
              </a:lnTo>
              <a:lnTo>
                <a:pt x="3037332" y="621792"/>
              </a:lnTo>
              <a:close/>
            </a:path>
            <a:path w="7486015" h="1031875">
              <a:moveTo>
                <a:pt x="3037332" y="414528"/>
              </a:moveTo>
              <a:lnTo>
                <a:pt x="2534412" y="414528"/>
              </a:lnTo>
              <a:lnTo>
                <a:pt x="2534412" y="618744"/>
              </a:lnTo>
              <a:lnTo>
                <a:pt x="3037332" y="618744"/>
              </a:lnTo>
              <a:lnTo>
                <a:pt x="3037332" y="414528"/>
              </a:lnTo>
              <a:close/>
            </a:path>
            <a:path w="7486015" h="1031875">
              <a:moveTo>
                <a:pt x="3037332" y="207264"/>
              </a:moveTo>
              <a:lnTo>
                <a:pt x="2534412" y="207264"/>
              </a:lnTo>
              <a:lnTo>
                <a:pt x="2534412" y="411480"/>
              </a:lnTo>
              <a:lnTo>
                <a:pt x="3037332" y="411480"/>
              </a:lnTo>
              <a:lnTo>
                <a:pt x="3037332" y="207264"/>
              </a:lnTo>
              <a:close/>
            </a:path>
            <a:path w="7486015" h="1031875">
              <a:moveTo>
                <a:pt x="3037332" y="0"/>
              </a:moveTo>
              <a:lnTo>
                <a:pt x="2534412" y="0"/>
              </a:lnTo>
              <a:lnTo>
                <a:pt x="2534412" y="204216"/>
              </a:lnTo>
              <a:lnTo>
                <a:pt x="3037332" y="204216"/>
              </a:lnTo>
              <a:lnTo>
                <a:pt x="3037332" y="0"/>
              </a:lnTo>
              <a:close/>
            </a:path>
            <a:path w="7486015" h="1031875">
              <a:moveTo>
                <a:pt x="3674364" y="827532"/>
              </a:moveTo>
              <a:lnTo>
                <a:pt x="3040380" y="827532"/>
              </a:lnTo>
              <a:lnTo>
                <a:pt x="3040380" y="1031748"/>
              </a:lnTo>
              <a:lnTo>
                <a:pt x="3674364" y="1031748"/>
              </a:lnTo>
              <a:lnTo>
                <a:pt x="3674364" y="827532"/>
              </a:lnTo>
              <a:close/>
            </a:path>
            <a:path w="7486015" h="1031875">
              <a:moveTo>
                <a:pt x="3674364" y="621792"/>
              </a:moveTo>
              <a:lnTo>
                <a:pt x="3040380" y="621792"/>
              </a:lnTo>
              <a:lnTo>
                <a:pt x="3040380" y="824484"/>
              </a:lnTo>
              <a:lnTo>
                <a:pt x="3674364" y="824484"/>
              </a:lnTo>
              <a:lnTo>
                <a:pt x="3674364" y="621792"/>
              </a:lnTo>
              <a:close/>
            </a:path>
            <a:path w="7486015" h="1031875">
              <a:moveTo>
                <a:pt x="3674364" y="414528"/>
              </a:moveTo>
              <a:lnTo>
                <a:pt x="3040380" y="414528"/>
              </a:lnTo>
              <a:lnTo>
                <a:pt x="3040380" y="618744"/>
              </a:lnTo>
              <a:lnTo>
                <a:pt x="3674364" y="618744"/>
              </a:lnTo>
              <a:lnTo>
                <a:pt x="3674364" y="414528"/>
              </a:lnTo>
              <a:close/>
            </a:path>
            <a:path w="7486015" h="1031875">
              <a:moveTo>
                <a:pt x="3674364" y="207264"/>
              </a:moveTo>
              <a:lnTo>
                <a:pt x="3040380" y="207264"/>
              </a:lnTo>
              <a:lnTo>
                <a:pt x="3040380" y="411480"/>
              </a:lnTo>
              <a:lnTo>
                <a:pt x="3674364" y="411480"/>
              </a:lnTo>
              <a:lnTo>
                <a:pt x="3674364" y="207264"/>
              </a:lnTo>
              <a:close/>
            </a:path>
            <a:path w="7486015" h="1031875">
              <a:moveTo>
                <a:pt x="3674364" y="0"/>
              </a:moveTo>
              <a:lnTo>
                <a:pt x="3040380" y="0"/>
              </a:lnTo>
              <a:lnTo>
                <a:pt x="3040380" y="204216"/>
              </a:lnTo>
              <a:lnTo>
                <a:pt x="3674364" y="204216"/>
              </a:lnTo>
              <a:lnTo>
                <a:pt x="3674364" y="0"/>
              </a:lnTo>
              <a:close/>
            </a:path>
            <a:path w="7486015" h="1031875">
              <a:moveTo>
                <a:pt x="4437888" y="827532"/>
              </a:moveTo>
              <a:lnTo>
                <a:pt x="3677412" y="827532"/>
              </a:lnTo>
              <a:lnTo>
                <a:pt x="3677412" y="1031748"/>
              </a:lnTo>
              <a:lnTo>
                <a:pt x="4437888" y="1031748"/>
              </a:lnTo>
              <a:lnTo>
                <a:pt x="4437888" y="827532"/>
              </a:lnTo>
              <a:close/>
            </a:path>
            <a:path w="7486015" h="1031875">
              <a:moveTo>
                <a:pt x="4437888" y="621792"/>
              </a:moveTo>
              <a:lnTo>
                <a:pt x="3677412" y="621792"/>
              </a:lnTo>
              <a:lnTo>
                <a:pt x="3677412" y="824484"/>
              </a:lnTo>
              <a:lnTo>
                <a:pt x="4437888" y="824484"/>
              </a:lnTo>
              <a:lnTo>
                <a:pt x="4437888" y="621792"/>
              </a:lnTo>
              <a:close/>
            </a:path>
            <a:path w="7486015" h="1031875">
              <a:moveTo>
                <a:pt x="4437888" y="414528"/>
              </a:moveTo>
              <a:lnTo>
                <a:pt x="3677412" y="414528"/>
              </a:lnTo>
              <a:lnTo>
                <a:pt x="3677412" y="618744"/>
              </a:lnTo>
              <a:lnTo>
                <a:pt x="4437888" y="618744"/>
              </a:lnTo>
              <a:lnTo>
                <a:pt x="4437888" y="414528"/>
              </a:lnTo>
              <a:close/>
            </a:path>
            <a:path w="7486015" h="1031875">
              <a:moveTo>
                <a:pt x="4437888" y="207264"/>
              </a:moveTo>
              <a:lnTo>
                <a:pt x="3677412" y="207264"/>
              </a:lnTo>
              <a:lnTo>
                <a:pt x="3677412" y="411480"/>
              </a:lnTo>
              <a:lnTo>
                <a:pt x="4437888" y="411480"/>
              </a:lnTo>
              <a:lnTo>
                <a:pt x="4437888" y="207264"/>
              </a:lnTo>
              <a:close/>
            </a:path>
            <a:path w="7486015" h="1031875">
              <a:moveTo>
                <a:pt x="4437888" y="0"/>
              </a:moveTo>
              <a:lnTo>
                <a:pt x="3677412" y="0"/>
              </a:lnTo>
              <a:lnTo>
                <a:pt x="3677412" y="204216"/>
              </a:lnTo>
              <a:lnTo>
                <a:pt x="4437888" y="204216"/>
              </a:lnTo>
              <a:lnTo>
                <a:pt x="4437888" y="0"/>
              </a:lnTo>
              <a:close/>
            </a:path>
            <a:path w="7486015" h="1031875">
              <a:moveTo>
                <a:pt x="5199888" y="827532"/>
              </a:moveTo>
              <a:lnTo>
                <a:pt x="4440936" y="827532"/>
              </a:lnTo>
              <a:lnTo>
                <a:pt x="4440936" y="1031748"/>
              </a:lnTo>
              <a:lnTo>
                <a:pt x="5199888" y="1031748"/>
              </a:lnTo>
              <a:lnTo>
                <a:pt x="5199888" y="827532"/>
              </a:lnTo>
              <a:close/>
            </a:path>
            <a:path w="7486015" h="1031875">
              <a:moveTo>
                <a:pt x="5199888" y="621792"/>
              </a:moveTo>
              <a:lnTo>
                <a:pt x="4440936" y="621792"/>
              </a:lnTo>
              <a:lnTo>
                <a:pt x="4440936" y="824484"/>
              </a:lnTo>
              <a:lnTo>
                <a:pt x="5199888" y="824484"/>
              </a:lnTo>
              <a:lnTo>
                <a:pt x="5199888" y="621792"/>
              </a:lnTo>
              <a:close/>
            </a:path>
            <a:path w="7486015" h="1031875">
              <a:moveTo>
                <a:pt x="5199888" y="414528"/>
              </a:moveTo>
              <a:lnTo>
                <a:pt x="4440936" y="414528"/>
              </a:lnTo>
              <a:lnTo>
                <a:pt x="4440936" y="618744"/>
              </a:lnTo>
              <a:lnTo>
                <a:pt x="5199888" y="618744"/>
              </a:lnTo>
              <a:lnTo>
                <a:pt x="5199888" y="414528"/>
              </a:lnTo>
              <a:close/>
            </a:path>
            <a:path w="7486015" h="1031875">
              <a:moveTo>
                <a:pt x="5199888" y="207264"/>
              </a:moveTo>
              <a:lnTo>
                <a:pt x="4440936" y="207264"/>
              </a:lnTo>
              <a:lnTo>
                <a:pt x="4440936" y="411480"/>
              </a:lnTo>
              <a:lnTo>
                <a:pt x="5199888" y="411480"/>
              </a:lnTo>
              <a:lnTo>
                <a:pt x="5199888" y="207264"/>
              </a:lnTo>
              <a:close/>
            </a:path>
            <a:path w="7486015" h="1031875">
              <a:moveTo>
                <a:pt x="5199888" y="0"/>
              </a:moveTo>
              <a:lnTo>
                <a:pt x="4440936" y="0"/>
              </a:lnTo>
              <a:lnTo>
                <a:pt x="4440936" y="204216"/>
              </a:lnTo>
              <a:lnTo>
                <a:pt x="5199888" y="204216"/>
              </a:lnTo>
              <a:lnTo>
                <a:pt x="5199888" y="0"/>
              </a:lnTo>
              <a:close/>
            </a:path>
            <a:path w="7486015" h="1031875">
              <a:moveTo>
                <a:pt x="5961875" y="827532"/>
              </a:moveTo>
              <a:lnTo>
                <a:pt x="5202936" y="827532"/>
              </a:lnTo>
              <a:lnTo>
                <a:pt x="5202936" y="1031748"/>
              </a:lnTo>
              <a:lnTo>
                <a:pt x="5961875" y="1031748"/>
              </a:lnTo>
              <a:lnTo>
                <a:pt x="5961875" y="827532"/>
              </a:lnTo>
              <a:close/>
            </a:path>
            <a:path w="7486015" h="1031875">
              <a:moveTo>
                <a:pt x="5961875" y="621792"/>
              </a:moveTo>
              <a:lnTo>
                <a:pt x="5202936" y="621792"/>
              </a:lnTo>
              <a:lnTo>
                <a:pt x="5202936" y="824484"/>
              </a:lnTo>
              <a:lnTo>
                <a:pt x="5961875" y="824484"/>
              </a:lnTo>
              <a:lnTo>
                <a:pt x="5961875" y="621792"/>
              </a:lnTo>
              <a:close/>
            </a:path>
            <a:path w="7486015" h="1031875">
              <a:moveTo>
                <a:pt x="5961875" y="414528"/>
              </a:moveTo>
              <a:lnTo>
                <a:pt x="5202936" y="414528"/>
              </a:lnTo>
              <a:lnTo>
                <a:pt x="5202936" y="618744"/>
              </a:lnTo>
              <a:lnTo>
                <a:pt x="5961875" y="618744"/>
              </a:lnTo>
              <a:lnTo>
                <a:pt x="5961875" y="414528"/>
              </a:lnTo>
              <a:close/>
            </a:path>
            <a:path w="7486015" h="1031875">
              <a:moveTo>
                <a:pt x="5961875" y="207264"/>
              </a:moveTo>
              <a:lnTo>
                <a:pt x="5202936" y="207264"/>
              </a:lnTo>
              <a:lnTo>
                <a:pt x="5202936" y="411480"/>
              </a:lnTo>
              <a:lnTo>
                <a:pt x="5961875" y="411480"/>
              </a:lnTo>
              <a:lnTo>
                <a:pt x="5961875" y="207264"/>
              </a:lnTo>
              <a:close/>
            </a:path>
            <a:path w="7486015" h="1031875">
              <a:moveTo>
                <a:pt x="5961875" y="0"/>
              </a:moveTo>
              <a:lnTo>
                <a:pt x="5202936" y="0"/>
              </a:lnTo>
              <a:lnTo>
                <a:pt x="5202936" y="204216"/>
              </a:lnTo>
              <a:lnTo>
                <a:pt x="5961875" y="204216"/>
              </a:lnTo>
              <a:lnTo>
                <a:pt x="5961875" y="0"/>
              </a:lnTo>
              <a:close/>
            </a:path>
            <a:path w="7486015" h="1031875">
              <a:moveTo>
                <a:pt x="6723888" y="827532"/>
              </a:moveTo>
              <a:lnTo>
                <a:pt x="5964936" y="827532"/>
              </a:lnTo>
              <a:lnTo>
                <a:pt x="5964936" y="1031748"/>
              </a:lnTo>
              <a:lnTo>
                <a:pt x="6723888" y="1031748"/>
              </a:lnTo>
              <a:lnTo>
                <a:pt x="6723888" y="827532"/>
              </a:lnTo>
              <a:close/>
            </a:path>
            <a:path w="7486015" h="1031875">
              <a:moveTo>
                <a:pt x="6723888" y="621792"/>
              </a:moveTo>
              <a:lnTo>
                <a:pt x="5964936" y="621792"/>
              </a:lnTo>
              <a:lnTo>
                <a:pt x="5964936" y="824484"/>
              </a:lnTo>
              <a:lnTo>
                <a:pt x="6723888" y="824484"/>
              </a:lnTo>
              <a:lnTo>
                <a:pt x="6723888" y="621792"/>
              </a:lnTo>
              <a:close/>
            </a:path>
            <a:path w="7486015" h="1031875">
              <a:moveTo>
                <a:pt x="6723888" y="414528"/>
              </a:moveTo>
              <a:lnTo>
                <a:pt x="5964936" y="414528"/>
              </a:lnTo>
              <a:lnTo>
                <a:pt x="5964936" y="618744"/>
              </a:lnTo>
              <a:lnTo>
                <a:pt x="6723888" y="618744"/>
              </a:lnTo>
              <a:lnTo>
                <a:pt x="6723888" y="414528"/>
              </a:lnTo>
              <a:close/>
            </a:path>
            <a:path w="7486015" h="1031875">
              <a:moveTo>
                <a:pt x="6723888" y="207264"/>
              </a:moveTo>
              <a:lnTo>
                <a:pt x="5964936" y="207264"/>
              </a:lnTo>
              <a:lnTo>
                <a:pt x="5964936" y="411480"/>
              </a:lnTo>
              <a:lnTo>
                <a:pt x="6723888" y="411480"/>
              </a:lnTo>
              <a:lnTo>
                <a:pt x="6723888" y="207264"/>
              </a:lnTo>
              <a:close/>
            </a:path>
            <a:path w="7486015" h="1031875">
              <a:moveTo>
                <a:pt x="6723888" y="0"/>
              </a:moveTo>
              <a:lnTo>
                <a:pt x="5964936" y="0"/>
              </a:lnTo>
              <a:lnTo>
                <a:pt x="5964936" y="204216"/>
              </a:lnTo>
              <a:lnTo>
                <a:pt x="6723888" y="204216"/>
              </a:lnTo>
              <a:lnTo>
                <a:pt x="6723888" y="0"/>
              </a:lnTo>
              <a:close/>
            </a:path>
            <a:path w="7486015" h="1031875">
              <a:moveTo>
                <a:pt x="7485888" y="827532"/>
              </a:moveTo>
              <a:lnTo>
                <a:pt x="6726936" y="827532"/>
              </a:lnTo>
              <a:lnTo>
                <a:pt x="6726936" y="1031748"/>
              </a:lnTo>
              <a:lnTo>
                <a:pt x="7485888" y="1031748"/>
              </a:lnTo>
              <a:lnTo>
                <a:pt x="7485888" y="827532"/>
              </a:lnTo>
              <a:close/>
            </a:path>
            <a:path w="7486015" h="1031875">
              <a:moveTo>
                <a:pt x="7485888" y="621792"/>
              </a:moveTo>
              <a:lnTo>
                <a:pt x="6726936" y="621792"/>
              </a:lnTo>
              <a:lnTo>
                <a:pt x="6726936" y="824484"/>
              </a:lnTo>
              <a:lnTo>
                <a:pt x="7485888" y="824484"/>
              </a:lnTo>
              <a:lnTo>
                <a:pt x="7485888" y="621792"/>
              </a:lnTo>
              <a:close/>
            </a:path>
            <a:path w="7486015" h="1031875">
              <a:moveTo>
                <a:pt x="7485888" y="414528"/>
              </a:moveTo>
              <a:lnTo>
                <a:pt x="6726936" y="414528"/>
              </a:lnTo>
              <a:lnTo>
                <a:pt x="6726936" y="618744"/>
              </a:lnTo>
              <a:lnTo>
                <a:pt x="7485888" y="618744"/>
              </a:lnTo>
              <a:lnTo>
                <a:pt x="7485888" y="414528"/>
              </a:lnTo>
              <a:close/>
            </a:path>
            <a:path w="7486015" h="1031875">
              <a:moveTo>
                <a:pt x="7485888" y="207264"/>
              </a:moveTo>
              <a:lnTo>
                <a:pt x="6726936" y="207264"/>
              </a:lnTo>
              <a:lnTo>
                <a:pt x="6726936" y="411480"/>
              </a:lnTo>
              <a:lnTo>
                <a:pt x="7485888" y="411480"/>
              </a:lnTo>
              <a:lnTo>
                <a:pt x="7485888" y="207264"/>
              </a:lnTo>
              <a:close/>
            </a:path>
            <a:path w="7486015" h="1031875">
              <a:moveTo>
                <a:pt x="7485888" y="0"/>
              </a:moveTo>
              <a:lnTo>
                <a:pt x="6726936" y="0"/>
              </a:lnTo>
              <a:lnTo>
                <a:pt x="6726936" y="204216"/>
              </a:lnTo>
              <a:lnTo>
                <a:pt x="7485888" y="204216"/>
              </a:lnTo>
              <a:lnTo>
                <a:pt x="7485888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11</xdr:col>
      <xdr:colOff>546481</xdr:colOff>
      <xdr:row>12</xdr:row>
      <xdr:rowOff>0</xdr:rowOff>
    </xdr:from>
    <xdr:ext cx="645160" cy="1031875"/>
    <xdr:sp macro="" textlink="">
      <xdr:nvSpPr>
        <xdr:cNvPr id="115" name="Shape 115">
          <a:extLst>
            <a:ext uri="{FF2B5EF4-FFF2-40B4-BE49-F238E27FC236}">
              <a16:creationId xmlns:a16="http://schemas.microsoft.com/office/drawing/2014/main" id="{00000000-0008-0000-0A00-000073000000}"/>
            </a:ext>
          </a:extLst>
        </xdr:cNvPr>
        <xdr:cNvSpPr/>
      </xdr:nvSpPr>
      <xdr:spPr>
        <a:xfrm>
          <a:off x="0" y="0"/>
          <a:ext cx="645160" cy="1031875"/>
        </a:xfrm>
        <a:custGeom>
          <a:avLst/>
          <a:gdLst/>
          <a:ahLst/>
          <a:cxnLst/>
          <a:rect l="0" t="0" r="0" b="0"/>
          <a:pathLst>
            <a:path w="645160" h="1031875">
              <a:moveTo>
                <a:pt x="644652" y="827532"/>
              </a:moveTo>
              <a:lnTo>
                <a:pt x="0" y="827532"/>
              </a:lnTo>
              <a:lnTo>
                <a:pt x="0" y="1031748"/>
              </a:lnTo>
              <a:lnTo>
                <a:pt x="644652" y="1031748"/>
              </a:lnTo>
              <a:lnTo>
                <a:pt x="644652" y="827532"/>
              </a:lnTo>
              <a:close/>
            </a:path>
            <a:path w="645160" h="1031875">
              <a:moveTo>
                <a:pt x="644652" y="621792"/>
              </a:moveTo>
              <a:lnTo>
                <a:pt x="0" y="621792"/>
              </a:lnTo>
              <a:lnTo>
                <a:pt x="0" y="824484"/>
              </a:lnTo>
              <a:lnTo>
                <a:pt x="644652" y="824484"/>
              </a:lnTo>
              <a:lnTo>
                <a:pt x="644652" y="621792"/>
              </a:lnTo>
              <a:close/>
            </a:path>
            <a:path w="645160" h="1031875">
              <a:moveTo>
                <a:pt x="644652" y="414528"/>
              </a:moveTo>
              <a:lnTo>
                <a:pt x="0" y="414528"/>
              </a:lnTo>
              <a:lnTo>
                <a:pt x="0" y="618744"/>
              </a:lnTo>
              <a:lnTo>
                <a:pt x="644652" y="618744"/>
              </a:lnTo>
              <a:lnTo>
                <a:pt x="644652" y="414528"/>
              </a:lnTo>
              <a:close/>
            </a:path>
            <a:path w="645160" h="1031875">
              <a:moveTo>
                <a:pt x="644652" y="207264"/>
              </a:moveTo>
              <a:lnTo>
                <a:pt x="0" y="207264"/>
              </a:lnTo>
              <a:lnTo>
                <a:pt x="0" y="411480"/>
              </a:lnTo>
              <a:lnTo>
                <a:pt x="644652" y="411480"/>
              </a:lnTo>
              <a:lnTo>
                <a:pt x="644652" y="207264"/>
              </a:lnTo>
              <a:close/>
            </a:path>
            <a:path w="645160" h="1031875">
              <a:moveTo>
                <a:pt x="644652" y="0"/>
              </a:moveTo>
              <a:lnTo>
                <a:pt x="0" y="0"/>
              </a:lnTo>
              <a:lnTo>
                <a:pt x="0" y="204216"/>
              </a:lnTo>
              <a:lnTo>
                <a:pt x="644652" y="204216"/>
              </a:lnTo>
              <a:lnTo>
                <a:pt x="644652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8C8BAC-80DB-4573-BA94-E01DB9843ACC}">
  <dimension ref="A1:AH169"/>
  <sheetViews>
    <sheetView topLeftCell="M1" workbookViewId="0">
      <selection activeCell="AI4" sqref="AI4"/>
    </sheetView>
  </sheetViews>
  <sheetFormatPr defaultRowHeight="13.2" x14ac:dyDescent="0.25"/>
  <cols>
    <col min="1" max="3" width="6" bestFit="1" customWidth="1"/>
    <col min="4" max="4" width="10.77734375" bestFit="1" customWidth="1"/>
    <col min="5" max="5" width="10.88671875" bestFit="1" customWidth="1"/>
    <col min="6" max="10" width="4" bestFit="1" customWidth="1"/>
    <col min="11" max="11" width="7" bestFit="1" customWidth="1"/>
    <col min="12" max="14" width="6" bestFit="1" customWidth="1"/>
    <col min="15" max="15" width="7.33203125" bestFit="1" customWidth="1"/>
  </cols>
  <sheetData>
    <row r="1" spans="1:34" x14ac:dyDescent="0.25">
      <c r="A1" s="32" t="s">
        <v>277</v>
      </c>
      <c r="B1" s="32" t="s">
        <v>278</v>
      </c>
      <c r="C1" s="32" t="s">
        <v>279</v>
      </c>
      <c r="D1" s="32" t="s">
        <v>280</v>
      </c>
      <c r="E1" s="32" t="s">
        <v>281</v>
      </c>
      <c r="F1" s="34" t="s">
        <v>410</v>
      </c>
      <c r="G1" s="34" t="s">
        <v>411</v>
      </c>
      <c r="H1" s="34" t="s">
        <v>412</v>
      </c>
      <c r="I1" s="34" t="s">
        <v>413</v>
      </c>
      <c r="J1" s="34" t="s">
        <v>414</v>
      </c>
      <c r="K1" s="34" t="s">
        <v>415</v>
      </c>
      <c r="L1" s="34" t="s">
        <v>416</v>
      </c>
      <c r="M1" s="34" t="s">
        <v>417</v>
      </c>
      <c r="N1" s="34" t="s">
        <v>418</v>
      </c>
      <c r="O1" s="34" t="s">
        <v>419</v>
      </c>
    </row>
    <row r="2" spans="1:34" x14ac:dyDescent="0.25">
      <c r="A2" s="33">
        <v>0.14693877551020409</v>
      </c>
      <c r="B2" s="33">
        <v>0.20816326530612245</v>
      </c>
      <c r="C2" s="33">
        <v>0.6244897959183674</v>
      </c>
      <c r="D2" s="33">
        <v>4.0816326530612249E-3</v>
      </c>
      <c r="E2" s="33">
        <v>4.0816326530612249E-3</v>
      </c>
      <c r="F2" s="34">
        <v>241</v>
      </c>
      <c r="G2" s="34">
        <v>0</v>
      </c>
      <c r="H2" s="34">
        <v>0</v>
      </c>
      <c r="I2" s="34">
        <v>59</v>
      </c>
      <c r="J2" s="34">
        <v>300</v>
      </c>
      <c r="K2" s="37">
        <v>0.80333333333333334</v>
      </c>
      <c r="L2" s="37">
        <v>0</v>
      </c>
      <c r="M2" s="37">
        <v>0</v>
      </c>
      <c r="N2" s="37">
        <v>0.19666666666666666</v>
      </c>
      <c r="O2" s="35">
        <v>62.306666666666665</v>
      </c>
      <c r="Q2" s="39" t="s">
        <v>148</v>
      </c>
    </row>
    <row r="3" spans="1:34" x14ac:dyDescent="0.25">
      <c r="A3" s="33">
        <v>0.12903225806451613</v>
      </c>
      <c r="B3" s="33">
        <v>0.18475073313782991</v>
      </c>
      <c r="C3" s="33">
        <v>0.66275659824046917</v>
      </c>
      <c r="D3" s="33">
        <v>2.9325513196480938E-3</v>
      </c>
      <c r="E3" s="33">
        <v>5.8651026392961877E-3</v>
      </c>
      <c r="F3" s="34">
        <v>310</v>
      </c>
      <c r="G3" s="34">
        <v>1</v>
      </c>
      <c r="H3" s="34">
        <v>6</v>
      </c>
      <c r="I3" s="34">
        <v>127</v>
      </c>
      <c r="J3" s="34">
        <v>444</v>
      </c>
      <c r="K3" s="37">
        <v>0.69819819819819817</v>
      </c>
      <c r="L3" s="37">
        <v>2.2522522522522522E-3</v>
      </c>
      <c r="M3" s="37">
        <v>1.3513513513513514E-2</v>
      </c>
      <c r="N3" s="37">
        <v>0.28603603603603606</v>
      </c>
      <c r="O3" s="35">
        <v>33.081081081081081</v>
      </c>
    </row>
    <row r="4" spans="1:34" x14ac:dyDescent="0.25">
      <c r="A4" s="33">
        <v>0.17647058823529413</v>
      </c>
      <c r="B4" s="33">
        <v>0.1111111111111111</v>
      </c>
      <c r="C4" s="33">
        <v>0.6797385620915033</v>
      </c>
      <c r="D4" s="33">
        <v>2.6143790849673203E-2</v>
      </c>
      <c r="E4" s="33">
        <v>0</v>
      </c>
      <c r="F4" s="34">
        <v>199</v>
      </c>
      <c r="G4" s="34">
        <v>0</v>
      </c>
      <c r="H4" s="34">
        <v>0</v>
      </c>
      <c r="I4" s="34">
        <v>1</v>
      </c>
      <c r="J4" s="34">
        <v>200</v>
      </c>
      <c r="K4" s="37">
        <v>0.995</v>
      </c>
      <c r="L4" s="37">
        <v>0</v>
      </c>
      <c r="M4" s="37">
        <v>0</v>
      </c>
      <c r="N4" s="37">
        <v>5.0000000000000001E-3</v>
      </c>
      <c r="O4" s="35">
        <v>66.91</v>
      </c>
    </row>
    <row r="5" spans="1:34" x14ac:dyDescent="0.25">
      <c r="A5" s="33">
        <v>0.15348837209302327</v>
      </c>
      <c r="B5" s="33">
        <v>0.42325581395348838</v>
      </c>
      <c r="C5" s="33">
        <v>0.38604651162790699</v>
      </c>
      <c r="D5" s="33">
        <v>2.3255813953488372E-2</v>
      </c>
      <c r="E5" s="33">
        <v>9.3023255813953487E-3</v>
      </c>
      <c r="F5" s="34">
        <v>274</v>
      </c>
      <c r="G5" s="34">
        <v>0</v>
      </c>
      <c r="H5" s="34">
        <v>0</v>
      </c>
      <c r="I5" s="34">
        <v>0</v>
      </c>
      <c r="J5" s="34">
        <v>274</v>
      </c>
      <c r="K5" s="37">
        <v>1</v>
      </c>
      <c r="L5" s="37">
        <v>0</v>
      </c>
      <c r="M5" s="37">
        <v>0</v>
      </c>
      <c r="N5" s="37">
        <v>0</v>
      </c>
      <c r="O5" s="35">
        <v>36.164233576642339</v>
      </c>
    </row>
    <row r="6" spans="1:34" x14ac:dyDescent="0.25">
      <c r="A6" s="33">
        <v>0.13461538461538461</v>
      </c>
      <c r="B6" s="33">
        <v>0.32692307692307693</v>
      </c>
      <c r="C6" s="33">
        <v>0.49519230769230771</v>
      </c>
      <c r="D6" s="33">
        <v>3.3653846153846152E-2</v>
      </c>
      <c r="E6" s="33">
        <v>0</v>
      </c>
      <c r="F6" s="34">
        <v>259</v>
      </c>
      <c r="G6" s="34">
        <v>0</v>
      </c>
      <c r="H6" s="34">
        <v>0</v>
      </c>
      <c r="I6" s="34">
        <v>0</v>
      </c>
      <c r="J6" s="34">
        <v>259</v>
      </c>
      <c r="K6" s="37">
        <v>1</v>
      </c>
      <c r="L6" s="37">
        <v>0</v>
      </c>
      <c r="M6" s="37">
        <v>0</v>
      </c>
      <c r="N6" s="37">
        <v>0</v>
      </c>
      <c r="O6" s="35">
        <v>49.389961389961393</v>
      </c>
      <c r="Y6" s="39" t="s">
        <v>421</v>
      </c>
      <c r="AH6" s="39" t="s">
        <v>424</v>
      </c>
    </row>
    <row r="7" spans="1:34" x14ac:dyDescent="0.25">
      <c r="A7" s="33">
        <v>0.17204301075268819</v>
      </c>
      <c r="B7" s="33">
        <v>0.12903225806451613</v>
      </c>
      <c r="C7" s="33">
        <v>0.68279569892473113</v>
      </c>
      <c r="D7" s="33">
        <v>1.0752688172043012E-2</v>
      </c>
      <c r="E7" s="33">
        <v>5.3763440860215058E-3</v>
      </c>
      <c r="F7" s="34">
        <v>243</v>
      </c>
      <c r="G7" s="34">
        <v>4</v>
      </c>
      <c r="H7" s="34">
        <v>2</v>
      </c>
      <c r="I7" s="34">
        <v>1</v>
      </c>
      <c r="J7" s="34">
        <v>250</v>
      </c>
      <c r="K7" s="37">
        <v>0.97199999999999998</v>
      </c>
      <c r="L7" s="37">
        <v>1.6E-2</v>
      </c>
      <c r="M7" s="37">
        <v>8.0000000000000002E-3</v>
      </c>
      <c r="N7" s="37">
        <v>4.0000000000000001E-3</v>
      </c>
      <c r="O7" s="35">
        <v>68.956000000000003</v>
      </c>
    </row>
    <row r="8" spans="1:34" x14ac:dyDescent="0.25">
      <c r="A8" s="33">
        <v>0.16728624535315986</v>
      </c>
      <c r="B8" s="33">
        <v>0.31970260223048325</v>
      </c>
      <c r="C8" s="33">
        <v>0.47211895910780671</v>
      </c>
      <c r="D8" s="33">
        <v>1.1152416356877323E-2</v>
      </c>
      <c r="E8" s="33">
        <v>1.1152416356877323E-2</v>
      </c>
      <c r="F8" s="34">
        <v>339</v>
      </c>
      <c r="G8" s="34">
        <v>0</v>
      </c>
      <c r="H8" s="34">
        <v>1</v>
      </c>
      <c r="I8" s="34">
        <v>1</v>
      </c>
      <c r="J8" s="34">
        <v>341</v>
      </c>
      <c r="K8" s="37">
        <v>0.99413489736070382</v>
      </c>
      <c r="L8" s="37">
        <v>0</v>
      </c>
      <c r="M8" s="37">
        <v>2.9325513196480938E-3</v>
      </c>
      <c r="N8" s="37">
        <v>2.9325513196480938E-3</v>
      </c>
      <c r="O8" s="35">
        <v>48.02639296187683</v>
      </c>
      <c r="Y8" s="41">
        <f>-0.6382+0.8091</f>
        <v>0.17090000000000005</v>
      </c>
      <c r="AH8" s="41">
        <f>0.7694+0.1883</f>
        <v>0.9577</v>
      </c>
    </row>
    <row r="9" spans="1:34" x14ac:dyDescent="0.25">
      <c r="A9" s="33">
        <v>0.14748201438848921</v>
      </c>
      <c r="B9" s="33">
        <v>0.43884892086330934</v>
      </c>
      <c r="C9" s="33">
        <v>0.40287769784172661</v>
      </c>
      <c r="D9" s="33">
        <v>3.5971223021582736E-3</v>
      </c>
      <c r="E9" s="33">
        <v>0</v>
      </c>
      <c r="F9" s="34">
        <v>341</v>
      </c>
      <c r="G9" s="34">
        <v>0</v>
      </c>
      <c r="H9" s="34">
        <v>0</v>
      </c>
      <c r="I9" s="34">
        <v>1</v>
      </c>
      <c r="J9" s="34">
        <v>342</v>
      </c>
      <c r="K9" s="37">
        <v>0.99707602339181289</v>
      </c>
      <c r="L9" s="37">
        <v>0</v>
      </c>
      <c r="M9" s="37">
        <v>0</v>
      </c>
      <c r="N9" s="37">
        <v>2.9239766081871343E-3</v>
      </c>
      <c r="O9" s="35">
        <v>27.997076023391813</v>
      </c>
    </row>
    <row r="10" spans="1:34" x14ac:dyDescent="0.25">
      <c r="A10" s="33">
        <v>0.14754098360655737</v>
      </c>
      <c r="B10" s="33">
        <v>0.19672131147540983</v>
      </c>
      <c r="C10" s="33">
        <v>0.62295081967213117</v>
      </c>
      <c r="D10" s="33">
        <v>0</v>
      </c>
      <c r="E10" s="33">
        <v>5.4644808743169399E-3</v>
      </c>
      <c r="F10" s="34">
        <v>250</v>
      </c>
      <c r="G10" s="34">
        <v>0</v>
      </c>
      <c r="H10" s="34">
        <v>0</v>
      </c>
      <c r="I10" s="34">
        <v>0</v>
      </c>
      <c r="J10" s="34">
        <v>250</v>
      </c>
      <c r="K10" s="37">
        <v>1</v>
      </c>
      <c r="L10" s="37">
        <v>0</v>
      </c>
      <c r="M10" s="37">
        <v>0</v>
      </c>
      <c r="N10" s="37">
        <v>0</v>
      </c>
      <c r="O10" s="35">
        <v>66.608000000000004</v>
      </c>
    </row>
    <row r="11" spans="1:34" x14ac:dyDescent="0.25">
      <c r="A11" s="33">
        <v>0.15467625899280577</v>
      </c>
      <c r="B11" s="33">
        <v>0.36330935251798563</v>
      </c>
      <c r="C11" s="33">
        <v>0.46402877697841727</v>
      </c>
      <c r="D11" s="33">
        <v>7.1942446043165471E-3</v>
      </c>
      <c r="E11" s="33">
        <v>3.5971223021582736E-3</v>
      </c>
      <c r="F11" s="34">
        <v>351</v>
      </c>
      <c r="G11" s="34">
        <v>0</v>
      </c>
      <c r="H11" s="34">
        <v>0</v>
      </c>
      <c r="I11" s="34">
        <v>1</v>
      </c>
      <c r="J11" s="34">
        <v>352</v>
      </c>
      <c r="K11" s="37">
        <v>0.99715909090909094</v>
      </c>
      <c r="L11" s="37">
        <v>0</v>
      </c>
      <c r="M11" s="37">
        <v>0</v>
      </c>
      <c r="N11" s="37">
        <v>2.840909090909091E-3</v>
      </c>
      <c r="O11" s="35">
        <v>36.323863636363633</v>
      </c>
    </row>
    <row r="12" spans="1:34" x14ac:dyDescent="0.25">
      <c r="A12" s="33">
        <v>0.22191780821917809</v>
      </c>
      <c r="B12" s="33">
        <v>0.11232876712328767</v>
      </c>
      <c r="C12" s="33">
        <v>0.63835616438356169</v>
      </c>
      <c r="D12" s="33">
        <v>8.21917808219178E-3</v>
      </c>
      <c r="E12" s="33">
        <v>8.21917808219178E-3</v>
      </c>
      <c r="F12" s="34">
        <v>423</v>
      </c>
      <c r="G12" s="34">
        <v>21</v>
      </c>
      <c r="H12" s="34">
        <v>6</v>
      </c>
      <c r="I12" s="34">
        <v>0</v>
      </c>
      <c r="J12" s="34">
        <v>450</v>
      </c>
      <c r="K12" s="37">
        <v>0.94</v>
      </c>
      <c r="L12" s="37">
        <v>4.6666666666666669E-2</v>
      </c>
      <c r="M12" s="37">
        <v>1.3333333333333334E-2</v>
      </c>
      <c r="N12" s="37">
        <v>0</v>
      </c>
      <c r="O12" s="35">
        <v>65.975555555555559</v>
      </c>
    </row>
    <row r="13" spans="1:34" x14ac:dyDescent="0.25">
      <c r="A13" s="33">
        <v>0.19066147859922178</v>
      </c>
      <c r="B13" s="33">
        <v>0.33073929961089493</v>
      </c>
      <c r="C13" s="33">
        <v>0.46692607003891051</v>
      </c>
      <c r="D13" s="33">
        <v>1.9455252918287938E-3</v>
      </c>
      <c r="E13" s="33">
        <v>0</v>
      </c>
      <c r="F13" s="34">
        <v>637</v>
      </c>
      <c r="G13" s="34">
        <v>4</v>
      </c>
      <c r="H13" s="34">
        <v>9</v>
      </c>
      <c r="I13" s="34">
        <v>2</v>
      </c>
      <c r="J13" s="34">
        <v>652</v>
      </c>
      <c r="K13" s="37">
        <v>0.97699386503067487</v>
      </c>
      <c r="L13" s="37">
        <v>6.1349693251533744E-3</v>
      </c>
      <c r="M13" s="37">
        <v>1.3803680981595092E-2</v>
      </c>
      <c r="N13" s="37">
        <v>3.0674846625766872E-3</v>
      </c>
      <c r="O13" s="35">
        <v>34.866564417177912</v>
      </c>
    </row>
    <row r="14" spans="1:34" x14ac:dyDescent="0.25">
      <c r="A14" s="33">
        <v>0.59507042253521125</v>
      </c>
      <c r="B14" s="33">
        <v>5.6338028169014086E-2</v>
      </c>
      <c r="C14" s="33">
        <v>0.30633802816901406</v>
      </c>
      <c r="D14" s="33">
        <v>7.0422535211267607E-3</v>
      </c>
      <c r="E14" s="33">
        <v>1.4084507042253521E-2</v>
      </c>
      <c r="F14" s="34">
        <v>107</v>
      </c>
      <c r="G14" s="34">
        <v>181</v>
      </c>
      <c r="H14" s="34">
        <v>91</v>
      </c>
      <c r="I14" s="34">
        <v>1</v>
      </c>
      <c r="J14" s="34">
        <v>380</v>
      </c>
      <c r="K14" s="37">
        <v>0.28157894736842104</v>
      </c>
      <c r="L14" s="37">
        <v>0.47631578947368419</v>
      </c>
      <c r="M14" s="37">
        <v>0.23947368421052631</v>
      </c>
      <c r="N14" s="37">
        <v>2.631578947368421E-3</v>
      </c>
      <c r="O14" s="35">
        <v>68.897368421052633</v>
      </c>
    </row>
    <row r="15" spans="1:34" x14ac:dyDescent="0.25">
      <c r="A15" s="33">
        <v>0.53398058252427183</v>
      </c>
      <c r="B15" s="33">
        <v>0.11326860841423948</v>
      </c>
      <c r="C15" s="33">
        <v>0.31715210355987056</v>
      </c>
      <c r="D15" s="33">
        <v>3.2362459546925568E-3</v>
      </c>
      <c r="E15" s="33">
        <v>6.4724919093851136E-3</v>
      </c>
      <c r="F15" s="34">
        <v>131</v>
      </c>
      <c r="G15" s="34">
        <v>159</v>
      </c>
      <c r="H15" s="34">
        <v>90</v>
      </c>
      <c r="I15" s="34">
        <v>0</v>
      </c>
      <c r="J15" s="34">
        <v>380</v>
      </c>
      <c r="K15" s="37">
        <v>0.34473684210526317</v>
      </c>
      <c r="L15" s="37">
        <v>0.41842105263157897</v>
      </c>
      <c r="M15" s="37">
        <v>0.23684210526315788</v>
      </c>
      <c r="N15" s="37">
        <v>0</v>
      </c>
      <c r="O15" s="35">
        <v>55.839473684210525</v>
      </c>
    </row>
    <row r="16" spans="1:34" x14ac:dyDescent="0.25">
      <c r="A16" s="33">
        <v>0.59842519685039375</v>
      </c>
      <c r="B16" s="33">
        <v>0.13910761154855644</v>
      </c>
      <c r="C16" s="33">
        <v>0.24671916010498687</v>
      </c>
      <c r="D16" s="33">
        <v>7.874015748031496E-3</v>
      </c>
      <c r="E16" s="33">
        <v>0</v>
      </c>
      <c r="F16" s="34">
        <v>181</v>
      </c>
      <c r="G16" s="34">
        <v>260</v>
      </c>
      <c r="H16" s="34">
        <v>99</v>
      </c>
      <c r="I16" s="34">
        <v>3</v>
      </c>
      <c r="J16" s="34">
        <v>543</v>
      </c>
      <c r="K16" s="37">
        <v>0.33333333333333331</v>
      </c>
      <c r="L16" s="37">
        <v>0.47882136279926335</v>
      </c>
      <c r="M16" s="37">
        <v>0.18232044198895028</v>
      </c>
      <c r="N16" s="37">
        <v>5.5248618784530384E-3</v>
      </c>
      <c r="O16" s="35">
        <v>42.8232044198895</v>
      </c>
    </row>
    <row r="17" spans="1:25" x14ac:dyDescent="0.25">
      <c r="A17" s="33">
        <v>0.53150684931506853</v>
      </c>
      <c r="B17" s="33">
        <v>0.20547945205479451</v>
      </c>
      <c r="C17" s="33">
        <v>0.25753424657534246</v>
      </c>
      <c r="D17" s="33">
        <v>2.7397260273972603E-3</v>
      </c>
      <c r="E17" s="33">
        <v>0</v>
      </c>
      <c r="F17" s="34">
        <v>245</v>
      </c>
      <c r="G17" s="34">
        <v>193</v>
      </c>
      <c r="H17" s="34">
        <v>106</v>
      </c>
      <c r="I17" s="34">
        <v>0</v>
      </c>
      <c r="J17" s="34">
        <v>544</v>
      </c>
      <c r="K17" s="37">
        <v>0.45036764705882354</v>
      </c>
      <c r="L17" s="37">
        <v>0.3547794117647059</v>
      </c>
      <c r="M17" s="37">
        <v>0.19485294117647059</v>
      </c>
      <c r="N17" s="37">
        <v>0</v>
      </c>
      <c r="O17" s="35">
        <v>31.400735294117649</v>
      </c>
    </row>
    <row r="18" spans="1:25" x14ac:dyDescent="0.25">
      <c r="A18" s="33">
        <v>0.4642857142857143</v>
      </c>
      <c r="B18" s="33">
        <v>0.27040816326530615</v>
      </c>
      <c r="C18" s="33">
        <v>0.26020408163265307</v>
      </c>
      <c r="D18" s="33">
        <v>0</v>
      </c>
      <c r="E18" s="33">
        <v>2.5510204081632651E-3</v>
      </c>
      <c r="F18" s="34">
        <v>325</v>
      </c>
      <c r="G18" s="34">
        <v>131</v>
      </c>
      <c r="H18" s="34">
        <v>88</v>
      </c>
      <c r="I18" s="34">
        <v>0</v>
      </c>
      <c r="J18" s="34">
        <v>544</v>
      </c>
      <c r="K18" s="37">
        <v>0.59742647058823528</v>
      </c>
      <c r="L18" s="37">
        <v>0.24080882352941177</v>
      </c>
      <c r="M18" s="37">
        <v>0.16176470588235295</v>
      </c>
      <c r="N18" s="37">
        <v>0</v>
      </c>
      <c r="O18" s="35">
        <v>22.670955882352942</v>
      </c>
    </row>
    <row r="19" spans="1:25" x14ac:dyDescent="0.25">
      <c r="A19" s="33">
        <v>0.24840764331210191</v>
      </c>
      <c r="B19" s="33">
        <v>0.11464968152866242</v>
      </c>
      <c r="C19" s="33">
        <v>0.5859872611464968</v>
      </c>
      <c r="D19" s="33">
        <v>1.2738853503184714E-2</v>
      </c>
      <c r="E19" s="33">
        <v>6.369426751592357E-3</v>
      </c>
      <c r="F19" s="34">
        <v>199</v>
      </c>
      <c r="G19" s="34">
        <v>1</v>
      </c>
      <c r="H19" s="34">
        <v>0</v>
      </c>
      <c r="I19" s="34">
        <v>0</v>
      </c>
      <c r="J19" s="34">
        <v>200</v>
      </c>
      <c r="K19" s="37">
        <v>0.995</v>
      </c>
      <c r="L19" s="37">
        <v>5.0000000000000001E-3</v>
      </c>
      <c r="M19" s="37">
        <v>0</v>
      </c>
      <c r="N19" s="37">
        <v>0</v>
      </c>
      <c r="O19" s="35">
        <v>67.704999999999998</v>
      </c>
    </row>
    <row r="20" spans="1:25" x14ac:dyDescent="0.25">
      <c r="A20" s="33">
        <v>0.28482972136222912</v>
      </c>
      <c r="B20" s="33">
        <v>0.32817337461300311</v>
      </c>
      <c r="C20" s="33">
        <v>0.38080495356037153</v>
      </c>
      <c r="D20" s="33">
        <v>3.0959752321981426E-3</v>
      </c>
      <c r="E20" s="33">
        <v>3.0959752321981426E-3</v>
      </c>
      <c r="F20" s="34">
        <v>383</v>
      </c>
      <c r="G20" s="34">
        <v>1</v>
      </c>
      <c r="H20" s="34">
        <v>0</v>
      </c>
      <c r="I20" s="34">
        <v>0</v>
      </c>
      <c r="J20" s="34">
        <v>384</v>
      </c>
      <c r="K20" s="37">
        <v>0.99739583333333337</v>
      </c>
      <c r="L20" s="37">
        <v>2.6041666666666665E-3</v>
      </c>
      <c r="M20" s="37">
        <v>0</v>
      </c>
      <c r="N20" s="37">
        <v>0</v>
      </c>
      <c r="O20" s="35">
        <v>37.0390625</v>
      </c>
    </row>
    <row r="21" spans="1:25" x14ac:dyDescent="0.25">
      <c r="A21" s="33">
        <v>0.38372093023255816</v>
      </c>
      <c r="B21" s="33">
        <v>0.13178294573643412</v>
      </c>
      <c r="C21" s="33">
        <v>0.44186046511627908</v>
      </c>
      <c r="D21" s="33">
        <v>1.5503875968992248E-2</v>
      </c>
      <c r="E21" s="33">
        <v>1.5503875968992248E-2</v>
      </c>
      <c r="F21" s="34">
        <v>260</v>
      </c>
      <c r="G21" s="34">
        <v>76</v>
      </c>
      <c r="H21" s="34">
        <v>13</v>
      </c>
      <c r="I21" s="34">
        <v>1</v>
      </c>
      <c r="J21" s="34">
        <v>350</v>
      </c>
      <c r="K21" s="37">
        <v>0.74285714285714288</v>
      </c>
      <c r="L21" s="37">
        <v>0.21714285714285714</v>
      </c>
      <c r="M21" s="37">
        <v>3.7142857142857144E-2</v>
      </c>
      <c r="N21" s="37">
        <v>2.8571428571428571E-3</v>
      </c>
      <c r="O21" s="35">
        <v>68.088571428571427</v>
      </c>
      <c r="Q21" s="39" t="s">
        <v>146</v>
      </c>
    </row>
    <row r="22" spans="1:25" x14ac:dyDescent="0.25">
      <c r="A22" s="33">
        <v>0.47535211267605632</v>
      </c>
      <c r="B22" s="33">
        <v>0.18661971830985916</v>
      </c>
      <c r="C22" s="33">
        <v>0.30633802816901406</v>
      </c>
      <c r="D22" s="33">
        <v>7.0422535211267607E-3</v>
      </c>
      <c r="E22" s="33">
        <v>1.7605633802816902E-2</v>
      </c>
      <c r="F22" s="34">
        <v>236</v>
      </c>
      <c r="G22" s="34">
        <v>85</v>
      </c>
      <c r="H22" s="34">
        <v>26</v>
      </c>
      <c r="I22" s="34">
        <v>3</v>
      </c>
      <c r="J22" s="34">
        <v>350</v>
      </c>
      <c r="K22" s="37">
        <v>0.67428571428571427</v>
      </c>
      <c r="L22" s="37">
        <v>0.24285714285714285</v>
      </c>
      <c r="M22" s="37">
        <v>7.4285714285714288E-2</v>
      </c>
      <c r="N22" s="37">
        <v>8.5714285714285719E-3</v>
      </c>
      <c r="O22" s="35">
        <v>54.7</v>
      </c>
    </row>
    <row r="23" spans="1:25" x14ac:dyDescent="0.25">
      <c r="A23" s="33">
        <v>0.41269841269841268</v>
      </c>
      <c r="B23" s="33">
        <v>0.28253968253968254</v>
      </c>
      <c r="C23" s="33">
        <v>0.29206349206349208</v>
      </c>
      <c r="D23" s="33">
        <v>3.1746031746031746E-3</v>
      </c>
      <c r="E23" s="33">
        <v>6.3492063492063492E-3</v>
      </c>
      <c r="F23" s="34">
        <v>315</v>
      </c>
      <c r="G23" s="34">
        <v>89</v>
      </c>
      <c r="H23" s="34">
        <v>28</v>
      </c>
      <c r="I23" s="34">
        <v>2</v>
      </c>
      <c r="J23" s="34">
        <v>434</v>
      </c>
      <c r="K23" s="37">
        <v>0.72580645161290325</v>
      </c>
      <c r="L23" s="37">
        <v>0.20506912442396313</v>
      </c>
      <c r="M23" s="37">
        <v>6.4516129032258063E-2</v>
      </c>
      <c r="N23" s="37">
        <v>4.608294930875576E-3</v>
      </c>
      <c r="O23" s="35">
        <v>40.820276497695851</v>
      </c>
    </row>
    <row r="24" spans="1:25" x14ac:dyDescent="0.25">
      <c r="A24" s="33">
        <v>0.41993957703927492</v>
      </c>
      <c r="B24" s="33">
        <v>0.31419939577039274</v>
      </c>
      <c r="C24" s="33">
        <v>0.24773413897280966</v>
      </c>
      <c r="D24" s="33">
        <v>9.0634441087613302E-3</v>
      </c>
      <c r="E24" s="33">
        <v>6.0422960725075529E-3</v>
      </c>
      <c r="F24" s="34">
        <v>341</v>
      </c>
      <c r="G24" s="34">
        <v>70</v>
      </c>
      <c r="H24" s="34">
        <v>23</v>
      </c>
      <c r="I24" s="34">
        <v>0</v>
      </c>
      <c r="J24" s="34">
        <v>434</v>
      </c>
      <c r="K24" s="37">
        <v>0.7857142857142857</v>
      </c>
      <c r="L24" s="37">
        <v>0.16129032258064516</v>
      </c>
      <c r="M24" s="37">
        <v>5.2995391705069124E-2</v>
      </c>
      <c r="N24" s="37">
        <v>0</v>
      </c>
      <c r="O24" s="35">
        <v>31.375576036866359</v>
      </c>
      <c r="Y24" s="39" t="s">
        <v>422</v>
      </c>
    </row>
    <row r="25" spans="1:25" x14ac:dyDescent="0.25">
      <c r="A25" s="33">
        <v>0.43695014662756598</v>
      </c>
      <c r="B25" s="33">
        <v>0.30205278592375367</v>
      </c>
      <c r="C25" s="33">
        <v>0.24340175953079179</v>
      </c>
      <c r="D25" s="33">
        <v>8.7976539589442824E-3</v>
      </c>
      <c r="E25" s="33">
        <v>5.8651026392961877E-3</v>
      </c>
      <c r="F25" s="34">
        <v>351</v>
      </c>
      <c r="G25" s="34">
        <v>59</v>
      </c>
      <c r="H25" s="34">
        <v>25</v>
      </c>
      <c r="I25" s="34">
        <v>0</v>
      </c>
      <c r="J25" s="34">
        <v>435</v>
      </c>
      <c r="K25" s="37">
        <v>0.80689655172413788</v>
      </c>
      <c r="L25" s="37">
        <v>0.13563218390804599</v>
      </c>
      <c r="M25" s="37">
        <v>5.7471264367816091E-2</v>
      </c>
      <c r="N25" s="37">
        <v>0</v>
      </c>
      <c r="O25" s="35">
        <v>22.754022988505746</v>
      </c>
    </row>
    <row r="26" spans="1:25" x14ac:dyDescent="0.25">
      <c r="A26" s="33">
        <v>0.20398009950248755</v>
      </c>
      <c r="B26" s="33">
        <v>8.9552238805970144E-2</v>
      </c>
      <c r="C26" s="33">
        <v>0.68159203980099503</v>
      </c>
      <c r="D26" s="33">
        <v>0</v>
      </c>
      <c r="E26" s="33">
        <v>9.9502487562189053E-3</v>
      </c>
      <c r="F26" s="34">
        <v>291</v>
      </c>
      <c r="G26" s="34">
        <v>2</v>
      </c>
      <c r="H26" s="34">
        <v>6</v>
      </c>
      <c r="I26" s="34">
        <v>1</v>
      </c>
      <c r="J26" s="34">
        <v>300</v>
      </c>
      <c r="K26" s="37">
        <v>0.97</v>
      </c>
      <c r="L26" s="37">
        <v>6.6666666666666671E-3</v>
      </c>
      <c r="M26" s="37">
        <v>0.02</v>
      </c>
      <c r="N26" s="37">
        <v>3.3333333333333335E-3</v>
      </c>
      <c r="O26" s="35">
        <v>68.38333333333334</v>
      </c>
      <c r="Y26" s="41">
        <f>0.2867-0.0048</f>
        <v>0.28189999999999998</v>
      </c>
    </row>
    <row r="27" spans="1:25" x14ac:dyDescent="0.25">
      <c r="A27" s="33">
        <v>0.20481927710843373</v>
      </c>
      <c r="B27" s="33">
        <v>0.12048192771084337</v>
      </c>
      <c r="C27" s="33">
        <v>0.65863453815261042</v>
      </c>
      <c r="D27" s="33">
        <v>1.2048192771084338E-2</v>
      </c>
      <c r="E27" s="33">
        <v>4.0160642570281121E-3</v>
      </c>
      <c r="F27" s="34">
        <v>296</v>
      </c>
      <c r="G27" s="34">
        <v>0</v>
      </c>
      <c r="H27" s="34">
        <v>2</v>
      </c>
      <c r="I27" s="34">
        <v>2</v>
      </c>
      <c r="J27" s="34">
        <v>300</v>
      </c>
      <c r="K27" s="37">
        <v>0.98666666666666669</v>
      </c>
      <c r="L27" s="37">
        <v>0</v>
      </c>
      <c r="M27" s="37">
        <v>6.6666666666666671E-3</v>
      </c>
      <c r="N27" s="37">
        <v>6.6666666666666671E-3</v>
      </c>
      <c r="O27" s="35">
        <v>63.89</v>
      </c>
    </row>
    <row r="28" spans="1:25" x14ac:dyDescent="0.25">
      <c r="A28" s="33">
        <v>0.20209973753280841</v>
      </c>
      <c r="B28" s="33">
        <v>0.27034120734908135</v>
      </c>
      <c r="C28" s="33">
        <v>0.51443569553805779</v>
      </c>
      <c r="D28" s="33">
        <v>5.2493438320209973E-3</v>
      </c>
      <c r="E28" s="33">
        <v>0</v>
      </c>
      <c r="F28" s="34">
        <v>480</v>
      </c>
      <c r="G28" s="34">
        <v>3</v>
      </c>
      <c r="H28" s="34">
        <v>4</v>
      </c>
      <c r="I28" s="34">
        <v>3</v>
      </c>
      <c r="J28" s="34">
        <v>490</v>
      </c>
      <c r="K28" s="37">
        <v>0.97959183673469385</v>
      </c>
      <c r="L28" s="37">
        <v>6.1224489795918364E-3</v>
      </c>
      <c r="M28" s="37">
        <v>8.1632653061224497E-3</v>
      </c>
      <c r="N28" s="37">
        <v>6.1224489795918364E-3</v>
      </c>
      <c r="O28" s="35">
        <v>52.512244897959185</v>
      </c>
    </row>
    <row r="29" spans="1:25" x14ac:dyDescent="0.25">
      <c r="A29" s="33">
        <v>0.14647887323943662</v>
      </c>
      <c r="B29" s="33">
        <v>0.38873239436619716</v>
      </c>
      <c r="C29" s="33">
        <v>0.44788732394366199</v>
      </c>
      <c r="D29" s="33">
        <v>1.4084507042253521E-2</v>
      </c>
      <c r="E29" s="33">
        <v>2.8169014084507044E-3</v>
      </c>
      <c r="F29" s="34">
        <v>483</v>
      </c>
      <c r="G29" s="34">
        <v>2</v>
      </c>
      <c r="H29" s="34">
        <v>2</v>
      </c>
      <c r="I29" s="34">
        <v>3</v>
      </c>
      <c r="J29" s="34">
        <v>490</v>
      </c>
      <c r="K29" s="37">
        <v>0.98571428571428577</v>
      </c>
      <c r="L29" s="37">
        <v>4.0816326530612249E-3</v>
      </c>
      <c r="M29" s="37">
        <v>4.0816326530612249E-3</v>
      </c>
      <c r="N29" s="37">
        <v>6.1224489795918364E-3</v>
      </c>
      <c r="O29" s="35">
        <v>40.185714285714283</v>
      </c>
    </row>
    <row r="30" spans="1:25" x14ac:dyDescent="0.25">
      <c r="A30" s="33">
        <v>0.15342465753424658</v>
      </c>
      <c r="B30" s="33">
        <v>0.45205479452054792</v>
      </c>
      <c r="C30" s="33">
        <v>0.36986301369863012</v>
      </c>
      <c r="D30" s="33">
        <v>1.3698630136986301E-2</v>
      </c>
      <c r="E30" s="33">
        <v>8.21917808219178E-3</v>
      </c>
      <c r="F30" s="34">
        <v>483</v>
      </c>
      <c r="G30" s="34">
        <v>0</v>
      </c>
      <c r="H30" s="34">
        <v>6</v>
      </c>
      <c r="I30" s="34">
        <v>1</v>
      </c>
      <c r="J30" s="34">
        <v>490</v>
      </c>
      <c r="K30" s="37">
        <v>0.98571428571428577</v>
      </c>
      <c r="L30" s="37">
        <v>0</v>
      </c>
      <c r="M30" s="37">
        <v>1.2244897959183673E-2</v>
      </c>
      <c r="N30" s="37">
        <v>2.0408163265306124E-3</v>
      </c>
      <c r="O30" s="35">
        <v>30.93469387755102</v>
      </c>
    </row>
    <row r="31" spans="1:25" x14ac:dyDescent="0.25">
      <c r="A31" s="33">
        <v>0.23486682808716708</v>
      </c>
      <c r="B31" s="33">
        <v>0.4576271186440678</v>
      </c>
      <c r="C31" s="33">
        <v>0.29782082324455206</v>
      </c>
      <c r="D31" s="33">
        <v>9.6852300242130755E-3</v>
      </c>
      <c r="E31" s="33">
        <v>0</v>
      </c>
      <c r="F31" s="34">
        <v>483</v>
      </c>
      <c r="G31" s="34">
        <v>0</v>
      </c>
      <c r="H31" s="34">
        <v>6</v>
      </c>
      <c r="I31" s="34">
        <v>1</v>
      </c>
      <c r="J31" s="34">
        <v>490</v>
      </c>
      <c r="K31" s="37">
        <v>0.98571428571428577</v>
      </c>
      <c r="L31" s="37">
        <v>0</v>
      </c>
      <c r="M31" s="37">
        <v>1.2244897959183673E-2</v>
      </c>
      <c r="N31" s="37">
        <v>2.0408163265306124E-3</v>
      </c>
      <c r="O31" s="35">
        <v>22.397959183673468</v>
      </c>
    </row>
    <row r="32" spans="1:25" x14ac:dyDescent="0.25">
      <c r="A32" s="33">
        <v>0.32669322709163345</v>
      </c>
      <c r="B32" s="33">
        <v>0.11952191235059761</v>
      </c>
      <c r="C32" s="33">
        <v>0.52589641434262946</v>
      </c>
      <c r="D32" s="33">
        <v>7.9681274900398405E-3</v>
      </c>
      <c r="E32" s="33">
        <v>7.9681274900398405E-3</v>
      </c>
      <c r="F32" s="34">
        <v>250</v>
      </c>
      <c r="G32" s="34">
        <v>83</v>
      </c>
      <c r="H32" s="34">
        <v>17</v>
      </c>
      <c r="I32" s="34">
        <v>0</v>
      </c>
      <c r="J32" s="34">
        <v>350</v>
      </c>
      <c r="K32" s="37">
        <v>0.7142857142857143</v>
      </c>
      <c r="L32" s="37">
        <v>0.23714285714285716</v>
      </c>
      <c r="M32" s="37">
        <v>4.8571428571428571E-2</v>
      </c>
      <c r="N32" s="37">
        <v>0</v>
      </c>
      <c r="O32" s="35">
        <v>70.71142857142857</v>
      </c>
    </row>
    <row r="33" spans="1:34" x14ac:dyDescent="0.25">
      <c r="A33" s="33">
        <v>0.30612244897959184</v>
      </c>
      <c r="B33" s="33">
        <v>0.1360544217687075</v>
      </c>
      <c r="C33" s="33">
        <v>0.52380952380952384</v>
      </c>
      <c r="D33" s="33">
        <v>1.020408163265306E-2</v>
      </c>
      <c r="E33" s="33">
        <v>3.4013605442176869E-3</v>
      </c>
      <c r="F33" s="34">
        <v>275</v>
      </c>
      <c r="G33" s="34">
        <v>63</v>
      </c>
      <c r="H33" s="34">
        <v>11</v>
      </c>
      <c r="I33" s="34">
        <v>1</v>
      </c>
      <c r="J33" s="34">
        <v>350</v>
      </c>
      <c r="K33" s="37">
        <v>0.7857142857142857</v>
      </c>
      <c r="L33" s="37">
        <v>0.18</v>
      </c>
      <c r="M33" s="37">
        <v>3.1428571428571431E-2</v>
      </c>
      <c r="N33" s="37">
        <v>2.8571428571428571E-3</v>
      </c>
      <c r="O33" s="35">
        <v>56.982857142857142</v>
      </c>
    </row>
    <row r="34" spans="1:34" x14ac:dyDescent="0.25">
      <c r="A34" s="33">
        <v>0.31843575418994413</v>
      </c>
      <c r="B34" s="33">
        <v>0.21787709497206703</v>
      </c>
      <c r="C34" s="33">
        <v>0.43296089385474862</v>
      </c>
      <c r="D34" s="33">
        <v>5.5865921787709499E-3</v>
      </c>
      <c r="E34" s="33">
        <v>1.9553072625698324E-2</v>
      </c>
      <c r="F34" s="34">
        <v>372</v>
      </c>
      <c r="G34" s="34">
        <v>68</v>
      </c>
      <c r="H34" s="34">
        <v>31</v>
      </c>
      <c r="I34" s="34">
        <v>1</v>
      </c>
      <c r="J34" s="34">
        <v>472</v>
      </c>
      <c r="K34" s="37">
        <v>0.78813559322033899</v>
      </c>
      <c r="L34" s="37">
        <v>0.1440677966101695</v>
      </c>
      <c r="M34" s="37">
        <v>6.5677966101694921E-2</v>
      </c>
      <c r="N34" s="37">
        <v>2.1186440677966102E-3</v>
      </c>
      <c r="O34" s="35">
        <v>40.646186440677965</v>
      </c>
    </row>
    <row r="35" spans="1:34" x14ac:dyDescent="0.25">
      <c r="A35" s="33">
        <v>0.27731092436974791</v>
      </c>
      <c r="B35" s="33">
        <v>0.33893557422969189</v>
      </c>
      <c r="C35" s="33">
        <v>0.36694677871148457</v>
      </c>
      <c r="D35" s="33">
        <v>1.1204481792717087E-2</v>
      </c>
      <c r="E35" s="33">
        <v>2.8011204481792717E-3</v>
      </c>
      <c r="F35" s="34">
        <v>414</v>
      </c>
      <c r="G35" s="34">
        <v>38</v>
      </c>
      <c r="H35" s="34">
        <v>19</v>
      </c>
      <c r="I35" s="34">
        <v>1</v>
      </c>
      <c r="J35" s="34">
        <v>472</v>
      </c>
      <c r="K35" s="37">
        <v>0.8771186440677966</v>
      </c>
      <c r="L35" s="37">
        <v>8.050847457627118E-2</v>
      </c>
      <c r="M35" s="37">
        <v>4.025423728813559E-2</v>
      </c>
      <c r="N35" s="37">
        <v>2.1186440677966102E-3</v>
      </c>
      <c r="O35" s="35">
        <v>25.35593220338983</v>
      </c>
    </row>
    <row r="36" spans="1:34" x14ac:dyDescent="0.25">
      <c r="A36" s="33">
        <v>0.15835777126099707</v>
      </c>
      <c r="B36" s="33">
        <v>2.6392961876832845E-2</v>
      </c>
      <c r="C36" s="33">
        <v>0.73313782991202348</v>
      </c>
      <c r="D36" s="33">
        <v>5.8651026392961877E-3</v>
      </c>
      <c r="E36" s="33">
        <v>6.7448680351906154E-2</v>
      </c>
      <c r="F36" s="34">
        <v>111</v>
      </c>
      <c r="G36" s="34">
        <v>6</v>
      </c>
      <c r="H36" s="34">
        <v>19</v>
      </c>
      <c r="I36" s="34">
        <v>280</v>
      </c>
      <c r="J36" s="34">
        <v>416</v>
      </c>
      <c r="K36" s="37">
        <v>0.26682692307692307</v>
      </c>
      <c r="L36" s="37">
        <v>1.4423076923076924E-2</v>
      </c>
      <c r="M36" s="37">
        <v>4.567307692307692E-2</v>
      </c>
      <c r="N36" s="37">
        <v>0.67307692307692313</v>
      </c>
      <c r="O36" s="35">
        <v>38.057692307692307</v>
      </c>
    </row>
    <row r="37" spans="1:34" x14ac:dyDescent="0.25">
      <c r="A37" s="33">
        <v>0.17204301075268819</v>
      </c>
      <c r="B37" s="33">
        <v>0.20430107526881722</v>
      </c>
      <c r="C37" s="33">
        <v>0.58064516129032262</v>
      </c>
      <c r="D37" s="33">
        <v>2.8673835125448029E-2</v>
      </c>
      <c r="E37" s="33">
        <v>0</v>
      </c>
      <c r="F37" s="34">
        <v>344</v>
      </c>
      <c r="G37" s="34">
        <v>5</v>
      </c>
      <c r="H37" s="34">
        <v>1</v>
      </c>
      <c r="I37" s="34">
        <v>0</v>
      </c>
      <c r="J37" s="34">
        <v>350</v>
      </c>
      <c r="K37" s="37">
        <v>0.98285714285714287</v>
      </c>
      <c r="L37" s="37">
        <v>1.4285714285714285E-2</v>
      </c>
      <c r="M37" s="37">
        <v>2.8571428571428571E-3</v>
      </c>
      <c r="N37" s="37">
        <v>0</v>
      </c>
      <c r="O37" s="35">
        <v>60.451428571428572</v>
      </c>
    </row>
    <row r="38" spans="1:34" x14ac:dyDescent="0.25">
      <c r="A38" s="33">
        <v>0.16010498687664043</v>
      </c>
      <c r="B38" s="33">
        <v>0.35695538057742782</v>
      </c>
      <c r="C38" s="33">
        <v>0.46456692913385828</v>
      </c>
      <c r="D38" s="33">
        <v>7.874015748031496E-3</v>
      </c>
      <c r="E38" s="33">
        <v>0</v>
      </c>
      <c r="F38" s="34">
        <v>468</v>
      </c>
      <c r="G38" s="34">
        <v>1</v>
      </c>
      <c r="H38" s="34">
        <v>0</v>
      </c>
      <c r="I38" s="34">
        <v>1</v>
      </c>
      <c r="J38" s="34">
        <v>470</v>
      </c>
      <c r="K38" s="37">
        <v>0.99574468085106382</v>
      </c>
      <c r="L38" s="37">
        <v>2.1276595744680851E-3</v>
      </c>
      <c r="M38" s="37">
        <v>0</v>
      </c>
      <c r="N38" s="37">
        <v>2.1276595744680851E-3</v>
      </c>
      <c r="O38" s="35">
        <v>31.561702127659576</v>
      </c>
    </row>
    <row r="39" spans="1:34" x14ac:dyDescent="0.25">
      <c r="A39" s="33">
        <v>0.20463320463320464</v>
      </c>
      <c r="B39" s="33">
        <v>0.11969111969111969</v>
      </c>
      <c r="C39" s="33">
        <v>0.58301158301158296</v>
      </c>
      <c r="D39" s="33">
        <v>7.7220077220077222E-3</v>
      </c>
      <c r="E39" s="33">
        <v>3.8610038610038609E-2</v>
      </c>
      <c r="F39" s="34">
        <v>340</v>
      </c>
      <c r="G39" s="34">
        <v>2</v>
      </c>
      <c r="H39" s="34">
        <v>0</v>
      </c>
      <c r="I39" s="34">
        <v>8</v>
      </c>
      <c r="J39" s="34">
        <v>350</v>
      </c>
      <c r="K39" s="37">
        <v>0.97142857142857142</v>
      </c>
      <c r="L39" s="37">
        <v>5.7142857142857143E-3</v>
      </c>
      <c r="M39" s="37">
        <v>0</v>
      </c>
      <c r="N39" s="37">
        <v>2.2857142857142857E-2</v>
      </c>
      <c r="O39" s="35">
        <v>69.254285714285714</v>
      </c>
    </row>
    <row r="40" spans="1:34" x14ac:dyDescent="0.25">
      <c r="A40" s="33">
        <v>0.1864406779661017</v>
      </c>
      <c r="B40" s="33">
        <v>0.24067796610169492</v>
      </c>
      <c r="C40" s="33">
        <v>0.54915254237288136</v>
      </c>
      <c r="D40" s="33">
        <v>1.3559322033898305E-2</v>
      </c>
      <c r="E40" s="33">
        <v>3.3898305084745762E-3</v>
      </c>
      <c r="F40" s="34">
        <v>336</v>
      </c>
      <c r="G40" s="34">
        <v>2</v>
      </c>
      <c r="H40" s="34">
        <v>0</v>
      </c>
      <c r="I40" s="34">
        <v>12</v>
      </c>
      <c r="J40" s="34">
        <v>350</v>
      </c>
      <c r="K40" s="37">
        <v>0.96</v>
      </c>
      <c r="L40" s="37">
        <v>5.7142857142857143E-3</v>
      </c>
      <c r="M40" s="37">
        <v>0</v>
      </c>
      <c r="N40" s="37">
        <v>3.4285714285714287E-2</v>
      </c>
      <c r="O40" s="35">
        <v>54.92</v>
      </c>
      <c r="Q40" s="39" t="s">
        <v>149</v>
      </c>
    </row>
    <row r="41" spans="1:34" x14ac:dyDescent="0.25">
      <c r="A41" s="33">
        <v>0.15762273901808785</v>
      </c>
      <c r="B41" s="33">
        <v>0.35658914728682173</v>
      </c>
      <c r="C41" s="33">
        <v>0.47545219638242892</v>
      </c>
      <c r="D41" s="33">
        <v>5.1679586563307496E-3</v>
      </c>
      <c r="E41" s="33">
        <v>0</v>
      </c>
      <c r="F41" s="34">
        <v>465</v>
      </c>
      <c r="G41" s="34">
        <v>0</v>
      </c>
      <c r="H41" s="34">
        <v>0</v>
      </c>
      <c r="I41" s="34">
        <v>20</v>
      </c>
      <c r="J41" s="34">
        <v>485</v>
      </c>
      <c r="K41" s="37">
        <v>0.95876288659793818</v>
      </c>
      <c r="L41" s="37">
        <v>0</v>
      </c>
      <c r="M41" s="37">
        <v>0</v>
      </c>
      <c r="N41" s="37">
        <v>4.1237113402061855E-2</v>
      </c>
      <c r="O41" s="35">
        <v>40.575257731958764</v>
      </c>
    </row>
    <row r="42" spans="1:34" x14ac:dyDescent="0.25">
      <c r="A42" s="33">
        <v>0.19261213720316622</v>
      </c>
      <c r="B42" s="33">
        <v>0.39313984168865435</v>
      </c>
      <c r="C42" s="33">
        <v>0.40897097625329815</v>
      </c>
      <c r="D42" s="33">
        <v>2.6385224274406332E-3</v>
      </c>
      <c r="E42" s="33">
        <v>0</v>
      </c>
      <c r="F42" s="34">
        <v>472</v>
      </c>
      <c r="G42" s="34">
        <v>1</v>
      </c>
      <c r="H42" s="34">
        <v>3</v>
      </c>
      <c r="I42" s="34">
        <v>9</v>
      </c>
      <c r="J42" s="34">
        <v>485</v>
      </c>
      <c r="K42" s="37">
        <v>0.97319587628865978</v>
      </c>
      <c r="L42" s="37">
        <v>2.0618556701030928E-3</v>
      </c>
      <c r="M42" s="37">
        <v>6.1855670103092781E-3</v>
      </c>
      <c r="N42" s="37">
        <v>1.8556701030927835E-2</v>
      </c>
      <c r="O42" s="35">
        <v>25.696907216494846</v>
      </c>
    </row>
    <row r="43" spans="1:34" x14ac:dyDescent="0.25">
      <c r="A43" s="33">
        <v>0.22093023255813954</v>
      </c>
      <c r="B43" s="33">
        <v>0.16279069767441862</v>
      </c>
      <c r="C43" s="33">
        <v>0.58720930232558144</v>
      </c>
      <c r="D43" s="33">
        <v>5.8139534883720929E-3</v>
      </c>
      <c r="E43" s="33">
        <v>5.8139534883720929E-3</v>
      </c>
      <c r="F43" s="34">
        <v>230</v>
      </c>
      <c r="G43" s="34">
        <v>0</v>
      </c>
      <c r="H43" s="34">
        <v>0</v>
      </c>
      <c r="I43" s="34">
        <v>0</v>
      </c>
      <c r="J43" s="34">
        <v>230</v>
      </c>
      <c r="K43" s="37">
        <v>1</v>
      </c>
      <c r="L43" s="37">
        <v>0</v>
      </c>
      <c r="M43" s="37">
        <v>0</v>
      </c>
      <c r="N43" s="37">
        <v>0</v>
      </c>
      <c r="O43" s="35">
        <v>68.426086956521743</v>
      </c>
    </row>
    <row r="44" spans="1:34" x14ac:dyDescent="0.25">
      <c r="A44" s="33">
        <v>0.24</v>
      </c>
      <c r="B44" s="33">
        <v>0.38181818181818183</v>
      </c>
      <c r="C44" s="33">
        <v>0.37090909090909091</v>
      </c>
      <c r="D44" s="33">
        <v>3.6363636363636364E-3</v>
      </c>
      <c r="E44" s="33">
        <v>3.6363636363636364E-3</v>
      </c>
      <c r="F44" s="34">
        <v>343</v>
      </c>
      <c r="G44" s="34">
        <v>0</v>
      </c>
      <c r="H44" s="34">
        <v>0</v>
      </c>
      <c r="I44" s="34">
        <v>0</v>
      </c>
      <c r="J44" s="34">
        <v>343</v>
      </c>
      <c r="K44" s="37">
        <v>1</v>
      </c>
      <c r="L44" s="37">
        <v>0</v>
      </c>
      <c r="M44" s="37">
        <v>0</v>
      </c>
      <c r="N44" s="37">
        <v>0</v>
      </c>
      <c r="O44" s="35">
        <v>49.10787172011662</v>
      </c>
    </row>
    <row r="45" spans="1:34" x14ac:dyDescent="0.25">
      <c r="A45" s="33">
        <v>0.19587628865979381</v>
      </c>
      <c r="B45" s="33">
        <v>0.41237113402061853</v>
      </c>
      <c r="C45" s="33">
        <v>0.37800687285223367</v>
      </c>
      <c r="D45" s="33">
        <v>3.4364261168384879E-3</v>
      </c>
      <c r="E45" s="33">
        <v>6.8728522336769758E-3</v>
      </c>
      <c r="F45" s="34">
        <v>342</v>
      </c>
      <c r="G45" s="34">
        <v>1</v>
      </c>
      <c r="H45" s="34">
        <v>1</v>
      </c>
      <c r="I45" s="34">
        <v>0</v>
      </c>
      <c r="J45" s="34">
        <v>344</v>
      </c>
      <c r="K45" s="37">
        <v>0.9941860465116279</v>
      </c>
      <c r="L45" s="37">
        <v>2.9069767441860465E-3</v>
      </c>
      <c r="M45" s="37">
        <v>2.9069767441860465E-3</v>
      </c>
      <c r="N45" s="37">
        <v>0</v>
      </c>
      <c r="O45" s="35">
        <v>29.095930232558139</v>
      </c>
      <c r="Y45" s="39" t="s">
        <v>423</v>
      </c>
      <c r="AH45" s="39" t="s">
        <v>425</v>
      </c>
    </row>
    <row r="46" spans="1:34" x14ac:dyDescent="0.25">
      <c r="A46" s="33">
        <v>0.1497005988023952</v>
      </c>
      <c r="B46" s="33">
        <v>0.1437125748502994</v>
      </c>
      <c r="C46" s="33">
        <v>0.6467065868263473</v>
      </c>
      <c r="D46" s="33">
        <v>3.5928143712574849E-2</v>
      </c>
      <c r="E46" s="33">
        <v>5.9880239520958087E-3</v>
      </c>
      <c r="F46" s="34">
        <v>226</v>
      </c>
      <c r="G46" s="34">
        <v>4</v>
      </c>
      <c r="H46" s="34">
        <v>0</v>
      </c>
      <c r="I46" s="34">
        <v>0</v>
      </c>
      <c r="J46" s="34">
        <v>230</v>
      </c>
      <c r="K46" s="37">
        <v>0.9826086956521739</v>
      </c>
      <c r="L46" s="37">
        <v>1.7391304347826087E-2</v>
      </c>
      <c r="M46" s="37">
        <v>0</v>
      </c>
      <c r="N46" s="37">
        <v>0</v>
      </c>
      <c r="O46" s="35">
        <v>68.839130434782604</v>
      </c>
    </row>
    <row r="47" spans="1:34" x14ac:dyDescent="0.25">
      <c r="A47" s="33">
        <v>0.24372759856630824</v>
      </c>
      <c r="B47" s="33">
        <v>0.31541218637992829</v>
      </c>
      <c r="C47" s="33">
        <v>0.43727598566308246</v>
      </c>
      <c r="D47" s="33">
        <v>0</v>
      </c>
      <c r="E47" s="33">
        <v>0</v>
      </c>
      <c r="F47" s="34">
        <v>347</v>
      </c>
      <c r="G47" s="34">
        <v>0</v>
      </c>
      <c r="H47" s="34">
        <v>0</v>
      </c>
      <c r="I47" s="34">
        <v>1</v>
      </c>
      <c r="J47" s="34">
        <v>348</v>
      </c>
      <c r="K47" s="37">
        <v>0.99712643678160917</v>
      </c>
      <c r="L47" s="37">
        <v>0</v>
      </c>
      <c r="M47" s="37">
        <v>0</v>
      </c>
      <c r="N47" s="37">
        <v>2.8735632183908046E-3</v>
      </c>
      <c r="O47" s="35">
        <v>47.770114942528735</v>
      </c>
      <c r="Y47" s="41">
        <f>0.3599+0.164</f>
        <v>0.52390000000000003</v>
      </c>
      <c r="AH47" s="41">
        <f>-0.4478+0.5164</f>
        <v>6.8599999999999994E-2</v>
      </c>
    </row>
    <row r="48" spans="1:34" x14ac:dyDescent="0.25">
      <c r="A48" s="33">
        <v>0.21818181818181817</v>
      </c>
      <c r="B48" s="33">
        <v>0.34909090909090912</v>
      </c>
      <c r="C48" s="33">
        <v>0.42545454545454547</v>
      </c>
      <c r="D48" s="33">
        <v>3.6363636363636364E-3</v>
      </c>
      <c r="E48" s="33">
        <v>0</v>
      </c>
      <c r="F48" s="34">
        <v>346</v>
      </c>
      <c r="G48" s="34">
        <v>0</v>
      </c>
      <c r="H48" s="34">
        <v>2</v>
      </c>
      <c r="I48" s="34">
        <v>0</v>
      </c>
      <c r="J48" s="34">
        <v>348</v>
      </c>
      <c r="K48" s="37">
        <v>0.99425287356321834</v>
      </c>
      <c r="L48" s="37">
        <v>0</v>
      </c>
      <c r="M48" s="37">
        <v>5.7471264367816091E-3</v>
      </c>
      <c r="N48" s="37">
        <v>0</v>
      </c>
      <c r="O48" s="35">
        <v>26.801724137931036</v>
      </c>
    </row>
    <row r="49" spans="1:15" x14ac:dyDescent="0.25">
      <c r="A49" s="33">
        <v>0.2608695652173913</v>
      </c>
      <c r="B49" s="33">
        <v>0.17028985507246377</v>
      </c>
      <c r="C49" s="33">
        <v>0.53985507246376807</v>
      </c>
      <c r="D49" s="33">
        <v>3.6231884057971015E-3</v>
      </c>
      <c r="E49" s="33">
        <v>1.4492753623188406E-2</v>
      </c>
      <c r="F49" s="34">
        <v>324</v>
      </c>
      <c r="G49" s="34">
        <v>25</v>
      </c>
      <c r="H49" s="34">
        <v>1</v>
      </c>
      <c r="I49" s="34">
        <v>0</v>
      </c>
      <c r="J49" s="34">
        <v>350</v>
      </c>
      <c r="K49" s="37">
        <v>0.92571428571428571</v>
      </c>
      <c r="L49" s="37">
        <v>7.1428571428571425E-2</v>
      </c>
      <c r="M49" s="37">
        <v>2.8571428571428571E-3</v>
      </c>
      <c r="N49" s="37">
        <v>0</v>
      </c>
      <c r="O49" s="35">
        <v>62.585714285714289</v>
      </c>
    </row>
    <row r="50" spans="1:15" x14ac:dyDescent="0.25">
      <c r="A50" s="33">
        <v>0.18320610687022901</v>
      </c>
      <c r="B50" s="33">
        <v>0.35368956743002544</v>
      </c>
      <c r="C50" s="33">
        <v>0.44783715012722647</v>
      </c>
      <c r="D50" s="33">
        <v>5.0890585241730284E-3</v>
      </c>
      <c r="E50" s="33">
        <v>7.6335877862595417E-3</v>
      </c>
      <c r="F50" s="34">
        <v>505</v>
      </c>
      <c r="G50" s="34">
        <v>8</v>
      </c>
      <c r="H50" s="34">
        <v>0</v>
      </c>
      <c r="I50" s="34">
        <v>0</v>
      </c>
      <c r="J50" s="34">
        <v>513</v>
      </c>
      <c r="K50" s="37">
        <v>0.98440545808966862</v>
      </c>
      <c r="L50" s="37">
        <v>1.5594541910331383E-2</v>
      </c>
      <c r="M50" s="37">
        <v>0</v>
      </c>
      <c r="N50" s="37">
        <v>0</v>
      </c>
      <c r="O50" s="35">
        <v>32.270955165692008</v>
      </c>
    </row>
    <row r="51" spans="1:15" x14ac:dyDescent="0.25">
      <c r="A51" s="33">
        <v>0.16759776536312848</v>
      </c>
      <c r="B51" s="33">
        <v>0.21787709497206703</v>
      </c>
      <c r="C51" s="33">
        <v>0.56983240223463683</v>
      </c>
      <c r="D51" s="33">
        <v>2.23463687150838E-2</v>
      </c>
      <c r="E51" s="33">
        <v>1.11731843575419E-2</v>
      </c>
      <c r="F51" s="34">
        <v>248</v>
      </c>
      <c r="G51" s="34">
        <v>2</v>
      </c>
      <c r="H51" s="34">
        <v>0</v>
      </c>
      <c r="I51" s="34">
        <v>0</v>
      </c>
      <c r="J51" s="34">
        <v>250</v>
      </c>
      <c r="K51" s="37">
        <v>0.99199999999999999</v>
      </c>
      <c r="L51" s="37">
        <v>8.0000000000000002E-3</v>
      </c>
      <c r="M51" s="37">
        <v>0</v>
      </c>
      <c r="N51" s="37">
        <v>0</v>
      </c>
      <c r="O51" s="35">
        <v>67.116</v>
      </c>
    </row>
    <row r="52" spans="1:15" x14ac:dyDescent="0.25">
      <c r="A52" s="33">
        <v>0.23344947735191637</v>
      </c>
      <c r="B52" s="33">
        <v>0.35540069686411152</v>
      </c>
      <c r="C52" s="33">
        <v>0.39721254355400698</v>
      </c>
      <c r="D52" s="33">
        <v>6.9686411149825784E-3</v>
      </c>
      <c r="E52" s="33">
        <v>0</v>
      </c>
      <c r="F52" s="34">
        <v>356</v>
      </c>
      <c r="G52" s="34">
        <v>1</v>
      </c>
      <c r="H52" s="34">
        <v>0</v>
      </c>
      <c r="I52" s="34">
        <v>0</v>
      </c>
      <c r="J52" s="34">
        <v>357</v>
      </c>
      <c r="K52" s="37">
        <v>0.99719887955182074</v>
      </c>
      <c r="L52" s="37">
        <v>2.8011204481792717E-3</v>
      </c>
      <c r="M52" s="37">
        <v>0</v>
      </c>
      <c r="N52" s="37">
        <v>0</v>
      </c>
      <c r="O52" s="35">
        <v>37.280112044817926</v>
      </c>
    </row>
    <row r="53" spans="1:15" x14ac:dyDescent="0.25">
      <c r="A53" s="33">
        <v>0.29707112970711297</v>
      </c>
      <c r="B53" s="33">
        <v>0.12133891213389121</v>
      </c>
      <c r="C53" s="33">
        <v>0.54811715481171552</v>
      </c>
      <c r="D53" s="33">
        <v>1.2552301255230125E-2</v>
      </c>
      <c r="E53" s="33">
        <v>8.368200836820083E-3</v>
      </c>
      <c r="F53" s="34">
        <v>279</v>
      </c>
      <c r="G53" s="34">
        <v>81</v>
      </c>
      <c r="H53" s="34">
        <v>5</v>
      </c>
      <c r="I53" s="34">
        <v>2</v>
      </c>
      <c r="J53" s="34">
        <v>367</v>
      </c>
      <c r="K53" s="37">
        <v>0.76021798365122617</v>
      </c>
      <c r="L53" s="37">
        <v>0.22070844686648503</v>
      </c>
      <c r="M53" s="37">
        <v>1.3623978201634877E-2</v>
      </c>
      <c r="N53" s="37">
        <v>5.4495912806539508E-3</v>
      </c>
      <c r="O53" s="35">
        <v>68.073569482288832</v>
      </c>
    </row>
    <row r="54" spans="1:15" x14ac:dyDescent="0.25">
      <c r="A54" s="33">
        <v>0.27156549520766771</v>
      </c>
      <c r="B54" s="33">
        <v>0.22044728434504793</v>
      </c>
      <c r="C54" s="33">
        <v>0.49520766773162939</v>
      </c>
      <c r="D54" s="33">
        <v>1.2779552715654952E-2</v>
      </c>
      <c r="E54" s="33">
        <v>0</v>
      </c>
      <c r="F54" s="34">
        <v>381</v>
      </c>
      <c r="G54" s="34">
        <v>36</v>
      </c>
      <c r="H54" s="34">
        <v>6</v>
      </c>
      <c r="I54" s="34">
        <v>1</v>
      </c>
      <c r="J54" s="34">
        <v>424</v>
      </c>
      <c r="K54" s="37">
        <v>0.89858490566037741</v>
      </c>
      <c r="L54" s="37">
        <v>8.4905660377358486E-2</v>
      </c>
      <c r="M54" s="37">
        <v>1.4150943396226415E-2</v>
      </c>
      <c r="N54" s="37">
        <v>2.3584905660377358E-3</v>
      </c>
      <c r="O54" s="35">
        <v>49.783018867924525</v>
      </c>
    </row>
    <row r="55" spans="1:15" x14ac:dyDescent="0.25">
      <c r="A55" s="33">
        <v>0.20569620253164558</v>
      </c>
      <c r="B55" s="33">
        <v>0.37658227848101267</v>
      </c>
      <c r="C55" s="33">
        <v>0.4050632911392405</v>
      </c>
      <c r="D55" s="33">
        <v>9.4936708860759497E-3</v>
      </c>
      <c r="E55" s="33">
        <v>3.1645569620253164E-3</v>
      </c>
      <c r="F55" s="34">
        <v>389</v>
      </c>
      <c r="G55" s="34">
        <v>32</v>
      </c>
      <c r="H55" s="34">
        <v>2</v>
      </c>
      <c r="I55" s="34">
        <v>1</v>
      </c>
      <c r="J55" s="34">
        <v>424</v>
      </c>
      <c r="K55" s="37">
        <v>0.91745283018867929</v>
      </c>
      <c r="L55" s="37">
        <v>7.5471698113207544E-2</v>
      </c>
      <c r="M55" s="37">
        <v>4.7169811320754715E-3</v>
      </c>
      <c r="N55" s="37">
        <v>2.3584905660377358E-3</v>
      </c>
      <c r="O55" s="35">
        <v>29.360849056603772</v>
      </c>
    </row>
    <row r="56" spans="1:15" x14ac:dyDescent="0.25">
      <c r="A56" s="33">
        <v>0.17586206896551723</v>
      </c>
      <c r="B56" s="33">
        <v>0.28965517241379313</v>
      </c>
      <c r="C56" s="33">
        <v>0.51379310344827589</v>
      </c>
      <c r="D56" s="33">
        <v>1.0344827586206896E-2</v>
      </c>
      <c r="E56" s="33">
        <v>3.4482758620689655E-3</v>
      </c>
      <c r="F56" s="34">
        <v>406</v>
      </c>
      <c r="G56" s="34">
        <v>0</v>
      </c>
      <c r="H56" s="34">
        <v>0</v>
      </c>
      <c r="I56" s="34">
        <v>0</v>
      </c>
      <c r="J56" s="34">
        <v>406</v>
      </c>
      <c r="K56" s="37">
        <v>1</v>
      </c>
      <c r="L56" s="37">
        <v>0</v>
      </c>
      <c r="M56" s="37">
        <v>0</v>
      </c>
      <c r="N56" s="37">
        <v>0</v>
      </c>
      <c r="O56" s="35">
        <v>50.652709359605915</v>
      </c>
    </row>
    <row r="57" spans="1:15" x14ac:dyDescent="0.25">
      <c r="A57" s="33">
        <v>0.2818181818181818</v>
      </c>
      <c r="B57" s="33">
        <v>0.19090909090909092</v>
      </c>
      <c r="C57" s="33">
        <v>0.52727272727272723</v>
      </c>
      <c r="D57" s="33">
        <v>0</v>
      </c>
      <c r="E57" s="33">
        <v>0</v>
      </c>
      <c r="F57" s="34">
        <v>170</v>
      </c>
      <c r="G57" s="34">
        <v>0</v>
      </c>
      <c r="H57" s="34">
        <v>0</v>
      </c>
      <c r="I57" s="34">
        <v>0</v>
      </c>
      <c r="J57" s="34">
        <v>170</v>
      </c>
      <c r="K57" s="37">
        <v>1</v>
      </c>
      <c r="L57" s="37">
        <v>0</v>
      </c>
      <c r="M57" s="37">
        <v>0</v>
      </c>
      <c r="N57" s="37">
        <v>0</v>
      </c>
      <c r="O57" s="35">
        <v>68.141176470588235</v>
      </c>
    </row>
    <row r="58" spans="1:15" x14ac:dyDescent="0.25">
      <c r="A58" s="33">
        <v>0.15789473684210525</v>
      </c>
      <c r="B58" s="33">
        <v>0.38755980861244022</v>
      </c>
      <c r="C58" s="33">
        <v>0.43062200956937802</v>
      </c>
      <c r="D58" s="33">
        <v>1.4354066985645933E-2</v>
      </c>
      <c r="E58" s="33">
        <v>0</v>
      </c>
      <c r="F58" s="34">
        <v>278</v>
      </c>
      <c r="G58" s="34">
        <v>0</v>
      </c>
      <c r="H58" s="34">
        <v>1</v>
      </c>
      <c r="I58" s="34">
        <v>0</v>
      </c>
      <c r="J58" s="34">
        <v>279</v>
      </c>
      <c r="K58" s="37">
        <v>0.99641577060931896</v>
      </c>
      <c r="L58" s="37">
        <v>0</v>
      </c>
      <c r="M58" s="37">
        <v>3.5842293906810036E-3</v>
      </c>
      <c r="N58" s="37">
        <v>0</v>
      </c>
      <c r="O58" s="35">
        <v>38.659498207885306</v>
      </c>
    </row>
    <row r="59" spans="1:15" x14ac:dyDescent="0.25">
      <c r="A59" s="33">
        <v>0.25728155339805825</v>
      </c>
      <c r="B59" s="33">
        <v>0.1553398058252427</v>
      </c>
      <c r="C59" s="33">
        <v>0.58252427184466016</v>
      </c>
      <c r="D59" s="33">
        <v>0</v>
      </c>
      <c r="E59" s="33">
        <v>0</v>
      </c>
      <c r="F59" s="34">
        <v>271</v>
      </c>
      <c r="G59" s="34">
        <v>27</v>
      </c>
      <c r="H59" s="34">
        <v>1</v>
      </c>
      <c r="I59" s="34">
        <v>1</v>
      </c>
      <c r="J59" s="34">
        <v>300</v>
      </c>
      <c r="K59" s="37">
        <v>0.90333333333333332</v>
      </c>
      <c r="L59" s="37">
        <v>0.09</v>
      </c>
      <c r="M59" s="37">
        <v>3.3333333333333335E-3</v>
      </c>
      <c r="N59" s="37">
        <v>3.3333333333333335E-3</v>
      </c>
      <c r="O59" s="35">
        <v>67.95</v>
      </c>
    </row>
    <row r="60" spans="1:15" x14ac:dyDescent="0.25">
      <c r="A60" s="33">
        <v>0.22764227642276422</v>
      </c>
      <c r="B60" s="33">
        <v>0.37940379403794039</v>
      </c>
      <c r="C60" s="33">
        <v>0.38753387533875339</v>
      </c>
      <c r="D60" s="33">
        <v>5.4200542005420054E-3</v>
      </c>
      <c r="E60" s="33">
        <v>0</v>
      </c>
      <c r="F60" s="34">
        <v>469</v>
      </c>
      <c r="G60" s="34">
        <v>16</v>
      </c>
      <c r="H60" s="34">
        <v>0</v>
      </c>
      <c r="I60" s="34">
        <v>1</v>
      </c>
      <c r="J60" s="34">
        <v>486</v>
      </c>
      <c r="K60" s="37">
        <v>0.96502057613168724</v>
      </c>
      <c r="L60" s="37">
        <v>3.292181069958848E-2</v>
      </c>
      <c r="M60" s="37">
        <v>0</v>
      </c>
      <c r="N60" s="37">
        <v>2.05761316872428E-3</v>
      </c>
      <c r="O60" s="35">
        <v>36.627572016460903</v>
      </c>
    </row>
    <row r="61" spans="1:15" x14ac:dyDescent="0.25">
      <c r="A61" s="33">
        <v>0.23487544483985764</v>
      </c>
      <c r="B61" s="33">
        <v>0.27046263345195731</v>
      </c>
      <c r="C61" s="33">
        <v>0.46619217081850534</v>
      </c>
      <c r="D61" s="33">
        <v>3.5587188612099642E-3</v>
      </c>
      <c r="E61" s="33">
        <v>1.0676156583629894E-2</v>
      </c>
      <c r="F61" s="34">
        <v>397</v>
      </c>
      <c r="G61" s="34">
        <v>0</v>
      </c>
      <c r="H61" s="34">
        <v>0</v>
      </c>
      <c r="I61" s="34">
        <v>1</v>
      </c>
      <c r="J61" s="34">
        <v>398</v>
      </c>
      <c r="K61" s="37">
        <v>0.99748743718592969</v>
      </c>
      <c r="L61" s="37">
        <v>0</v>
      </c>
      <c r="M61" s="37">
        <v>0</v>
      </c>
      <c r="N61" s="37">
        <v>2.5125628140703518E-3</v>
      </c>
      <c r="O61" s="35">
        <v>51.962311557788944</v>
      </c>
    </row>
    <row r="62" spans="1:15" x14ac:dyDescent="0.25">
      <c r="A62" s="33">
        <v>0.18831168831168832</v>
      </c>
      <c r="B62" s="33">
        <v>0.13636363636363635</v>
      </c>
      <c r="C62" s="33">
        <v>0.64935064935064934</v>
      </c>
      <c r="D62" s="33">
        <v>1.2987012987012988E-2</v>
      </c>
      <c r="E62" s="33">
        <v>0</v>
      </c>
      <c r="F62" s="34">
        <v>199</v>
      </c>
      <c r="G62" s="34">
        <v>0</v>
      </c>
      <c r="H62" s="34">
        <v>1</v>
      </c>
      <c r="I62" s="34">
        <v>0</v>
      </c>
      <c r="J62" s="34">
        <v>200</v>
      </c>
      <c r="K62" s="37">
        <v>0.995</v>
      </c>
      <c r="L62" s="37">
        <v>0</v>
      </c>
      <c r="M62" s="37">
        <v>5.0000000000000001E-3</v>
      </c>
      <c r="N62" s="37">
        <v>0</v>
      </c>
      <c r="O62" s="35">
        <v>66.875</v>
      </c>
    </row>
    <row r="63" spans="1:15" x14ac:dyDescent="0.25">
      <c r="A63" s="33">
        <v>0.19298245614035087</v>
      </c>
      <c r="B63" s="33">
        <v>0.30526315789473685</v>
      </c>
      <c r="C63" s="33">
        <v>0.49122807017543857</v>
      </c>
      <c r="D63" s="33">
        <v>1.0526315789473684E-2</v>
      </c>
      <c r="E63" s="33">
        <v>0</v>
      </c>
      <c r="F63" s="34">
        <v>353</v>
      </c>
      <c r="G63" s="34">
        <v>0</v>
      </c>
      <c r="H63" s="34">
        <v>0</v>
      </c>
      <c r="I63" s="34">
        <v>0</v>
      </c>
      <c r="J63" s="34">
        <v>353</v>
      </c>
      <c r="K63" s="37">
        <v>1</v>
      </c>
      <c r="L63" s="37">
        <v>0</v>
      </c>
      <c r="M63" s="37">
        <v>0</v>
      </c>
      <c r="N63" s="37">
        <v>0</v>
      </c>
      <c r="O63" s="35">
        <v>37.167138810198303</v>
      </c>
    </row>
    <row r="64" spans="1:15" x14ac:dyDescent="0.25">
      <c r="A64" s="33">
        <v>0.33544303797468356</v>
      </c>
      <c r="B64" s="33">
        <v>0.11708860759493671</v>
      </c>
      <c r="C64" s="33">
        <v>0.51582278481012656</v>
      </c>
      <c r="D64" s="33">
        <v>3.1645569620253164E-3</v>
      </c>
      <c r="E64" s="33">
        <v>9.4936708860759497E-3</v>
      </c>
      <c r="F64" s="34">
        <v>337</v>
      </c>
      <c r="G64" s="34">
        <v>21</v>
      </c>
      <c r="H64" s="34">
        <v>47</v>
      </c>
      <c r="I64" s="34">
        <v>2</v>
      </c>
      <c r="J64" s="34">
        <v>407</v>
      </c>
      <c r="K64" s="37">
        <v>0.82800982800982803</v>
      </c>
      <c r="L64" s="37">
        <v>5.1597051597051594E-2</v>
      </c>
      <c r="M64" s="37">
        <v>0.11547911547911548</v>
      </c>
      <c r="N64" s="37">
        <v>4.9140049140049139E-3</v>
      </c>
      <c r="O64" s="35">
        <v>46.658476658476658</v>
      </c>
    </row>
    <row r="65" spans="1:15" x14ac:dyDescent="0.25">
      <c r="A65" s="33">
        <v>7.2243346007604556E-2</v>
      </c>
      <c r="B65" s="33">
        <v>0.11787072243346007</v>
      </c>
      <c r="C65" s="33">
        <v>0.78707224334600756</v>
      </c>
      <c r="D65" s="33">
        <v>7.6045627376425855E-3</v>
      </c>
      <c r="E65" s="33">
        <v>7.6045627376425855E-3</v>
      </c>
      <c r="F65" s="34">
        <v>297</v>
      </c>
      <c r="G65" s="34">
        <v>0</v>
      </c>
      <c r="H65" s="34">
        <v>3</v>
      </c>
      <c r="I65" s="34">
        <v>0</v>
      </c>
      <c r="J65" s="34">
        <v>300</v>
      </c>
      <c r="K65" s="37">
        <v>0.99</v>
      </c>
      <c r="L65" s="37">
        <v>0</v>
      </c>
      <c r="M65" s="37">
        <v>0.01</v>
      </c>
      <c r="N65" s="37">
        <v>0</v>
      </c>
      <c r="O65" s="35">
        <v>66.34</v>
      </c>
    </row>
    <row r="66" spans="1:15" x14ac:dyDescent="0.25">
      <c r="A66" s="33">
        <v>7.6045627376425853E-2</v>
      </c>
      <c r="B66" s="33">
        <v>0.15209125475285171</v>
      </c>
      <c r="C66" s="33">
        <v>0.75285171102661597</v>
      </c>
      <c r="D66" s="33">
        <v>7.6045627376425855E-3</v>
      </c>
      <c r="E66" s="33">
        <v>3.8022813688212928E-3</v>
      </c>
      <c r="F66" s="34">
        <v>300</v>
      </c>
      <c r="G66" s="34">
        <v>0</v>
      </c>
      <c r="H66" s="34">
        <v>0</v>
      </c>
      <c r="I66" s="34">
        <v>0</v>
      </c>
      <c r="J66" s="34">
        <v>300</v>
      </c>
      <c r="K66" s="37">
        <v>1</v>
      </c>
      <c r="L66" s="37">
        <v>0</v>
      </c>
      <c r="M66" s="37">
        <v>0</v>
      </c>
      <c r="N66" s="37">
        <v>0</v>
      </c>
      <c r="O66" s="35">
        <v>59.656666666666666</v>
      </c>
    </row>
    <row r="67" spans="1:15" x14ac:dyDescent="0.25">
      <c r="A67" s="33">
        <v>3.5422343324250684E-2</v>
      </c>
      <c r="B67" s="33">
        <v>0.37329700272479566</v>
      </c>
      <c r="C67" s="33">
        <v>0.58583106267029972</v>
      </c>
      <c r="D67" s="33">
        <v>2.7247956403269754E-3</v>
      </c>
      <c r="E67" s="33">
        <v>0</v>
      </c>
      <c r="F67" s="34">
        <v>471</v>
      </c>
      <c r="G67" s="34">
        <v>0</v>
      </c>
      <c r="H67" s="34">
        <v>1</v>
      </c>
      <c r="I67" s="34">
        <v>0</v>
      </c>
      <c r="J67" s="34">
        <v>472</v>
      </c>
      <c r="K67" s="37">
        <v>0.9978813559322034</v>
      </c>
      <c r="L67" s="37">
        <v>0</v>
      </c>
      <c r="M67" s="37">
        <v>2.1186440677966102E-3</v>
      </c>
      <c r="N67" s="37">
        <v>0</v>
      </c>
      <c r="O67" s="35">
        <v>42.472457627118644</v>
      </c>
    </row>
    <row r="68" spans="1:15" x14ac:dyDescent="0.25">
      <c r="A68" s="33">
        <v>7.407407407407407E-2</v>
      </c>
      <c r="B68" s="33">
        <v>0.42735042735042733</v>
      </c>
      <c r="C68" s="33">
        <v>0.47863247863247865</v>
      </c>
      <c r="D68" s="33">
        <v>1.4245014245014245E-2</v>
      </c>
      <c r="E68" s="33">
        <v>5.6980056980056983E-3</v>
      </c>
      <c r="F68" s="34">
        <v>469</v>
      </c>
      <c r="G68" s="34">
        <v>1</v>
      </c>
      <c r="H68" s="34">
        <v>2</v>
      </c>
      <c r="I68" s="34">
        <v>0</v>
      </c>
      <c r="J68" s="34">
        <v>472</v>
      </c>
      <c r="K68" s="37">
        <v>0.99364406779661019</v>
      </c>
      <c r="L68" s="37">
        <v>2.1186440677966102E-3</v>
      </c>
      <c r="M68" s="37">
        <v>4.2372881355932203E-3</v>
      </c>
      <c r="N68" s="37">
        <v>0</v>
      </c>
      <c r="O68" s="35">
        <v>35.940677966101696</v>
      </c>
    </row>
    <row r="69" spans="1:15" x14ac:dyDescent="0.25">
      <c r="A69" s="33">
        <v>8.3769633507853408E-2</v>
      </c>
      <c r="B69" s="33">
        <v>0.38219895287958117</v>
      </c>
      <c r="C69" s="33">
        <v>0.52356020942408377</v>
      </c>
      <c r="D69" s="33">
        <v>7.8534031413612562E-3</v>
      </c>
      <c r="E69" s="33">
        <v>2.617801047120419E-3</v>
      </c>
      <c r="F69" s="34">
        <v>470</v>
      </c>
      <c r="G69" s="34">
        <v>0</v>
      </c>
      <c r="H69" s="34">
        <v>2</v>
      </c>
      <c r="I69" s="34">
        <v>0</v>
      </c>
      <c r="J69" s="34">
        <v>472</v>
      </c>
      <c r="K69" s="37">
        <v>0.99576271186440679</v>
      </c>
      <c r="L69" s="37">
        <v>0</v>
      </c>
      <c r="M69" s="37">
        <v>4.2372881355932203E-3</v>
      </c>
      <c r="N69" s="37">
        <v>0</v>
      </c>
      <c r="O69" s="35">
        <v>25.883474576271187</v>
      </c>
    </row>
    <row r="70" spans="1:15" x14ac:dyDescent="0.25">
      <c r="A70" s="33">
        <v>0.13445378151260504</v>
      </c>
      <c r="B70" s="33">
        <v>0.15546218487394958</v>
      </c>
      <c r="C70" s="33">
        <v>0.68487394957983194</v>
      </c>
      <c r="D70" s="33">
        <v>8.4033613445378148E-3</v>
      </c>
      <c r="E70" s="33">
        <v>8.4033613445378148E-3</v>
      </c>
      <c r="F70" s="34">
        <v>311</v>
      </c>
      <c r="G70" s="34">
        <v>1</v>
      </c>
      <c r="H70" s="34">
        <v>1</v>
      </c>
      <c r="I70" s="34">
        <v>1</v>
      </c>
      <c r="J70" s="34">
        <v>314</v>
      </c>
      <c r="K70" s="37">
        <v>0.99044585987261147</v>
      </c>
      <c r="L70" s="37">
        <v>3.1847133757961785E-3</v>
      </c>
      <c r="M70" s="37">
        <v>3.1847133757961785E-3</v>
      </c>
      <c r="N70" s="37">
        <v>3.1847133757961785E-3</v>
      </c>
      <c r="O70" s="35">
        <v>69.015923566878982</v>
      </c>
    </row>
    <row r="71" spans="1:15" x14ac:dyDescent="0.25">
      <c r="A71" s="33">
        <v>0.15384615384615385</v>
      </c>
      <c r="B71" s="33">
        <v>0.31468531468531469</v>
      </c>
      <c r="C71" s="33">
        <v>0.49650349650349651</v>
      </c>
      <c r="D71" s="33">
        <v>1.3986013986013986E-2</v>
      </c>
      <c r="E71" s="33">
        <v>1.048951048951049E-2</v>
      </c>
      <c r="F71" s="34">
        <v>379</v>
      </c>
      <c r="G71" s="34">
        <v>0</v>
      </c>
      <c r="H71" s="34">
        <v>2</v>
      </c>
      <c r="I71" s="34">
        <v>0</v>
      </c>
      <c r="J71" s="34">
        <v>381</v>
      </c>
      <c r="K71" s="37">
        <v>0.99475065616797897</v>
      </c>
      <c r="L71" s="37">
        <v>0</v>
      </c>
      <c r="M71" s="37">
        <v>5.2493438320209973E-3</v>
      </c>
      <c r="N71" s="37">
        <v>0</v>
      </c>
      <c r="O71" s="35">
        <v>48.333333333333336</v>
      </c>
    </row>
    <row r="72" spans="1:15" x14ac:dyDescent="0.25">
      <c r="A72" s="33">
        <v>0.14285714285714285</v>
      </c>
      <c r="B72" s="33">
        <v>0.43521594684385384</v>
      </c>
      <c r="C72" s="33">
        <v>0.41528239202657807</v>
      </c>
      <c r="D72" s="33">
        <v>3.3222591362126247E-3</v>
      </c>
      <c r="E72" s="33">
        <v>0</v>
      </c>
      <c r="F72" s="34">
        <v>380</v>
      </c>
      <c r="G72" s="34">
        <v>0</v>
      </c>
      <c r="H72" s="34">
        <v>1</v>
      </c>
      <c r="I72" s="34">
        <v>0</v>
      </c>
      <c r="J72" s="34">
        <v>381</v>
      </c>
      <c r="K72" s="37">
        <v>0.99737532808398954</v>
      </c>
      <c r="L72" s="37">
        <v>0</v>
      </c>
      <c r="M72" s="37">
        <v>2.6246719160104987E-3</v>
      </c>
      <c r="N72" s="37">
        <v>0</v>
      </c>
      <c r="O72" s="35">
        <v>29.209973753280838</v>
      </c>
    </row>
    <row r="73" spans="1:15" x14ac:dyDescent="0.25">
      <c r="A73" s="33">
        <v>0.16296296296296298</v>
      </c>
      <c r="B73" s="33">
        <v>0.17777777777777778</v>
      </c>
      <c r="C73" s="33">
        <v>0.61111111111111116</v>
      </c>
      <c r="D73" s="33">
        <v>7.4074074074074077E-3</v>
      </c>
      <c r="E73" s="33">
        <v>1.4814814814814815E-2</v>
      </c>
      <c r="F73" s="34">
        <v>347</v>
      </c>
      <c r="G73" s="34">
        <v>2</v>
      </c>
      <c r="H73" s="34">
        <v>0</v>
      </c>
      <c r="I73" s="34">
        <v>1</v>
      </c>
      <c r="J73" s="34">
        <v>350</v>
      </c>
      <c r="K73" s="37">
        <v>0.99142857142857144</v>
      </c>
      <c r="L73" s="37">
        <v>5.7142857142857143E-3</v>
      </c>
      <c r="M73" s="37">
        <v>0</v>
      </c>
      <c r="N73" s="37">
        <v>2.8571428571428571E-3</v>
      </c>
      <c r="O73" s="35">
        <v>67.305714285714288</v>
      </c>
    </row>
    <row r="74" spans="1:15" x14ac:dyDescent="0.25">
      <c r="A74" s="33">
        <v>0.14936708860759493</v>
      </c>
      <c r="B74" s="33">
        <v>0.26329113924050634</v>
      </c>
      <c r="C74" s="33">
        <v>0.54936708860759498</v>
      </c>
      <c r="D74" s="33">
        <v>1.5189873417721518E-2</v>
      </c>
      <c r="E74" s="33">
        <v>1.0126582278481013E-2</v>
      </c>
      <c r="F74" s="34">
        <v>485</v>
      </c>
      <c r="G74" s="34">
        <v>1</v>
      </c>
      <c r="H74" s="34">
        <v>2</v>
      </c>
      <c r="I74" s="34">
        <v>1</v>
      </c>
      <c r="J74" s="34">
        <v>489</v>
      </c>
      <c r="K74" s="37">
        <v>0.99182004089979547</v>
      </c>
      <c r="L74" s="37">
        <v>2.0449897750511249E-3</v>
      </c>
      <c r="M74" s="37">
        <v>4.0899795501022499E-3</v>
      </c>
      <c r="N74" s="37">
        <v>2.0449897750511249E-3</v>
      </c>
      <c r="O74" s="35">
        <v>46.3640081799591</v>
      </c>
    </row>
    <row r="75" spans="1:15" x14ac:dyDescent="0.25">
      <c r="A75" s="33">
        <v>0.13802083333333334</v>
      </c>
      <c r="B75" s="33">
        <v>0.40885416666666669</v>
      </c>
      <c r="C75" s="33">
        <v>0.43489583333333331</v>
      </c>
      <c r="D75" s="33">
        <v>1.3020833333333334E-2</v>
      </c>
      <c r="E75" s="33">
        <v>0</v>
      </c>
      <c r="F75" s="34">
        <v>486</v>
      </c>
      <c r="G75" s="34">
        <v>1</v>
      </c>
      <c r="H75" s="34">
        <v>1</v>
      </c>
      <c r="I75" s="34">
        <v>1</v>
      </c>
      <c r="J75" s="34">
        <v>489</v>
      </c>
      <c r="K75" s="37">
        <v>0.99386503067484666</v>
      </c>
      <c r="L75" s="37">
        <v>2.0449897750511249E-3</v>
      </c>
      <c r="M75" s="37">
        <v>2.0449897750511249E-3</v>
      </c>
      <c r="N75" s="37">
        <v>2.0449897750511249E-3</v>
      </c>
      <c r="O75" s="35">
        <v>27.400817995910021</v>
      </c>
    </row>
    <row r="76" spans="1:15" x14ac:dyDescent="0.25">
      <c r="A76" s="33">
        <v>0.46875</v>
      </c>
      <c r="B76" s="33">
        <v>0.05</v>
      </c>
      <c r="C76" s="33">
        <v>0.40625</v>
      </c>
      <c r="D76" s="33">
        <v>2.5000000000000001E-2</v>
      </c>
      <c r="E76" s="33">
        <v>3.125E-2</v>
      </c>
      <c r="F76" s="34">
        <v>129</v>
      </c>
      <c r="G76" s="34">
        <v>120</v>
      </c>
      <c r="H76" s="34">
        <v>1</v>
      </c>
      <c r="I76" s="34">
        <v>0</v>
      </c>
      <c r="J76" s="34">
        <v>250</v>
      </c>
      <c r="K76" s="37">
        <v>0.51600000000000001</v>
      </c>
      <c r="L76" s="37">
        <v>0.48</v>
      </c>
      <c r="M76" s="37">
        <v>4.0000000000000001E-3</v>
      </c>
      <c r="N76" s="37">
        <v>0</v>
      </c>
      <c r="O76" s="35">
        <v>73.98</v>
      </c>
    </row>
    <row r="77" spans="1:15" x14ac:dyDescent="0.25">
      <c r="A77" s="33">
        <v>0.53201970443349755</v>
      </c>
      <c r="B77" s="33">
        <v>6.4039408866995079E-2</v>
      </c>
      <c r="C77" s="33">
        <v>0.3891625615763547</v>
      </c>
      <c r="D77" s="33">
        <v>4.9261083743842365E-3</v>
      </c>
      <c r="E77" s="33">
        <v>4.9261083743842365E-3</v>
      </c>
      <c r="F77" s="34">
        <v>124</v>
      </c>
      <c r="G77" s="34">
        <v>124</v>
      </c>
      <c r="H77" s="34">
        <v>2</v>
      </c>
      <c r="I77" s="34">
        <v>0</v>
      </c>
      <c r="J77" s="34">
        <v>250</v>
      </c>
      <c r="K77" s="37">
        <v>0.496</v>
      </c>
      <c r="L77" s="37">
        <v>0.496</v>
      </c>
      <c r="M77" s="37">
        <v>8.0000000000000002E-3</v>
      </c>
      <c r="N77" s="37">
        <v>0</v>
      </c>
      <c r="O77" s="35">
        <v>64.055999999999997</v>
      </c>
    </row>
    <row r="78" spans="1:15" x14ac:dyDescent="0.25">
      <c r="A78" s="33">
        <v>0.37275985663082439</v>
      </c>
      <c r="B78" s="33">
        <v>0.20071684587813621</v>
      </c>
      <c r="C78" s="33">
        <v>0.38709677419354838</v>
      </c>
      <c r="D78" s="33">
        <v>1.4336917562724014E-2</v>
      </c>
      <c r="E78" s="33">
        <v>2.1505376344086023E-2</v>
      </c>
      <c r="F78" s="34">
        <v>260</v>
      </c>
      <c r="G78" s="34">
        <v>86</v>
      </c>
      <c r="H78" s="34">
        <v>8</v>
      </c>
      <c r="I78" s="34">
        <v>2</v>
      </c>
      <c r="J78" s="34">
        <v>356</v>
      </c>
      <c r="K78" s="37">
        <v>0.7303370786516854</v>
      </c>
      <c r="L78" s="37">
        <v>0.24157303370786518</v>
      </c>
      <c r="M78" s="37">
        <v>2.247191011235955E-2</v>
      </c>
      <c r="N78" s="37">
        <v>5.6179775280898875E-3</v>
      </c>
      <c r="O78" s="35">
        <v>51.303370786516851</v>
      </c>
    </row>
    <row r="79" spans="1:15" x14ac:dyDescent="0.25">
      <c r="A79" s="33">
        <v>0.33079847908745247</v>
      </c>
      <c r="B79" s="33">
        <v>0.27756653992395436</v>
      </c>
      <c r="C79" s="33">
        <v>0.34980988593155893</v>
      </c>
      <c r="D79" s="33">
        <v>3.4220532319391636E-2</v>
      </c>
      <c r="E79" s="33">
        <v>0</v>
      </c>
      <c r="F79" s="34">
        <v>289</v>
      </c>
      <c r="G79" s="34">
        <v>56</v>
      </c>
      <c r="H79" s="34">
        <v>10</v>
      </c>
      <c r="I79" s="34">
        <v>1</v>
      </c>
      <c r="J79" s="34">
        <v>356</v>
      </c>
      <c r="K79" s="37">
        <v>0.8117977528089888</v>
      </c>
      <c r="L79" s="37">
        <v>0.15730337078651685</v>
      </c>
      <c r="M79" s="37">
        <v>2.8089887640449437E-2</v>
      </c>
      <c r="N79" s="37">
        <v>2.8089887640449437E-3</v>
      </c>
      <c r="O79" s="35">
        <v>35.719101123595507</v>
      </c>
    </row>
    <row r="80" spans="1:15" x14ac:dyDescent="0.25">
      <c r="A80" s="33">
        <v>0.23773584905660378</v>
      </c>
      <c r="B80" s="33">
        <v>0.29433962264150942</v>
      </c>
      <c r="C80" s="33">
        <v>0.43396226415094341</v>
      </c>
      <c r="D80" s="33">
        <v>2.2641509433962263E-2</v>
      </c>
      <c r="E80" s="33">
        <v>3.7735849056603774E-3</v>
      </c>
      <c r="F80" s="34">
        <v>316</v>
      </c>
      <c r="G80" s="34">
        <v>33</v>
      </c>
      <c r="H80" s="34">
        <v>7</v>
      </c>
      <c r="I80" s="34">
        <v>1</v>
      </c>
      <c r="J80" s="34">
        <v>357</v>
      </c>
      <c r="K80" s="37">
        <v>0.88515406162464982</v>
      </c>
      <c r="L80" s="37">
        <v>9.2436974789915971E-2</v>
      </c>
      <c r="M80" s="37">
        <v>1.9607843137254902E-2</v>
      </c>
      <c r="N80" s="37">
        <v>2.8011204481792717E-3</v>
      </c>
      <c r="O80" s="35">
        <v>24.49299719887955</v>
      </c>
    </row>
    <row r="81" spans="1:15" x14ac:dyDescent="0.25">
      <c r="A81" s="33">
        <v>0.31205673758865249</v>
      </c>
      <c r="B81" s="33">
        <v>0.24113475177304963</v>
      </c>
      <c r="C81" s="33">
        <v>0.40425531914893614</v>
      </c>
      <c r="D81" s="33">
        <v>1.4184397163120567E-2</v>
      </c>
      <c r="E81" s="33">
        <v>1.4184397163120567E-2</v>
      </c>
      <c r="F81" s="34">
        <v>308</v>
      </c>
      <c r="G81" s="34">
        <v>65</v>
      </c>
      <c r="H81" s="34">
        <v>17</v>
      </c>
      <c r="I81" s="34">
        <v>4</v>
      </c>
      <c r="J81" s="34">
        <v>394</v>
      </c>
      <c r="K81" s="37">
        <v>0.78172588832487311</v>
      </c>
      <c r="L81" s="37">
        <v>0.1649746192893401</v>
      </c>
      <c r="M81" s="37">
        <v>4.3147208121827409E-2</v>
      </c>
      <c r="N81" s="37">
        <v>1.015228426395939E-2</v>
      </c>
      <c r="O81" s="35">
        <v>50.281725888324871</v>
      </c>
    </row>
    <row r="82" spans="1:15" x14ac:dyDescent="0.25">
      <c r="A82" s="33">
        <v>0.59649122807017541</v>
      </c>
      <c r="B82" s="33">
        <v>4.3859649122807015E-2</v>
      </c>
      <c r="C82" s="33">
        <v>0.33333333333333331</v>
      </c>
      <c r="D82" s="33">
        <v>0</v>
      </c>
      <c r="E82" s="33">
        <v>0</v>
      </c>
      <c r="F82" s="34">
        <v>57</v>
      </c>
      <c r="G82" s="34">
        <v>131</v>
      </c>
      <c r="H82" s="34">
        <v>12</v>
      </c>
      <c r="I82" s="34">
        <v>0</v>
      </c>
      <c r="J82" s="34">
        <v>200</v>
      </c>
      <c r="K82" s="37">
        <v>0.28499999999999998</v>
      </c>
      <c r="L82" s="37">
        <v>0.65500000000000003</v>
      </c>
      <c r="M82" s="37">
        <v>0.06</v>
      </c>
      <c r="N82" s="37">
        <v>0</v>
      </c>
      <c r="O82" s="35">
        <v>74.95</v>
      </c>
    </row>
    <row r="83" spans="1:15" x14ac:dyDescent="0.25">
      <c r="A83" s="33">
        <v>0.50993377483443714</v>
      </c>
      <c r="B83" s="33">
        <v>5.9602649006622516E-2</v>
      </c>
      <c r="C83" s="33">
        <v>0.39072847682119205</v>
      </c>
      <c r="D83" s="33">
        <v>1.9867549668874173E-2</v>
      </c>
      <c r="E83" s="33">
        <v>6.6225165562913907E-3</v>
      </c>
      <c r="F83" s="34">
        <v>76</v>
      </c>
      <c r="G83" s="34">
        <v>113</v>
      </c>
      <c r="H83" s="34">
        <v>11</v>
      </c>
      <c r="I83" s="34">
        <v>0</v>
      </c>
      <c r="J83" s="34">
        <v>200</v>
      </c>
      <c r="K83" s="37">
        <v>0.38</v>
      </c>
      <c r="L83" s="37">
        <v>0.56499999999999995</v>
      </c>
      <c r="M83" s="37">
        <v>5.5E-2</v>
      </c>
      <c r="N83" s="37">
        <v>0</v>
      </c>
      <c r="O83" s="35">
        <v>64.905000000000001</v>
      </c>
    </row>
    <row r="84" spans="1:15" x14ac:dyDescent="0.25">
      <c r="A84" s="33">
        <v>0.50476190476190474</v>
      </c>
      <c r="B84" s="33">
        <v>0.14761904761904762</v>
      </c>
      <c r="C84" s="33">
        <v>0.32857142857142857</v>
      </c>
      <c r="D84" s="33">
        <v>0</v>
      </c>
      <c r="E84" s="33">
        <v>4.7619047619047623E-3</v>
      </c>
      <c r="F84" s="34">
        <v>122</v>
      </c>
      <c r="G84" s="34">
        <v>130</v>
      </c>
      <c r="H84" s="34">
        <v>23</v>
      </c>
      <c r="I84" s="34">
        <v>1</v>
      </c>
      <c r="J84" s="34">
        <v>276</v>
      </c>
      <c r="K84" s="37">
        <v>0.4420289855072464</v>
      </c>
      <c r="L84" s="37">
        <v>0.47101449275362317</v>
      </c>
      <c r="M84" s="37">
        <v>8.3333333333333329E-2</v>
      </c>
      <c r="N84" s="37">
        <v>3.6231884057971015E-3</v>
      </c>
      <c r="O84" s="35">
        <v>51.14855072463768</v>
      </c>
    </row>
    <row r="85" spans="1:15" x14ac:dyDescent="0.25">
      <c r="A85" s="33">
        <v>0.47783251231527096</v>
      </c>
      <c r="B85" s="33">
        <v>0.17733990147783252</v>
      </c>
      <c r="C85" s="33">
        <v>0.30541871921182268</v>
      </c>
      <c r="D85" s="33">
        <v>9.852216748768473E-3</v>
      </c>
      <c r="E85" s="33">
        <v>0</v>
      </c>
      <c r="F85" s="34">
        <v>161</v>
      </c>
      <c r="G85" s="34">
        <v>99</v>
      </c>
      <c r="H85" s="34">
        <v>16</v>
      </c>
      <c r="I85" s="34">
        <v>1</v>
      </c>
      <c r="J85" s="34">
        <v>277</v>
      </c>
      <c r="K85" s="37">
        <v>0.58122743682310474</v>
      </c>
      <c r="L85" s="37">
        <v>0.35740072202166068</v>
      </c>
      <c r="M85" s="37">
        <v>5.7761732851985562E-2</v>
      </c>
      <c r="N85" s="37">
        <v>3.6101083032490976E-3</v>
      </c>
      <c r="O85" s="35">
        <v>37.902527075812273</v>
      </c>
    </row>
    <row r="86" spans="1:15" x14ac:dyDescent="0.25">
      <c r="A86" s="33">
        <v>0.54591836734693877</v>
      </c>
      <c r="B86" s="33">
        <v>0.21428571428571427</v>
      </c>
      <c r="C86" s="33">
        <v>0.21938775510204081</v>
      </c>
      <c r="D86" s="33">
        <v>1.5306122448979591E-2</v>
      </c>
      <c r="E86" s="33">
        <v>5.1020408163265302E-3</v>
      </c>
      <c r="F86" s="34">
        <v>140</v>
      </c>
      <c r="G86" s="34">
        <v>81</v>
      </c>
      <c r="H86" s="34">
        <v>56</v>
      </c>
      <c r="I86" s="34">
        <v>0</v>
      </c>
      <c r="J86" s="34">
        <v>277</v>
      </c>
      <c r="K86" s="37">
        <v>0.50541516245487361</v>
      </c>
      <c r="L86" s="37">
        <v>0.29241877256317689</v>
      </c>
      <c r="M86" s="37">
        <v>0.20216606498194944</v>
      </c>
      <c r="N86" s="37">
        <v>0</v>
      </c>
      <c r="O86" s="35">
        <v>26.386281588447652</v>
      </c>
    </row>
    <row r="87" spans="1:15" x14ac:dyDescent="0.25">
      <c r="A87" s="33">
        <v>0.70161290322580649</v>
      </c>
      <c r="B87" s="33">
        <v>3.2258064516129031E-2</v>
      </c>
      <c r="C87" s="33">
        <v>0.22580645161290322</v>
      </c>
      <c r="D87" s="33">
        <v>8.0645161290322578E-3</v>
      </c>
      <c r="E87" s="33">
        <v>1.6129032258064516E-2</v>
      </c>
      <c r="F87" s="34">
        <v>45</v>
      </c>
      <c r="G87" s="34">
        <v>102</v>
      </c>
      <c r="H87" s="34">
        <v>33</v>
      </c>
      <c r="I87" s="34">
        <v>0</v>
      </c>
      <c r="J87" s="34">
        <v>180</v>
      </c>
      <c r="K87" s="37">
        <v>0.25</v>
      </c>
      <c r="L87" s="37">
        <v>0.56666666666666665</v>
      </c>
      <c r="M87" s="37">
        <v>0.18333333333333332</v>
      </c>
      <c r="N87" s="37">
        <v>0</v>
      </c>
      <c r="O87" s="35">
        <v>69.072222222222223</v>
      </c>
    </row>
    <row r="88" spans="1:15" x14ac:dyDescent="0.25">
      <c r="A88" s="33">
        <v>0.57826086956521738</v>
      </c>
      <c r="B88" s="33">
        <v>0.14782608695652175</v>
      </c>
      <c r="C88" s="33">
        <v>0.25217391304347825</v>
      </c>
      <c r="D88" s="33">
        <v>8.6956521739130436E-3</v>
      </c>
      <c r="E88" s="33">
        <v>8.6956521739130436E-3</v>
      </c>
      <c r="F88" s="34">
        <v>152</v>
      </c>
      <c r="G88" s="34">
        <v>102</v>
      </c>
      <c r="H88" s="34">
        <v>45</v>
      </c>
      <c r="I88" s="34">
        <v>0</v>
      </c>
      <c r="J88" s="34">
        <v>299</v>
      </c>
      <c r="K88" s="37">
        <v>0.50836120401337792</v>
      </c>
      <c r="L88" s="37">
        <v>0.34113712374581939</v>
      </c>
      <c r="M88" s="37">
        <v>0.15050167224080269</v>
      </c>
      <c r="N88" s="37">
        <v>0</v>
      </c>
      <c r="O88" s="35">
        <v>38.732441471571903</v>
      </c>
    </row>
    <row r="89" spans="1:15" x14ac:dyDescent="0.25">
      <c r="A89" s="33">
        <v>0.31782945736434109</v>
      </c>
      <c r="B89" s="33">
        <v>8.5271317829457363E-2</v>
      </c>
      <c r="C89" s="33">
        <v>0.56589147286821706</v>
      </c>
      <c r="D89" s="33">
        <v>7.7519379844961239E-3</v>
      </c>
      <c r="E89" s="33">
        <v>2.3255813953488372E-2</v>
      </c>
      <c r="F89" s="34">
        <v>138</v>
      </c>
      <c r="G89" s="34">
        <v>62</v>
      </c>
      <c r="H89" s="34">
        <v>4</v>
      </c>
      <c r="I89" s="34">
        <v>1</v>
      </c>
      <c r="J89" s="34">
        <v>205</v>
      </c>
      <c r="K89" s="37">
        <v>0.67317073170731712</v>
      </c>
      <c r="L89" s="37">
        <v>0.30243902439024389</v>
      </c>
      <c r="M89" s="37">
        <v>1.9512195121951219E-2</v>
      </c>
      <c r="N89" s="37">
        <v>4.8780487804878049E-3</v>
      </c>
      <c r="O89" s="35">
        <v>73.31219512195122</v>
      </c>
    </row>
    <row r="90" spans="1:15" x14ac:dyDescent="0.25">
      <c r="A90" s="33">
        <v>0.40697674418604651</v>
      </c>
      <c r="B90" s="33">
        <v>6.9767441860465115E-2</v>
      </c>
      <c r="C90" s="33">
        <v>0.48837209302325579</v>
      </c>
      <c r="D90" s="33">
        <v>5.8139534883720929E-3</v>
      </c>
      <c r="E90" s="33">
        <v>1.1627906976744186E-2</v>
      </c>
      <c r="F90" s="34">
        <v>131</v>
      </c>
      <c r="G90" s="34">
        <v>72</v>
      </c>
      <c r="H90" s="34">
        <v>2</v>
      </c>
      <c r="I90" s="34">
        <v>0</v>
      </c>
      <c r="J90" s="34">
        <v>205</v>
      </c>
      <c r="K90" s="37">
        <v>0.63902439024390245</v>
      </c>
      <c r="L90" s="37">
        <v>0.35121951219512193</v>
      </c>
      <c r="M90" s="37">
        <v>9.7560975609756097E-3</v>
      </c>
      <c r="N90" s="37">
        <v>0</v>
      </c>
      <c r="O90" s="35">
        <v>64.073170731707322</v>
      </c>
    </row>
    <row r="91" spans="1:15" x14ac:dyDescent="0.25">
      <c r="A91" s="33">
        <v>0.29599999999999999</v>
      </c>
      <c r="B91" s="33">
        <v>0.18</v>
      </c>
      <c r="C91" s="33">
        <v>0.51200000000000001</v>
      </c>
      <c r="D91" s="33">
        <v>8.0000000000000002E-3</v>
      </c>
      <c r="E91" s="33">
        <v>0</v>
      </c>
      <c r="F91" s="34">
        <v>253</v>
      </c>
      <c r="G91" s="34">
        <v>67</v>
      </c>
      <c r="H91" s="34">
        <v>7</v>
      </c>
      <c r="I91" s="34">
        <v>0</v>
      </c>
      <c r="J91" s="34">
        <v>327</v>
      </c>
      <c r="K91" s="37">
        <v>0.7737003058103975</v>
      </c>
      <c r="L91" s="37">
        <v>0.20489296636085627</v>
      </c>
      <c r="M91" s="37">
        <v>2.1406727828746176E-2</v>
      </c>
      <c r="N91" s="37">
        <v>0</v>
      </c>
      <c r="O91" s="35">
        <v>51.85626911314985</v>
      </c>
    </row>
    <row r="92" spans="1:15" x14ac:dyDescent="0.25">
      <c r="A92" s="33">
        <v>0.33189655172413796</v>
      </c>
      <c r="B92" s="33">
        <v>0.20689655172413793</v>
      </c>
      <c r="C92" s="33">
        <v>0.44827586206896552</v>
      </c>
      <c r="D92" s="33">
        <v>8.6206896551724137E-3</v>
      </c>
      <c r="E92" s="33">
        <v>0</v>
      </c>
      <c r="F92" s="34">
        <v>266</v>
      </c>
      <c r="G92" s="34">
        <v>58</v>
      </c>
      <c r="H92" s="34">
        <v>4</v>
      </c>
      <c r="I92" s="34">
        <v>0</v>
      </c>
      <c r="J92" s="34">
        <v>328</v>
      </c>
      <c r="K92" s="37">
        <v>0.81097560975609762</v>
      </c>
      <c r="L92" s="37">
        <v>0.17682926829268292</v>
      </c>
      <c r="M92" s="37">
        <v>1.2195121951219513E-2</v>
      </c>
      <c r="N92" s="37">
        <v>0</v>
      </c>
      <c r="O92" s="35">
        <v>37.634146341463413</v>
      </c>
    </row>
    <row r="93" spans="1:15" x14ac:dyDescent="0.25">
      <c r="A93" s="33">
        <v>0.2648221343873518</v>
      </c>
      <c r="B93" s="33">
        <v>0.31225296442687744</v>
      </c>
      <c r="C93" s="33">
        <v>0.40316205533596838</v>
      </c>
      <c r="D93" s="33">
        <v>7.9051383399209481E-3</v>
      </c>
      <c r="E93" s="33">
        <v>7.9051383399209481E-3</v>
      </c>
      <c r="F93" s="34">
        <v>295</v>
      </c>
      <c r="G93" s="34">
        <v>27</v>
      </c>
      <c r="H93" s="34">
        <v>6</v>
      </c>
      <c r="I93" s="34">
        <v>0</v>
      </c>
      <c r="J93" s="34">
        <v>328</v>
      </c>
      <c r="K93" s="37">
        <v>0.89939024390243905</v>
      </c>
      <c r="L93" s="37">
        <v>8.2317073170731711E-2</v>
      </c>
      <c r="M93" s="37">
        <v>1.8292682926829267E-2</v>
      </c>
      <c r="N93" s="37">
        <v>0</v>
      </c>
      <c r="O93" s="35">
        <v>24.542682926829269</v>
      </c>
    </row>
    <row r="94" spans="1:15" x14ac:dyDescent="0.25">
      <c r="A94" s="33">
        <v>0.20945945945945946</v>
      </c>
      <c r="B94" s="33">
        <v>8.1081081081081086E-2</v>
      </c>
      <c r="C94" s="33">
        <v>0.67567567567567566</v>
      </c>
      <c r="D94" s="33">
        <v>2.7027027027027029E-2</v>
      </c>
      <c r="E94" s="33">
        <v>0</v>
      </c>
      <c r="F94" s="34">
        <v>214</v>
      </c>
      <c r="G94" s="34">
        <v>11</v>
      </c>
      <c r="H94" s="34">
        <v>5</v>
      </c>
      <c r="I94" s="34">
        <v>0</v>
      </c>
      <c r="J94" s="34">
        <v>230</v>
      </c>
      <c r="K94" s="37">
        <v>0.93043478260869561</v>
      </c>
      <c r="L94" s="37">
        <v>4.7826086956521741E-2</v>
      </c>
      <c r="M94" s="37">
        <v>2.1739130434782608E-2</v>
      </c>
      <c r="N94" s="37">
        <v>0</v>
      </c>
      <c r="O94" s="35">
        <v>74.521739130434781</v>
      </c>
    </row>
    <row r="95" spans="1:15" x14ac:dyDescent="0.25">
      <c r="A95" s="33">
        <v>0.23118279569892472</v>
      </c>
      <c r="B95" s="33">
        <v>0.14516129032258066</v>
      </c>
      <c r="C95" s="33">
        <v>0.58602150537634412</v>
      </c>
      <c r="D95" s="33">
        <v>1.0752688172043012E-2</v>
      </c>
      <c r="E95" s="33">
        <v>5.3763440860215058E-3</v>
      </c>
      <c r="F95" s="34">
        <v>210</v>
      </c>
      <c r="G95" s="34">
        <v>14</v>
      </c>
      <c r="H95" s="34">
        <v>7</v>
      </c>
      <c r="I95" s="34">
        <v>0</v>
      </c>
      <c r="J95" s="34">
        <v>231</v>
      </c>
      <c r="K95" s="37">
        <v>0.90909090909090906</v>
      </c>
      <c r="L95" s="37">
        <v>6.0606060606060608E-2</v>
      </c>
      <c r="M95" s="37">
        <v>3.0303030303030304E-2</v>
      </c>
      <c r="N95" s="37">
        <v>0</v>
      </c>
      <c r="O95" s="35">
        <v>64.705627705627705</v>
      </c>
    </row>
    <row r="96" spans="1:15" x14ac:dyDescent="0.25">
      <c r="A96" s="33">
        <v>0.20848056537102475</v>
      </c>
      <c r="B96" s="33">
        <v>0.22968197879858657</v>
      </c>
      <c r="C96" s="33">
        <v>0.53356890459363959</v>
      </c>
      <c r="D96" s="33">
        <v>1.0600706713780919E-2</v>
      </c>
      <c r="E96" s="33">
        <v>1.0600706713780919E-2</v>
      </c>
      <c r="F96" s="34">
        <v>341</v>
      </c>
      <c r="G96" s="34">
        <v>8</v>
      </c>
      <c r="H96" s="34">
        <v>2</v>
      </c>
      <c r="I96" s="34">
        <v>1</v>
      </c>
      <c r="J96" s="34">
        <v>352</v>
      </c>
      <c r="K96" s="37">
        <v>0.96875</v>
      </c>
      <c r="L96" s="37">
        <v>2.2727272727272728E-2</v>
      </c>
      <c r="M96" s="37">
        <v>5.681818181818182E-3</v>
      </c>
      <c r="N96" s="37">
        <v>2.840909090909091E-3</v>
      </c>
      <c r="O96" s="35">
        <v>52.852272727272727</v>
      </c>
    </row>
    <row r="97" spans="1:15" x14ac:dyDescent="0.25">
      <c r="A97" s="33">
        <v>0.26666666666666666</v>
      </c>
      <c r="B97" s="33">
        <v>0.28627450980392155</v>
      </c>
      <c r="C97" s="33">
        <v>0.4392156862745098</v>
      </c>
      <c r="D97" s="33">
        <v>7.8431372549019607E-3</v>
      </c>
      <c r="E97" s="33">
        <v>0</v>
      </c>
      <c r="F97" s="34">
        <v>336</v>
      </c>
      <c r="G97" s="34">
        <v>14</v>
      </c>
      <c r="H97" s="34">
        <v>2</v>
      </c>
      <c r="I97" s="34">
        <v>0</v>
      </c>
      <c r="J97" s="34">
        <v>352</v>
      </c>
      <c r="K97" s="37">
        <v>0.95454545454545459</v>
      </c>
      <c r="L97" s="37">
        <v>3.9772727272727272E-2</v>
      </c>
      <c r="M97" s="37">
        <v>5.681818181818182E-3</v>
      </c>
      <c r="N97" s="37">
        <v>0</v>
      </c>
      <c r="O97" s="35">
        <v>39.355113636363633</v>
      </c>
    </row>
    <row r="98" spans="1:15" x14ac:dyDescent="0.25">
      <c r="A98" s="33">
        <v>0.19413919413919414</v>
      </c>
      <c r="B98" s="33">
        <v>0.37728937728937728</v>
      </c>
      <c r="C98" s="33">
        <v>0.39560439560439559</v>
      </c>
      <c r="D98" s="33">
        <v>1.8315018315018316E-2</v>
      </c>
      <c r="E98" s="33">
        <v>1.098901098901099E-2</v>
      </c>
      <c r="F98" s="34">
        <v>320</v>
      </c>
      <c r="G98" s="34">
        <v>27</v>
      </c>
      <c r="H98" s="34">
        <v>4</v>
      </c>
      <c r="I98" s="34">
        <v>1</v>
      </c>
      <c r="J98" s="34">
        <v>352</v>
      </c>
      <c r="K98" s="37">
        <v>0.90909090909090906</v>
      </c>
      <c r="L98" s="37">
        <v>7.6704545454545456E-2</v>
      </c>
      <c r="M98" s="37">
        <v>1.1363636363636364E-2</v>
      </c>
      <c r="N98" s="37">
        <v>2.840909090909091E-3</v>
      </c>
      <c r="O98" s="35">
        <v>26.164772727272727</v>
      </c>
    </row>
    <row r="99" spans="1:15" x14ac:dyDescent="0.25">
      <c r="A99" s="33">
        <v>0.22137404580152673</v>
      </c>
      <c r="B99" s="33">
        <v>8.3969465648854963E-2</v>
      </c>
      <c r="C99" s="33">
        <v>0.64122137404580148</v>
      </c>
      <c r="D99" s="33">
        <v>7.6335877862595417E-3</v>
      </c>
      <c r="E99" s="33">
        <v>7.6335877862595417E-3</v>
      </c>
      <c r="F99" s="34">
        <v>195</v>
      </c>
      <c r="G99" s="34">
        <v>3</v>
      </c>
      <c r="H99" s="34">
        <v>2</v>
      </c>
      <c r="I99" s="34">
        <v>0</v>
      </c>
      <c r="J99" s="34">
        <v>200</v>
      </c>
      <c r="K99" s="37">
        <v>0.97499999999999998</v>
      </c>
      <c r="L99" s="37">
        <v>1.4999999999999999E-2</v>
      </c>
      <c r="M99" s="37">
        <v>0.01</v>
      </c>
      <c r="N99" s="37">
        <v>0</v>
      </c>
      <c r="O99" s="35">
        <v>74.13</v>
      </c>
    </row>
    <row r="100" spans="1:15" x14ac:dyDescent="0.25">
      <c r="A100" s="33">
        <v>0.2073170731707317</v>
      </c>
      <c r="B100" s="33">
        <v>9.1463414634146339E-2</v>
      </c>
      <c r="C100" s="33">
        <v>0.68292682926829273</v>
      </c>
      <c r="D100" s="33">
        <v>6.0975609756097563E-3</v>
      </c>
      <c r="E100" s="33">
        <v>1.2195121951219513E-2</v>
      </c>
      <c r="F100" s="34">
        <v>195</v>
      </c>
      <c r="G100" s="34">
        <v>3</v>
      </c>
      <c r="H100" s="34">
        <v>2</v>
      </c>
      <c r="I100" s="34">
        <v>0</v>
      </c>
      <c r="J100" s="34">
        <v>200</v>
      </c>
      <c r="K100" s="37">
        <v>0.97499999999999998</v>
      </c>
      <c r="L100" s="37">
        <v>1.4999999999999999E-2</v>
      </c>
      <c r="M100" s="37">
        <v>0.01</v>
      </c>
      <c r="N100" s="37">
        <v>0</v>
      </c>
      <c r="O100" s="35">
        <v>62.215000000000003</v>
      </c>
    </row>
    <row r="101" spans="1:15" x14ac:dyDescent="0.25">
      <c r="A101" s="33">
        <v>0.26041666666666669</v>
      </c>
      <c r="B101" s="33">
        <v>0.28819444444444442</v>
      </c>
      <c r="C101" s="33">
        <v>0.43402777777777779</v>
      </c>
      <c r="D101" s="33">
        <v>3.472222222222222E-3</v>
      </c>
      <c r="E101" s="33">
        <v>6.9444444444444441E-3</v>
      </c>
      <c r="F101" s="34">
        <v>364</v>
      </c>
      <c r="G101" s="34">
        <v>9</v>
      </c>
      <c r="H101" s="34">
        <v>5</v>
      </c>
      <c r="I101" s="34">
        <v>0</v>
      </c>
      <c r="J101" s="34">
        <v>378</v>
      </c>
      <c r="K101" s="37">
        <v>0.96296296296296291</v>
      </c>
      <c r="L101" s="37">
        <v>2.3809523809523808E-2</v>
      </c>
      <c r="M101" s="37">
        <v>1.3227513227513227E-2</v>
      </c>
      <c r="N101" s="37">
        <v>0</v>
      </c>
      <c r="O101" s="35">
        <v>46.806878306878303</v>
      </c>
    </row>
    <row r="102" spans="1:15" x14ac:dyDescent="0.25">
      <c r="A102" s="33">
        <v>0.2533783783783784</v>
      </c>
      <c r="B102" s="33">
        <v>0.32770270270270269</v>
      </c>
      <c r="C102" s="33">
        <v>0.39527027027027029</v>
      </c>
      <c r="D102" s="33">
        <v>6.7567567567567571E-3</v>
      </c>
      <c r="E102" s="33">
        <v>1.0135135135135136E-2</v>
      </c>
      <c r="F102" s="34">
        <v>367</v>
      </c>
      <c r="G102" s="34">
        <v>4</v>
      </c>
      <c r="H102" s="34">
        <v>7</v>
      </c>
      <c r="I102" s="34">
        <v>0</v>
      </c>
      <c r="J102" s="34">
        <v>378</v>
      </c>
      <c r="K102" s="37">
        <v>0.97089947089947093</v>
      </c>
      <c r="L102" s="37">
        <v>1.0582010582010581E-2</v>
      </c>
      <c r="M102" s="37">
        <v>1.8518518518518517E-2</v>
      </c>
      <c r="N102" s="37">
        <v>0</v>
      </c>
      <c r="O102" s="35">
        <v>28.134920634920636</v>
      </c>
    </row>
    <row r="103" spans="1:15" x14ac:dyDescent="0.25">
      <c r="A103" s="33">
        <v>0.4823529411764706</v>
      </c>
      <c r="B103" s="33">
        <v>7.6470588235294124E-2</v>
      </c>
      <c r="C103" s="33">
        <v>0.4</v>
      </c>
      <c r="D103" s="33">
        <v>5.8823529411764705E-3</v>
      </c>
      <c r="E103" s="33">
        <v>1.1764705882352941E-2</v>
      </c>
      <c r="F103" s="34">
        <v>121</v>
      </c>
      <c r="G103" s="34">
        <v>117</v>
      </c>
      <c r="H103" s="34">
        <v>10</v>
      </c>
      <c r="I103" s="34">
        <v>2</v>
      </c>
      <c r="J103" s="34">
        <v>250</v>
      </c>
      <c r="K103" s="37">
        <v>0.48399999999999999</v>
      </c>
      <c r="L103" s="37">
        <v>0.46800000000000003</v>
      </c>
      <c r="M103" s="37">
        <v>0.04</v>
      </c>
      <c r="N103" s="37">
        <v>8.0000000000000002E-3</v>
      </c>
      <c r="O103" s="35">
        <v>71.116</v>
      </c>
    </row>
    <row r="104" spans="1:15" x14ac:dyDescent="0.25">
      <c r="A104" s="33">
        <v>0.51500000000000001</v>
      </c>
      <c r="B104" s="33">
        <v>6.5000000000000002E-2</v>
      </c>
      <c r="C104" s="33">
        <v>0.36499999999999999</v>
      </c>
      <c r="D104" s="33">
        <v>0.02</v>
      </c>
      <c r="E104" s="33">
        <v>0.02</v>
      </c>
      <c r="F104" s="34">
        <v>120</v>
      </c>
      <c r="G104" s="34">
        <v>120</v>
      </c>
      <c r="H104" s="34">
        <v>8</v>
      </c>
      <c r="I104" s="34">
        <v>2</v>
      </c>
      <c r="J104" s="34">
        <v>250</v>
      </c>
      <c r="K104" s="37">
        <v>0.48</v>
      </c>
      <c r="L104" s="37">
        <v>0.48</v>
      </c>
      <c r="M104" s="37">
        <v>3.2000000000000001E-2</v>
      </c>
      <c r="N104" s="37">
        <v>8.0000000000000002E-3</v>
      </c>
      <c r="O104" s="35">
        <v>61.164000000000001</v>
      </c>
    </row>
    <row r="105" spans="1:15" x14ac:dyDescent="0.25">
      <c r="A105" s="33">
        <v>0.57333333333333336</v>
      </c>
      <c r="B105" s="33">
        <v>0.13</v>
      </c>
      <c r="C105" s="33">
        <v>0.26333333333333331</v>
      </c>
      <c r="D105" s="33">
        <v>6.6666666666666671E-3</v>
      </c>
      <c r="E105" s="33">
        <v>3.3333333333333335E-3</v>
      </c>
      <c r="F105" s="34">
        <v>182</v>
      </c>
      <c r="G105" s="34">
        <v>221</v>
      </c>
      <c r="H105" s="34">
        <v>21</v>
      </c>
      <c r="I105" s="34">
        <v>0</v>
      </c>
      <c r="J105" s="34">
        <v>424</v>
      </c>
      <c r="K105" s="37">
        <v>0.42924528301886794</v>
      </c>
      <c r="L105" s="37">
        <v>0.52122641509433965</v>
      </c>
      <c r="M105" s="37">
        <v>4.9528301886792456E-2</v>
      </c>
      <c r="N105" s="37">
        <v>0</v>
      </c>
      <c r="O105" s="35">
        <v>49.132075471698116</v>
      </c>
    </row>
    <row r="106" spans="1:15" x14ac:dyDescent="0.25">
      <c r="A106" s="33">
        <v>0.63541666666666663</v>
      </c>
      <c r="B106" s="33">
        <v>0.1423611111111111</v>
      </c>
      <c r="C106" s="33">
        <v>0.21180555555555555</v>
      </c>
      <c r="D106" s="33">
        <v>3.472222222222222E-3</v>
      </c>
      <c r="E106" s="33">
        <v>6.9444444444444441E-3</v>
      </c>
      <c r="F106" s="34">
        <v>177</v>
      </c>
      <c r="G106" s="34">
        <v>224</v>
      </c>
      <c r="H106" s="34">
        <v>22</v>
      </c>
      <c r="I106" s="34">
        <v>2</v>
      </c>
      <c r="J106" s="34">
        <v>425</v>
      </c>
      <c r="K106" s="37">
        <v>0.41647058823529409</v>
      </c>
      <c r="L106" s="37">
        <v>0.5270588235294118</v>
      </c>
      <c r="M106" s="37">
        <v>5.1764705882352942E-2</v>
      </c>
      <c r="N106" s="37">
        <v>4.7058823529411761E-3</v>
      </c>
      <c r="O106" s="35">
        <v>36.682352941176468</v>
      </c>
    </row>
    <row r="107" spans="1:15" x14ac:dyDescent="0.25">
      <c r="A107" s="33">
        <v>0.51700680272108845</v>
      </c>
      <c r="B107" s="33">
        <v>0.17346938775510204</v>
      </c>
      <c r="C107" s="33">
        <v>0.29931972789115646</v>
      </c>
      <c r="D107" s="33">
        <v>3.4013605442176869E-3</v>
      </c>
      <c r="E107" s="33">
        <v>3.4013605442176869E-3</v>
      </c>
      <c r="F107" s="34">
        <v>212</v>
      </c>
      <c r="G107" s="34">
        <v>191</v>
      </c>
      <c r="H107" s="34">
        <v>20</v>
      </c>
      <c r="I107" s="34">
        <v>2</v>
      </c>
      <c r="J107" s="34">
        <v>425</v>
      </c>
      <c r="K107" s="37">
        <v>0.49882352941176472</v>
      </c>
      <c r="L107" s="37">
        <v>0.44941176470588234</v>
      </c>
      <c r="M107" s="37">
        <v>4.7058823529411764E-2</v>
      </c>
      <c r="N107" s="37">
        <v>4.7058823529411761E-3</v>
      </c>
      <c r="O107" s="35">
        <v>25.131764705882354</v>
      </c>
    </row>
    <row r="108" spans="1:15" x14ac:dyDescent="0.25">
      <c r="A108" s="33">
        <v>0.78400000000000003</v>
      </c>
      <c r="B108" s="33">
        <v>8.0000000000000002E-3</v>
      </c>
      <c r="C108" s="33">
        <v>0.192</v>
      </c>
      <c r="D108" s="33">
        <v>8.0000000000000002E-3</v>
      </c>
      <c r="E108" s="33">
        <v>0</v>
      </c>
      <c r="F108" s="34">
        <v>36</v>
      </c>
      <c r="G108" s="34">
        <v>195</v>
      </c>
      <c r="H108" s="34">
        <v>19</v>
      </c>
      <c r="I108" s="34">
        <v>0</v>
      </c>
      <c r="J108" s="34">
        <v>250</v>
      </c>
      <c r="K108" s="37">
        <v>0.14399999999999999</v>
      </c>
      <c r="L108" s="37">
        <v>0.78</v>
      </c>
      <c r="M108" s="37">
        <v>7.5999999999999998E-2</v>
      </c>
      <c r="N108" s="37">
        <v>0</v>
      </c>
      <c r="O108" s="35">
        <v>73.563999999999993</v>
      </c>
    </row>
    <row r="109" spans="1:15" x14ac:dyDescent="0.25">
      <c r="A109" s="33">
        <v>0.62365591397849462</v>
      </c>
      <c r="B109" s="33">
        <v>8.0645161290322578E-2</v>
      </c>
      <c r="C109" s="33">
        <v>0.26344086021505375</v>
      </c>
      <c r="D109" s="33">
        <v>1.0752688172043012E-2</v>
      </c>
      <c r="E109" s="33">
        <v>5.3763440860215058E-3</v>
      </c>
      <c r="F109" s="34">
        <v>86</v>
      </c>
      <c r="G109" s="34">
        <v>159</v>
      </c>
      <c r="H109" s="34">
        <v>4</v>
      </c>
      <c r="I109" s="34">
        <v>1</v>
      </c>
      <c r="J109" s="34">
        <v>250</v>
      </c>
      <c r="K109" s="37">
        <v>0.34399999999999997</v>
      </c>
      <c r="L109" s="37">
        <v>0.63600000000000001</v>
      </c>
      <c r="M109" s="37">
        <v>1.6E-2</v>
      </c>
      <c r="N109" s="37">
        <v>4.0000000000000001E-3</v>
      </c>
      <c r="O109" s="35">
        <v>51.844000000000001</v>
      </c>
    </row>
    <row r="110" spans="1:15" x14ac:dyDescent="0.25">
      <c r="A110" s="33">
        <v>0.71370967741935487</v>
      </c>
      <c r="B110" s="33">
        <v>0.10887096774193548</v>
      </c>
      <c r="C110" s="33">
        <v>0.16935483870967741</v>
      </c>
      <c r="D110" s="33">
        <v>4.0322580645161289E-3</v>
      </c>
      <c r="E110" s="33">
        <v>4.0322580645161289E-3</v>
      </c>
      <c r="F110" s="34">
        <v>141</v>
      </c>
      <c r="G110" s="34">
        <v>196</v>
      </c>
      <c r="H110" s="34">
        <v>7</v>
      </c>
      <c r="I110" s="34">
        <v>0</v>
      </c>
      <c r="J110" s="34">
        <v>344</v>
      </c>
      <c r="K110" s="37">
        <v>0.40988372093023256</v>
      </c>
      <c r="L110" s="37">
        <v>0.56976744186046513</v>
      </c>
      <c r="M110" s="37">
        <v>2.0348837209302327E-2</v>
      </c>
      <c r="N110" s="37">
        <v>0</v>
      </c>
      <c r="O110" s="35">
        <v>30.593023255813954</v>
      </c>
    </row>
    <row r="111" spans="1:15" x14ac:dyDescent="0.25">
      <c r="A111" s="33">
        <v>0.28799999999999998</v>
      </c>
      <c r="B111" s="33">
        <v>0.23200000000000001</v>
      </c>
      <c r="C111" s="33">
        <v>0.44800000000000001</v>
      </c>
      <c r="D111" s="33">
        <v>8.0000000000000002E-3</v>
      </c>
      <c r="E111" s="33">
        <v>1.6E-2</v>
      </c>
      <c r="F111" s="34">
        <v>160</v>
      </c>
      <c r="G111" s="34">
        <v>26</v>
      </c>
      <c r="H111" s="34">
        <v>3</v>
      </c>
      <c r="I111" s="34">
        <v>0</v>
      </c>
      <c r="J111" s="34">
        <v>189</v>
      </c>
      <c r="K111" s="37">
        <v>0.84656084656084651</v>
      </c>
      <c r="L111" s="37">
        <v>0.13756613756613756</v>
      </c>
      <c r="M111" s="37">
        <v>1.5873015873015872E-2</v>
      </c>
      <c r="N111" s="37">
        <v>0</v>
      </c>
      <c r="O111" s="35">
        <v>49.111111111111114</v>
      </c>
    </row>
    <row r="112" spans="1:15" x14ac:dyDescent="0.25">
      <c r="A112" s="33">
        <v>0.53531598513011147</v>
      </c>
      <c r="B112" s="33">
        <v>4.4609665427509292E-2</v>
      </c>
      <c r="C112" s="33">
        <v>0.37546468401486988</v>
      </c>
      <c r="D112" s="33">
        <v>7.4349442379182153E-3</v>
      </c>
      <c r="E112" s="33">
        <v>2.2304832713754646E-2</v>
      </c>
      <c r="F112" s="34">
        <v>181</v>
      </c>
      <c r="G112" s="34">
        <v>161</v>
      </c>
      <c r="H112" s="34">
        <v>108</v>
      </c>
      <c r="I112" s="34">
        <v>0</v>
      </c>
      <c r="J112" s="34">
        <v>450</v>
      </c>
      <c r="K112" s="37">
        <v>0.4022222222222222</v>
      </c>
      <c r="L112" s="37">
        <v>0.35777777777777775</v>
      </c>
      <c r="M112" s="37">
        <v>0.24</v>
      </c>
      <c r="N112" s="37">
        <v>0</v>
      </c>
      <c r="O112" s="35">
        <v>67.942222222222227</v>
      </c>
    </row>
    <row r="113" spans="1:15" x14ac:dyDescent="0.25">
      <c r="A113" s="33">
        <v>0.5127478753541076</v>
      </c>
      <c r="B113" s="33">
        <v>8.2152974504249299E-2</v>
      </c>
      <c r="C113" s="33">
        <v>0.35977337110481589</v>
      </c>
      <c r="D113" s="33">
        <v>1.69971671388102E-2</v>
      </c>
      <c r="E113" s="33">
        <v>1.9830028328611898E-2</v>
      </c>
      <c r="F113" s="34">
        <v>209</v>
      </c>
      <c r="G113" s="34">
        <v>139</v>
      </c>
      <c r="H113" s="34">
        <v>102</v>
      </c>
      <c r="I113" s="34">
        <v>0</v>
      </c>
      <c r="J113" s="34">
        <v>450</v>
      </c>
      <c r="K113" s="37">
        <v>0.46444444444444444</v>
      </c>
      <c r="L113" s="37">
        <v>0.30888888888888888</v>
      </c>
      <c r="M113" s="37">
        <v>0.22666666666666666</v>
      </c>
      <c r="N113" s="37">
        <v>0</v>
      </c>
      <c r="O113" s="35">
        <v>64.873333333333335</v>
      </c>
    </row>
    <row r="114" spans="1:15" x14ac:dyDescent="0.25">
      <c r="A114" s="33">
        <v>0.52089136490250698</v>
      </c>
      <c r="B114" s="33">
        <v>0.11977715877437325</v>
      </c>
      <c r="C114" s="33">
        <v>0.33147632311977715</v>
      </c>
      <c r="D114" s="33">
        <v>1.9498607242339833E-2</v>
      </c>
      <c r="E114" s="33">
        <v>5.5710306406685237E-3</v>
      </c>
      <c r="F114" s="34">
        <v>212</v>
      </c>
      <c r="G114" s="34">
        <v>135</v>
      </c>
      <c r="H114" s="34">
        <v>100</v>
      </c>
      <c r="I114" s="34">
        <v>3</v>
      </c>
      <c r="J114" s="34">
        <v>450</v>
      </c>
      <c r="K114" s="37">
        <v>0.47111111111111109</v>
      </c>
      <c r="L114" s="37">
        <v>0.3</v>
      </c>
      <c r="M114" s="37">
        <v>0.22222222222222221</v>
      </c>
      <c r="N114" s="37">
        <v>6.6666666666666671E-3</v>
      </c>
      <c r="O114" s="35">
        <v>58.306666666666665</v>
      </c>
    </row>
    <row r="115" spans="1:15" x14ac:dyDescent="0.25">
      <c r="A115" s="33">
        <v>0.51450676982591881</v>
      </c>
      <c r="B115" s="33">
        <v>0.17794970986460348</v>
      </c>
      <c r="C115" s="33">
        <v>0.27852998065764023</v>
      </c>
      <c r="D115" s="33">
        <v>1.7408123791102514E-2</v>
      </c>
      <c r="E115" s="33">
        <v>5.8027079303675051E-3</v>
      </c>
      <c r="F115" s="34">
        <v>345</v>
      </c>
      <c r="G115" s="34">
        <v>231</v>
      </c>
      <c r="H115" s="34">
        <v>117</v>
      </c>
      <c r="I115" s="34">
        <v>3</v>
      </c>
      <c r="J115" s="34">
        <v>696</v>
      </c>
      <c r="K115" s="37">
        <v>0.49568965517241381</v>
      </c>
      <c r="L115" s="37">
        <v>0.33189655172413796</v>
      </c>
      <c r="M115" s="37">
        <v>0.16810344827586207</v>
      </c>
      <c r="N115" s="37">
        <v>4.3103448275862068E-3</v>
      </c>
      <c r="O115" s="35">
        <v>50.418103448275865</v>
      </c>
    </row>
    <row r="116" spans="1:15" x14ac:dyDescent="0.25">
      <c r="A116" s="33">
        <v>0.5723140495867769</v>
      </c>
      <c r="B116" s="33">
        <v>0.16942148760330578</v>
      </c>
      <c r="C116" s="33">
        <v>0.23553719008264462</v>
      </c>
      <c r="D116" s="33">
        <v>1.4462809917355372E-2</v>
      </c>
      <c r="E116" s="33">
        <v>8.2644628099173556E-3</v>
      </c>
      <c r="F116" s="34">
        <v>319</v>
      </c>
      <c r="G116" s="34">
        <v>273</v>
      </c>
      <c r="H116" s="34">
        <v>104</v>
      </c>
      <c r="I116" s="34">
        <v>1</v>
      </c>
      <c r="J116" s="34">
        <v>697</v>
      </c>
      <c r="K116" s="37">
        <v>0.45767575322812054</v>
      </c>
      <c r="L116" s="37">
        <v>0.39167862266857961</v>
      </c>
      <c r="M116" s="37">
        <v>0.14921090387374461</v>
      </c>
      <c r="N116" s="37">
        <v>1.4347202295552368E-3</v>
      </c>
      <c r="O116" s="35">
        <v>41.278335724533719</v>
      </c>
    </row>
    <row r="117" spans="1:15" x14ac:dyDescent="0.25">
      <c r="A117" s="33">
        <v>0.52092050209205021</v>
      </c>
      <c r="B117" s="33">
        <v>0.21548117154811716</v>
      </c>
      <c r="C117" s="33">
        <v>0.2510460251046025</v>
      </c>
      <c r="D117" s="33">
        <v>8.368200836820083E-3</v>
      </c>
      <c r="E117" s="33">
        <v>4.1841004184100415E-3</v>
      </c>
      <c r="F117" s="34">
        <v>383</v>
      </c>
      <c r="G117" s="34">
        <v>218</v>
      </c>
      <c r="H117" s="34">
        <v>94</v>
      </c>
      <c r="I117" s="34">
        <v>2</v>
      </c>
      <c r="J117" s="34">
        <v>697</v>
      </c>
      <c r="K117" s="37">
        <v>0.54949784791965561</v>
      </c>
      <c r="L117" s="37">
        <v>0.31276901004304158</v>
      </c>
      <c r="M117" s="37">
        <v>0.13486370157819225</v>
      </c>
      <c r="N117" s="37">
        <v>2.8694404591104736E-3</v>
      </c>
      <c r="O117" s="35">
        <v>34.836441893830703</v>
      </c>
    </row>
    <row r="118" spans="1:15" x14ac:dyDescent="0.25">
      <c r="A118" s="33">
        <v>0.47422680412371132</v>
      </c>
      <c r="B118" s="33">
        <v>0.21030927835051547</v>
      </c>
      <c r="C118" s="33">
        <v>0.30309278350515462</v>
      </c>
      <c r="D118" s="33">
        <v>1.0309278350515464E-2</v>
      </c>
      <c r="E118" s="33">
        <v>2.0618556701030928E-3</v>
      </c>
      <c r="F118" s="34">
        <v>395</v>
      </c>
      <c r="G118" s="34">
        <v>194</v>
      </c>
      <c r="H118" s="34">
        <v>106</v>
      </c>
      <c r="I118" s="34">
        <v>2</v>
      </c>
      <c r="J118" s="34">
        <v>697</v>
      </c>
      <c r="K118" s="37">
        <v>0.56671449067431856</v>
      </c>
      <c r="L118" s="37">
        <v>0.27833572453371591</v>
      </c>
      <c r="M118" s="37">
        <v>0.15208034433285508</v>
      </c>
      <c r="N118" s="37">
        <v>2.8694404591104736E-3</v>
      </c>
      <c r="O118" s="35">
        <v>29.91535150645624</v>
      </c>
    </row>
    <row r="119" spans="1:15" x14ac:dyDescent="0.25">
      <c r="A119" s="33">
        <v>0.49333333333333335</v>
      </c>
      <c r="B119" s="33">
        <v>0.20952380952380953</v>
      </c>
      <c r="C119" s="33">
        <v>0.28000000000000003</v>
      </c>
      <c r="D119" s="33">
        <v>9.5238095238095247E-3</v>
      </c>
      <c r="E119" s="33">
        <v>1.9047619047619048E-3</v>
      </c>
      <c r="F119" s="34">
        <v>453</v>
      </c>
      <c r="G119" s="34">
        <v>157</v>
      </c>
      <c r="H119" s="34">
        <v>86</v>
      </c>
      <c r="I119" s="34">
        <v>1</v>
      </c>
      <c r="J119" s="34">
        <v>697</v>
      </c>
      <c r="K119" s="37">
        <v>0.64992826398852221</v>
      </c>
      <c r="L119" s="37">
        <v>0.22525107604017217</v>
      </c>
      <c r="M119" s="37">
        <v>0.12338593974175036</v>
      </c>
      <c r="N119" s="37">
        <v>1.4347202295552368E-3</v>
      </c>
      <c r="O119" s="35">
        <v>25.493543758967</v>
      </c>
    </row>
    <row r="120" spans="1:15" x14ac:dyDescent="0.25">
      <c r="A120" s="33">
        <v>0.42408376963350786</v>
      </c>
      <c r="B120" s="33">
        <v>0.2582897033158813</v>
      </c>
      <c r="C120" s="33">
        <v>0.30541012216404889</v>
      </c>
      <c r="D120" s="33">
        <v>5.235602094240838E-3</v>
      </c>
      <c r="E120" s="33">
        <v>3.4904013961605585E-3</v>
      </c>
      <c r="F120" s="34">
        <v>494</v>
      </c>
      <c r="G120" s="34">
        <v>137</v>
      </c>
      <c r="H120" s="34">
        <v>66</v>
      </c>
      <c r="I120" s="34">
        <v>0</v>
      </c>
      <c r="J120" s="34">
        <v>697</v>
      </c>
      <c r="K120" s="37">
        <v>0.70875179340028693</v>
      </c>
      <c r="L120" s="37">
        <v>0.19655667144906744</v>
      </c>
      <c r="M120" s="37">
        <v>9.4691535150645628E-2</v>
      </c>
      <c r="N120" s="37">
        <v>0</v>
      </c>
      <c r="O120" s="35">
        <v>20.638450502152079</v>
      </c>
    </row>
    <row r="121" spans="1:15" x14ac:dyDescent="0.25">
      <c r="A121" s="33">
        <v>0.88235294117647056</v>
      </c>
      <c r="B121" s="33">
        <v>0</v>
      </c>
      <c r="C121" s="33">
        <v>8.4033613445378158E-2</v>
      </c>
      <c r="D121" s="33">
        <v>0</v>
      </c>
      <c r="E121" s="33">
        <v>3.3613445378151259E-2</v>
      </c>
      <c r="F121" s="34">
        <v>1</v>
      </c>
      <c r="G121" s="34">
        <v>187</v>
      </c>
      <c r="H121" s="34">
        <v>10</v>
      </c>
      <c r="I121" s="34">
        <v>2</v>
      </c>
      <c r="J121" s="34">
        <v>200</v>
      </c>
      <c r="K121" s="37">
        <v>5.0000000000000001E-3</v>
      </c>
      <c r="L121" s="37">
        <v>0.93500000000000005</v>
      </c>
      <c r="M121" s="37">
        <v>0.05</v>
      </c>
      <c r="N121" s="37">
        <v>0.01</v>
      </c>
      <c r="O121" s="35">
        <v>74.534999999999997</v>
      </c>
    </row>
    <row r="122" spans="1:15" x14ac:dyDescent="0.25">
      <c r="A122" s="33">
        <v>0.96202531645569622</v>
      </c>
      <c r="B122" s="33">
        <v>0</v>
      </c>
      <c r="C122" s="33">
        <v>3.7974683544303799E-2</v>
      </c>
      <c r="D122" s="33">
        <v>0</v>
      </c>
      <c r="E122" s="33">
        <v>0</v>
      </c>
      <c r="F122" s="34">
        <v>2</v>
      </c>
      <c r="G122" s="34">
        <v>217</v>
      </c>
      <c r="H122" s="34">
        <v>6</v>
      </c>
      <c r="I122" s="34">
        <v>1</v>
      </c>
      <c r="J122" s="34">
        <v>226</v>
      </c>
      <c r="K122" s="37">
        <v>8.8495575221238937E-3</v>
      </c>
      <c r="L122" s="37">
        <v>0.96017699115044253</v>
      </c>
      <c r="M122" s="37">
        <v>2.6548672566371681E-2</v>
      </c>
      <c r="N122" s="37">
        <v>4.4247787610619468E-3</v>
      </c>
      <c r="O122" s="35">
        <v>48.084070796460175</v>
      </c>
    </row>
    <row r="123" spans="1:15" x14ac:dyDescent="0.25">
      <c r="A123" s="33">
        <v>0.26865671641791045</v>
      </c>
      <c r="B123" s="33">
        <v>0.23880597014925373</v>
      </c>
      <c r="C123" s="33">
        <v>0.41791044776119401</v>
      </c>
      <c r="D123" s="33">
        <v>4.4776119402985072E-2</v>
      </c>
      <c r="E123" s="33">
        <v>1.4925373134328358E-2</v>
      </c>
      <c r="F123" s="34">
        <v>74</v>
      </c>
      <c r="G123" s="34">
        <v>13</v>
      </c>
      <c r="H123" s="34">
        <v>22</v>
      </c>
      <c r="I123" s="34">
        <v>0</v>
      </c>
      <c r="J123" s="34">
        <v>109</v>
      </c>
      <c r="K123" s="37">
        <v>0.67889908256880738</v>
      </c>
      <c r="L123" s="37">
        <v>0.11926605504587157</v>
      </c>
      <c r="M123" s="37">
        <v>0.20183486238532111</v>
      </c>
      <c r="N123" s="37">
        <v>0</v>
      </c>
      <c r="O123" s="35">
        <v>62</v>
      </c>
    </row>
    <row r="124" spans="1:15" x14ac:dyDescent="0.25">
      <c r="A124" s="33">
        <v>0.44827586206896552</v>
      </c>
      <c r="B124" s="33">
        <v>6.2068965517241378E-2</v>
      </c>
      <c r="C124" s="33">
        <v>0.44827586206896552</v>
      </c>
      <c r="D124" s="33">
        <v>0</v>
      </c>
      <c r="E124" s="33">
        <v>1.3793103448275862E-2</v>
      </c>
      <c r="F124" s="34">
        <v>91</v>
      </c>
      <c r="G124" s="34">
        <v>92</v>
      </c>
      <c r="H124" s="34">
        <v>16</v>
      </c>
      <c r="I124" s="34">
        <v>1</v>
      </c>
      <c r="J124" s="34">
        <v>200</v>
      </c>
      <c r="K124" s="37">
        <v>0.45500000000000002</v>
      </c>
      <c r="L124" s="37">
        <v>0.46</v>
      </c>
      <c r="M124" s="37">
        <v>0.08</v>
      </c>
      <c r="N124" s="37">
        <v>5.0000000000000001E-3</v>
      </c>
      <c r="O124" s="35">
        <v>69.454999999999998</v>
      </c>
    </row>
    <row r="125" spans="1:15" x14ac:dyDescent="0.25">
      <c r="A125" s="33">
        <v>0.46875</v>
      </c>
      <c r="B125" s="33">
        <v>8.7499999999999994E-2</v>
      </c>
      <c r="C125" s="33">
        <v>0.41875000000000001</v>
      </c>
      <c r="D125" s="33">
        <v>6.2500000000000003E-3</v>
      </c>
      <c r="E125" s="33">
        <v>1.2500000000000001E-2</v>
      </c>
      <c r="F125" s="34">
        <v>106</v>
      </c>
      <c r="G125" s="34">
        <v>67</v>
      </c>
      <c r="H125" s="34">
        <v>26</v>
      </c>
      <c r="I125" s="34">
        <v>1</v>
      </c>
      <c r="J125" s="34">
        <v>200</v>
      </c>
      <c r="K125" s="37">
        <v>0.53</v>
      </c>
      <c r="L125" s="37">
        <v>0.33500000000000002</v>
      </c>
      <c r="M125" s="37">
        <v>0.13</v>
      </c>
      <c r="N125" s="37">
        <v>5.0000000000000001E-3</v>
      </c>
      <c r="O125" s="35">
        <v>59.75</v>
      </c>
    </row>
    <row r="126" spans="1:15" x14ac:dyDescent="0.25">
      <c r="A126" s="33">
        <v>0.4051094890510949</v>
      </c>
      <c r="B126" s="33">
        <v>0.22262773722627738</v>
      </c>
      <c r="C126" s="33">
        <v>0.36131386861313869</v>
      </c>
      <c r="D126" s="33">
        <v>3.6496350364963502E-3</v>
      </c>
      <c r="E126" s="33">
        <v>3.6496350364963502E-3</v>
      </c>
      <c r="F126" s="34">
        <v>257</v>
      </c>
      <c r="G126" s="34">
        <v>84</v>
      </c>
      <c r="H126" s="34">
        <v>47</v>
      </c>
      <c r="I126" s="34">
        <v>3</v>
      </c>
      <c r="J126" s="34">
        <v>391</v>
      </c>
      <c r="K126" s="37">
        <v>0.65728900255754474</v>
      </c>
      <c r="L126" s="37">
        <v>0.21483375959079284</v>
      </c>
      <c r="M126" s="37">
        <v>0.12020460358056266</v>
      </c>
      <c r="N126" s="37">
        <v>7.6726342710997444E-3</v>
      </c>
      <c r="O126" s="35">
        <v>40.736572890025577</v>
      </c>
    </row>
    <row r="127" spans="1:15" x14ac:dyDescent="0.25">
      <c r="A127" s="33">
        <v>0.2608695652173913</v>
      </c>
      <c r="B127" s="33">
        <v>0.34113712374581939</v>
      </c>
      <c r="C127" s="33">
        <v>0.38795986622073581</v>
      </c>
      <c r="D127" s="33">
        <v>3.3444816053511705E-3</v>
      </c>
      <c r="E127" s="33">
        <v>6.688963210702341E-3</v>
      </c>
      <c r="F127" s="34">
        <v>345</v>
      </c>
      <c r="G127" s="34">
        <v>23</v>
      </c>
      <c r="H127" s="34">
        <v>24</v>
      </c>
      <c r="I127" s="34">
        <v>0</v>
      </c>
      <c r="J127" s="34">
        <v>392</v>
      </c>
      <c r="K127" s="37">
        <v>0.88010204081632648</v>
      </c>
      <c r="L127" s="37">
        <v>5.8673469387755105E-2</v>
      </c>
      <c r="M127" s="37">
        <v>6.1224489795918366E-2</v>
      </c>
      <c r="N127" s="37">
        <v>0</v>
      </c>
      <c r="O127" s="35">
        <v>23.841836734693878</v>
      </c>
    </row>
    <row r="128" spans="1:15" x14ac:dyDescent="0.25">
      <c r="A128" s="33">
        <v>0.24409448818897639</v>
      </c>
      <c r="B128" s="33">
        <v>9.4488188976377951E-2</v>
      </c>
      <c r="C128" s="33">
        <v>0.65354330708661412</v>
      </c>
      <c r="D128" s="33">
        <v>0</v>
      </c>
      <c r="E128" s="33">
        <v>3.937007874015748E-3</v>
      </c>
      <c r="F128" s="34">
        <v>292</v>
      </c>
      <c r="G128" s="34">
        <v>32</v>
      </c>
      <c r="H128" s="34">
        <v>25</v>
      </c>
      <c r="I128" s="34">
        <v>1</v>
      </c>
      <c r="J128" s="34">
        <v>350</v>
      </c>
      <c r="K128" s="37">
        <v>0.8342857142857143</v>
      </c>
      <c r="L128" s="37">
        <v>9.1428571428571428E-2</v>
      </c>
      <c r="M128" s="37">
        <v>7.1428571428571425E-2</v>
      </c>
      <c r="N128" s="37">
        <v>2.8571428571428571E-3</v>
      </c>
      <c r="O128" s="35">
        <v>68.15428571428572</v>
      </c>
    </row>
    <row r="129" spans="1:15" x14ac:dyDescent="0.25">
      <c r="A129" s="33">
        <v>0.33443708609271522</v>
      </c>
      <c r="B129" s="33">
        <v>6.9536423841059597E-2</v>
      </c>
      <c r="C129" s="33">
        <v>0.55960264900662249</v>
      </c>
      <c r="D129" s="33">
        <v>1.6556291390728478E-2</v>
      </c>
      <c r="E129" s="33">
        <v>9.9337748344370865E-3</v>
      </c>
      <c r="F129" s="34">
        <v>268</v>
      </c>
      <c r="G129" s="34">
        <v>45</v>
      </c>
      <c r="H129" s="34">
        <v>36</v>
      </c>
      <c r="I129" s="34">
        <v>1</v>
      </c>
      <c r="J129" s="34">
        <v>350</v>
      </c>
      <c r="K129" s="37">
        <v>0.76571428571428568</v>
      </c>
      <c r="L129" s="37">
        <v>0.12857142857142856</v>
      </c>
      <c r="M129" s="37">
        <v>0.10285714285714286</v>
      </c>
      <c r="N129" s="37">
        <v>2.8571428571428571E-3</v>
      </c>
      <c r="O129" s="35">
        <v>62.702857142857141</v>
      </c>
    </row>
    <row r="130" spans="1:15" x14ac:dyDescent="0.25">
      <c r="A130" s="33">
        <v>0.41648590021691972</v>
      </c>
      <c r="B130" s="33">
        <v>0.13882863340563992</v>
      </c>
      <c r="C130" s="33">
        <v>0.42299349240780909</v>
      </c>
      <c r="D130" s="33">
        <v>8.6767895878524948E-3</v>
      </c>
      <c r="E130" s="33">
        <v>8.6767895878524948E-3</v>
      </c>
      <c r="F130" s="34">
        <v>394</v>
      </c>
      <c r="G130" s="34">
        <v>123</v>
      </c>
      <c r="H130" s="34">
        <v>59</v>
      </c>
      <c r="I130" s="34">
        <v>3</v>
      </c>
      <c r="J130" s="34">
        <v>579</v>
      </c>
      <c r="K130" s="37">
        <v>0.6804835924006909</v>
      </c>
      <c r="L130" s="37">
        <v>0.21243523316062177</v>
      </c>
      <c r="M130" s="37">
        <v>0.10189982728842832</v>
      </c>
      <c r="N130" s="37">
        <v>5.1813471502590676E-3</v>
      </c>
      <c r="O130" s="35">
        <v>50.984455958549226</v>
      </c>
    </row>
    <row r="131" spans="1:15" x14ac:dyDescent="0.25">
      <c r="A131" s="33">
        <v>0.37380952380952381</v>
      </c>
      <c r="B131" s="33">
        <v>0.21428571428571427</v>
      </c>
      <c r="C131" s="33">
        <v>0.39523809523809522</v>
      </c>
      <c r="D131" s="33">
        <v>7.1428571428571426E-3</v>
      </c>
      <c r="E131" s="33">
        <v>7.1428571428571426E-3</v>
      </c>
      <c r="F131" s="34">
        <v>415</v>
      </c>
      <c r="G131" s="34">
        <v>119</v>
      </c>
      <c r="H131" s="34">
        <v>43</v>
      </c>
      <c r="I131" s="34">
        <v>2</v>
      </c>
      <c r="J131" s="34">
        <v>579</v>
      </c>
      <c r="K131" s="37">
        <v>0.71675302245250427</v>
      </c>
      <c r="L131" s="37">
        <v>0.20552677029360966</v>
      </c>
      <c r="M131" s="37">
        <v>7.426597582037997E-2</v>
      </c>
      <c r="N131" s="37">
        <v>3.4542314335060447E-3</v>
      </c>
      <c r="O131" s="35">
        <v>39.737478411053537</v>
      </c>
    </row>
    <row r="132" spans="1:15" x14ac:dyDescent="0.25">
      <c r="A132" s="33">
        <v>0.40470588235294119</v>
      </c>
      <c r="B132" s="33">
        <v>0.23058823529411765</v>
      </c>
      <c r="C132" s="33">
        <v>0.3623529411764706</v>
      </c>
      <c r="D132" s="33">
        <v>0</v>
      </c>
      <c r="E132" s="33">
        <v>2.352941176470588E-3</v>
      </c>
      <c r="F132" s="34">
        <v>408</v>
      </c>
      <c r="G132" s="34">
        <v>109</v>
      </c>
      <c r="H132" s="34">
        <v>61</v>
      </c>
      <c r="I132" s="34">
        <v>2</v>
      </c>
      <c r="J132" s="34">
        <v>580</v>
      </c>
      <c r="K132" s="37">
        <v>0.70344827586206893</v>
      </c>
      <c r="L132" s="37">
        <v>0.18793103448275861</v>
      </c>
      <c r="M132" s="37">
        <v>0.10517241379310345</v>
      </c>
      <c r="N132" s="37">
        <v>3.4482758620689655E-3</v>
      </c>
      <c r="O132" s="35">
        <v>32.622413793103448</v>
      </c>
    </row>
    <row r="133" spans="1:15" x14ac:dyDescent="0.25">
      <c r="A133" s="33">
        <v>0.38536585365853659</v>
      </c>
      <c r="B133" s="33">
        <v>0.28780487804878047</v>
      </c>
      <c r="C133" s="33">
        <v>0.31463414634146342</v>
      </c>
      <c r="D133" s="33">
        <v>0</v>
      </c>
      <c r="E133" s="33">
        <v>1.2195121951219513E-2</v>
      </c>
      <c r="F133" s="34">
        <v>391</v>
      </c>
      <c r="G133" s="34">
        <v>119</v>
      </c>
      <c r="H133" s="34">
        <v>70</v>
      </c>
      <c r="I133" s="34">
        <v>0</v>
      </c>
      <c r="J133" s="34">
        <v>580</v>
      </c>
      <c r="K133" s="37">
        <v>0.67413793103448272</v>
      </c>
      <c r="L133" s="37">
        <v>0.20517241379310344</v>
      </c>
      <c r="M133" s="37">
        <v>0.1206896551724138</v>
      </c>
      <c r="N133" s="37">
        <v>0</v>
      </c>
      <c r="O133" s="35">
        <v>23.810344827586206</v>
      </c>
    </row>
    <row r="134" spans="1:15" x14ac:dyDescent="0.25">
      <c r="A134" s="33">
        <v>0.16500000000000001</v>
      </c>
      <c r="B134" s="33">
        <v>0.09</v>
      </c>
      <c r="C134" s="33">
        <v>0.73</v>
      </c>
      <c r="D134" s="33">
        <v>0</v>
      </c>
      <c r="E134" s="33">
        <v>0</v>
      </c>
      <c r="F134" s="34">
        <v>250</v>
      </c>
      <c r="G134" s="34">
        <v>0</v>
      </c>
      <c r="H134" s="34">
        <v>0</v>
      </c>
      <c r="I134" s="34">
        <v>0</v>
      </c>
      <c r="J134" s="34">
        <v>250</v>
      </c>
      <c r="K134" s="37">
        <v>1</v>
      </c>
      <c r="L134" s="37">
        <v>0</v>
      </c>
      <c r="M134" s="37">
        <v>0</v>
      </c>
      <c r="N134" s="37">
        <v>0</v>
      </c>
      <c r="O134" s="35">
        <v>63.856000000000002</v>
      </c>
    </row>
    <row r="135" spans="1:15" x14ac:dyDescent="0.25">
      <c r="A135" s="33">
        <v>0.1875</v>
      </c>
      <c r="B135" s="33">
        <v>0.28472222222222221</v>
      </c>
      <c r="C135" s="33">
        <v>0.50694444444444442</v>
      </c>
      <c r="D135" s="33">
        <v>3.472222222222222E-3</v>
      </c>
      <c r="E135" s="33">
        <v>1.3888888888888888E-2</v>
      </c>
      <c r="F135" s="34">
        <v>376</v>
      </c>
      <c r="G135" s="34">
        <v>1</v>
      </c>
      <c r="H135" s="34">
        <v>0</v>
      </c>
      <c r="I135" s="34">
        <v>0</v>
      </c>
      <c r="J135" s="34">
        <v>377</v>
      </c>
      <c r="K135" s="37">
        <v>0.99734748010610075</v>
      </c>
      <c r="L135" s="37">
        <v>2.6525198938992041E-3</v>
      </c>
      <c r="M135" s="37">
        <v>0</v>
      </c>
      <c r="N135" s="37">
        <v>0</v>
      </c>
      <c r="O135" s="35">
        <v>35.334217506631298</v>
      </c>
    </row>
    <row r="136" spans="1:15" x14ac:dyDescent="0.25">
      <c r="A136" s="33">
        <v>0.23076923076923078</v>
      </c>
      <c r="B136" s="33">
        <v>0.1417004048582996</v>
      </c>
      <c r="C136" s="33">
        <v>0.60728744939271251</v>
      </c>
      <c r="D136" s="33">
        <v>4.048582995951417E-3</v>
      </c>
      <c r="E136" s="33">
        <v>4.048582995951417E-3</v>
      </c>
      <c r="F136" s="34">
        <v>315</v>
      </c>
      <c r="G136" s="34">
        <v>1</v>
      </c>
      <c r="H136" s="34">
        <v>0</v>
      </c>
      <c r="I136" s="34">
        <v>1</v>
      </c>
      <c r="J136" s="34">
        <v>317</v>
      </c>
      <c r="K136" s="37">
        <v>0.99369085173501581</v>
      </c>
      <c r="L136" s="37">
        <v>3.1545741324921135E-3</v>
      </c>
      <c r="M136" s="37">
        <v>0</v>
      </c>
      <c r="N136" s="37">
        <v>3.1545741324921135E-3</v>
      </c>
      <c r="O136" s="35">
        <v>70.32492113564669</v>
      </c>
    </row>
    <row r="137" spans="1:15" x14ac:dyDescent="0.25">
      <c r="A137" s="33">
        <v>0.16356877323420074</v>
      </c>
      <c r="B137" s="33">
        <v>0.26765799256505574</v>
      </c>
      <c r="C137" s="33">
        <v>0.52788104089219334</v>
      </c>
      <c r="D137" s="33">
        <v>2.2304832713754646E-2</v>
      </c>
      <c r="E137" s="33">
        <v>7.4349442379182153E-3</v>
      </c>
      <c r="F137" s="34">
        <v>331</v>
      </c>
      <c r="G137" s="34">
        <v>1</v>
      </c>
      <c r="H137" s="34">
        <v>0</v>
      </c>
      <c r="I137" s="34">
        <v>2</v>
      </c>
      <c r="J137" s="34">
        <v>334</v>
      </c>
      <c r="K137" s="37">
        <v>0.99101796407185627</v>
      </c>
      <c r="L137" s="37">
        <v>2.9940119760479044E-3</v>
      </c>
      <c r="M137" s="37">
        <v>0</v>
      </c>
      <c r="N137" s="37">
        <v>5.9880239520958087E-3</v>
      </c>
      <c r="O137" s="35">
        <v>49.976047904191617</v>
      </c>
    </row>
    <row r="138" spans="1:15" x14ac:dyDescent="0.25">
      <c r="A138" s="33">
        <v>0.24535315985130113</v>
      </c>
      <c r="B138" s="33">
        <v>0.36059479553903345</v>
      </c>
      <c r="C138" s="33">
        <v>0.379182156133829</v>
      </c>
      <c r="D138" s="33">
        <v>0</v>
      </c>
      <c r="E138" s="33">
        <v>3.7174721189591076E-3</v>
      </c>
      <c r="F138" s="34">
        <v>334</v>
      </c>
      <c r="G138" s="34">
        <v>0</v>
      </c>
      <c r="H138" s="34">
        <v>1</v>
      </c>
      <c r="I138" s="34">
        <v>0</v>
      </c>
      <c r="J138" s="34">
        <v>335</v>
      </c>
      <c r="K138" s="37">
        <v>0.9970149253731343</v>
      </c>
      <c r="L138" s="37">
        <v>0</v>
      </c>
      <c r="M138" s="37">
        <v>2.9850746268656717E-3</v>
      </c>
      <c r="N138" s="37">
        <v>0</v>
      </c>
      <c r="O138" s="35">
        <v>29.579104477611942</v>
      </c>
    </row>
    <row r="139" spans="1:15" x14ac:dyDescent="0.25">
      <c r="A139" s="33">
        <v>0.19457013574660634</v>
      </c>
      <c r="B139" s="33">
        <v>0.11312217194570136</v>
      </c>
      <c r="C139" s="33">
        <v>0.65158371040723984</v>
      </c>
      <c r="D139" s="33">
        <v>0</v>
      </c>
      <c r="E139" s="33">
        <v>1.3574660633484163E-2</v>
      </c>
      <c r="F139" s="34">
        <v>295</v>
      </c>
      <c r="G139" s="34">
        <v>3</v>
      </c>
      <c r="H139" s="34">
        <v>1</v>
      </c>
      <c r="I139" s="34">
        <v>1</v>
      </c>
      <c r="J139" s="34">
        <v>300</v>
      </c>
      <c r="K139" s="37">
        <v>0.98333333333333328</v>
      </c>
      <c r="L139" s="37">
        <v>0.01</v>
      </c>
      <c r="M139" s="37">
        <v>3.3333333333333335E-3</v>
      </c>
      <c r="N139" s="37">
        <v>3.3333333333333335E-3</v>
      </c>
      <c r="O139" s="35">
        <v>66.326666666666668</v>
      </c>
    </row>
    <row r="140" spans="1:15" x14ac:dyDescent="0.25">
      <c r="A140" s="33">
        <v>0.22611464968152867</v>
      </c>
      <c r="B140" s="33">
        <v>0.22292993630573249</v>
      </c>
      <c r="C140" s="33">
        <v>0.5286624203821656</v>
      </c>
      <c r="D140" s="33">
        <v>1.2738853503184714E-2</v>
      </c>
      <c r="E140" s="33">
        <v>0</v>
      </c>
      <c r="F140" s="34">
        <v>381</v>
      </c>
      <c r="G140" s="34">
        <v>18</v>
      </c>
      <c r="H140" s="34">
        <v>1</v>
      </c>
      <c r="I140" s="34">
        <v>5</v>
      </c>
      <c r="J140" s="34">
        <v>405</v>
      </c>
      <c r="K140" s="37">
        <v>0.94074074074074077</v>
      </c>
      <c r="L140" s="37">
        <v>4.4444444444444446E-2</v>
      </c>
      <c r="M140" s="37">
        <v>2.4691358024691358E-3</v>
      </c>
      <c r="N140" s="37">
        <v>1.2345679012345678E-2</v>
      </c>
      <c r="O140" s="35">
        <v>47.409876543209876</v>
      </c>
    </row>
    <row r="141" spans="1:15" x14ac:dyDescent="0.25">
      <c r="A141" s="33">
        <v>0.21739130434782608</v>
      </c>
      <c r="B141" s="33">
        <v>0.35093167701863354</v>
      </c>
      <c r="C141" s="33">
        <v>0.40993788819875776</v>
      </c>
      <c r="D141" s="33">
        <v>3.105590062111801E-3</v>
      </c>
      <c r="E141" s="33">
        <v>1.2422360248447204E-2</v>
      </c>
      <c r="F141" s="34">
        <v>384</v>
      </c>
      <c r="G141" s="34">
        <v>13</v>
      </c>
      <c r="H141" s="34">
        <v>6</v>
      </c>
      <c r="I141" s="34">
        <v>2</v>
      </c>
      <c r="J141" s="34">
        <v>405</v>
      </c>
      <c r="K141" s="37">
        <v>0.94814814814814818</v>
      </c>
      <c r="L141" s="37">
        <v>3.2098765432098768E-2</v>
      </c>
      <c r="M141" s="37">
        <v>1.4814814814814815E-2</v>
      </c>
      <c r="N141" s="37">
        <v>4.9382716049382715E-3</v>
      </c>
      <c r="O141" s="35">
        <v>26.817283950617284</v>
      </c>
    </row>
    <row r="142" spans="1:15" x14ac:dyDescent="0.25">
      <c r="A142" s="33">
        <v>0.45251396648044695</v>
      </c>
      <c r="B142" s="33">
        <v>8.3798882681564241E-2</v>
      </c>
      <c r="C142" s="33">
        <v>0.4022346368715084</v>
      </c>
      <c r="D142" s="33">
        <v>1.6759776536312849E-2</v>
      </c>
      <c r="E142" s="33">
        <v>5.5865921787709499E-3</v>
      </c>
      <c r="F142" s="34">
        <v>112</v>
      </c>
      <c r="G142" s="34">
        <v>116</v>
      </c>
      <c r="H142" s="34">
        <v>20</v>
      </c>
      <c r="I142" s="34">
        <v>2</v>
      </c>
      <c r="J142" s="34">
        <v>250</v>
      </c>
      <c r="K142" s="37">
        <v>0.44800000000000001</v>
      </c>
      <c r="L142" s="37">
        <v>0.46400000000000002</v>
      </c>
      <c r="M142" s="37">
        <v>0.08</v>
      </c>
      <c r="N142" s="37">
        <v>8.0000000000000002E-3</v>
      </c>
      <c r="O142" s="35">
        <v>64.88</v>
      </c>
    </row>
    <row r="143" spans="1:15" x14ac:dyDescent="0.25">
      <c r="A143" s="33">
        <v>0.36332179930795849</v>
      </c>
      <c r="B143" s="33">
        <v>0.25259515570934254</v>
      </c>
      <c r="C143" s="33">
        <v>0.36678200692041524</v>
      </c>
      <c r="D143" s="33">
        <v>6.920415224913495E-3</v>
      </c>
      <c r="E143" s="33">
        <v>3.4602076124567475E-3</v>
      </c>
      <c r="F143" s="34">
        <v>263</v>
      </c>
      <c r="G143" s="34">
        <v>95</v>
      </c>
      <c r="H143" s="34">
        <v>24</v>
      </c>
      <c r="I143" s="34">
        <v>9</v>
      </c>
      <c r="J143" s="34">
        <v>391</v>
      </c>
      <c r="K143" s="37">
        <v>0.67263427109974427</v>
      </c>
      <c r="L143" s="37">
        <v>0.24296675191815856</v>
      </c>
      <c r="M143" s="37">
        <v>6.1381074168797956E-2</v>
      </c>
      <c r="N143" s="37">
        <v>2.3017902813299233E-2</v>
      </c>
      <c r="O143" s="35">
        <v>33.491048593350385</v>
      </c>
    </row>
    <row r="144" spans="1:15" x14ac:dyDescent="0.25">
      <c r="A144" s="33">
        <v>0.58823529411764708</v>
      </c>
      <c r="B144" s="33">
        <v>6.985294117647059E-2</v>
      </c>
      <c r="C144" s="33">
        <v>0.29779411764705882</v>
      </c>
      <c r="D144" s="33">
        <v>1.4705882352941176E-2</v>
      </c>
      <c r="E144" s="33">
        <v>1.1029411764705883E-2</v>
      </c>
      <c r="F144" s="34">
        <v>74</v>
      </c>
      <c r="G144" s="34">
        <v>255</v>
      </c>
      <c r="H144" s="34">
        <v>21</v>
      </c>
      <c r="I144" s="34">
        <v>0</v>
      </c>
      <c r="J144" s="34">
        <v>350</v>
      </c>
      <c r="K144" s="37">
        <v>0.21142857142857144</v>
      </c>
      <c r="L144" s="37">
        <v>0.72857142857142854</v>
      </c>
      <c r="M144" s="37">
        <v>0.06</v>
      </c>
      <c r="N144" s="37">
        <v>0</v>
      </c>
      <c r="O144" s="35">
        <v>69.48571428571428</v>
      </c>
    </row>
    <row r="145" spans="1:15" x14ac:dyDescent="0.25">
      <c r="A145" s="33">
        <v>0.64777327935222673</v>
      </c>
      <c r="B145" s="33">
        <v>9.3117408906882596E-2</v>
      </c>
      <c r="C145" s="33">
        <v>0.25506072874493929</v>
      </c>
      <c r="D145" s="33">
        <v>0</v>
      </c>
      <c r="E145" s="33">
        <v>0</v>
      </c>
      <c r="F145" s="34">
        <v>107</v>
      </c>
      <c r="G145" s="34">
        <v>205</v>
      </c>
      <c r="H145" s="34">
        <v>38</v>
      </c>
      <c r="I145" s="34">
        <v>0</v>
      </c>
      <c r="J145" s="34">
        <v>350</v>
      </c>
      <c r="K145" s="37">
        <v>0.30571428571428572</v>
      </c>
      <c r="L145" s="37">
        <v>0.58571428571428574</v>
      </c>
      <c r="M145" s="37">
        <v>0.10857142857142857</v>
      </c>
      <c r="N145" s="37">
        <v>0</v>
      </c>
      <c r="O145" s="35">
        <v>55.662857142857142</v>
      </c>
    </row>
    <row r="146" spans="1:15" x14ac:dyDescent="0.25">
      <c r="A146" s="33">
        <v>0.65814696485623003</v>
      </c>
      <c r="B146" s="33">
        <v>0.14057507987220447</v>
      </c>
      <c r="C146" s="33">
        <v>0.18849840255591055</v>
      </c>
      <c r="D146" s="33">
        <v>3.1948881789137379E-3</v>
      </c>
      <c r="E146" s="33">
        <v>3.1948881789137379E-3</v>
      </c>
      <c r="F146" s="34">
        <v>138</v>
      </c>
      <c r="G146" s="34">
        <v>264</v>
      </c>
      <c r="H146" s="34">
        <v>60</v>
      </c>
      <c r="I146" s="34">
        <v>3</v>
      </c>
      <c r="J146" s="34">
        <v>465</v>
      </c>
      <c r="K146" s="37">
        <v>0.29677419354838708</v>
      </c>
      <c r="L146" s="37">
        <v>0.56774193548387097</v>
      </c>
      <c r="M146" s="37">
        <v>0.12903225806451613</v>
      </c>
      <c r="N146" s="37">
        <v>6.4516129032258064E-3</v>
      </c>
      <c r="O146" s="35">
        <v>41.169892473118281</v>
      </c>
    </row>
    <row r="147" spans="1:15" x14ac:dyDescent="0.25">
      <c r="A147" s="33">
        <v>0.6</v>
      </c>
      <c r="B147" s="33">
        <v>0.16250000000000001</v>
      </c>
      <c r="C147" s="33">
        <v>0.23125000000000001</v>
      </c>
      <c r="D147" s="33">
        <v>0</v>
      </c>
      <c r="E147" s="33">
        <v>6.2500000000000003E-3</v>
      </c>
      <c r="F147" s="34">
        <v>180</v>
      </c>
      <c r="G147" s="34">
        <v>207</v>
      </c>
      <c r="H147" s="34">
        <v>78</v>
      </c>
      <c r="I147" s="34">
        <v>0</v>
      </c>
      <c r="J147" s="34">
        <v>465</v>
      </c>
      <c r="K147" s="37">
        <v>0.38709677419354838</v>
      </c>
      <c r="L147" s="37">
        <v>0.44516129032258067</v>
      </c>
      <c r="M147" s="37">
        <v>0.16774193548387098</v>
      </c>
      <c r="N147" s="37">
        <v>0</v>
      </c>
      <c r="O147" s="35">
        <v>25.395698924731182</v>
      </c>
    </row>
    <row r="148" spans="1:15" x14ac:dyDescent="0.25">
      <c r="A148" s="33">
        <v>0.32684824902723736</v>
      </c>
      <c r="B148" s="33">
        <v>0.12062256809338522</v>
      </c>
      <c r="C148" s="33">
        <v>0.50583657587548636</v>
      </c>
      <c r="D148" s="33">
        <v>7.7821011673151752E-3</v>
      </c>
      <c r="E148" s="33">
        <v>3.8910505836575876E-3</v>
      </c>
      <c r="F148" s="34">
        <v>209</v>
      </c>
      <c r="G148" s="34">
        <v>58</v>
      </c>
      <c r="H148" s="34">
        <v>59</v>
      </c>
      <c r="I148" s="34">
        <v>24</v>
      </c>
      <c r="J148" s="34">
        <v>350</v>
      </c>
      <c r="K148" s="37">
        <v>0.5971428571428572</v>
      </c>
      <c r="L148" s="37">
        <v>0.1657142857142857</v>
      </c>
      <c r="M148" s="37">
        <v>0.16857142857142857</v>
      </c>
      <c r="N148" s="37">
        <v>6.8571428571428575E-2</v>
      </c>
      <c r="O148" s="35">
        <v>67.108571428571423</v>
      </c>
    </row>
    <row r="149" spans="1:15" x14ac:dyDescent="0.25">
      <c r="A149" s="33">
        <v>0.26111111111111113</v>
      </c>
      <c r="B149" s="33">
        <v>0.20555555555555555</v>
      </c>
      <c r="C149" s="33">
        <v>0.50555555555555554</v>
      </c>
      <c r="D149" s="33">
        <v>5.5555555555555558E-3</v>
      </c>
      <c r="E149" s="33">
        <v>8.3333333333333332E-3</v>
      </c>
      <c r="F149" s="34">
        <v>237</v>
      </c>
      <c r="G149" s="34">
        <v>32</v>
      </c>
      <c r="H149" s="34">
        <v>58</v>
      </c>
      <c r="I149" s="34">
        <v>117</v>
      </c>
      <c r="J149" s="34">
        <v>444</v>
      </c>
      <c r="K149" s="37">
        <v>0.53378378378378377</v>
      </c>
      <c r="L149" s="37">
        <v>7.2072072072072071E-2</v>
      </c>
      <c r="M149" s="37">
        <v>0.13063063063063063</v>
      </c>
      <c r="N149" s="37">
        <v>0.26351351351351349</v>
      </c>
      <c r="O149" s="35">
        <v>49.436936936936938</v>
      </c>
    </row>
    <row r="150" spans="1:15" x14ac:dyDescent="0.25">
      <c r="A150" s="33">
        <v>0.32198142414860681</v>
      </c>
      <c r="B150" s="33">
        <v>0.24458204334365324</v>
      </c>
      <c r="C150" s="33">
        <v>0.41795665634674922</v>
      </c>
      <c r="D150" s="33">
        <v>3.0959752321981426E-3</v>
      </c>
      <c r="E150" s="33">
        <v>6.1919504643962852E-3</v>
      </c>
      <c r="F150" s="34">
        <v>313</v>
      </c>
      <c r="G150" s="34">
        <v>10</v>
      </c>
      <c r="H150" s="34">
        <v>55</v>
      </c>
      <c r="I150" s="34">
        <v>67</v>
      </c>
      <c r="J150" s="34">
        <v>445</v>
      </c>
      <c r="K150" s="37">
        <v>0.70337078651685392</v>
      </c>
      <c r="L150" s="37">
        <v>2.247191011235955E-2</v>
      </c>
      <c r="M150" s="37">
        <v>0.12359550561797752</v>
      </c>
      <c r="N150" s="37">
        <v>0.15056179775280898</v>
      </c>
      <c r="O150" s="35">
        <v>35.851685393258428</v>
      </c>
    </row>
    <row r="151" spans="1:15" x14ac:dyDescent="0.25">
      <c r="A151" s="33">
        <v>0.23964497041420119</v>
      </c>
      <c r="B151" s="33">
        <v>0.32544378698224852</v>
      </c>
      <c r="C151" s="33">
        <v>0.4349112426035503</v>
      </c>
      <c r="D151" s="33">
        <v>0</v>
      </c>
      <c r="E151" s="33">
        <v>0</v>
      </c>
      <c r="F151" s="34">
        <v>355</v>
      </c>
      <c r="G151" s="34">
        <v>15</v>
      </c>
      <c r="H151" s="34">
        <v>58</v>
      </c>
      <c r="I151" s="34">
        <v>17</v>
      </c>
      <c r="J151" s="34">
        <v>445</v>
      </c>
      <c r="K151" s="37">
        <v>0.797752808988764</v>
      </c>
      <c r="L151" s="37">
        <v>3.3707865168539325E-2</v>
      </c>
      <c r="M151" s="37">
        <v>0.1303370786516854</v>
      </c>
      <c r="N151" s="37">
        <v>3.8202247191011236E-2</v>
      </c>
      <c r="O151" s="35">
        <v>24.429213483146068</v>
      </c>
    </row>
    <row r="152" spans="1:15" x14ac:dyDescent="0.25">
      <c r="A152" s="33">
        <v>0.16803278688524589</v>
      </c>
      <c r="B152" s="33">
        <v>0.20491803278688525</v>
      </c>
      <c r="C152" s="33">
        <v>0.56557377049180324</v>
      </c>
      <c r="D152" s="33">
        <v>1.2295081967213115E-2</v>
      </c>
      <c r="E152" s="33">
        <v>2.4590163934426229E-2</v>
      </c>
      <c r="F152" s="34">
        <v>316</v>
      </c>
      <c r="G152" s="34">
        <v>1</v>
      </c>
      <c r="H152" s="34">
        <v>13</v>
      </c>
      <c r="I152" s="34">
        <v>20</v>
      </c>
      <c r="J152" s="34">
        <v>350</v>
      </c>
      <c r="K152" s="37">
        <v>0.9028571428571428</v>
      </c>
      <c r="L152" s="37">
        <v>2.8571428571428571E-3</v>
      </c>
      <c r="M152" s="37">
        <v>3.7142857142857144E-2</v>
      </c>
      <c r="N152" s="37">
        <v>5.7142857142857141E-2</v>
      </c>
      <c r="O152" s="35">
        <v>69.805714285714288</v>
      </c>
    </row>
    <row r="153" spans="1:15" x14ac:dyDescent="0.25">
      <c r="A153" s="33">
        <v>0.18835616438356165</v>
      </c>
      <c r="B153" s="33">
        <v>0.2363013698630137</v>
      </c>
      <c r="C153" s="33">
        <v>0.54452054794520544</v>
      </c>
      <c r="D153" s="33">
        <v>6.8493150684931503E-3</v>
      </c>
      <c r="E153" s="33">
        <v>2.0547945205479451E-2</v>
      </c>
      <c r="F153" s="34">
        <v>314</v>
      </c>
      <c r="G153" s="34">
        <v>0</v>
      </c>
      <c r="H153" s="34">
        <v>17</v>
      </c>
      <c r="I153" s="34">
        <v>19</v>
      </c>
      <c r="J153" s="34">
        <v>350</v>
      </c>
      <c r="K153" s="37">
        <v>0.89714285714285713</v>
      </c>
      <c r="L153" s="37">
        <v>0</v>
      </c>
      <c r="M153" s="37">
        <v>4.8571428571428571E-2</v>
      </c>
      <c r="N153" s="37">
        <v>5.4285714285714284E-2</v>
      </c>
      <c r="O153" s="35">
        <v>56.845714285714287</v>
      </c>
    </row>
    <row r="154" spans="1:15" x14ac:dyDescent="0.25">
      <c r="A154" s="33">
        <v>0.1491442542787286</v>
      </c>
      <c r="B154" s="33">
        <v>0.37652811735941322</v>
      </c>
      <c r="C154" s="33">
        <v>0.45721271393643031</v>
      </c>
      <c r="D154" s="33">
        <v>2.4449877750611247E-3</v>
      </c>
      <c r="E154" s="33">
        <v>4.8899755501222494E-3</v>
      </c>
      <c r="F154" s="34">
        <v>455</v>
      </c>
      <c r="G154" s="34">
        <v>2</v>
      </c>
      <c r="H154" s="34">
        <v>2</v>
      </c>
      <c r="I154" s="34">
        <v>63</v>
      </c>
      <c r="J154" s="34">
        <v>522</v>
      </c>
      <c r="K154" s="37">
        <v>0.87164750957854409</v>
      </c>
      <c r="L154" s="37">
        <v>3.8314176245210726E-3</v>
      </c>
      <c r="M154" s="37">
        <v>3.8314176245210726E-3</v>
      </c>
      <c r="N154" s="37">
        <v>0.1206896551724138</v>
      </c>
      <c r="O154" s="35">
        <v>42.597701149425291</v>
      </c>
    </row>
    <row r="155" spans="1:15" x14ac:dyDescent="0.25">
      <c r="A155" s="33">
        <v>0.10638297872340426</v>
      </c>
      <c r="B155" s="33">
        <v>0.40957446808510639</v>
      </c>
      <c r="C155" s="33">
        <v>0.46276595744680848</v>
      </c>
      <c r="D155" s="33">
        <v>2.6595744680851063E-3</v>
      </c>
      <c r="E155" s="33">
        <v>7.9787234042553185E-3</v>
      </c>
      <c r="F155" s="34">
        <v>489</v>
      </c>
      <c r="G155" s="34">
        <v>7</v>
      </c>
      <c r="H155" s="34">
        <v>5</v>
      </c>
      <c r="I155" s="34">
        <v>22</v>
      </c>
      <c r="J155" s="34">
        <v>523</v>
      </c>
      <c r="K155" s="37">
        <v>0.93499043977055452</v>
      </c>
      <c r="L155" s="37">
        <v>1.338432122370937E-2</v>
      </c>
      <c r="M155" s="37">
        <v>9.5602294455066923E-3</v>
      </c>
      <c r="N155" s="37">
        <v>4.2065009560229447E-2</v>
      </c>
      <c r="O155" s="35">
        <v>26.030592734225621</v>
      </c>
    </row>
    <row r="156" spans="1:15" x14ac:dyDescent="0.25">
      <c r="A156" s="33">
        <v>0.18137254901960784</v>
      </c>
      <c r="B156" s="33">
        <v>0.23039215686274508</v>
      </c>
      <c r="C156" s="33">
        <v>0.55392156862745101</v>
      </c>
      <c r="D156" s="33">
        <v>4.9019607843137254E-3</v>
      </c>
      <c r="E156" s="33">
        <v>9.8039215686274508E-3</v>
      </c>
      <c r="F156" s="34">
        <v>266</v>
      </c>
      <c r="G156" s="34">
        <v>5</v>
      </c>
      <c r="H156" s="34">
        <v>20</v>
      </c>
      <c r="I156" s="34">
        <v>0</v>
      </c>
      <c r="J156" s="34">
        <v>291</v>
      </c>
      <c r="K156" s="37">
        <v>0.91408934707903777</v>
      </c>
      <c r="L156" s="37">
        <v>1.7182130584192441E-2</v>
      </c>
      <c r="M156" s="37">
        <v>6.8728522336769765E-2</v>
      </c>
      <c r="N156" s="37">
        <v>0</v>
      </c>
      <c r="O156" s="35">
        <v>49.996563573883158</v>
      </c>
    </row>
    <row r="157" spans="1:15" x14ac:dyDescent="0.25">
      <c r="A157" s="33">
        <v>0.52500000000000002</v>
      </c>
      <c r="B157" s="33">
        <v>0.10833333333333334</v>
      </c>
      <c r="C157" s="33">
        <v>0.33333333333333331</v>
      </c>
      <c r="D157" s="33">
        <v>8.3333333333333332E-3</v>
      </c>
      <c r="E157" s="33">
        <v>8.3333333333333332E-3</v>
      </c>
      <c r="F157" s="34">
        <v>59</v>
      </c>
      <c r="G157" s="34">
        <v>130</v>
      </c>
      <c r="H157" s="34">
        <v>11</v>
      </c>
      <c r="I157" s="34">
        <v>0</v>
      </c>
      <c r="J157" s="34">
        <v>200</v>
      </c>
      <c r="K157" s="37">
        <v>0.29499999999999998</v>
      </c>
      <c r="L157" s="37">
        <v>0.65</v>
      </c>
      <c r="M157" s="37">
        <v>5.5E-2</v>
      </c>
      <c r="N157" s="37">
        <v>0</v>
      </c>
      <c r="O157" s="35">
        <v>67.81</v>
      </c>
    </row>
    <row r="158" spans="1:15" x14ac:dyDescent="0.25">
      <c r="A158" s="33">
        <v>0.5</v>
      </c>
      <c r="B158" s="33">
        <v>0.22556390977443608</v>
      </c>
      <c r="C158" s="33">
        <v>0.26315789473684209</v>
      </c>
      <c r="D158" s="33">
        <v>0</v>
      </c>
      <c r="E158" s="33">
        <v>3.7593984962406013E-3</v>
      </c>
      <c r="F158" s="34">
        <v>214</v>
      </c>
      <c r="G158" s="34">
        <v>126</v>
      </c>
      <c r="H158" s="34">
        <v>31</v>
      </c>
      <c r="I158" s="34">
        <v>0</v>
      </c>
      <c r="J158" s="34">
        <v>371</v>
      </c>
      <c r="K158" s="37">
        <v>0.5768194070080862</v>
      </c>
      <c r="L158" s="37">
        <v>0.33962264150943394</v>
      </c>
      <c r="M158" s="37">
        <v>8.3557951482479784E-2</v>
      </c>
      <c r="N158" s="37">
        <v>0</v>
      </c>
      <c r="O158" s="35">
        <v>36.493261455525605</v>
      </c>
    </row>
    <row r="159" spans="1:15" x14ac:dyDescent="0.25">
      <c r="A159" s="33">
        <v>0.15178571428571427</v>
      </c>
      <c r="B159" s="33">
        <v>0.13392857142857142</v>
      </c>
      <c r="C159" s="33">
        <v>0.6919642857142857</v>
      </c>
      <c r="D159" s="33">
        <v>4.464285714285714E-3</v>
      </c>
      <c r="E159" s="33">
        <v>8.9285714285714281E-3</v>
      </c>
      <c r="F159" s="34">
        <v>297</v>
      </c>
      <c r="G159" s="34">
        <v>3</v>
      </c>
      <c r="H159" s="34">
        <v>1</v>
      </c>
      <c r="I159" s="34">
        <v>10</v>
      </c>
      <c r="J159" s="34">
        <v>311</v>
      </c>
      <c r="K159" s="37">
        <v>0.954983922829582</v>
      </c>
      <c r="L159" s="37">
        <v>9.6463022508038593E-3</v>
      </c>
      <c r="M159" s="37">
        <v>3.2154340836012861E-3</v>
      </c>
      <c r="N159" s="37">
        <v>3.215434083601286E-2</v>
      </c>
      <c r="O159" s="35">
        <v>67.495176848874593</v>
      </c>
    </row>
    <row r="160" spans="1:15" x14ac:dyDescent="0.25">
      <c r="A160" s="33">
        <v>0.22187499999999999</v>
      </c>
      <c r="B160" s="33">
        <v>0.21249999999999999</v>
      </c>
      <c r="C160" s="33">
        <v>0.54374999999999996</v>
      </c>
      <c r="D160" s="33">
        <v>1.5625E-2</v>
      </c>
      <c r="E160" s="33">
        <v>0</v>
      </c>
      <c r="F160" s="34">
        <v>386</v>
      </c>
      <c r="G160" s="34">
        <v>4</v>
      </c>
      <c r="H160" s="34">
        <v>0</v>
      </c>
      <c r="I160" s="34">
        <v>22</v>
      </c>
      <c r="J160" s="34">
        <v>412</v>
      </c>
      <c r="K160" s="37">
        <v>0.93689320388349517</v>
      </c>
      <c r="L160" s="37">
        <v>9.7087378640776691E-3</v>
      </c>
      <c r="M160" s="37">
        <v>0</v>
      </c>
      <c r="N160" s="37">
        <v>5.3398058252427182E-2</v>
      </c>
      <c r="O160" s="35">
        <v>49.543689320388353</v>
      </c>
    </row>
    <row r="161" spans="1:15" x14ac:dyDescent="0.25">
      <c r="A161" s="33">
        <v>0.18944099378881987</v>
      </c>
      <c r="B161" s="33">
        <v>0.40062111801242234</v>
      </c>
      <c r="C161" s="33">
        <v>0.39751552795031053</v>
      </c>
      <c r="D161" s="33">
        <v>3.105590062111801E-3</v>
      </c>
      <c r="E161" s="33">
        <v>3.105590062111801E-3</v>
      </c>
      <c r="F161" s="34">
        <v>395</v>
      </c>
      <c r="G161" s="34">
        <v>1</v>
      </c>
      <c r="H161" s="34">
        <v>3</v>
      </c>
      <c r="I161" s="34">
        <v>14</v>
      </c>
      <c r="J161" s="34">
        <v>413</v>
      </c>
      <c r="K161" s="37">
        <v>0.95641646489104115</v>
      </c>
      <c r="L161" s="37">
        <v>2.4213075060532689E-3</v>
      </c>
      <c r="M161" s="37">
        <v>7.2639225181598066E-3</v>
      </c>
      <c r="N161" s="37">
        <v>3.3898305084745763E-2</v>
      </c>
      <c r="O161" s="35">
        <v>29.297820823244553</v>
      </c>
    </row>
    <row r="162" spans="1:15" x14ac:dyDescent="0.25">
      <c r="A162" s="33">
        <v>0.17333333333333334</v>
      </c>
      <c r="B162" s="33">
        <v>0.17777777777777778</v>
      </c>
      <c r="C162" s="33">
        <v>0.61333333333333329</v>
      </c>
      <c r="D162" s="33">
        <v>1.3333333333333334E-2</v>
      </c>
      <c r="E162" s="33">
        <v>4.4444444444444444E-3</v>
      </c>
      <c r="F162" s="34">
        <v>278</v>
      </c>
      <c r="G162" s="34">
        <v>10</v>
      </c>
      <c r="H162" s="34">
        <v>0</v>
      </c>
      <c r="I162" s="34">
        <v>1</v>
      </c>
      <c r="J162" s="34">
        <v>289</v>
      </c>
      <c r="K162" s="37">
        <v>0.96193771626297575</v>
      </c>
      <c r="L162" s="37">
        <v>3.4602076124567477E-2</v>
      </c>
      <c r="M162" s="37">
        <v>0</v>
      </c>
      <c r="N162" s="37">
        <v>3.4602076124567475E-3</v>
      </c>
      <c r="O162" s="35">
        <v>68.674740484429066</v>
      </c>
    </row>
    <row r="163" spans="1:15" x14ac:dyDescent="0.25">
      <c r="A163" s="33">
        <v>0.17607973421926909</v>
      </c>
      <c r="B163" s="33">
        <v>0.38538205980066448</v>
      </c>
      <c r="C163" s="33">
        <v>0.42192691029900331</v>
      </c>
      <c r="D163" s="33">
        <v>0</v>
      </c>
      <c r="E163" s="33">
        <v>1.3289036544850499E-2</v>
      </c>
      <c r="F163" s="34">
        <v>369</v>
      </c>
      <c r="G163" s="34">
        <v>17</v>
      </c>
      <c r="H163" s="34">
        <v>4</v>
      </c>
      <c r="I163" s="34">
        <v>1</v>
      </c>
      <c r="J163" s="34">
        <v>391</v>
      </c>
      <c r="K163" s="37">
        <v>0.94373401534526857</v>
      </c>
      <c r="L163" s="37">
        <v>4.3478260869565216E-2</v>
      </c>
      <c r="M163" s="37">
        <v>1.0230179028132993E-2</v>
      </c>
      <c r="N163" s="37">
        <v>2.5575447570332483E-3</v>
      </c>
      <c r="O163" s="35">
        <v>48.664961636828643</v>
      </c>
    </row>
    <row r="164" spans="1:15" x14ac:dyDescent="0.25">
      <c r="A164" s="33">
        <v>0.18688524590163935</v>
      </c>
      <c r="B164" s="33">
        <v>0.5180327868852459</v>
      </c>
      <c r="C164" s="33">
        <v>0.28852459016393445</v>
      </c>
      <c r="D164" s="33">
        <v>0</v>
      </c>
      <c r="E164" s="33">
        <v>3.2786885245901639E-3</v>
      </c>
      <c r="F164" s="34">
        <v>377</v>
      </c>
      <c r="G164" s="34">
        <v>11</v>
      </c>
      <c r="H164" s="34">
        <v>2</v>
      </c>
      <c r="I164" s="34">
        <v>1</v>
      </c>
      <c r="J164" s="34">
        <v>391</v>
      </c>
      <c r="K164" s="37">
        <v>0.96419437340153458</v>
      </c>
      <c r="L164" s="37">
        <v>2.8132992327365727E-2</v>
      </c>
      <c r="M164" s="37">
        <v>5.1150895140664966E-3</v>
      </c>
      <c r="N164" s="37">
        <v>2.5575447570332483E-3</v>
      </c>
      <c r="O164" s="35">
        <v>29.112531969309462</v>
      </c>
    </row>
    <row r="165" spans="1:15" x14ac:dyDescent="0.25">
      <c r="A165" s="33">
        <v>0.28286852589641437</v>
      </c>
      <c r="B165" s="33">
        <v>0.13545816733067728</v>
      </c>
      <c r="C165" s="33">
        <v>0.52191235059760954</v>
      </c>
      <c r="D165" s="33">
        <v>7.9681274900398405E-3</v>
      </c>
      <c r="E165" s="33">
        <v>1.9920318725099601E-2</v>
      </c>
      <c r="F165" s="34">
        <v>254</v>
      </c>
      <c r="G165" s="34">
        <v>87</v>
      </c>
      <c r="H165" s="34">
        <v>9</v>
      </c>
      <c r="I165" s="34">
        <v>0</v>
      </c>
      <c r="J165" s="34">
        <v>350</v>
      </c>
      <c r="K165" s="37">
        <v>0.72571428571428576</v>
      </c>
      <c r="L165" s="37">
        <v>0.24857142857142858</v>
      </c>
      <c r="M165" s="37">
        <v>2.5714285714285714E-2</v>
      </c>
      <c r="N165" s="37">
        <v>0</v>
      </c>
      <c r="O165" s="35">
        <v>72.068571428571431</v>
      </c>
    </row>
    <row r="166" spans="1:15" x14ac:dyDescent="0.25">
      <c r="A166" s="33">
        <v>0.34</v>
      </c>
      <c r="B166" s="33">
        <v>0.10333333333333333</v>
      </c>
      <c r="C166" s="33">
        <v>0.54</v>
      </c>
      <c r="D166" s="33">
        <v>6.6666666666666671E-3</v>
      </c>
      <c r="E166" s="33">
        <v>3.3333333333333335E-3</v>
      </c>
      <c r="F166" s="34">
        <v>256</v>
      </c>
      <c r="G166" s="34">
        <v>86</v>
      </c>
      <c r="H166" s="34">
        <v>8</v>
      </c>
      <c r="I166" s="34">
        <v>0</v>
      </c>
      <c r="J166" s="34">
        <v>350</v>
      </c>
      <c r="K166" s="37">
        <v>0.73142857142857143</v>
      </c>
      <c r="L166" s="37">
        <v>0.24571428571428572</v>
      </c>
      <c r="M166" s="37">
        <v>2.2857142857142857E-2</v>
      </c>
      <c r="N166" s="37">
        <v>0</v>
      </c>
      <c r="O166" s="35">
        <v>62.134285714285717</v>
      </c>
    </row>
    <row r="167" spans="1:15" x14ac:dyDescent="0.25">
      <c r="A167" s="33">
        <v>0.2927927927927928</v>
      </c>
      <c r="B167" s="33">
        <v>0.21846846846846846</v>
      </c>
      <c r="C167" s="33">
        <v>0.45945945945945948</v>
      </c>
      <c r="D167" s="33">
        <v>6.7567567567567571E-3</v>
      </c>
      <c r="E167" s="33">
        <v>6.7567567567567571E-3</v>
      </c>
      <c r="F167" s="34">
        <v>444</v>
      </c>
      <c r="G167" s="34">
        <v>114</v>
      </c>
      <c r="H167" s="34">
        <v>14</v>
      </c>
      <c r="I167" s="34">
        <v>2</v>
      </c>
      <c r="J167" s="34">
        <v>574</v>
      </c>
      <c r="K167" s="37">
        <v>0.77351916376306618</v>
      </c>
      <c r="L167" s="37">
        <v>0.19860627177700349</v>
      </c>
      <c r="M167" s="37">
        <v>2.4390243902439025E-2</v>
      </c>
      <c r="N167" s="37">
        <v>3.4843205574912892E-3</v>
      </c>
      <c r="O167" s="35">
        <v>49.442508710801391</v>
      </c>
    </row>
    <row r="168" spans="1:15" x14ac:dyDescent="0.25">
      <c r="A168" s="33">
        <v>0.26291079812206575</v>
      </c>
      <c r="B168" s="33">
        <v>0.352112676056338</v>
      </c>
      <c r="C168" s="33">
        <v>0.3779342723004695</v>
      </c>
      <c r="D168" s="33">
        <v>4.6948356807511738E-3</v>
      </c>
      <c r="E168" s="33">
        <v>0</v>
      </c>
      <c r="F168" s="34">
        <v>479</v>
      </c>
      <c r="G168" s="34">
        <v>75</v>
      </c>
      <c r="H168" s="34">
        <v>20</v>
      </c>
      <c r="I168" s="34">
        <v>0</v>
      </c>
      <c r="J168" s="34">
        <v>574</v>
      </c>
      <c r="K168" s="37">
        <v>0.83449477351916379</v>
      </c>
      <c r="L168" s="37">
        <v>0.13066202090592335</v>
      </c>
      <c r="M168" s="37">
        <v>3.484320557491289E-2</v>
      </c>
      <c r="N168" s="37">
        <v>0</v>
      </c>
      <c r="O168" s="35">
        <v>35.463414634146339</v>
      </c>
    </row>
    <row r="169" spans="1:15" x14ac:dyDescent="0.25">
      <c r="A169" s="33">
        <v>0.21171171171171171</v>
      </c>
      <c r="B169" s="33">
        <v>0.42792792792792794</v>
      </c>
      <c r="C169" s="33">
        <v>0.34459459459459457</v>
      </c>
      <c r="D169" s="33">
        <v>2.2522522522522522E-3</v>
      </c>
      <c r="E169" s="33">
        <v>9.0090090090090089E-3</v>
      </c>
      <c r="F169" s="34">
        <v>492</v>
      </c>
      <c r="G169" s="34">
        <v>68</v>
      </c>
      <c r="H169" s="34">
        <v>14</v>
      </c>
      <c r="I169" s="34">
        <v>0</v>
      </c>
      <c r="J169" s="34">
        <v>574</v>
      </c>
      <c r="K169" s="37">
        <v>0.8571428571428571</v>
      </c>
      <c r="L169" s="37">
        <v>0.11846689895470383</v>
      </c>
      <c r="M169" s="37">
        <v>2.4390243902439025E-2</v>
      </c>
      <c r="N169" s="37">
        <v>0</v>
      </c>
      <c r="O169" s="35">
        <v>24.019163763066203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E50366-4C14-498D-AB96-6A0AAC6813EE}">
  <dimension ref="A1:AD182"/>
  <sheetViews>
    <sheetView tabSelected="1" workbookViewId="0">
      <pane xSplit="4" ySplit="1" topLeftCell="T163" activePane="bottomRight" state="frozen"/>
      <selection pane="topRight" activeCell="E1" sqref="E1"/>
      <selection pane="bottomLeft" activeCell="A2" sqref="A2"/>
      <selection pane="bottomRight" activeCell="C182" sqref="C182"/>
    </sheetView>
  </sheetViews>
  <sheetFormatPr defaultRowHeight="13.2" x14ac:dyDescent="0.25"/>
  <cols>
    <col min="1" max="1" width="8.44140625" bestFit="1" customWidth="1"/>
    <col min="2" max="2" width="36.5546875" bestFit="1" customWidth="1"/>
    <col min="3" max="3" width="83" bestFit="1" customWidth="1"/>
    <col min="4" max="4" width="6.5546875" bestFit="1" customWidth="1"/>
    <col min="5" max="5" width="24.44140625" bestFit="1" customWidth="1"/>
    <col min="6" max="6" width="9.21875" bestFit="1" customWidth="1"/>
    <col min="7" max="7" width="6" bestFit="1" customWidth="1"/>
    <col min="8" max="8" width="9.33203125" bestFit="1" customWidth="1"/>
    <col min="9" max="10" width="6" bestFit="1" customWidth="1"/>
    <col min="11" max="11" width="22" bestFit="1" customWidth="1"/>
    <col min="12" max="12" width="29.21875" bestFit="1" customWidth="1"/>
    <col min="13" max="13" width="10.44140625" bestFit="1" customWidth="1"/>
    <col min="14" max="14" width="19.109375" bestFit="1" customWidth="1"/>
    <col min="15" max="17" width="6" bestFit="1" customWidth="1"/>
    <col min="18" max="18" width="10.77734375" bestFit="1" customWidth="1"/>
    <col min="19" max="19" width="10.88671875" bestFit="1" customWidth="1"/>
    <col min="20" max="20" width="6" bestFit="1" customWidth="1"/>
    <col min="21" max="23" width="5" bestFit="1" customWidth="1"/>
    <col min="24" max="24" width="6" bestFit="1" customWidth="1"/>
    <col min="25" max="25" width="7" bestFit="1" customWidth="1"/>
    <col min="26" max="28" width="6" bestFit="1" customWidth="1"/>
    <col min="29" max="29" width="7.33203125" bestFit="1" customWidth="1"/>
  </cols>
  <sheetData>
    <row r="1" spans="1:30" x14ac:dyDescent="0.25">
      <c r="A1" s="32" t="s">
        <v>150</v>
      </c>
      <c r="B1" s="32" t="s">
        <v>169</v>
      </c>
      <c r="C1" s="32" t="s">
        <v>151</v>
      </c>
      <c r="D1" s="32" t="s">
        <v>170</v>
      </c>
      <c r="E1" s="32" t="s">
        <v>171</v>
      </c>
      <c r="F1" s="32" t="s">
        <v>145</v>
      </c>
      <c r="G1" s="32" t="s">
        <v>146</v>
      </c>
      <c r="H1" s="32" t="s">
        <v>147</v>
      </c>
      <c r="I1" s="32" t="s">
        <v>148</v>
      </c>
      <c r="J1" s="32" t="s">
        <v>149</v>
      </c>
      <c r="K1" s="32" t="s">
        <v>153</v>
      </c>
      <c r="L1" s="32" t="s">
        <v>152</v>
      </c>
      <c r="M1" s="32" t="s">
        <v>276</v>
      </c>
      <c r="N1" s="32" t="s">
        <v>172</v>
      </c>
      <c r="O1" s="32" t="s">
        <v>277</v>
      </c>
      <c r="P1" s="32" t="s">
        <v>278</v>
      </c>
      <c r="Q1" s="32" t="s">
        <v>279</v>
      </c>
      <c r="R1" s="32" t="s">
        <v>280</v>
      </c>
      <c r="S1" s="32" t="s">
        <v>281</v>
      </c>
      <c r="T1" s="34" t="s">
        <v>410</v>
      </c>
      <c r="U1" s="34" t="s">
        <v>411</v>
      </c>
      <c r="V1" s="34" t="s">
        <v>412</v>
      </c>
      <c r="W1" s="34" t="s">
        <v>413</v>
      </c>
      <c r="X1" s="34" t="s">
        <v>414</v>
      </c>
      <c r="Y1" s="34" t="s">
        <v>415</v>
      </c>
      <c r="Z1" s="34" t="s">
        <v>416</v>
      </c>
      <c r="AA1" s="34" t="s">
        <v>417</v>
      </c>
      <c r="AB1" s="34" t="s">
        <v>418</v>
      </c>
      <c r="AC1" s="34" t="s">
        <v>419</v>
      </c>
      <c r="AD1" s="33" t="s">
        <v>426</v>
      </c>
    </row>
    <row r="2" spans="1:30" s="47" customFormat="1" x14ac:dyDescent="0.25">
      <c r="A2" s="42">
        <v>1</v>
      </c>
      <c r="B2" s="42" t="s">
        <v>154</v>
      </c>
      <c r="C2" s="42"/>
      <c r="D2" s="42"/>
      <c r="E2" s="42">
        <v>1526</v>
      </c>
      <c r="F2" s="42">
        <v>12</v>
      </c>
      <c r="G2" s="42">
        <v>307</v>
      </c>
      <c r="H2" s="42">
        <v>6</v>
      </c>
      <c r="I2" s="42">
        <v>279</v>
      </c>
      <c r="J2" s="42">
        <v>701</v>
      </c>
      <c r="K2" s="42">
        <v>1305</v>
      </c>
      <c r="L2" s="42">
        <v>96</v>
      </c>
      <c r="M2" s="42">
        <f>L2+K2</f>
        <v>1401</v>
      </c>
      <c r="N2" s="42">
        <v>125</v>
      </c>
      <c r="O2" s="43">
        <f>I2/M2</f>
        <v>0.19914346895074947</v>
      </c>
      <c r="P2" s="43">
        <f>G2/M2</f>
        <v>0.21912919343326195</v>
      </c>
      <c r="Q2" s="43">
        <f>J2/M2</f>
        <v>0.50035688793718769</v>
      </c>
      <c r="R2" s="43">
        <f>F2/M2</f>
        <v>8.5653104925053538E-3</v>
      </c>
      <c r="S2" s="43">
        <f>H2/M2</f>
        <v>4.2826552462526769E-3</v>
      </c>
      <c r="T2" s="44">
        <v>8</v>
      </c>
      <c r="U2" s="44">
        <v>2</v>
      </c>
      <c r="V2" s="44">
        <v>0</v>
      </c>
      <c r="W2" s="44">
        <v>0</v>
      </c>
      <c r="X2" s="44">
        <v>10</v>
      </c>
      <c r="Y2" s="45">
        <v>0.8</v>
      </c>
      <c r="Z2" s="45">
        <v>0.2</v>
      </c>
      <c r="AA2" s="45">
        <v>0</v>
      </c>
      <c r="AB2" s="45">
        <v>0</v>
      </c>
      <c r="AC2" s="46">
        <v>41.5</v>
      </c>
      <c r="AD2" s="43">
        <f>M2/X2</f>
        <v>140.1</v>
      </c>
    </row>
    <row r="3" spans="1:30" s="47" customFormat="1" x14ac:dyDescent="0.25">
      <c r="A3" s="42">
        <v>2</v>
      </c>
      <c r="B3" s="42" t="s">
        <v>155</v>
      </c>
      <c r="C3" s="42" t="s">
        <v>156</v>
      </c>
      <c r="D3" s="42">
        <v>1</v>
      </c>
      <c r="E3" s="42">
        <v>24</v>
      </c>
      <c r="F3" s="42">
        <v>0</v>
      </c>
      <c r="G3" s="42">
        <v>13</v>
      </c>
      <c r="H3" s="42">
        <v>0</v>
      </c>
      <c r="I3" s="42">
        <v>2</v>
      </c>
      <c r="J3" s="42">
        <v>9</v>
      </c>
      <c r="K3" s="42">
        <v>24</v>
      </c>
      <c r="L3" s="42">
        <v>0</v>
      </c>
      <c r="M3" s="42">
        <f t="shared" ref="M3:M66" si="0">L3+K3</f>
        <v>24</v>
      </c>
      <c r="N3" s="42">
        <v>0</v>
      </c>
      <c r="O3" s="43">
        <f t="shared" ref="O3:O66" si="1">I3/M3</f>
        <v>8.3333333333333329E-2</v>
      </c>
      <c r="P3" s="43">
        <f t="shared" ref="P3:P66" si="2">G3/M3</f>
        <v>0.54166666666666663</v>
      </c>
      <c r="Q3" s="43">
        <f t="shared" ref="Q3:Q66" si="3">J3/M3</f>
        <v>0.375</v>
      </c>
      <c r="R3" s="43">
        <f t="shared" ref="R3:R66" si="4">F3/M3</f>
        <v>0</v>
      </c>
      <c r="S3" s="43">
        <f t="shared" ref="S3:S66" si="5">H3/M3</f>
        <v>0</v>
      </c>
      <c r="T3" s="44">
        <v>25</v>
      </c>
      <c r="U3" s="44">
        <v>0</v>
      </c>
      <c r="V3" s="44">
        <v>0</v>
      </c>
      <c r="W3" s="44">
        <v>1</v>
      </c>
      <c r="X3" s="44">
        <v>26</v>
      </c>
      <c r="Y3" s="45">
        <v>0.96153846153846156</v>
      </c>
      <c r="Z3" s="45">
        <v>0</v>
      </c>
      <c r="AA3" s="45">
        <v>0</v>
      </c>
      <c r="AB3" s="45">
        <v>3.8461538461538464E-2</v>
      </c>
      <c r="AC3" s="46">
        <v>35.562770562770559</v>
      </c>
      <c r="AD3" s="43">
        <f t="shared" ref="AD3:AD66" si="6">M3/X3</f>
        <v>0.92307692307692313</v>
      </c>
    </row>
    <row r="4" spans="1:30" s="47" customFormat="1" x14ac:dyDescent="0.25">
      <c r="A4" s="42">
        <v>3</v>
      </c>
      <c r="B4" s="42" t="s">
        <v>157</v>
      </c>
      <c r="C4" s="42" t="s">
        <v>158</v>
      </c>
      <c r="D4" s="42">
        <v>1</v>
      </c>
      <c r="E4" s="42">
        <v>292</v>
      </c>
      <c r="F4" s="42">
        <v>6</v>
      </c>
      <c r="G4" s="42">
        <v>87</v>
      </c>
      <c r="H4" s="42">
        <v>5</v>
      </c>
      <c r="I4" s="42">
        <v>14</v>
      </c>
      <c r="J4" s="42">
        <v>178</v>
      </c>
      <c r="K4" s="42">
        <v>290</v>
      </c>
      <c r="L4" s="42">
        <v>2</v>
      </c>
      <c r="M4" s="42">
        <f t="shared" si="0"/>
        <v>292</v>
      </c>
      <c r="N4" s="42">
        <v>0</v>
      </c>
      <c r="O4" s="43">
        <f t="shared" si="1"/>
        <v>4.7945205479452052E-2</v>
      </c>
      <c r="P4" s="43">
        <f t="shared" si="2"/>
        <v>0.29794520547945208</v>
      </c>
      <c r="Q4" s="43">
        <f t="shared" si="3"/>
        <v>0.6095890410958904</v>
      </c>
      <c r="R4" s="43">
        <f t="shared" si="4"/>
        <v>2.0547945205479451E-2</v>
      </c>
      <c r="S4" s="43">
        <f t="shared" si="5"/>
        <v>1.7123287671232876E-2</v>
      </c>
      <c r="T4" s="44">
        <v>295</v>
      </c>
      <c r="U4" s="44">
        <v>2</v>
      </c>
      <c r="V4" s="44">
        <v>9</v>
      </c>
      <c r="W4" s="44">
        <v>11</v>
      </c>
      <c r="X4" s="44">
        <v>317</v>
      </c>
      <c r="Y4" s="45">
        <v>0.93059936908517349</v>
      </c>
      <c r="Z4" s="45">
        <v>6.3091482649842269E-3</v>
      </c>
      <c r="AA4" s="45">
        <v>2.8391167192429023E-2</v>
      </c>
      <c r="AB4" s="45">
        <v>3.4700315457413249E-2</v>
      </c>
      <c r="AC4" s="46">
        <v>36.370608053906622</v>
      </c>
      <c r="AD4" s="43">
        <f t="shared" si="6"/>
        <v>0.92113564668769721</v>
      </c>
    </row>
    <row r="5" spans="1:30" s="47" customFormat="1" x14ac:dyDescent="0.25">
      <c r="A5" s="42">
        <v>4</v>
      </c>
      <c r="B5" s="42" t="s">
        <v>159</v>
      </c>
      <c r="C5" s="42" t="s">
        <v>160</v>
      </c>
      <c r="D5" s="42">
        <v>1</v>
      </c>
      <c r="E5" s="42">
        <v>18</v>
      </c>
      <c r="F5" s="42">
        <v>1</v>
      </c>
      <c r="G5" s="42">
        <v>6</v>
      </c>
      <c r="H5" s="42">
        <v>0</v>
      </c>
      <c r="I5" s="42">
        <v>0</v>
      </c>
      <c r="J5" s="42">
        <v>11</v>
      </c>
      <c r="K5" s="42">
        <v>18</v>
      </c>
      <c r="L5" s="42">
        <v>0</v>
      </c>
      <c r="M5" s="42">
        <f t="shared" si="0"/>
        <v>18</v>
      </c>
      <c r="N5" s="42">
        <v>0</v>
      </c>
      <c r="O5" s="43">
        <f t="shared" si="1"/>
        <v>0</v>
      </c>
      <c r="P5" s="43">
        <f t="shared" si="2"/>
        <v>0.33333333333333331</v>
      </c>
      <c r="Q5" s="43">
        <f t="shared" si="3"/>
        <v>0.61111111111111116</v>
      </c>
      <c r="R5" s="43">
        <f t="shared" si="4"/>
        <v>5.5555555555555552E-2</v>
      </c>
      <c r="S5" s="43">
        <f t="shared" si="5"/>
        <v>0</v>
      </c>
      <c r="T5" s="44">
        <v>19</v>
      </c>
      <c r="U5" s="44">
        <v>0</v>
      </c>
      <c r="V5" s="44">
        <v>0</v>
      </c>
      <c r="W5" s="44">
        <v>0</v>
      </c>
      <c r="X5" s="44">
        <v>19</v>
      </c>
      <c r="Y5" s="45">
        <v>1</v>
      </c>
      <c r="Z5" s="45">
        <v>0</v>
      </c>
      <c r="AA5" s="45">
        <v>0</v>
      </c>
      <c r="AB5" s="45">
        <v>0</v>
      </c>
      <c r="AC5" s="46">
        <v>37.322222222222223</v>
      </c>
      <c r="AD5" s="43">
        <f t="shared" si="6"/>
        <v>0.94736842105263153</v>
      </c>
    </row>
    <row r="6" spans="1:30" x14ac:dyDescent="0.25">
      <c r="A6" s="32">
        <v>5</v>
      </c>
      <c r="B6" s="32" t="s">
        <v>161</v>
      </c>
      <c r="C6" s="32" t="s">
        <v>162</v>
      </c>
      <c r="D6" s="32">
        <v>1</v>
      </c>
      <c r="E6" s="32">
        <v>245</v>
      </c>
      <c r="F6" s="32">
        <v>1</v>
      </c>
      <c r="G6" s="32">
        <v>51</v>
      </c>
      <c r="H6" s="32">
        <v>1</v>
      </c>
      <c r="I6" s="32">
        <v>36</v>
      </c>
      <c r="J6" s="32">
        <v>153</v>
      </c>
      <c r="K6" s="32">
        <v>242</v>
      </c>
      <c r="L6" s="32">
        <v>3</v>
      </c>
      <c r="M6" s="32">
        <f t="shared" si="0"/>
        <v>245</v>
      </c>
      <c r="N6" s="32">
        <v>0</v>
      </c>
      <c r="O6" s="33">
        <f t="shared" si="1"/>
        <v>0.14693877551020409</v>
      </c>
      <c r="P6" s="33">
        <f t="shared" si="2"/>
        <v>0.20816326530612245</v>
      </c>
      <c r="Q6" s="33">
        <f t="shared" si="3"/>
        <v>0.6244897959183674</v>
      </c>
      <c r="R6" s="33">
        <f t="shared" si="4"/>
        <v>4.0816326530612249E-3</v>
      </c>
      <c r="S6" s="33">
        <f t="shared" si="5"/>
        <v>4.0816326530612249E-3</v>
      </c>
      <c r="T6" s="34">
        <v>241</v>
      </c>
      <c r="U6" s="34">
        <v>0</v>
      </c>
      <c r="V6" s="34">
        <v>0</v>
      </c>
      <c r="W6" s="34">
        <v>59</v>
      </c>
      <c r="X6" s="34">
        <v>300</v>
      </c>
      <c r="Y6" s="37">
        <v>0.80333333333333334</v>
      </c>
      <c r="Z6" s="37">
        <v>0</v>
      </c>
      <c r="AA6" s="37">
        <v>0</v>
      </c>
      <c r="AB6" s="37">
        <v>0.19666666666666666</v>
      </c>
      <c r="AC6" s="35">
        <v>62.306666666666665</v>
      </c>
      <c r="AD6" s="33">
        <f t="shared" si="6"/>
        <v>0.81666666666666665</v>
      </c>
    </row>
    <row r="7" spans="1:30" x14ac:dyDescent="0.25">
      <c r="A7" s="32"/>
      <c r="B7" s="32"/>
      <c r="C7" s="32"/>
      <c r="D7" s="32">
        <v>2</v>
      </c>
      <c r="E7" s="32">
        <v>341</v>
      </c>
      <c r="F7" s="32">
        <v>1</v>
      </c>
      <c r="G7" s="32">
        <v>63</v>
      </c>
      <c r="H7" s="32">
        <v>2</v>
      </c>
      <c r="I7" s="32">
        <v>44</v>
      </c>
      <c r="J7" s="32">
        <v>226</v>
      </c>
      <c r="K7" s="32">
        <v>336</v>
      </c>
      <c r="L7" s="32">
        <v>5</v>
      </c>
      <c r="M7" s="32">
        <f t="shared" si="0"/>
        <v>341</v>
      </c>
      <c r="N7" s="32">
        <v>0</v>
      </c>
      <c r="O7" s="33">
        <f t="shared" si="1"/>
        <v>0.12903225806451613</v>
      </c>
      <c r="P7" s="33">
        <f t="shared" si="2"/>
        <v>0.18475073313782991</v>
      </c>
      <c r="Q7" s="33">
        <f t="shared" si="3"/>
        <v>0.66275659824046917</v>
      </c>
      <c r="R7" s="33">
        <f t="shared" si="4"/>
        <v>2.9325513196480938E-3</v>
      </c>
      <c r="S7" s="33">
        <f t="shared" si="5"/>
        <v>5.8651026392961877E-3</v>
      </c>
      <c r="T7" s="34">
        <v>310</v>
      </c>
      <c r="U7" s="34">
        <v>1</v>
      </c>
      <c r="V7" s="34">
        <v>6</v>
      </c>
      <c r="W7" s="34">
        <v>127</v>
      </c>
      <c r="X7" s="34">
        <v>444</v>
      </c>
      <c r="Y7" s="37">
        <v>0.69819819819819817</v>
      </c>
      <c r="Z7" s="37">
        <v>2.2522522522522522E-3</v>
      </c>
      <c r="AA7" s="37">
        <v>1.3513513513513514E-2</v>
      </c>
      <c r="AB7" s="37">
        <v>0.28603603603603606</v>
      </c>
      <c r="AC7" s="35">
        <v>33.081081081081081</v>
      </c>
      <c r="AD7" s="33">
        <f t="shared" si="6"/>
        <v>0.76801801801801806</v>
      </c>
    </row>
    <row r="8" spans="1:30" x14ac:dyDescent="0.25">
      <c r="A8" s="32">
        <v>6</v>
      </c>
      <c r="B8" s="32" t="s">
        <v>163</v>
      </c>
      <c r="C8" s="32" t="s">
        <v>164</v>
      </c>
      <c r="D8" s="32">
        <v>1</v>
      </c>
      <c r="E8" s="32">
        <v>153</v>
      </c>
      <c r="F8" s="32">
        <v>4</v>
      </c>
      <c r="G8" s="32">
        <v>17</v>
      </c>
      <c r="H8" s="32">
        <v>0</v>
      </c>
      <c r="I8" s="32">
        <v>27</v>
      </c>
      <c r="J8" s="32">
        <v>104</v>
      </c>
      <c r="K8" s="32">
        <v>152</v>
      </c>
      <c r="L8" s="32">
        <v>1</v>
      </c>
      <c r="M8" s="32">
        <f t="shared" si="0"/>
        <v>153</v>
      </c>
      <c r="N8" s="32">
        <v>0</v>
      </c>
      <c r="O8" s="33">
        <f t="shared" si="1"/>
        <v>0.17647058823529413</v>
      </c>
      <c r="P8" s="33">
        <f t="shared" si="2"/>
        <v>0.1111111111111111</v>
      </c>
      <c r="Q8" s="33">
        <f t="shared" si="3"/>
        <v>0.6797385620915033</v>
      </c>
      <c r="R8" s="33">
        <f t="shared" si="4"/>
        <v>2.6143790849673203E-2</v>
      </c>
      <c r="S8" s="33">
        <f t="shared" si="5"/>
        <v>0</v>
      </c>
      <c r="T8" s="34">
        <v>199</v>
      </c>
      <c r="U8" s="34">
        <v>0</v>
      </c>
      <c r="V8" s="34">
        <v>0</v>
      </c>
      <c r="W8" s="34">
        <v>1</v>
      </c>
      <c r="X8" s="34">
        <v>200</v>
      </c>
      <c r="Y8" s="37">
        <v>0.995</v>
      </c>
      <c r="Z8" s="37">
        <v>0</v>
      </c>
      <c r="AA8" s="37">
        <v>0</v>
      </c>
      <c r="AB8" s="37">
        <v>5.0000000000000001E-3</v>
      </c>
      <c r="AC8" s="35">
        <v>66.91</v>
      </c>
      <c r="AD8" s="33">
        <f t="shared" si="6"/>
        <v>0.76500000000000001</v>
      </c>
    </row>
    <row r="9" spans="1:30" x14ac:dyDescent="0.25">
      <c r="A9" s="32"/>
      <c r="B9" s="32"/>
      <c r="C9" s="32"/>
      <c r="D9" s="32">
        <v>2</v>
      </c>
      <c r="E9" s="32">
        <v>215</v>
      </c>
      <c r="F9" s="32">
        <v>5</v>
      </c>
      <c r="G9" s="32">
        <v>91</v>
      </c>
      <c r="H9" s="32">
        <v>2</v>
      </c>
      <c r="I9" s="32">
        <v>33</v>
      </c>
      <c r="J9" s="32">
        <v>83</v>
      </c>
      <c r="K9" s="32">
        <v>214</v>
      </c>
      <c r="L9" s="32">
        <v>1</v>
      </c>
      <c r="M9" s="32">
        <f t="shared" si="0"/>
        <v>215</v>
      </c>
      <c r="N9" s="32">
        <v>0</v>
      </c>
      <c r="O9" s="33">
        <f t="shared" si="1"/>
        <v>0.15348837209302327</v>
      </c>
      <c r="P9" s="33">
        <f t="shared" si="2"/>
        <v>0.42325581395348838</v>
      </c>
      <c r="Q9" s="33">
        <f t="shared" si="3"/>
        <v>0.38604651162790699</v>
      </c>
      <c r="R9" s="33">
        <f t="shared" si="4"/>
        <v>2.3255813953488372E-2</v>
      </c>
      <c r="S9" s="33">
        <f t="shared" si="5"/>
        <v>9.3023255813953487E-3</v>
      </c>
      <c r="T9" s="34">
        <v>274</v>
      </c>
      <c r="U9" s="34">
        <v>0</v>
      </c>
      <c r="V9" s="34">
        <v>0</v>
      </c>
      <c r="W9" s="34">
        <v>0</v>
      </c>
      <c r="X9" s="34">
        <v>274</v>
      </c>
      <c r="Y9" s="37">
        <v>1</v>
      </c>
      <c r="Z9" s="37">
        <v>0</v>
      </c>
      <c r="AA9" s="37">
        <v>0</v>
      </c>
      <c r="AB9" s="37">
        <v>0</v>
      </c>
      <c r="AC9" s="35">
        <v>36.164233576642339</v>
      </c>
      <c r="AD9" s="33">
        <f t="shared" si="6"/>
        <v>0.78467153284671531</v>
      </c>
    </row>
    <row r="10" spans="1:30" x14ac:dyDescent="0.25">
      <c r="A10" s="32">
        <v>7</v>
      </c>
      <c r="B10" s="32" t="s">
        <v>165</v>
      </c>
      <c r="C10" s="32" t="s">
        <v>166</v>
      </c>
      <c r="D10" s="32">
        <v>1</v>
      </c>
      <c r="E10" s="32">
        <v>208</v>
      </c>
      <c r="F10" s="32">
        <v>7</v>
      </c>
      <c r="G10" s="32">
        <v>68</v>
      </c>
      <c r="H10" s="32">
        <v>0</v>
      </c>
      <c r="I10" s="32">
        <v>28</v>
      </c>
      <c r="J10" s="32">
        <v>103</v>
      </c>
      <c r="K10" s="32">
        <v>206</v>
      </c>
      <c r="L10" s="32">
        <v>2</v>
      </c>
      <c r="M10" s="32">
        <f t="shared" si="0"/>
        <v>208</v>
      </c>
      <c r="N10" s="32">
        <v>0</v>
      </c>
      <c r="O10" s="33">
        <f t="shared" si="1"/>
        <v>0.13461538461538461</v>
      </c>
      <c r="P10" s="33">
        <f t="shared" si="2"/>
        <v>0.32692307692307693</v>
      </c>
      <c r="Q10" s="33">
        <f t="shared" si="3"/>
        <v>0.49519230769230771</v>
      </c>
      <c r="R10" s="33">
        <f t="shared" si="4"/>
        <v>3.3653846153846152E-2</v>
      </c>
      <c r="S10" s="33">
        <f t="shared" si="5"/>
        <v>0</v>
      </c>
      <c r="T10" s="34">
        <v>259</v>
      </c>
      <c r="U10" s="34">
        <v>0</v>
      </c>
      <c r="V10" s="34">
        <v>0</v>
      </c>
      <c r="W10" s="34">
        <v>0</v>
      </c>
      <c r="X10" s="34">
        <v>259</v>
      </c>
      <c r="Y10" s="37">
        <v>1</v>
      </c>
      <c r="Z10" s="37">
        <v>0</v>
      </c>
      <c r="AA10" s="37">
        <v>0</v>
      </c>
      <c r="AB10" s="37">
        <v>0</v>
      </c>
      <c r="AC10" s="35">
        <v>49.389961389961393</v>
      </c>
      <c r="AD10" s="33">
        <f t="shared" si="6"/>
        <v>0.80308880308880304</v>
      </c>
    </row>
    <row r="11" spans="1:30" x14ac:dyDescent="0.25">
      <c r="A11" s="32">
        <v>8</v>
      </c>
      <c r="B11" s="32" t="s">
        <v>167</v>
      </c>
      <c r="C11" s="32" t="s">
        <v>168</v>
      </c>
      <c r="D11" s="32">
        <v>1</v>
      </c>
      <c r="E11" s="32">
        <v>186</v>
      </c>
      <c r="F11" s="32">
        <v>2</v>
      </c>
      <c r="G11" s="32">
        <v>24</v>
      </c>
      <c r="H11" s="32">
        <v>1</v>
      </c>
      <c r="I11" s="32">
        <v>32</v>
      </c>
      <c r="J11" s="32">
        <v>127</v>
      </c>
      <c r="K11" s="32">
        <v>186</v>
      </c>
      <c r="L11" s="32">
        <v>0</v>
      </c>
      <c r="M11" s="32">
        <f t="shared" si="0"/>
        <v>186</v>
      </c>
      <c r="N11" s="32">
        <v>0</v>
      </c>
      <c r="O11" s="33">
        <f t="shared" si="1"/>
        <v>0.17204301075268819</v>
      </c>
      <c r="P11" s="33">
        <f t="shared" si="2"/>
        <v>0.12903225806451613</v>
      </c>
      <c r="Q11" s="33">
        <f t="shared" si="3"/>
        <v>0.68279569892473113</v>
      </c>
      <c r="R11" s="33">
        <f t="shared" si="4"/>
        <v>1.0752688172043012E-2</v>
      </c>
      <c r="S11" s="33">
        <f t="shared" si="5"/>
        <v>5.3763440860215058E-3</v>
      </c>
      <c r="T11" s="34">
        <v>243</v>
      </c>
      <c r="U11" s="34">
        <v>4</v>
      </c>
      <c r="V11" s="34">
        <v>2</v>
      </c>
      <c r="W11" s="34">
        <v>1</v>
      </c>
      <c r="X11" s="34">
        <v>250</v>
      </c>
      <c r="Y11" s="37">
        <v>0.97199999999999998</v>
      </c>
      <c r="Z11" s="37">
        <v>1.6E-2</v>
      </c>
      <c r="AA11" s="37">
        <v>8.0000000000000002E-3</v>
      </c>
      <c r="AB11" s="37">
        <v>4.0000000000000001E-3</v>
      </c>
      <c r="AC11" s="35">
        <v>68.956000000000003</v>
      </c>
      <c r="AD11" s="33">
        <f t="shared" si="6"/>
        <v>0.74399999999999999</v>
      </c>
    </row>
    <row r="12" spans="1:30" x14ac:dyDescent="0.25">
      <c r="A12" s="32"/>
      <c r="B12" s="32"/>
      <c r="C12" s="32"/>
      <c r="D12" s="32">
        <v>2</v>
      </c>
      <c r="E12" s="32">
        <v>269</v>
      </c>
      <c r="F12" s="32">
        <v>3</v>
      </c>
      <c r="G12" s="32">
        <v>86</v>
      </c>
      <c r="H12" s="32">
        <v>3</v>
      </c>
      <c r="I12" s="32">
        <v>45</v>
      </c>
      <c r="J12" s="32">
        <v>127</v>
      </c>
      <c r="K12" s="32">
        <v>264</v>
      </c>
      <c r="L12" s="32">
        <v>5</v>
      </c>
      <c r="M12" s="32">
        <f t="shared" si="0"/>
        <v>269</v>
      </c>
      <c r="N12" s="32">
        <v>0</v>
      </c>
      <c r="O12" s="33">
        <f t="shared" si="1"/>
        <v>0.16728624535315986</v>
      </c>
      <c r="P12" s="33">
        <f t="shared" si="2"/>
        <v>0.31970260223048325</v>
      </c>
      <c r="Q12" s="33">
        <f t="shared" si="3"/>
        <v>0.47211895910780671</v>
      </c>
      <c r="R12" s="33">
        <f t="shared" si="4"/>
        <v>1.1152416356877323E-2</v>
      </c>
      <c r="S12" s="33">
        <f t="shared" si="5"/>
        <v>1.1152416356877323E-2</v>
      </c>
      <c r="T12" s="34">
        <v>339</v>
      </c>
      <c r="U12" s="34">
        <v>0</v>
      </c>
      <c r="V12" s="34">
        <v>1</v>
      </c>
      <c r="W12" s="34">
        <v>1</v>
      </c>
      <c r="X12" s="34">
        <v>341</v>
      </c>
      <c r="Y12" s="37">
        <v>0.99413489736070382</v>
      </c>
      <c r="Z12" s="37">
        <v>0</v>
      </c>
      <c r="AA12" s="37">
        <v>2.9325513196480938E-3</v>
      </c>
      <c r="AB12" s="37">
        <v>2.9325513196480938E-3</v>
      </c>
      <c r="AC12" s="35">
        <v>48.02639296187683</v>
      </c>
      <c r="AD12" s="33">
        <f t="shared" si="6"/>
        <v>0.78885630498533721</v>
      </c>
    </row>
    <row r="13" spans="1:30" x14ac:dyDescent="0.25">
      <c r="A13" s="32"/>
      <c r="B13" s="32"/>
      <c r="C13" s="32"/>
      <c r="D13" s="32">
        <v>3</v>
      </c>
      <c r="E13" s="32">
        <v>278</v>
      </c>
      <c r="F13" s="32">
        <v>1</v>
      </c>
      <c r="G13" s="32">
        <v>122</v>
      </c>
      <c r="H13" s="32">
        <v>0</v>
      </c>
      <c r="I13" s="32">
        <v>41</v>
      </c>
      <c r="J13" s="32">
        <v>112</v>
      </c>
      <c r="K13" s="32">
        <v>276</v>
      </c>
      <c r="L13" s="32">
        <v>2</v>
      </c>
      <c r="M13" s="32">
        <f t="shared" si="0"/>
        <v>278</v>
      </c>
      <c r="N13" s="32">
        <v>0</v>
      </c>
      <c r="O13" s="33">
        <f t="shared" si="1"/>
        <v>0.14748201438848921</v>
      </c>
      <c r="P13" s="33">
        <f t="shared" si="2"/>
        <v>0.43884892086330934</v>
      </c>
      <c r="Q13" s="33">
        <f t="shared" si="3"/>
        <v>0.40287769784172661</v>
      </c>
      <c r="R13" s="33">
        <f t="shared" si="4"/>
        <v>3.5971223021582736E-3</v>
      </c>
      <c r="S13" s="33">
        <f t="shared" si="5"/>
        <v>0</v>
      </c>
      <c r="T13" s="34">
        <v>341</v>
      </c>
      <c r="U13" s="34">
        <v>0</v>
      </c>
      <c r="V13" s="34">
        <v>0</v>
      </c>
      <c r="W13" s="34">
        <v>1</v>
      </c>
      <c r="X13" s="34">
        <v>342</v>
      </c>
      <c r="Y13" s="37">
        <v>0.99707602339181289</v>
      </c>
      <c r="Z13" s="37">
        <v>0</v>
      </c>
      <c r="AA13" s="37">
        <v>0</v>
      </c>
      <c r="AB13" s="37">
        <v>2.9239766081871343E-3</v>
      </c>
      <c r="AC13" s="35">
        <v>27.997076023391813</v>
      </c>
      <c r="AD13" s="33">
        <f t="shared" si="6"/>
        <v>0.8128654970760234</v>
      </c>
    </row>
    <row r="14" spans="1:30" x14ac:dyDescent="0.25">
      <c r="A14" s="32">
        <v>9</v>
      </c>
      <c r="B14" s="32" t="s">
        <v>173</v>
      </c>
      <c r="C14" s="32" t="s">
        <v>174</v>
      </c>
      <c r="D14" s="32">
        <v>1</v>
      </c>
      <c r="E14" s="32">
        <v>183</v>
      </c>
      <c r="F14" s="32">
        <v>0</v>
      </c>
      <c r="G14" s="32">
        <v>36</v>
      </c>
      <c r="H14" s="32">
        <v>1</v>
      </c>
      <c r="I14" s="32">
        <v>27</v>
      </c>
      <c r="J14" s="32">
        <v>114</v>
      </c>
      <c r="K14" s="32">
        <v>178</v>
      </c>
      <c r="L14" s="32">
        <v>5</v>
      </c>
      <c r="M14" s="32">
        <f t="shared" si="0"/>
        <v>183</v>
      </c>
      <c r="N14" s="32">
        <v>0</v>
      </c>
      <c r="O14" s="33">
        <f t="shared" si="1"/>
        <v>0.14754098360655737</v>
      </c>
      <c r="P14" s="33">
        <f t="shared" si="2"/>
        <v>0.19672131147540983</v>
      </c>
      <c r="Q14" s="33">
        <f t="shared" si="3"/>
        <v>0.62295081967213117</v>
      </c>
      <c r="R14" s="33">
        <f t="shared" si="4"/>
        <v>0</v>
      </c>
      <c r="S14" s="33">
        <f t="shared" si="5"/>
        <v>5.4644808743169399E-3</v>
      </c>
      <c r="T14" s="34">
        <v>250</v>
      </c>
      <c r="U14" s="34">
        <v>0</v>
      </c>
      <c r="V14" s="34">
        <v>0</v>
      </c>
      <c r="W14" s="34">
        <v>0</v>
      </c>
      <c r="X14" s="34">
        <v>250</v>
      </c>
      <c r="Y14" s="37">
        <v>1</v>
      </c>
      <c r="Z14" s="37">
        <v>0</v>
      </c>
      <c r="AA14" s="37">
        <v>0</v>
      </c>
      <c r="AB14" s="37">
        <v>0</v>
      </c>
      <c r="AC14" s="35">
        <v>66.608000000000004</v>
      </c>
      <c r="AD14" s="33">
        <f t="shared" si="6"/>
        <v>0.73199999999999998</v>
      </c>
    </row>
    <row r="15" spans="1:30" x14ac:dyDescent="0.25">
      <c r="A15" s="32"/>
      <c r="B15" s="32"/>
      <c r="C15" s="32"/>
      <c r="D15" s="32">
        <v>2</v>
      </c>
      <c r="E15" s="32">
        <v>278</v>
      </c>
      <c r="F15" s="32">
        <v>2</v>
      </c>
      <c r="G15" s="32">
        <v>101</v>
      </c>
      <c r="H15" s="32">
        <v>1</v>
      </c>
      <c r="I15" s="32">
        <v>43</v>
      </c>
      <c r="J15" s="32">
        <v>129</v>
      </c>
      <c r="K15" s="32">
        <v>276</v>
      </c>
      <c r="L15" s="32">
        <v>2</v>
      </c>
      <c r="M15" s="32">
        <f t="shared" si="0"/>
        <v>278</v>
      </c>
      <c r="N15" s="32">
        <v>0</v>
      </c>
      <c r="O15" s="33">
        <f t="shared" si="1"/>
        <v>0.15467625899280577</v>
      </c>
      <c r="P15" s="33">
        <f t="shared" si="2"/>
        <v>0.36330935251798563</v>
      </c>
      <c r="Q15" s="33">
        <f t="shared" si="3"/>
        <v>0.46402877697841727</v>
      </c>
      <c r="R15" s="33">
        <f t="shared" si="4"/>
        <v>7.1942446043165471E-3</v>
      </c>
      <c r="S15" s="33">
        <f t="shared" si="5"/>
        <v>3.5971223021582736E-3</v>
      </c>
      <c r="T15" s="34">
        <v>351</v>
      </c>
      <c r="U15" s="34">
        <v>0</v>
      </c>
      <c r="V15" s="34">
        <v>0</v>
      </c>
      <c r="W15" s="34">
        <v>1</v>
      </c>
      <c r="X15" s="34">
        <v>352</v>
      </c>
      <c r="Y15" s="37">
        <v>0.99715909090909094</v>
      </c>
      <c r="Z15" s="37">
        <v>0</v>
      </c>
      <c r="AA15" s="37">
        <v>0</v>
      </c>
      <c r="AB15" s="37">
        <v>2.840909090909091E-3</v>
      </c>
      <c r="AC15" s="35">
        <v>36.323863636363633</v>
      </c>
      <c r="AD15" s="33">
        <f t="shared" si="6"/>
        <v>0.78977272727272729</v>
      </c>
    </row>
    <row r="16" spans="1:30" x14ac:dyDescent="0.25">
      <c r="A16" s="32">
        <v>10</v>
      </c>
      <c r="B16" s="32" t="s">
        <v>175</v>
      </c>
      <c r="C16" s="32" t="s">
        <v>176</v>
      </c>
      <c r="D16" s="32">
        <v>1</v>
      </c>
      <c r="E16" s="32">
        <v>365</v>
      </c>
      <c r="F16" s="32">
        <v>3</v>
      </c>
      <c r="G16" s="32">
        <v>41</v>
      </c>
      <c r="H16" s="32">
        <v>3</v>
      </c>
      <c r="I16" s="32">
        <v>81</v>
      </c>
      <c r="J16" s="32">
        <v>233</v>
      </c>
      <c r="K16" s="32">
        <v>361</v>
      </c>
      <c r="L16" s="32">
        <v>4</v>
      </c>
      <c r="M16" s="32">
        <f t="shared" si="0"/>
        <v>365</v>
      </c>
      <c r="N16" s="32">
        <v>0</v>
      </c>
      <c r="O16" s="33">
        <f t="shared" si="1"/>
        <v>0.22191780821917809</v>
      </c>
      <c r="P16" s="33">
        <f t="shared" si="2"/>
        <v>0.11232876712328767</v>
      </c>
      <c r="Q16" s="33">
        <f t="shared" si="3"/>
        <v>0.63835616438356169</v>
      </c>
      <c r="R16" s="33">
        <f t="shared" si="4"/>
        <v>8.21917808219178E-3</v>
      </c>
      <c r="S16" s="33">
        <f t="shared" si="5"/>
        <v>8.21917808219178E-3</v>
      </c>
      <c r="T16" s="34">
        <v>423</v>
      </c>
      <c r="U16" s="34">
        <v>21</v>
      </c>
      <c r="V16" s="34">
        <v>6</v>
      </c>
      <c r="W16" s="34">
        <v>0</v>
      </c>
      <c r="X16" s="34">
        <v>450</v>
      </c>
      <c r="Y16" s="37">
        <v>0.94</v>
      </c>
      <c r="Z16" s="37">
        <v>4.6666666666666669E-2</v>
      </c>
      <c r="AA16" s="37">
        <v>1.3333333333333334E-2</v>
      </c>
      <c r="AB16" s="37">
        <v>0</v>
      </c>
      <c r="AC16" s="35">
        <v>65.975555555555559</v>
      </c>
      <c r="AD16" s="33">
        <f t="shared" si="6"/>
        <v>0.81111111111111112</v>
      </c>
    </row>
    <row r="17" spans="1:30" x14ac:dyDescent="0.25">
      <c r="A17" s="32"/>
      <c r="B17" s="32"/>
      <c r="C17" s="32"/>
      <c r="D17" s="32">
        <v>2</v>
      </c>
      <c r="E17" s="32">
        <v>514</v>
      </c>
      <c r="F17" s="32">
        <v>1</v>
      </c>
      <c r="G17" s="32">
        <v>170</v>
      </c>
      <c r="H17" s="32">
        <v>0</v>
      </c>
      <c r="I17" s="32">
        <v>98</v>
      </c>
      <c r="J17" s="32">
        <v>240</v>
      </c>
      <c r="K17" s="32">
        <v>509</v>
      </c>
      <c r="L17" s="32">
        <v>5</v>
      </c>
      <c r="M17" s="32">
        <f t="shared" si="0"/>
        <v>514</v>
      </c>
      <c r="N17" s="32">
        <v>0</v>
      </c>
      <c r="O17" s="33">
        <f t="shared" si="1"/>
        <v>0.19066147859922178</v>
      </c>
      <c r="P17" s="33">
        <f t="shared" si="2"/>
        <v>0.33073929961089493</v>
      </c>
      <c r="Q17" s="33">
        <f t="shared" si="3"/>
        <v>0.46692607003891051</v>
      </c>
      <c r="R17" s="33">
        <f t="shared" si="4"/>
        <v>1.9455252918287938E-3</v>
      </c>
      <c r="S17" s="33">
        <f t="shared" si="5"/>
        <v>0</v>
      </c>
      <c r="T17" s="34">
        <v>637</v>
      </c>
      <c r="U17" s="34">
        <v>4</v>
      </c>
      <c r="V17" s="34">
        <v>9</v>
      </c>
      <c r="W17" s="34">
        <v>2</v>
      </c>
      <c r="X17" s="34">
        <v>652</v>
      </c>
      <c r="Y17" s="37">
        <v>0.97699386503067487</v>
      </c>
      <c r="Z17" s="37">
        <v>6.1349693251533744E-3</v>
      </c>
      <c r="AA17" s="37">
        <v>1.3803680981595092E-2</v>
      </c>
      <c r="AB17" s="37">
        <v>3.0674846625766872E-3</v>
      </c>
      <c r="AC17" s="35">
        <v>34.866564417177912</v>
      </c>
      <c r="AD17" s="33">
        <f t="shared" si="6"/>
        <v>0.78834355828220859</v>
      </c>
    </row>
    <row r="18" spans="1:30" x14ac:dyDescent="0.25">
      <c r="A18" s="32">
        <v>11</v>
      </c>
      <c r="B18" s="32" t="s">
        <v>177</v>
      </c>
      <c r="C18" s="32" t="s">
        <v>178</v>
      </c>
      <c r="D18" s="32">
        <v>1</v>
      </c>
      <c r="E18" s="32">
        <v>284</v>
      </c>
      <c r="F18" s="32">
        <v>2</v>
      </c>
      <c r="G18" s="32">
        <v>16</v>
      </c>
      <c r="H18" s="32">
        <v>4</v>
      </c>
      <c r="I18" s="32">
        <v>169</v>
      </c>
      <c r="J18" s="32">
        <v>87</v>
      </c>
      <c r="K18" s="32">
        <v>278</v>
      </c>
      <c r="L18" s="32">
        <v>6</v>
      </c>
      <c r="M18" s="32">
        <f t="shared" si="0"/>
        <v>284</v>
      </c>
      <c r="N18" s="32">
        <v>0</v>
      </c>
      <c r="O18" s="33">
        <f t="shared" si="1"/>
        <v>0.59507042253521125</v>
      </c>
      <c r="P18" s="33">
        <f t="shared" si="2"/>
        <v>5.6338028169014086E-2</v>
      </c>
      <c r="Q18" s="33">
        <f t="shared" si="3"/>
        <v>0.30633802816901406</v>
      </c>
      <c r="R18" s="33">
        <f t="shared" si="4"/>
        <v>7.0422535211267607E-3</v>
      </c>
      <c r="S18" s="33">
        <f t="shared" si="5"/>
        <v>1.4084507042253521E-2</v>
      </c>
      <c r="T18" s="34">
        <v>107</v>
      </c>
      <c r="U18" s="34">
        <v>181</v>
      </c>
      <c r="V18" s="34">
        <v>91</v>
      </c>
      <c r="W18" s="34">
        <v>1</v>
      </c>
      <c r="X18" s="34">
        <v>380</v>
      </c>
      <c r="Y18" s="37">
        <v>0.28157894736842104</v>
      </c>
      <c r="Z18" s="37">
        <v>0.47631578947368419</v>
      </c>
      <c r="AA18" s="37">
        <v>0.23947368421052631</v>
      </c>
      <c r="AB18" s="37">
        <v>2.631578947368421E-3</v>
      </c>
      <c r="AC18" s="35">
        <v>68.897368421052633</v>
      </c>
      <c r="AD18" s="33">
        <f t="shared" si="6"/>
        <v>0.74736842105263157</v>
      </c>
    </row>
    <row r="19" spans="1:30" x14ac:dyDescent="0.25">
      <c r="A19" s="32"/>
      <c r="B19" s="32"/>
      <c r="C19" s="32"/>
      <c r="D19" s="32">
        <v>2</v>
      </c>
      <c r="E19" s="32">
        <v>309</v>
      </c>
      <c r="F19" s="32">
        <v>1</v>
      </c>
      <c r="G19" s="32">
        <v>35</v>
      </c>
      <c r="H19" s="32">
        <v>2</v>
      </c>
      <c r="I19" s="32">
        <v>165</v>
      </c>
      <c r="J19" s="32">
        <v>98</v>
      </c>
      <c r="K19" s="32">
        <v>301</v>
      </c>
      <c r="L19" s="32">
        <v>8</v>
      </c>
      <c r="M19" s="32">
        <f t="shared" si="0"/>
        <v>309</v>
      </c>
      <c r="N19" s="32">
        <v>0</v>
      </c>
      <c r="O19" s="33">
        <f t="shared" si="1"/>
        <v>0.53398058252427183</v>
      </c>
      <c r="P19" s="33">
        <f t="shared" si="2"/>
        <v>0.11326860841423948</v>
      </c>
      <c r="Q19" s="33">
        <f t="shared" si="3"/>
        <v>0.31715210355987056</v>
      </c>
      <c r="R19" s="33">
        <f t="shared" si="4"/>
        <v>3.2362459546925568E-3</v>
      </c>
      <c r="S19" s="33">
        <f t="shared" si="5"/>
        <v>6.4724919093851136E-3</v>
      </c>
      <c r="T19" s="34">
        <v>131</v>
      </c>
      <c r="U19" s="34">
        <v>159</v>
      </c>
      <c r="V19" s="34">
        <v>90</v>
      </c>
      <c r="W19" s="34">
        <v>0</v>
      </c>
      <c r="X19" s="34">
        <v>380</v>
      </c>
      <c r="Y19" s="37">
        <v>0.34473684210526317</v>
      </c>
      <c r="Z19" s="37">
        <v>0.41842105263157897</v>
      </c>
      <c r="AA19" s="37">
        <v>0.23684210526315788</v>
      </c>
      <c r="AB19" s="37">
        <v>0</v>
      </c>
      <c r="AC19" s="35">
        <v>55.839473684210525</v>
      </c>
      <c r="AD19" s="33">
        <f t="shared" si="6"/>
        <v>0.81315789473684208</v>
      </c>
    </row>
    <row r="20" spans="1:30" x14ac:dyDescent="0.25">
      <c r="A20" s="32"/>
      <c r="B20" s="32"/>
      <c r="C20" s="32"/>
      <c r="D20" s="32">
        <v>3</v>
      </c>
      <c r="E20" s="32">
        <v>381</v>
      </c>
      <c r="F20" s="32">
        <v>3</v>
      </c>
      <c r="G20" s="32">
        <v>53</v>
      </c>
      <c r="H20" s="32">
        <v>0</v>
      </c>
      <c r="I20" s="32">
        <v>228</v>
      </c>
      <c r="J20" s="32">
        <v>94</v>
      </c>
      <c r="K20" s="32">
        <v>378</v>
      </c>
      <c r="L20" s="32">
        <v>3</v>
      </c>
      <c r="M20" s="32">
        <f t="shared" si="0"/>
        <v>381</v>
      </c>
      <c r="N20" s="32">
        <v>0</v>
      </c>
      <c r="O20" s="33">
        <f t="shared" si="1"/>
        <v>0.59842519685039375</v>
      </c>
      <c r="P20" s="33">
        <f t="shared" si="2"/>
        <v>0.13910761154855644</v>
      </c>
      <c r="Q20" s="33">
        <f t="shared" si="3"/>
        <v>0.24671916010498687</v>
      </c>
      <c r="R20" s="33">
        <f t="shared" si="4"/>
        <v>7.874015748031496E-3</v>
      </c>
      <c r="S20" s="33">
        <f t="shared" si="5"/>
        <v>0</v>
      </c>
      <c r="T20" s="34">
        <v>181</v>
      </c>
      <c r="U20" s="34">
        <v>260</v>
      </c>
      <c r="V20" s="34">
        <v>99</v>
      </c>
      <c r="W20" s="34">
        <v>3</v>
      </c>
      <c r="X20" s="34">
        <v>543</v>
      </c>
      <c r="Y20" s="37">
        <v>0.33333333333333331</v>
      </c>
      <c r="Z20" s="37">
        <v>0.47882136279926335</v>
      </c>
      <c r="AA20" s="37">
        <v>0.18232044198895028</v>
      </c>
      <c r="AB20" s="37">
        <v>5.5248618784530384E-3</v>
      </c>
      <c r="AC20" s="35">
        <v>42.8232044198895</v>
      </c>
      <c r="AD20" s="33">
        <f t="shared" si="6"/>
        <v>0.7016574585635359</v>
      </c>
    </row>
    <row r="21" spans="1:30" x14ac:dyDescent="0.25">
      <c r="A21" s="32"/>
      <c r="B21" s="32"/>
      <c r="C21" s="32"/>
      <c r="D21" s="32">
        <v>4</v>
      </c>
      <c r="E21" s="32">
        <v>365</v>
      </c>
      <c r="F21" s="32">
        <v>1</v>
      </c>
      <c r="G21" s="32">
        <v>75</v>
      </c>
      <c r="H21" s="32">
        <v>0</v>
      </c>
      <c r="I21" s="32">
        <v>194</v>
      </c>
      <c r="J21" s="32">
        <v>94</v>
      </c>
      <c r="K21" s="32">
        <v>364</v>
      </c>
      <c r="L21" s="32">
        <v>1</v>
      </c>
      <c r="M21" s="32">
        <f t="shared" si="0"/>
        <v>365</v>
      </c>
      <c r="N21" s="32">
        <v>0</v>
      </c>
      <c r="O21" s="33">
        <f t="shared" si="1"/>
        <v>0.53150684931506853</v>
      </c>
      <c r="P21" s="33">
        <f t="shared" si="2"/>
        <v>0.20547945205479451</v>
      </c>
      <c r="Q21" s="33">
        <f t="shared" si="3"/>
        <v>0.25753424657534246</v>
      </c>
      <c r="R21" s="33">
        <f t="shared" si="4"/>
        <v>2.7397260273972603E-3</v>
      </c>
      <c r="S21" s="33">
        <f t="shared" si="5"/>
        <v>0</v>
      </c>
      <c r="T21" s="34">
        <v>245</v>
      </c>
      <c r="U21" s="34">
        <v>193</v>
      </c>
      <c r="V21" s="34">
        <v>106</v>
      </c>
      <c r="W21" s="34">
        <v>0</v>
      </c>
      <c r="X21" s="34">
        <v>544</v>
      </c>
      <c r="Y21" s="37">
        <v>0.45036764705882354</v>
      </c>
      <c r="Z21" s="37">
        <v>0.3547794117647059</v>
      </c>
      <c r="AA21" s="37">
        <v>0.19485294117647059</v>
      </c>
      <c r="AB21" s="37">
        <v>0</v>
      </c>
      <c r="AC21" s="35">
        <v>31.400735294117649</v>
      </c>
      <c r="AD21" s="33">
        <f t="shared" si="6"/>
        <v>0.67095588235294112</v>
      </c>
    </row>
    <row r="22" spans="1:30" x14ac:dyDescent="0.25">
      <c r="A22" s="32"/>
      <c r="B22" s="32"/>
      <c r="C22" s="32"/>
      <c r="D22" s="32">
        <v>5</v>
      </c>
      <c r="E22" s="32">
        <v>392</v>
      </c>
      <c r="F22" s="32">
        <v>0</v>
      </c>
      <c r="G22" s="32">
        <v>106</v>
      </c>
      <c r="H22" s="32">
        <v>1</v>
      </c>
      <c r="I22" s="32">
        <v>182</v>
      </c>
      <c r="J22" s="32">
        <v>102</v>
      </c>
      <c r="K22" s="32">
        <v>391</v>
      </c>
      <c r="L22" s="32">
        <v>1</v>
      </c>
      <c r="M22" s="32">
        <f t="shared" si="0"/>
        <v>392</v>
      </c>
      <c r="N22" s="32">
        <v>0</v>
      </c>
      <c r="O22" s="33">
        <f t="shared" si="1"/>
        <v>0.4642857142857143</v>
      </c>
      <c r="P22" s="33">
        <f t="shared" si="2"/>
        <v>0.27040816326530615</v>
      </c>
      <c r="Q22" s="33">
        <f t="shared" si="3"/>
        <v>0.26020408163265307</v>
      </c>
      <c r="R22" s="33">
        <f t="shared" si="4"/>
        <v>0</v>
      </c>
      <c r="S22" s="33">
        <f t="shared" si="5"/>
        <v>2.5510204081632651E-3</v>
      </c>
      <c r="T22" s="34">
        <v>325</v>
      </c>
      <c r="U22" s="34">
        <v>131</v>
      </c>
      <c r="V22" s="34">
        <v>88</v>
      </c>
      <c r="W22" s="34">
        <v>0</v>
      </c>
      <c r="X22" s="34">
        <v>544</v>
      </c>
      <c r="Y22" s="37">
        <v>0.59742647058823528</v>
      </c>
      <c r="Z22" s="37">
        <v>0.24080882352941177</v>
      </c>
      <c r="AA22" s="37">
        <v>0.16176470588235295</v>
      </c>
      <c r="AB22" s="37">
        <v>0</v>
      </c>
      <c r="AC22" s="35">
        <v>22.670955882352942</v>
      </c>
      <c r="AD22" s="33">
        <f t="shared" si="6"/>
        <v>0.72058823529411764</v>
      </c>
    </row>
    <row r="23" spans="1:30" x14ac:dyDescent="0.25">
      <c r="A23" s="32">
        <v>12</v>
      </c>
      <c r="B23" s="32" t="s">
        <v>179</v>
      </c>
      <c r="C23" s="32" t="s">
        <v>180</v>
      </c>
      <c r="D23" s="32">
        <v>1</v>
      </c>
      <c r="E23" s="32">
        <v>157</v>
      </c>
      <c r="F23" s="32">
        <v>2</v>
      </c>
      <c r="G23" s="32">
        <v>18</v>
      </c>
      <c r="H23" s="32">
        <v>1</v>
      </c>
      <c r="I23" s="32">
        <v>39</v>
      </c>
      <c r="J23" s="32">
        <v>92</v>
      </c>
      <c r="K23" s="32">
        <v>152</v>
      </c>
      <c r="L23" s="32">
        <v>5</v>
      </c>
      <c r="M23" s="32">
        <f t="shared" si="0"/>
        <v>157</v>
      </c>
      <c r="N23" s="32">
        <v>0</v>
      </c>
      <c r="O23" s="33">
        <f t="shared" si="1"/>
        <v>0.24840764331210191</v>
      </c>
      <c r="P23" s="33">
        <f t="shared" si="2"/>
        <v>0.11464968152866242</v>
      </c>
      <c r="Q23" s="33">
        <f t="shared" si="3"/>
        <v>0.5859872611464968</v>
      </c>
      <c r="R23" s="33">
        <f t="shared" si="4"/>
        <v>1.2738853503184714E-2</v>
      </c>
      <c r="S23" s="33">
        <f t="shared" si="5"/>
        <v>6.369426751592357E-3</v>
      </c>
      <c r="T23" s="34">
        <v>199</v>
      </c>
      <c r="U23" s="34">
        <v>1</v>
      </c>
      <c r="V23" s="34">
        <v>0</v>
      </c>
      <c r="W23" s="34">
        <v>0</v>
      </c>
      <c r="X23" s="34">
        <v>200</v>
      </c>
      <c r="Y23" s="37">
        <v>0.995</v>
      </c>
      <c r="Z23" s="37">
        <v>5.0000000000000001E-3</v>
      </c>
      <c r="AA23" s="37">
        <v>0</v>
      </c>
      <c r="AB23" s="37">
        <v>0</v>
      </c>
      <c r="AC23" s="35">
        <v>67.704999999999998</v>
      </c>
      <c r="AD23" s="33">
        <f t="shared" si="6"/>
        <v>0.78500000000000003</v>
      </c>
    </row>
    <row r="24" spans="1:30" x14ac:dyDescent="0.25">
      <c r="A24" s="32"/>
      <c r="B24" s="32"/>
      <c r="C24" s="32"/>
      <c r="D24" s="32">
        <v>2</v>
      </c>
      <c r="E24" s="32">
        <v>323</v>
      </c>
      <c r="F24" s="32">
        <v>1</v>
      </c>
      <c r="G24" s="32">
        <v>106</v>
      </c>
      <c r="H24" s="32">
        <v>1</v>
      </c>
      <c r="I24" s="32">
        <v>92</v>
      </c>
      <c r="J24" s="32">
        <v>123</v>
      </c>
      <c r="K24" s="32">
        <v>323</v>
      </c>
      <c r="L24" s="32">
        <v>0</v>
      </c>
      <c r="M24" s="32">
        <f t="shared" si="0"/>
        <v>323</v>
      </c>
      <c r="N24" s="32">
        <v>0</v>
      </c>
      <c r="O24" s="33">
        <f t="shared" si="1"/>
        <v>0.28482972136222912</v>
      </c>
      <c r="P24" s="33">
        <f t="shared" si="2"/>
        <v>0.32817337461300311</v>
      </c>
      <c r="Q24" s="33">
        <f t="shared" si="3"/>
        <v>0.38080495356037153</v>
      </c>
      <c r="R24" s="33">
        <f t="shared" si="4"/>
        <v>3.0959752321981426E-3</v>
      </c>
      <c r="S24" s="33">
        <f t="shared" si="5"/>
        <v>3.0959752321981426E-3</v>
      </c>
      <c r="T24" s="34">
        <v>383</v>
      </c>
      <c r="U24" s="34">
        <v>1</v>
      </c>
      <c r="V24" s="34">
        <v>0</v>
      </c>
      <c r="W24" s="34">
        <v>0</v>
      </c>
      <c r="X24" s="34">
        <v>384</v>
      </c>
      <c r="Y24" s="37">
        <v>0.99739583333333337</v>
      </c>
      <c r="Z24" s="37">
        <v>2.6041666666666665E-3</v>
      </c>
      <c r="AA24" s="37">
        <v>0</v>
      </c>
      <c r="AB24" s="37">
        <v>0</v>
      </c>
      <c r="AC24" s="35">
        <v>37.0390625</v>
      </c>
      <c r="AD24" s="33">
        <f t="shared" si="6"/>
        <v>0.84114583333333337</v>
      </c>
    </row>
    <row r="25" spans="1:30" x14ac:dyDescent="0.25">
      <c r="A25" s="32">
        <v>13</v>
      </c>
      <c r="B25" s="32" t="s">
        <v>181</v>
      </c>
      <c r="C25" s="32" t="s">
        <v>182</v>
      </c>
      <c r="D25" s="32">
        <v>1</v>
      </c>
      <c r="E25" s="32">
        <v>258</v>
      </c>
      <c r="F25" s="32">
        <v>4</v>
      </c>
      <c r="G25" s="32">
        <v>34</v>
      </c>
      <c r="H25" s="32">
        <v>4</v>
      </c>
      <c r="I25" s="32">
        <v>99</v>
      </c>
      <c r="J25" s="32">
        <v>114</v>
      </c>
      <c r="K25" s="32">
        <v>255</v>
      </c>
      <c r="L25" s="32">
        <v>3</v>
      </c>
      <c r="M25" s="32">
        <f t="shared" si="0"/>
        <v>258</v>
      </c>
      <c r="N25" s="32">
        <v>0</v>
      </c>
      <c r="O25" s="33">
        <f t="shared" si="1"/>
        <v>0.38372093023255816</v>
      </c>
      <c r="P25" s="33">
        <f t="shared" si="2"/>
        <v>0.13178294573643412</v>
      </c>
      <c r="Q25" s="33">
        <f t="shared" si="3"/>
        <v>0.44186046511627908</v>
      </c>
      <c r="R25" s="33">
        <f t="shared" si="4"/>
        <v>1.5503875968992248E-2</v>
      </c>
      <c r="S25" s="33">
        <f t="shared" si="5"/>
        <v>1.5503875968992248E-2</v>
      </c>
      <c r="T25" s="34">
        <v>260</v>
      </c>
      <c r="U25" s="34">
        <v>76</v>
      </c>
      <c r="V25" s="34">
        <v>13</v>
      </c>
      <c r="W25" s="34">
        <v>1</v>
      </c>
      <c r="X25" s="34">
        <v>350</v>
      </c>
      <c r="Y25" s="37">
        <v>0.74285714285714288</v>
      </c>
      <c r="Z25" s="37">
        <v>0.21714285714285714</v>
      </c>
      <c r="AA25" s="37">
        <v>3.7142857142857144E-2</v>
      </c>
      <c r="AB25" s="37">
        <v>2.8571428571428571E-3</v>
      </c>
      <c r="AC25" s="35">
        <v>68.088571428571427</v>
      </c>
      <c r="AD25" s="33">
        <f t="shared" si="6"/>
        <v>0.7371428571428571</v>
      </c>
    </row>
    <row r="26" spans="1:30" x14ac:dyDescent="0.25">
      <c r="A26" s="32"/>
      <c r="B26" s="32"/>
      <c r="C26" s="32"/>
      <c r="D26" s="32">
        <v>2</v>
      </c>
      <c r="E26" s="32">
        <v>284</v>
      </c>
      <c r="F26" s="32">
        <v>2</v>
      </c>
      <c r="G26" s="32">
        <v>53</v>
      </c>
      <c r="H26" s="32">
        <v>5</v>
      </c>
      <c r="I26" s="32">
        <v>135</v>
      </c>
      <c r="J26" s="32">
        <v>87</v>
      </c>
      <c r="K26" s="32">
        <v>282</v>
      </c>
      <c r="L26" s="32">
        <v>2</v>
      </c>
      <c r="M26" s="32">
        <f t="shared" si="0"/>
        <v>284</v>
      </c>
      <c r="N26" s="32">
        <v>0</v>
      </c>
      <c r="O26" s="33">
        <f t="shared" si="1"/>
        <v>0.47535211267605632</v>
      </c>
      <c r="P26" s="33">
        <f t="shared" si="2"/>
        <v>0.18661971830985916</v>
      </c>
      <c r="Q26" s="33">
        <f t="shared" si="3"/>
        <v>0.30633802816901406</v>
      </c>
      <c r="R26" s="33">
        <f t="shared" si="4"/>
        <v>7.0422535211267607E-3</v>
      </c>
      <c r="S26" s="33">
        <f t="shared" si="5"/>
        <v>1.7605633802816902E-2</v>
      </c>
      <c r="T26" s="34">
        <v>236</v>
      </c>
      <c r="U26" s="34">
        <v>85</v>
      </c>
      <c r="V26" s="34">
        <v>26</v>
      </c>
      <c r="W26" s="34">
        <v>3</v>
      </c>
      <c r="X26" s="34">
        <v>350</v>
      </c>
      <c r="Y26" s="37">
        <v>0.67428571428571427</v>
      </c>
      <c r="Z26" s="37">
        <v>0.24285714285714285</v>
      </c>
      <c r="AA26" s="37">
        <v>7.4285714285714288E-2</v>
      </c>
      <c r="AB26" s="37">
        <v>8.5714285714285719E-3</v>
      </c>
      <c r="AC26" s="35">
        <v>54.7</v>
      </c>
      <c r="AD26" s="33">
        <f t="shared" si="6"/>
        <v>0.81142857142857139</v>
      </c>
    </row>
    <row r="27" spans="1:30" x14ac:dyDescent="0.25">
      <c r="A27" s="32"/>
      <c r="B27" s="32"/>
      <c r="C27" s="32"/>
      <c r="D27" s="32">
        <v>3</v>
      </c>
      <c r="E27" s="32">
        <v>315</v>
      </c>
      <c r="F27" s="32">
        <v>1</v>
      </c>
      <c r="G27" s="32">
        <v>89</v>
      </c>
      <c r="H27" s="32">
        <v>2</v>
      </c>
      <c r="I27" s="32">
        <v>130</v>
      </c>
      <c r="J27" s="32">
        <v>92</v>
      </c>
      <c r="K27" s="32">
        <v>314</v>
      </c>
      <c r="L27" s="32">
        <v>1</v>
      </c>
      <c r="M27" s="32">
        <f t="shared" si="0"/>
        <v>315</v>
      </c>
      <c r="N27" s="32">
        <v>0</v>
      </c>
      <c r="O27" s="33">
        <f t="shared" si="1"/>
        <v>0.41269841269841268</v>
      </c>
      <c r="P27" s="33">
        <f t="shared" si="2"/>
        <v>0.28253968253968254</v>
      </c>
      <c r="Q27" s="33">
        <f t="shared" si="3"/>
        <v>0.29206349206349208</v>
      </c>
      <c r="R27" s="33">
        <f t="shared" si="4"/>
        <v>3.1746031746031746E-3</v>
      </c>
      <c r="S27" s="33">
        <f t="shared" si="5"/>
        <v>6.3492063492063492E-3</v>
      </c>
      <c r="T27" s="34">
        <v>315</v>
      </c>
      <c r="U27" s="34">
        <v>89</v>
      </c>
      <c r="V27" s="34">
        <v>28</v>
      </c>
      <c r="W27" s="34">
        <v>2</v>
      </c>
      <c r="X27" s="34">
        <v>434</v>
      </c>
      <c r="Y27" s="37">
        <v>0.72580645161290325</v>
      </c>
      <c r="Z27" s="37">
        <v>0.20506912442396313</v>
      </c>
      <c r="AA27" s="37">
        <v>6.4516129032258063E-2</v>
      </c>
      <c r="AB27" s="37">
        <v>4.608294930875576E-3</v>
      </c>
      <c r="AC27" s="35">
        <v>40.820276497695851</v>
      </c>
      <c r="AD27" s="33">
        <f t="shared" si="6"/>
        <v>0.72580645161290325</v>
      </c>
    </row>
    <row r="28" spans="1:30" x14ac:dyDescent="0.25">
      <c r="A28" s="32"/>
      <c r="B28" s="32"/>
      <c r="C28" s="32"/>
      <c r="D28" s="32">
        <v>4</v>
      </c>
      <c r="E28" s="32">
        <v>331</v>
      </c>
      <c r="F28" s="32">
        <v>3</v>
      </c>
      <c r="G28" s="32">
        <v>104</v>
      </c>
      <c r="H28" s="32">
        <v>2</v>
      </c>
      <c r="I28" s="32">
        <v>139</v>
      </c>
      <c r="J28" s="32">
        <v>82</v>
      </c>
      <c r="K28" s="32">
        <v>330</v>
      </c>
      <c r="L28" s="32">
        <v>1</v>
      </c>
      <c r="M28" s="32">
        <f t="shared" si="0"/>
        <v>331</v>
      </c>
      <c r="N28" s="32">
        <v>0</v>
      </c>
      <c r="O28" s="33">
        <f t="shared" si="1"/>
        <v>0.41993957703927492</v>
      </c>
      <c r="P28" s="33">
        <f t="shared" si="2"/>
        <v>0.31419939577039274</v>
      </c>
      <c r="Q28" s="33">
        <f t="shared" si="3"/>
        <v>0.24773413897280966</v>
      </c>
      <c r="R28" s="33">
        <f t="shared" si="4"/>
        <v>9.0634441087613302E-3</v>
      </c>
      <c r="S28" s="33">
        <f t="shared" si="5"/>
        <v>6.0422960725075529E-3</v>
      </c>
      <c r="T28" s="34">
        <v>341</v>
      </c>
      <c r="U28" s="34">
        <v>70</v>
      </c>
      <c r="V28" s="34">
        <v>23</v>
      </c>
      <c r="W28" s="34">
        <v>0</v>
      </c>
      <c r="X28" s="34">
        <v>434</v>
      </c>
      <c r="Y28" s="37">
        <v>0.7857142857142857</v>
      </c>
      <c r="Z28" s="37">
        <v>0.16129032258064516</v>
      </c>
      <c r="AA28" s="37">
        <v>5.2995391705069124E-2</v>
      </c>
      <c r="AB28" s="37">
        <v>0</v>
      </c>
      <c r="AC28" s="35">
        <v>31.375576036866359</v>
      </c>
      <c r="AD28" s="33">
        <f t="shared" si="6"/>
        <v>0.76267281105990781</v>
      </c>
    </row>
    <row r="29" spans="1:30" x14ac:dyDescent="0.25">
      <c r="A29" s="32"/>
      <c r="B29" s="32"/>
      <c r="C29" s="32"/>
      <c r="D29" s="32">
        <v>5</v>
      </c>
      <c r="E29" s="32">
        <v>341</v>
      </c>
      <c r="F29" s="32">
        <v>3</v>
      </c>
      <c r="G29" s="32">
        <v>103</v>
      </c>
      <c r="H29" s="32">
        <v>2</v>
      </c>
      <c r="I29" s="32">
        <v>149</v>
      </c>
      <c r="J29" s="32">
        <v>83</v>
      </c>
      <c r="K29" s="32">
        <v>340</v>
      </c>
      <c r="L29" s="32">
        <v>1</v>
      </c>
      <c r="M29" s="32">
        <f t="shared" si="0"/>
        <v>341</v>
      </c>
      <c r="N29" s="32">
        <v>0</v>
      </c>
      <c r="O29" s="33">
        <f t="shared" si="1"/>
        <v>0.43695014662756598</v>
      </c>
      <c r="P29" s="33">
        <f t="shared" si="2"/>
        <v>0.30205278592375367</v>
      </c>
      <c r="Q29" s="33">
        <f t="shared" si="3"/>
        <v>0.24340175953079179</v>
      </c>
      <c r="R29" s="33">
        <f t="shared" si="4"/>
        <v>8.7976539589442824E-3</v>
      </c>
      <c r="S29" s="33">
        <f t="shared" si="5"/>
        <v>5.8651026392961877E-3</v>
      </c>
      <c r="T29" s="34">
        <v>351</v>
      </c>
      <c r="U29" s="34">
        <v>59</v>
      </c>
      <c r="V29" s="34">
        <v>25</v>
      </c>
      <c r="W29" s="34">
        <v>0</v>
      </c>
      <c r="X29" s="34">
        <v>435</v>
      </c>
      <c r="Y29" s="37">
        <v>0.80689655172413788</v>
      </c>
      <c r="Z29" s="37">
        <v>0.13563218390804599</v>
      </c>
      <c r="AA29" s="37">
        <v>5.7471264367816091E-2</v>
      </c>
      <c r="AB29" s="37">
        <v>0</v>
      </c>
      <c r="AC29" s="35">
        <v>22.754022988505746</v>
      </c>
      <c r="AD29" s="33">
        <f t="shared" si="6"/>
        <v>0.78390804597701147</v>
      </c>
    </row>
    <row r="30" spans="1:30" x14ac:dyDescent="0.25">
      <c r="A30" s="32">
        <v>14</v>
      </c>
      <c r="B30" s="32" t="s">
        <v>183</v>
      </c>
      <c r="C30" s="32" t="s">
        <v>184</v>
      </c>
      <c r="D30" s="32">
        <v>1</v>
      </c>
      <c r="E30" s="32">
        <v>201</v>
      </c>
      <c r="F30" s="32">
        <v>0</v>
      </c>
      <c r="G30" s="32">
        <v>18</v>
      </c>
      <c r="H30" s="32">
        <v>2</v>
      </c>
      <c r="I30" s="32">
        <v>41</v>
      </c>
      <c r="J30" s="32">
        <v>137</v>
      </c>
      <c r="K30" s="32">
        <v>198</v>
      </c>
      <c r="L30" s="32">
        <v>3</v>
      </c>
      <c r="M30" s="32">
        <f t="shared" si="0"/>
        <v>201</v>
      </c>
      <c r="N30" s="32">
        <v>0</v>
      </c>
      <c r="O30" s="33">
        <f t="shared" si="1"/>
        <v>0.20398009950248755</v>
      </c>
      <c r="P30" s="33">
        <f t="shared" si="2"/>
        <v>8.9552238805970144E-2</v>
      </c>
      <c r="Q30" s="33">
        <f t="shared" si="3"/>
        <v>0.68159203980099503</v>
      </c>
      <c r="R30" s="33">
        <f t="shared" si="4"/>
        <v>0</v>
      </c>
      <c r="S30" s="33">
        <f t="shared" si="5"/>
        <v>9.9502487562189053E-3</v>
      </c>
      <c r="T30" s="34">
        <v>291</v>
      </c>
      <c r="U30" s="34">
        <v>2</v>
      </c>
      <c r="V30" s="34">
        <v>6</v>
      </c>
      <c r="W30" s="34">
        <v>1</v>
      </c>
      <c r="X30" s="34">
        <v>300</v>
      </c>
      <c r="Y30" s="37">
        <v>0.97</v>
      </c>
      <c r="Z30" s="37">
        <v>6.6666666666666671E-3</v>
      </c>
      <c r="AA30" s="37">
        <v>0.02</v>
      </c>
      <c r="AB30" s="37">
        <v>3.3333333333333335E-3</v>
      </c>
      <c r="AC30" s="35">
        <v>68.38333333333334</v>
      </c>
      <c r="AD30" s="33">
        <f t="shared" si="6"/>
        <v>0.67</v>
      </c>
    </row>
    <row r="31" spans="1:30" x14ac:dyDescent="0.25">
      <c r="A31" s="32"/>
      <c r="B31" s="32"/>
      <c r="C31" s="32"/>
      <c r="D31" s="32">
        <v>2</v>
      </c>
      <c r="E31" s="32">
        <v>249</v>
      </c>
      <c r="F31" s="32">
        <v>3</v>
      </c>
      <c r="G31" s="32">
        <v>30</v>
      </c>
      <c r="H31" s="32">
        <v>1</v>
      </c>
      <c r="I31" s="32">
        <v>51</v>
      </c>
      <c r="J31" s="32">
        <v>164</v>
      </c>
      <c r="K31" s="32">
        <v>249</v>
      </c>
      <c r="L31" s="32">
        <v>0</v>
      </c>
      <c r="M31" s="32">
        <f t="shared" si="0"/>
        <v>249</v>
      </c>
      <c r="N31" s="32">
        <v>0</v>
      </c>
      <c r="O31" s="33">
        <f t="shared" si="1"/>
        <v>0.20481927710843373</v>
      </c>
      <c r="P31" s="33">
        <f t="shared" si="2"/>
        <v>0.12048192771084337</v>
      </c>
      <c r="Q31" s="33">
        <f t="shared" si="3"/>
        <v>0.65863453815261042</v>
      </c>
      <c r="R31" s="33">
        <f t="shared" si="4"/>
        <v>1.2048192771084338E-2</v>
      </c>
      <c r="S31" s="33">
        <f t="shared" si="5"/>
        <v>4.0160642570281121E-3</v>
      </c>
      <c r="T31" s="34">
        <v>296</v>
      </c>
      <c r="U31" s="34">
        <v>0</v>
      </c>
      <c r="V31" s="34">
        <v>2</v>
      </c>
      <c r="W31" s="34">
        <v>2</v>
      </c>
      <c r="X31" s="34">
        <v>300</v>
      </c>
      <c r="Y31" s="37">
        <v>0.98666666666666669</v>
      </c>
      <c r="Z31" s="37">
        <v>0</v>
      </c>
      <c r="AA31" s="37">
        <v>6.6666666666666671E-3</v>
      </c>
      <c r="AB31" s="37">
        <v>6.6666666666666671E-3</v>
      </c>
      <c r="AC31" s="35">
        <v>63.89</v>
      </c>
      <c r="AD31" s="33">
        <f t="shared" si="6"/>
        <v>0.83</v>
      </c>
    </row>
    <row r="32" spans="1:30" x14ac:dyDescent="0.25">
      <c r="A32" s="32"/>
      <c r="B32" s="32"/>
      <c r="C32" s="32"/>
      <c r="D32" s="32">
        <v>3</v>
      </c>
      <c r="E32" s="32">
        <v>382</v>
      </c>
      <c r="F32" s="32">
        <v>2</v>
      </c>
      <c r="G32" s="32">
        <v>103</v>
      </c>
      <c r="H32" s="32">
        <v>0</v>
      </c>
      <c r="I32" s="32">
        <v>77</v>
      </c>
      <c r="J32" s="32">
        <v>196</v>
      </c>
      <c r="K32" s="32">
        <v>378</v>
      </c>
      <c r="L32" s="32">
        <v>3</v>
      </c>
      <c r="M32" s="32">
        <f t="shared" si="0"/>
        <v>381</v>
      </c>
      <c r="N32" s="32">
        <v>1</v>
      </c>
      <c r="O32" s="33">
        <f t="shared" si="1"/>
        <v>0.20209973753280841</v>
      </c>
      <c r="P32" s="33">
        <f t="shared" si="2"/>
        <v>0.27034120734908135</v>
      </c>
      <c r="Q32" s="33">
        <f t="shared" si="3"/>
        <v>0.51443569553805779</v>
      </c>
      <c r="R32" s="33">
        <f t="shared" si="4"/>
        <v>5.2493438320209973E-3</v>
      </c>
      <c r="S32" s="33">
        <f t="shared" si="5"/>
        <v>0</v>
      </c>
      <c r="T32" s="34">
        <v>480</v>
      </c>
      <c r="U32" s="34">
        <v>3</v>
      </c>
      <c r="V32" s="34">
        <v>4</v>
      </c>
      <c r="W32" s="34">
        <v>3</v>
      </c>
      <c r="X32" s="34">
        <v>490</v>
      </c>
      <c r="Y32" s="37">
        <v>0.97959183673469385</v>
      </c>
      <c r="Z32" s="37">
        <v>6.1224489795918364E-3</v>
      </c>
      <c r="AA32" s="37">
        <v>8.1632653061224497E-3</v>
      </c>
      <c r="AB32" s="37">
        <v>6.1224489795918364E-3</v>
      </c>
      <c r="AC32" s="35">
        <v>52.512244897959185</v>
      </c>
      <c r="AD32" s="33">
        <f t="shared" si="6"/>
        <v>0.77755102040816326</v>
      </c>
    </row>
    <row r="33" spans="1:30" x14ac:dyDescent="0.25">
      <c r="A33" s="32"/>
      <c r="B33" s="32"/>
      <c r="C33" s="32"/>
      <c r="D33" s="32">
        <v>4</v>
      </c>
      <c r="E33" s="32">
        <v>355</v>
      </c>
      <c r="F33" s="32">
        <v>5</v>
      </c>
      <c r="G33" s="32">
        <v>138</v>
      </c>
      <c r="H33" s="32">
        <v>1</v>
      </c>
      <c r="I33" s="32">
        <v>52</v>
      </c>
      <c r="J33" s="32">
        <v>159</v>
      </c>
      <c r="K33" s="32">
        <v>355</v>
      </c>
      <c r="L33" s="32">
        <v>0</v>
      </c>
      <c r="M33" s="32">
        <f t="shared" si="0"/>
        <v>355</v>
      </c>
      <c r="N33" s="32">
        <v>0</v>
      </c>
      <c r="O33" s="33">
        <f t="shared" si="1"/>
        <v>0.14647887323943662</v>
      </c>
      <c r="P33" s="33">
        <f t="shared" si="2"/>
        <v>0.38873239436619716</v>
      </c>
      <c r="Q33" s="33">
        <f t="shared" si="3"/>
        <v>0.44788732394366199</v>
      </c>
      <c r="R33" s="33">
        <f t="shared" si="4"/>
        <v>1.4084507042253521E-2</v>
      </c>
      <c r="S33" s="33">
        <f t="shared" si="5"/>
        <v>2.8169014084507044E-3</v>
      </c>
      <c r="T33" s="34">
        <v>483</v>
      </c>
      <c r="U33" s="34">
        <v>2</v>
      </c>
      <c r="V33" s="34">
        <v>2</v>
      </c>
      <c r="W33" s="34">
        <v>3</v>
      </c>
      <c r="X33" s="34">
        <v>490</v>
      </c>
      <c r="Y33" s="37">
        <v>0.98571428571428577</v>
      </c>
      <c r="Z33" s="37">
        <v>4.0816326530612249E-3</v>
      </c>
      <c r="AA33" s="37">
        <v>4.0816326530612249E-3</v>
      </c>
      <c r="AB33" s="37">
        <v>6.1224489795918364E-3</v>
      </c>
      <c r="AC33" s="35">
        <v>40.185714285714283</v>
      </c>
      <c r="AD33" s="33">
        <f t="shared" si="6"/>
        <v>0.72448979591836737</v>
      </c>
    </row>
    <row r="34" spans="1:30" x14ac:dyDescent="0.25">
      <c r="A34" s="32"/>
      <c r="B34" s="32"/>
      <c r="C34" s="32"/>
      <c r="D34" s="32">
        <v>5</v>
      </c>
      <c r="E34" s="32">
        <v>365</v>
      </c>
      <c r="F34" s="32">
        <v>5</v>
      </c>
      <c r="G34" s="32">
        <v>165</v>
      </c>
      <c r="H34" s="32">
        <v>3</v>
      </c>
      <c r="I34" s="32">
        <v>56</v>
      </c>
      <c r="J34" s="32">
        <v>135</v>
      </c>
      <c r="K34" s="32">
        <v>364</v>
      </c>
      <c r="L34" s="32">
        <v>1</v>
      </c>
      <c r="M34" s="32">
        <f t="shared" si="0"/>
        <v>365</v>
      </c>
      <c r="N34" s="32">
        <v>0</v>
      </c>
      <c r="O34" s="33">
        <f t="shared" si="1"/>
        <v>0.15342465753424658</v>
      </c>
      <c r="P34" s="33">
        <f t="shared" si="2"/>
        <v>0.45205479452054792</v>
      </c>
      <c r="Q34" s="33">
        <f t="shared" si="3"/>
        <v>0.36986301369863012</v>
      </c>
      <c r="R34" s="33">
        <f t="shared" si="4"/>
        <v>1.3698630136986301E-2</v>
      </c>
      <c r="S34" s="33">
        <f t="shared" si="5"/>
        <v>8.21917808219178E-3</v>
      </c>
      <c r="T34" s="34">
        <v>483</v>
      </c>
      <c r="U34" s="34">
        <v>0</v>
      </c>
      <c r="V34" s="34">
        <v>6</v>
      </c>
      <c r="W34" s="34">
        <v>1</v>
      </c>
      <c r="X34" s="34">
        <v>490</v>
      </c>
      <c r="Y34" s="37">
        <v>0.98571428571428577</v>
      </c>
      <c r="Z34" s="37">
        <v>0</v>
      </c>
      <c r="AA34" s="37">
        <v>1.2244897959183673E-2</v>
      </c>
      <c r="AB34" s="37">
        <v>2.0408163265306124E-3</v>
      </c>
      <c r="AC34" s="35">
        <v>30.93469387755102</v>
      </c>
      <c r="AD34" s="33">
        <f t="shared" si="6"/>
        <v>0.74489795918367352</v>
      </c>
    </row>
    <row r="35" spans="1:30" x14ac:dyDescent="0.25">
      <c r="A35" s="32"/>
      <c r="B35" s="32"/>
      <c r="C35" s="32"/>
      <c r="D35" s="32">
        <v>6</v>
      </c>
      <c r="E35" s="32">
        <v>413</v>
      </c>
      <c r="F35" s="32">
        <v>4</v>
      </c>
      <c r="G35" s="32">
        <v>189</v>
      </c>
      <c r="H35" s="32">
        <v>0</v>
      </c>
      <c r="I35" s="32">
        <v>97</v>
      </c>
      <c r="J35" s="32">
        <v>123</v>
      </c>
      <c r="K35" s="32">
        <v>413</v>
      </c>
      <c r="L35" s="32">
        <v>0</v>
      </c>
      <c r="M35" s="32">
        <f t="shared" si="0"/>
        <v>413</v>
      </c>
      <c r="N35" s="32">
        <v>0</v>
      </c>
      <c r="O35" s="33">
        <f t="shared" si="1"/>
        <v>0.23486682808716708</v>
      </c>
      <c r="P35" s="33">
        <f t="shared" si="2"/>
        <v>0.4576271186440678</v>
      </c>
      <c r="Q35" s="33">
        <f t="shared" si="3"/>
        <v>0.29782082324455206</v>
      </c>
      <c r="R35" s="33">
        <f t="shared" si="4"/>
        <v>9.6852300242130755E-3</v>
      </c>
      <c r="S35" s="33">
        <f t="shared" si="5"/>
        <v>0</v>
      </c>
      <c r="T35" s="34">
        <v>483</v>
      </c>
      <c r="U35" s="34">
        <v>0</v>
      </c>
      <c r="V35" s="34">
        <v>6</v>
      </c>
      <c r="W35" s="34">
        <v>1</v>
      </c>
      <c r="X35" s="34">
        <v>490</v>
      </c>
      <c r="Y35" s="37">
        <v>0.98571428571428577</v>
      </c>
      <c r="Z35" s="37">
        <v>0</v>
      </c>
      <c r="AA35" s="37">
        <v>1.2244897959183673E-2</v>
      </c>
      <c r="AB35" s="37">
        <v>2.0408163265306124E-3</v>
      </c>
      <c r="AC35" s="35">
        <v>22.397959183673468</v>
      </c>
      <c r="AD35" s="33">
        <f t="shared" si="6"/>
        <v>0.84285714285714286</v>
      </c>
    </row>
    <row r="36" spans="1:30" x14ac:dyDescent="0.25">
      <c r="A36" s="32">
        <v>15</v>
      </c>
      <c r="B36" s="32" t="s">
        <v>185</v>
      </c>
      <c r="C36" s="32" t="s">
        <v>186</v>
      </c>
      <c r="D36" s="32">
        <v>1</v>
      </c>
      <c r="E36" s="32">
        <v>251</v>
      </c>
      <c r="F36" s="32">
        <v>2</v>
      </c>
      <c r="G36" s="32">
        <v>30</v>
      </c>
      <c r="H36" s="32">
        <v>2</v>
      </c>
      <c r="I36" s="32">
        <v>82</v>
      </c>
      <c r="J36" s="32">
        <v>132</v>
      </c>
      <c r="K36" s="32">
        <v>248</v>
      </c>
      <c r="L36" s="32">
        <v>3</v>
      </c>
      <c r="M36" s="32">
        <f t="shared" si="0"/>
        <v>251</v>
      </c>
      <c r="N36" s="32">
        <v>0</v>
      </c>
      <c r="O36" s="33">
        <f t="shared" si="1"/>
        <v>0.32669322709163345</v>
      </c>
      <c r="P36" s="33">
        <f t="shared" si="2"/>
        <v>0.11952191235059761</v>
      </c>
      <c r="Q36" s="33">
        <f t="shared" si="3"/>
        <v>0.52589641434262946</v>
      </c>
      <c r="R36" s="33">
        <f t="shared" si="4"/>
        <v>7.9681274900398405E-3</v>
      </c>
      <c r="S36" s="33">
        <f t="shared" si="5"/>
        <v>7.9681274900398405E-3</v>
      </c>
      <c r="T36" s="34">
        <v>250</v>
      </c>
      <c r="U36" s="34">
        <v>83</v>
      </c>
      <c r="V36" s="34">
        <v>17</v>
      </c>
      <c r="W36" s="34">
        <v>0</v>
      </c>
      <c r="X36" s="34">
        <v>350</v>
      </c>
      <c r="Y36" s="37">
        <v>0.7142857142857143</v>
      </c>
      <c r="Z36" s="37">
        <v>0.23714285714285716</v>
      </c>
      <c r="AA36" s="37">
        <v>4.8571428571428571E-2</v>
      </c>
      <c r="AB36" s="37">
        <v>0</v>
      </c>
      <c r="AC36" s="35">
        <v>70.71142857142857</v>
      </c>
      <c r="AD36" s="33">
        <f t="shared" si="6"/>
        <v>0.71714285714285719</v>
      </c>
    </row>
    <row r="37" spans="1:30" x14ac:dyDescent="0.25">
      <c r="A37" s="32"/>
      <c r="B37" s="32"/>
      <c r="C37" s="32"/>
      <c r="D37" s="32">
        <v>2</v>
      </c>
      <c r="E37" s="32">
        <v>294</v>
      </c>
      <c r="F37" s="32">
        <v>3</v>
      </c>
      <c r="G37" s="32">
        <v>40</v>
      </c>
      <c r="H37" s="32">
        <v>1</v>
      </c>
      <c r="I37" s="32">
        <v>90</v>
      </c>
      <c r="J37" s="32">
        <v>154</v>
      </c>
      <c r="K37" s="32">
        <v>288</v>
      </c>
      <c r="L37" s="32">
        <v>6</v>
      </c>
      <c r="M37" s="32">
        <f t="shared" si="0"/>
        <v>294</v>
      </c>
      <c r="N37" s="32">
        <v>0</v>
      </c>
      <c r="O37" s="33">
        <f t="shared" si="1"/>
        <v>0.30612244897959184</v>
      </c>
      <c r="P37" s="33">
        <f t="shared" si="2"/>
        <v>0.1360544217687075</v>
      </c>
      <c r="Q37" s="33">
        <f t="shared" si="3"/>
        <v>0.52380952380952384</v>
      </c>
      <c r="R37" s="33">
        <f t="shared" si="4"/>
        <v>1.020408163265306E-2</v>
      </c>
      <c r="S37" s="33">
        <f t="shared" si="5"/>
        <v>3.4013605442176869E-3</v>
      </c>
      <c r="T37" s="34">
        <v>275</v>
      </c>
      <c r="U37" s="34">
        <v>63</v>
      </c>
      <c r="V37" s="34">
        <v>11</v>
      </c>
      <c r="W37" s="34">
        <v>1</v>
      </c>
      <c r="X37" s="34">
        <v>350</v>
      </c>
      <c r="Y37" s="37">
        <v>0.7857142857142857</v>
      </c>
      <c r="Z37" s="37">
        <v>0.18</v>
      </c>
      <c r="AA37" s="37">
        <v>3.1428571428571431E-2</v>
      </c>
      <c r="AB37" s="37">
        <v>2.8571428571428571E-3</v>
      </c>
      <c r="AC37" s="35">
        <v>56.982857142857142</v>
      </c>
      <c r="AD37" s="33">
        <f t="shared" si="6"/>
        <v>0.84</v>
      </c>
    </row>
    <row r="38" spans="1:30" x14ac:dyDescent="0.25">
      <c r="A38" s="32"/>
      <c r="B38" s="32"/>
      <c r="C38" s="32"/>
      <c r="D38" s="32">
        <v>3</v>
      </c>
      <c r="E38" s="32">
        <v>358</v>
      </c>
      <c r="F38" s="32">
        <v>2</v>
      </c>
      <c r="G38" s="32">
        <v>78</v>
      </c>
      <c r="H38" s="32">
        <v>7</v>
      </c>
      <c r="I38" s="32">
        <v>114</v>
      </c>
      <c r="J38" s="32">
        <v>155</v>
      </c>
      <c r="K38" s="32">
        <v>356</v>
      </c>
      <c r="L38" s="32">
        <v>2</v>
      </c>
      <c r="M38" s="32">
        <f t="shared" si="0"/>
        <v>358</v>
      </c>
      <c r="N38" s="32">
        <v>0</v>
      </c>
      <c r="O38" s="33">
        <f t="shared" si="1"/>
        <v>0.31843575418994413</v>
      </c>
      <c r="P38" s="33">
        <f t="shared" si="2"/>
        <v>0.21787709497206703</v>
      </c>
      <c r="Q38" s="33">
        <f t="shared" si="3"/>
        <v>0.43296089385474862</v>
      </c>
      <c r="R38" s="33">
        <f t="shared" si="4"/>
        <v>5.5865921787709499E-3</v>
      </c>
      <c r="S38" s="33">
        <f t="shared" si="5"/>
        <v>1.9553072625698324E-2</v>
      </c>
      <c r="T38" s="34">
        <v>372</v>
      </c>
      <c r="U38" s="34">
        <v>68</v>
      </c>
      <c r="V38" s="34">
        <v>31</v>
      </c>
      <c r="W38" s="34">
        <v>1</v>
      </c>
      <c r="X38" s="34">
        <v>472</v>
      </c>
      <c r="Y38" s="37">
        <v>0.78813559322033899</v>
      </c>
      <c r="Z38" s="37">
        <v>0.1440677966101695</v>
      </c>
      <c r="AA38" s="37">
        <v>6.5677966101694921E-2</v>
      </c>
      <c r="AB38" s="37">
        <v>2.1186440677966102E-3</v>
      </c>
      <c r="AC38" s="35">
        <v>40.646186440677965</v>
      </c>
      <c r="AD38" s="33">
        <f t="shared" si="6"/>
        <v>0.75847457627118642</v>
      </c>
    </row>
    <row r="39" spans="1:30" x14ac:dyDescent="0.25">
      <c r="A39" s="32"/>
      <c r="B39" s="32"/>
      <c r="C39" s="32"/>
      <c r="D39" s="32">
        <v>4</v>
      </c>
      <c r="E39" s="32">
        <v>357</v>
      </c>
      <c r="F39" s="32">
        <v>4</v>
      </c>
      <c r="G39" s="32">
        <v>121</v>
      </c>
      <c r="H39" s="32">
        <v>1</v>
      </c>
      <c r="I39" s="32">
        <v>99</v>
      </c>
      <c r="J39" s="32">
        <v>131</v>
      </c>
      <c r="K39" s="32">
        <v>356</v>
      </c>
      <c r="L39" s="32">
        <v>1</v>
      </c>
      <c r="M39" s="32">
        <f t="shared" si="0"/>
        <v>357</v>
      </c>
      <c r="N39" s="32">
        <v>0</v>
      </c>
      <c r="O39" s="33">
        <f t="shared" si="1"/>
        <v>0.27731092436974791</v>
      </c>
      <c r="P39" s="33">
        <f t="shared" si="2"/>
        <v>0.33893557422969189</v>
      </c>
      <c r="Q39" s="33">
        <f t="shared" si="3"/>
        <v>0.36694677871148457</v>
      </c>
      <c r="R39" s="33">
        <f t="shared" si="4"/>
        <v>1.1204481792717087E-2</v>
      </c>
      <c r="S39" s="33">
        <f t="shared" si="5"/>
        <v>2.8011204481792717E-3</v>
      </c>
      <c r="T39" s="34">
        <v>414</v>
      </c>
      <c r="U39" s="34">
        <v>38</v>
      </c>
      <c r="V39" s="34">
        <v>19</v>
      </c>
      <c r="W39" s="34">
        <v>1</v>
      </c>
      <c r="X39" s="34">
        <v>472</v>
      </c>
      <c r="Y39" s="37">
        <v>0.8771186440677966</v>
      </c>
      <c r="Z39" s="37">
        <v>8.050847457627118E-2</v>
      </c>
      <c r="AA39" s="37">
        <v>4.025423728813559E-2</v>
      </c>
      <c r="AB39" s="37">
        <v>2.1186440677966102E-3</v>
      </c>
      <c r="AC39" s="35">
        <v>25.35593220338983</v>
      </c>
      <c r="AD39" s="33">
        <f t="shared" si="6"/>
        <v>0.75635593220338981</v>
      </c>
    </row>
    <row r="40" spans="1:30" x14ac:dyDescent="0.25">
      <c r="A40" s="32">
        <v>16</v>
      </c>
      <c r="B40" s="32" t="s">
        <v>187</v>
      </c>
      <c r="C40" s="32" t="s">
        <v>188</v>
      </c>
      <c r="D40" s="32">
        <v>1</v>
      </c>
      <c r="E40" s="32">
        <v>341</v>
      </c>
      <c r="F40" s="32">
        <v>2</v>
      </c>
      <c r="G40" s="32">
        <v>9</v>
      </c>
      <c r="H40" s="32">
        <v>23</v>
      </c>
      <c r="I40" s="32">
        <v>54</v>
      </c>
      <c r="J40" s="32">
        <v>250</v>
      </c>
      <c r="K40" s="32">
        <v>338</v>
      </c>
      <c r="L40" s="32">
        <v>3</v>
      </c>
      <c r="M40" s="32">
        <f t="shared" si="0"/>
        <v>341</v>
      </c>
      <c r="N40" s="32">
        <v>0</v>
      </c>
      <c r="O40" s="33">
        <f t="shared" si="1"/>
        <v>0.15835777126099707</v>
      </c>
      <c r="P40" s="33">
        <f t="shared" si="2"/>
        <v>2.6392961876832845E-2</v>
      </c>
      <c r="Q40" s="33">
        <f t="shared" si="3"/>
        <v>0.73313782991202348</v>
      </c>
      <c r="R40" s="33">
        <f t="shared" si="4"/>
        <v>5.8651026392961877E-3</v>
      </c>
      <c r="S40" s="33">
        <f t="shared" si="5"/>
        <v>6.7448680351906154E-2</v>
      </c>
      <c r="T40" s="34">
        <v>111</v>
      </c>
      <c r="U40" s="34">
        <v>6</v>
      </c>
      <c r="V40" s="34">
        <v>19</v>
      </c>
      <c r="W40" s="34">
        <v>280</v>
      </c>
      <c r="X40" s="34">
        <v>416</v>
      </c>
      <c r="Y40" s="37">
        <v>0.26682692307692307</v>
      </c>
      <c r="Z40" s="37">
        <v>1.4423076923076924E-2</v>
      </c>
      <c r="AA40" s="37">
        <v>4.567307692307692E-2</v>
      </c>
      <c r="AB40" s="37">
        <v>0.67307692307692313</v>
      </c>
      <c r="AC40" s="35">
        <v>38.057692307692307</v>
      </c>
      <c r="AD40" s="33">
        <f t="shared" si="6"/>
        <v>0.81971153846153844</v>
      </c>
    </row>
    <row r="41" spans="1:30" x14ac:dyDescent="0.25">
      <c r="A41" s="32">
        <v>17</v>
      </c>
      <c r="B41" s="32" t="s">
        <v>189</v>
      </c>
      <c r="C41" s="32" t="s">
        <v>190</v>
      </c>
      <c r="D41" s="32">
        <v>1</v>
      </c>
      <c r="E41" s="32">
        <v>279</v>
      </c>
      <c r="F41" s="32">
        <v>8</v>
      </c>
      <c r="G41" s="32">
        <v>57</v>
      </c>
      <c r="H41" s="32">
        <v>0</v>
      </c>
      <c r="I41" s="32">
        <v>48</v>
      </c>
      <c r="J41" s="32">
        <v>162</v>
      </c>
      <c r="K41" s="32">
        <v>275</v>
      </c>
      <c r="L41" s="32">
        <v>4</v>
      </c>
      <c r="M41" s="32">
        <f t="shared" si="0"/>
        <v>279</v>
      </c>
      <c r="N41" s="32">
        <v>0</v>
      </c>
      <c r="O41" s="33">
        <f t="shared" si="1"/>
        <v>0.17204301075268819</v>
      </c>
      <c r="P41" s="33">
        <f t="shared" si="2"/>
        <v>0.20430107526881722</v>
      </c>
      <c r="Q41" s="33">
        <f t="shared" si="3"/>
        <v>0.58064516129032262</v>
      </c>
      <c r="R41" s="33">
        <f t="shared" si="4"/>
        <v>2.8673835125448029E-2</v>
      </c>
      <c r="S41" s="33">
        <f t="shared" si="5"/>
        <v>0</v>
      </c>
      <c r="T41" s="34">
        <v>344</v>
      </c>
      <c r="U41" s="34">
        <v>5</v>
      </c>
      <c r="V41" s="34">
        <v>1</v>
      </c>
      <c r="W41" s="34">
        <v>0</v>
      </c>
      <c r="X41" s="34">
        <v>350</v>
      </c>
      <c r="Y41" s="37">
        <v>0.98285714285714287</v>
      </c>
      <c r="Z41" s="37">
        <v>1.4285714285714285E-2</v>
      </c>
      <c r="AA41" s="37">
        <v>2.8571428571428571E-3</v>
      </c>
      <c r="AB41" s="37">
        <v>0</v>
      </c>
      <c r="AC41" s="35">
        <v>60.451428571428572</v>
      </c>
      <c r="AD41" s="33">
        <f t="shared" si="6"/>
        <v>0.79714285714285715</v>
      </c>
    </row>
    <row r="42" spans="1:30" x14ac:dyDescent="0.25">
      <c r="A42" s="32"/>
      <c r="B42" s="32"/>
      <c r="C42" s="32"/>
      <c r="D42" s="32">
        <v>2</v>
      </c>
      <c r="E42" s="32">
        <v>381</v>
      </c>
      <c r="F42" s="32">
        <v>3</v>
      </c>
      <c r="G42" s="32">
        <v>136</v>
      </c>
      <c r="H42" s="32">
        <v>0</v>
      </c>
      <c r="I42" s="32">
        <v>61</v>
      </c>
      <c r="J42" s="32">
        <v>177</v>
      </c>
      <c r="K42" s="32">
        <v>377</v>
      </c>
      <c r="L42" s="32">
        <v>4</v>
      </c>
      <c r="M42" s="32">
        <f t="shared" si="0"/>
        <v>381</v>
      </c>
      <c r="N42" s="32">
        <v>0</v>
      </c>
      <c r="O42" s="33">
        <f t="shared" si="1"/>
        <v>0.16010498687664043</v>
      </c>
      <c r="P42" s="33">
        <f t="shared" si="2"/>
        <v>0.35695538057742782</v>
      </c>
      <c r="Q42" s="33">
        <f t="shared" si="3"/>
        <v>0.46456692913385828</v>
      </c>
      <c r="R42" s="33">
        <f t="shared" si="4"/>
        <v>7.874015748031496E-3</v>
      </c>
      <c r="S42" s="33">
        <f t="shared" si="5"/>
        <v>0</v>
      </c>
      <c r="T42" s="34">
        <v>468</v>
      </c>
      <c r="U42" s="34">
        <v>1</v>
      </c>
      <c r="V42" s="34">
        <v>0</v>
      </c>
      <c r="W42" s="34">
        <v>1</v>
      </c>
      <c r="X42" s="34">
        <v>470</v>
      </c>
      <c r="Y42" s="37">
        <v>0.99574468085106382</v>
      </c>
      <c r="Z42" s="37">
        <v>2.1276595744680851E-3</v>
      </c>
      <c r="AA42" s="37">
        <v>0</v>
      </c>
      <c r="AB42" s="37">
        <v>2.1276595744680851E-3</v>
      </c>
      <c r="AC42" s="35">
        <v>31.561702127659576</v>
      </c>
      <c r="AD42" s="33">
        <f t="shared" si="6"/>
        <v>0.81063829787234043</v>
      </c>
    </row>
    <row r="43" spans="1:30" x14ac:dyDescent="0.25">
      <c r="A43" s="32">
        <v>18</v>
      </c>
      <c r="B43" s="32" t="s">
        <v>191</v>
      </c>
      <c r="C43" s="32" t="s">
        <v>192</v>
      </c>
      <c r="D43" s="32">
        <v>1</v>
      </c>
      <c r="E43" s="32">
        <v>259</v>
      </c>
      <c r="F43" s="32">
        <v>2</v>
      </c>
      <c r="G43" s="32">
        <v>31</v>
      </c>
      <c r="H43" s="32">
        <v>10</v>
      </c>
      <c r="I43" s="32">
        <v>53</v>
      </c>
      <c r="J43" s="32">
        <v>151</v>
      </c>
      <c r="K43" s="32">
        <v>247</v>
      </c>
      <c r="L43" s="32">
        <v>12</v>
      </c>
      <c r="M43" s="32">
        <f t="shared" si="0"/>
        <v>259</v>
      </c>
      <c r="N43" s="32">
        <v>0</v>
      </c>
      <c r="O43" s="33">
        <f t="shared" si="1"/>
        <v>0.20463320463320464</v>
      </c>
      <c r="P43" s="33">
        <f t="shared" si="2"/>
        <v>0.11969111969111969</v>
      </c>
      <c r="Q43" s="33">
        <f t="shared" si="3"/>
        <v>0.58301158301158296</v>
      </c>
      <c r="R43" s="33">
        <f t="shared" si="4"/>
        <v>7.7220077220077222E-3</v>
      </c>
      <c r="S43" s="33">
        <f t="shared" si="5"/>
        <v>3.8610038610038609E-2</v>
      </c>
      <c r="T43" s="34">
        <v>340</v>
      </c>
      <c r="U43" s="34">
        <v>2</v>
      </c>
      <c r="V43" s="34">
        <v>0</v>
      </c>
      <c r="W43" s="34">
        <v>8</v>
      </c>
      <c r="X43" s="34">
        <v>350</v>
      </c>
      <c r="Y43" s="37">
        <v>0.97142857142857142</v>
      </c>
      <c r="Z43" s="37">
        <v>5.7142857142857143E-3</v>
      </c>
      <c r="AA43" s="37">
        <v>0</v>
      </c>
      <c r="AB43" s="37">
        <v>2.2857142857142857E-2</v>
      </c>
      <c r="AC43" s="35">
        <v>69.254285714285714</v>
      </c>
      <c r="AD43" s="33">
        <f t="shared" si="6"/>
        <v>0.74</v>
      </c>
    </row>
    <row r="44" spans="1:30" x14ac:dyDescent="0.25">
      <c r="A44" s="32"/>
      <c r="B44" s="32"/>
      <c r="C44" s="32"/>
      <c r="D44" s="32">
        <v>2</v>
      </c>
      <c r="E44" s="32">
        <v>295</v>
      </c>
      <c r="F44" s="32">
        <v>4</v>
      </c>
      <c r="G44" s="32">
        <v>71</v>
      </c>
      <c r="H44" s="32">
        <v>1</v>
      </c>
      <c r="I44" s="32">
        <v>55</v>
      </c>
      <c r="J44" s="32">
        <v>162</v>
      </c>
      <c r="K44" s="32">
        <v>293</v>
      </c>
      <c r="L44" s="32">
        <v>2</v>
      </c>
      <c r="M44" s="32">
        <f t="shared" si="0"/>
        <v>295</v>
      </c>
      <c r="N44" s="32">
        <v>0</v>
      </c>
      <c r="O44" s="33">
        <f t="shared" si="1"/>
        <v>0.1864406779661017</v>
      </c>
      <c r="P44" s="33">
        <f t="shared" si="2"/>
        <v>0.24067796610169492</v>
      </c>
      <c r="Q44" s="33">
        <f t="shared" si="3"/>
        <v>0.54915254237288136</v>
      </c>
      <c r="R44" s="33">
        <f t="shared" si="4"/>
        <v>1.3559322033898305E-2</v>
      </c>
      <c r="S44" s="33">
        <f t="shared" si="5"/>
        <v>3.3898305084745762E-3</v>
      </c>
      <c r="T44" s="34">
        <v>336</v>
      </c>
      <c r="U44" s="34">
        <v>2</v>
      </c>
      <c r="V44" s="34">
        <v>0</v>
      </c>
      <c r="W44" s="34">
        <v>12</v>
      </c>
      <c r="X44" s="34">
        <v>350</v>
      </c>
      <c r="Y44" s="37">
        <v>0.96</v>
      </c>
      <c r="Z44" s="37">
        <v>5.7142857142857143E-3</v>
      </c>
      <c r="AA44" s="37">
        <v>0</v>
      </c>
      <c r="AB44" s="37">
        <v>3.4285714285714287E-2</v>
      </c>
      <c r="AC44" s="35">
        <v>54.92</v>
      </c>
      <c r="AD44" s="33">
        <f t="shared" si="6"/>
        <v>0.84285714285714286</v>
      </c>
    </row>
    <row r="45" spans="1:30" x14ac:dyDescent="0.25">
      <c r="A45" s="32"/>
      <c r="B45" s="32"/>
      <c r="C45" s="32"/>
      <c r="D45" s="32">
        <v>3</v>
      </c>
      <c r="E45" s="32">
        <v>387</v>
      </c>
      <c r="F45" s="32">
        <v>2</v>
      </c>
      <c r="G45" s="32">
        <v>138</v>
      </c>
      <c r="H45" s="32">
        <v>0</v>
      </c>
      <c r="I45" s="32">
        <v>61</v>
      </c>
      <c r="J45" s="32">
        <v>184</v>
      </c>
      <c r="K45" s="32">
        <v>385</v>
      </c>
      <c r="L45" s="32">
        <v>2</v>
      </c>
      <c r="M45" s="32">
        <f t="shared" si="0"/>
        <v>387</v>
      </c>
      <c r="N45" s="32">
        <v>0</v>
      </c>
      <c r="O45" s="33">
        <f t="shared" si="1"/>
        <v>0.15762273901808785</v>
      </c>
      <c r="P45" s="33">
        <f t="shared" si="2"/>
        <v>0.35658914728682173</v>
      </c>
      <c r="Q45" s="33">
        <f t="shared" si="3"/>
        <v>0.47545219638242892</v>
      </c>
      <c r="R45" s="33">
        <f t="shared" si="4"/>
        <v>5.1679586563307496E-3</v>
      </c>
      <c r="S45" s="33">
        <f t="shared" si="5"/>
        <v>0</v>
      </c>
      <c r="T45" s="34">
        <v>465</v>
      </c>
      <c r="U45" s="34">
        <v>0</v>
      </c>
      <c r="V45" s="34">
        <v>0</v>
      </c>
      <c r="W45" s="34">
        <v>20</v>
      </c>
      <c r="X45" s="34">
        <v>485</v>
      </c>
      <c r="Y45" s="37">
        <v>0.95876288659793818</v>
      </c>
      <c r="Z45" s="37">
        <v>0</v>
      </c>
      <c r="AA45" s="37">
        <v>0</v>
      </c>
      <c r="AB45" s="37">
        <v>4.1237113402061855E-2</v>
      </c>
      <c r="AC45" s="35">
        <v>40.575257731958764</v>
      </c>
      <c r="AD45" s="33">
        <f t="shared" si="6"/>
        <v>0.79793814432989696</v>
      </c>
    </row>
    <row r="46" spans="1:30" x14ac:dyDescent="0.25">
      <c r="A46" s="32"/>
      <c r="B46" s="32"/>
      <c r="C46" s="32"/>
      <c r="D46" s="32">
        <v>4</v>
      </c>
      <c r="E46" s="32">
        <v>379</v>
      </c>
      <c r="F46" s="32">
        <v>1</v>
      </c>
      <c r="G46" s="32">
        <v>149</v>
      </c>
      <c r="H46" s="32">
        <v>0</v>
      </c>
      <c r="I46" s="32">
        <v>73</v>
      </c>
      <c r="J46" s="32">
        <v>155</v>
      </c>
      <c r="K46" s="32">
        <v>378</v>
      </c>
      <c r="L46" s="32">
        <v>1</v>
      </c>
      <c r="M46" s="32">
        <f t="shared" si="0"/>
        <v>379</v>
      </c>
      <c r="N46" s="32">
        <v>0</v>
      </c>
      <c r="O46" s="33">
        <f t="shared" si="1"/>
        <v>0.19261213720316622</v>
      </c>
      <c r="P46" s="33">
        <f t="shared" si="2"/>
        <v>0.39313984168865435</v>
      </c>
      <c r="Q46" s="33">
        <f t="shared" si="3"/>
        <v>0.40897097625329815</v>
      </c>
      <c r="R46" s="33">
        <f t="shared" si="4"/>
        <v>2.6385224274406332E-3</v>
      </c>
      <c r="S46" s="33">
        <f t="shared" si="5"/>
        <v>0</v>
      </c>
      <c r="T46" s="34">
        <v>472</v>
      </c>
      <c r="U46" s="34">
        <v>1</v>
      </c>
      <c r="V46" s="34">
        <v>3</v>
      </c>
      <c r="W46" s="34">
        <v>9</v>
      </c>
      <c r="X46" s="34">
        <v>485</v>
      </c>
      <c r="Y46" s="37">
        <v>0.97319587628865978</v>
      </c>
      <c r="Z46" s="37">
        <v>2.0618556701030928E-3</v>
      </c>
      <c r="AA46" s="37">
        <v>6.1855670103092781E-3</v>
      </c>
      <c r="AB46" s="37">
        <v>1.8556701030927835E-2</v>
      </c>
      <c r="AC46" s="35">
        <v>25.696907216494846</v>
      </c>
      <c r="AD46" s="33">
        <f t="shared" si="6"/>
        <v>0.78144329896907216</v>
      </c>
    </row>
    <row r="47" spans="1:30" x14ac:dyDescent="0.25">
      <c r="A47" s="32">
        <v>19</v>
      </c>
      <c r="B47" s="32" t="s">
        <v>193</v>
      </c>
      <c r="C47" s="32" t="s">
        <v>194</v>
      </c>
      <c r="D47" s="32">
        <v>1</v>
      </c>
      <c r="E47" s="32">
        <v>172</v>
      </c>
      <c r="F47" s="32">
        <v>1</v>
      </c>
      <c r="G47" s="32">
        <v>28</v>
      </c>
      <c r="H47" s="32">
        <v>1</v>
      </c>
      <c r="I47" s="32">
        <v>38</v>
      </c>
      <c r="J47" s="32">
        <v>101</v>
      </c>
      <c r="K47" s="32">
        <v>169</v>
      </c>
      <c r="L47" s="32">
        <v>3</v>
      </c>
      <c r="M47" s="32">
        <f t="shared" si="0"/>
        <v>172</v>
      </c>
      <c r="N47" s="32">
        <v>0</v>
      </c>
      <c r="O47" s="33">
        <f t="shared" si="1"/>
        <v>0.22093023255813954</v>
      </c>
      <c r="P47" s="33">
        <f t="shared" si="2"/>
        <v>0.16279069767441862</v>
      </c>
      <c r="Q47" s="33">
        <f t="shared" si="3"/>
        <v>0.58720930232558144</v>
      </c>
      <c r="R47" s="33">
        <f t="shared" si="4"/>
        <v>5.8139534883720929E-3</v>
      </c>
      <c r="S47" s="33">
        <f t="shared" si="5"/>
        <v>5.8139534883720929E-3</v>
      </c>
      <c r="T47" s="34">
        <v>230</v>
      </c>
      <c r="U47" s="34">
        <v>0</v>
      </c>
      <c r="V47" s="34">
        <v>0</v>
      </c>
      <c r="W47" s="34">
        <v>0</v>
      </c>
      <c r="X47" s="34">
        <v>230</v>
      </c>
      <c r="Y47" s="37">
        <v>1</v>
      </c>
      <c r="Z47" s="37">
        <v>0</v>
      </c>
      <c r="AA47" s="37">
        <v>0</v>
      </c>
      <c r="AB47" s="37">
        <v>0</v>
      </c>
      <c r="AC47" s="35">
        <v>68.426086956521743</v>
      </c>
      <c r="AD47" s="33">
        <f t="shared" si="6"/>
        <v>0.74782608695652175</v>
      </c>
    </row>
    <row r="48" spans="1:30" x14ac:dyDescent="0.25">
      <c r="A48" s="32"/>
      <c r="B48" s="32"/>
      <c r="C48" s="32"/>
      <c r="D48" s="32">
        <v>2</v>
      </c>
      <c r="E48" s="32">
        <v>275</v>
      </c>
      <c r="F48" s="32">
        <v>1</v>
      </c>
      <c r="G48" s="32">
        <v>105</v>
      </c>
      <c r="H48" s="32">
        <v>1</v>
      </c>
      <c r="I48" s="32">
        <v>66</v>
      </c>
      <c r="J48" s="32">
        <v>102</v>
      </c>
      <c r="K48" s="32">
        <v>275</v>
      </c>
      <c r="L48" s="32">
        <v>0</v>
      </c>
      <c r="M48" s="32">
        <f t="shared" si="0"/>
        <v>275</v>
      </c>
      <c r="N48" s="32">
        <v>0</v>
      </c>
      <c r="O48" s="33">
        <f t="shared" si="1"/>
        <v>0.24</v>
      </c>
      <c r="P48" s="33">
        <f t="shared" si="2"/>
        <v>0.38181818181818183</v>
      </c>
      <c r="Q48" s="33">
        <f t="shared" si="3"/>
        <v>0.37090909090909091</v>
      </c>
      <c r="R48" s="33">
        <f t="shared" si="4"/>
        <v>3.6363636363636364E-3</v>
      </c>
      <c r="S48" s="33">
        <f t="shared" si="5"/>
        <v>3.6363636363636364E-3</v>
      </c>
      <c r="T48" s="34">
        <v>343</v>
      </c>
      <c r="U48" s="34">
        <v>0</v>
      </c>
      <c r="V48" s="34">
        <v>0</v>
      </c>
      <c r="W48" s="34">
        <v>0</v>
      </c>
      <c r="X48" s="34">
        <v>343</v>
      </c>
      <c r="Y48" s="37">
        <v>1</v>
      </c>
      <c r="Z48" s="37">
        <v>0</v>
      </c>
      <c r="AA48" s="37">
        <v>0</v>
      </c>
      <c r="AB48" s="37">
        <v>0</v>
      </c>
      <c r="AC48" s="35">
        <v>49.10787172011662</v>
      </c>
      <c r="AD48" s="33">
        <f t="shared" si="6"/>
        <v>0.80174927113702621</v>
      </c>
    </row>
    <row r="49" spans="1:30" x14ac:dyDescent="0.25">
      <c r="A49" s="32"/>
      <c r="B49" s="32"/>
      <c r="C49" s="32"/>
      <c r="D49" s="32">
        <v>3</v>
      </c>
      <c r="E49" s="32">
        <v>291</v>
      </c>
      <c r="F49" s="32">
        <v>1</v>
      </c>
      <c r="G49" s="32">
        <v>120</v>
      </c>
      <c r="H49" s="32">
        <v>2</v>
      </c>
      <c r="I49" s="32">
        <v>57</v>
      </c>
      <c r="J49" s="32">
        <v>110</v>
      </c>
      <c r="K49" s="32">
        <v>290</v>
      </c>
      <c r="L49" s="32">
        <v>1</v>
      </c>
      <c r="M49" s="32">
        <f t="shared" si="0"/>
        <v>291</v>
      </c>
      <c r="N49" s="32">
        <v>0</v>
      </c>
      <c r="O49" s="33">
        <f t="shared" si="1"/>
        <v>0.19587628865979381</v>
      </c>
      <c r="P49" s="33">
        <f t="shared" si="2"/>
        <v>0.41237113402061853</v>
      </c>
      <c r="Q49" s="33">
        <f t="shared" si="3"/>
        <v>0.37800687285223367</v>
      </c>
      <c r="R49" s="33">
        <f t="shared" si="4"/>
        <v>3.4364261168384879E-3</v>
      </c>
      <c r="S49" s="33">
        <f t="shared" si="5"/>
        <v>6.8728522336769758E-3</v>
      </c>
      <c r="T49" s="34">
        <v>342</v>
      </c>
      <c r="U49" s="34">
        <v>1</v>
      </c>
      <c r="V49" s="34">
        <v>1</v>
      </c>
      <c r="W49" s="34">
        <v>0</v>
      </c>
      <c r="X49" s="34">
        <v>344</v>
      </c>
      <c r="Y49" s="37">
        <v>0.9941860465116279</v>
      </c>
      <c r="Z49" s="37">
        <v>2.9069767441860465E-3</v>
      </c>
      <c r="AA49" s="37">
        <v>2.9069767441860465E-3</v>
      </c>
      <c r="AB49" s="37">
        <v>0</v>
      </c>
      <c r="AC49" s="35">
        <v>29.095930232558139</v>
      </c>
      <c r="AD49" s="33">
        <f t="shared" si="6"/>
        <v>0.84593023255813948</v>
      </c>
    </row>
    <row r="50" spans="1:30" x14ac:dyDescent="0.25">
      <c r="A50" s="32">
        <v>20</v>
      </c>
      <c r="B50" s="32" t="s">
        <v>195</v>
      </c>
      <c r="C50" s="32" t="s">
        <v>196</v>
      </c>
      <c r="D50" s="32">
        <v>1</v>
      </c>
      <c r="E50" s="32">
        <v>167</v>
      </c>
      <c r="F50" s="32">
        <v>6</v>
      </c>
      <c r="G50" s="32">
        <v>24</v>
      </c>
      <c r="H50" s="32">
        <v>1</v>
      </c>
      <c r="I50" s="32">
        <v>25</v>
      </c>
      <c r="J50" s="32">
        <v>108</v>
      </c>
      <c r="K50" s="32">
        <v>164</v>
      </c>
      <c r="L50" s="32">
        <v>3</v>
      </c>
      <c r="M50" s="32">
        <f t="shared" si="0"/>
        <v>167</v>
      </c>
      <c r="N50" s="32">
        <v>0</v>
      </c>
      <c r="O50" s="33">
        <f t="shared" si="1"/>
        <v>0.1497005988023952</v>
      </c>
      <c r="P50" s="33">
        <f t="shared" si="2"/>
        <v>0.1437125748502994</v>
      </c>
      <c r="Q50" s="33">
        <f t="shared" si="3"/>
        <v>0.6467065868263473</v>
      </c>
      <c r="R50" s="33">
        <f t="shared" si="4"/>
        <v>3.5928143712574849E-2</v>
      </c>
      <c r="S50" s="33">
        <f t="shared" si="5"/>
        <v>5.9880239520958087E-3</v>
      </c>
      <c r="T50" s="34">
        <v>226</v>
      </c>
      <c r="U50" s="34">
        <v>4</v>
      </c>
      <c r="V50" s="34">
        <v>0</v>
      </c>
      <c r="W50" s="34">
        <v>0</v>
      </c>
      <c r="X50" s="34">
        <v>230</v>
      </c>
      <c r="Y50" s="37">
        <v>0.9826086956521739</v>
      </c>
      <c r="Z50" s="37">
        <v>1.7391304347826087E-2</v>
      </c>
      <c r="AA50" s="37">
        <v>0</v>
      </c>
      <c r="AB50" s="37">
        <v>0</v>
      </c>
      <c r="AC50" s="35">
        <v>68.839130434782604</v>
      </c>
      <c r="AD50" s="33">
        <f t="shared" si="6"/>
        <v>0.72608695652173916</v>
      </c>
    </row>
    <row r="51" spans="1:30" x14ac:dyDescent="0.25">
      <c r="A51" s="32"/>
      <c r="B51" s="32"/>
      <c r="C51" s="32"/>
      <c r="D51" s="32">
        <v>2</v>
      </c>
      <c r="E51" s="32">
        <v>279</v>
      </c>
      <c r="F51" s="32">
        <v>0</v>
      </c>
      <c r="G51" s="32">
        <v>88</v>
      </c>
      <c r="H51" s="32">
        <v>0</v>
      </c>
      <c r="I51" s="32">
        <v>68</v>
      </c>
      <c r="J51" s="32">
        <v>122</v>
      </c>
      <c r="K51" s="32">
        <v>278</v>
      </c>
      <c r="L51" s="32">
        <v>1</v>
      </c>
      <c r="M51" s="32">
        <f t="shared" si="0"/>
        <v>279</v>
      </c>
      <c r="N51" s="32">
        <v>0</v>
      </c>
      <c r="O51" s="33">
        <f t="shared" si="1"/>
        <v>0.24372759856630824</v>
      </c>
      <c r="P51" s="33">
        <f t="shared" si="2"/>
        <v>0.31541218637992829</v>
      </c>
      <c r="Q51" s="33">
        <f t="shared" si="3"/>
        <v>0.43727598566308246</v>
      </c>
      <c r="R51" s="33">
        <f t="shared" si="4"/>
        <v>0</v>
      </c>
      <c r="S51" s="33">
        <f t="shared" si="5"/>
        <v>0</v>
      </c>
      <c r="T51" s="34">
        <v>347</v>
      </c>
      <c r="U51" s="34">
        <v>0</v>
      </c>
      <c r="V51" s="34">
        <v>0</v>
      </c>
      <c r="W51" s="34">
        <v>1</v>
      </c>
      <c r="X51" s="34">
        <v>348</v>
      </c>
      <c r="Y51" s="37">
        <v>0.99712643678160917</v>
      </c>
      <c r="Z51" s="37">
        <v>0</v>
      </c>
      <c r="AA51" s="37">
        <v>0</v>
      </c>
      <c r="AB51" s="37">
        <v>2.8735632183908046E-3</v>
      </c>
      <c r="AC51" s="35">
        <v>47.770114942528735</v>
      </c>
      <c r="AD51" s="33">
        <f t="shared" si="6"/>
        <v>0.80172413793103448</v>
      </c>
    </row>
    <row r="52" spans="1:30" x14ac:dyDescent="0.25">
      <c r="A52" s="32"/>
      <c r="B52" s="32"/>
      <c r="C52" s="32"/>
      <c r="D52" s="32">
        <v>3</v>
      </c>
      <c r="E52" s="32">
        <v>275</v>
      </c>
      <c r="F52" s="32">
        <v>1</v>
      </c>
      <c r="G52" s="32">
        <v>96</v>
      </c>
      <c r="H52" s="32">
        <v>0</v>
      </c>
      <c r="I52" s="32">
        <v>60</v>
      </c>
      <c r="J52" s="32">
        <v>117</v>
      </c>
      <c r="K52" s="32">
        <v>274</v>
      </c>
      <c r="L52" s="32">
        <v>1</v>
      </c>
      <c r="M52" s="32">
        <f t="shared" si="0"/>
        <v>275</v>
      </c>
      <c r="N52" s="32">
        <v>0</v>
      </c>
      <c r="O52" s="33">
        <f t="shared" si="1"/>
        <v>0.21818181818181817</v>
      </c>
      <c r="P52" s="33">
        <f t="shared" si="2"/>
        <v>0.34909090909090912</v>
      </c>
      <c r="Q52" s="33">
        <f t="shared" si="3"/>
        <v>0.42545454545454547</v>
      </c>
      <c r="R52" s="33">
        <f t="shared" si="4"/>
        <v>3.6363636363636364E-3</v>
      </c>
      <c r="S52" s="33">
        <f t="shared" si="5"/>
        <v>0</v>
      </c>
      <c r="T52" s="34">
        <v>346</v>
      </c>
      <c r="U52" s="34">
        <v>0</v>
      </c>
      <c r="V52" s="34">
        <v>2</v>
      </c>
      <c r="W52" s="34">
        <v>0</v>
      </c>
      <c r="X52" s="34">
        <v>348</v>
      </c>
      <c r="Y52" s="37">
        <v>0.99425287356321834</v>
      </c>
      <c r="Z52" s="37">
        <v>0</v>
      </c>
      <c r="AA52" s="37">
        <v>5.7471264367816091E-3</v>
      </c>
      <c r="AB52" s="37">
        <v>0</v>
      </c>
      <c r="AC52" s="35">
        <v>26.801724137931036</v>
      </c>
      <c r="AD52" s="33">
        <f t="shared" si="6"/>
        <v>0.79022988505747127</v>
      </c>
    </row>
    <row r="53" spans="1:30" x14ac:dyDescent="0.25">
      <c r="A53" s="32">
        <v>21</v>
      </c>
      <c r="B53" s="32" t="s">
        <v>197</v>
      </c>
      <c r="C53" s="32" t="s">
        <v>198</v>
      </c>
      <c r="D53" s="32">
        <v>1</v>
      </c>
      <c r="E53" s="32">
        <v>276</v>
      </c>
      <c r="F53" s="32">
        <v>1</v>
      </c>
      <c r="G53" s="32">
        <v>47</v>
      </c>
      <c r="H53" s="32">
        <v>4</v>
      </c>
      <c r="I53" s="32">
        <v>72</v>
      </c>
      <c r="J53" s="32">
        <v>149</v>
      </c>
      <c r="K53" s="32">
        <v>273</v>
      </c>
      <c r="L53" s="32">
        <v>3</v>
      </c>
      <c r="M53" s="32">
        <f t="shared" si="0"/>
        <v>276</v>
      </c>
      <c r="N53" s="32">
        <v>0</v>
      </c>
      <c r="O53" s="33">
        <f t="shared" si="1"/>
        <v>0.2608695652173913</v>
      </c>
      <c r="P53" s="33">
        <f t="shared" si="2"/>
        <v>0.17028985507246377</v>
      </c>
      <c r="Q53" s="33">
        <f t="shared" si="3"/>
        <v>0.53985507246376807</v>
      </c>
      <c r="R53" s="33">
        <f t="shared" si="4"/>
        <v>3.6231884057971015E-3</v>
      </c>
      <c r="S53" s="33">
        <f t="shared" si="5"/>
        <v>1.4492753623188406E-2</v>
      </c>
      <c r="T53" s="34">
        <v>324</v>
      </c>
      <c r="U53" s="34">
        <v>25</v>
      </c>
      <c r="V53" s="34">
        <v>1</v>
      </c>
      <c r="W53" s="34">
        <v>0</v>
      </c>
      <c r="X53" s="34">
        <v>350</v>
      </c>
      <c r="Y53" s="37">
        <v>0.92571428571428571</v>
      </c>
      <c r="Z53" s="37">
        <v>7.1428571428571425E-2</v>
      </c>
      <c r="AA53" s="37">
        <v>2.8571428571428571E-3</v>
      </c>
      <c r="AB53" s="37">
        <v>0</v>
      </c>
      <c r="AC53" s="35">
        <v>62.585714285714289</v>
      </c>
      <c r="AD53" s="33">
        <f t="shared" si="6"/>
        <v>0.78857142857142859</v>
      </c>
    </row>
    <row r="54" spans="1:30" x14ac:dyDescent="0.25">
      <c r="A54" s="32"/>
      <c r="B54" s="32"/>
      <c r="C54" s="32"/>
      <c r="D54" s="32">
        <v>2</v>
      </c>
      <c r="E54" s="32">
        <v>393</v>
      </c>
      <c r="F54" s="32">
        <v>2</v>
      </c>
      <c r="G54" s="32">
        <v>139</v>
      </c>
      <c r="H54" s="32">
        <v>3</v>
      </c>
      <c r="I54" s="32">
        <v>72</v>
      </c>
      <c r="J54" s="32">
        <v>176</v>
      </c>
      <c r="K54" s="32">
        <v>392</v>
      </c>
      <c r="L54" s="32">
        <v>1</v>
      </c>
      <c r="M54" s="32">
        <f t="shared" si="0"/>
        <v>393</v>
      </c>
      <c r="N54" s="32">
        <v>0</v>
      </c>
      <c r="O54" s="33">
        <f t="shared" si="1"/>
        <v>0.18320610687022901</v>
      </c>
      <c r="P54" s="33">
        <f t="shared" si="2"/>
        <v>0.35368956743002544</v>
      </c>
      <c r="Q54" s="33">
        <f t="shared" si="3"/>
        <v>0.44783715012722647</v>
      </c>
      <c r="R54" s="33">
        <f t="shared" si="4"/>
        <v>5.0890585241730284E-3</v>
      </c>
      <c r="S54" s="33">
        <f t="shared" si="5"/>
        <v>7.6335877862595417E-3</v>
      </c>
      <c r="T54" s="34">
        <v>505</v>
      </c>
      <c r="U54" s="34">
        <v>8</v>
      </c>
      <c r="V54" s="34">
        <v>0</v>
      </c>
      <c r="W54" s="34">
        <v>0</v>
      </c>
      <c r="X54" s="34">
        <v>513</v>
      </c>
      <c r="Y54" s="37">
        <v>0.98440545808966862</v>
      </c>
      <c r="Z54" s="37">
        <v>1.5594541910331383E-2</v>
      </c>
      <c r="AA54" s="37">
        <v>0</v>
      </c>
      <c r="AB54" s="37">
        <v>0</v>
      </c>
      <c r="AC54" s="35">
        <v>32.270955165692008</v>
      </c>
      <c r="AD54" s="33">
        <f t="shared" si="6"/>
        <v>0.76608187134502925</v>
      </c>
    </row>
    <row r="55" spans="1:30" x14ac:dyDescent="0.25">
      <c r="A55" s="32">
        <v>22</v>
      </c>
      <c r="B55" s="32" t="s">
        <v>199</v>
      </c>
      <c r="C55" s="32" t="s">
        <v>200</v>
      </c>
      <c r="D55" s="32">
        <v>1</v>
      </c>
      <c r="E55" s="32">
        <v>179</v>
      </c>
      <c r="F55" s="32">
        <v>4</v>
      </c>
      <c r="G55" s="32">
        <v>39</v>
      </c>
      <c r="H55" s="32">
        <v>2</v>
      </c>
      <c r="I55" s="32">
        <v>30</v>
      </c>
      <c r="J55" s="32">
        <v>102</v>
      </c>
      <c r="K55" s="32">
        <v>177</v>
      </c>
      <c r="L55" s="32">
        <v>2</v>
      </c>
      <c r="M55" s="32">
        <f t="shared" si="0"/>
        <v>179</v>
      </c>
      <c r="N55" s="32">
        <v>0</v>
      </c>
      <c r="O55" s="33">
        <f t="shared" si="1"/>
        <v>0.16759776536312848</v>
      </c>
      <c r="P55" s="33">
        <f t="shared" si="2"/>
        <v>0.21787709497206703</v>
      </c>
      <c r="Q55" s="33">
        <f t="shared" si="3"/>
        <v>0.56983240223463683</v>
      </c>
      <c r="R55" s="33">
        <f t="shared" si="4"/>
        <v>2.23463687150838E-2</v>
      </c>
      <c r="S55" s="33">
        <f t="shared" si="5"/>
        <v>1.11731843575419E-2</v>
      </c>
      <c r="T55" s="34">
        <v>248</v>
      </c>
      <c r="U55" s="34">
        <v>2</v>
      </c>
      <c r="V55" s="34">
        <v>0</v>
      </c>
      <c r="W55" s="34">
        <v>0</v>
      </c>
      <c r="X55" s="34">
        <v>250</v>
      </c>
      <c r="Y55" s="37">
        <v>0.99199999999999999</v>
      </c>
      <c r="Z55" s="37">
        <v>8.0000000000000002E-3</v>
      </c>
      <c r="AA55" s="37">
        <v>0</v>
      </c>
      <c r="AB55" s="37">
        <v>0</v>
      </c>
      <c r="AC55" s="35">
        <v>67.116</v>
      </c>
      <c r="AD55" s="33">
        <f t="shared" si="6"/>
        <v>0.71599999999999997</v>
      </c>
    </row>
    <row r="56" spans="1:30" x14ac:dyDescent="0.25">
      <c r="A56" s="32"/>
      <c r="B56" s="32"/>
      <c r="C56" s="32"/>
      <c r="D56" s="32">
        <v>2</v>
      </c>
      <c r="E56" s="32">
        <v>287</v>
      </c>
      <c r="F56" s="32">
        <v>2</v>
      </c>
      <c r="G56" s="32">
        <v>102</v>
      </c>
      <c r="H56" s="32">
        <v>0</v>
      </c>
      <c r="I56" s="32">
        <v>67</v>
      </c>
      <c r="J56" s="32">
        <v>114</v>
      </c>
      <c r="K56" s="32">
        <v>285</v>
      </c>
      <c r="L56" s="32">
        <v>2</v>
      </c>
      <c r="M56" s="32">
        <f t="shared" si="0"/>
        <v>287</v>
      </c>
      <c r="N56" s="32">
        <v>0</v>
      </c>
      <c r="O56" s="33">
        <f t="shared" si="1"/>
        <v>0.23344947735191637</v>
      </c>
      <c r="P56" s="33">
        <f t="shared" si="2"/>
        <v>0.35540069686411152</v>
      </c>
      <c r="Q56" s="33">
        <f t="shared" si="3"/>
        <v>0.39721254355400698</v>
      </c>
      <c r="R56" s="33">
        <f t="shared" si="4"/>
        <v>6.9686411149825784E-3</v>
      </c>
      <c r="S56" s="33">
        <f t="shared" si="5"/>
        <v>0</v>
      </c>
      <c r="T56" s="34">
        <v>356</v>
      </c>
      <c r="U56" s="34">
        <v>1</v>
      </c>
      <c r="V56" s="34">
        <v>0</v>
      </c>
      <c r="W56" s="34">
        <v>0</v>
      </c>
      <c r="X56" s="34">
        <v>357</v>
      </c>
      <c r="Y56" s="37">
        <v>0.99719887955182074</v>
      </c>
      <c r="Z56" s="37">
        <v>2.8011204481792717E-3</v>
      </c>
      <c r="AA56" s="37">
        <v>0</v>
      </c>
      <c r="AB56" s="37">
        <v>0</v>
      </c>
      <c r="AC56" s="35">
        <v>37.280112044817926</v>
      </c>
      <c r="AD56" s="33">
        <f t="shared" si="6"/>
        <v>0.80392156862745101</v>
      </c>
    </row>
    <row r="57" spans="1:30" x14ac:dyDescent="0.25">
      <c r="A57" s="32">
        <v>23</v>
      </c>
      <c r="B57" s="32" t="s">
        <v>201</v>
      </c>
      <c r="C57" s="32" t="s">
        <v>202</v>
      </c>
      <c r="D57" s="32">
        <v>1</v>
      </c>
      <c r="E57" s="32">
        <v>239</v>
      </c>
      <c r="F57" s="32">
        <v>3</v>
      </c>
      <c r="G57" s="32">
        <v>29</v>
      </c>
      <c r="H57" s="32">
        <v>2</v>
      </c>
      <c r="I57" s="32">
        <v>71</v>
      </c>
      <c r="J57" s="32">
        <v>131</v>
      </c>
      <c r="K57" s="32">
        <v>236</v>
      </c>
      <c r="L57" s="32">
        <v>3</v>
      </c>
      <c r="M57" s="32">
        <f t="shared" si="0"/>
        <v>239</v>
      </c>
      <c r="N57" s="32">
        <v>0</v>
      </c>
      <c r="O57" s="33">
        <f t="shared" si="1"/>
        <v>0.29707112970711297</v>
      </c>
      <c r="P57" s="33">
        <f t="shared" si="2"/>
        <v>0.12133891213389121</v>
      </c>
      <c r="Q57" s="33">
        <f t="shared" si="3"/>
        <v>0.54811715481171552</v>
      </c>
      <c r="R57" s="33">
        <f t="shared" si="4"/>
        <v>1.2552301255230125E-2</v>
      </c>
      <c r="S57" s="33">
        <f t="shared" si="5"/>
        <v>8.368200836820083E-3</v>
      </c>
      <c r="T57" s="34">
        <v>279</v>
      </c>
      <c r="U57" s="34">
        <v>81</v>
      </c>
      <c r="V57" s="34">
        <v>5</v>
      </c>
      <c r="W57" s="34">
        <v>2</v>
      </c>
      <c r="X57" s="34">
        <v>367</v>
      </c>
      <c r="Y57" s="37">
        <v>0.76021798365122617</v>
      </c>
      <c r="Z57" s="37">
        <v>0.22070844686648503</v>
      </c>
      <c r="AA57" s="37">
        <v>1.3623978201634877E-2</v>
      </c>
      <c r="AB57" s="37">
        <v>5.4495912806539508E-3</v>
      </c>
      <c r="AC57" s="35">
        <v>68.073569482288832</v>
      </c>
      <c r="AD57" s="33">
        <f t="shared" si="6"/>
        <v>0.6512261580381471</v>
      </c>
    </row>
    <row r="58" spans="1:30" x14ac:dyDescent="0.25">
      <c r="A58" s="32"/>
      <c r="B58" s="32"/>
      <c r="C58" s="32"/>
      <c r="D58" s="32">
        <v>2</v>
      </c>
      <c r="E58" s="32">
        <v>315</v>
      </c>
      <c r="F58" s="32">
        <v>4</v>
      </c>
      <c r="G58" s="32">
        <v>69</v>
      </c>
      <c r="H58" s="32">
        <v>0</v>
      </c>
      <c r="I58" s="32">
        <v>85</v>
      </c>
      <c r="J58" s="32">
        <v>155</v>
      </c>
      <c r="K58" s="32">
        <v>313</v>
      </c>
      <c r="L58" s="32">
        <v>0</v>
      </c>
      <c r="M58" s="32">
        <f t="shared" si="0"/>
        <v>313</v>
      </c>
      <c r="N58" s="32">
        <v>2</v>
      </c>
      <c r="O58" s="33">
        <f t="shared" si="1"/>
        <v>0.27156549520766771</v>
      </c>
      <c r="P58" s="33">
        <f t="shared" si="2"/>
        <v>0.22044728434504793</v>
      </c>
      <c r="Q58" s="33">
        <f t="shared" si="3"/>
        <v>0.49520766773162939</v>
      </c>
      <c r="R58" s="33">
        <f t="shared" si="4"/>
        <v>1.2779552715654952E-2</v>
      </c>
      <c r="S58" s="33">
        <f t="shared" si="5"/>
        <v>0</v>
      </c>
      <c r="T58" s="34">
        <v>381</v>
      </c>
      <c r="U58" s="34">
        <v>36</v>
      </c>
      <c r="V58" s="34">
        <v>6</v>
      </c>
      <c r="W58" s="34">
        <v>1</v>
      </c>
      <c r="X58" s="34">
        <v>424</v>
      </c>
      <c r="Y58" s="37">
        <v>0.89858490566037741</v>
      </c>
      <c r="Z58" s="37">
        <v>8.4905660377358486E-2</v>
      </c>
      <c r="AA58" s="37">
        <v>1.4150943396226415E-2</v>
      </c>
      <c r="AB58" s="37">
        <v>2.3584905660377358E-3</v>
      </c>
      <c r="AC58" s="35">
        <v>49.783018867924525</v>
      </c>
      <c r="AD58" s="33">
        <f t="shared" si="6"/>
        <v>0.7382075471698113</v>
      </c>
    </row>
    <row r="59" spans="1:30" x14ac:dyDescent="0.25">
      <c r="A59" s="32"/>
      <c r="B59" s="32"/>
      <c r="C59" s="32"/>
      <c r="D59" s="32">
        <v>3</v>
      </c>
      <c r="E59" s="32">
        <v>316</v>
      </c>
      <c r="F59" s="32">
        <v>3</v>
      </c>
      <c r="G59" s="32">
        <v>119</v>
      </c>
      <c r="H59" s="32">
        <v>1</v>
      </c>
      <c r="I59" s="32">
        <v>65</v>
      </c>
      <c r="J59" s="32">
        <v>128</v>
      </c>
      <c r="K59" s="32">
        <v>316</v>
      </c>
      <c r="L59" s="32">
        <v>0</v>
      </c>
      <c r="M59" s="32">
        <f t="shared" si="0"/>
        <v>316</v>
      </c>
      <c r="N59" s="32">
        <v>0</v>
      </c>
      <c r="O59" s="33">
        <f t="shared" si="1"/>
        <v>0.20569620253164558</v>
      </c>
      <c r="P59" s="33">
        <f t="shared" si="2"/>
        <v>0.37658227848101267</v>
      </c>
      <c r="Q59" s="33">
        <f t="shared" si="3"/>
        <v>0.4050632911392405</v>
      </c>
      <c r="R59" s="33">
        <f t="shared" si="4"/>
        <v>9.4936708860759497E-3</v>
      </c>
      <c r="S59" s="33">
        <f t="shared" si="5"/>
        <v>3.1645569620253164E-3</v>
      </c>
      <c r="T59" s="34">
        <v>389</v>
      </c>
      <c r="U59" s="34">
        <v>32</v>
      </c>
      <c r="V59" s="34">
        <v>2</v>
      </c>
      <c r="W59" s="34">
        <v>1</v>
      </c>
      <c r="X59" s="34">
        <v>424</v>
      </c>
      <c r="Y59" s="37">
        <v>0.91745283018867929</v>
      </c>
      <c r="Z59" s="37">
        <v>7.5471698113207544E-2</v>
      </c>
      <c r="AA59" s="37">
        <v>4.7169811320754715E-3</v>
      </c>
      <c r="AB59" s="37">
        <v>2.3584905660377358E-3</v>
      </c>
      <c r="AC59" s="35">
        <v>29.360849056603772</v>
      </c>
      <c r="AD59" s="33">
        <f t="shared" si="6"/>
        <v>0.74528301886792447</v>
      </c>
    </row>
    <row r="60" spans="1:30" x14ac:dyDescent="0.25">
      <c r="A60" s="32">
        <v>24</v>
      </c>
      <c r="B60" s="32" t="s">
        <v>203</v>
      </c>
      <c r="C60" s="32" t="s">
        <v>204</v>
      </c>
      <c r="D60" s="32">
        <v>1</v>
      </c>
      <c r="E60" s="32">
        <v>290</v>
      </c>
      <c r="F60" s="32">
        <v>3</v>
      </c>
      <c r="G60" s="32">
        <v>84</v>
      </c>
      <c r="H60" s="32">
        <v>1</v>
      </c>
      <c r="I60" s="32">
        <v>51</v>
      </c>
      <c r="J60" s="32">
        <v>149</v>
      </c>
      <c r="K60" s="32">
        <v>288</v>
      </c>
      <c r="L60" s="32">
        <v>2</v>
      </c>
      <c r="M60" s="32">
        <f t="shared" si="0"/>
        <v>290</v>
      </c>
      <c r="N60" s="32">
        <v>0</v>
      </c>
      <c r="O60" s="33">
        <f t="shared" si="1"/>
        <v>0.17586206896551723</v>
      </c>
      <c r="P60" s="33">
        <f t="shared" si="2"/>
        <v>0.28965517241379313</v>
      </c>
      <c r="Q60" s="33">
        <f t="shared" si="3"/>
        <v>0.51379310344827589</v>
      </c>
      <c r="R60" s="33">
        <f t="shared" si="4"/>
        <v>1.0344827586206896E-2</v>
      </c>
      <c r="S60" s="33">
        <f t="shared" si="5"/>
        <v>3.4482758620689655E-3</v>
      </c>
      <c r="T60" s="34">
        <v>406</v>
      </c>
      <c r="U60" s="34">
        <v>0</v>
      </c>
      <c r="V60" s="34">
        <v>0</v>
      </c>
      <c r="W60" s="34">
        <v>0</v>
      </c>
      <c r="X60" s="34">
        <v>406</v>
      </c>
      <c r="Y60" s="37">
        <v>1</v>
      </c>
      <c r="Z60" s="37">
        <v>0</v>
      </c>
      <c r="AA60" s="37">
        <v>0</v>
      </c>
      <c r="AB60" s="37">
        <v>0</v>
      </c>
      <c r="AC60" s="35">
        <v>50.652709359605915</v>
      </c>
      <c r="AD60" s="33">
        <f t="shared" si="6"/>
        <v>0.7142857142857143</v>
      </c>
    </row>
    <row r="61" spans="1:30" x14ac:dyDescent="0.25">
      <c r="A61" s="32">
        <v>25</v>
      </c>
      <c r="B61" s="32" t="s">
        <v>205</v>
      </c>
      <c r="C61" s="32" t="s">
        <v>206</v>
      </c>
      <c r="D61" s="32">
        <v>1</v>
      </c>
      <c r="E61" s="32">
        <v>110</v>
      </c>
      <c r="F61" s="32">
        <v>0</v>
      </c>
      <c r="G61" s="32">
        <v>21</v>
      </c>
      <c r="H61" s="32">
        <v>0</v>
      </c>
      <c r="I61" s="32">
        <v>31</v>
      </c>
      <c r="J61" s="32">
        <v>58</v>
      </c>
      <c r="K61" s="32">
        <v>110</v>
      </c>
      <c r="L61" s="32">
        <v>0</v>
      </c>
      <c r="M61" s="32">
        <f t="shared" si="0"/>
        <v>110</v>
      </c>
      <c r="N61" s="32">
        <v>0</v>
      </c>
      <c r="O61" s="33">
        <f t="shared" si="1"/>
        <v>0.2818181818181818</v>
      </c>
      <c r="P61" s="33">
        <f t="shared" si="2"/>
        <v>0.19090909090909092</v>
      </c>
      <c r="Q61" s="33">
        <f t="shared" si="3"/>
        <v>0.52727272727272723</v>
      </c>
      <c r="R61" s="33">
        <f t="shared" si="4"/>
        <v>0</v>
      </c>
      <c r="S61" s="33">
        <f t="shared" si="5"/>
        <v>0</v>
      </c>
      <c r="T61" s="34">
        <v>170</v>
      </c>
      <c r="U61" s="34">
        <v>0</v>
      </c>
      <c r="V61" s="34">
        <v>0</v>
      </c>
      <c r="W61" s="34">
        <v>0</v>
      </c>
      <c r="X61" s="34">
        <v>170</v>
      </c>
      <c r="Y61" s="37">
        <v>1</v>
      </c>
      <c r="Z61" s="37">
        <v>0</v>
      </c>
      <c r="AA61" s="37">
        <v>0</v>
      </c>
      <c r="AB61" s="37">
        <v>0</v>
      </c>
      <c r="AC61" s="35">
        <v>68.141176470588235</v>
      </c>
      <c r="AD61" s="33">
        <f t="shared" si="6"/>
        <v>0.6470588235294118</v>
      </c>
    </row>
    <row r="62" spans="1:30" x14ac:dyDescent="0.25">
      <c r="A62" s="32"/>
      <c r="B62" s="32"/>
      <c r="C62" s="32"/>
      <c r="D62" s="32">
        <v>2</v>
      </c>
      <c r="E62" s="32">
        <v>209</v>
      </c>
      <c r="F62" s="32">
        <v>3</v>
      </c>
      <c r="G62" s="32">
        <v>81</v>
      </c>
      <c r="H62" s="32">
        <v>0</v>
      </c>
      <c r="I62" s="32">
        <v>33</v>
      </c>
      <c r="J62" s="32">
        <v>90</v>
      </c>
      <c r="K62" s="32">
        <v>207</v>
      </c>
      <c r="L62" s="32">
        <v>2</v>
      </c>
      <c r="M62" s="32">
        <f t="shared" si="0"/>
        <v>209</v>
      </c>
      <c r="N62" s="32">
        <v>0</v>
      </c>
      <c r="O62" s="33">
        <f t="shared" si="1"/>
        <v>0.15789473684210525</v>
      </c>
      <c r="P62" s="33">
        <f t="shared" si="2"/>
        <v>0.38755980861244022</v>
      </c>
      <c r="Q62" s="33">
        <f t="shared" si="3"/>
        <v>0.43062200956937802</v>
      </c>
      <c r="R62" s="33">
        <f t="shared" si="4"/>
        <v>1.4354066985645933E-2</v>
      </c>
      <c r="S62" s="33">
        <f t="shared" si="5"/>
        <v>0</v>
      </c>
      <c r="T62" s="34">
        <v>278</v>
      </c>
      <c r="U62" s="34">
        <v>0</v>
      </c>
      <c r="V62" s="34">
        <v>1</v>
      </c>
      <c r="W62" s="34">
        <v>0</v>
      </c>
      <c r="X62" s="34">
        <v>279</v>
      </c>
      <c r="Y62" s="37">
        <v>0.99641577060931896</v>
      </c>
      <c r="Z62" s="37">
        <v>0</v>
      </c>
      <c r="AA62" s="37">
        <v>3.5842293906810036E-3</v>
      </c>
      <c r="AB62" s="37">
        <v>0</v>
      </c>
      <c r="AC62" s="35">
        <v>38.659498207885306</v>
      </c>
      <c r="AD62" s="33">
        <f t="shared" si="6"/>
        <v>0.74910394265232971</v>
      </c>
    </row>
    <row r="63" spans="1:30" x14ac:dyDescent="0.25">
      <c r="A63" s="32">
        <v>26</v>
      </c>
      <c r="B63" s="32" t="s">
        <v>207</v>
      </c>
      <c r="C63" s="32" t="s">
        <v>208</v>
      </c>
      <c r="D63" s="32">
        <v>1</v>
      </c>
      <c r="E63" s="32">
        <v>206</v>
      </c>
      <c r="F63" s="32">
        <v>0</v>
      </c>
      <c r="G63" s="32">
        <v>32</v>
      </c>
      <c r="H63" s="32">
        <v>0</v>
      </c>
      <c r="I63" s="32">
        <v>53</v>
      </c>
      <c r="J63" s="32">
        <v>120</v>
      </c>
      <c r="K63" s="32">
        <v>205</v>
      </c>
      <c r="L63" s="32">
        <v>1</v>
      </c>
      <c r="M63" s="32">
        <f t="shared" si="0"/>
        <v>206</v>
      </c>
      <c r="N63" s="32">
        <v>0</v>
      </c>
      <c r="O63" s="33">
        <f t="shared" si="1"/>
        <v>0.25728155339805825</v>
      </c>
      <c r="P63" s="33">
        <f t="shared" si="2"/>
        <v>0.1553398058252427</v>
      </c>
      <c r="Q63" s="33">
        <f t="shared" si="3"/>
        <v>0.58252427184466016</v>
      </c>
      <c r="R63" s="33">
        <f t="shared" si="4"/>
        <v>0</v>
      </c>
      <c r="S63" s="33">
        <f t="shared" si="5"/>
        <v>0</v>
      </c>
      <c r="T63" s="34">
        <v>271</v>
      </c>
      <c r="U63" s="34">
        <v>27</v>
      </c>
      <c r="V63" s="34">
        <v>1</v>
      </c>
      <c r="W63" s="34">
        <v>1</v>
      </c>
      <c r="X63" s="34">
        <v>300</v>
      </c>
      <c r="Y63" s="37">
        <v>0.90333333333333332</v>
      </c>
      <c r="Z63" s="37">
        <v>0.09</v>
      </c>
      <c r="AA63" s="37">
        <v>3.3333333333333335E-3</v>
      </c>
      <c r="AB63" s="37">
        <v>3.3333333333333335E-3</v>
      </c>
      <c r="AC63" s="35">
        <v>67.95</v>
      </c>
      <c r="AD63" s="33">
        <f t="shared" si="6"/>
        <v>0.68666666666666665</v>
      </c>
    </row>
    <row r="64" spans="1:30" x14ac:dyDescent="0.25">
      <c r="A64" s="32"/>
      <c r="B64" s="32"/>
      <c r="C64" s="32"/>
      <c r="D64" s="32">
        <v>2</v>
      </c>
      <c r="E64" s="32">
        <v>369</v>
      </c>
      <c r="F64" s="32">
        <v>2</v>
      </c>
      <c r="G64" s="32">
        <v>140</v>
      </c>
      <c r="H64" s="32">
        <v>0</v>
      </c>
      <c r="I64" s="32">
        <v>84</v>
      </c>
      <c r="J64" s="32">
        <v>143</v>
      </c>
      <c r="K64" s="32">
        <v>369</v>
      </c>
      <c r="L64" s="32">
        <v>0</v>
      </c>
      <c r="M64" s="32">
        <f t="shared" si="0"/>
        <v>369</v>
      </c>
      <c r="N64" s="32">
        <v>0</v>
      </c>
      <c r="O64" s="33">
        <f t="shared" si="1"/>
        <v>0.22764227642276422</v>
      </c>
      <c r="P64" s="33">
        <f t="shared" si="2"/>
        <v>0.37940379403794039</v>
      </c>
      <c r="Q64" s="33">
        <f t="shared" si="3"/>
        <v>0.38753387533875339</v>
      </c>
      <c r="R64" s="33">
        <f t="shared" si="4"/>
        <v>5.4200542005420054E-3</v>
      </c>
      <c r="S64" s="33">
        <f t="shared" si="5"/>
        <v>0</v>
      </c>
      <c r="T64" s="34">
        <v>469</v>
      </c>
      <c r="U64" s="34">
        <v>16</v>
      </c>
      <c r="V64" s="34">
        <v>0</v>
      </c>
      <c r="W64" s="34">
        <v>1</v>
      </c>
      <c r="X64" s="34">
        <v>486</v>
      </c>
      <c r="Y64" s="37">
        <v>0.96502057613168724</v>
      </c>
      <c r="Z64" s="37">
        <v>3.292181069958848E-2</v>
      </c>
      <c r="AA64" s="37">
        <v>0</v>
      </c>
      <c r="AB64" s="37">
        <v>2.05761316872428E-3</v>
      </c>
      <c r="AC64" s="35">
        <v>36.627572016460903</v>
      </c>
      <c r="AD64" s="33">
        <f t="shared" si="6"/>
        <v>0.7592592592592593</v>
      </c>
    </row>
    <row r="65" spans="1:30" x14ac:dyDescent="0.25">
      <c r="A65" s="32">
        <v>27</v>
      </c>
      <c r="B65" s="32" t="s">
        <v>209</v>
      </c>
      <c r="C65" s="32" t="s">
        <v>210</v>
      </c>
      <c r="D65" s="32">
        <v>1</v>
      </c>
      <c r="E65" s="32">
        <v>281</v>
      </c>
      <c r="F65" s="32">
        <v>1</v>
      </c>
      <c r="G65" s="32">
        <v>76</v>
      </c>
      <c r="H65" s="32">
        <v>3</v>
      </c>
      <c r="I65" s="32">
        <v>66</v>
      </c>
      <c r="J65" s="32">
        <v>131</v>
      </c>
      <c r="K65" s="32">
        <v>277</v>
      </c>
      <c r="L65" s="32">
        <v>4</v>
      </c>
      <c r="M65" s="32">
        <f t="shared" si="0"/>
        <v>281</v>
      </c>
      <c r="N65" s="32">
        <v>0</v>
      </c>
      <c r="O65" s="33">
        <f t="shared" si="1"/>
        <v>0.23487544483985764</v>
      </c>
      <c r="P65" s="33">
        <f t="shared" si="2"/>
        <v>0.27046263345195731</v>
      </c>
      <c r="Q65" s="33">
        <f t="shared" si="3"/>
        <v>0.46619217081850534</v>
      </c>
      <c r="R65" s="33">
        <f t="shared" si="4"/>
        <v>3.5587188612099642E-3</v>
      </c>
      <c r="S65" s="33">
        <f t="shared" si="5"/>
        <v>1.0676156583629894E-2</v>
      </c>
      <c r="T65" s="34">
        <v>397</v>
      </c>
      <c r="U65" s="34">
        <v>0</v>
      </c>
      <c r="V65" s="34">
        <v>0</v>
      </c>
      <c r="W65" s="34">
        <v>1</v>
      </c>
      <c r="X65" s="34">
        <v>398</v>
      </c>
      <c r="Y65" s="37">
        <v>0.99748743718592969</v>
      </c>
      <c r="Z65" s="37">
        <v>0</v>
      </c>
      <c r="AA65" s="37">
        <v>0</v>
      </c>
      <c r="AB65" s="37">
        <v>2.5125628140703518E-3</v>
      </c>
      <c r="AC65" s="35">
        <v>51.962311557788944</v>
      </c>
      <c r="AD65" s="33">
        <f t="shared" si="6"/>
        <v>0.70603015075376885</v>
      </c>
    </row>
    <row r="66" spans="1:30" x14ac:dyDescent="0.25">
      <c r="A66" s="32">
        <v>28</v>
      </c>
      <c r="B66" s="32" t="s">
        <v>211</v>
      </c>
      <c r="C66" s="32" t="s">
        <v>212</v>
      </c>
      <c r="D66" s="32">
        <v>1</v>
      </c>
      <c r="E66" s="32">
        <v>154</v>
      </c>
      <c r="F66" s="32">
        <v>2</v>
      </c>
      <c r="G66" s="32">
        <v>21</v>
      </c>
      <c r="H66" s="32">
        <v>0</v>
      </c>
      <c r="I66" s="32">
        <v>29</v>
      </c>
      <c r="J66" s="32">
        <v>100</v>
      </c>
      <c r="K66" s="32">
        <v>152</v>
      </c>
      <c r="L66" s="32">
        <v>2</v>
      </c>
      <c r="M66" s="32">
        <f t="shared" si="0"/>
        <v>154</v>
      </c>
      <c r="N66" s="32">
        <v>0</v>
      </c>
      <c r="O66" s="33">
        <f t="shared" si="1"/>
        <v>0.18831168831168832</v>
      </c>
      <c r="P66" s="33">
        <f t="shared" si="2"/>
        <v>0.13636363636363635</v>
      </c>
      <c r="Q66" s="33">
        <f t="shared" si="3"/>
        <v>0.64935064935064934</v>
      </c>
      <c r="R66" s="33">
        <f t="shared" si="4"/>
        <v>1.2987012987012988E-2</v>
      </c>
      <c r="S66" s="33">
        <f t="shared" si="5"/>
        <v>0</v>
      </c>
      <c r="T66" s="34">
        <v>199</v>
      </c>
      <c r="U66" s="34">
        <v>0</v>
      </c>
      <c r="V66" s="34">
        <v>1</v>
      </c>
      <c r="W66" s="34">
        <v>0</v>
      </c>
      <c r="X66" s="34">
        <v>200</v>
      </c>
      <c r="Y66" s="37">
        <v>0.995</v>
      </c>
      <c r="Z66" s="37">
        <v>0</v>
      </c>
      <c r="AA66" s="37">
        <v>5.0000000000000001E-3</v>
      </c>
      <c r="AB66" s="37">
        <v>0</v>
      </c>
      <c r="AC66" s="35">
        <v>66.875</v>
      </c>
      <c r="AD66" s="33">
        <f t="shared" si="6"/>
        <v>0.77</v>
      </c>
    </row>
    <row r="67" spans="1:30" x14ac:dyDescent="0.25">
      <c r="A67" s="32"/>
      <c r="B67" s="32"/>
      <c r="C67" s="32"/>
      <c r="D67" s="32">
        <v>2</v>
      </c>
      <c r="E67" s="32">
        <v>285</v>
      </c>
      <c r="F67" s="32">
        <v>3</v>
      </c>
      <c r="G67" s="32">
        <v>87</v>
      </c>
      <c r="H67" s="32">
        <v>0</v>
      </c>
      <c r="I67" s="32">
        <v>55</v>
      </c>
      <c r="J67" s="32">
        <v>140</v>
      </c>
      <c r="K67" s="32">
        <v>285</v>
      </c>
      <c r="L67" s="32">
        <v>0</v>
      </c>
      <c r="M67" s="32">
        <f t="shared" ref="M67:M130" si="7">L67+K67</f>
        <v>285</v>
      </c>
      <c r="N67" s="32">
        <v>0</v>
      </c>
      <c r="O67" s="33">
        <f t="shared" ref="O67:O130" si="8">I67/M67</f>
        <v>0.19298245614035087</v>
      </c>
      <c r="P67" s="33">
        <f t="shared" ref="P67:P130" si="9">G67/M67</f>
        <v>0.30526315789473685</v>
      </c>
      <c r="Q67" s="33">
        <f t="shared" ref="Q67:Q130" si="10">J67/M67</f>
        <v>0.49122807017543857</v>
      </c>
      <c r="R67" s="33">
        <f t="shared" ref="R67:R130" si="11">F67/M67</f>
        <v>1.0526315789473684E-2</v>
      </c>
      <c r="S67" s="33">
        <f t="shared" ref="S67:S130" si="12">H67/M67</f>
        <v>0</v>
      </c>
      <c r="T67" s="34">
        <v>353</v>
      </c>
      <c r="U67" s="34">
        <v>0</v>
      </c>
      <c r="V67" s="34">
        <v>0</v>
      </c>
      <c r="W67" s="34">
        <v>0</v>
      </c>
      <c r="X67" s="34">
        <v>353</v>
      </c>
      <c r="Y67" s="37">
        <v>1</v>
      </c>
      <c r="Z67" s="37">
        <v>0</v>
      </c>
      <c r="AA67" s="37">
        <v>0</v>
      </c>
      <c r="AB67" s="37">
        <v>0</v>
      </c>
      <c r="AC67" s="35">
        <v>37.167138810198303</v>
      </c>
      <c r="AD67" s="33">
        <f t="shared" ref="AD67:AD130" si="13">M67/X67</f>
        <v>0.80736543909348446</v>
      </c>
    </row>
    <row r="68" spans="1:30" x14ac:dyDescent="0.25">
      <c r="A68" s="32">
        <v>29</v>
      </c>
      <c r="B68" s="32" t="s">
        <v>213</v>
      </c>
      <c r="C68" s="32" t="s">
        <v>214</v>
      </c>
      <c r="D68" s="32">
        <v>1</v>
      </c>
      <c r="E68" s="32">
        <v>316</v>
      </c>
      <c r="F68" s="32">
        <v>1</v>
      </c>
      <c r="G68" s="32">
        <v>37</v>
      </c>
      <c r="H68" s="32">
        <v>3</v>
      </c>
      <c r="I68" s="32">
        <v>106</v>
      </c>
      <c r="J68" s="32">
        <v>163</v>
      </c>
      <c r="K68" s="32">
        <v>310</v>
      </c>
      <c r="L68" s="32">
        <v>6</v>
      </c>
      <c r="M68" s="32">
        <f t="shared" si="7"/>
        <v>316</v>
      </c>
      <c r="N68" s="32">
        <v>0</v>
      </c>
      <c r="O68" s="33">
        <f t="shared" si="8"/>
        <v>0.33544303797468356</v>
      </c>
      <c r="P68" s="33">
        <f t="shared" si="9"/>
        <v>0.11708860759493671</v>
      </c>
      <c r="Q68" s="33">
        <f t="shared" si="10"/>
        <v>0.51582278481012656</v>
      </c>
      <c r="R68" s="33">
        <f t="shared" si="11"/>
        <v>3.1645569620253164E-3</v>
      </c>
      <c r="S68" s="33">
        <f t="shared" si="12"/>
        <v>9.4936708860759497E-3</v>
      </c>
      <c r="T68" s="34">
        <v>337</v>
      </c>
      <c r="U68" s="34">
        <v>21</v>
      </c>
      <c r="V68" s="34">
        <v>47</v>
      </c>
      <c r="W68" s="34">
        <v>2</v>
      </c>
      <c r="X68" s="34">
        <v>407</v>
      </c>
      <c r="Y68" s="37">
        <v>0.82800982800982803</v>
      </c>
      <c r="Z68" s="37">
        <v>5.1597051597051594E-2</v>
      </c>
      <c r="AA68" s="37">
        <v>0.11547911547911548</v>
      </c>
      <c r="AB68" s="37">
        <v>4.9140049140049139E-3</v>
      </c>
      <c r="AC68" s="35">
        <v>46.658476658476658</v>
      </c>
      <c r="AD68" s="33">
        <f t="shared" si="13"/>
        <v>0.7764127764127764</v>
      </c>
    </row>
    <row r="69" spans="1:30" x14ac:dyDescent="0.25">
      <c r="A69" s="32">
        <v>30</v>
      </c>
      <c r="B69" s="32" t="s">
        <v>215</v>
      </c>
      <c r="C69" s="32" t="s">
        <v>216</v>
      </c>
      <c r="D69" s="32">
        <v>1</v>
      </c>
      <c r="E69" s="32">
        <v>263</v>
      </c>
      <c r="F69" s="32">
        <v>2</v>
      </c>
      <c r="G69" s="32">
        <v>31</v>
      </c>
      <c r="H69" s="32">
        <v>2</v>
      </c>
      <c r="I69" s="32">
        <v>19</v>
      </c>
      <c r="J69" s="32">
        <v>207</v>
      </c>
      <c r="K69" s="32">
        <v>261</v>
      </c>
      <c r="L69" s="32">
        <v>2</v>
      </c>
      <c r="M69" s="32">
        <f t="shared" si="7"/>
        <v>263</v>
      </c>
      <c r="N69" s="32">
        <v>0</v>
      </c>
      <c r="O69" s="33">
        <f t="shared" si="8"/>
        <v>7.2243346007604556E-2</v>
      </c>
      <c r="P69" s="33">
        <f t="shared" si="9"/>
        <v>0.11787072243346007</v>
      </c>
      <c r="Q69" s="33">
        <f t="shared" si="10"/>
        <v>0.78707224334600756</v>
      </c>
      <c r="R69" s="33">
        <f t="shared" si="11"/>
        <v>7.6045627376425855E-3</v>
      </c>
      <c r="S69" s="33">
        <f t="shared" si="12"/>
        <v>7.6045627376425855E-3</v>
      </c>
      <c r="T69" s="34">
        <v>297</v>
      </c>
      <c r="U69" s="34">
        <v>0</v>
      </c>
      <c r="V69" s="34">
        <v>3</v>
      </c>
      <c r="W69" s="34">
        <v>0</v>
      </c>
      <c r="X69" s="34">
        <v>300</v>
      </c>
      <c r="Y69" s="37">
        <v>0.99</v>
      </c>
      <c r="Z69" s="37">
        <v>0</v>
      </c>
      <c r="AA69" s="37">
        <v>0.01</v>
      </c>
      <c r="AB69" s="37">
        <v>0</v>
      </c>
      <c r="AC69" s="35">
        <v>66.34</v>
      </c>
      <c r="AD69" s="33">
        <f t="shared" si="13"/>
        <v>0.87666666666666671</v>
      </c>
    </row>
    <row r="70" spans="1:30" x14ac:dyDescent="0.25">
      <c r="A70" s="32"/>
      <c r="B70" s="32"/>
      <c r="C70" s="32"/>
      <c r="D70" s="32">
        <v>2</v>
      </c>
      <c r="E70" s="32">
        <v>263</v>
      </c>
      <c r="F70" s="32">
        <v>2</v>
      </c>
      <c r="G70" s="32">
        <v>40</v>
      </c>
      <c r="H70" s="32">
        <v>1</v>
      </c>
      <c r="I70" s="32">
        <v>20</v>
      </c>
      <c r="J70" s="32">
        <v>198</v>
      </c>
      <c r="K70" s="32">
        <v>261</v>
      </c>
      <c r="L70" s="32">
        <v>2</v>
      </c>
      <c r="M70" s="32">
        <f t="shared" si="7"/>
        <v>263</v>
      </c>
      <c r="N70" s="32">
        <v>0</v>
      </c>
      <c r="O70" s="33">
        <f t="shared" si="8"/>
        <v>7.6045627376425853E-2</v>
      </c>
      <c r="P70" s="33">
        <f t="shared" si="9"/>
        <v>0.15209125475285171</v>
      </c>
      <c r="Q70" s="33">
        <f t="shared" si="10"/>
        <v>0.75285171102661597</v>
      </c>
      <c r="R70" s="33">
        <f t="shared" si="11"/>
        <v>7.6045627376425855E-3</v>
      </c>
      <c r="S70" s="33">
        <f t="shared" si="12"/>
        <v>3.8022813688212928E-3</v>
      </c>
      <c r="T70" s="34">
        <v>300</v>
      </c>
      <c r="U70" s="34">
        <v>0</v>
      </c>
      <c r="V70" s="34">
        <v>0</v>
      </c>
      <c r="W70" s="34">
        <v>0</v>
      </c>
      <c r="X70" s="34">
        <v>300</v>
      </c>
      <c r="Y70" s="37">
        <v>1</v>
      </c>
      <c r="Z70" s="37">
        <v>0</v>
      </c>
      <c r="AA70" s="37">
        <v>0</v>
      </c>
      <c r="AB70" s="37">
        <v>0</v>
      </c>
      <c r="AC70" s="35">
        <v>59.656666666666666</v>
      </c>
      <c r="AD70" s="33">
        <f t="shared" si="13"/>
        <v>0.87666666666666671</v>
      </c>
    </row>
    <row r="71" spans="1:30" x14ac:dyDescent="0.25">
      <c r="A71" s="32"/>
      <c r="B71" s="32"/>
      <c r="C71" s="32"/>
      <c r="D71" s="32">
        <v>3</v>
      </c>
      <c r="E71" s="32">
        <v>367</v>
      </c>
      <c r="F71" s="32">
        <v>1</v>
      </c>
      <c r="G71" s="32">
        <v>137</v>
      </c>
      <c r="H71" s="32">
        <v>0</v>
      </c>
      <c r="I71" s="32">
        <v>13</v>
      </c>
      <c r="J71" s="32">
        <v>215</v>
      </c>
      <c r="K71" s="32">
        <v>366</v>
      </c>
      <c r="L71" s="32">
        <v>1</v>
      </c>
      <c r="M71" s="32">
        <f t="shared" si="7"/>
        <v>367</v>
      </c>
      <c r="N71" s="32">
        <v>0</v>
      </c>
      <c r="O71" s="33">
        <f t="shared" si="8"/>
        <v>3.5422343324250684E-2</v>
      </c>
      <c r="P71" s="33">
        <f t="shared" si="9"/>
        <v>0.37329700272479566</v>
      </c>
      <c r="Q71" s="33">
        <f t="shared" si="10"/>
        <v>0.58583106267029972</v>
      </c>
      <c r="R71" s="33">
        <f t="shared" si="11"/>
        <v>2.7247956403269754E-3</v>
      </c>
      <c r="S71" s="33">
        <f t="shared" si="12"/>
        <v>0</v>
      </c>
      <c r="T71" s="34">
        <v>471</v>
      </c>
      <c r="U71" s="34">
        <v>0</v>
      </c>
      <c r="V71" s="34">
        <v>1</v>
      </c>
      <c r="W71" s="34">
        <v>0</v>
      </c>
      <c r="X71" s="34">
        <v>472</v>
      </c>
      <c r="Y71" s="37">
        <v>0.9978813559322034</v>
      </c>
      <c r="Z71" s="37">
        <v>0</v>
      </c>
      <c r="AA71" s="37">
        <v>2.1186440677966102E-3</v>
      </c>
      <c r="AB71" s="37">
        <v>0</v>
      </c>
      <c r="AC71" s="35">
        <v>42.472457627118644</v>
      </c>
      <c r="AD71" s="33">
        <f t="shared" si="13"/>
        <v>0.77754237288135597</v>
      </c>
    </row>
    <row r="72" spans="1:30" x14ac:dyDescent="0.25">
      <c r="A72" s="32"/>
      <c r="B72" s="32"/>
      <c r="C72" s="32"/>
      <c r="D72" s="32">
        <v>4</v>
      </c>
      <c r="E72" s="32">
        <v>351</v>
      </c>
      <c r="F72" s="32">
        <v>5</v>
      </c>
      <c r="G72" s="32">
        <v>150</v>
      </c>
      <c r="H72" s="32">
        <v>2</v>
      </c>
      <c r="I72" s="32">
        <v>26</v>
      </c>
      <c r="J72" s="32">
        <v>168</v>
      </c>
      <c r="K72" s="32">
        <v>351</v>
      </c>
      <c r="L72" s="32">
        <v>0</v>
      </c>
      <c r="M72" s="32">
        <f t="shared" si="7"/>
        <v>351</v>
      </c>
      <c r="N72" s="32">
        <v>0</v>
      </c>
      <c r="O72" s="33">
        <f t="shared" si="8"/>
        <v>7.407407407407407E-2</v>
      </c>
      <c r="P72" s="33">
        <f t="shared" si="9"/>
        <v>0.42735042735042733</v>
      </c>
      <c r="Q72" s="33">
        <f t="shared" si="10"/>
        <v>0.47863247863247865</v>
      </c>
      <c r="R72" s="33">
        <f t="shared" si="11"/>
        <v>1.4245014245014245E-2</v>
      </c>
      <c r="S72" s="33">
        <f t="shared" si="12"/>
        <v>5.6980056980056983E-3</v>
      </c>
      <c r="T72" s="34">
        <v>469</v>
      </c>
      <c r="U72" s="34">
        <v>1</v>
      </c>
      <c r="V72" s="34">
        <v>2</v>
      </c>
      <c r="W72" s="34">
        <v>0</v>
      </c>
      <c r="X72" s="34">
        <v>472</v>
      </c>
      <c r="Y72" s="37">
        <v>0.99364406779661019</v>
      </c>
      <c r="Z72" s="37">
        <v>2.1186440677966102E-3</v>
      </c>
      <c r="AA72" s="37">
        <v>4.2372881355932203E-3</v>
      </c>
      <c r="AB72" s="37">
        <v>0</v>
      </c>
      <c r="AC72" s="35">
        <v>35.940677966101696</v>
      </c>
      <c r="AD72" s="33">
        <f t="shared" si="13"/>
        <v>0.74364406779661019</v>
      </c>
    </row>
    <row r="73" spans="1:30" x14ac:dyDescent="0.25">
      <c r="A73" s="32"/>
      <c r="B73" s="32"/>
      <c r="C73" s="32"/>
      <c r="D73" s="32">
        <v>5</v>
      </c>
      <c r="E73" s="32">
        <v>382</v>
      </c>
      <c r="F73" s="32">
        <v>3</v>
      </c>
      <c r="G73" s="32">
        <v>146</v>
      </c>
      <c r="H73" s="32">
        <v>1</v>
      </c>
      <c r="I73" s="32">
        <v>32</v>
      </c>
      <c r="J73" s="32">
        <v>200</v>
      </c>
      <c r="K73" s="32">
        <v>382</v>
      </c>
      <c r="L73" s="32">
        <v>0</v>
      </c>
      <c r="M73" s="32">
        <f t="shared" si="7"/>
        <v>382</v>
      </c>
      <c r="N73" s="32">
        <v>0</v>
      </c>
      <c r="O73" s="33">
        <f t="shared" si="8"/>
        <v>8.3769633507853408E-2</v>
      </c>
      <c r="P73" s="33">
        <f t="shared" si="9"/>
        <v>0.38219895287958117</v>
      </c>
      <c r="Q73" s="33">
        <f t="shared" si="10"/>
        <v>0.52356020942408377</v>
      </c>
      <c r="R73" s="33">
        <f t="shared" si="11"/>
        <v>7.8534031413612562E-3</v>
      </c>
      <c r="S73" s="33">
        <f t="shared" si="12"/>
        <v>2.617801047120419E-3</v>
      </c>
      <c r="T73" s="34">
        <v>470</v>
      </c>
      <c r="U73" s="34">
        <v>0</v>
      </c>
      <c r="V73" s="34">
        <v>2</v>
      </c>
      <c r="W73" s="34">
        <v>0</v>
      </c>
      <c r="X73" s="34">
        <v>472</v>
      </c>
      <c r="Y73" s="37">
        <v>0.99576271186440679</v>
      </c>
      <c r="Z73" s="37">
        <v>0</v>
      </c>
      <c r="AA73" s="37">
        <v>4.2372881355932203E-3</v>
      </c>
      <c r="AB73" s="37">
        <v>0</v>
      </c>
      <c r="AC73" s="35">
        <v>25.883474576271187</v>
      </c>
      <c r="AD73" s="33">
        <f t="shared" si="13"/>
        <v>0.80932203389830504</v>
      </c>
    </row>
    <row r="74" spans="1:30" x14ac:dyDescent="0.25">
      <c r="A74" s="32">
        <v>31</v>
      </c>
      <c r="B74" s="32" t="s">
        <v>217</v>
      </c>
      <c r="C74" s="32" t="s">
        <v>218</v>
      </c>
      <c r="D74" s="32">
        <v>1</v>
      </c>
      <c r="E74" s="32">
        <v>238</v>
      </c>
      <c r="F74" s="32">
        <v>2</v>
      </c>
      <c r="G74" s="32">
        <v>37</v>
      </c>
      <c r="H74" s="32">
        <v>2</v>
      </c>
      <c r="I74" s="32">
        <v>32</v>
      </c>
      <c r="J74" s="32">
        <v>163</v>
      </c>
      <c r="K74" s="32">
        <v>236</v>
      </c>
      <c r="L74" s="32">
        <v>2</v>
      </c>
      <c r="M74" s="32">
        <f t="shared" si="7"/>
        <v>238</v>
      </c>
      <c r="N74" s="32">
        <v>0</v>
      </c>
      <c r="O74" s="33">
        <f t="shared" si="8"/>
        <v>0.13445378151260504</v>
      </c>
      <c r="P74" s="33">
        <f t="shared" si="9"/>
        <v>0.15546218487394958</v>
      </c>
      <c r="Q74" s="33">
        <f t="shared" si="10"/>
        <v>0.68487394957983194</v>
      </c>
      <c r="R74" s="33">
        <f t="shared" si="11"/>
        <v>8.4033613445378148E-3</v>
      </c>
      <c r="S74" s="33">
        <f t="shared" si="12"/>
        <v>8.4033613445378148E-3</v>
      </c>
      <c r="T74" s="34">
        <v>311</v>
      </c>
      <c r="U74" s="34">
        <v>1</v>
      </c>
      <c r="V74" s="34">
        <v>1</v>
      </c>
      <c r="W74" s="34">
        <v>1</v>
      </c>
      <c r="X74" s="34">
        <v>314</v>
      </c>
      <c r="Y74" s="37">
        <v>0.99044585987261147</v>
      </c>
      <c r="Z74" s="37">
        <v>3.1847133757961785E-3</v>
      </c>
      <c r="AA74" s="37">
        <v>3.1847133757961785E-3</v>
      </c>
      <c r="AB74" s="37">
        <v>3.1847133757961785E-3</v>
      </c>
      <c r="AC74" s="35">
        <v>69.015923566878982</v>
      </c>
      <c r="AD74" s="33">
        <f t="shared" si="13"/>
        <v>0.7579617834394905</v>
      </c>
    </row>
    <row r="75" spans="1:30" x14ac:dyDescent="0.25">
      <c r="A75" s="32"/>
      <c r="B75" s="32"/>
      <c r="C75" s="32"/>
      <c r="D75" s="32">
        <v>2</v>
      </c>
      <c r="E75" s="32">
        <v>286</v>
      </c>
      <c r="F75" s="32">
        <v>4</v>
      </c>
      <c r="G75" s="32">
        <v>90</v>
      </c>
      <c r="H75" s="32">
        <v>3</v>
      </c>
      <c r="I75" s="32">
        <v>44</v>
      </c>
      <c r="J75" s="32">
        <v>142</v>
      </c>
      <c r="K75" s="32">
        <v>283</v>
      </c>
      <c r="L75" s="32">
        <v>3</v>
      </c>
      <c r="M75" s="32">
        <f t="shared" si="7"/>
        <v>286</v>
      </c>
      <c r="N75" s="32">
        <v>0</v>
      </c>
      <c r="O75" s="33">
        <f t="shared" si="8"/>
        <v>0.15384615384615385</v>
      </c>
      <c r="P75" s="33">
        <f t="shared" si="9"/>
        <v>0.31468531468531469</v>
      </c>
      <c r="Q75" s="33">
        <f t="shared" si="10"/>
        <v>0.49650349650349651</v>
      </c>
      <c r="R75" s="33">
        <f t="shared" si="11"/>
        <v>1.3986013986013986E-2</v>
      </c>
      <c r="S75" s="33">
        <f t="shared" si="12"/>
        <v>1.048951048951049E-2</v>
      </c>
      <c r="T75" s="34">
        <v>379</v>
      </c>
      <c r="U75" s="34">
        <v>0</v>
      </c>
      <c r="V75" s="34">
        <v>2</v>
      </c>
      <c r="W75" s="34">
        <v>0</v>
      </c>
      <c r="X75" s="34">
        <v>381</v>
      </c>
      <c r="Y75" s="37">
        <v>0.99475065616797897</v>
      </c>
      <c r="Z75" s="37">
        <v>0</v>
      </c>
      <c r="AA75" s="37">
        <v>5.2493438320209973E-3</v>
      </c>
      <c r="AB75" s="37">
        <v>0</v>
      </c>
      <c r="AC75" s="35">
        <v>48.333333333333336</v>
      </c>
      <c r="AD75" s="33">
        <f t="shared" si="13"/>
        <v>0.75065616797900259</v>
      </c>
    </row>
    <row r="76" spans="1:30" x14ac:dyDescent="0.25">
      <c r="A76" s="32"/>
      <c r="B76" s="32"/>
      <c r="C76" s="32"/>
      <c r="D76" s="32">
        <v>3</v>
      </c>
      <c r="E76" s="32">
        <v>301</v>
      </c>
      <c r="F76" s="32">
        <v>1</v>
      </c>
      <c r="G76" s="32">
        <v>131</v>
      </c>
      <c r="H76" s="32">
        <v>0</v>
      </c>
      <c r="I76" s="32">
        <v>43</v>
      </c>
      <c r="J76" s="32">
        <v>125</v>
      </c>
      <c r="K76" s="32">
        <v>300</v>
      </c>
      <c r="L76" s="32">
        <v>1</v>
      </c>
      <c r="M76" s="32">
        <f t="shared" si="7"/>
        <v>301</v>
      </c>
      <c r="N76" s="32">
        <v>0</v>
      </c>
      <c r="O76" s="33">
        <f t="shared" si="8"/>
        <v>0.14285714285714285</v>
      </c>
      <c r="P76" s="33">
        <f t="shared" si="9"/>
        <v>0.43521594684385384</v>
      </c>
      <c r="Q76" s="33">
        <f t="shared" si="10"/>
        <v>0.41528239202657807</v>
      </c>
      <c r="R76" s="33">
        <f t="shared" si="11"/>
        <v>3.3222591362126247E-3</v>
      </c>
      <c r="S76" s="33">
        <f t="shared" si="12"/>
        <v>0</v>
      </c>
      <c r="T76" s="34">
        <v>380</v>
      </c>
      <c r="U76" s="34">
        <v>0</v>
      </c>
      <c r="V76" s="34">
        <v>1</v>
      </c>
      <c r="W76" s="34">
        <v>0</v>
      </c>
      <c r="X76" s="34">
        <v>381</v>
      </c>
      <c r="Y76" s="37">
        <v>0.99737532808398954</v>
      </c>
      <c r="Z76" s="37">
        <v>0</v>
      </c>
      <c r="AA76" s="37">
        <v>2.6246719160104987E-3</v>
      </c>
      <c r="AB76" s="37">
        <v>0</v>
      </c>
      <c r="AC76" s="35">
        <v>29.209973753280838</v>
      </c>
      <c r="AD76" s="33">
        <f t="shared" si="13"/>
        <v>0.79002624671916011</v>
      </c>
    </row>
    <row r="77" spans="1:30" x14ac:dyDescent="0.25">
      <c r="A77" s="32">
        <v>32</v>
      </c>
      <c r="B77" s="32" t="s">
        <v>219</v>
      </c>
      <c r="C77" s="32" t="s">
        <v>220</v>
      </c>
      <c r="D77" s="32">
        <v>1</v>
      </c>
      <c r="E77" s="32">
        <v>270</v>
      </c>
      <c r="F77" s="32">
        <v>2</v>
      </c>
      <c r="G77" s="32">
        <v>48</v>
      </c>
      <c r="H77" s="32">
        <v>4</v>
      </c>
      <c r="I77" s="32">
        <v>44</v>
      </c>
      <c r="J77" s="32">
        <v>165</v>
      </c>
      <c r="K77" s="32">
        <v>263</v>
      </c>
      <c r="L77" s="32">
        <v>7</v>
      </c>
      <c r="M77" s="32">
        <f t="shared" si="7"/>
        <v>270</v>
      </c>
      <c r="N77" s="32">
        <v>0</v>
      </c>
      <c r="O77" s="33">
        <f t="shared" si="8"/>
        <v>0.16296296296296298</v>
      </c>
      <c r="P77" s="33">
        <f t="shared" si="9"/>
        <v>0.17777777777777778</v>
      </c>
      <c r="Q77" s="33">
        <f t="shared" si="10"/>
        <v>0.61111111111111116</v>
      </c>
      <c r="R77" s="33">
        <f t="shared" si="11"/>
        <v>7.4074074074074077E-3</v>
      </c>
      <c r="S77" s="33">
        <f t="shared" si="12"/>
        <v>1.4814814814814815E-2</v>
      </c>
      <c r="T77" s="34">
        <v>347</v>
      </c>
      <c r="U77" s="34">
        <v>2</v>
      </c>
      <c r="V77" s="34">
        <v>0</v>
      </c>
      <c r="W77" s="34">
        <v>1</v>
      </c>
      <c r="X77" s="34">
        <v>350</v>
      </c>
      <c r="Y77" s="37">
        <v>0.99142857142857144</v>
      </c>
      <c r="Z77" s="37">
        <v>5.7142857142857143E-3</v>
      </c>
      <c r="AA77" s="37">
        <v>0</v>
      </c>
      <c r="AB77" s="37">
        <v>2.8571428571428571E-3</v>
      </c>
      <c r="AC77" s="35">
        <v>67.305714285714288</v>
      </c>
      <c r="AD77" s="33">
        <f t="shared" si="13"/>
        <v>0.77142857142857146</v>
      </c>
    </row>
    <row r="78" spans="1:30" x14ac:dyDescent="0.25">
      <c r="A78" s="32"/>
      <c r="B78" s="32"/>
      <c r="C78" s="32"/>
      <c r="D78" s="32">
        <v>2</v>
      </c>
      <c r="E78" s="32">
        <v>395</v>
      </c>
      <c r="F78" s="32">
        <v>6</v>
      </c>
      <c r="G78" s="32">
        <v>104</v>
      </c>
      <c r="H78" s="32">
        <v>4</v>
      </c>
      <c r="I78" s="32">
        <v>59</v>
      </c>
      <c r="J78" s="32">
        <v>217</v>
      </c>
      <c r="K78" s="32">
        <v>390</v>
      </c>
      <c r="L78" s="32">
        <v>5</v>
      </c>
      <c r="M78" s="32">
        <f t="shared" si="7"/>
        <v>395</v>
      </c>
      <c r="N78" s="32">
        <v>0</v>
      </c>
      <c r="O78" s="33">
        <f t="shared" si="8"/>
        <v>0.14936708860759493</v>
      </c>
      <c r="P78" s="33">
        <f t="shared" si="9"/>
        <v>0.26329113924050634</v>
      </c>
      <c r="Q78" s="33">
        <f t="shared" si="10"/>
        <v>0.54936708860759498</v>
      </c>
      <c r="R78" s="33">
        <f t="shared" si="11"/>
        <v>1.5189873417721518E-2</v>
      </c>
      <c r="S78" s="33">
        <f t="shared" si="12"/>
        <v>1.0126582278481013E-2</v>
      </c>
      <c r="T78" s="34">
        <v>485</v>
      </c>
      <c r="U78" s="34">
        <v>1</v>
      </c>
      <c r="V78" s="34">
        <v>2</v>
      </c>
      <c r="W78" s="34">
        <v>1</v>
      </c>
      <c r="X78" s="34">
        <v>489</v>
      </c>
      <c r="Y78" s="37">
        <v>0.99182004089979547</v>
      </c>
      <c r="Z78" s="37">
        <v>2.0449897750511249E-3</v>
      </c>
      <c r="AA78" s="37">
        <v>4.0899795501022499E-3</v>
      </c>
      <c r="AB78" s="37">
        <v>2.0449897750511249E-3</v>
      </c>
      <c r="AC78" s="35">
        <v>46.3640081799591</v>
      </c>
      <c r="AD78" s="33">
        <f t="shared" si="13"/>
        <v>0.80777096114519431</v>
      </c>
    </row>
    <row r="79" spans="1:30" x14ac:dyDescent="0.25">
      <c r="A79" s="32"/>
      <c r="B79" s="32"/>
      <c r="C79" s="32"/>
      <c r="D79" s="32">
        <v>3</v>
      </c>
      <c r="E79" s="32">
        <v>384</v>
      </c>
      <c r="F79" s="32">
        <v>5</v>
      </c>
      <c r="G79" s="32">
        <v>157</v>
      </c>
      <c r="H79" s="32">
        <v>0</v>
      </c>
      <c r="I79" s="32">
        <v>53</v>
      </c>
      <c r="J79" s="32">
        <v>167</v>
      </c>
      <c r="K79" s="32">
        <v>382</v>
      </c>
      <c r="L79" s="32">
        <v>2</v>
      </c>
      <c r="M79" s="32">
        <f t="shared" si="7"/>
        <v>384</v>
      </c>
      <c r="N79" s="32">
        <v>0</v>
      </c>
      <c r="O79" s="33">
        <f t="shared" si="8"/>
        <v>0.13802083333333334</v>
      </c>
      <c r="P79" s="33">
        <f t="shared" si="9"/>
        <v>0.40885416666666669</v>
      </c>
      <c r="Q79" s="33">
        <f t="shared" si="10"/>
        <v>0.43489583333333331</v>
      </c>
      <c r="R79" s="33">
        <f t="shared" si="11"/>
        <v>1.3020833333333334E-2</v>
      </c>
      <c r="S79" s="33">
        <f t="shared" si="12"/>
        <v>0</v>
      </c>
      <c r="T79" s="34">
        <v>486</v>
      </c>
      <c r="U79" s="34">
        <v>1</v>
      </c>
      <c r="V79" s="34">
        <v>1</v>
      </c>
      <c r="W79" s="34">
        <v>1</v>
      </c>
      <c r="X79" s="34">
        <v>489</v>
      </c>
      <c r="Y79" s="37">
        <v>0.99386503067484666</v>
      </c>
      <c r="Z79" s="37">
        <v>2.0449897750511249E-3</v>
      </c>
      <c r="AA79" s="37">
        <v>2.0449897750511249E-3</v>
      </c>
      <c r="AB79" s="37">
        <v>2.0449897750511249E-3</v>
      </c>
      <c r="AC79" s="35">
        <v>27.400817995910021</v>
      </c>
      <c r="AD79" s="33">
        <f t="shared" si="13"/>
        <v>0.78527607361963192</v>
      </c>
    </row>
    <row r="80" spans="1:30" x14ac:dyDescent="0.25">
      <c r="A80" s="32">
        <v>33</v>
      </c>
      <c r="B80" s="32" t="s">
        <v>221</v>
      </c>
      <c r="C80" s="32" t="s">
        <v>222</v>
      </c>
      <c r="D80" s="32">
        <v>1</v>
      </c>
      <c r="E80" s="32">
        <v>160</v>
      </c>
      <c r="F80" s="32">
        <v>4</v>
      </c>
      <c r="G80" s="32">
        <v>8</v>
      </c>
      <c r="H80" s="32">
        <v>5</v>
      </c>
      <c r="I80" s="32">
        <v>75</v>
      </c>
      <c r="J80" s="32">
        <v>65</v>
      </c>
      <c r="K80" s="32">
        <v>157</v>
      </c>
      <c r="L80" s="32">
        <v>3</v>
      </c>
      <c r="M80" s="32">
        <f t="shared" si="7"/>
        <v>160</v>
      </c>
      <c r="N80" s="32">
        <v>0</v>
      </c>
      <c r="O80" s="33">
        <f t="shared" si="8"/>
        <v>0.46875</v>
      </c>
      <c r="P80" s="33">
        <f t="shared" si="9"/>
        <v>0.05</v>
      </c>
      <c r="Q80" s="33">
        <f t="shared" si="10"/>
        <v>0.40625</v>
      </c>
      <c r="R80" s="33">
        <f t="shared" si="11"/>
        <v>2.5000000000000001E-2</v>
      </c>
      <c r="S80" s="33">
        <f t="shared" si="12"/>
        <v>3.125E-2</v>
      </c>
      <c r="T80" s="34">
        <v>129</v>
      </c>
      <c r="U80" s="34">
        <v>120</v>
      </c>
      <c r="V80" s="34">
        <v>1</v>
      </c>
      <c r="W80" s="34">
        <v>0</v>
      </c>
      <c r="X80" s="34">
        <v>250</v>
      </c>
      <c r="Y80" s="37">
        <v>0.51600000000000001</v>
      </c>
      <c r="Z80" s="37">
        <v>0.48</v>
      </c>
      <c r="AA80" s="37">
        <v>4.0000000000000001E-3</v>
      </c>
      <c r="AB80" s="37">
        <v>0</v>
      </c>
      <c r="AC80" s="35">
        <v>73.98</v>
      </c>
      <c r="AD80" s="33">
        <f t="shared" si="13"/>
        <v>0.64</v>
      </c>
    </row>
    <row r="81" spans="1:30" x14ac:dyDescent="0.25">
      <c r="A81" s="32"/>
      <c r="B81" s="32"/>
      <c r="C81" s="32"/>
      <c r="D81" s="32">
        <v>2</v>
      </c>
      <c r="E81" s="32">
        <v>203</v>
      </c>
      <c r="F81" s="32">
        <v>1</v>
      </c>
      <c r="G81" s="32">
        <v>13</v>
      </c>
      <c r="H81" s="32">
        <v>1</v>
      </c>
      <c r="I81" s="32">
        <v>108</v>
      </c>
      <c r="J81" s="32">
        <v>79</v>
      </c>
      <c r="K81" s="32">
        <v>202</v>
      </c>
      <c r="L81" s="32">
        <v>1</v>
      </c>
      <c r="M81" s="32">
        <f t="shared" si="7"/>
        <v>203</v>
      </c>
      <c r="N81" s="32">
        <v>0</v>
      </c>
      <c r="O81" s="33">
        <f t="shared" si="8"/>
        <v>0.53201970443349755</v>
      </c>
      <c r="P81" s="33">
        <f t="shared" si="9"/>
        <v>6.4039408866995079E-2</v>
      </c>
      <c r="Q81" s="33">
        <f t="shared" si="10"/>
        <v>0.3891625615763547</v>
      </c>
      <c r="R81" s="33">
        <f t="shared" si="11"/>
        <v>4.9261083743842365E-3</v>
      </c>
      <c r="S81" s="33">
        <f t="shared" si="12"/>
        <v>4.9261083743842365E-3</v>
      </c>
      <c r="T81" s="34">
        <v>124</v>
      </c>
      <c r="U81" s="34">
        <v>124</v>
      </c>
      <c r="V81" s="34">
        <v>2</v>
      </c>
      <c r="W81" s="34">
        <v>0</v>
      </c>
      <c r="X81" s="34">
        <v>250</v>
      </c>
      <c r="Y81" s="37">
        <v>0.496</v>
      </c>
      <c r="Z81" s="37">
        <v>0.496</v>
      </c>
      <c r="AA81" s="37">
        <v>8.0000000000000002E-3</v>
      </c>
      <c r="AB81" s="37">
        <v>0</v>
      </c>
      <c r="AC81" s="35">
        <v>64.055999999999997</v>
      </c>
      <c r="AD81" s="33">
        <f t="shared" si="13"/>
        <v>0.81200000000000006</v>
      </c>
    </row>
    <row r="82" spans="1:30" x14ac:dyDescent="0.25">
      <c r="A82" s="32"/>
      <c r="B82" s="32"/>
      <c r="C82" s="32"/>
      <c r="D82" s="32">
        <v>3</v>
      </c>
      <c r="E82" s="32">
        <v>279</v>
      </c>
      <c r="F82" s="32">
        <v>4</v>
      </c>
      <c r="G82" s="32">
        <v>56</v>
      </c>
      <c r="H82" s="32">
        <v>6</v>
      </c>
      <c r="I82" s="32">
        <v>104</v>
      </c>
      <c r="J82" s="32">
        <v>108</v>
      </c>
      <c r="K82" s="32">
        <v>278</v>
      </c>
      <c r="L82" s="32">
        <v>1</v>
      </c>
      <c r="M82" s="32">
        <f t="shared" si="7"/>
        <v>279</v>
      </c>
      <c r="N82" s="32">
        <v>0</v>
      </c>
      <c r="O82" s="33">
        <f t="shared" si="8"/>
        <v>0.37275985663082439</v>
      </c>
      <c r="P82" s="33">
        <f t="shared" si="9"/>
        <v>0.20071684587813621</v>
      </c>
      <c r="Q82" s="33">
        <f t="shared" si="10"/>
        <v>0.38709677419354838</v>
      </c>
      <c r="R82" s="33">
        <f t="shared" si="11"/>
        <v>1.4336917562724014E-2</v>
      </c>
      <c r="S82" s="33">
        <f t="shared" si="12"/>
        <v>2.1505376344086023E-2</v>
      </c>
      <c r="T82" s="34">
        <v>260</v>
      </c>
      <c r="U82" s="34">
        <v>86</v>
      </c>
      <c r="V82" s="34">
        <v>8</v>
      </c>
      <c r="W82" s="34">
        <v>2</v>
      </c>
      <c r="X82" s="34">
        <v>356</v>
      </c>
      <c r="Y82" s="37">
        <v>0.7303370786516854</v>
      </c>
      <c r="Z82" s="37">
        <v>0.24157303370786518</v>
      </c>
      <c r="AA82" s="37">
        <v>2.247191011235955E-2</v>
      </c>
      <c r="AB82" s="37">
        <v>5.6179775280898875E-3</v>
      </c>
      <c r="AC82" s="35">
        <v>51.303370786516851</v>
      </c>
      <c r="AD82" s="33">
        <f t="shared" si="13"/>
        <v>0.7837078651685393</v>
      </c>
    </row>
    <row r="83" spans="1:30" x14ac:dyDescent="0.25">
      <c r="A83" s="32"/>
      <c r="B83" s="32"/>
      <c r="C83" s="32"/>
      <c r="D83" s="32">
        <v>4</v>
      </c>
      <c r="E83" s="32">
        <v>263</v>
      </c>
      <c r="F83" s="32">
        <v>9</v>
      </c>
      <c r="G83" s="32">
        <v>73</v>
      </c>
      <c r="H83" s="32">
        <v>0</v>
      </c>
      <c r="I83" s="32">
        <v>87</v>
      </c>
      <c r="J83" s="32">
        <v>92</v>
      </c>
      <c r="K83" s="32">
        <v>261</v>
      </c>
      <c r="L83" s="32">
        <v>2</v>
      </c>
      <c r="M83" s="32">
        <f t="shared" si="7"/>
        <v>263</v>
      </c>
      <c r="N83" s="32">
        <v>0</v>
      </c>
      <c r="O83" s="33">
        <f t="shared" si="8"/>
        <v>0.33079847908745247</v>
      </c>
      <c r="P83" s="33">
        <f t="shared" si="9"/>
        <v>0.27756653992395436</v>
      </c>
      <c r="Q83" s="33">
        <f t="shared" si="10"/>
        <v>0.34980988593155893</v>
      </c>
      <c r="R83" s="33">
        <f t="shared" si="11"/>
        <v>3.4220532319391636E-2</v>
      </c>
      <c r="S83" s="33">
        <f t="shared" si="12"/>
        <v>0</v>
      </c>
      <c r="T83" s="34">
        <v>289</v>
      </c>
      <c r="U83" s="34">
        <v>56</v>
      </c>
      <c r="V83" s="34">
        <v>10</v>
      </c>
      <c r="W83" s="34">
        <v>1</v>
      </c>
      <c r="X83" s="34">
        <v>356</v>
      </c>
      <c r="Y83" s="37">
        <v>0.8117977528089888</v>
      </c>
      <c r="Z83" s="37">
        <v>0.15730337078651685</v>
      </c>
      <c r="AA83" s="37">
        <v>2.8089887640449437E-2</v>
      </c>
      <c r="AB83" s="37">
        <v>2.8089887640449437E-3</v>
      </c>
      <c r="AC83" s="35">
        <v>35.719101123595507</v>
      </c>
      <c r="AD83" s="33">
        <f t="shared" si="13"/>
        <v>0.7387640449438202</v>
      </c>
    </row>
    <row r="84" spans="1:30" x14ac:dyDescent="0.25">
      <c r="A84" s="32"/>
      <c r="B84" s="32"/>
      <c r="C84" s="32"/>
      <c r="D84" s="32">
        <v>5</v>
      </c>
      <c r="E84" s="32">
        <v>265</v>
      </c>
      <c r="F84" s="32">
        <v>6</v>
      </c>
      <c r="G84" s="32">
        <v>78</v>
      </c>
      <c r="H84" s="32">
        <v>1</v>
      </c>
      <c r="I84" s="32">
        <v>63</v>
      </c>
      <c r="J84" s="32">
        <v>115</v>
      </c>
      <c r="K84" s="32">
        <v>263</v>
      </c>
      <c r="L84" s="32">
        <v>2</v>
      </c>
      <c r="M84" s="32">
        <f t="shared" si="7"/>
        <v>265</v>
      </c>
      <c r="N84" s="32">
        <v>0</v>
      </c>
      <c r="O84" s="33">
        <f t="shared" si="8"/>
        <v>0.23773584905660378</v>
      </c>
      <c r="P84" s="33">
        <f t="shared" si="9"/>
        <v>0.29433962264150942</v>
      </c>
      <c r="Q84" s="33">
        <f t="shared" si="10"/>
        <v>0.43396226415094341</v>
      </c>
      <c r="R84" s="33">
        <f t="shared" si="11"/>
        <v>2.2641509433962263E-2</v>
      </c>
      <c r="S84" s="33">
        <f t="shared" si="12"/>
        <v>3.7735849056603774E-3</v>
      </c>
      <c r="T84" s="34">
        <v>316</v>
      </c>
      <c r="U84" s="34">
        <v>33</v>
      </c>
      <c r="V84" s="34">
        <v>7</v>
      </c>
      <c r="W84" s="34">
        <v>1</v>
      </c>
      <c r="X84" s="34">
        <v>357</v>
      </c>
      <c r="Y84" s="37">
        <v>0.88515406162464982</v>
      </c>
      <c r="Z84" s="37">
        <v>9.2436974789915971E-2</v>
      </c>
      <c r="AA84" s="37">
        <v>1.9607843137254902E-2</v>
      </c>
      <c r="AB84" s="37">
        <v>2.8011204481792717E-3</v>
      </c>
      <c r="AC84" s="35">
        <v>24.49299719887955</v>
      </c>
      <c r="AD84" s="33">
        <f t="shared" si="13"/>
        <v>0.74229691876750703</v>
      </c>
    </row>
    <row r="85" spans="1:30" x14ac:dyDescent="0.25">
      <c r="A85" s="32">
        <v>34</v>
      </c>
      <c r="B85" s="32" t="s">
        <v>223</v>
      </c>
      <c r="C85" s="32" t="s">
        <v>224</v>
      </c>
      <c r="D85" s="32">
        <v>1</v>
      </c>
      <c r="E85" s="32">
        <v>282</v>
      </c>
      <c r="F85" s="32">
        <v>4</v>
      </c>
      <c r="G85" s="32">
        <v>68</v>
      </c>
      <c r="H85" s="32">
        <v>4</v>
      </c>
      <c r="I85" s="32">
        <v>88</v>
      </c>
      <c r="J85" s="32">
        <v>114</v>
      </c>
      <c r="K85" s="32">
        <v>278</v>
      </c>
      <c r="L85" s="32">
        <v>4</v>
      </c>
      <c r="M85" s="32">
        <f t="shared" si="7"/>
        <v>282</v>
      </c>
      <c r="N85" s="32">
        <v>0</v>
      </c>
      <c r="O85" s="33">
        <f t="shared" si="8"/>
        <v>0.31205673758865249</v>
      </c>
      <c r="P85" s="33">
        <f t="shared" si="9"/>
        <v>0.24113475177304963</v>
      </c>
      <c r="Q85" s="33">
        <f t="shared" si="10"/>
        <v>0.40425531914893614</v>
      </c>
      <c r="R85" s="33">
        <f t="shared" si="11"/>
        <v>1.4184397163120567E-2</v>
      </c>
      <c r="S85" s="33">
        <f t="shared" si="12"/>
        <v>1.4184397163120567E-2</v>
      </c>
      <c r="T85" s="34">
        <v>308</v>
      </c>
      <c r="U85" s="34">
        <v>65</v>
      </c>
      <c r="V85" s="34">
        <v>17</v>
      </c>
      <c r="W85" s="34">
        <v>4</v>
      </c>
      <c r="X85" s="34">
        <v>394</v>
      </c>
      <c r="Y85" s="37">
        <v>0.78172588832487311</v>
      </c>
      <c r="Z85" s="37">
        <v>0.1649746192893401</v>
      </c>
      <c r="AA85" s="37">
        <v>4.3147208121827409E-2</v>
      </c>
      <c r="AB85" s="37">
        <v>1.015228426395939E-2</v>
      </c>
      <c r="AC85" s="35">
        <v>50.281725888324871</v>
      </c>
      <c r="AD85" s="33">
        <f t="shared" si="13"/>
        <v>0.71573604060913709</v>
      </c>
    </row>
    <row r="86" spans="1:30" x14ac:dyDescent="0.25">
      <c r="A86" s="32">
        <v>35</v>
      </c>
      <c r="B86" s="32" t="s">
        <v>225</v>
      </c>
      <c r="C86" s="32" t="s">
        <v>226</v>
      </c>
      <c r="D86" s="32">
        <v>1</v>
      </c>
      <c r="E86" s="32">
        <v>114</v>
      </c>
      <c r="F86" s="32">
        <v>0</v>
      </c>
      <c r="G86" s="32">
        <v>5</v>
      </c>
      <c r="H86" s="32">
        <v>0</v>
      </c>
      <c r="I86" s="32">
        <v>68</v>
      </c>
      <c r="J86" s="32">
        <v>38</v>
      </c>
      <c r="K86" s="32">
        <v>111</v>
      </c>
      <c r="L86" s="32">
        <v>3</v>
      </c>
      <c r="M86" s="32">
        <f t="shared" si="7"/>
        <v>114</v>
      </c>
      <c r="N86" s="32">
        <v>0</v>
      </c>
      <c r="O86" s="33">
        <f t="shared" si="8"/>
        <v>0.59649122807017541</v>
      </c>
      <c r="P86" s="33">
        <f t="shared" si="9"/>
        <v>4.3859649122807015E-2</v>
      </c>
      <c r="Q86" s="33">
        <f t="shared" si="10"/>
        <v>0.33333333333333331</v>
      </c>
      <c r="R86" s="33">
        <f t="shared" si="11"/>
        <v>0</v>
      </c>
      <c r="S86" s="33">
        <f t="shared" si="12"/>
        <v>0</v>
      </c>
      <c r="T86" s="34">
        <v>57</v>
      </c>
      <c r="U86" s="34">
        <v>131</v>
      </c>
      <c r="V86" s="34">
        <v>12</v>
      </c>
      <c r="W86" s="34">
        <v>0</v>
      </c>
      <c r="X86" s="34">
        <v>200</v>
      </c>
      <c r="Y86" s="37">
        <v>0.28499999999999998</v>
      </c>
      <c r="Z86" s="37">
        <v>0.65500000000000003</v>
      </c>
      <c r="AA86" s="37">
        <v>0.06</v>
      </c>
      <c r="AB86" s="37">
        <v>0</v>
      </c>
      <c r="AC86" s="35">
        <v>74.95</v>
      </c>
      <c r="AD86" s="33">
        <f t="shared" si="13"/>
        <v>0.56999999999999995</v>
      </c>
    </row>
    <row r="87" spans="1:30" x14ac:dyDescent="0.25">
      <c r="A87" s="32"/>
      <c r="B87" s="32"/>
      <c r="C87" s="32"/>
      <c r="D87" s="32">
        <v>2</v>
      </c>
      <c r="E87" s="32">
        <v>151</v>
      </c>
      <c r="F87" s="32">
        <v>3</v>
      </c>
      <c r="G87" s="32">
        <v>9</v>
      </c>
      <c r="H87" s="32">
        <v>1</v>
      </c>
      <c r="I87" s="32">
        <v>77</v>
      </c>
      <c r="J87" s="32">
        <v>59</v>
      </c>
      <c r="K87" s="32">
        <v>149</v>
      </c>
      <c r="L87" s="32">
        <v>2</v>
      </c>
      <c r="M87" s="32">
        <f t="shared" si="7"/>
        <v>151</v>
      </c>
      <c r="N87" s="32">
        <v>0</v>
      </c>
      <c r="O87" s="33">
        <f t="shared" si="8"/>
        <v>0.50993377483443714</v>
      </c>
      <c r="P87" s="33">
        <f t="shared" si="9"/>
        <v>5.9602649006622516E-2</v>
      </c>
      <c r="Q87" s="33">
        <f t="shared" si="10"/>
        <v>0.39072847682119205</v>
      </c>
      <c r="R87" s="33">
        <f t="shared" si="11"/>
        <v>1.9867549668874173E-2</v>
      </c>
      <c r="S87" s="33">
        <f t="shared" si="12"/>
        <v>6.6225165562913907E-3</v>
      </c>
      <c r="T87" s="34">
        <v>76</v>
      </c>
      <c r="U87" s="34">
        <v>113</v>
      </c>
      <c r="V87" s="34">
        <v>11</v>
      </c>
      <c r="W87" s="34">
        <v>0</v>
      </c>
      <c r="X87" s="34">
        <v>200</v>
      </c>
      <c r="Y87" s="37">
        <v>0.38</v>
      </c>
      <c r="Z87" s="37">
        <v>0.56499999999999995</v>
      </c>
      <c r="AA87" s="37">
        <v>5.5E-2</v>
      </c>
      <c r="AB87" s="37">
        <v>0</v>
      </c>
      <c r="AC87" s="35">
        <v>64.905000000000001</v>
      </c>
      <c r="AD87" s="33">
        <f t="shared" si="13"/>
        <v>0.755</v>
      </c>
    </row>
    <row r="88" spans="1:30" x14ac:dyDescent="0.25">
      <c r="A88" s="32"/>
      <c r="B88" s="32"/>
      <c r="C88" s="32"/>
      <c r="D88" s="32">
        <v>3</v>
      </c>
      <c r="E88" s="32">
        <v>210</v>
      </c>
      <c r="F88" s="32">
        <v>0</v>
      </c>
      <c r="G88" s="32">
        <v>31</v>
      </c>
      <c r="H88" s="32">
        <v>1</v>
      </c>
      <c r="I88" s="32">
        <v>106</v>
      </c>
      <c r="J88" s="32">
        <v>69</v>
      </c>
      <c r="K88" s="32">
        <v>207</v>
      </c>
      <c r="L88" s="32">
        <v>3</v>
      </c>
      <c r="M88" s="32">
        <f t="shared" si="7"/>
        <v>210</v>
      </c>
      <c r="N88" s="32">
        <v>0</v>
      </c>
      <c r="O88" s="33">
        <f t="shared" si="8"/>
        <v>0.50476190476190474</v>
      </c>
      <c r="P88" s="33">
        <f t="shared" si="9"/>
        <v>0.14761904761904762</v>
      </c>
      <c r="Q88" s="33">
        <f t="shared" si="10"/>
        <v>0.32857142857142857</v>
      </c>
      <c r="R88" s="33">
        <f t="shared" si="11"/>
        <v>0</v>
      </c>
      <c r="S88" s="33">
        <f t="shared" si="12"/>
        <v>4.7619047619047623E-3</v>
      </c>
      <c r="T88" s="34">
        <v>122</v>
      </c>
      <c r="U88" s="34">
        <v>130</v>
      </c>
      <c r="V88" s="34">
        <v>23</v>
      </c>
      <c r="W88" s="34">
        <v>1</v>
      </c>
      <c r="X88" s="34">
        <v>276</v>
      </c>
      <c r="Y88" s="37">
        <v>0.4420289855072464</v>
      </c>
      <c r="Z88" s="37">
        <v>0.47101449275362317</v>
      </c>
      <c r="AA88" s="37">
        <v>8.3333333333333329E-2</v>
      </c>
      <c r="AB88" s="37">
        <v>3.6231884057971015E-3</v>
      </c>
      <c r="AC88" s="35">
        <v>51.14855072463768</v>
      </c>
      <c r="AD88" s="33">
        <f t="shared" si="13"/>
        <v>0.76086956521739135</v>
      </c>
    </row>
    <row r="89" spans="1:30" x14ac:dyDescent="0.25">
      <c r="A89" s="32"/>
      <c r="B89" s="32"/>
      <c r="C89" s="32"/>
      <c r="D89" s="32">
        <v>4</v>
      </c>
      <c r="E89" s="32">
        <v>203</v>
      </c>
      <c r="F89" s="32">
        <v>2</v>
      </c>
      <c r="G89" s="32">
        <v>36</v>
      </c>
      <c r="H89" s="32">
        <v>0</v>
      </c>
      <c r="I89" s="32">
        <v>97</v>
      </c>
      <c r="J89" s="32">
        <v>62</v>
      </c>
      <c r="K89" s="32">
        <v>197</v>
      </c>
      <c r="L89" s="32">
        <v>6</v>
      </c>
      <c r="M89" s="32">
        <f t="shared" si="7"/>
        <v>203</v>
      </c>
      <c r="N89" s="32">
        <v>0</v>
      </c>
      <c r="O89" s="33">
        <f t="shared" si="8"/>
        <v>0.47783251231527096</v>
      </c>
      <c r="P89" s="33">
        <f t="shared" si="9"/>
        <v>0.17733990147783252</v>
      </c>
      <c r="Q89" s="33">
        <f t="shared" si="10"/>
        <v>0.30541871921182268</v>
      </c>
      <c r="R89" s="33">
        <f t="shared" si="11"/>
        <v>9.852216748768473E-3</v>
      </c>
      <c r="S89" s="33">
        <f t="shared" si="12"/>
        <v>0</v>
      </c>
      <c r="T89" s="34">
        <v>161</v>
      </c>
      <c r="U89" s="34">
        <v>99</v>
      </c>
      <c r="V89" s="34">
        <v>16</v>
      </c>
      <c r="W89" s="34">
        <v>1</v>
      </c>
      <c r="X89" s="34">
        <v>277</v>
      </c>
      <c r="Y89" s="37">
        <v>0.58122743682310474</v>
      </c>
      <c r="Z89" s="37">
        <v>0.35740072202166068</v>
      </c>
      <c r="AA89" s="37">
        <v>5.7761732851985562E-2</v>
      </c>
      <c r="AB89" s="37">
        <v>3.6101083032490976E-3</v>
      </c>
      <c r="AC89" s="35">
        <v>37.902527075812273</v>
      </c>
      <c r="AD89" s="33">
        <f t="shared" si="13"/>
        <v>0.73285198555956677</v>
      </c>
    </row>
    <row r="90" spans="1:30" x14ac:dyDescent="0.25">
      <c r="A90" s="32"/>
      <c r="B90" s="32"/>
      <c r="C90" s="32"/>
      <c r="D90" s="32">
        <v>5</v>
      </c>
      <c r="E90" s="32">
        <v>196</v>
      </c>
      <c r="F90" s="32">
        <v>3</v>
      </c>
      <c r="G90" s="32">
        <v>42</v>
      </c>
      <c r="H90" s="32">
        <v>1</v>
      </c>
      <c r="I90" s="32">
        <v>107</v>
      </c>
      <c r="J90" s="32">
        <v>43</v>
      </c>
      <c r="K90" s="32">
        <v>196</v>
      </c>
      <c r="L90" s="32">
        <v>0</v>
      </c>
      <c r="M90" s="32">
        <f t="shared" si="7"/>
        <v>196</v>
      </c>
      <c r="N90" s="32">
        <v>0</v>
      </c>
      <c r="O90" s="33">
        <f t="shared" si="8"/>
        <v>0.54591836734693877</v>
      </c>
      <c r="P90" s="33">
        <f t="shared" si="9"/>
        <v>0.21428571428571427</v>
      </c>
      <c r="Q90" s="33">
        <f t="shared" si="10"/>
        <v>0.21938775510204081</v>
      </c>
      <c r="R90" s="33">
        <f t="shared" si="11"/>
        <v>1.5306122448979591E-2</v>
      </c>
      <c r="S90" s="33">
        <f t="shared" si="12"/>
        <v>5.1020408163265302E-3</v>
      </c>
      <c r="T90" s="34">
        <v>140</v>
      </c>
      <c r="U90" s="34">
        <v>81</v>
      </c>
      <c r="V90" s="34">
        <v>56</v>
      </c>
      <c r="W90" s="34">
        <v>0</v>
      </c>
      <c r="X90" s="34">
        <v>277</v>
      </c>
      <c r="Y90" s="37">
        <v>0.50541516245487361</v>
      </c>
      <c r="Z90" s="37">
        <v>0.29241877256317689</v>
      </c>
      <c r="AA90" s="37">
        <v>0.20216606498194944</v>
      </c>
      <c r="AB90" s="37">
        <v>0</v>
      </c>
      <c r="AC90" s="35">
        <v>26.386281588447652</v>
      </c>
      <c r="AD90" s="33">
        <f t="shared" si="13"/>
        <v>0.70758122743682306</v>
      </c>
    </row>
    <row r="91" spans="1:30" x14ac:dyDescent="0.25">
      <c r="A91" s="32">
        <v>36</v>
      </c>
      <c r="B91" s="32" t="s">
        <v>227</v>
      </c>
      <c r="C91" s="32" t="s">
        <v>228</v>
      </c>
      <c r="D91" s="32">
        <v>1</v>
      </c>
      <c r="E91" s="32">
        <v>124</v>
      </c>
      <c r="F91" s="32">
        <v>1</v>
      </c>
      <c r="G91" s="32">
        <v>4</v>
      </c>
      <c r="H91" s="32">
        <v>2</v>
      </c>
      <c r="I91" s="32">
        <v>87</v>
      </c>
      <c r="J91" s="32">
        <v>28</v>
      </c>
      <c r="K91" s="32">
        <v>122</v>
      </c>
      <c r="L91" s="32">
        <v>2</v>
      </c>
      <c r="M91" s="32">
        <f t="shared" si="7"/>
        <v>124</v>
      </c>
      <c r="N91" s="32">
        <v>0</v>
      </c>
      <c r="O91" s="33">
        <f t="shared" si="8"/>
        <v>0.70161290322580649</v>
      </c>
      <c r="P91" s="33">
        <f t="shared" si="9"/>
        <v>3.2258064516129031E-2</v>
      </c>
      <c r="Q91" s="33">
        <f t="shared" si="10"/>
        <v>0.22580645161290322</v>
      </c>
      <c r="R91" s="33">
        <f t="shared" si="11"/>
        <v>8.0645161290322578E-3</v>
      </c>
      <c r="S91" s="33">
        <f t="shared" si="12"/>
        <v>1.6129032258064516E-2</v>
      </c>
      <c r="T91" s="34">
        <v>45</v>
      </c>
      <c r="U91" s="34">
        <v>102</v>
      </c>
      <c r="V91" s="34">
        <v>33</v>
      </c>
      <c r="W91" s="34">
        <v>0</v>
      </c>
      <c r="X91" s="34">
        <v>180</v>
      </c>
      <c r="Y91" s="37">
        <v>0.25</v>
      </c>
      <c r="Z91" s="37">
        <v>0.56666666666666665</v>
      </c>
      <c r="AA91" s="37">
        <v>0.18333333333333332</v>
      </c>
      <c r="AB91" s="37">
        <v>0</v>
      </c>
      <c r="AC91" s="35">
        <v>69.072222222222223</v>
      </c>
      <c r="AD91" s="33">
        <f t="shared" si="13"/>
        <v>0.68888888888888888</v>
      </c>
    </row>
    <row r="92" spans="1:30" x14ac:dyDescent="0.25">
      <c r="A92" s="32"/>
      <c r="B92" s="32"/>
      <c r="C92" s="32"/>
      <c r="D92" s="32">
        <v>2</v>
      </c>
      <c r="E92" s="32">
        <v>230</v>
      </c>
      <c r="F92" s="32">
        <v>2</v>
      </c>
      <c r="G92" s="32">
        <v>34</v>
      </c>
      <c r="H92" s="32">
        <v>2</v>
      </c>
      <c r="I92" s="32">
        <v>133</v>
      </c>
      <c r="J92" s="32">
        <v>58</v>
      </c>
      <c r="K92" s="32">
        <v>229</v>
      </c>
      <c r="L92" s="32">
        <v>1</v>
      </c>
      <c r="M92" s="32">
        <f t="shared" si="7"/>
        <v>230</v>
      </c>
      <c r="N92" s="32">
        <v>0</v>
      </c>
      <c r="O92" s="33">
        <f t="shared" si="8"/>
        <v>0.57826086956521738</v>
      </c>
      <c r="P92" s="33">
        <f t="shared" si="9"/>
        <v>0.14782608695652175</v>
      </c>
      <c r="Q92" s="33">
        <f t="shared" si="10"/>
        <v>0.25217391304347825</v>
      </c>
      <c r="R92" s="33">
        <f t="shared" si="11"/>
        <v>8.6956521739130436E-3</v>
      </c>
      <c r="S92" s="33">
        <f t="shared" si="12"/>
        <v>8.6956521739130436E-3</v>
      </c>
      <c r="T92" s="34">
        <v>152</v>
      </c>
      <c r="U92" s="34">
        <v>102</v>
      </c>
      <c r="V92" s="34">
        <v>45</v>
      </c>
      <c r="W92" s="34">
        <v>0</v>
      </c>
      <c r="X92" s="34">
        <v>299</v>
      </c>
      <c r="Y92" s="37">
        <v>0.50836120401337792</v>
      </c>
      <c r="Z92" s="37">
        <v>0.34113712374581939</v>
      </c>
      <c r="AA92" s="37">
        <v>0.15050167224080269</v>
      </c>
      <c r="AB92" s="37">
        <v>0</v>
      </c>
      <c r="AC92" s="35">
        <v>38.732441471571903</v>
      </c>
      <c r="AD92" s="33">
        <f t="shared" si="13"/>
        <v>0.76923076923076927</v>
      </c>
    </row>
    <row r="93" spans="1:30" x14ac:dyDescent="0.25">
      <c r="A93" s="32">
        <v>37</v>
      </c>
      <c r="B93" s="32" t="s">
        <v>229</v>
      </c>
      <c r="C93" s="32" t="s">
        <v>230</v>
      </c>
      <c r="D93" s="32">
        <v>1</v>
      </c>
      <c r="E93" s="32">
        <v>129</v>
      </c>
      <c r="F93" s="32">
        <v>1</v>
      </c>
      <c r="G93" s="32">
        <v>11</v>
      </c>
      <c r="H93" s="32">
        <v>3</v>
      </c>
      <c r="I93" s="32">
        <v>41</v>
      </c>
      <c r="J93" s="32">
        <v>73</v>
      </c>
      <c r="K93" s="32">
        <v>129</v>
      </c>
      <c r="L93" s="32">
        <v>0</v>
      </c>
      <c r="M93" s="32">
        <f t="shared" si="7"/>
        <v>129</v>
      </c>
      <c r="N93" s="32">
        <v>0</v>
      </c>
      <c r="O93" s="33">
        <f t="shared" si="8"/>
        <v>0.31782945736434109</v>
      </c>
      <c r="P93" s="33">
        <f t="shared" si="9"/>
        <v>8.5271317829457363E-2</v>
      </c>
      <c r="Q93" s="33">
        <f t="shared" si="10"/>
        <v>0.56589147286821706</v>
      </c>
      <c r="R93" s="33">
        <f t="shared" si="11"/>
        <v>7.7519379844961239E-3</v>
      </c>
      <c r="S93" s="33">
        <f t="shared" si="12"/>
        <v>2.3255813953488372E-2</v>
      </c>
      <c r="T93" s="34">
        <v>138</v>
      </c>
      <c r="U93" s="34">
        <v>62</v>
      </c>
      <c r="V93" s="34">
        <v>4</v>
      </c>
      <c r="W93" s="34">
        <v>1</v>
      </c>
      <c r="X93" s="34">
        <v>205</v>
      </c>
      <c r="Y93" s="37">
        <v>0.67317073170731712</v>
      </c>
      <c r="Z93" s="37">
        <v>0.30243902439024389</v>
      </c>
      <c r="AA93" s="37">
        <v>1.9512195121951219E-2</v>
      </c>
      <c r="AB93" s="37">
        <v>4.8780487804878049E-3</v>
      </c>
      <c r="AC93" s="35">
        <v>73.31219512195122</v>
      </c>
      <c r="AD93" s="33">
        <f t="shared" si="13"/>
        <v>0.62926829268292683</v>
      </c>
    </row>
    <row r="94" spans="1:30" x14ac:dyDescent="0.25">
      <c r="A94" s="32"/>
      <c r="B94" s="32"/>
      <c r="C94" s="32"/>
      <c r="D94" s="32">
        <v>2</v>
      </c>
      <c r="E94" s="32">
        <v>172</v>
      </c>
      <c r="F94" s="32">
        <v>1</v>
      </c>
      <c r="G94" s="32">
        <v>12</v>
      </c>
      <c r="H94" s="32">
        <v>2</v>
      </c>
      <c r="I94" s="32">
        <v>70</v>
      </c>
      <c r="J94" s="32">
        <v>84</v>
      </c>
      <c r="K94" s="32">
        <v>169</v>
      </c>
      <c r="L94" s="32">
        <v>3</v>
      </c>
      <c r="M94" s="32">
        <f t="shared" si="7"/>
        <v>172</v>
      </c>
      <c r="N94" s="32">
        <v>0</v>
      </c>
      <c r="O94" s="33">
        <f t="shared" si="8"/>
        <v>0.40697674418604651</v>
      </c>
      <c r="P94" s="33">
        <f t="shared" si="9"/>
        <v>6.9767441860465115E-2</v>
      </c>
      <c r="Q94" s="33">
        <f t="shared" si="10"/>
        <v>0.48837209302325579</v>
      </c>
      <c r="R94" s="33">
        <f t="shared" si="11"/>
        <v>5.8139534883720929E-3</v>
      </c>
      <c r="S94" s="33">
        <f t="shared" si="12"/>
        <v>1.1627906976744186E-2</v>
      </c>
      <c r="T94" s="34">
        <v>131</v>
      </c>
      <c r="U94" s="34">
        <v>72</v>
      </c>
      <c r="V94" s="34">
        <v>2</v>
      </c>
      <c r="W94" s="34">
        <v>0</v>
      </c>
      <c r="X94" s="34">
        <v>205</v>
      </c>
      <c r="Y94" s="37">
        <v>0.63902439024390245</v>
      </c>
      <c r="Z94" s="37">
        <v>0.35121951219512193</v>
      </c>
      <c r="AA94" s="37">
        <v>9.7560975609756097E-3</v>
      </c>
      <c r="AB94" s="37">
        <v>0</v>
      </c>
      <c r="AC94" s="35">
        <v>64.073170731707322</v>
      </c>
      <c r="AD94" s="33">
        <f t="shared" si="13"/>
        <v>0.83902439024390241</v>
      </c>
    </row>
    <row r="95" spans="1:30" x14ac:dyDescent="0.25">
      <c r="A95" s="32"/>
      <c r="B95" s="32"/>
      <c r="C95" s="32"/>
      <c r="D95" s="32">
        <v>3</v>
      </c>
      <c r="E95" s="32">
        <v>250</v>
      </c>
      <c r="F95" s="32">
        <v>2</v>
      </c>
      <c r="G95" s="32">
        <v>45</v>
      </c>
      <c r="H95" s="32">
        <v>0</v>
      </c>
      <c r="I95" s="32">
        <v>74</v>
      </c>
      <c r="J95" s="32">
        <v>128</v>
      </c>
      <c r="K95" s="32">
        <v>249</v>
      </c>
      <c r="L95" s="32">
        <v>1</v>
      </c>
      <c r="M95" s="32">
        <f t="shared" si="7"/>
        <v>250</v>
      </c>
      <c r="N95" s="32">
        <v>0</v>
      </c>
      <c r="O95" s="33">
        <f t="shared" si="8"/>
        <v>0.29599999999999999</v>
      </c>
      <c r="P95" s="33">
        <f t="shared" si="9"/>
        <v>0.18</v>
      </c>
      <c r="Q95" s="33">
        <f t="shared" si="10"/>
        <v>0.51200000000000001</v>
      </c>
      <c r="R95" s="33">
        <f t="shared" si="11"/>
        <v>8.0000000000000002E-3</v>
      </c>
      <c r="S95" s="33">
        <f t="shared" si="12"/>
        <v>0</v>
      </c>
      <c r="T95" s="34">
        <v>253</v>
      </c>
      <c r="U95" s="34">
        <v>67</v>
      </c>
      <c r="V95" s="34">
        <v>7</v>
      </c>
      <c r="W95" s="34">
        <v>0</v>
      </c>
      <c r="X95" s="34">
        <v>327</v>
      </c>
      <c r="Y95" s="37">
        <v>0.7737003058103975</v>
      </c>
      <c r="Z95" s="37">
        <v>0.20489296636085627</v>
      </c>
      <c r="AA95" s="37">
        <v>2.1406727828746176E-2</v>
      </c>
      <c r="AB95" s="37">
        <v>0</v>
      </c>
      <c r="AC95" s="35">
        <v>51.85626911314985</v>
      </c>
      <c r="AD95" s="33">
        <f t="shared" si="13"/>
        <v>0.76452599388379205</v>
      </c>
    </row>
    <row r="96" spans="1:30" x14ac:dyDescent="0.25">
      <c r="A96" s="32"/>
      <c r="B96" s="32"/>
      <c r="C96" s="32"/>
      <c r="D96" s="32">
        <v>4</v>
      </c>
      <c r="E96" s="32">
        <v>232</v>
      </c>
      <c r="F96" s="32">
        <v>2</v>
      </c>
      <c r="G96" s="32">
        <v>48</v>
      </c>
      <c r="H96" s="32">
        <v>0</v>
      </c>
      <c r="I96" s="32">
        <v>77</v>
      </c>
      <c r="J96" s="32">
        <v>104</v>
      </c>
      <c r="K96" s="32">
        <v>231</v>
      </c>
      <c r="L96" s="32">
        <v>1</v>
      </c>
      <c r="M96" s="32">
        <f t="shared" si="7"/>
        <v>232</v>
      </c>
      <c r="N96" s="32">
        <v>0</v>
      </c>
      <c r="O96" s="33">
        <f t="shared" si="8"/>
        <v>0.33189655172413796</v>
      </c>
      <c r="P96" s="33">
        <f t="shared" si="9"/>
        <v>0.20689655172413793</v>
      </c>
      <c r="Q96" s="33">
        <f t="shared" si="10"/>
        <v>0.44827586206896552</v>
      </c>
      <c r="R96" s="33">
        <f t="shared" si="11"/>
        <v>8.6206896551724137E-3</v>
      </c>
      <c r="S96" s="33">
        <f t="shared" si="12"/>
        <v>0</v>
      </c>
      <c r="T96" s="34">
        <v>266</v>
      </c>
      <c r="U96" s="34">
        <v>58</v>
      </c>
      <c r="V96" s="34">
        <v>4</v>
      </c>
      <c r="W96" s="34">
        <v>0</v>
      </c>
      <c r="X96" s="34">
        <v>328</v>
      </c>
      <c r="Y96" s="37">
        <v>0.81097560975609762</v>
      </c>
      <c r="Z96" s="37">
        <v>0.17682926829268292</v>
      </c>
      <c r="AA96" s="37">
        <v>1.2195121951219513E-2</v>
      </c>
      <c r="AB96" s="37">
        <v>0</v>
      </c>
      <c r="AC96" s="35">
        <v>37.634146341463413</v>
      </c>
      <c r="AD96" s="33">
        <f t="shared" si="13"/>
        <v>0.70731707317073167</v>
      </c>
    </row>
    <row r="97" spans="1:30" x14ac:dyDescent="0.25">
      <c r="A97" s="32"/>
      <c r="B97" s="32"/>
      <c r="C97" s="32"/>
      <c r="D97" s="32">
        <v>5</v>
      </c>
      <c r="E97" s="32">
        <v>253</v>
      </c>
      <c r="F97" s="32">
        <v>2</v>
      </c>
      <c r="G97" s="32">
        <v>79</v>
      </c>
      <c r="H97" s="32">
        <v>2</v>
      </c>
      <c r="I97" s="32">
        <v>67</v>
      </c>
      <c r="J97" s="32">
        <v>102</v>
      </c>
      <c r="K97" s="32">
        <v>252</v>
      </c>
      <c r="L97" s="32">
        <v>1</v>
      </c>
      <c r="M97" s="32">
        <f t="shared" si="7"/>
        <v>253</v>
      </c>
      <c r="N97" s="32">
        <v>0</v>
      </c>
      <c r="O97" s="33">
        <f t="shared" si="8"/>
        <v>0.2648221343873518</v>
      </c>
      <c r="P97" s="33">
        <f t="shared" si="9"/>
        <v>0.31225296442687744</v>
      </c>
      <c r="Q97" s="33">
        <f t="shared" si="10"/>
        <v>0.40316205533596838</v>
      </c>
      <c r="R97" s="33">
        <f t="shared" si="11"/>
        <v>7.9051383399209481E-3</v>
      </c>
      <c r="S97" s="33">
        <f t="shared" si="12"/>
        <v>7.9051383399209481E-3</v>
      </c>
      <c r="T97" s="34">
        <v>295</v>
      </c>
      <c r="U97" s="34">
        <v>27</v>
      </c>
      <c r="V97" s="34">
        <v>6</v>
      </c>
      <c r="W97" s="34">
        <v>0</v>
      </c>
      <c r="X97" s="34">
        <v>328</v>
      </c>
      <c r="Y97" s="37">
        <v>0.89939024390243905</v>
      </c>
      <c r="Z97" s="37">
        <v>8.2317073170731711E-2</v>
      </c>
      <c r="AA97" s="37">
        <v>1.8292682926829267E-2</v>
      </c>
      <c r="AB97" s="37">
        <v>0</v>
      </c>
      <c r="AC97" s="35">
        <v>24.542682926829269</v>
      </c>
      <c r="AD97" s="33">
        <f t="shared" si="13"/>
        <v>0.77134146341463417</v>
      </c>
    </row>
    <row r="98" spans="1:30" x14ac:dyDescent="0.25">
      <c r="A98" s="32">
        <v>38</v>
      </c>
      <c r="B98" s="32" t="s">
        <v>231</v>
      </c>
      <c r="C98" s="32" t="s">
        <v>232</v>
      </c>
      <c r="D98" s="32">
        <v>1</v>
      </c>
      <c r="E98" s="32">
        <v>148</v>
      </c>
      <c r="F98" s="32">
        <v>4</v>
      </c>
      <c r="G98" s="32">
        <v>12</v>
      </c>
      <c r="H98" s="32">
        <v>0</v>
      </c>
      <c r="I98" s="32">
        <v>31</v>
      </c>
      <c r="J98" s="32">
        <v>100</v>
      </c>
      <c r="K98" s="32">
        <v>147</v>
      </c>
      <c r="L98" s="32">
        <v>1</v>
      </c>
      <c r="M98" s="32">
        <f t="shared" si="7"/>
        <v>148</v>
      </c>
      <c r="N98" s="32">
        <v>0</v>
      </c>
      <c r="O98" s="33">
        <f t="shared" si="8"/>
        <v>0.20945945945945946</v>
      </c>
      <c r="P98" s="33">
        <f t="shared" si="9"/>
        <v>8.1081081081081086E-2</v>
      </c>
      <c r="Q98" s="33">
        <f t="shared" si="10"/>
        <v>0.67567567567567566</v>
      </c>
      <c r="R98" s="33">
        <f t="shared" si="11"/>
        <v>2.7027027027027029E-2</v>
      </c>
      <c r="S98" s="33">
        <f t="shared" si="12"/>
        <v>0</v>
      </c>
      <c r="T98" s="34">
        <v>214</v>
      </c>
      <c r="U98" s="34">
        <v>11</v>
      </c>
      <c r="V98" s="34">
        <v>5</v>
      </c>
      <c r="W98" s="34">
        <v>0</v>
      </c>
      <c r="X98" s="34">
        <v>230</v>
      </c>
      <c r="Y98" s="37">
        <v>0.93043478260869561</v>
      </c>
      <c r="Z98" s="37">
        <v>4.7826086956521741E-2</v>
      </c>
      <c r="AA98" s="37">
        <v>2.1739130434782608E-2</v>
      </c>
      <c r="AB98" s="37">
        <v>0</v>
      </c>
      <c r="AC98" s="35">
        <v>74.521739130434781</v>
      </c>
      <c r="AD98" s="33">
        <f t="shared" si="13"/>
        <v>0.64347826086956517</v>
      </c>
    </row>
    <row r="99" spans="1:30" x14ac:dyDescent="0.25">
      <c r="A99" s="32"/>
      <c r="B99" s="32"/>
      <c r="C99" s="32"/>
      <c r="D99" s="32">
        <v>2</v>
      </c>
      <c r="E99" s="32">
        <v>186</v>
      </c>
      <c r="F99" s="32">
        <v>2</v>
      </c>
      <c r="G99" s="32">
        <v>27</v>
      </c>
      <c r="H99" s="32">
        <v>1</v>
      </c>
      <c r="I99" s="32">
        <v>43</v>
      </c>
      <c r="J99" s="32">
        <v>109</v>
      </c>
      <c r="K99" s="32">
        <v>182</v>
      </c>
      <c r="L99" s="32">
        <v>4</v>
      </c>
      <c r="M99" s="32">
        <f t="shared" si="7"/>
        <v>186</v>
      </c>
      <c r="N99" s="32">
        <v>0</v>
      </c>
      <c r="O99" s="33">
        <f t="shared" si="8"/>
        <v>0.23118279569892472</v>
      </c>
      <c r="P99" s="33">
        <f t="shared" si="9"/>
        <v>0.14516129032258066</v>
      </c>
      <c r="Q99" s="33">
        <f t="shared" si="10"/>
        <v>0.58602150537634412</v>
      </c>
      <c r="R99" s="33">
        <f t="shared" si="11"/>
        <v>1.0752688172043012E-2</v>
      </c>
      <c r="S99" s="33">
        <f t="shared" si="12"/>
        <v>5.3763440860215058E-3</v>
      </c>
      <c r="T99" s="34">
        <v>210</v>
      </c>
      <c r="U99" s="34">
        <v>14</v>
      </c>
      <c r="V99" s="34">
        <v>7</v>
      </c>
      <c r="W99" s="34">
        <v>0</v>
      </c>
      <c r="X99" s="34">
        <v>231</v>
      </c>
      <c r="Y99" s="37">
        <v>0.90909090909090906</v>
      </c>
      <c r="Z99" s="37">
        <v>6.0606060606060608E-2</v>
      </c>
      <c r="AA99" s="37">
        <v>3.0303030303030304E-2</v>
      </c>
      <c r="AB99" s="37">
        <v>0</v>
      </c>
      <c r="AC99" s="35">
        <v>64.705627705627705</v>
      </c>
      <c r="AD99" s="33">
        <f t="shared" si="13"/>
        <v>0.80519480519480524</v>
      </c>
    </row>
    <row r="100" spans="1:30" x14ac:dyDescent="0.25">
      <c r="A100" s="32"/>
      <c r="B100" s="32"/>
      <c r="C100" s="32"/>
      <c r="D100" s="32">
        <v>3</v>
      </c>
      <c r="E100" s="32">
        <v>283</v>
      </c>
      <c r="F100" s="32">
        <v>3</v>
      </c>
      <c r="G100" s="32">
        <v>65</v>
      </c>
      <c r="H100" s="32">
        <v>3</v>
      </c>
      <c r="I100" s="32">
        <v>59</v>
      </c>
      <c r="J100" s="32">
        <v>151</v>
      </c>
      <c r="K100" s="32">
        <v>281</v>
      </c>
      <c r="L100" s="32">
        <v>2</v>
      </c>
      <c r="M100" s="32">
        <f t="shared" si="7"/>
        <v>283</v>
      </c>
      <c r="N100" s="32">
        <v>0</v>
      </c>
      <c r="O100" s="33">
        <f t="shared" si="8"/>
        <v>0.20848056537102475</v>
      </c>
      <c r="P100" s="33">
        <f t="shared" si="9"/>
        <v>0.22968197879858657</v>
      </c>
      <c r="Q100" s="33">
        <f t="shared" si="10"/>
        <v>0.53356890459363959</v>
      </c>
      <c r="R100" s="33">
        <f t="shared" si="11"/>
        <v>1.0600706713780919E-2</v>
      </c>
      <c r="S100" s="33">
        <f t="shared" si="12"/>
        <v>1.0600706713780919E-2</v>
      </c>
      <c r="T100" s="34">
        <v>341</v>
      </c>
      <c r="U100" s="34">
        <v>8</v>
      </c>
      <c r="V100" s="34">
        <v>2</v>
      </c>
      <c r="W100" s="34">
        <v>1</v>
      </c>
      <c r="X100" s="34">
        <v>352</v>
      </c>
      <c r="Y100" s="37">
        <v>0.96875</v>
      </c>
      <c r="Z100" s="37">
        <v>2.2727272727272728E-2</v>
      </c>
      <c r="AA100" s="37">
        <v>5.681818181818182E-3</v>
      </c>
      <c r="AB100" s="37">
        <v>2.840909090909091E-3</v>
      </c>
      <c r="AC100" s="35">
        <v>52.852272727272727</v>
      </c>
      <c r="AD100" s="33">
        <f t="shared" si="13"/>
        <v>0.80397727272727271</v>
      </c>
    </row>
    <row r="101" spans="1:30" x14ac:dyDescent="0.25">
      <c r="A101" s="32"/>
      <c r="B101" s="32"/>
      <c r="C101" s="32"/>
      <c r="D101" s="32">
        <v>4</v>
      </c>
      <c r="E101" s="32">
        <v>255</v>
      </c>
      <c r="F101" s="32">
        <v>2</v>
      </c>
      <c r="G101" s="32">
        <v>73</v>
      </c>
      <c r="H101" s="32">
        <v>0</v>
      </c>
      <c r="I101" s="32">
        <v>68</v>
      </c>
      <c r="J101" s="32">
        <v>112</v>
      </c>
      <c r="K101" s="32">
        <v>255</v>
      </c>
      <c r="L101" s="32">
        <v>0</v>
      </c>
      <c r="M101" s="32">
        <f t="shared" si="7"/>
        <v>255</v>
      </c>
      <c r="N101" s="32">
        <v>0</v>
      </c>
      <c r="O101" s="33">
        <f t="shared" si="8"/>
        <v>0.26666666666666666</v>
      </c>
      <c r="P101" s="33">
        <f t="shared" si="9"/>
        <v>0.28627450980392155</v>
      </c>
      <c r="Q101" s="33">
        <f t="shared" si="10"/>
        <v>0.4392156862745098</v>
      </c>
      <c r="R101" s="33">
        <f t="shared" si="11"/>
        <v>7.8431372549019607E-3</v>
      </c>
      <c r="S101" s="33">
        <f t="shared" si="12"/>
        <v>0</v>
      </c>
      <c r="T101" s="34">
        <v>336</v>
      </c>
      <c r="U101" s="34">
        <v>14</v>
      </c>
      <c r="V101" s="34">
        <v>2</v>
      </c>
      <c r="W101" s="34">
        <v>0</v>
      </c>
      <c r="X101" s="34">
        <v>352</v>
      </c>
      <c r="Y101" s="37">
        <v>0.95454545454545459</v>
      </c>
      <c r="Z101" s="37">
        <v>3.9772727272727272E-2</v>
      </c>
      <c r="AA101" s="37">
        <v>5.681818181818182E-3</v>
      </c>
      <c r="AB101" s="37">
        <v>0</v>
      </c>
      <c r="AC101" s="35">
        <v>39.355113636363633</v>
      </c>
      <c r="AD101" s="33">
        <f t="shared" si="13"/>
        <v>0.72443181818181823</v>
      </c>
    </row>
    <row r="102" spans="1:30" x14ac:dyDescent="0.25">
      <c r="A102" s="32"/>
      <c r="B102" s="32"/>
      <c r="C102" s="32"/>
      <c r="D102" s="32">
        <v>5</v>
      </c>
      <c r="E102" s="32">
        <v>273</v>
      </c>
      <c r="F102" s="32">
        <v>5</v>
      </c>
      <c r="G102" s="32">
        <v>103</v>
      </c>
      <c r="H102" s="32">
        <v>3</v>
      </c>
      <c r="I102" s="32">
        <v>53</v>
      </c>
      <c r="J102" s="32">
        <v>108</v>
      </c>
      <c r="K102" s="32">
        <v>272</v>
      </c>
      <c r="L102" s="32">
        <v>1</v>
      </c>
      <c r="M102" s="32">
        <f t="shared" si="7"/>
        <v>273</v>
      </c>
      <c r="N102" s="32">
        <v>0</v>
      </c>
      <c r="O102" s="33">
        <f t="shared" si="8"/>
        <v>0.19413919413919414</v>
      </c>
      <c r="P102" s="33">
        <f t="shared" si="9"/>
        <v>0.37728937728937728</v>
      </c>
      <c r="Q102" s="33">
        <f t="shared" si="10"/>
        <v>0.39560439560439559</v>
      </c>
      <c r="R102" s="33">
        <f t="shared" si="11"/>
        <v>1.8315018315018316E-2</v>
      </c>
      <c r="S102" s="33">
        <f t="shared" si="12"/>
        <v>1.098901098901099E-2</v>
      </c>
      <c r="T102" s="34">
        <v>320</v>
      </c>
      <c r="U102" s="34">
        <v>27</v>
      </c>
      <c r="V102" s="34">
        <v>4</v>
      </c>
      <c r="W102" s="34">
        <v>1</v>
      </c>
      <c r="X102" s="34">
        <v>352</v>
      </c>
      <c r="Y102" s="37">
        <v>0.90909090909090906</v>
      </c>
      <c r="Z102" s="37">
        <v>7.6704545454545456E-2</v>
      </c>
      <c r="AA102" s="37">
        <v>1.1363636363636364E-2</v>
      </c>
      <c r="AB102" s="37">
        <v>2.840909090909091E-3</v>
      </c>
      <c r="AC102" s="35">
        <v>26.164772727272727</v>
      </c>
      <c r="AD102" s="33">
        <f t="shared" si="13"/>
        <v>0.77556818181818177</v>
      </c>
    </row>
    <row r="103" spans="1:30" x14ac:dyDescent="0.25">
      <c r="A103" s="32">
        <v>39</v>
      </c>
      <c r="B103" s="32" t="s">
        <v>233</v>
      </c>
      <c r="C103" s="32" t="s">
        <v>234</v>
      </c>
      <c r="D103" s="32">
        <v>1</v>
      </c>
      <c r="E103" s="32">
        <v>131</v>
      </c>
      <c r="F103" s="32">
        <v>1</v>
      </c>
      <c r="G103" s="32">
        <v>11</v>
      </c>
      <c r="H103" s="32">
        <v>1</v>
      </c>
      <c r="I103" s="32">
        <v>29</v>
      </c>
      <c r="J103" s="32">
        <v>84</v>
      </c>
      <c r="K103" s="32">
        <v>126</v>
      </c>
      <c r="L103" s="32">
        <v>5</v>
      </c>
      <c r="M103" s="32">
        <f t="shared" si="7"/>
        <v>131</v>
      </c>
      <c r="N103" s="32">
        <v>0</v>
      </c>
      <c r="O103" s="33">
        <f t="shared" si="8"/>
        <v>0.22137404580152673</v>
      </c>
      <c r="P103" s="33">
        <f t="shared" si="9"/>
        <v>8.3969465648854963E-2</v>
      </c>
      <c r="Q103" s="33">
        <f t="shared" si="10"/>
        <v>0.64122137404580148</v>
      </c>
      <c r="R103" s="33">
        <f t="shared" si="11"/>
        <v>7.6335877862595417E-3</v>
      </c>
      <c r="S103" s="33">
        <f t="shared" si="12"/>
        <v>7.6335877862595417E-3</v>
      </c>
      <c r="T103" s="34">
        <v>195</v>
      </c>
      <c r="U103" s="34">
        <v>3</v>
      </c>
      <c r="V103" s="34">
        <v>2</v>
      </c>
      <c r="W103" s="34">
        <v>0</v>
      </c>
      <c r="X103" s="34">
        <v>200</v>
      </c>
      <c r="Y103" s="37">
        <v>0.97499999999999998</v>
      </c>
      <c r="Z103" s="37">
        <v>1.4999999999999999E-2</v>
      </c>
      <c r="AA103" s="37">
        <v>0.01</v>
      </c>
      <c r="AB103" s="37">
        <v>0</v>
      </c>
      <c r="AC103" s="35">
        <v>74.13</v>
      </c>
      <c r="AD103" s="33">
        <f t="shared" si="13"/>
        <v>0.65500000000000003</v>
      </c>
    </row>
    <row r="104" spans="1:30" x14ac:dyDescent="0.25">
      <c r="A104" s="32"/>
      <c r="B104" s="32"/>
      <c r="C104" s="32"/>
      <c r="D104" s="32">
        <v>2</v>
      </c>
      <c r="E104" s="32">
        <v>164</v>
      </c>
      <c r="F104" s="32">
        <v>1</v>
      </c>
      <c r="G104" s="32">
        <v>15</v>
      </c>
      <c r="H104" s="32">
        <v>2</v>
      </c>
      <c r="I104" s="32">
        <v>34</v>
      </c>
      <c r="J104" s="32">
        <v>112</v>
      </c>
      <c r="K104" s="32">
        <v>164</v>
      </c>
      <c r="L104" s="32">
        <v>0</v>
      </c>
      <c r="M104" s="32">
        <f t="shared" si="7"/>
        <v>164</v>
      </c>
      <c r="N104" s="32">
        <v>0</v>
      </c>
      <c r="O104" s="33">
        <f t="shared" si="8"/>
        <v>0.2073170731707317</v>
      </c>
      <c r="P104" s="33">
        <f t="shared" si="9"/>
        <v>9.1463414634146339E-2</v>
      </c>
      <c r="Q104" s="33">
        <f t="shared" si="10"/>
        <v>0.68292682926829273</v>
      </c>
      <c r="R104" s="33">
        <f t="shared" si="11"/>
        <v>6.0975609756097563E-3</v>
      </c>
      <c r="S104" s="33">
        <f t="shared" si="12"/>
        <v>1.2195121951219513E-2</v>
      </c>
      <c r="T104" s="34">
        <v>195</v>
      </c>
      <c r="U104" s="34">
        <v>3</v>
      </c>
      <c r="V104" s="34">
        <v>2</v>
      </c>
      <c r="W104" s="34">
        <v>0</v>
      </c>
      <c r="X104" s="34">
        <v>200</v>
      </c>
      <c r="Y104" s="37">
        <v>0.97499999999999998</v>
      </c>
      <c r="Z104" s="37">
        <v>1.4999999999999999E-2</v>
      </c>
      <c r="AA104" s="37">
        <v>0.01</v>
      </c>
      <c r="AB104" s="37">
        <v>0</v>
      </c>
      <c r="AC104" s="35">
        <v>62.215000000000003</v>
      </c>
      <c r="AD104" s="33">
        <f t="shared" si="13"/>
        <v>0.82</v>
      </c>
    </row>
    <row r="105" spans="1:30" x14ac:dyDescent="0.25">
      <c r="A105" s="32"/>
      <c r="B105" s="32"/>
      <c r="C105" s="32"/>
      <c r="D105" s="32">
        <v>3</v>
      </c>
      <c r="E105" s="32">
        <v>288</v>
      </c>
      <c r="F105" s="32">
        <v>1</v>
      </c>
      <c r="G105" s="32">
        <v>83</v>
      </c>
      <c r="H105" s="32">
        <v>2</v>
      </c>
      <c r="I105" s="32">
        <v>75</v>
      </c>
      <c r="J105" s="32">
        <v>125</v>
      </c>
      <c r="K105" s="32">
        <v>286</v>
      </c>
      <c r="L105" s="32">
        <v>2</v>
      </c>
      <c r="M105" s="32">
        <f t="shared" si="7"/>
        <v>288</v>
      </c>
      <c r="N105" s="32">
        <v>0</v>
      </c>
      <c r="O105" s="33">
        <f t="shared" si="8"/>
        <v>0.26041666666666669</v>
      </c>
      <c r="P105" s="33">
        <f t="shared" si="9"/>
        <v>0.28819444444444442</v>
      </c>
      <c r="Q105" s="33">
        <f t="shared" si="10"/>
        <v>0.43402777777777779</v>
      </c>
      <c r="R105" s="33">
        <f t="shared" si="11"/>
        <v>3.472222222222222E-3</v>
      </c>
      <c r="S105" s="33">
        <f t="shared" si="12"/>
        <v>6.9444444444444441E-3</v>
      </c>
      <c r="T105" s="34">
        <v>364</v>
      </c>
      <c r="U105" s="34">
        <v>9</v>
      </c>
      <c r="V105" s="34">
        <v>5</v>
      </c>
      <c r="W105" s="34">
        <v>0</v>
      </c>
      <c r="X105" s="34">
        <v>378</v>
      </c>
      <c r="Y105" s="37">
        <v>0.96296296296296291</v>
      </c>
      <c r="Z105" s="37">
        <v>2.3809523809523808E-2</v>
      </c>
      <c r="AA105" s="37">
        <v>1.3227513227513227E-2</v>
      </c>
      <c r="AB105" s="37">
        <v>0</v>
      </c>
      <c r="AC105" s="35">
        <v>46.806878306878303</v>
      </c>
      <c r="AD105" s="33">
        <f t="shared" si="13"/>
        <v>0.76190476190476186</v>
      </c>
    </row>
    <row r="106" spans="1:30" x14ac:dyDescent="0.25">
      <c r="A106" s="32"/>
      <c r="B106" s="32"/>
      <c r="C106" s="32"/>
      <c r="D106" s="32">
        <v>4</v>
      </c>
      <c r="E106" s="32">
        <v>296</v>
      </c>
      <c r="F106" s="32">
        <v>2</v>
      </c>
      <c r="G106" s="32">
        <v>97</v>
      </c>
      <c r="H106" s="32">
        <v>3</v>
      </c>
      <c r="I106" s="32">
        <v>75</v>
      </c>
      <c r="J106" s="32">
        <v>117</v>
      </c>
      <c r="K106" s="32">
        <v>294</v>
      </c>
      <c r="L106" s="32">
        <v>2</v>
      </c>
      <c r="M106" s="32">
        <f t="shared" si="7"/>
        <v>296</v>
      </c>
      <c r="N106" s="32">
        <v>0</v>
      </c>
      <c r="O106" s="33">
        <f t="shared" si="8"/>
        <v>0.2533783783783784</v>
      </c>
      <c r="P106" s="33">
        <f t="shared" si="9"/>
        <v>0.32770270270270269</v>
      </c>
      <c r="Q106" s="33">
        <f t="shared" si="10"/>
        <v>0.39527027027027029</v>
      </c>
      <c r="R106" s="33">
        <f t="shared" si="11"/>
        <v>6.7567567567567571E-3</v>
      </c>
      <c r="S106" s="33">
        <f t="shared" si="12"/>
        <v>1.0135135135135136E-2</v>
      </c>
      <c r="T106" s="34">
        <v>367</v>
      </c>
      <c r="U106" s="34">
        <v>4</v>
      </c>
      <c r="V106" s="34">
        <v>7</v>
      </c>
      <c r="W106" s="34">
        <v>0</v>
      </c>
      <c r="X106" s="34">
        <v>378</v>
      </c>
      <c r="Y106" s="37">
        <v>0.97089947089947093</v>
      </c>
      <c r="Z106" s="37">
        <v>1.0582010582010581E-2</v>
      </c>
      <c r="AA106" s="37">
        <v>1.8518518518518517E-2</v>
      </c>
      <c r="AB106" s="37">
        <v>0</v>
      </c>
      <c r="AC106" s="35">
        <v>28.134920634920636</v>
      </c>
      <c r="AD106" s="33">
        <f t="shared" si="13"/>
        <v>0.78306878306878303</v>
      </c>
    </row>
    <row r="107" spans="1:30" x14ac:dyDescent="0.25">
      <c r="A107" s="32">
        <v>40</v>
      </c>
      <c r="B107" s="32" t="s">
        <v>235</v>
      </c>
      <c r="C107" s="32" t="s">
        <v>236</v>
      </c>
      <c r="D107" s="32">
        <v>1</v>
      </c>
      <c r="E107" s="32">
        <v>170</v>
      </c>
      <c r="F107" s="32">
        <v>1</v>
      </c>
      <c r="G107" s="32">
        <v>13</v>
      </c>
      <c r="H107" s="32">
        <v>2</v>
      </c>
      <c r="I107" s="32">
        <v>82</v>
      </c>
      <c r="J107" s="32">
        <v>68</v>
      </c>
      <c r="K107" s="32">
        <v>166</v>
      </c>
      <c r="L107" s="32">
        <v>4</v>
      </c>
      <c r="M107" s="32">
        <f t="shared" si="7"/>
        <v>170</v>
      </c>
      <c r="N107" s="32">
        <v>0</v>
      </c>
      <c r="O107" s="33">
        <f t="shared" si="8"/>
        <v>0.4823529411764706</v>
      </c>
      <c r="P107" s="33">
        <f t="shared" si="9"/>
        <v>7.6470588235294124E-2</v>
      </c>
      <c r="Q107" s="33">
        <f t="shared" si="10"/>
        <v>0.4</v>
      </c>
      <c r="R107" s="33">
        <f t="shared" si="11"/>
        <v>5.8823529411764705E-3</v>
      </c>
      <c r="S107" s="33">
        <f t="shared" si="12"/>
        <v>1.1764705882352941E-2</v>
      </c>
      <c r="T107" s="34">
        <v>121</v>
      </c>
      <c r="U107" s="34">
        <v>117</v>
      </c>
      <c r="V107" s="34">
        <v>10</v>
      </c>
      <c r="W107" s="34">
        <v>2</v>
      </c>
      <c r="X107" s="34">
        <v>250</v>
      </c>
      <c r="Y107" s="37">
        <v>0.48399999999999999</v>
      </c>
      <c r="Z107" s="37">
        <v>0.46800000000000003</v>
      </c>
      <c r="AA107" s="37">
        <v>0.04</v>
      </c>
      <c r="AB107" s="37">
        <v>8.0000000000000002E-3</v>
      </c>
      <c r="AC107" s="35">
        <v>71.116</v>
      </c>
      <c r="AD107" s="33">
        <f t="shared" si="13"/>
        <v>0.68</v>
      </c>
    </row>
    <row r="108" spans="1:30" x14ac:dyDescent="0.25">
      <c r="A108" s="32"/>
      <c r="B108" s="32"/>
      <c r="C108" s="32"/>
      <c r="D108" s="32">
        <v>2</v>
      </c>
      <c r="E108" s="32">
        <v>200</v>
      </c>
      <c r="F108" s="32">
        <v>4</v>
      </c>
      <c r="G108" s="32">
        <v>13</v>
      </c>
      <c r="H108" s="32">
        <v>4</v>
      </c>
      <c r="I108" s="32">
        <v>103</v>
      </c>
      <c r="J108" s="32">
        <v>73</v>
      </c>
      <c r="K108" s="32">
        <v>197</v>
      </c>
      <c r="L108" s="32">
        <v>3</v>
      </c>
      <c r="M108" s="32">
        <f t="shared" si="7"/>
        <v>200</v>
      </c>
      <c r="N108" s="32">
        <v>0</v>
      </c>
      <c r="O108" s="33">
        <f t="shared" si="8"/>
        <v>0.51500000000000001</v>
      </c>
      <c r="P108" s="33">
        <f t="shared" si="9"/>
        <v>6.5000000000000002E-2</v>
      </c>
      <c r="Q108" s="33">
        <f t="shared" si="10"/>
        <v>0.36499999999999999</v>
      </c>
      <c r="R108" s="33">
        <f t="shared" si="11"/>
        <v>0.02</v>
      </c>
      <c r="S108" s="33">
        <f t="shared" si="12"/>
        <v>0.02</v>
      </c>
      <c r="T108" s="34">
        <v>120</v>
      </c>
      <c r="U108" s="34">
        <v>120</v>
      </c>
      <c r="V108" s="34">
        <v>8</v>
      </c>
      <c r="W108" s="34">
        <v>2</v>
      </c>
      <c r="X108" s="34">
        <v>250</v>
      </c>
      <c r="Y108" s="37">
        <v>0.48</v>
      </c>
      <c r="Z108" s="37">
        <v>0.48</v>
      </c>
      <c r="AA108" s="37">
        <v>3.2000000000000001E-2</v>
      </c>
      <c r="AB108" s="37">
        <v>8.0000000000000002E-3</v>
      </c>
      <c r="AC108" s="35">
        <v>61.164000000000001</v>
      </c>
      <c r="AD108" s="33">
        <f t="shared" si="13"/>
        <v>0.8</v>
      </c>
    </row>
    <row r="109" spans="1:30" x14ac:dyDescent="0.25">
      <c r="A109" s="32"/>
      <c r="B109" s="32"/>
      <c r="C109" s="32"/>
      <c r="D109" s="32">
        <v>3</v>
      </c>
      <c r="E109" s="32">
        <v>300</v>
      </c>
      <c r="F109" s="32">
        <v>2</v>
      </c>
      <c r="G109" s="32">
        <v>39</v>
      </c>
      <c r="H109" s="32">
        <v>1</v>
      </c>
      <c r="I109" s="32">
        <v>172</v>
      </c>
      <c r="J109" s="32">
        <v>79</v>
      </c>
      <c r="K109" s="32">
        <v>293</v>
      </c>
      <c r="L109" s="32">
        <v>7</v>
      </c>
      <c r="M109" s="32">
        <f t="shared" si="7"/>
        <v>300</v>
      </c>
      <c r="N109" s="32">
        <v>0</v>
      </c>
      <c r="O109" s="33">
        <f t="shared" si="8"/>
        <v>0.57333333333333336</v>
      </c>
      <c r="P109" s="33">
        <f t="shared" si="9"/>
        <v>0.13</v>
      </c>
      <c r="Q109" s="33">
        <f t="shared" si="10"/>
        <v>0.26333333333333331</v>
      </c>
      <c r="R109" s="33">
        <f t="shared" si="11"/>
        <v>6.6666666666666671E-3</v>
      </c>
      <c r="S109" s="33">
        <f t="shared" si="12"/>
        <v>3.3333333333333335E-3</v>
      </c>
      <c r="T109" s="34">
        <v>182</v>
      </c>
      <c r="U109" s="34">
        <v>221</v>
      </c>
      <c r="V109" s="34">
        <v>21</v>
      </c>
      <c r="W109" s="34">
        <v>0</v>
      </c>
      <c r="X109" s="34">
        <v>424</v>
      </c>
      <c r="Y109" s="37">
        <v>0.42924528301886794</v>
      </c>
      <c r="Z109" s="37">
        <v>0.52122641509433965</v>
      </c>
      <c r="AA109" s="37">
        <v>4.9528301886792456E-2</v>
      </c>
      <c r="AB109" s="37">
        <v>0</v>
      </c>
      <c r="AC109" s="35">
        <v>49.132075471698116</v>
      </c>
      <c r="AD109" s="33">
        <f t="shared" si="13"/>
        <v>0.70754716981132071</v>
      </c>
    </row>
    <row r="110" spans="1:30" x14ac:dyDescent="0.25">
      <c r="A110" s="32"/>
      <c r="B110" s="32"/>
      <c r="C110" s="32"/>
      <c r="D110" s="32">
        <v>4</v>
      </c>
      <c r="E110" s="32">
        <v>288</v>
      </c>
      <c r="F110" s="32">
        <v>1</v>
      </c>
      <c r="G110" s="32">
        <v>41</v>
      </c>
      <c r="H110" s="32">
        <v>2</v>
      </c>
      <c r="I110" s="32">
        <v>183</v>
      </c>
      <c r="J110" s="32">
        <v>61</v>
      </c>
      <c r="K110" s="32">
        <v>288</v>
      </c>
      <c r="L110" s="32">
        <v>0</v>
      </c>
      <c r="M110" s="32">
        <f t="shared" si="7"/>
        <v>288</v>
      </c>
      <c r="N110" s="32">
        <v>0</v>
      </c>
      <c r="O110" s="33">
        <f t="shared" si="8"/>
        <v>0.63541666666666663</v>
      </c>
      <c r="P110" s="33">
        <f t="shared" si="9"/>
        <v>0.1423611111111111</v>
      </c>
      <c r="Q110" s="33">
        <f t="shared" si="10"/>
        <v>0.21180555555555555</v>
      </c>
      <c r="R110" s="33">
        <f t="shared" si="11"/>
        <v>3.472222222222222E-3</v>
      </c>
      <c r="S110" s="33">
        <f t="shared" si="12"/>
        <v>6.9444444444444441E-3</v>
      </c>
      <c r="T110" s="34">
        <v>177</v>
      </c>
      <c r="U110" s="34">
        <v>224</v>
      </c>
      <c r="V110" s="34">
        <v>22</v>
      </c>
      <c r="W110" s="34">
        <v>2</v>
      </c>
      <c r="X110" s="34">
        <v>425</v>
      </c>
      <c r="Y110" s="37">
        <v>0.41647058823529409</v>
      </c>
      <c r="Z110" s="37">
        <v>0.5270588235294118</v>
      </c>
      <c r="AA110" s="37">
        <v>5.1764705882352942E-2</v>
      </c>
      <c r="AB110" s="37">
        <v>4.7058823529411761E-3</v>
      </c>
      <c r="AC110" s="35">
        <v>36.682352941176468</v>
      </c>
      <c r="AD110" s="33">
        <f t="shared" si="13"/>
        <v>0.67764705882352938</v>
      </c>
    </row>
    <row r="111" spans="1:30" x14ac:dyDescent="0.25">
      <c r="A111" s="32"/>
      <c r="B111" s="32"/>
      <c r="C111" s="32"/>
      <c r="D111" s="32">
        <v>5</v>
      </c>
      <c r="E111" s="32">
        <v>294</v>
      </c>
      <c r="F111" s="32">
        <v>1</v>
      </c>
      <c r="G111" s="32">
        <v>51</v>
      </c>
      <c r="H111" s="32">
        <v>1</v>
      </c>
      <c r="I111" s="32">
        <v>152</v>
      </c>
      <c r="J111" s="32">
        <v>88</v>
      </c>
      <c r="K111" s="32">
        <v>293</v>
      </c>
      <c r="L111" s="32">
        <v>1</v>
      </c>
      <c r="M111" s="32">
        <f t="shared" si="7"/>
        <v>294</v>
      </c>
      <c r="N111" s="32">
        <v>0</v>
      </c>
      <c r="O111" s="33">
        <f t="shared" si="8"/>
        <v>0.51700680272108845</v>
      </c>
      <c r="P111" s="33">
        <f t="shared" si="9"/>
        <v>0.17346938775510204</v>
      </c>
      <c r="Q111" s="33">
        <f t="shared" si="10"/>
        <v>0.29931972789115646</v>
      </c>
      <c r="R111" s="33">
        <f t="shared" si="11"/>
        <v>3.4013605442176869E-3</v>
      </c>
      <c r="S111" s="33">
        <f t="shared" si="12"/>
        <v>3.4013605442176869E-3</v>
      </c>
      <c r="T111" s="34">
        <v>212</v>
      </c>
      <c r="U111" s="34">
        <v>191</v>
      </c>
      <c r="V111" s="34">
        <v>20</v>
      </c>
      <c r="W111" s="34">
        <v>2</v>
      </c>
      <c r="X111" s="34">
        <v>425</v>
      </c>
      <c r="Y111" s="37">
        <v>0.49882352941176472</v>
      </c>
      <c r="Z111" s="37">
        <v>0.44941176470588234</v>
      </c>
      <c r="AA111" s="37">
        <v>4.7058823529411764E-2</v>
      </c>
      <c r="AB111" s="37">
        <v>4.7058823529411761E-3</v>
      </c>
      <c r="AC111" s="35">
        <v>25.131764705882354</v>
      </c>
      <c r="AD111" s="33">
        <f t="shared" si="13"/>
        <v>0.69176470588235295</v>
      </c>
    </row>
    <row r="112" spans="1:30" x14ac:dyDescent="0.25">
      <c r="A112" s="32">
        <v>41</v>
      </c>
      <c r="B112" s="32" t="s">
        <v>237</v>
      </c>
      <c r="C112" s="32" t="s">
        <v>238</v>
      </c>
      <c r="D112" s="32">
        <v>1</v>
      </c>
      <c r="E112" s="32">
        <v>125</v>
      </c>
      <c r="F112" s="32">
        <v>1</v>
      </c>
      <c r="G112" s="32">
        <v>1</v>
      </c>
      <c r="H112" s="32">
        <v>0</v>
      </c>
      <c r="I112" s="32">
        <v>98</v>
      </c>
      <c r="J112" s="32">
        <v>24</v>
      </c>
      <c r="K112" s="32">
        <v>124</v>
      </c>
      <c r="L112" s="32">
        <v>1</v>
      </c>
      <c r="M112" s="32">
        <f t="shared" si="7"/>
        <v>125</v>
      </c>
      <c r="N112" s="32">
        <v>0</v>
      </c>
      <c r="O112" s="33">
        <f t="shared" si="8"/>
        <v>0.78400000000000003</v>
      </c>
      <c r="P112" s="33">
        <f t="shared" si="9"/>
        <v>8.0000000000000002E-3</v>
      </c>
      <c r="Q112" s="33">
        <f t="shared" si="10"/>
        <v>0.192</v>
      </c>
      <c r="R112" s="33">
        <f t="shared" si="11"/>
        <v>8.0000000000000002E-3</v>
      </c>
      <c r="S112" s="33">
        <f t="shared" si="12"/>
        <v>0</v>
      </c>
      <c r="T112" s="34">
        <v>36</v>
      </c>
      <c r="U112" s="34">
        <v>195</v>
      </c>
      <c r="V112" s="34">
        <v>19</v>
      </c>
      <c r="W112" s="34">
        <v>0</v>
      </c>
      <c r="X112" s="34">
        <v>250</v>
      </c>
      <c r="Y112" s="37">
        <v>0.14399999999999999</v>
      </c>
      <c r="Z112" s="37">
        <v>0.78</v>
      </c>
      <c r="AA112" s="37">
        <v>7.5999999999999998E-2</v>
      </c>
      <c r="AB112" s="37">
        <v>0</v>
      </c>
      <c r="AC112" s="35">
        <v>73.563999999999993</v>
      </c>
      <c r="AD112" s="33">
        <f t="shared" si="13"/>
        <v>0.5</v>
      </c>
    </row>
    <row r="113" spans="1:30" x14ac:dyDescent="0.25">
      <c r="A113" s="32"/>
      <c r="B113" s="32"/>
      <c r="C113" s="32"/>
      <c r="D113" s="32">
        <v>2</v>
      </c>
      <c r="E113" s="32">
        <v>186</v>
      </c>
      <c r="F113" s="32">
        <v>2</v>
      </c>
      <c r="G113" s="32">
        <v>15</v>
      </c>
      <c r="H113" s="32">
        <v>1</v>
      </c>
      <c r="I113" s="32">
        <v>116</v>
      </c>
      <c r="J113" s="32">
        <v>49</v>
      </c>
      <c r="K113" s="32">
        <v>183</v>
      </c>
      <c r="L113" s="32">
        <v>3</v>
      </c>
      <c r="M113" s="32">
        <f t="shared" si="7"/>
        <v>186</v>
      </c>
      <c r="N113" s="32">
        <v>0</v>
      </c>
      <c r="O113" s="33">
        <f t="shared" si="8"/>
        <v>0.62365591397849462</v>
      </c>
      <c r="P113" s="33">
        <f t="shared" si="9"/>
        <v>8.0645161290322578E-2</v>
      </c>
      <c r="Q113" s="33">
        <f t="shared" si="10"/>
        <v>0.26344086021505375</v>
      </c>
      <c r="R113" s="33">
        <f t="shared" si="11"/>
        <v>1.0752688172043012E-2</v>
      </c>
      <c r="S113" s="33">
        <f t="shared" si="12"/>
        <v>5.3763440860215058E-3</v>
      </c>
      <c r="T113" s="34">
        <v>86</v>
      </c>
      <c r="U113" s="34">
        <v>159</v>
      </c>
      <c r="V113" s="34">
        <v>4</v>
      </c>
      <c r="W113" s="34">
        <v>1</v>
      </c>
      <c r="X113" s="34">
        <v>250</v>
      </c>
      <c r="Y113" s="37">
        <v>0.34399999999999997</v>
      </c>
      <c r="Z113" s="37">
        <v>0.63600000000000001</v>
      </c>
      <c r="AA113" s="37">
        <v>1.6E-2</v>
      </c>
      <c r="AB113" s="37">
        <v>4.0000000000000001E-3</v>
      </c>
      <c r="AC113" s="35">
        <v>51.844000000000001</v>
      </c>
      <c r="AD113" s="33">
        <f t="shared" si="13"/>
        <v>0.74399999999999999</v>
      </c>
    </row>
    <row r="114" spans="1:30" x14ac:dyDescent="0.25">
      <c r="A114" s="32"/>
      <c r="B114" s="32"/>
      <c r="C114" s="32"/>
      <c r="D114" s="32">
        <v>3</v>
      </c>
      <c r="E114" s="32">
        <v>248</v>
      </c>
      <c r="F114" s="32">
        <v>1</v>
      </c>
      <c r="G114" s="32">
        <v>27</v>
      </c>
      <c r="H114" s="32">
        <v>1</v>
      </c>
      <c r="I114" s="32">
        <v>177</v>
      </c>
      <c r="J114" s="32">
        <v>42</v>
      </c>
      <c r="K114" s="32">
        <v>248</v>
      </c>
      <c r="L114" s="32">
        <v>0</v>
      </c>
      <c r="M114" s="32">
        <f t="shared" si="7"/>
        <v>248</v>
      </c>
      <c r="N114" s="32">
        <v>0</v>
      </c>
      <c r="O114" s="33">
        <f t="shared" si="8"/>
        <v>0.71370967741935487</v>
      </c>
      <c r="P114" s="33">
        <f t="shared" si="9"/>
        <v>0.10887096774193548</v>
      </c>
      <c r="Q114" s="33">
        <f t="shared" si="10"/>
        <v>0.16935483870967741</v>
      </c>
      <c r="R114" s="33">
        <f t="shared" si="11"/>
        <v>4.0322580645161289E-3</v>
      </c>
      <c r="S114" s="33">
        <f t="shared" si="12"/>
        <v>4.0322580645161289E-3</v>
      </c>
      <c r="T114" s="34">
        <v>141</v>
      </c>
      <c r="U114" s="34">
        <v>196</v>
      </c>
      <c r="V114" s="34">
        <v>7</v>
      </c>
      <c r="W114" s="34">
        <v>0</v>
      </c>
      <c r="X114" s="34">
        <v>344</v>
      </c>
      <c r="Y114" s="37">
        <v>0.40988372093023256</v>
      </c>
      <c r="Z114" s="37">
        <v>0.56976744186046513</v>
      </c>
      <c r="AA114" s="37">
        <v>2.0348837209302327E-2</v>
      </c>
      <c r="AB114" s="37">
        <v>0</v>
      </c>
      <c r="AC114" s="35">
        <v>30.593023255813954</v>
      </c>
      <c r="AD114" s="33">
        <f t="shared" si="13"/>
        <v>0.72093023255813948</v>
      </c>
    </row>
    <row r="115" spans="1:30" x14ac:dyDescent="0.25">
      <c r="A115" s="32">
        <v>42</v>
      </c>
      <c r="B115" s="32" t="s">
        <v>239</v>
      </c>
      <c r="C115" s="32" t="s">
        <v>240</v>
      </c>
      <c r="D115" s="32">
        <v>1</v>
      </c>
      <c r="E115" s="32">
        <v>125</v>
      </c>
      <c r="F115" s="32">
        <v>1</v>
      </c>
      <c r="G115" s="32">
        <v>29</v>
      </c>
      <c r="H115" s="32">
        <v>2</v>
      </c>
      <c r="I115" s="32">
        <v>36</v>
      </c>
      <c r="J115" s="32">
        <v>56</v>
      </c>
      <c r="K115" s="32">
        <v>124</v>
      </c>
      <c r="L115" s="32">
        <v>1</v>
      </c>
      <c r="M115" s="32">
        <f t="shared" si="7"/>
        <v>125</v>
      </c>
      <c r="N115" s="32">
        <v>0</v>
      </c>
      <c r="O115" s="33">
        <f t="shared" si="8"/>
        <v>0.28799999999999998</v>
      </c>
      <c r="P115" s="33">
        <f t="shared" si="9"/>
        <v>0.23200000000000001</v>
      </c>
      <c r="Q115" s="33">
        <f t="shared" si="10"/>
        <v>0.44800000000000001</v>
      </c>
      <c r="R115" s="33">
        <f t="shared" si="11"/>
        <v>8.0000000000000002E-3</v>
      </c>
      <c r="S115" s="33">
        <f t="shared" si="12"/>
        <v>1.6E-2</v>
      </c>
      <c r="T115" s="34">
        <v>160</v>
      </c>
      <c r="U115" s="34">
        <v>26</v>
      </c>
      <c r="V115" s="34">
        <v>3</v>
      </c>
      <c r="W115" s="34">
        <v>0</v>
      </c>
      <c r="X115" s="34">
        <v>189</v>
      </c>
      <c r="Y115" s="37">
        <v>0.84656084656084651</v>
      </c>
      <c r="Z115" s="37">
        <v>0.13756613756613756</v>
      </c>
      <c r="AA115" s="37">
        <v>1.5873015873015872E-2</v>
      </c>
      <c r="AB115" s="37">
        <v>0</v>
      </c>
      <c r="AC115" s="35">
        <v>49.111111111111114</v>
      </c>
      <c r="AD115" s="33">
        <f t="shared" si="13"/>
        <v>0.66137566137566139</v>
      </c>
    </row>
    <row r="116" spans="1:30" x14ac:dyDescent="0.25">
      <c r="A116" s="32">
        <v>43</v>
      </c>
      <c r="B116" s="32" t="s">
        <v>241</v>
      </c>
      <c r="C116" s="32" t="s">
        <v>242</v>
      </c>
      <c r="D116" s="32">
        <v>1</v>
      </c>
      <c r="E116" s="32">
        <v>269</v>
      </c>
      <c r="F116" s="32">
        <v>2</v>
      </c>
      <c r="G116" s="32">
        <v>12</v>
      </c>
      <c r="H116" s="32">
        <v>6</v>
      </c>
      <c r="I116" s="32">
        <v>144</v>
      </c>
      <c r="J116" s="32">
        <v>101</v>
      </c>
      <c r="K116" s="32">
        <v>265</v>
      </c>
      <c r="L116" s="32">
        <v>4</v>
      </c>
      <c r="M116" s="32">
        <f t="shared" si="7"/>
        <v>269</v>
      </c>
      <c r="N116" s="32">
        <v>0</v>
      </c>
      <c r="O116" s="33">
        <f t="shared" si="8"/>
        <v>0.53531598513011147</v>
      </c>
      <c r="P116" s="33">
        <f t="shared" si="9"/>
        <v>4.4609665427509292E-2</v>
      </c>
      <c r="Q116" s="33">
        <f t="shared" si="10"/>
        <v>0.37546468401486988</v>
      </c>
      <c r="R116" s="33">
        <f t="shared" si="11"/>
        <v>7.4349442379182153E-3</v>
      </c>
      <c r="S116" s="33">
        <f t="shared" si="12"/>
        <v>2.2304832713754646E-2</v>
      </c>
      <c r="T116" s="34">
        <v>181</v>
      </c>
      <c r="U116" s="34">
        <v>161</v>
      </c>
      <c r="V116" s="34">
        <v>108</v>
      </c>
      <c r="W116" s="34">
        <v>0</v>
      </c>
      <c r="X116" s="34">
        <v>450</v>
      </c>
      <c r="Y116" s="37">
        <v>0.4022222222222222</v>
      </c>
      <c r="Z116" s="37">
        <v>0.35777777777777775</v>
      </c>
      <c r="AA116" s="37">
        <v>0.24</v>
      </c>
      <c r="AB116" s="37">
        <v>0</v>
      </c>
      <c r="AC116" s="35">
        <v>67.942222222222227</v>
      </c>
      <c r="AD116" s="33">
        <f t="shared" si="13"/>
        <v>0.59777777777777774</v>
      </c>
    </row>
    <row r="117" spans="1:30" x14ac:dyDescent="0.25">
      <c r="A117" s="32"/>
      <c r="B117" s="32"/>
      <c r="C117" s="32"/>
      <c r="D117" s="32">
        <v>2</v>
      </c>
      <c r="E117" s="32">
        <v>353</v>
      </c>
      <c r="F117" s="32">
        <v>6</v>
      </c>
      <c r="G117" s="32">
        <v>29</v>
      </c>
      <c r="H117" s="32">
        <v>7</v>
      </c>
      <c r="I117" s="32">
        <v>181</v>
      </c>
      <c r="J117" s="32">
        <v>127</v>
      </c>
      <c r="K117" s="32">
        <v>350</v>
      </c>
      <c r="L117" s="32">
        <v>3</v>
      </c>
      <c r="M117" s="32">
        <f t="shared" si="7"/>
        <v>353</v>
      </c>
      <c r="N117" s="32">
        <v>0</v>
      </c>
      <c r="O117" s="33">
        <f t="shared" si="8"/>
        <v>0.5127478753541076</v>
      </c>
      <c r="P117" s="33">
        <f t="shared" si="9"/>
        <v>8.2152974504249299E-2</v>
      </c>
      <c r="Q117" s="33">
        <f t="shared" si="10"/>
        <v>0.35977337110481589</v>
      </c>
      <c r="R117" s="33">
        <f t="shared" si="11"/>
        <v>1.69971671388102E-2</v>
      </c>
      <c r="S117" s="33">
        <f t="shared" si="12"/>
        <v>1.9830028328611898E-2</v>
      </c>
      <c r="T117" s="34">
        <v>209</v>
      </c>
      <c r="U117" s="34">
        <v>139</v>
      </c>
      <c r="V117" s="34">
        <v>102</v>
      </c>
      <c r="W117" s="34">
        <v>0</v>
      </c>
      <c r="X117" s="34">
        <v>450</v>
      </c>
      <c r="Y117" s="37">
        <v>0.46444444444444444</v>
      </c>
      <c r="Z117" s="37">
        <v>0.30888888888888888</v>
      </c>
      <c r="AA117" s="37">
        <v>0.22666666666666666</v>
      </c>
      <c r="AB117" s="37">
        <v>0</v>
      </c>
      <c r="AC117" s="35">
        <v>64.873333333333335</v>
      </c>
      <c r="AD117" s="33">
        <f t="shared" si="13"/>
        <v>0.7844444444444445</v>
      </c>
    </row>
    <row r="118" spans="1:30" x14ac:dyDescent="0.25">
      <c r="A118" s="32"/>
      <c r="B118" s="32"/>
      <c r="C118" s="32"/>
      <c r="D118" s="32">
        <v>3</v>
      </c>
      <c r="E118" s="32">
        <v>359</v>
      </c>
      <c r="F118" s="32">
        <v>7</v>
      </c>
      <c r="G118" s="32">
        <v>43</v>
      </c>
      <c r="H118" s="32">
        <v>2</v>
      </c>
      <c r="I118" s="32">
        <v>187</v>
      </c>
      <c r="J118" s="32">
        <v>119</v>
      </c>
      <c r="K118" s="32">
        <v>358</v>
      </c>
      <c r="L118" s="32">
        <v>1</v>
      </c>
      <c r="M118" s="32">
        <f t="shared" si="7"/>
        <v>359</v>
      </c>
      <c r="N118" s="32">
        <v>0</v>
      </c>
      <c r="O118" s="33">
        <f t="shared" si="8"/>
        <v>0.52089136490250698</v>
      </c>
      <c r="P118" s="33">
        <f t="shared" si="9"/>
        <v>0.11977715877437325</v>
      </c>
      <c r="Q118" s="33">
        <f t="shared" si="10"/>
        <v>0.33147632311977715</v>
      </c>
      <c r="R118" s="33">
        <f t="shared" si="11"/>
        <v>1.9498607242339833E-2</v>
      </c>
      <c r="S118" s="33">
        <f t="shared" si="12"/>
        <v>5.5710306406685237E-3</v>
      </c>
      <c r="T118" s="34">
        <v>212</v>
      </c>
      <c r="U118" s="34">
        <v>135</v>
      </c>
      <c r="V118" s="34">
        <v>100</v>
      </c>
      <c r="W118" s="34">
        <v>3</v>
      </c>
      <c r="X118" s="34">
        <v>450</v>
      </c>
      <c r="Y118" s="37">
        <v>0.47111111111111109</v>
      </c>
      <c r="Z118" s="37">
        <v>0.3</v>
      </c>
      <c r="AA118" s="37">
        <v>0.22222222222222221</v>
      </c>
      <c r="AB118" s="37">
        <v>6.6666666666666671E-3</v>
      </c>
      <c r="AC118" s="35">
        <v>58.306666666666665</v>
      </c>
      <c r="AD118" s="33">
        <f t="shared" si="13"/>
        <v>0.79777777777777781</v>
      </c>
    </row>
    <row r="119" spans="1:30" x14ac:dyDescent="0.25">
      <c r="A119" s="32"/>
      <c r="B119" s="32"/>
      <c r="C119" s="32"/>
      <c r="D119" s="32">
        <v>4</v>
      </c>
      <c r="E119" s="32">
        <v>517</v>
      </c>
      <c r="F119" s="32">
        <v>9</v>
      </c>
      <c r="G119" s="32">
        <v>92</v>
      </c>
      <c r="H119" s="32">
        <v>3</v>
      </c>
      <c r="I119" s="32">
        <v>266</v>
      </c>
      <c r="J119" s="32">
        <v>144</v>
      </c>
      <c r="K119" s="32">
        <v>514</v>
      </c>
      <c r="L119" s="32">
        <v>3</v>
      </c>
      <c r="M119" s="32">
        <f t="shared" si="7"/>
        <v>517</v>
      </c>
      <c r="N119" s="32">
        <v>0</v>
      </c>
      <c r="O119" s="33">
        <f t="shared" si="8"/>
        <v>0.51450676982591881</v>
      </c>
      <c r="P119" s="33">
        <f t="shared" si="9"/>
        <v>0.17794970986460348</v>
      </c>
      <c r="Q119" s="33">
        <f t="shared" si="10"/>
        <v>0.27852998065764023</v>
      </c>
      <c r="R119" s="33">
        <f t="shared" si="11"/>
        <v>1.7408123791102514E-2</v>
      </c>
      <c r="S119" s="33">
        <f t="shared" si="12"/>
        <v>5.8027079303675051E-3</v>
      </c>
      <c r="T119" s="34">
        <v>345</v>
      </c>
      <c r="U119" s="34">
        <v>231</v>
      </c>
      <c r="V119" s="34">
        <v>117</v>
      </c>
      <c r="W119" s="34">
        <v>3</v>
      </c>
      <c r="X119" s="34">
        <v>696</v>
      </c>
      <c r="Y119" s="37">
        <v>0.49568965517241381</v>
      </c>
      <c r="Z119" s="37">
        <v>0.33189655172413796</v>
      </c>
      <c r="AA119" s="37">
        <v>0.16810344827586207</v>
      </c>
      <c r="AB119" s="37">
        <v>4.3103448275862068E-3</v>
      </c>
      <c r="AC119" s="35">
        <v>50.418103448275865</v>
      </c>
      <c r="AD119" s="33">
        <f t="shared" si="13"/>
        <v>0.74281609195402298</v>
      </c>
    </row>
    <row r="120" spans="1:30" x14ac:dyDescent="0.25">
      <c r="A120" s="32"/>
      <c r="B120" s="32"/>
      <c r="C120" s="32"/>
      <c r="D120" s="32">
        <v>5</v>
      </c>
      <c r="E120" s="32">
        <v>484</v>
      </c>
      <c r="F120" s="32">
        <v>7</v>
      </c>
      <c r="G120" s="32">
        <v>82</v>
      </c>
      <c r="H120" s="32">
        <v>4</v>
      </c>
      <c r="I120" s="32">
        <v>277</v>
      </c>
      <c r="J120" s="32">
        <v>114</v>
      </c>
      <c r="K120" s="32">
        <v>484</v>
      </c>
      <c r="L120" s="32">
        <v>0</v>
      </c>
      <c r="M120" s="32">
        <f t="shared" si="7"/>
        <v>484</v>
      </c>
      <c r="N120" s="32">
        <v>0</v>
      </c>
      <c r="O120" s="33">
        <f t="shared" si="8"/>
        <v>0.5723140495867769</v>
      </c>
      <c r="P120" s="33">
        <f t="shared" si="9"/>
        <v>0.16942148760330578</v>
      </c>
      <c r="Q120" s="33">
        <f t="shared" si="10"/>
        <v>0.23553719008264462</v>
      </c>
      <c r="R120" s="33">
        <f t="shared" si="11"/>
        <v>1.4462809917355372E-2</v>
      </c>
      <c r="S120" s="33">
        <f t="shared" si="12"/>
        <v>8.2644628099173556E-3</v>
      </c>
      <c r="T120" s="34">
        <v>319</v>
      </c>
      <c r="U120" s="34">
        <v>273</v>
      </c>
      <c r="V120" s="34">
        <v>104</v>
      </c>
      <c r="W120" s="34">
        <v>1</v>
      </c>
      <c r="X120" s="34">
        <v>697</v>
      </c>
      <c r="Y120" s="37">
        <v>0.45767575322812054</v>
      </c>
      <c r="Z120" s="37">
        <v>0.39167862266857961</v>
      </c>
      <c r="AA120" s="37">
        <v>0.14921090387374461</v>
      </c>
      <c r="AB120" s="37">
        <v>1.4347202295552368E-3</v>
      </c>
      <c r="AC120" s="35">
        <v>41.278335724533719</v>
      </c>
      <c r="AD120" s="33">
        <f t="shared" si="13"/>
        <v>0.69440459110473463</v>
      </c>
    </row>
    <row r="121" spans="1:30" x14ac:dyDescent="0.25">
      <c r="A121" s="32"/>
      <c r="B121" s="32"/>
      <c r="C121" s="32"/>
      <c r="D121" s="32">
        <v>6</v>
      </c>
      <c r="E121" s="32">
        <v>478</v>
      </c>
      <c r="F121" s="32">
        <v>4</v>
      </c>
      <c r="G121" s="32">
        <v>103</v>
      </c>
      <c r="H121" s="32">
        <v>2</v>
      </c>
      <c r="I121" s="32">
        <v>249</v>
      </c>
      <c r="J121" s="32">
        <v>120</v>
      </c>
      <c r="K121" s="32">
        <v>478</v>
      </c>
      <c r="L121" s="32">
        <v>0</v>
      </c>
      <c r="M121" s="32">
        <f t="shared" si="7"/>
        <v>478</v>
      </c>
      <c r="N121" s="32">
        <v>0</v>
      </c>
      <c r="O121" s="33">
        <f t="shared" si="8"/>
        <v>0.52092050209205021</v>
      </c>
      <c r="P121" s="33">
        <f t="shared" si="9"/>
        <v>0.21548117154811716</v>
      </c>
      <c r="Q121" s="33">
        <f t="shared" si="10"/>
        <v>0.2510460251046025</v>
      </c>
      <c r="R121" s="33">
        <f t="shared" si="11"/>
        <v>8.368200836820083E-3</v>
      </c>
      <c r="S121" s="33">
        <f t="shared" si="12"/>
        <v>4.1841004184100415E-3</v>
      </c>
      <c r="T121" s="34">
        <v>383</v>
      </c>
      <c r="U121" s="34">
        <v>218</v>
      </c>
      <c r="V121" s="34">
        <v>94</v>
      </c>
      <c r="W121" s="34">
        <v>2</v>
      </c>
      <c r="X121" s="34">
        <v>697</v>
      </c>
      <c r="Y121" s="37">
        <v>0.54949784791965561</v>
      </c>
      <c r="Z121" s="37">
        <v>0.31276901004304158</v>
      </c>
      <c r="AA121" s="37">
        <v>0.13486370157819225</v>
      </c>
      <c r="AB121" s="37">
        <v>2.8694404591104736E-3</v>
      </c>
      <c r="AC121" s="35">
        <v>34.836441893830703</v>
      </c>
      <c r="AD121" s="33">
        <f t="shared" si="13"/>
        <v>0.68579626972740315</v>
      </c>
    </row>
    <row r="122" spans="1:30" x14ac:dyDescent="0.25">
      <c r="A122" s="32"/>
      <c r="B122" s="32"/>
      <c r="C122" s="32"/>
      <c r="D122" s="32">
        <v>7</v>
      </c>
      <c r="E122" s="32">
        <v>485</v>
      </c>
      <c r="F122" s="32">
        <v>5</v>
      </c>
      <c r="G122" s="32">
        <v>102</v>
      </c>
      <c r="H122" s="32">
        <v>1</v>
      </c>
      <c r="I122" s="32">
        <v>230</v>
      </c>
      <c r="J122" s="32">
        <v>147</v>
      </c>
      <c r="K122" s="32">
        <v>485</v>
      </c>
      <c r="L122" s="32">
        <v>0</v>
      </c>
      <c r="M122" s="32">
        <f t="shared" si="7"/>
        <v>485</v>
      </c>
      <c r="N122" s="32">
        <v>0</v>
      </c>
      <c r="O122" s="33">
        <f t="shared" si="8"/>
        <v>0.47422680412371132</v>
      </c>
      <c r="P122" s="33">
        <f t="shared" si="9"/>
        <v>0.21030927835051547</v>
      </c>
      <c r="Q122" s="33">
        <f t="shared" si="10"/>
        <v>0.30309278350515462</v>
      </c>
      <c r="R122" s="33">
        <f t="shared" si="11"/>
        <v>1.0309278350515464E-2</v>
      </c>
      <c r="S122" s="33">
        <f t="shared" si="12"/>
        <v>2.0618556701030928E-3</v>
      </c>
      <c r="T122" s="34">
        <v>395</v>
      </c>
      <c r="U122" s="34">
        <v>194</v>
      </c>
      <c r="V122" s="34">
        <v>106</v>
      </c>
      <c r="W122" s="34">
        <v>2</v>
      </c>
      <c r="X122" s="34">
        <v>697</v>
      </c>
      <c r="Y122" s="37">
        <v>0.56671449067431856</v>
      </c>
      <c r="Z122" s="37">
        <v>0.27833572453371591</v>
      </c>
      <c r="AA122" s="37">
        <v>0.15208034433285508</v>
      </c>
      <c r="AB122" s="37">
        <v>2.8694404591104736E-3</v>
      </c>
      <c r="AC122" s="35">
        <v>29.91535150645624</v>
      </c>
      <c r="AD122" s="33">
        <f t="shared" si="13"/>
        <v>0.69583931133428978</v>
      </c>
    </row>
    <row r="123" spans="1:30" x14ac:dyDescent="0.25">
      <c r="A123" s="32"/>
      <c r="B123" s="32"/>
      <c r="C123" s="32"/>
      <c r="D123" s="32">
        <v>8</v>
      </c>
      <c r="E123" s="32">
        <v>525</v>
      </c>
      <c r="F123" s="32">
        <v>5</v>
      </c>
      <c r="G123" s="32">
        <v>110</v>
      </c>
      <c r="H123" s="32">
        <v>1</v>
      </c>
      <c r="I123" s="32">
        <v>259</v>
      </c>
      <c r="J123" s="32">
        <v>147</v>
      </c>
      <c r="K123" s="32">
        <v>522</v>
      </c>
      <c r="L123" s="32">
        <v>3</v>
      </c>
      <c r="M123" s="32">
        <f t="shared" si="7"/>
        <v>525</v>
      </c>
      <c r="N123" s="32">
        <v>0</v>
      </c>
      <c r="O123" s="33">
        <f t="shared" si="8"/>
        <v>0.49333333333333335</v>
      </c>
      <c r="P123" s="33">
        <f t="shared" si="9"/>
        <v>0.20952380952380953</v>
      </c>
      <c r="Q123" s="33">
        <f t="shared" si="10"/>
        <v>0.28000000000000003</v>
      </c>
      <c r="R123" s="33">
        <f t="shared" si="11"/>
        <v>9.5238095238095247E-3</v>
      </c>
      <c r="S123" s="33">
        <f t="shared" si="12"/>
        <v>1.9047619047619048E-3</v>
      </c>
      <c r="T123" s="34">
        <v>453</v>
      </c>
      <c r="U123" s="34">
        <v>157</v>
      </c>
      <c r="V123" s="34">
        <v>86</v>
      </c>
      <c r="W123" s="34">
        <v>1</v>
      </c>
      <c r="X123" s="34">
        <v>697</v>
      </c>
      <c r="Y123" s="37">
        <v>0.64992826398852221</v>
      </c>
      <c r="Z123" s="37">
        <v>0.22525107604017217</v>
      </c>
      <c r="AA123" s="37">
        <v>0.12338593974175036</v>
      </c>
      <c r="AB123" s="37">
        <v>1.4347202295552368E-3</v>
      </c>
      <c r="AC123" s="35">
        <v>25.493543758967</v>
      </c>
      <c r="AD123" s="33">
        <f t="shared" si="13"/>
        <v>0.75322812051649923</v>
      </c>
    </row>
    <row r="124" spans="1:30" x14ac:dyDescent="0.25">
      <c r="A124" s="32"/>
      <c r="B124" s="32"/>
      <c r="C124" s="32"/>
      <c r="D124" s="32">
        <v>9</v>
      </c>
      <c r="E124" s="32">
        <v>573</v>
      </c>
      <c r="F124" s="32">
        <v>3</v>
      </c>
      <c r="G124" s="32">
        <v>148</v>
      </c>
      <c r="H124" s="32">
        <v>2</v>
      </c>
      <c r="I124" s="32">
        <v>243</v>
      </c>
      <c r="J124" s="32">
        <v>175</v>
      </c>
      <c r="K124" s="32">
        <v>571</v>
      </c>
      <c r="L124" s="32">
        <v>2</v>
      </c>
      <c r="M124" s="32">
        <f t="shared" si="7"/>
        <v>573</v>
      </c>
      <c r="N124" s="32">
        <v>0</v>
      </c>
      <c r="O124" s="33">
        <f t="shared" si="8"/>
        <v>0.42408376963350786</v>
      </c>
      <c r="P124" s="33">
        <f t="shared" si="9"/>
        <v>0.2582897033158813</v>
      </c>
      <c r="Q124" s="33">
        <f t="shared" si="10"/>
        <v>0.30541012216404889</v>
      </c>
      <c r="R124" s="33">
        <f t="shared" si="11"/>
        <v>5.235602094240838E-3</v>
      </c>
      <c r="S124" s="33">
        <f t="shared" si="12"/>
        <v>3.4904013961605585E-3</v>
      </c>
      <c r="T124" s="34">
        <v>494</v>
      </c>
      <c r="U124" s="34">
        <v>137</v>
      </c>
      <c r="V124" s="34">
        <v>66</v>
      </c>
      <c r="W124" s="34">
        <v>0</v>
      </c>
      <c r="X124" s="34">
        <v>697</v>
      </c>
      <c r="Y124" s="37">
        <v>0.70875179340028693</v>
      </c>
      <c r="Z124" s="37">
        <v>0.19655667144906744</v>
      </c>
      <c r="AA124" s="37">
        <v>9.4691535150645628E-2</v>
      </c>
      <c r="AB124" s="37">
        <v>0</v>
      </c>
      <c r="AC124" s="35">
        <v>20.638450502152079</v>
      </c>
      <c r="AD124" s="33">
        <f t="shared" si="13"/>
        <v>0.82209469153515069</v>
      </c>
    </row>
    <row r="125" spans="1:30" x14ac:dyDescent="0.25">
      <c r="A125" s="32">
        <v>44</v>
      </c>
      <c r="B125" s="32" t="s">
        <v>243</v>
      </c>
      <c r="C125" s="32" t="s">
        <v>244</v>
      </c>
      <c r="D125" s="32">
        <v>1</v>
      </c>
      <c r="E125" s="32">
        <v>119</v>
      </c>
      <c r="F125" s="32">
        <v>0</v>
      </c>
      <c r="G125" s="32">
        <v>0</v>
      </c>
      <c r="H125" s="32">
        <v>4</v>
      </c>
      <c r="I125" s="32">
        <v>105</v>
      </c>
      <c r="J125" s="32">
        <v>10</v>
      </c>
      <c r="K125" s="32">
        <v>119</v>
      </c>
      <c r="L125" s="32">
        <v>0</v>
      </c>
      <c r="M125" s="32">
        <f t="shared" si="7"/>
        <v>119</v>
      </c>
      <c r="N125" s="32">
        <v>0</v>
      </c>
      <c r="O125" s="33">
        <f t="shared" si="8"/>
        <v>0.88235294117647056</v>
      </c>
      <c r="P125" s="33">
        <f t="shared" si="9"/>
        <v>0</v>
      </c>
      <c r="Q125" s="33">
        <f t="shared" si="10"/>
        <v>8.4033613445378158E-2</v>
      </c>
      <c r="R125" s="33">
        <f t="shared" si="11"/>
        <v>0</v>
      </c>
      <c r="S125" s="33">
        <f t="shared" si="12"/>
        <v>3.3613445378151259E-2</v>
      </c>
      <c r="T125" s="34">
        <v>1</v>
      </c>
      <c r="U125" s="34">
        <v>187</v>
      </c>
      <c r="V125" s="34">
        <v>10</v>
      </c>
      <c r="W125" s="34">
        <v>2</v>
      </c>
      <c r="X125" s="34">
        <v>200</v>
      </c>
      <c r="Y125" s="37">
        <v>5.0000000000000001E-3</v>
      </c>
      <c r="Z125" s="37">
        <v>0.93500000000000005</v>
      </c>
      <c r="AA125" s="37">
        <v>0.05</v>
      </c>
      <c r="AB125" s="37">
        <v>0.01</v>
      </c>
      <c r="AC125" s="35">
        <v>74.534999999999997</v>
      </c>
      <c r="AD125" s="33">
        <f t="shared" si="13"/>
        <v>0.59499999999999997</v>
      </c>
    </row>
    <row r="126" spans="1:30" x14ac:dyDescent="0.25">
      <c r="A126" s="32"/>
      <c r="B126" s="32"/>
      <c r="C126" s="32"/>
      <c r="D126" s="32">
        <v>2</v>
      </c>
      <c r="E126" s="32">
        <v>158</v>
      </c>
      <c r="F126" s="32">
        <v>0</v>
      </c>
      <c r="G126" s="32">
        <v>0</v>
      </c>
      <c r="H126" s="32">
        <v>0</v>
      </c>
      <c r="I126" s="32">
        <v>152</v>
      </c>
      <c r="J126" s="32">
        <v>6</v>
      </c>
      <c r="K126" s="32">
        <v>158</v>
      </c>
      <c r="L126" s="32">
        <v>0</v>
      </c>
      <c r="M126" s="32">
        <f t="shared" si="7"/>
        <v>158</v>
      </c>
      <c r="N126" s="32">
        <v>0</v>
      </c>
      <c r="O126" s="33">
        <f t="shared" si="8"/>
        <v>0.96202531645569622</v>
      </c>
      <c r="P126" s="33">
        <f t="shared" si="9"/>
        <v>0</v>
      </c>
      <c r="Q126" s="33">
        <f t="shared" si="10"/>
        <v>3.7974683544303799E-2</v>
      </c>
      <c r="R126" s="33">
        <f t="shared" si="11"/>
        <v>0</v>
      </c>
      <c r="S126" s="33">
        <f t="shared" si="12"/>
        <v>0</v>
      </c>
      <c r="T126" s="34">
        <v>2</v>
      </c>
      <c r="U126" s="34">
        <v>217</v>
      </c>
      <c r="V126" s="34">
        <v>6</v>
      </c>
      <c r="W126" s="34">
        <v>1</v>
      </c>
      <c r="X126" s="34">
        <v>226</v>
      </c>
      <c r="Y126" s="37">
        <v>8.8495575221238937E-3</v>
      </c>
      <c r="Z126" s="37">
        <v>0.96017699115044253</v>
      </c>
      <c r="AA126" s="37">
        <v>2.6548672566371681E-2</v>
      </c>
      <c r="AB126" s="37">
        <v>4.4247787610619468E-3</v>
      </c>
      <c r="AC126" s="35">
        <v>48.084070796460175</v>
      </c>
      <c r="AD126" s="33">
        <f t="shared" si="13"/>
        <v>0.69911504424778759</v>
      </c>
    </row>
    <row r="127" spans="1:30" x14ac:dyDescent="0.25">
      <c r="A127" s="32">
        <v>45</v>
      </c>
      <c r="B127" s="32" t="s">
        <v>245</v>
      </c>
      <c r="C127" s="32" t="s">
        <v>246</v>
      </c>
      <c r="D127" s="32">
        <v>1</v>
      </c>
      <c r="E127" s="32">
        <v>67</v>
      </c>
      <c r="F127" s="32">
        <v>3</v>
      </c>
      <c r="G127" s="32">
        <v>16</v>
      </c>
      <c r="H127" s="32">
        <v>1</v>
      </c>
      <c r="I127" s="32">
        <v>18</v>
      </c>
      <c r="J127" s="32">
        <v>28</v>
      </c>
      <c r="K127" s="32">
        <v>66</v>
      </c>
      <c r="L127" s="32">
        <v>1</v>
      </c>
      <c r="M127" s="32">
        <f t="shared" si="7"/>
        <v>67</v>
      </c>
      <c r="N127" s="32">
        <v>0</v>
      </c>
      <c r="O127" s="33">
        <f t="shared" si="8"/>
        <v>0.26865671641791045</v>
      </c>
      <c r="P127" s="33">
        <f t="shared" si="9"/>
        <v>0.23880597014925373</v>
      </c>
      <c r="Q127" s="33">
        <f t="shared" si="10"/>
        <v>0.41791044776119401</v>
      </c>
      <c r="R127" s="33">
        <f t="shared" si="11"/>
        <v>4.4776119402985072E-2</v>
      </c>
      <c r="S127" s="33">
        <f t="shared" si="12"/>
        <v>1.4925373134328358E-2</v>
      </c>
      <c r="T127" s="34">
        <v>74</v>
      </c>
      <c r="U127" s="34">
        <v>13</v>
      </c>
      <c r="V127" s="34">
        <v>22</v>
      </c>
      <c r="W127" s="34">
        <v>0</v>
      </c>
      <c r="X127" s="34">
        <v>109</v>
      </c>
      <c r="Y127" s="37">
        <v>0.67889908256880738</v>
      </c>
      <c r="Z127" s="37">
        <v>0.11926605504587157</v>
      </c>
      <c r="AA127" s="37">
        <v>0.20183486238532111</v>
      </c>
      <c r="AB127" s="37">
        <v>0</v>
      </c>
      <c r="AC127" s="35">
        <v>62</v>
      </c>
      <c r="AD127" s="33">
        <f t="shared" si="13"/>
        <v>0.61467889908256879</v>
      </c>
    </row>
    <row r="128" spans="1:30" x14ac:dyDescent="0.25">
      <c r="A128" s="32">
        <v>46</v>
      </c>
      <c r="B128" s="32" t="s">
        <v>247</v>
      </c>
      <c r="C128" s="32" t="s">
        <v>248</v>
      </c>
      <c r="D128" s="32">
        <v>1</v>
      </c>
      <c r="E128" s="32">
        <v>145</v>
      </c>
      <c r="F128" s="32">
        <v>0</v>
      </c>
      <c r="G128" s="32">
        <v>9</v>
      </c>
      <c r="H128" s="32">
        <v>2</v>
      </c>
      <c r="I128" s="32">
        <v>65</v>
      </c>
      <c r="J128" s="32">
        <v>65</v>
      </c>
      <c r="K128" s="32">
        <v>141</v>
      </c>
      <c r="L128" s="32">
        <v>4</v>
      </c>
      <c r="M128" s="32">
        <f t="shared" si="7"/>
        <v>145</v>
      </c>
      <c r="N128" s="32">
        <v>0</v>
      </c>
      <c r="O128" s="33">
        <f t="shared" si="8"/>
        <v>0.44827586206896552</v>
      </c>
      <c r="P128" s="33">
        <f t="shared" si="9"/>
        <v>6.2068965517241378E-2</v>
      </c>
      <c r="Q128" s="33">
        <f t="shared" si="10"/>
        <v>0.44827586206896552</v>
      </c>
      <c r="R128" s="33">
        <f t="shared" si="11"/>
        <v>0</v>
      </c>
      <c r="S128" s="33">
        <f t="shared" si="12"/>
        <v>1.3793103448275862E-2</v>
      </c>
      <c r="T128" s="34">
        <v>91</v>
      </c>
      <c r="U128" s="34">
        <v>92</v>
      </c>
      <c r="V128" s="34">
        <v>16</v>
      </c>
      <c r="W128" s="34">
        <v>1</v>
      </c>
      <c r="X128" s="34">
        <v>200</v>
      </c>
      <c r="Y128" s="37">
        <v>0.45500000000000002</v>
      </c>
      <c r="Z128" s="37">
        <v>0.46</v>
      </c>
      <c r="AA128" s="37">
        <v>0.08</v>
      </c>
      <c r="AB128" s="37">
        <v>5.0000000000000001E-3</v>
      </c>
      <c r="AC128" s="35">
        <v>69.454999999999998</v>
      </c>
      <c r="AD128" s="33">
        <f t="shared" si="13"/>
        <v>0.72499999999999998</v>
      </c>
    </row>
    <row r="129" spans="1:30" x14ac:dyDescent="0.25">
      <c r="A129" s="32"/>
      <c r="B129" s="32"/>
      <c r="C129" s="32"/>
      <c r="D129" s="32">
        <v>2</v>
      </c>
      <c r="E129" s="32">
        <v>160</v>
      </c>
      <c r="F129" s="32">
        <v>1</v>
      </c>
      <c r="G129" s="32">
        <v>14</v>
      </c>
      <c r="H129" s="32">
        <v>2</v>
      </c>
      <c r="I129" s="32">
        <v>75</v>
      </c>
      <c r="J129" s="32">
        <v>67</v>
      </c>
      <c r="K129" s="32">
        <v>159</v>
      </c>
      <c r="L129" s="32">
        <v>1</v>
      </c>
      <c r="M129" s="32">
        <f t="shared" si="7"/>
        <v>160</v>
      </c>
      <c r="N129" s="32">
        <v>0</v>
      </c>
      <c r="O129" s="33">
        <f t="shared" si="8"/>
        <v>0.46875</v>
      </c>
      <c r="P129" s="33">
        <f t="shared" si="9"/>
        <v>8.7499999999999994E-2</v>
      </c>
      <c r="Q129" s="33">
        <f t="shared" si="10"/>
        <v>0.41875000000000001</v>
      </c>
      <c r="R129" s="33">
        <f t="shared" si="11"/>
        <v>6.2500000000000003E-3</v>
      </c>
      <c r="S129" s="33">
        <f t="shared" si="12"/>
        <v>1.2500000000000001E-2</v>
      </c>
      <c r="T129" s="34">
        <v>106</v>
      </c>
      <c r="U129" s="34">
        <v>67</v>
      </c>
      <c r="V129" s="34">
        <v>26</v>
      </c>
      <c r="W129" s="34">
        <v>1</v>
      </c>
      <c r="X129" s="34">
        <v>200</v>
      </c>
      <c r="Y129" s="37">
        <v>0.53</v>
      </c>
      <c r="Z129" s="37">
        <v>0.33500000000000002</v>
      </c>
      <c r="AA129" s="37">
        <v>0.13</v>
      </c>
      <c r="AB129" s="37">
        <v>5.0000000000000001E-3</v>
      </c>
      <c r="AC129" s="35">
        <v>59.75</v>
      </c>
      <c r="AD129" s="33">
        <f t="shared" si="13"/>
        <v>0.8</v>
      </c>
    </row>
    <row r="130" spans="1:30" x14ac:dyDescent="0.25">
      <c r="A130" s="32"/>
      <c r="B130" s="32"/>
      <c r="C130" s="32"/>
      <c r="D130" s="32">
        <v>3</v>
      </c>
      <c r="E130" s="32">
        <v>274</v>
      </c>
      <c r="F130" s="32">
        <v>1</v>
      </c>
      <c r="G130" s="32">
        <v>61</v>
      </c>
      <c r="H130" s="32">
        <v>1</v>
      </c>
      <c r="I130" s="32">
        <v>111</v>
      </c>
      <c r="J130" s="32">
        <v>99</v>
      </c>
      <c r="K130" s="32">
        <v>273</v>
      </c>
      <c r="L130" s="32">
        <v>1</v>
      </c>
      <c r="M130" s="32">
        <f t="shared" si="7"/>
        <v>274</v>
      </c>
      <c r="N130" s="32">
        <v>0</v>
      </c>
      <c r="O130" s="33">
        <f t="shared" si="8"/>
        <v>0.4051094890510949</v>
      </c>
      <c r="P130" s="33">
        <f t="shared" si="9"/>
        <v>0.22262773722627738</v>
      </c>
      <c r="Q130" s="33">
        <f t="shared" si="10"/>
        <v>0.36131386861313869</v>
      </c>
      <c r="R130" s="33">
        <f t="shared" si="11"/>
        <v>3.6496350364963502E-3</v>
      </c>
      <c r="S130" s="33">
        <f t="shared" si="12"/>
        <v>3.6496350364963502E-3</v>
      </c>
      <c r="T130" s="34">
        <v>257</v>
      </c>
      <c r="U130" s="34">
        <v>84</v>
      </c>
      <c r="V130" s="34">
        <v>47</v>
      </c>
      <c r="W130" s="34">
        <v>3</v>
      </c>
      <c r="X130" s="34">
        <v>391</v>
      </c>
      <c r="Y130" s="37">
        <v>0.65728900255754474</v>
      </c>
      <c r="Z130" s="37">
        <v>0.21483375959079284</v>
      </c>
      <c r="AA130" s="37">
        <v>0.12020460358056266</v>
      </c>
      <c r="AB130" s="37">
        <v>7.6726342710997444E-3</v>
      </c>
      <c r="AC130" s="35">
        <v>40.736572890025577</v>
      </c>
      <c r="AD130" s="33">
        <f t="shared" si="13"/>
        <v>0.70076726342710993</v>
      </c>
    </row>
    <row r="131" spans="1:30" x14ac:dyDescent="0.25">
      <c r="A131" s="32"/>
      <c r="B131" s="32"/>
      <c r="C131" s="32"/>
      <c r="D131" s="32">
        <v>4</v>
      </c>
      <c r="E131" s="32">
        <v>299</v>
      </c>
      <c r="F131" s="32">
        <v>1</v>
      </c>
      <c r="G131" s="32">
        <v>102</v>
      </c>
      <c r="H131" s="32">
        <v>2</v>
      </c>
      <c r="I131" s="32">
        <v>78</v>
      </c>
      <c r="J131" s="32">
        <v>116</v>
      </c>
      <c r="K131" s="32">
        <v>299</v>
      </c>
      <c r="L131" s="32">
        <v>0</v>
      </c>
      <c r="M131" s="32">
        <f t="shared" ref="M131:M174" si="14">L131+K131</f>
        <v>299</v>
      </c>
      <c r="N131" s="32">
        <v>0</v>
      </c>
      <c r="O131" s="33">
        <f t="shared" ref="O131:O174" si="15">I131/M131</f>
        <v>0.2608695652173913</v>
      </c>
      <c r="P131" s="33">
        <f t="shared" ref="P131:P174" si="16">G131/M131</f>
        <v>0.34113712374581939</v>
      </c>
      <c r="Q131" s="33">
        <f t="shared" ref="Q131:Q174" si="17">J131/M131</f>
        <v>0.38795986622073581</v>
      </c>
      <c r="R131" s="33">
        <f t="shared" ref="R131:R174" si="18">F131/M131</f>
        <v>3.3444816053511705E-3</v>
      </c>
      <c r="S131" s="33">
        <f t="shared" ref="S131:S174" si="19">H131/M131</f>
        <v>6.688963210702341E-3</v>
      </c>
      <c r="T131" s="34">
        <v>345</v>
      </c>
      <c r="U131" s="34">
        <v>23</v>
      </c>
      <c r="V131" s="34">
        <v>24</v>
      </c>
      <c r="W131" s="34">
        <v>0</v>
      </c>
      <c r="X131" s="34">
        <v>392</v>
      </c>
      <c r="Y131" s="37">
        <v>0.88010204081632648</v>
      </c>
      <c r="Z131" s="37">
        <v>5.8673469387755105E-2</v>
      </c>
      <c r="AA131" s="37">
        <v>6.1224489795918366E-2</v>
      </c>
      <c r="AB131" s="37">
        <v>0</v>
      </c>
      <c r="AC131" s="35">
        <v>23.841836734693878</v>
      </c>
      <c r="AD131" s="33">
        <f t="shared" ref="AD131:AD176" si="20">M131/X131</f>
        <v>0.76275510204081631</v>
      </c>
    </row>
    <row r="132" spans="1:30" x14ac:dyDescent="0.25">
      <c r="A132" s="32">
        <v>47</v>
      </c>
      <c r="B132" s="32" t="s">
        <v>249</v>
      </c>
      <c r="C132" s="32" t="s">
        <v>250</v>
      </c>
      <c r="D132" s="32">
        <v>1</v>
      </c>
      <c r="E132" s="32">
        <v>254</v>
      </c>
      <c r="F132" s="32">
        <v>0</v>
      </c>
      <c r="G132" s="32">
        <v>24</v>
      </c>
      <c r="H132" s="32">
        <v>1</v>
      </c>
      <c r="I132" s="32">
        <v>62</v>
      </c>
      <c r="J132" s="32">
        <v>166</v>
      </c>
      <c r="K132" s="32">
        <v>253</v>
      </c>
      <c r="L132" s="32">
        <v>1</v>
      </c>
      <c r="M132" s="32">
        <f t="shared" si="14"/>
        <v>254</v>
      </c>
      <c r="N132" s="32">
        <v>0</v>
      </c>
      <c r="O132" s="33">
        <f t="shared" si="15"/>
        <v>0.24409448818897639</v>
      </c>
      <c r="P132" s="33">
        <f t="shared" si="16"/>
        <v>9.4488188976377951E-2</v>
      </c>
      <c r="Q132" s="33">
        <f t="shared" si="17"/>
        <v>0.65354330708661412</v>
      </c>
      <c r="R132" s="33">
        <f t="shared" si="18"/>
        <v>0</v>
      </c>
      <c r="S132" s="33">
        <f t="shared" si="19"/>
        <v>3.937007874015748E-3</v>
      </c>
      <c r="T132" s="34">
        <v>292</v>
      </c>
      <c r="U132" s="34">
        <v>32</v>
      </c>
      <c r="V132" s="34">
        <v>25</v>
      </c>
      <c r="W132" s="34">
        <v>1</v>
      </c>
      <c r="X132" s="34">
        <v>350</v>
      </c>
      <c r="Y132" s="37">
        <v>0.8342857142857143</v>
      </c>
      <c r="Z132" s="37">
        <v>9.1428571428571428E-2</v>
      </c>
      <c r="AA132" s="37">
        <v>7.1428571428571425E-2</v>
      </c>
      <c r="AB132" s="37">
        <v>2.8571428571428571E-3</v>
      </c>
      <c r="AC132" s="35">
        <v>68.15428571428572</v>
      </c>
      <c r="AD132" s="33">
        <f t="shared" si="20"/>
        <v>0.72571428571428576</v>
      </c>
    </row>
    <row r="133" spans="1:30" x14ac:dyDescent="0.25">
      <c r="A133" s="32"/>
      <c r="B133" s="32"/>
      <c r="C133" s="32"/>
      <c r="D133" s="32">
        <v>2</v>
      </c>
      <c r="E133" s="32">
        <v>302</v>
      </c>
      <c r="F133" s="32">
        <v>5</v>
      </c>
      <c r="G133" s="32">
        <v>21</v>
      </c>
      <c r="H133" s="32">
        <v>3</v>
      </c>
      <c r="I133" s="32">
        <v>101</v>
      </c>
      <c r="J133" s="32">
        <v>169</v>
      </c>
      <c r="K133" s="32">
        <v>299</v>
      </c>
      <c r="L133" s="32">
        <v>3</v>
      </c>
      <c r="M133" s="32">
        <f t="shared" si="14"/>
        <v>302</v>
      </c>
      <c r="N133" s="32">
        <v>0</v>
      </c>
      <c r="O133" s="33">
        <f t="shared" si="15"/>
        <v>0.33443708609271522</v>
      </c>
      <c r="P133" s="33">
        <f t="shared" si="16"/>
        <v>6.9536423841059597E-2</v>
      </c>
      <c r="Q133" s="33">
        <f t="shared" si="17"/>
        <v>0.55960264900662249</v>
      </c>
      <c r="R133" s="33">
        <f t="shared" si="18"/>
        <v>1.6556291390728478E-2</v>
      </c>
      <c r="S133" s="33">
        <f t="shared" si="19"/>
        <v>9.9337748344370865E-3</v>
      </c>
      <c r="T133" s="34">
        <v>268</v>
      </c>
      <c r="U133" s="34">
        <v>45</v>
      </c>
      <c r="V133" s="34">
        <v>36</v>
      </c>
      <c r="W133" s="34">
        <v>1</v>
      </c>
      <c r="X133" s="34">
        <v>350</v>
      </c>
      <c r="Y133" s="37">
        <v>0.76571428571428568</v>
      </c>
      <c r="Z133" s="37">
        <v>0.12857142857142856</v>
      </c>
      <c r="AA133" s="37">
        <v>0.10285714285714286</v>
      </c>
      <c r="AB133" s="37">
        <v>2.8571428571428571E-3</v>
      </c>
      <c r="AC133" s="35">
        <v>62.702857142857141</v>
      </c>
      <c r="AD133" s="33">
        <f t="shared" si="20"/>
        <v>0.86285714285714288</v>
      </c>
    </row>
    <row r="134" spans="1:30" x14ac:dyDescent="0.25">
      <c r="A134" s="32"/>
      <c r="B134" s="32"/>
      <c r="C134" s="32"/>
      <c r="D134" s="32">
        <v>3</v>
      </c>
      <c r="E134" s="32">
        <v>461</v>
      </c>
      <c r="F134" s="32">
        <v>4</v>
      </c>
      <c r="G134" s="32">
        <v>64</v>
      </c>
      <c r="H134" s="32">
        <v>4</v>
      </c>
      <c r="I134" s="32">
        <v>192</v>
      </c>
      <c r="J134" s="32">
        <v>195</v>
      </c>
      <c r="K134" s="32">
        <v>459</v>
      </c>
      <c r="L134" s="32">
        <v>2</v>
      </c>
      <c r="M134" s="32">
        <f t="shared" si="14"/>
        <v>461</v>
      </c>
      <c r="N134" s="32">
        <v>0</v>
      </c>
      <c r="O134" s="33">
        <f t="shared" si="15"/>
        <v>0.41648590021691972</v>
      </c>
      <c r="P134" s="33">
        <f t="shared" si="16"/>
        <v>0.13882863340563992</v>
      </c>
      <c r="Q134" s="33">
        <f t="shared" si="17"/>
        <v>0.42299349240780909</v>
      </c>
      <c r="R134" s="33">
        <f t="shared" si="18"/>
        <v>8.6767895878524948E-3</v>
      </c>
      <c r="S134" s="33">
        <f t="shared" si="19"/>
        <v>8.6767895878524948E-3</v>
      </c>
      <c r="T134" s="34">
        <v>394</v>
      </c>
      <c r="U134" s="34">
        <v>123</v>
      </c>
      <c r="V134" s="34">
        <v>59</v>
      </c>
      <c r="W134" s="34">
        <v>3</v>
      </c>
      <c r="X134" s="34">
        <v>579</v>
      </c>
      <c r="Y134" s="37">
        <v>0.6804835924006909</v>
      </c>
      <c r="Z134" s="37">
        <v>0.21243523316062177</v>
      </c>
      <c r="AA134" s="37">
        <v>0.10189982728842832</v>
      </c>
      <c r="AB134" s="37">
        <v>5.1813471502590676E-3</v>
      </c>
      <c r="AC134" s="35">
        <v>50.984455958549226</v>
      </c>
      <c r="AD134" s="33">
        <f t="shared" si="20"/>
        <v>0.79620034542314333</v>
      </c>
    </row>
    <row r="135" spans="1:30" x14ac:dyDescent="0.25">
      <c r="A135" s="32"/>
      <c r="B135" s="32"/>
      <c r="C135" s="32"/>
      <c r="D135" s="32">
        <v>4</v>
      </c>
      <c r="E135" s="32">
        <v>420</v>
      </c>
      <c r="F135" s="32">
        <v>3</v>
      </c>
      <c r="G135" s="32">
        <v>90</v>
      </c>
      <c r="H135" s="32">
        <v>3</v>
      </c>
      <c r="I135" s="32">
        <v>157</v>
      </c>
      <c r="J135" s="32">
        <v>166</v>
      </c>
      <c r="K135" s="32">
        <v>419</v>
      </c>
      <c r="L135" s="32">
        <v>1</v>
      </c>
      <c r="M135" s="32">
        <f t="shared" si="14"/>
        <v>420</v>
      </c>
      <c r="N135" s="32">
        <v>0</v>
      </c>
      <c r="O135" s="33">
        <f t="shared" si="15"/>
        <v>0.37380952380952381</v>
      </c>
      <c r="P135" s="33">
        <f t="shared" si="16"/>
        <v>0.21428571428571427</v>
      </c>
      <c r="Q135" s="33">
        <f t="shared" si="17"/>
        <v>0.39523809523809522</v>
      </c>
      <c r="R135" s="33">
        <f t="shared" si="18"/>
        <v>7.1428571428571426E-3</v>
      </c>
      <c r="S135" s="33">
        <f t="shared" si="19"/>
        <v>7.1428571428571426E-3</v>
      </c>
      <c r="T135" s="34">
        <v>415</v>
      </c>
      <c r="U135" s="34">
        <v>119</v>
      </c>
      <c r="V135" s="34">
        <v>43</v>
      </c>
      <c r="W135" s="34">
        <v>2</v>
      </c>
      <c r="X135" s="34">
        <v>579</v>
      </c>
      <c r="Y135" s="37">
        <v>0.71675302245250427</v>
      </c>
      <c r="Z135" s="37">
        <v>0.20552677029360966</v>
      </c>
      <c r="AA135" s="37">
        <v>7.426597582037997E-2</v>
      </c>
      <c r="AB135" s="37">
        <v>3.4542314335060447E-3</v>
      </c>
      <c r="AC135" s="35">
        <v>39.737478411053537</v>
      </c>
      <c r="AD135" s="33">
        <f t="shared" si="20"/>
        <v>0.72538860103626945</v>
      </c>
    </row>
    <row r="136" spans="1:30" x14ac:dyDescent="0.25">
      <c r="A136" s="32"/>
      <c r="B136" s="32"/>
      <c r="C136" s="32"/>
      <c r="D136" s="32">
        <v>5</v>
      </c>
      <c r="E136" s="32">
        <v>425</v>
      </c>
      <c r="F136" s="32">
        <v>0</v>
      </c>
      <c r="G136" s="32">
        <v>98</v>
      </c>
      <c r="H136" s="32">
        <v>1</v>
      </c>
      <c r="I136" s="32">
        <v>172</v>
      </c>
      <c r="J136" s="32">
        <v>154</v>
      </c>
      <c r="K136" s="32">
        <v>425</v>
      </c>
      <c r="L136" s="32">
        <v>0</v>
      </c>
      <c r="M136" s="32">
        <f t="shared" si="14"/>
        <v>425</v>
      </c>
      <c r="N136" s="32">
        <v>0</v>
      </c>
      <c r="O136" s="33">
        <f t="shared" si="15"/>
        <v>0.40470588235294119</v>
      </c>
      <c r="P136" s="33">
        <f t="shared" si="16"/>
        <v>0.23058823529411765</v>
      </c>
      <c r="Q136" s="33">
        <f t="shared" si="17"/>
        <v>0.3623529411764706</v>
      </c>
      <c r="R136" s="33">
        <f t="shared" si="18"/>
        <v>0</v>
      </c>
      <c r="S136" s="33">
        <f t="shared" si="19"/>
        <v>2.352941176470588E-3</v>
      </c>
      <c r="T136" s="34">
        <v>408</v>
      </c>
      <c r="U136" s="34">
        <v>109</v>
      </c>
      <c r="V136" s="34">
        <v>61</v>
      </c>
      <c r="W136" s="34">
        <v>2</v>
      </c>
      <c r="X136" s="34">
        <v>580</v>
      </c>
      <c r="Y136" s="37">
        <v>0.70344827586206893</v>
      </c>
      <c r="Z136" s="37">
        <v>0.18793103448275861</v>
      </c>
      <c r="AA136" s="37">
        <v>0.10517241379310345</v>
      </c>
      <c r="AB136" s="37">
        <v>3.4482758620689655E-3</v>
      </c>
      <c r="AC136" s="35">
        <v>32.622413793103448</v>
      </c>
      <c r="AD136" s="33">
        <f t="shared" si="20"/>
        <v>0.73275862068965514</v>
      </c>
    </row>
    <row r="137" spans="1:30" x14ac:dyDescent="0.25">
      <c r="A137" s="32"/>
      <c r="B137" s="32"/>
      <c r="C137" s="32"/>
      <c r="D137" s="32">
        <v>6</v>
      </c>
      <c r="E137" s="32">
        <v>410</v>
      </c>
      <c r="F137" s="32">
        <v>0</v>
      </c>
      <c r="G137" s="32">
        <v>118</v>
      </c>
      <c r="H137" s="32">
        <v>5</v>
      </c>
      <c r="I137" s="32">
        <v>158</v>
      </c>
      <c r="J137" s="32">
        <v>129</v>
      </c>
      <c r="K137" s="32">
        <v>410</v>
      </c>
      <c r="L137" s="32">
        <v>0</v>
      </c>
      <c r="M137" s="32">
        <f t="shared" si="14"/>
        <v>410</v>
      </c>
      <c r="N137" s="32">
        <v>0</v>
      </c>
      <c r="O137" s="33">
        <f t="shared" si="15"/>
        <v>0.38536585365853659</v>
      </c>
      <c r="P137" s="33">
        <f t="shared" si="16"/>
        <v>0.28780487804878047</v>
      </c>
      <c r="Q137" s="33">
        <f t="shared" si="17"/>
        <v>0.31463414634146342</v>
      </c>
      <c r="R137" s="33">
        <f t="shared" si="18"/>
        <v>0</v>
      </c>
      <c r="S137" s="33">
        <f t="shared" si="19"/>
        <v>1.2195121951219513E-2</v>
      </c>
      <c r="T137" s="34">
        <v>391</v>
      </c>
      <c r="U137" s="34">
        <v>119</v>
      </c>
      <c r="V137" s="34">
        <v>70</v>
      </c>
      <c r="W137" s="34">
        <v>0</v>
      </c>
      <c r="X137" s="34">
        <v>580</v>
      </c>
      <c r="Y137" s="37">
        <v>0.67413793103448272</v>
      </c>
      <c r="Z137" s="37">
        <v>0.20517241379310344</v>
      </c>
      <c r="AA137" s="37">
        <v>0.1206896551724138</v>
      </c>
      <c r="AB137" s="37">
        <v>0</v>
      </c>
      <c r="AC137" s="35">
        <v>23.810344827586206</v>
      </c>
      <c r="AD137" s="33">
        <f t="shared" si="20"/>
        <v>0.7068965517241379</v>
      </c>
    </row>
    <row r="138" spans="1:30" x14ac:dyDescent="0.25">
      <c r="A138" s="32">
        <v>48</v>
      </c>
      <c r="B138" s="32" t="s">
        <v>251</v>
      </c>
      <c r="C138" s="32" t="s">
        <v>252</v>
      </c>
      <c r="D138" s="32">
        <v>1</v>
      </c>
      <c r="E138" s="32">
        <v>200</v>
      </c>
      <c r="F138" s="32">
        <v>0</v>
      </c>
      <c r="G138" s="32">
        <v>18</v>
      </c>
      <c r="H138" s="32">
        <v>0</v>
      </c>
      <c r="I138" s="32">
        <v>33</v>
      </c>
      <c r="J138" s="32">
        <v>146</v>
      </c>
      <c r="K138" s="32">
        <v>197</v>
      </c>
      <c r="L138" s="32">
        <v>3</v>
      </c>
      <c r="M138" s="32">
        <f t="shared" si="14"/>
        <v>200</v>
      </c>
      <c r="N138" s="32">
        <v>0</v>
      </c>
      <c r="O138" s="33">
        <f t="shared" si="15"/>
        <v>0.16500000000000001</v>
      </c>
      <c r="P138" s="33">
        <f t="shared" si="16"/>
        <v>0.09</v>
      </c>
      <c r="Q138" s="33">
        <f t="shared" si="17"/>
        <v>0.73</v>
      </c>
      <c r="R138" s="33">
        <f t="shared" si="18"/>
        <v>0</v>
      </c>
      <c r="S138" s="33">
        <f t="shared" si="19"/>
        <v>0</v>
      </c>
      <c r="T138" s="34">
        <v>250</v>
      </c>
      <c r="U138" s="34">
        <v>0</v>
      </c>
      <c r="V138" s="34">
        <v>0</v>
      </c>
      <c r="W138" s="34">
        <v>0</v>
      </c>
      <c r="X138" s="34">
        <v>250</v>
      </c>
      <c r="Y138" s="37">
        <v>1</v>
      </c>
      <c r="Z138" s="37">
        <v>0</v>
      </c>
      <c r="AA138" s="37">
        <v>0</v>
      </c>
      <c r="AB138" s="37">
        <v>0</v>
      </c>
      <c r="AC138" s="35">
        <v>63.856000000000002</v>
      </c>
      <c r="AD138" s="33">
        <f t="shared" si="20"/>
        <v>0.8</v>
      </c>
    </row>
    <row r="139" spans="1:30" x14ac:dyDescent="0.25">
      <c r="A139" s="32"/>
      <c r="B139" s="32"/>
      <c r="C139" s="32"/>
      <c r="D139" s="32">
        <v>2</v>
      </c>
      <c r="E139" s="32">
        <v>288</v>
      </c>
      <c r="F139" s="32">
        <v>1</v>
      </c>
      <c r="G139" s="32">
        <v>82</v>
      </c>
      <c r="H139" s="32">
        <v>4</v>
      </c>
      <c r="I139" s="32">
        <v>54</v>
      </c>
      <c r="J139" s="32">
        <v>146</v>
      </c>
      <c r="K139" s="32">
        <v>287</v>
      </c>
      <c r="L139" s="32">
        <v>1</v>
      </c>
      <c r="M139" s="32">
        <f t="shared" si="14"/>
        <v>288</v>
      </c>
      <c r="N139" s="32">
        <v>0</v>
      </c>
      <c r="O139" s="33">
        <f t="shared" si="15"/>
        <v>0.1875</v>
      </c>
      <c r="P139" s="33">
        <f t="shared" si="16"/>
        <v>0.28472222222222221</v>
      </c>
      <c r="Q139" s="33">
        <f t="shared" si="17"/>
        <v>0.50694444444444442</v>
      </c>
      <c r="R139" s="33">
        <f t="shared" si="18"/>
        <v>3.472222222222222E-3</v>
      </c>
      <c r="S139" s="33">
        <f t="shared" si="19"/>
        <v>1.3888888888888888E-2</v>
      </c>
      <c r="T139" s="34">
        <v>376</v>
      </c>
      <c r="U139" s="34">
        <v>1</v>
      </c>
      <c r="V139" s="34">
        <v>0</v>
      </c>
      <c r="W139" s="34">
        <v>0</v>
      </c>
      <c r="X139" s="34">
        <v>377</v>
      </c>
      <c r="Y139" s="37">
        <v>0.99734748010610075</v>
      </c>
      <c r="Z139" s="37">
        <v>2.6525198938992041E-3</v>
      </c>
      <c r="AA139" s="37">
        <v>0</v>
      </c>
      <c r="AB139" s="37">
        <v>0</v>
      </c>
      <c r="AC139" s="35">
        <v>35.334217506631298</v>
      </c>
      <c r="AD139" s="33">
        <f t="shared" si="20"/>
        <v>0.76392572944297077</v>
      </c>
    </row>
    <row r="140" spans="1:30" x14ac:dyDescent="0.25">
      <c r="A140" s="32">
        <v>49</v>
      </c>
      <c r="B140" s="32" t="s">
        <v>253</v>
      </c>
      <c r="C140" s="32" t="s">
        <v>254</v>
      </c>
      <c r="D140" s="32">
        <v>1</v>
      </c>
      <c r="E140" s="32">
        <v>247</v>
      </c>
      <c r="F140" s="32">
        <v>1</v>
      </c>
      <c r="G140" s="32">
        <v>35</v>
      </c>
      <c r="H140" s="32">
        <v>1</v>
      </c>
      <c r="I140" s="32">
        <v>57</v>
      </c>
      <c r="J140" s="32">
        <v>150</v>
      </c>
      <c r="K140" s="32">
        <v>244</v>
      </c>
      <c r="L140" s="32">
        <v>3</v>
      </c>
      <c r="M140" s="32">
        <f t="shared" si="14"/>
        <v>247</v>
      </c>
      <c r="N140" s="32">
        <v>0</v>
      </c>
      <c r="O140" s="33">
        <f t="shared" si="15"/>
        <v>0.23076923076923078</v>
      </c>
      <c r="P140" s="33">
        <f t="shared" si="16"/>
        <v>0.1417004048582996</v>
      </c>
      <c r="Q140" s="33">
        <f t="shared" si="17"/>
        <v>0.60728744939271251</v>
      </c>
      <c r="R140" s="33">
        <f t="shared" si="18"/>
        <v>4.048582995951417E-3</v>
      </c>
      <c r="S140" s="33">
        <f t="shared" si="19"/>
        <v>4.048582995951417E-3</v>
      </c>
      <c r="T140" s="34">
        <v>315</v>
      </c>
      <c r="U140" s="34">
        <v>1</v>
      </c>
      <c r="V140" s="34">
        <v>0</v>
      </c>
      <c r="W140" s="34">
        <v>1</v>
      </c>
      <c r="X140" s="34">
        <v>317</v>
      </c>
      <c r="Y140" s="37">
        <v>0.99369085173501581</v>
      </c>
      <c r="Z140" s="37">
        <v>3.1545741324921135E-3</v>
      </c>
      <c r="AA140" s="37">
        <v>0</v>
      </c>
      <c r="AB140" s="37">
        <v>3.1545741324921135E-3</v>
      </c>
      <c r="AC140" s="35">
        <v>70.32492113564669</v>
      </c>
      <c r="AD140" s="33">
        <f t="shared" si="20"/>
        <v>0.77917981072555209</v>
      </c>
    </row>
    <row r="141" spans="1:30" x14ac:dyDescent="0.25">
      <c r="A141" s="32"/>
      <c r="B141" s="32"/>
      <c r="C141" s="32"/>
      <c r="D141" s="32">
        <v>2</v>
      </c>
      <c r="E141" s="32">
        <v>269</v>
      </c>
      <c r="F141" s="32">
        <v>6</v>
      </c>
      <c r="G141" s="32">
        <v>72</v>
      </c>
      <c r="H141" s="32">
        <v>2</v>
      </c>
      <c r="I141" s="32">
        <v>44</v>
      </c>
      <c r="J141" s="32">
        <v>142</v>
      </c>
      <c r="K141" s="32">
        <v>266</v>
      </c>
      <c r="L141" s="32">
        <v>3</v>
      </c>
      <c r="M141" s="32">
        <f t="shared" si="14"/>
        <v>269</v>
      </c>
      <c r="N141" s="32">
        <v>0</v>
      </c>
      <c r="O141" s="33">
        <f t="shared" si="15"/>
        <v>0.16356877323420074</v>
      </c>
      <c r="P141" s="33">
        <f t="shared" si="16"/>
        <v>0.26765799256505574</v>
      </c>
      <c r="Q141" s="33">
        <f t="shared" si="17"/>
        <v>0.52788104089219334</v>
      </c>
      <c r="R141" s="33">
        <f t="shared" si="18"/>
        <v>2.2304832713754646E-2</v>
      </c>
      <c r="S141" s="33">
        <f t="shared" si="19"/>
        <v>7.4349442379182153E-3</v>
      </c>
      <c r="T141" s="34">
        <v>331</v>
      </c>
      <c r="U141" s="34">
        <v>1</v>
      </c>
      <c r="V141" s="34">
        <v>0</v>
      </c>
      <c r="W141" s="34">
        <v>2</v>
      </c>
      <c r="X141" s="34">
        <v>334</v>
      </c>
      <c r="Y141" s="37">
        <v>0.99101796407185627</v>
      </c>
      <c r="Z141" s="37">
        <v>2.9940119760479044E-3</v>
      </c>
      <c r="AA141" s="37">
        <v>0</v>
      </c>
      <c r="AB141" s="37">
        <v>5.9880239520958087E-3</v>
      </c>
      <c r="AC141" s="35">
        <v>49.976047904191617</v>
      </c>
      <c r="AD141" s="33">
        <f t="shared" si="20"/>
        <v>0.80538922155688619</v>
      </c>
    </row>
    <row r="142" spans="1:30" x14ac:dyDescent="0.25">
      <c r="A142" s="32"/>
      <c r="B142" s="32"/>
      <c r="C142" s="32"/>
      <c r="D142" s="32">
        <v>3</v>
      </c>
      <c r="E142" s="32">
        <v>269</v>
      </c>
      <c r="F142" s="32">
        <v>0</v>
      </c>
      <c r="G142" s="32">
        <v>97</v>
      </c>
      <c r="H142" s="32">
        <v>1</v>
      </c>
      <c r="I142" s="32">
        <v>66</v>
      </c>
      <c r="J142" s="32">
        <v>102</v>
      </c>
      <c r="K142" s="32">
        <v>266</v>
      </c>
      <c r="L142" s="32">
        <v>3</v>
      </c>
      <c r="M142" s="32">
        <f t="shared" si="14"/>
        <v>269</v>
      </c>
      <c r="N142" s="32">
        <v>0</v>
      </c>
      <c r="O142" s="33">
        <f t="shared" si="15"/>
        <v>0.24535315985130113</v>
      </c>
      <c r="P142" s="33">
        <f t="shared" si="16"/>
        <v>0.36059479553903345</v>
      </c>
      <c r="Q142" s="33">
        <f t="shared" si="17"/>
        <v>0.379182156133829</v>
      </c>
      <c r="R142" s="33">
        <f t="shared" si="18"/>
        <v>0</v>
      </c>
      <c r="S142" s="33">
        <f t="shared" si="19"/>
        <v>3.7174721189591076E-3</v>
      </c>
      <c r="T142" s="34">
        <v>334</v>
      </c>
      <c r="U142" s="34">
        <v>0</v>
      </c>
      <c r="V142" s="34">
        <v>1</v>
      </c>
      <c r="W142" s="34">
        <v>0</v>
      </c>
      <c r="X142" s="34">
        <v>335</v>
      </c>
      <c r="Y142" s="37">
        <v>0.9970149253731343</v>
      </c>
      <c r="Z142" s="37">
        <v>0</v>
      </c>
      <c r="AA142" s="37">
        <v>2.9850746268656717E-3</v>
      </c>
      <c r="AB142" s="37">
        <v>0</v>
      </c>
      <c r="AC142" s="35">
        <v>29.579104477611942</v>
      </c>
      <c r="AD142" s="33">
        <f t="shared" si="20"/>
        <v>0.80298507462686564</v>
      </c>
    </row>
    <row r="143" spans="1:30" x14ac:dyDescent="0.25">
      <c r="A143" s="32">
        <v>50</v>
      </c>
      <c r="B143" s="32" t="s">
        <v>255</v>
      </c>
      <c r="C143" s="32" t="s">
        <v>256</v>
      </c>
      <c r="D143" s="32">
        <v>1</v>
      </c>
      <c r="E143" s="32">
        <v>221</v>
      </c>
      <c r="F143" s="32">
        <v>0</v>
      </c>
      <c r="G143" s="32">
        <v>25</v>
      </c>
      <c r="H143" s="32">
        <v>3</v>
      </c>
      <c r="I143" s="32">
        <v>43</v>
      </c>
      <c r="J143" s="32">
        <v>144</v>
      </c>
      <c r="K143" s="32">
        <v>215</v>
      </c>
      <c r="L143" s="32">
        <v>6</v>
      </c>
      <c r="M143" s="32">
        <f t="shared" si="14"/>
        <v>221</v>
      </c>
      <c r="N143" s="32">
        <v>0</v>
      </c>
      <c r="O143" s="33">
        <f t="shared" si="15"/>
        <v>0.19457013574660634</v>
      </c>
      <c r="P143" s="33">
        <f t="shared" si="16"/>
        <v>0.11312217194570136</v>
      </c>
      <c r="Q143" s="33">
        <f t="shared" si="17"/>
        <v>0.65158371040723984</v>
      </c>
      <c r="R143" s="33">
        <f t="shared" si="18"/>
        <v>0</v>
      </c>
      <c r="S143" s="33">
        <f t="shared" si="19"/>
        <v>1.3574660633484163E-2</v>
      </c>
      <c r="T143" s="34">
        <v>295</v>
      </c>
      <c r="U143" s="34">
        <v>3</v>
      </c>
      <c r="V143" s="34">
        <v>1</v>
      </c>
      <c r="W143" s="34">
        <v>1</v>
      </c>
      <c r="X143" s="34">
        <v>300</v>
      </c>
      <c r="Y143" s="37">
        <v>0.98333333333333328</v>
      </c>
      <c r="Z143" s="37">
        <v>0.01</v>
      </c>
      <c r="AA143" s="37">
        <v>3.3333333333333335E-3</v>
      </c>
      <c r="AB143" s="37">
        <v>3.3333333333333335E-3</v>
      </c>
      <c r="AC143" s="35">
        <v>66.326666666666668</v>
      </c>
      <c r="AD143" s="33">
        <f t="shared" si="20"/>
        <v>0.73666666666666669</v>
      </c>
    </row>
    <row r="144" spans="1:30" x14ac:dyDescent="0.25">
      <c r="A144" s="32"/>
      <c r="B144" s="32"/>
      <c r="C144" s="32"/>
      <c r="D144" s="32">
        <v>2</v>
      </c>
      <c r="E144" s="32">
        <v>314</v>
      </c>
      <c r="F144" s="32">
        <v>4</v>
      </c>
      <c r="G144" s="32">
        <v>70</v>
      </c>
      <c r="H144" s="32">
        <v>0</v>
      </c>
      <c r="I144" s="32">
        <v>71</v>
      </c>
      <c r="J144" s="32">
        <v>166</v>
      </c>
      <c r="K144" s="32">
        <v>311</v>
      </c>
      <c r="L144" s="32">
        <v>3</v>
      </c>
      <c r="M144" s="32">
        <f t="shared" si="14"/>
        <v>314</v>
      </c>
      <c r="N144" s="32">
        <v>0</v>
      </c>
      <c r="O144" s="33">
        <f t="shared" si="15"/>
        <v>0.22611464968152867</v>
      </c>
      <c r="P144" s="33">
        <f t="shared" si="16"/>
        <v>0.22292993630573249</v>
      </c>
      <c r="Q144" s="33">
        <f t="shared" si="17"/>
        <v>0.5286624203821656</v>
      </c>
      <c r="R144" s="33">
        <f t="shared" si="18"/>
        <v>1.2738853503184714E-2</v>
      </c>
      <c r="S144" s="33">
        <f t="shared" si="19"/>
        <v>0</v>
      </c>
      <c r="T144" s="34">
        <v>381</v>
      </c>
      <c r="U144" s="34">
        <v>18</v>
      </c>
      <c r="V144" s="34">
        <v>1</v>
      </c>
      <c r="W144" s="34">
        <v>5</v>
      </c>
      <c r="X144" s="34">
        <v>405</v>
      </c>
      <c r="Y144" s="37">
        <v>0.94074074074074077</v>
      </c>
      <c r="Z144" s="37">
        <v>4.4444444444444446E-2</v>
      </c>
      <c r="AA144" s="37">
        <v>2.4691358024691358E-3</v>
      </c>
      <c r="AB144" s="37">
        <v>1.2345679012345678E-2</v>
      </c>
      <c r="AC144" s="35">
        <v>47.409876543209876</v>
      </c>
      <c r="AD144" s="33">
        <f t="shared" si="20"/>
        <v>0.77530864197530869</v>
      </c>
    </row>
    <row r="145" spans="1:30" x14ac:dyDescent="0.25">
      <c r="A145" s="32"/>
      <c r="B145" s="32"/>
      <c r="C145" s="32"/>
      <c r="D145" s="32">
        <v>3</v>
      </c>
      <c r="E145" s="32">
        <v>322</v>
      </c>
      <c r="F145" s="32">
        <v>1</v>
      </c>
      <c r="G145" s="32">
        <v>113</v>
      </c>
      <c r="H145" s="32">
        <v>4</v>
      </c>
      <c r="I145" s="32">
        <v>70</v>
      </c>
      <c r="J145" s="32">
        <v>132</v>
      </c>
      <c r="K145" s="32">
        <v>320</v>
      </c>
      <c r="L145" s="32">
        <v>2</v>
      </c>
      <c r="M145" s="32">
        <f t="shared" si="14"/>
        <v>322</v>
      </c>
      <c r="N145" s="32">
        <v>0</v>
      </c>
      <c r="O145" s="33">
        <f t="shared" si="15"/>
        <v>0.21739130434782608</v>
      </c>
      <c r="P145" s="33">
        <f t="shared" si="16"/>
        <v>0.35093167701863354</v>
      </c>
      <c r="Q145" s="33">
        <f t="shared" si="17"/>
        <v>0.40993788819875776</v>
      </c>
      <c r="R145" s="33">
        <f t="shared" si="18"/>
        <v>3.105590062111801E-3</v>
      </c>
      <c r="S145" s="33">
        <f t="shared" si="19"/>
        <v>1.2422360248447204E-2</v>
      </c>
      <c r="T145" s="34">
        <v>384</v>
      </c>
      <c r="U145" s="34">
        <v>13</v>
      </c>
      <c r="V145" s="34">
        <v>6</v>
      </c>
      <c r="W145" s="34">
        <v>2</v>
      </c>
      <c r="X145" s="34">
        <v>405</v>
      </c>
      <c r="Y145" s="37">
        <v>0.94814814814814818</v>
      </c>
      <c r="Z145" s="37">
        <v>3.2098765432098768E-2</v>
      </c>
      <c r="AA145" s="37">
        <v>1.4814814814814815E-2</v>
      </c>
      <c r="AB145" s="37">
        <v>4.9382716049382715E-3</v>
      </c>
      <c r="AC145" s="35">
        <v>26.817283950617284</v>
      </c>
      <c r="AD145" s="33">
        <f t="shared" si="20"/>
        <v>0.79506172839506173</v>
      </c>
    </row>
    <row r="146" spans="1:30" x14ac:dyDescent="0.25">
      <c r="A146" s="32">
        <v>51</v>
      </c>
      <c r="B146" s="32" t="s">
        <v>257</v>
      </c>
      <c r="C146" s="32" t="s">
        <v>258</v>
      </c>
      <c r="D146" s="32">
        <v>1</v>
      </c>
      <c r="E146" s="32">
        <v>179</v>
      </c>
      <c r="F146" s="32">
        <v>3</v>
      </c>
      <c r="G146" s="32">
        <v>15</v>
      </c>
      <c r="H146" s="32">
        <v>1</v>
      </c>
      <c r="I146" s="32">
        <v>81</v>
      </c>
      <c r="J146" s="32">
        <v>72</v>
      </c>
      <c r="K146" s="32">
        <v>172</v>
      </c>
      <c r="L146" s="32">
        <v>7</v>
      </c>
      <c r="M146" s="32">
        <f t="shared" si="14"/>
        <v>179</v>
      </c>
      <c r="N146" s="32">
        <v>0</v>
      </c>
      <c r="O146" s="33">
        <f t="shared" si="15"/>
        <v>0.45251396648044695</v>
      </c>
      <c r="P146" s="33">
        <f t="shared" si="16"/>
        <v>8.3798882681564241E-2</v>
      </c>
      <c r="Q146" s="33">
        <f t="shared" si="17"/>
        <v>0.4022346368715084</v>
      </c>
      <c r="R146" s="33">
        <f t="shared" si="18"/>
        <v>1.6759776536312849E-2</v>
      </c>
      <c r="S146" s="33">
        <f t="shared" si="19"/>
        <v>5.5865921787709499E-3</v>
      </c>
      <c r="T146" s="34">
        <v>112</v>
      </c>
      <c r="U146" s="34">
        <v>116</v>
      </c>
      <c r="V146" s="34">
        <v>20</v>
      </c>
      <c r="W146" s="34">
        <v>2</v>
      </c>
      <c r="X146" s="34">
        <v>250</v>
      </c>
      <c r="Y146" s="37">
        <v>0.44800000000000001</v>
      </c>
      <c r="Z146" s="37">
        <v>0.46400000000000002</v>
      </c>
      <c r="AA146" s="37">
        <v>0.08</v>
      </c>
      <c r="AB146" s="37">
        <v>8.0000000000000002E-3</v>
      </c>
      <c r="AC146" s="35">
        <v>64.88</v>
      </c>
      <c r="AD146" s="33">
        <f t="shared" si="20"/>
        <v>0.71599999999999997</v>
      </c>
    </row>
    <row r="147" spans="1:30" x14ac:dyDescent="0.25">
      <c r="A147" s="32"/>
      <c r="B147" s="32"/>
      <c r="C147" s="32"/>
      <c r="D147" s="32">
        <v>2</v>
      </c>
      <c r="E147" s="32">
        <v>289</v>
      </c>
      <c r="F147" s="32">
        <v>2</v>
      </c>
      <c r="G147" s="32">
        <v>73</v>
      </c>
      <c r="H147" s="32">
        <v>1</v>
      </c>
      <c r="I147" s="32">
        <v>105</v>
      </c>
      <c r="J147" s="32">
        <v>106</v>
      </c>
      <c r="K147" s="32">
        <v>287</v>
      </c>
      <c r="L147" s="32">
        <v>2</v>
      </c>
      <c r="M147" s="32">
        <f t="shared" si="14"/>
        <v>289</v>
      </c>
      <c r="N147" s="32">
        <v>0</v>
      </c>
      <c r="O147" s="33">
        <f t="shared" si="15"/>
        <v>0.36332179930795849</v>
      </c>
      <c r="P147" s="33">
        <f t="shared" si="16"/>
        <v>0.25259515570934254</v>
      </c>
      <c r="Q147" s="33">
        <f t="shared" si="17"/>
        <v>0.36678200692041524</v>
      </c>
      <c r="R147" s="33">
        <f t="shared" si="18"/>
        <v>6.920415224913495E-3</v>
      </c>
      <c r="S147" s="33">
        <f t="shared" si="19"/>
        <v>3.4602076124567475E-3</v>
      </c>
      <c r="T147" s="34">
        <v>263</v>
      </c>
      <c r="U147" s="34">
        <v>95</v>
      </c>
      <c r="V147" s="34">
        <v>24</v>
      </c>
      <c r="W147" s="34">
        <v>9</v>
      </c>
      <c r="X147" s="34">
        <v>391</v>
      </c>
      <c r="Y147" s="37">
        <v>0.67263427109974427</v>
      </c>
      <c r="Z147" s="37">
        <v>0.24296675191815856</v>
      </c>
      <c r="AA147" s="37">
        <v>6.1381074168797956E-2</v>
      </c>
      <c r="AB147" s="37">
        <v>2.3017902813299233E-2</v>
      </c>
      <c r="AC147" s="35">
        <v>33.491048593350385</v>
      </c>
      <c r="AD147" s="33">
        <f t="shared" si="20"/>
        <v>0.73913043478260865</v>
      </c>
    </row>
    <row r="148" spans="1:30" x14ac:dyDescent="0.25">
      <c r="A148" s="32">
        <v>52</v>
      </c>
      <c r="B148" s="32" t="s">
        <v>259</v>
      </c>
      <c r="C148" s="32" t="s">
        <v>260</v>
      </c>
      <c r="D148" s="32">
        <v>1</v>
      </c>
      <c r="E148" s="32">
        <v>272</v>
      </c>
      <c r="F148" s="32">
        <v>4</v>
      </c>
      <c r="G148" s="32">
        <v>19</v>
      </c>
      <c r="H148" s="32">
        <v>3</v>
      </c>
      <c r="I148" s="32">
        <v>160</v>
      </c>
      <c r="J148" s="32">
        <v>81</v>
      </c>
      <c r="K148" s="32">
        <v>267</v>
      </c>
      <c r="L148" s="32">
        <v>5</v>
      </c>
      <c r="M148" s="32">
        <f t="shared" si="14"/>
        <v>272</v>
      </c>
      <c r="N148" s="32">
        <v>0</v>
      </c>
      <c r="O148" s="33">
        <f t="shared" si="15"/>
        <v>0.58823529411764708</v>
      </c>
      <c r="P148" s="33">
        <f t="shared" si="16"/>
        <v>6.985294117647059E-2</v>
      </c>
      <c r="Q148" s="33">
        <f t="shared" si="17"/>
        <v>0.29779411764705882</v>
      </c>
      <c r="R148" s="33">
        <f t="shared" si="18"/>
        <v>1.4705882352941176E-2</v>
      </c>
      <c r="S148" s="33">
        <f t="shared" si="19"/>
        <v>1.1029411764705883E-2</v>
      </c>
      <c r="T148" s="34">
        <v>74</v>
      </c>
      <c r="U148" s="34">
        <v>255</v>
      </c>
      <c r="V148" s="34">
        <v>21</v>
      </c>
      <c r="W148" s="34">
        <v>0</v>
      </c>
      <c r="X148" s="34">
        <v>350</v>
      </c>
      <c r="Y148" s="37">
        <v>0.21142857142857144</v>
      </c>
      <c r="Z148" s="37">
        <v>0.72857142857142854</v>
      </c>
      <c r="AA148" s="37">
        <v>0.06</v>
      </c>
      <c r="AB148" s="37">
        <v>0</v>
      </c>
      <c r="AC148" s="35">
        <v>69.48571428571428</v>
      </c>
      <c r="AD148" s="33">
        <f t="shared" si="20"/>
        <v>0.77714285714285714</v>
      </c>
    </row>
    <row r="149" spans="1:30" x14ac:dyDescent="0.25">
      <c r="A149" s="32"/>
      <c r="B149" s="32"/>
      <c r="C149" s="32"/>
      <c r="D149" s="32">
        <v>2</v>
      </c>
      <c r="E149" s="32">
        <v>247</v>
      </c>
      <c r="F149" s="32">
        <v>0</v>
      </c>
      <c r="G149" s="32">
        <v>23</v>
      </c>
      <c r="H149" s="32">
        <v>0</v>
      </c>
      <c r="I149" s="32">
        <v>160</v>
      </c>
      <c r="J149" s="32">
        <v>63</v>
      </c>
      <c r="K149" s="32">
        <v>246</v>
      </c>
      <c r="L149" s="32">
        <v>1</v>
      </c>
      <c r="M149" s="32">
        <f t="shared" si="14"/>
        <v>247</v>
      </c>
      <c r="N149" s="32">
        <v>0</v>
      </c>
      <c r="O149" s="33">
        <f t="shared" si="15"/>
        <v>0.64777327935222673</v>
      </c>
      <c r="P149" s="33">
        <f t="shared" si="16"/>
        <v>9.3117408906882596E-2</v>
      </c>
      <c r="Q149" s="33">
        <f t="shared" si="17"/>
        <v>0.25506072874493929</v>
      </c>
      <c r="R149" s="33">
        <f t="shared" si="18"/>
        <v>0</v>
      </c>
      <c r="S149" s="33">
        <f t="shared" si="19"/>
        <v>0</v>
      </c>
      <c r="T149" s="34">
        <v>107</v>
      </c>
      <c r="U149" s="34">
        <v>205</v>
      </c>
      <c r="V149" s="34">
        <v>38</v>
      </c>
      <c r="W149" s="34">
        <v>0</v>
      </c>
      <c r="X149" s="34">
        <v>350</v>
      </c>
      <c r="Y149" s="37">
        <v>0.30571428571428572</v>
      </c>
      <c r="Z149" s="37">
        <v>0.58571428571428574</v>
      </c>
      <c r="AA149" s="37">
        <v>0.10857142857142857</v>
      </c>
      <c r="AB149" s="37">
        <v>0</v>
      </c>
      <c r="AC149" s="35">
        <v>55.662857142857142</v>
      </c>
      <c r="AD149" s="33">
        <f t="shared" si="20"/>
        <v>0.70571428571428574</v>
      </c>
    </row>
    <row r="150" spans="1:30" x14ac:dyDescent="0.25">
      <c r="A150" s="32"/>
      <c r="B150" s="32"/>
      <c r="C150" s="32"/>
      <c r="D150" s="32">
        <v>3</v>
      </c>
      <c r="E150" s="32">
        <v>313</v>
      </c>
      <c r="F150" s="32">
        <v>1</v>
      </c>
      <c r="G150" s="32">
        <v>44</v>
      </c>
      <c r="H150" s="32">
        <v>1</v>
      </c>
      <c r="I150" s="32">
        <v>206</v>
      </c>
      <c r="J150" s="32">
        <v>59</v>
      </c>
      <c r="K150" s="32">
        <v>311</v>
      </c>
      <c r="L150" s="32">
        <v>2</v>
      </c>
      <c r="M150" s="32">
        <f t="shared" si="14"/>
        <v>313</v>
      </c>
      <c r="N150" s="32">
        <v>0</v>
      </c>
      <c r="O150" s="33">
        <f t="shared" si="15"/>
        <v>0.65814696485623003</v>
      </c>
      <c r="P150" s="33">
        <f t="shared" si="16"/>
        <v>0.14057507987220447</v>
      </c>
      <c r="Q150" s="33">
        <f t="shared" si="17"/>
        <v>0.18849840255591055</v>
      </c>
      <c r="R150" s="33">
        <f t="shared" si="18"/>
        <v>3.1948881789137379E-3</v>
      </c>
      <c r="S150" s="33">
        <f t="shared" si="19"/>
        <v>3.1948881789137379E-3</v>
      </c>
      <c r="T150" s="34">
        <v>138</v>
      </c>
      <c r="U150" s="34">
        <v>264</v>
      </c>
      <c r="V150" s="34">
        <v>60</v>
      </c>
      <c r="W150" s="34">
        <v>3</v>
      </c>
      <c r="X150" s="34">
        <v>465</v>
      </c>
      <c r="Y150" s="37">
        <v>0.29677419354838708</v>
      </c>
      <c r="Z150" s="37">
        <v>0.56774193548387097</v>
      </c>
      <c r="AA150" s="37">
        <v>0.12903225806451613</v>
      </c>
      <c r="AB150" s="37">
        <v>6.4516129032258064E-3</v>
      </c>
      <c r="AC150" s="35">
        <v>41.169892473118281</v>
      </c>
      <c r="AD150" s="33">
        <f t="shared" si="20"/>
        <v>0.67311827956989245</v>
      </c>
    </row>
    <row r="151" spans="1:30" x14ac:dyDescent="0.25">
      <c r="A151" s="32"/>
      <c r="B151" s="32"/>
      <c r="C151" s="32"/>
      <c r="D151" s="32">
        <v>4</v>
      </c>
      <c r="E151" s="32">
        <v>320</v>
      </c>
      <c r="F151" s="32">
        <v>0</v>
      </c>
      <c r="G151" s="32">
        <v>52</v>
      </c>
      <c r="H151" s="32">
        <v>2</v>
      </c>
      <c r="I151" s="32">
        <v>192</v>
      </c>
      <c r="J151" s="32">
        <v>74</v>
      </c>
      <c r="K151" s="32">
        <v>320</v>
      </c>
      <c r="L151" s="32">
        <v>0</v>
      </c>
      <c r="M151" s="32">
        <f t="shared" si="14"/>
        <v>320</v>
      </c>
      <c r="N151" s="32">
        <v>0</v>
      </c>
      <c r="O151" s="33">
        <f t="shared" si="15"/>
        <v>0.6</v>
      </c>
      <c r="P151" s="33">
        <f t="shared" si="16"/>
        <v>0.16250000000000001</v>
      </c>
      <c r="Q151" s="33">
        <f t="shared" si="17"/>
        <v>0.23125000000000001</v>
      </c>
      <c r="R151" s="33">
        <f t="shared" si="18"/>
        <v>0</v>
      </c>
      <c r="S151" s="33">
        <f t="shared" si="19"/>
        <v>6.2500000000000003E-3</v>
      </c>
      <c r="T151" s="34">
        <v>180</v>
      </c>
      <c r="U151" s="34">
        <v>207</v>
      </c>
      <c r="V151" s="34">
        <v>78</v>
      </c>
      <c r="W151" s="34">
        <v>0</v>
      </c>
      <c r="X151" s="34">
        <v>465</v>
      </c>
      <c r="Y151" s="37">
        <v>0.38709677419354838</v>
      </c>
      <c r="Z151" s="37">
        <v>0.44516129032258067</v>
      </c>
      <c r="AA151" s="37">
        <v>0.16774193548387098</v>
      </c>
      <c r="AB151" s="37">
        <v>0</v>
      </c>
      <c r="AC151" s="35">
        <v>25.395698924731182</v>
      </c>
      <c r="AD151" s="33">
        <f t="shared" si="20"/>
        <v>0.68817204301075274</v>
      </c>
    </row>
    <row r="152" spans="1:30" x14ac:dyDescent="0.25">
      <c r="A152" s="32">
        <v>53</v>
      </c>
      <c r="B152" s="32" t="s">
        <v>261</v>
      </c>
      <c r="C152" s="32" t="s">
        <v>262</v>
      </c>
      <c r="D152" s="32">
        <v>1</v>
      </c>
      <c r="E152" s="32">
        <v>257</v>
      </c>
      <c r="F152" s="32">
        <v>2</v>
      </c>
      <c r="G152" s="32">
        <v>31</v>
      </c>
      <c r="H152" s="32">
        <v>1</v>
      </c>
      <c r="I152" s="32">
        <v>84</v>
      </c>
      <c r="J152" s="32">
        <v>130</v>
      </c>
      <c r="K152" s="32">
        <v>248</v>
      </c>
      <c r="L152" s="32">
        <v>9</v>
      </c>
      <c r="M152" s="32">
        <f t="shared" si="14"/>
        <v>257</v>
      </c>
      <c r="N152" s="32">
        <v>0</v>
      </c>
      <c r="O152" s="33">
        <f t="shared" si="15"/>
        <v>0.32684824902723736</v>
      </c>
      <c r="P152" s="33">
        <f t="shared" si="16"/>
        <v>0.12062256809338522</v>
      </c>
      <c r="Q152" s="33">
        <f t="shared" si="17"/>
        <v>0.50583657587548636</v>
      </c>
      <c r="R152" s="33">
        <f t="shared" si="18"/>
        <v>7.7821011673151752E-3</v>
      </c>
      <c r="S152" s="33">
        <f t="shared" si="19"/>
        <v>3.8910505836575876E-3</v>
      </c>
      <c r="T152" s="34">
        <v>209</v>
      </c>
      <c r="U152" s="34">
        <v>58</v>
      </c>
      <c r="V152" s="34">
        <v>59</v>
      </c>
      <c r="W152" s="34">
        <v>24</v>
      </c>
      <c r="X152" s="34">
        <v>350</v>
      </c>
      <c r="Y152" s="37">
        <v>0.5971428571428572</v>
      </c>
      <c r="Z152" s="37">
        <v>0.1657142857142857</v>
      </c>
      <c r="AA152" s="37">
        <v>0.16857142857142857</v>
      </c>
      <c r="AB152" s="37">
        <v>6.8571428571428575E-2</v>
      </c>
      <c r="AC152" s="35">
        <v>67.108571428571423</v>
      </c>
      <c r="AD152" s="33">
        <f t="shared" si="20"/>
        <v>0.73428571428571432</v>
      </c>
    </row>
    <row r="153" spans="1:30" x14ac:dyDescent="0.25">
      <c r="A153" s="32"/>
      <c r="B153" s="32"/>
      <c r="C153" s="32"/>
      <c r="D153" s="32">
        <v>2</v>
      </c>
      <c r="E153" s="32">
        <v>360</v>
      </c>
      <c r="F153" s="32">
        <v>2</v>
      </c>
      <c r="G153" s="32">
        <v>74</v>
      </c>
      <c r="H153" s="32">
        <v>3</v>
      </c>
      <c r="I153" s="32">
        <v>94</v>
      </c>
      <c r="J153" s="32">
        <v>182</v>
      </c>
      <c r="K153" s="32">
        <v>355</v>
      </c>
      <c r="L153" s="32">
        <v>5</v>
      </c>
      <c r="M153" s="32">
        <f t="shared" si="14"/>
        <v>360</v>
      </c>
      <c r="N153" s="32">
        <v>0</v>
      </c>
      <c r="O153" s="33">
        <f t="shared" si="15"/>
        <v>0.26111111111111113</v>
      </c>
      <c r="P153" s="33">
        <f t="shared" si="16"/>
        <v>0.20555555555555555</v>
      </c>
      <c r="Q153" s="33">
        <f t="shared" si="17"/>
        <v>0.50555555555555554</v>
      </c>
      <c r="R153" s="33">
        <f t="shared" si="18"/>
        <v>5.5555555555555558E-3</v>
      </c>
      <c r="S153" s="33">
        <f t="shared" si="19"/>
        <v>8.3333333333333332E-3</v>
      </c>
      <c r="T153" s="34">
        <v>237</v>
      </c>
      <c r="U153" s="34">
        <v>32</v>
      </c>
      <c r="V153" s="34">
        <v>58</v>
      </c>
      <c r="W153" s="34">
        <v>117</v>
      </c>
      <c r="X153" s="34">
        <v>444</v>
      </c>
      <c r="Y153" s="37">
        <v>0.53378378378378377</v>
      </c>
      <c r="Z153" s="37">
        <v>7.2072072072072071E-2</v>
      </c>
      <c r="AA153" s="37">
        <v>0.13063063063063063</v>
      </c>
      <c r="AB153" s="37">
        <v>0.26351351351351349</v>
      </c>
      <c r="AC153" s="35">
        <v>49.436936936936938</v>
      </c>
      <c r="AD153" s="33">
        <f t="shared" si="20"/>
        <v>0.81081081081081086</v>
      </c>
    </row>
    <row r="154" spans="1:30" x14ac:dyDescent="0.25">
      <c r="A154" s="32"/>
      <c r="B154" s="32"/>
      <c r="C154" s="32"/>
      <c r="D154" s="32">
        <v>3</v>
      </c>
      <c r="E154" s="32">
        <v>323</v>
      </c>
      <c r="F154" s="32">
        <v>1</v>
      </c>
      <c r="G154" s="32">
        <v>79</v>
      </c>
      <c r="H154" s="32">
        <v>2</v>
      </c>
      <c r="I154" s="32">
        <v>104</v>
      </c>
      <c r="J154" s="32">
        <v>135</v>
      </c>
      <c r="K154" s="32">
        <v>321</v>
      </c>
      <c r="L154" s="32">
        <v>2</v>
      </c>
      <c r="M154" s="32">
        <f t="shared" si="14"/>
        <v>323</v>
      </c>
      <c r="N154" s="32">
        <v>0</v>
      </c>
      <c r="O154" s="33">
        <f t="shared" si="15"/>
        <v>0.32198142414860681</v>
      </c>
      <c r="P154" s="33">
        <f t="shared" si="16"/>
        <v>0.24458204334365324</v>
      </c>
      <c r="Q154" s="33">
        <f t="shared" si="17"/>
        <v>0.41795665634674922</v>
      </c>
      <c r="R154" s="33">
        <f t="shared" si="18"/>
        <v>3.0959752321981426E-3</v>
      </c>
      <c r="S154" s="33">
        <f t="shared" si="19"/>
        <v>6.1919504643962852E-3</v>
      </c>
      <c r="T154" s="34">
        <v>313</v>
      </c>
      <c r="U154" s="34">
        <v>10</v>
      </c>
      <c r="V154" s="34">
        <v>55</v>
      </c>
      <c r="W154" s="34">
        <v>67</v>
      </c>
      <c r="X154" s="34">
        <v>445</v>
      </c>
      <c r="Y154" s="37">
        <v>0.70337078651685392</v>
      </c>
      <c r="Z154" s="37">
        <v>2.247191011235955E-2</v>
      </c>
      <c r="AA154" s="37">
        <v>0.12359550561797752</v>
      </c>
      <c r="AB154" s="37">
        <v>0.15056179775280898</v>
      </c>
      <c r="AC154" s="35">
        <v>35.851685393258428</v>
      </c>
      <c r="AD154" s="33">
        <f t="shared" si="20"/>
        <v>0.72584269662921352</v>
      </c>
    </row>
    <row r="155" spans="1:30" x14ac:dyDescent="0.25">
      <c r="A155" s="32"/>
      <c r="B155" s="32"/>
      <c r="C155" s="32"/>
      <c r="D155" s="32">
        <v>4</v>
      </c>
      <c r="E155" s="32">
        <v>338</v>
      </c>
      <c r="F155" s="32">
        <v>0</v>
      </c>
      <c r="G155" s="32">
        <v>110</v>
      </c>
      <c r="H155" s="32">
        <v>0</v>
      </c>
      <c r="I155" s="32">
        <v>81</v>
      </c>
      <c r="J155" s="32">
        <v>147</v>
      </c>
      <c r="K155" s="32">
        <v>338</v>
      </c>
      <c r="L155" s="32">
        <v>0</v>
      </c>
      <c r="M155" s="32">
        <f t="shared" si="14"/>
        <v>338</v>
      </c>
      <c r="N155" s="32">
        <v>0</v>
      </c>
      <c r="O155" s="33">
        <f t="shared" si="15"/>
        <v>0.23964497041420119</v>
      </c>
      <c r="P155" s="33">
        <f t="shared" si="16"/>
        <v>0.32544378698224852</v>
      </c>
      <c r="Q155" s="33">
        <f t="shared" si="17"/>
        <v>0.4349112426035503</v>
      </c>
      <c r="R155" s="33">
        <f t="shared" si="18"/>
        <v>0</v>
      </c>
      <c r="S155" s="33">
        <f t="shared" si="19"/>
        <v>0</v>
      </c>
      <c r="T155" s="34">
        <v>355</v>
      </c>
      <c r="U155" s="34">
        <v>15</v>
      </c>
      <c r="V155" s="34">
        <v>58</v>
      </c>
      <c r="W155" s="34">
        <v>17</v>
      </c>
      <c r="X155" s="34">
        <v>445</v>
      </c>
      <c r="Y155" s="37">
        <v>0.797752808988764</v>
      </c>
      <c r="Z155" s="37">
        <v>3.3707865168539325E-2</v>
      </c>
      <c r="AA155" s="37">
        <v>0.1303370786516854</v>
      </c>
      <c r="AB155" s="37">
        <v>3.8202247191011236E-2</v>
      </c>
      <c r="AC155" s="35">
        <v>24.429213483146068</v>
      </c>
      <c r="AD155" s="33">
        <f t="shared" si="20"/>
        <v>0.75955056179775282</v>
      </c>
    </row>
    <row r="156" spans="1:30" x14ac:dyDescent="0.25">
      <c r="A156" s="32">
        <v>54</v>
      </c>
      <c r="B156" s="32" t="s">
        <v>263</v>
      </c>
      <c r="C156" s="32" t="s">
        <v>264</v>
      </c>
      <c r="D156" s="32">
        <v>1</v>
      </c>
      <c r="E156" s="32">
        <v>244</v>
      </c>
      <c r="F156" s="32">
        <v>3</v>
      </c>
      <c r="G156" s="32">
        <v>50</v>
      </c>
      <c r="H156" s="32">
        <v>6</v>
      </c>
      <c r="I156" s="32">
        <v>41</v>
      </c>
      <c r="J156" s="32">
        <v>138</v>
      </c>
      <c r="K156" s="32">
        <v>238</v>
      </c>
      <c r="L156" s="32">
        <v>6</v>
      </c>
      <c r="M156" s="32">
        <f t="shared" si="14"/>
        <v>244</v>
      </c>
      <c r="N156" s="32">
        <v>0</v>
      </c>
      <c r="O156" s="33">
        <f t="shared" si="15"/>
        <v>0.16803278688524589</v>
      </c>
      <c r="P156" s="33">
        <f t="shared" si="16"/>
        <v>0.20491803278688525</v>
      </c>
      <c r="Q156" s="33">
        <f t="shared" si="17"/>
        <v>0.56557377049180324</v>
      </c>
      <c r="R156" s="33">
        <f t="shared" si="18"/>
        <v>1.2295081967213115E-2</v>
      </c>
      <c r="S156" s="33">
        <f t="shared" si="19"/>
        <v>2.4590163934426229E-2</v>
      </c>
      <c r="T156" s="34">
        <v>316</v>
      </c>
      <c r="U156" s="34">
        <v>1</v>
      </c>
      <c r="V156" s="34">
        <v>13</v>
      </c>
      <c r="W156" s="34">
        <v>20</v>
      </c>
      <c r="X156" s="34">
        <v>350</v>
      </c>
      <c r="Y156" s="37">
        <v>0.9028571428571428</v>
      </c>
      <c r="Z156" s="37">
        <v>2.8571428571428571E-3</v>
      </c>
      <c r="AA156" s="37">
        <v>3.7142857142857144E-2</v>
      </c>
      <c r="AB156" s="37">
        <v>5.7142857142857141E-2</v>
      </c>
      <c r="AC156" s="35">
        <v>69.805714285714288</v>
      </c>
      <c r="AD156" s="33">
        <f t="shared" si="20"/>
        <v>0.69714285714285718</v>
      </c>
    </row>
    <row r="157" spans="1:30" x14ac:dyDescent="0.25">
      <c r="A157" s="32"/>
      <c r="B157" s="32"/>
      <c r="C157" s="32"/>
      <c r="D157" s="32">
        <v>2</v>
      </c>
      <c r="E157" s="32">
        <v>292</v>
      </c>
      <c r="F157" s="32">
        <v>2</v>
      </c>
      <c r="G157" s="32">
        <v>69</v>
      </c>
      <c r="H157" s="32">
        <v>6</v>
      </c>
      <c r="I157" s="32">
        <v>55</v>
      </c>
      <c r="J157" s="32">
        <v>159</v>
      </c>
      <c r="K157" s="32">
        <v>291</v>
      </c>
      <c r="L157" s="32">
        <v>1</v>
      </c>
      <c r="M157" s="32">
        <f t="shared" si="14"/>
        <v>292</v>
      </c>
      <c r="N157" s="32">
        <v>0</v>
      </c>
      <c r="O157" s="33">
        <f t="shared" si="15"/>
        <v>0.18835616438356165</v>
      </c>
      <c r="P157" s="33">
        <f t="shared" si="16"/>
        <v>0.2363013698630137</v>
      </c>
      <c r="Q157" s="33">
        <f t="shared" si="17"/>
        <v>0.54452054794520544</v>
      </c>
      <c r="R157" s="33">
        <f t="shared" si="18"/>
        <v>6.8493150684931503E-3</v>
      </c>
      <c r="S157" s="33">
        <f t="shared" si="19"/>
        <v>2.0547945205479451E-2</v>
      </c>
      <c r="T157" s="34">
        <v>314</v>
      </c>
      <c r="U157" s="34">
        <v>0</v>
      </c>
      <c r="V157" s="34">
        <v>17</v>
      </c>
      <c r="W157" s="34">
        <v>19</v>
      </c>
      <c r="X157" s="34">
        <v>350</v>
      </c>
      <c r="Y157" s="37">
        <v>0.89714285714285713</v>
      </c>
      <c r="Z157" s="37">
        <v>0</v>
      </c>
      <c r="AA157" s="37">
        <v>4.8571428571428571E-2</v>
      </c>
      <c r="AB157" s="37">
        <v>5.4285714285714284E-2</v>
      </c>
      <c r="AC157" s="35">
        <v>56.845714285714287</v>
      </c>
      <c r="AD157" s="33">
        <f t="shared" si="20"/>
        <v>0.8342857142857143</v>
      </c>
    </row>
    <row r="158" spans="1:30" x14ac:dyDescent="0.25">
      <c r="A158" s="32"/>
      <c r="B158" s="32"/>
      <c r="C158" s="32"/>
      <c r="D158" s="32">
        <v>3</v>
      </c>
      <c r="E158" s="32">
        <v>409</v>
      </c>
      <c r="F158" s="32">
        <v>1</v>
      </c>
      <c r="G158" s="32">
        <v>154</v>
      </c>
      <c r="H158" s="32">
        <v>2</v>
      </c>
      <c r="I158" s="32">
        <v>61</v>
      </c>
      <c r="J158" s="32">
        <v>187</v>
      </c>
      <c r="K158" s="32">
        <v>405</v>
      </c>
      <c r="L158" s="32">
        <v>4</v>
      </c>
      <c r="M158" s="32">
        <f t="shared" si="14"/>
        <v>409</v>
      </c>
      <c r="N158" s="32">
        <v>0</v>
      </c>
      <c r="O158" s="33">
        <f t="shared" si="15"/>
        <v>0.1491442542787286</v>
      </c>
      <c r="P158" s="33">
        <f t="shared" si="16"/>
        <v>0.37652811735941322</v>
      </c>
      <c r="Q158" s="33">
        <f t="shared" si="17"/>
        <v>0.45721271393643031</v>
      </c>
      <c r="R158" s="33">
        <f t="shared" si="18"/>
        <v>2.4449877750611247E-3</v>
      </c>
      <c r="S158" s="33">
        <f t="shared" si="19"/>
        <v>4.8899755501222494E-3</v>
      </c>
      <c r="T158" s="34">
        <v>455</v>
      </c>
      <c r="U158" s="34">
        <v>2</v>
      </c>
      <c r="V158" s="34">
        <v>2</v>
      </c>
      <c r="W158" s="34">
        <v>63</v>
      </c>
      <c r="X158" s="34">
        <v>522</v>
      </c>
      <c r="Y158" s="37">
        <v>0.87164750957854409</v>
      </c>
      <c r="Z158" s="37">
        <v>3.8314176245210726E-3</v>
      </c>
      <c r="AA158" s="37">
        <v>3.8314176245210726E-3</v>
      </c>
      <c r="AB158" s="37">
        <v>0.1206896551724138</v>
      </c>
      <c r="AC158" s="35">
        <v>42.597701149425291</v>
      </c>
      <c r="AD158" s="33">
        <f t="shared" si="20"/>
        <v>0.78352490421455934</v>
      </c>
    </row>
    <row r="159" spans="1:30" x14ac:dyDescent="0.25">
      <c r="A159" s="32"/>
      <c r="B159" s="32"/>
      <c r="C159" s="32"/>
      <c r="D159" s="32">
        <v>4</v>
      </c>
      <c r="E159" s="32">
        <v>376</v>
      </c>
      <c r="F159" s="32">
        <v>1</v>
      </c>
      <c r="G159" s="32">
        <v>154</v>
      </c>
      <c r="H159" s="32">
        <v>3</v>
      </c>
      <c r="I159" s="32">
        <v>40</v>
      </c>
      <c r="J159" s="32">
        <v>174</v>
      </c>
      <c r="K159" s="32">
        <v>372</v>
      </c>
      <c r="L159" s="32">
        <v>4</v>
      </c>
      <c r="M159" s="32">
        <f t="shared" si="14"/>
        <v>376</v>
      </c>
      <c r="N159" s="32">
        <v>0</v>
      </c>
      <c r="O159" s="33">
        <f t="shared" si="15"/>
        <v>0.10638297872340426</v>
      </c>
      <c r="P159" s="33">
        <f t="shared" si="16"/>
        <v>0.40957446808510639</v>
      </c>
      <c r="Q159" s="33">
        <f t="shared" si="17"/>
        <v>0.46276595744680848</v>
      </c>
      <c r="R159" s="33">
        <f t="shared" si="18"/>
        <v>2.6595744680851063E-3</v>
      </c>
      <c r="S159" s="33">
        <f t="shared" si="19"/>
        <v>7.9787234042553185E-3</v>
      </c>
      <c r="T159" s="34">
        <v>489</v>
      </c>
      <c r="U159" s="34">
        <v>7</v>
      </c>
      <c r="V159" s="34">
        <v>5</v>
      </c>
      <c r="W159" s="34">
        <v>22</v>
      </c>
      <c r="X159" s="34">
        <v>523</v>
      </c>
      <c r="Y159" s="37">
        <v>0.93499043977055452</v>
      </c>
      <c r="Z159" s="37">
        <v>1.338432122370937E-2</v>
      </c>
      <c r="AA159" s="37">
        <v>9.5602294455066923E-3</v>
      </c>
      <c r="AB159" s="37">
        <v>4.2065009560229447E-2</v>
      </c>
      <c r="AC159" s="35">
        <v>26.030592734225621</v>
      </c>
      <c r="AD159" s="33">
        <f t="shared" si="20"/>
        <v>0.7189292543021033</v>
      </c>
    </row>
    <row r="160" spans="1:30" x14ac:dyDescent="0.25">
      <c r="A160" s="32">
        <v>55</v>
      </c>
      <c r="B160" s="32" t="s">
        <v>265</v>
      </c>
      <c r="C160" s="32" t="s">
        <v>266</v>
      </c>
      <c r="D160" s="32">
        <v>1</v>
      </c>
      <c r="E160" s="32">
        <v>204</v>
      </c>
      <c r="F160" s="32">
        <v>1</v>
      </c>
      <c r="G160" s="32">
        <v>47</v>
      </c>
      <c r="H160" s="32">
        <v>2</v>
      </c>
      <c r="I160" s="32">
        <v>37</v>
      </c>
      <c r="J160" s="32">
        <v>113</v>
      </c>
      <c r="K160" s="32">
        <v>200</v>
      </c>
      <c r="L160" s="32">
        <v>4</v>
      </c>
      <c r="M160" s="32">
        <f t="shared" si="14"/>
        <v>204</v>
      </c>
      <c r="N160" s="32">
        <v>0</v>
      </c>
      <c r="O160" s="33">
        <f t="shared" si="15"/>
        <v>0.18137254901960784</v>
      </c>
      <c r="P160" s="33">
        <f t="shared" si="16"/>
        <v>0.23039215686274508</v>
      </c>
      <c r="Q160" s="33">
        <f t="shared" si="17"/>
        <v>0.55392156862745101</v>
      </c>
      <c r="R160" s="33">
        <f t="shared" si="18"/>
        <v>4.9019607843137254E-3</v>
      </c>
      <c r="S160" s="33">
        <f t="shared" si="19"/>
        <v>9.8039215686274508E-3</v>
      </c>
      <c r="T160" s="34">
        <v>266</v>
      </c>
      <c r="U160" s="34">
        <v>5</v>
      </c>
      <c r="V160" s="34">
        <v>20</v>
      </c>
      <c r="W160" s="34">
        <v>0</v>
      </c>
      <c r="X160" s="34">
        <v>291</v>
      </c>
      <c r="Y160" s="37">
        <v>0.91408934707903777</v>
      </c>
      <c r="Z160" s="37">
        <v>1.7182130584192441E-2</v>
      </c>
      <c r="AA160" s="37">
        <v>6.8728522336769765E-2</v>
      </c>
      <c r="AB160" s="37">
        <v>0</v>
      </c>
      <c r="AC160" s="35">
        <v>49.996563573883158</v>
      </c>
      <c r="AD160" s="33">
        <f t="shared" si="20"/>
        <v>0.7010309278350515</v>
      </c>
    </row>
    <row r="161" spans="1:30" x14ac:dyDescent="0.25">
      <c r="A161" s="32">
        <v>56</v>
      </c>
      <c r="B161" s="32" t="s">
        <v>267</v>
      </c>
      <c r="C161" s="32" t="s">
        <v>268</v>
      </c>
      <c r="D161" s="32">
        <v>1</v>
      </c>
      <c r="E161" s="32">
        <v>120</v>
      </c>
      <c r="F161" s="32">
        <v>1</v>
      </c>
      <c r="G161" s="32">
        <v>13</v>
      </c>
      <c r="H161" s="32">
        <v>1</v>
      </c>
      <c r="I161" s="32">
        <v>63</v>
      </c>
      <c r="J161" s="32">
        <v>40</v>
      </c>
      <c r="K161" s="32">
        <v>118</v>
      </c>
      <c r="L161" s="32">
        <v>2</v>
      </c>
      <c r="M161" s="32">
        <f t="shared" si="14"/>
        <v>120</v>
      </c>
      <c r="N161" s="32">
        <v>0</v>
      </c>
      <c r="O161" s="33">
        <f t="shared" si="15"/>
        <v>0.52500000000000002</v>
      </c>
      <c r="P161" s="33">
        <f t="shared" si="16"/>
        <v>0.10833333333333334</v>
      </c>
      <c r="Q161" s="33">
        <f t="shared" si="17"/>
        <v>0.33333333333333331</v>
      </c>
      <c r="R161" s="33">
        <f t="shared" si="18"/>
        <v>8.3333333333333332E-3</v>
      </c>
      <c r="S161" s="33">
        <f t="shared" si="19"/>
        <v>8.3333333333333332E-3</v>
      </c>
      <c r="T161" s="34">
        <v>59</v>
      </c>
      <c r="U161" s="34">
        <v>130</v>
      </c>
      <c r="V161" s="34">
        <v>11</v>
      </c>
      <c r="W161" s="34">
        <v>0</v>
      </c>
      <c r="X161" s="34">
        <v>200</v>
      </c>
      <c r="Y161" s="37">
        <v>0.29499999999999998</v>
      </c>
      <c r="Z161" s="37">
        <v>0.65</v>
      </c>
      <c r="AA161" s="37">
        <v>5.5E-2</v>
      </c>
      <c r="AB161" s="37">
        <v>0</v>
      </c>
      <c r="AC161" s="35">
        <v>67.81</v>
      </c>
      <c r="AD161" s="33">
        <f t="shared" si="20"/>
        <v>0.6</v>
      </c>
    </row>
    <row r="162" spans="1:30" x14ac:dyDescent="0.25">
      <c r="A162" s="32"/>
      <c r="B162" s="32"/>
      <c r="C162" s="32"/>
      <c r="D162" s="32">
        <v>2</v>
      </c>
      <c r="E162" s="32">
        <v>266</v>
      </c>
      <c r="F162" s="32">
        <v>0</v>
      </c>
      <c r="G162" s="32">
        <v>60</v>
      </c>
      <c r="H162" s="32">
        <v>1</v>
      </c>
      <c r="I162" s="32">
        <v>133</v>
      </c>
      <c r="J162" s="32">
        <v>70</v>
      </c>
      <c r="K162" s="32">
        <v>264</v>
      </c>
      <c r="L162" s="32">
        <v>2</v>
      </c>
      <c r="M162" s="32">
        <f t="shared" si="14"/>
        <v>266</v>
      </c>
      <c r="N162" s="32">
        <v>0</v>
      </c>
      <c r="O162" s="33">
        <f t="shared" si="15"/>
        <v>0.5</v>
      </c>
      <c r="P162" s="33">
        <f t="shared" si="16"/>
        <v>0.22556390977443608</v>
      </c>
      <c r="Q162" s="33">
        <f t="shared" si="17"/>
        <v>0.26315789473684209</v>
      </c>
      <c r="R162" s="33">
        <f t="shared" si="18"/>
        <v>0</v>
      </c>
      <c r="S162" s="33">
        <f t="shared" si="19"/>
        <v>3.7593984962406013E-3</v>
      </c>
      <c r="T162" s="34">
        <v>214</v>
      </c>
      <c r="U162" s="34">
        <v>126</v>
      </c>
      <c r="V162" s="34">
        <v>31</v>
      </c>
      <c r="W162" s="34">
        <v>0</v>
      </c>
      <c r="X162" s="34">
        <v>371</v>
      </c>
      <c r="Y162" s="37">
        <v>0.5768194070080862</v>
      </c>
      <c r="Z162" s="37">
        <v>0.33962264150943394</v>
      </c>
      <c r="AA162" s="37">
        <v>8.3557951482479784E-2</v>
      </c>
      <c r="AB162" s="37">
        <v>0</v>
      </c>
      <c r="AC162" s="35">
        <v>36.493261455525605</v>
      </c>
      <c r="AD162" s="33">
        <f t="shared" si="20"/>
        <v>0.71698113207547165</v>
      </c>
    </row>
    <row r="163" spans="1:30" x14ac:dyDescent="0.25">
      <c r="A163" s="32">
        <v>57</v>
      </c>
      <c r="B163" s="32" t="s">
        <v>269</v>
      </c>
      <c r="C163" s="32" t="s">
        <v>270</v>
      </c>
      <c r="D163" s="32">
        <v>1</v>
      </c>
      <c r="E163" s="32">
        <v>224</v>
      </c>
      <c r="F163" s="32">
        <v>1</v>
      </c>
      <c r="G163" s="32">
        <v>30</v>
      </c>
      <c r="H163" s="32">
        <v>2</v>
      </c>
      <c r="I163" s="32">
        <v>34</v>
      </c>
      <c r="J163" s="32">
        <v>155</v>
      </c>
      <c r="K163" s="32">
        <v>222</v>
      </c>
      <c r="L163" s="32">
        <v>2</v>
      </c>
      <c r="M163" s="32">
        <f t="shared" si="14"/>
        <v>224</v>
      </c>
      <c r="N163" s="32">
        <v>0</v>
      </c>
      <c r="O163" s="33">
        <f t="shared" si="15"/>
        <v>0.15178571428571427</v>
      </c>
      <c r="P163" s="33">
        <f t="shared" si="16"/>
        <v>0.13392857142857142</v>
      </c>
      <c r="Q163" s="33">
        <f t="shared" si="17"/>
        <v>0.6919642857142857</v>
      </c>
      <c r="R163" s="33">
        <f t="shared" si="18"/>
        <v>4.464285714285714E-3</v>
      </c>
      <c r="S163" s="33">
        <f t="shared" si="19"/>
        <v>8.9285714285714281E-3</v>
      </c>
      <c r="T163" s="34">
        <v>297</v>
      </c>
      <c r="U163" s="34">
        <v>3</v>
      </c>
      <c r="V163" s="34">
        <v>1</v>
      </c>
      <c r="W163" s="34">
        <v>10</v>
      </c>
      <c r="X163" s="34">
        <v>311</v>
      </c>
      <c r="Y163" s="37">
        <v>0.954983922829582</v>
      </c>
      <c r="Z163" s="37">
        <v>9.6463022508038593E-3</v>
      </c>
      <c r="AA163" s="37">
        <v>3.2154340836012861E-3</v>
      </c>
      <c r="AB163" s="37">
        <v>3.215434083601286E-2</v>
      </c>
      <c r="AC163" s="35">
        <v>67.495176848874593</v>
      </c>
      <c r="AD163" s="33">
        <f t="shared" si="20"/>
        <v>0.72025723472668812</v>
      </c>
    </row>
    <row r="164" spans="1:30" x14ac:dyDescent="0.25">
      <c r="A164" s="32"/>
      <c r="B164" s="32"/>
      <c r="C164" s="32"/>
      <c r="D164" s="32">
        <v>2</v>
      </c>
      <c r="E164" s="32">
        <v>320</v>
      </c>
      <c r="F164" s="32">
        <v>5</v>
      </c>
      <c r="G164" s="32">
        <v>68</v>
      </c>
      <c r="H164" s="32">
        <v>0</v>
      </c>
      <c r="I164" s="32">
        <v>71</v>
      </c>
      <c r="J164" s="32">
        <v>174</v>
      </c>
      <c r="K164" s="32">
        <v>318</v>
      </c>
      <c r="L164" s="32">
        <v>2</v>
      </c>
      <c r="M164" s="32">
        <f t="shared" si="14"/>
        <v>320</v>
      </c>
      <c r="N164" s="32">
        <v>0</v>
      </c>
      <c r="O164" s="33">
        <f t="shared" si="15"/>
        <v>0.22187499999999999</v>
      </c>
      <c r="P164" s="33">
        <f t="shared" si="16"/>
        <v>0.21249999999999999</v>
      </c>
      <c r="Q164" s="33">
        <f t="shared" si="17"/>
        <v>0.54374999999999996</v>
      </c>
      <c r="R164" s="33">
        <f t="shared" si="18"/>
        <v>1.5625E-2</v>
      </c>
      <c r="S164" s="33">
        <f t="shared" si="19"/>
        <v>0</v>
      </c>
      <c r="T164" s="34">
        <v>386</v>
      </c>
      <c r="U164" s="34">
        <v>4</v>
      </c>
      <c r="V164" s="34">
        <v>0</v>
      </c>
      <c r="W164" s="34">
        <v>22</v>
      </c>
      <c r="X164" s="34">
        <v>412</v>
      </c>
      <c r="Y164" s="37">
        <v>0.93689320388349517</v>
      </c>
      <c r="Z164" s="37">
        <v>9.7087378640776691E-3</v>
      </c>
      <c r="AA164" s="37">
        <v>0</v>
      </c>
      <c r="AB164" s="37">
        <v>5.3398058252427182E-2</v>
      </c>
      <c r="AC164" s="35">
        <v>49.543689320388353</v>
      </c>
      <c r="AD164" s="33">
        <f t="shared" si="20"/>
        <v>0.77669902912621358</v>
      </c>
    </row>
    <row r="165" spans="1:30" x14ac:dyDescent="0.25">
      <c r="A165" s="32"/>
      <c r="B165" s="32"/>
      <c r="C165" s="32"/>
      <c r="D165" s="32">
        <v>3</v>
      </c>
      <c r="E165" s="32">
        <v>322</v>
      </c>
      <c r="F165" s="32">
        <v>1</v>
      </c>
      <c r="G165" s="32">
        <v>129</v>
      </c>
      <c r="H165" s="32">
        <v>1</v>
      </c>
      <c r="I165" s="32">
        <v>61</v>
      </c>
      <c r="J165" s="32">
        <v>128</v>
      </c>
      <c r="K165" s="32">
        <v>320</v>
      </c>
      <c r="L165" s="32">
        <v>2</v>
      </c>
      <c r="M165" s="32">
        <f t="shared" si="14"/>
        <v>322</v>
      </c>
      <c r="N165" s="32">
        <v>0</v>
      </c>
      <c r="O165" s="33">
        <f t="shared" si="15"/>
        <v>0.18944099378881987</v>
      </c>
      <c r="P165" s="33">
        <f t="shared" si="16"/>
        <v>0.40062111801242234</v>
      </c>
      <c r="Q165" s="33">
        <f t="shared" si="17"/>
        <v>0.39751552795031053</v>
      </c>
      <c r="R165" s="33">
        <f t="shared" si="18"/>
        <v>3.105590062111801E-3</v>
      </c>
      <c r="S165" s="33">
        <f t="shared" si="19"/>
        <v>3.105590062111801E-3</v>
      </c>
      <c r="T165" s="34">
        <v>395</v>
      </c>
      <c r="U165" s="34">
        <v>1</v>
      </c>
      <c r="V165" s="34">
        <v>3</v>
      </c>
      <c r="W165" s="34">
        <v>14</v>
      </c>
      <c r="X165" s="34">
        <v>413</v>
      </c>
      <c r="Y165" s="37">
        <v>0.95641646489104115</v>
      </c>
      <c r="Z165" s="37">
        <v>2.4213075060532689E-3</v>
      </c>
      <c r="AA165" s="37">
        <v>7.2639225181598066E-3</v>
      </c>
      <c r="AB165" s="37">
        <v>3.3898305084745763E-2</v>
      </c>
      <c r="AC165" s="35">
        <v>29.297820823244553</v>
      </c>
      <c r="AD165" s="33">
        <f t="shared" si="20"/>
        <v>0.77966101694915257</v>
      </c>
    </row>
    <row r="166" spans="1:30" x14ac:dyDescent="0.25">
      <c r="A166" s="32">
        <v>58</v>
      </c>
      <c r="B166" s="32" t="s">
        <v>271</v>
      </c>
      <c r="C166" s="32" t="s">
        <v>272</v>
      </c>
      <c r="D166" s="32">
        <v>1</v>
      </c>
      <c r="E166" s="32">
        <v>225</v>
      </c>
      <c r="F166" s="32">
        <v>3</v>
      </c>
      <c r="G166" s="32">
        <v>40</v>
      </c>
      <c r="H166" s="32">
        <v>1</v>
      </c>
      <c r="I166" s="32">
        <v>39</v>
      </c>
      <c r="J166" s="32">
        <v>138</v>
      </c>
      <c r="K166" s="32">
        <v>221</v>
      </c>
      <c r="L166" s="32">
        <v>4</v>
      </c>
      <c r="M166" s="32">
        <f t="shared" si="14"/>
        <v>225</v>
      </c>
      <c r="N166" s="32">
        <v>0</v>
      </c>
      <c r="O166" s="33">
        <f t="shared" si="15"/>
        <v>0.17333333333333334</v>
      </c>
      <c r="P166" s="33">
        <f t="shared" si="16"/>
        <v>0.17777777777777778</v>
      </c>
      <c r="Q166" s="33">
        <f t="shared" si="17"/>
        <v>0.61333333333333329</v>
      </c>
      <c r="R166" s="33">
        <f t="shared" si="18"/>
        <v>1.3333333333333334E-2</v>
      </c>
      <c r="S166" s="33">
        <f t="shared" si="19"/>
        <v>4.4444444444444444E-3</v>
      </c>
      <c r="T166" s="34">
        <v>278</v>
      </c>
      <c r="U166" s="34">
        <v>10</v>
      </c>
      <c r="V166" s="34">
        <v>0</v>
      </c>
      <c r="W166" s="34">
        <v>1</v>
      </c>
      <c r="X166" s="34">
        <v>289</v>
      </c>
      <c r="Y166" s="37">
        <v>0.96193771626297575</v>
      </c>
      <c r="Z166" s="37">
        <v>3.4602076124567477E-2</v>
      </c>
      <c r="AA166" s="37">
        <v>0</v>
      </c>
      <c r="AB166" s="37">
        <v>3.4602076124567475E-3</v>
      </c>
      <c r="AC166" s="35">
        <v>68.674740484429066</v>
      </c>
      <c r="AD166" s="33">
        <f t="shared" si="20"/>
        <v>0.77854671280276821</v>
      </c>
    </row>
    <row r="167" spans="1:30" x14ac:dyDescent="0.25">
      <c r="A167" s="32"/>
      <c r="B167" s="32"/>
      <c r="C167" s="32"/>
      <c r="D167" s="32">
        <v>2</v>
      </c>
      <c r="E167" s="32">
        <v>301</v>
      </c>
      <c r="F167" s="32">
        <v>0</v>
      </c>
      <c r="G167" s="32">
        <v>116</v>
      </c>
      <c r="H167" s="32">
        <v>4</v>
      </c>
      <c r="I167" s="32">
        <v>53</v>
      </c>
      <c r="J167" s="32">
        <v>127</v>
      </c>
      <c r="K167" s="32">
        <v>300</v>
      </c>
      <c r="L167" s="32">
        <v>1</v>
      </c>
      <c r="M167" s="32">
        <f t="shared" si="14"/>
        <v>301</v>
      </c>
      <c r="N167" s="32">
        <v>0</v>
      </c>
      <c r="O167" s="33">
        <f t="shared" si="15"/>
        <v>0.17607973421926909</v>
      </c>
      <c r="P167" s="33">
        <f t="shared" si="16"/>
        <v>0.38538205980066448</v>
      </c>
      <c r="Q167" s="33">
        <f t="shared" si="17"/>
        <v>0.42192691029900331</v>
      </c>
      <c r="R167" s="33">
        <f t="shared" si="18"/>
        <v>0</v>
      </c>
      <c r="S167" s="33">
        <f t="shared" si="19"/>
        <v>1.3289036544850499E-2</v>
      </c>
      <c r="T167" s="34">
        <v>369</v>
      </c>
      <c r="U167" s="34">
        <v>17</v>
      </c>
      <c r="V167" s="34">
        <v>4</v>
      </c>
      <c r="W167" s="34">
        <v>1</v>
      </c>
      <c r="X167" s="34">
        <v>391</v>
      </c>
      <c r="Y167" s="37">
        <v>0.94373401534526857</v>
      </c>
      <c r="Z167" s="37">
        <v>4.3478260869565216E-2</v>
      </c>
      <c r="AA167" s="37">
        <v>1.0230179028132993E-2</v>
      </c>
      <c r="AB167" s="37">
        <v>2.5575447570332483E-3</v>
      </c>
      <c r="AC167" s="35">
        <v>48.664961636828643</v>
      </c>
      <c r="AD167" s="33">
        <f t="shared" si="20"/>
        <v>0.76982097186700771</v>
      </c>
    </row>
    <row r="168" spans="1:30" x14ac:dyDescent="0.25">
      <c r="A168" s="32"/>
      <c r="B168" s="32"/>
      <c r="C168" s="32"/>
      <c r="D168" s="32">
        <v>3</v>
      </c>
      <c r="E168" s="32">
        <v>305</v>
      </c>
      <c r="F168" s="32">
        <v>0</v>
      </c>
      <c r="G168" s="32">
        <v>158</v>
      </c>
      <c r="H168" s="32">
        <v>1</v>
      </c>
      <c r="I168" s="32">
        <v>57</v>
      </c>
      <c r="J168" s="32">
        <v>88</v>
      </c>
      <c r="K168" s="32">
        <v>304</v>
      </c>
      <c r="L168" s="32">
        <v>1</v>
      </c>
      <c r="M168" s="32">
        <f t="shared" si="14"/>
        <v>305</v>
      </c>
      <c r="N168" s="32">
        <v>0</v>
      </c>
      <c r="O168" s="33">
        <f t="shared" si="15"/>
        <v>0.18688524590163935</v>
      </c>
      <c r="P168" s="33">
        <f t="shared" si="16"/>
        <v>0.5180327868852459</v>
      </c>
      <c r="Q168" s="33">
        <f t="shared" si="17"/>
        <v>0.28852459016393445</v>
      </c>
      <c r="R168" s="33">
        <f t="shared" si="18"/>
        <v>0</v>
      </c>
      <c r="S168" s="33">
        <f t="shared" si="19"/>
        <v>3.2786885245901639E-3</v>
      </c>
      <c r="T168" s="34">
        <v>377</v>
      </c>
      <c r="U168" s="34">
        <v>11</v>
      </c>
      <c r="V168" s="34">
        <v>2</v>
      </c>
      <c r="W168" s="34">
        <v>1</v>
      </c>
      <c r="X168" s="34">
        <v>391</v>
      </c>
      <c r="Y168" s="37">
        <v>0.96419437340153458</v>
      </c>
      <c r="Z168" s="37">
        <v>2.8132992327365727E-2</v>
      </c>
      <c r="AA168" s="37">
        <v>5.1150895140664966E-3</v>
      </c>
      <c r="AB168" s="37">
        <v>2.5575447570332483E-3</v>
      </c>
      <c r="AC168" s="35">
        <v>29.112531969309462</v>
      </c>
      <c r="AD168" s="33">
        <f t="shared" si="20"/>
        <v>0.78005115089514065</v>
      </c>
    </row>
    <row r="169" spans="1:30" x14ac:dyDescent="0.25">
      <c r="A169" s="32">
        <v>59</v>
      </c>
      <c r="B169" s="32" t="s">
        <v>273</v>
      </c>
      <c r="C169" s="32" t="s">
        <v>274</v>
      </c>
      <c r="D169" s="32">
        <v>1</v>
      </c>
      <c r="E169" s="32">
        <v>251</v>
      </c>
      <c r="F169" s="32">
        <v>2</v>
      </c>
      <c r="G169" s="32">
        <v>34</v>
      </c>
      <c r="H169" s="32">
        <v>5</v>
      </c>
      <c r="I169" s="32">
        <v>71</v>
      </c>
      <c r="J169" s="32">
        <v>131</v>
      </c>
      <c r="K169" s="32">
        <v>243</v>
      </c>
      <c r="L169" s="32">
        <v>8</v>
      </c>
      <c r="M169" s="32">
        <f t="shared" si="14"/>
        <v>251</v>
      </c>
      <c r="N169" s="32">
        <v>0</v>
      </c>
      <c r="O169" s="33">
        <f t="shared" si="15"/>
        <v>0.28286852589641437</v>
      </c>
      <c r="P169" s="33">
        <f t="shared" si="16"/>
        <v>0.13545816733067728</v>
      </c>
      <c r="Q169" s="33">
        <f t="shared" si="17"/>
        <v>0.52191235059760954</v>
      </c>
      <c r="R169" s="33">
        <f t="shared" si="18"/>
        <v>7.9681274900398405E-3</v>
      </c>
      <c r="S169" s="33">
        <f t="shared" si="19"/>
        <v>1.9920318725099601E-2</v>
      </c>
      <c r="T169" s="34">
        <v>254</v>
      </c>
      <c r="U169" s="34">
        <v>87</v>
      </c>
      <c r="V169" s="34">
        <v>9</v>
      </c>
      <c r="W169" s="34">
        <v>0</v>
      </c>
      <c r="X169" s="34">
        <v>350</v>
      </c>
      <c r="Y169" s="37">
        <v>0.72571428571428576</v>
      </c>
      <c r="Z169" s="37">
        <v>0.24857142857142858</v>
      </c>
      <c r="AA169" s="37">
        <v>2.5714285714285714E-2</v>
      </c>
      <c r="AB169" s="37">
        <v>0</v>
      </c>
      <c r="AC169" s="35">
        <v>72.068571428571431</v>
      </c>
      <c r="AD169" s="33">
        <f t="shared" si="20"/>
        <v>0.71714285714285719</v>
      </c>
    </row>
    <row r="170" spans="1:30" x14ac:dyDescent="0.25">
      <c r="A170" s="32"/>
      <c r="B170" s="32"/>
      <c r="C170" s="32"/>
      <c r="D170" s="32">
        <v>2</v>
      </c>
      <c r="E170" s="32">
        <v>300</v>
      </c>
      <c r="F170" s="32">
        <v>2</v>
      </c>
      <c r="G170" s="32">
        <v>31</v>
      </c>
      <c r="H170" s="32">
        <v>1</v>
      </c>
      <c r="I170" s="32">
        <v>102</v>
      </c>
      <c r="J170" s="32">
        <v>162</v>
      </c>
      <c r="K170" s="32">
        <v>298</v>
      </c>
      <c r="L170" s="32">
        <v>2</v>
      </c>
      <c r="M170" s="32">
        <f t="shared" si="14"/>
        <v>300</v>
      </c>
      <c r="N170" s="32">
        <v>0</v>
      </c>
      <c r="O170" s="33">
        <f t="shared" si="15"/>
        <v>0.34</v>
      </c>
      <c r="P170" s="33">
        <f t="shared" si="16"/>
        <v>0.10333333333333333</v>
      </c>
      <c r="Q170" s="33">
        <f t="shared" si="17"/>
        <v>0.54</v>
      </c>
      <c r="R170" s="33">
        <f t="shared" si="18"/>
        <v>6.6666666666666671E-3</v>
      </c>
      <c r="S170" s="33">
        <f t="shared" si="19"/>
        <v>3.3333333333333335E-3</v>
      </c>
      <c r="T170" s="34">
        <v>256</v>
      </c>
      <c r="U170" s="34">
        <v>86</v>
      </c>
      <c r="V170" s="34">
        <v>8</v>
      </c>
      <c r="W170" s="34">
        <v>0</v>
      </c>
      <c r="X170" s="34">
        <v>350</v>
      </c>
      <c r="Y170" s="37">
        <v>0.73142857142857143</v>
      </c>
      <c r="Z170" s="37">
        <v>0.24571428571428572</v>
      </c>
      <c r="AA170" s="37">
        <v>2.2857142857142857E-2</v>
      </c>
      <c r="AB170" s="37">
        <v>0</v>
      </c>
      <c r="AC170" s="35">
        <v>62.134285714285717</v>
      </c>
      <c r="AD170" s="33">
        <f t="shared" si="20"/>
        <v>0.8571428571428571</v>
      </c>
    </row>
    <row r="171" spans="1:30" x14ac:dyDescent="0.25">
      <c r="A171" s="32"/>
      <c r="B171" s="32"/>
      <c r="C171" s="32"/>
      <c r="D171" s="32">
        <v>3</v>
      </c>
      <c r="E171" s="32">
        <v>444</v>
      </c>
      <c r="F171" s="32">
        <v>3</v>
      </c>
      <c r="G171" s="32">
        <v>97</v>
      </c>
      <c r="H171" s="32">
        <v>3</v>
      </c>
      <c r="I171" s="32">
        <v>130</v>
      </c>
      <c r="J171" s="32">
        <v>204</v>
      </c>
      <c r="K171" s="32">
        <v>437</v>
      </c>
      <c r="L171" s="32">
        <v>7</v>
      </c>
      <c r="M171" s="32">
        <f t="shared" si="14"/>
        <v>444</v>
      </c>
      <c r="N171" s="32">
        <v>0</v>
      </c>
      <c r="O171" s="33">
        <f t="shared" si="15"/>
        <v>0.2927927927927928</v>
      </c>
      <c r="P171" s="33">
        <f t="shared" si="16"/>
        <v>0.21846846846846846</v>
      </c>
      <c r="Q171" s="33">
        <f t="shared" si="17"/>
        <v>0.45945945945945948</v>
      </c>
      <c r="R171" s="33">
        <f t="shared" si="18"/>
        <v>6.7567567567567571E-3</v>
      </c>
      <c r="S171" s="33">
        <f t="shared" si="19"/>
        <v>6.7567567567567571E-3</v>
      </c>
      <c r="T171" s="34">
        <v>444</v>
      </c>
      <c r="U171" s="34">
        <v>114</v>
      </c>
      <c r="V171" s="34">
        <v>14</v>
      </c>
      <c r="W171" s="34">
        <v>2</v>
      </c>
      <c r="X171" s="34">
        <v>574</v>
      </c>
      <c r="Y171" s="37">
        <v>0.77351916376306618</v>
      </c>
      <c r="Z171" s="37">
        <v>0.19860627177700349</v>
      </c>
      <c r="AA171" s="37">
        <v>2.4390243902439025E-2</v>
      </c>
      <c r="AB171" s="37">
        <v>3.4843205574912892E-3</v>
      </c>
      <c r="AC171" s="35">
        <v>49.442508710801391</v>
      </c>
      <c r="AD171" s="33">
        <f t="shared" si="20"/>
        <v>0.77351916376306618</v>
      </c>
    </row>
    <row r="172" spans="1:30" x14ac:dyDescent="0.25">
      <c r="A172" s="32"/>
      <c r="B172" s="32"/>
      <c r="C172" s="32"/>
      <c r="D172" s="32">
        <v>4</v>
      </c>
      <c r="E172" s="32">
        <v>426</v>
      </c>
      <c r="F172" s="32">
        <v>2</v>
      </c>
      <c r="G172" s="32">
        <v>150</v>
      </c>
      <c r="H172" s="32">
        <v>0</v>
      </c>
      <c r="I172" s="32">
        <v>112</v>
      </c>
      <c r="J172" s="32">
        <v>161</v>
      </c>
      <c r="K172" s="32">
        <v>425</v>
      </c>
      <c r="L172" s="32">
        <v>1</v>
      </c>
      <c r="M172" s="32">
        <f t="shared" si="14"/>
        <v>426</v>
      </c>
      <c r="N172" s="32">
        <v>0</v>
      </c>
      <c r="O172" s="33">
        <f t="shared" si="15"/>
        <v>0.26291079812206575</v>
      </c>
      <c r="P172" s="33">
        <f t="shared" si="16"/>
        <v>0.352112676056338</v>
      </c>
      <c r="Q172" s="33">
        <f t="shared" si="17"/>
        <v>0.3779342723004695</v>
      </c>
      <c r="R172" s="33">
        <f t="shared" si="18"/>
        <v>4.6948356807511738E-3</v>
      </c>
      <c r="S172" s="33">
        <f t="shared" si="19"/>
        <v>0</v>
      </c>
      <c r="T172" s="34">
        <v>479</v>
      </c>
      <c r="U172" s="34">
        <v>75</v>
      </c>
      <c r="V172" s="34">
        <v>20</v>
      </c>
      <c r="W172" s="34">
        <v>0</v>
      </c>
      <c r="X172" s="34">
        <v>574</v>
      </c>
      <c r="Y172" s="37">
        <v>0.83449477351916379</v>
      </c>
      <c r="Z172" s="37">
        <v>0.13066202090592335</v>
      </c>
      <c r="AA172" s="37">
        <v>3.484320557491289E-2</v>
      </c>
      <c r="AB172" s="37">
        <v>0</v>
      </c>
      <c r="AC172" s="35">
        <v>35.463414634146339</v>
      </c>
      <c r="AD172" s="33">
        <f t="shared" si="20"/>
        <v>0.74216027874564461</v>
      </c>
    </row>
    <row r="173" spans="1:30" x14ac:dyDescent="0.25">
      <c r="A173" s="32"/>
      <c r="B173" s="32"/>
      <c r="C173" s="32"/>
      <c r="D173" s="32">
        <v>5</v>
      </c>
      <c r="E173" s="32">
        <v>445</v>
      </c>
      <c r="F173" s="32">
        <v>1</v>
      </c>
      <c r="G173" s="32">
        <v>190</v>
      </c>
      <c r="H173" s="32">
        <v>4</v>
      </c>
      <c r="I173" s="32">
        <v>94</v>
      </c>
      <c r="J173" s="32">
        <v>153</v>
      </c>
      <c r="K173" s="32">
        <v>442</v>
      </c>
      <c r="L173" s="32">
        <v>2</v>
      </c>
      <c r="M173" s="32">
        <f t="shared" si="14"/>
        <v>444</v>
      </c>
      <c r="N173" s="32">
        <v>1</v>
      </c>
      <c r="O173" s="33">
        <f t="shared" si="15"/>
        <v>0.21171171171171171</v>
      </c>
      <c r="P173" s="33">
        <f t="shared" si="16"/>
        <v>0.42792792792792794</v>
      </c>
      <c r="Q173" s="33">
        <f t="shared" si="17"/>
        <v>0.34459459459459457</v>
      </c>
      <c r="R173" s="33">
        <f t="shared" si="18"/>
        <v>2.2522522522522522E-3</v>
      </c>
      <c r="S173" s="33">
        <f t="shared" si="19"/>
        <v>9.0090090090090089E-3</v>
      </c>
      <c r="T173" s="34">
        <v>492</v>
      </c>
      <c r="U173" s="34">
        <v>68</v>
      </c>
      <c r="V173" s="34">
        <v>14</v>
      </c>
      <c r="W173" s="34">
        <v>0</v>
      </c>
      <c r="X173" s="34">
        <v>574</v>
      </c>
      <c r="Y173" s="37">
        <v>0.8571428571428571</v>
      </c>
      <c r="Z173" s="37">
        <v>0.11846689895470383</v>
      </c>
      <c r="AA173" s="37">
        <v>2.4390243902439025E-2</v>
      </c>
      <c r="AB173" s="37">
        <v>0</v>
      </c>
      <c r="AC173" s="35">
        <v>24.019163763066203</v>
      </c>
      <c r="AD173" s="33">
        <f t="shared" si="20"/>
        <v>0.77351916376306618</v>
      </c>
    </row>
    <row r="174" spans="1:30" x14ac:dyDescent="0.25">
      <c r="A174" s="32" t="s">
        <v>275</v>
      </c>
      <c r="B174" s="32"/>
      <c r="C174" s="32"/>
      <c r="D174" s="32">
        <v>172</v>
      </c>
      <c r="E174" s="32">
        <v>49280</v>
      </c>
      <c r="F174" s="32">
        <v>406</v>
      </c>
      <c r="G174" s="32">
        <v>11560</v>
      </c>
      <c r="H174" s="32">
        <v>333</v>
      </c>
      <c r="I174" s="32">
        <v>14940</v>
      </c>
      <c r="J174" s="32">
        <v>21423</v>
      </c>
      <c r="K174" s="32">
        <v>48662</v>
      </c>
      <c r="L174" s="32">
        <v>489</v>
      </c>
      <c r="M174" s="32">
        <f t="shared" si="14"/>
        <v>49151</v>
      </c>
      <c r="N174" s="32">
        <v>129</v>
      </c>
      <c r="O174" s="33">
        <f t="shared" si="15"/>
        <v>0.30396126223271142</v>
      </c>
      <c r="P174" s="33">
        <f t="shared" si="16"/>
        <v>0.23519358710911273</v>
      </c>
      <c r="Q174" s="33">
        <f t="shared" si="17"/>
        <v>0.43586091839433583</v>
      </c>
      <c r="R174" s="33">
        <f t="shared" si="18"/>
        <v>8.2602592012370052E-3</v>
      </c>
      <c r="S174" s="33">
        <f t="shared" si="19"/>
        <v>6.7750401822953754E-3</v>
      </c>
      <c r="T174" s="34">
        <v>49110</v>
      </c>
      <c r="U174" s="34">
        <v>9861</v>
      </c>
      <c r="V174" s="34">
        <v>3227</v>
      </c>
      <c r="W174" s="34">
        <v>1049</v>
      </c>
      <c r="X174" s="34">
        <v>63247</v>
      </c>
      <c r="Y174" s="37">
        <v>0.7764795168150268</v>
      </c>
      <c r="Z174" s="37">
        <v>0.15591253340079372</v>
      </c>
      <c r="AA174" s="37">
        <v>5.102218287033377E-2</v>
      </c>
      <c r="AB174" s="37">
        <v>1.6585766913845716E-2</v>
      </c>
      <c r="AC174" s="35">
        <v>47.951168487998252</v>
      </c>
      <c r="AD174" s="33">
        <f t="shared" si="20"/>
        <v>0.77712776890603508</v>
      </c>
    </row>
    <row r="176" spans="1:30" x14ac:dyDescent="0.25">
      <c r="A176" s="32"/>
      <c r="B176" s="32"/>
      <c r="C176" s="32" t="s">
        <v>427</v>
      </c>
      <c r="D176" s="32"/>
      <c r="E176" s="32">
        <f>SUM(E3:E5)</f>
        <v>334</v>
      </c>
      <c r="F176" s="32">
        <f t="shared" ref="F176:N176" si="21">SUM(F3:F5)</f>
        <v>7</v>
      </c>
      <c r="G176" s="32">
        <f t="shared" si="21"/>
        <v>106</v>
      </c>
      <c r="H176" s="32">
        <f t="shared" si="21"/>
        <v>5</v>
      </c>
      <c r="I176" s="32">
        <f t="shared" si="21"/>
        <v>16</v>
      </c>
      <c r="J176" s="32">
        <f t="shared" si="21"/>
        <v>198</v>
      </c>
      <c r="K176" s="32">
        <f t="shared" si="21"/>
        <v>332</v>
      </c>
      <c r="L176" s="32">
        <f t="shared" si="21"/>
        <v>2</v>
      </c>
      <c r="M176" s="32">
        <f t="shared" si="21"/>
        <v>334</v>
      </c>
      <c r="N176" s="32">
        <f t="shared" si="21"/>
        <v>0</v>
      </c>
      <c r="O176" s="33">
        <f t="shared" ref="O176" si="22">I176/M176</f>
        <v>4.790419161676647E-2</v>
      </c>
      <c r="P176" s="33">
        <f t="shared" ref="P176" si="23">G176/M176</f>
        <v>0.31736526946107785</v>
      </c>
      <c r="Q176" s="33">
        <f t="shared" ref="Q176" si="24">J176/M176</f>
        <v>0.59281437125748504</v>
      </c>
      <c r="R176" s="33">
        <f t="shared" ref="R176" si="25">F176/M176</f>
        <v>2.0958083832335328E-2</v>
      </c>
      <c r="S176" s="33">
        <f t="shared" ref="S176" si="26">H176/M176</f>
        <v>1.4970059880239521E-2</v>
      </c>
      <c r="T176" s="32">
        <f t="shared" ref="T176:X176" si="27">SUM(T3:T5)</f>
        <v>339</v>
      </c>
      <c r="U176" s="32">
        <f t="shared" si="27"/>
        <v>2</v>
      </c>
      <c r="V176" s="32">
        <f t="shared" si="27"/>
        <v>9</v>
      </c>
      <c r="W176" s="32">
        <f t="shared" si="27"/>
        <v>12</v>
      </c>
      <c r="X176" s="32">
        <f t="shared" si="27"/>
        <v>362</v>
      </c>
      <c r="Y176" s="33">
        <f>T176/X176</f>
        <v>0.93646408839779005</v>
      </c>
      <c r="Z176" s="33">
        <f>U176/X176</f>
        <v>5.5248618784530384E-3</v>
      </c>
      <c r="AA176" s="33">
        <f>V176/X176</f>
        <v>2.4861878453038673E-2</v>
      </c>
      <c r="AB176" s="33">
        <f>W176/X176</f>
        <v>3.3149171270718231E-2</v>
      </c>
      <c r="AC176" s="38">
        <f>AVERAGE(AC3:AC5)</f>
        <v>36.418533612966463</v>
      </c>
      <c r="AD176" s="33">
        <f t="shared" si="20"/>
        <v>0.92265193370165743</v>
      </c>
    </row>
    <row r="178" spans="2:30" ht="13.8" x14ac:dyDescent="0.3">
      <c r="B178" s="104" t="s">
        <v>428</v>
      </c>
      <c r="C178" s="104" t="s">
        <v>429</v>
      </c>
      <c r="D178" s="32"/>
      <c r="E178" s="32">
        <f>SUM(E6:E39)</f>
        <v>10200</v>
      </c>
      <c r="F178" s="32">
        <f t="shared" ref="F178:N178" si="28">SUM(F6:F39)</f>
        <v>83</v>
      </c>
      <c r="G178" s="32">
        <f t="shared" si="28"/>
        <v>2574</v>
      </c>
      <c r="H178" s="32">
        <f t="shared" si="28"/>
        <v>56</v>
      </c>
      <c r="I178" s="32">
        <f t="shared" si="28"/>
        <v>3015</v>
      </c>
      <c r="J178" s="32">
        <f t="shared" si="28"/>
        <v>4385</v>
      </c>
      <c r="K178" s="32">
        <f t="shared" si="28"/>
        <v>10113</v>
      </c>
      <c r="L178" s="32">
        <f t="shared" si="28"/>
        <v>86</v>
      </c>
      <c r="M178" s="32">
        <f t="shared" si="28"/>
        <v>10199</v>
      </c>
      <c r="N178" s="32">
        <f t="shared" si="28"/>
        <v>1</v>
      </c>
      <c r="O178" s="33">
        <f t="shared" ref="O178:O182" si="29">I178/M178</f>
        <v>0.29561721737425239</v>
      </c>
      <c r="P178" s="33">
        <f t="shared" ref="P178:P182" si="30">G178/M178</f>
        <v>0.25237768408667516</v>
      </c>
      <c r="Q178" s="33">
        <f t="shared" ref="Q178:Q182" si="31">J178/M178</f>
        <v>0.4299441121678596</v>
      </c>
      <c r="R178" s="33">
        <f t="shared" ref="R178:R182" si="32">F178/M178</f>
        <v>8.1380527502696344E-3</v>
      </c>
      <c r="S178" s="33">
        <f t="shared" ref="S178:S182" si="33">H178/M178</f>
        <v>5.4907343857240904E-3</v>
      </c>
      <c r="T178" s="32">
        <f t="shared" ref="T178:X178" si="34">SUM(T6:T39)</f>
        <v>10768</v>
      </c>
      <c r="U178" s="32">
        <f t="shared" si="34"/>
        <v>1594</v>
      </c>
      <c r="V178" s="32">
        <f t="shared" si="34"/>
        <v>717</v>
      </c>
      <c r="W178" s="32">
        <f t="shared" si="34"/>
        <v>217</v>
      </c>
      <c r="X178" s="32">
        <f t="shared" si="34"/>
        <v>13296</v>
      </c>
      <c r="Y178" s="33">
        <f t="shared" ref="Y178:Y182" si="35">T178/X178</f>
        <v>0.80986762936221424</v>
      </c>
      <c r="Z178" s="33">
        <f t="shared" ref="Z178:Z182" si="36">U178/X178</f>
        <v>0.11988567990373045</v>
      </c>
      <c r="AA178" s="33">
        <f t="shared" ref="AA178:AA182" si="37">V178/X178</f>
        <v>5.3925992779783397E-2</v>
      </c>
      <c r="AB178" s="33">
        <f t="shared" ref="AB178:AB182" si="38">W178/X178</f>
        <v>1.6320697954271962E-2</v>
      </c>
      <c r="AC178" s="38"/>
      <c r="AD178" s="33">
        <f t="shared" ref="AD178:AD182" si="39">M178/X178</f>
        <v>0.76707280385078214</v>
      </c>
    </row>
    <row r="179" spans="2:30" ht="13.8" x14ac:dyDescent="0.3">
      <c r="B179" s="104" t="s">
        <v>430</v>
      </c>
      <c r="C179" s="104" t="s">
        <v>431</v>
      </c>
      <c r="D179" s="32"/>
      <c r="E179" s="32">
        <f>SUM(E40:E67)</f>
        <v>7689</v>
      </c>
      <c r="F179" s="32">
        <f t="shared" ref="F179:N179" si="40">SUM(F40:F67)</f>
        <v>65</v>
      </c>
      <c r="G179" s="32">
        <f t="shared" si="40"/>
        <v>2138</v>
      </c>
      <c r="H179" s="32">
        <f t="shared" si="40"/>
        <v>55</v>
      </c>
      <c r="I179" s="32">
        <f t="shared" si="40"/>
        <v>1583</v>
      </c>
      <c r="J179" s="32">
        <f t="shared" si="40"/>
        <v>3787</v>
      </c>
      <c r="K179" s="32">
        <f t="shared" si="40"/>
        <v>7628</v>
      </c>
      <c r="L179" s="32">
        <f t="shared" si="40"/>
        <v>59</v>
      </c>
      <c r="M179" s="32">
        <f t="shared" si="40"/>
        <v>7687</v>
      </c>
      <c r="N179" s="32">
        <f t="shared" si="40"/>
        <v>2</v>
      </c>
      <c r="O179" s="33">
        <f t="shared" si="29"/>
        <v>0.20593209314426955</v>
      </c>
      <c r="P179" s="33">
        <f t="shared" si="30"/>
        <v>0.27813191101860285</v>
      </c>
      <c r="Q179" s="33">
        <f t="shared" si="31"/>
        <v>0.49264992845063094</v>
      </c>
      <c r="R179" s="33">
        <f t="shared" si="32"/>
        <v>8.4558345258228182E-3</v>
      </c>
      <c r="S179" s="33">
        <f t="shared" si="33"/>
        <v>7.1549369064654615E-3</v>
      </c>
      <c r="T179" s="32">
        <f t="shared" ref="T179:X179" si="41">SUM(T40:T67)</f>
        <v>9395</v>
      </c>
      <c r="U179" s="32">
        <f t="shared" si="41"/>
        <v>250</v>
      </c>
      <c r="V179" s="32">
        <f t="shared" si="41"/>
        <v>43</v>
      </c>
      <c r="W179" s="32">
        <f t="shared" si="41"/>
        <v>338</v>
      </c>
      <c r="X179" s="32">
        <f t="shared" si="41"/>
        <v>10026</v>
      </c>
      <c r="Y179" s="33">
        <f t="shared" si="35"/>
        <v>0.93706363455016961</v>
      </c>
      <c r="Z179" s="33">
        <f t="shared" si="36"/>
        <v>2.4935168561739478E-2</v>
      </c>
      <c r="AA179" s="33">
        <f t="shared" si="37"/>
        <v>4.2888489926191905E-3</v>
      </c>
      <c r="AB179" s="33">
        <f t="shared" si="38"/>
        <v>3.3712347895471777E-2</v>
      </c>
      <c r="AC179" s="38"/>
      <c r="AD179" s="33">
        <f t="shared" si="39"/>
        <v>0.76670656293636541</v>
      </c>
    </row>
    <row r="180" spans="2:30" ht="13.8" x14ac:dyDescent="0.3">
      <c r="B180" s="104" t="s">
        <v>432</v>
      </c>
      <c r="C180" s="104" t="s">
        <v>433</v>
      </c>
      <c r="D180" s="32"/>
      <c r="E180" s="32">
        <f>SUM(E68:E97)</f>
        <v>7532</v>
      </c>
      <c r="F180" s="32">
        <f t="shared" ref="F180:N180" si="42">SUM(F68:F97)</f>
        <v>81</v>
      </c>
      <c r="G180" s="32">
        <f t="shared" si="42"/>
        <v>1760</v>
      </c>
      <c r="H180" s="32">
        <f t="shared" si="42"/>
        <v>53</v>
      </c>
      <c r="I180" s="32">
        <f t="shared" si="42"/>
        <v>2020</v>
      </c>
      <c r="J180" s="32">
        <f t="shared" si="42"/>
        <v>3551</v>
      </c>
      <c r="K180" s="32">
        <f t="shared" si="42"/>
        <v>7465</v>
      </c>
      <c r="L180" s="32">
        <f t="shared" si="42"/>
        <v>67</v>
      </c>
      <c r="M180" s="32">
        <f t="shared" si="42"/>
        <v>7532</v>
      </c>
      <c r="N180" s="32">
        <f t="shared" si="42"/>
        <v>0</v>
      </c>
      <c r="O180" s="33">
        <f t="shared" si="29"/>
        <v>0.26818906001062137</v>
      </c>
      <c r="P180" s="33">
        <f t="shared" si="30"/>
        <v>0.23366967604885822</v>
      </c>
      <c r="Q180" s="33">
        <f t="shared" si="31"/>
        <v>0.47145512480084972</v>
      </c>
      <c r="R180" s="33">
        <f t="shared" si="32"/>
        <v>1.0754115772703134E-2</v>
      </c>
      <c r="S180" s="33">
        <f t="shared" si="33"/>
        <v>7.0366436537440255E-3</v>
      </c>
      <c r="T180" s="32">
        <f t="shared" ref="T180:X180" si="43">SUM(T68:T97)</f>
        <v>7994</v>
      </c>
      <c r="U180" s="32">
        <f t="shared" si="43"/>
        <v>1555</v>
      </c>
      <c r="V180" s="32">
        <f t="shared" si="43"/>
        <v>326</v>
      </c>
      <c r="W180" s="32">
        <f t="shared" si="43"/>
        <v>17</v>
      </c>
      <c r="X180" s="32">
        <f t="shared" si="43"/>
        <v>9892</v>
      </c>
      <c r="Y180" s="33">
        <f t="shared" si="35"/>
        <v>0.808127780024262</v>
      </c>
      <c r="Z180" s="33">
        <f t="shared" si="36"/>
        <v>0.15719773554387384</v>
      </c>
      <c r="AA180" s="33">
        <f t="shared" si="37"/>
        <v>3.2955923978972908E-2</v>
      </c>
      <c r="AB180" s="33">
        <f t="shared" si="38"/>
        <v>1.7185604528912252E-3</v>
      </c>
      <c r="AC180" s="38"/>
      <c r="AD180" s="33">
        <f t="shared" si="39"/>
        <v>0.76142337242215929</v>
      </c>
    </row>
    <row r="181" spans="2:30" ht="13.8" x14ac:dyDescent="0.3">
      <c r="B181" s="104" t="s">
        <v>434</v>
      </c>
      <c r="C181" s="104" t="s">
        <v>435</v>
      </c>
      <c r="D181" s="32"/>
      <c r="E181" s="32">
        <f>SUM(E98:E142)</f>
        <v>12770</v>
      </c>
      <c r="F181" s="32">
        <f t="shared" ref="F181:N181" si="44">SUM(F98:F142)</f>
        <v>109</v>
      </c>
      <c r="G181" s="32">
        <f t="shared" si="44"/>
        <v>2357</v>
      </c>
      <c r="H181" s="32">
        <f t="shared" si="44"/>
        <v>94</v>
      </c>
      <c r="I181" s="32">
        <f t="shared" si="44"/>
        <v>5322</v>
      </c>
      <c r="J181" s="32">
        <f t="shared" si="44"/>
        <v>4808</v>
      </c>
      <c r="K181" s="32">
        <f t="shared" si="44"/>
        <v>12690</v>
      </c>
      <c r="L181" s="32">
        <f t="shared" si="44"/>
        <v>80</v>
      </c>
      <c r="M181" s="32">
        <f t="shared" si="44"/>
        <v>12770</v>
      </c>
      <c r="N181" s="32">
        <f t="shared" si="44"/>
        <v>0</v>
      </c>
      <c r="O181" s="33">
        <f t="shared" si="29"/>
        <v>0.41675802662490213</v>
      </c>
      <c r="P181" s="33">
        <f t="shared" si="30"/>
        <v>0.1845732184808144</v>
      </c>
      <c r="Q181" s="33">
        <f t="shared" si="31"/>
        <v>0.37650743931088487</v>
      </c>
      <c r="R181" s="33">
        <f t="shared" si="32"/>
        <v>8.5356303837118251E-3</v>
      </c>
      <c r="S181" s="33">
        <f t="shared" si="33"/>
        <v>7.3610023492560687E-3</v>
      </c>
      <c r="T181" s="32">
        <f t="shared" ref="T181:X181" si="45">SUM(T98:T142)</f>
        <v>11418</v>
      </c>
      <c r="U181" s="32">
        <f t="shared" si="45"/>
        <v>4420</v>
      </c>
      <c r="V181" s="32">
        <f t="shared" si="45"/>
        <v>1479</v>
      </c>
      <c r="W181" s="32">
        <f t="shared" si="45"/>
        <v>43</v>
      </c>
      <c r="X181" s="32">
        <f t="shared" si="45"/>
        <v>17360</v>
      </c>
      <c r="Y181" s="33">
        <f t="shared" si="35"/>
        <v>0.65771889400921657</v>
      </c>
      <c r="Z181" s="33">
        <f t="shared" si="36"/>
        <v>0.25460829493087556</v>
      </c>
      <c r="AA181" s="33">
        <f t="shared" si="37"/>
        <v>8.5195852534562216E-2</v>
      </c>
      <c r="AB181" s="33">
        <f t="shared" si="38"/>
        <v>2.4769585253456221E-3</v>
      </c>
      <c r="AC181" s="38"/>
      <c r="AD181" s="33">
        <f t="shared" si="39"/>
        <v>0.73559907834101379</v>
      </c>
    </row>
    <row r="182" spans="2:30" ht="13.8" x14ac:dyDescent="0.3">
      <c r="B182" s="104" t="s">
        <v>436</v>
      </c>
      <c r="C182" s="104" t="s">
        <v>437</v>
      </c>
      <c r="D182" s="32"/>
      <c r="E182" s="32">
        <f>SUM(E143:E173)</f>
        <v>9229</v>
      </c>
      <c r="F182" s="32">
        <f t="shared" ref="F182:N182" si="46">SUM(F143:F173)</f>
        <v>49</v>
      </c>
      <c r="G182" s="32">
        <f t="shared" si="46"/>
        <v>2318</v>
      </c>
      <c r="H182" s="32">
        <f t="shared" si="46"/>
        <v>64</v>
      </c>
      <c r="I182" s="32">
        <f t="shared" si="46"/>
        <v>2705</v>
      </c>
      <c r="J182" s="32">
        <f t="shared" si="46"/>
        <v>3993</v>
      </c>
      <c r="K182" s="32">
        <f t="shared" si="46"/>
        <v>9129</v>
      </c>
      <c r="L182" s="32">
        <f t="shared" si="46"/>
        <v>99</v>
      </c>
      <c r="M182" s="32">
        <f t="shared" si="46"/>
        <v>9228</v>
      </c>
      <c r="N182" s="32">
        <f t="shared" si="46"/>
        <v>1</v>
      </c>
      <c r="O182" s="33">
        <f t="shared" si="29"/>
        <v>0.29312960554833117</v>
      </c>
      <c r="P182" s="33">
        <f t="shared" si="30"/>
        <v>0.25119202427394888</v>
      </c>
      <c r="Q182" s="33">
        <f t="shared" si="31"/>
        <v>0.43270481144343304</v>
      </c>
      <c r="R182" s="33">
        <f t="shared" si="32"/>
        <v>5.3099263112267011E-3</v>
      </c>
      <c r="S182" s="33">
        <f t="shared" si="33"/>
        <v>6.9354139575205894E-3</v>
      </c>
      <c r="T182" s="32">
        <f t="shared" ref="T182:X182" si="47">SUM(T143:T173)</f>
        <v>9188</v>
      </c>
      <c r="U182" s="32">
        <f t="shared" si="47"/>
        <v>2038</v>
      </c>
      <c r="V182" s="32">
        <f t="shared" si="47"/>
        <v>653</v>
      </c>
      <c r="W182" s="32">
        <f t="shared" si="47"/>
        <v>422</v>
      </c>
      <c r="X182" s="32">
        <f t="shared" si="47"/>
        <v>12301</v>
      </c>
      <c r="Y182" s="33">
        <f t="shared" si="35"/>
        <v>0.74693114380944636</v>
      </c>
      <c r="Z182" s="33">
        <f t="shared" si="36"/>
        <v>0.16567758718803349</v>
      </c>
      <c r="AA182" s="33">
        <f t="shared" si="37"/>
        <v>5.3085115031298272E-2</v>
      </c>
      <c r="AB182" s="33">
        <f t="shared" si="38"/>
        <v>3.4306153971221852E-2</v>
      </c>
      <c r="AC182" s="38"/>
      <c r="AD182" s="33">
        <f t="shared" si="39"/>
        <v>0.75018291195837739</v>
      </c>
    </row>
  </sheetData>
  <autoFilter ref="A1:AD174" xr:uid="{45E50366-4C14-498D-AB96-6A0AAC6813EE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53A130-2F85-4D18-AB35-138B4ABF4006}">
  <dimension ref="A1:Y189"/>
  <sheetViews>
    <sheetView workbookViewId="0">
      <pane xSplit="4" ySplit="1" topLeftCell="P154" activePane="bottomRight" state="frozen"/>
      <selection pane="topRight" activeCell="E1" sqref="E1"/>
      <selection pane="bottomLeft" activeCell="A2" sqref="A2"/>
      <selection pane="bottomRight" activeCell="P2" sqref="P2:Y170"/>
    </sheetView>
  </sheetViews>
  <sheetFormatPr defaultRowHeight="13.2" x14ac:dyDescent="0.25"/>
  <cols>
    <col min="1" max="1" width="8" bestFit="1" customWidth="1"/>
    <col min="2" max="2" width="27.77734375" bestFit="1" customWidth="1"/>
    <col min="3" max="3" width="83" bestFit="1" customWidth="1"/>
    <col min="4" max="4" width="8.21875" bestFit="1" customWidth="1"/>
    <col min="5" max="5" width="8.5546875" bestFit="1" customWidth="1"/>
    <col min="6" max="6" width="13.77734375" bestFit="1" customWidth="1"/>
    <col min="7" max="7" width="15.5546875" bestFit="1" customWidth="1"/>
    <col min="8" max="9" width="5" bestFit="1" customWidth="1"/>
    <col min="10" max="10" width="7.5546875" bestFit="1" customWidth="1"/>
    <col min="11" max="11" width="6.44140625" bestFit="1" customWidth="1"/>
    <col min="13" max="13" width="7.6640625" bestFit="1" customWidth="1"/>
    <col min="14" max="14" width="7" style="36" bestFit="1" customWidth="1"/>
    <col min="15" max="15" width="17.21875" bestFit="1" customWidth="1"/>
    <col min="16" max="16" width="6" bestFit="1" customWidth="1"/>
    <col min="17" max="19" width="5" bestFit="1" customWidth="1"/>
    <col min="20" max="20" width="6" bestFit="1" customWidth="1"/>
    <col min="21" max="22" width="7" bestFit="1" customWidth="1"/>
    <col min="23" max="24" width="6" bestFit="1" customWidth="1"/>
    <col min="25" max="25" width="7.33203125" bestFit="1" customWidth="1"/>
  </cols>
  <sheetData>
    <row r="1" spans="1:25" x14ac:dyDescent="0.25">
      <c r="A1" s="34" t="s">
        <v>282</v>
      </c>
      <c r="B1" s="34" t="s">
        <v>283</v>
      </c>
      <c r="C1" s="34" t="s">
        <v>284</v>
      </c>
      <c r="D1" s="34" t="s">
        <v>285</v>
      </c>
      <c r="E1" s="34" t="s">
        <v>286</v>
      </c>
      <c r="F1" s="34" t="s">
        <v>287</v>
      </c>
      <c r="G1" s="34" t="s">
        <v>288</v>
      </c>
      <c r="H1" s="34" t="s">
        <v>289</v>
      </c>
      <c r="I1" s="34" t="s">
        <v>290</v>
      </c>
      <c r="J1" s="34" t="s">
        <v>291</v>
      </c>
      <c r="K1" s="34" t="s">
        <v>292</v>
      </c>
      <c r="L1" s="34" t="s">
        <v>293</v>
      </c>
      <c r="M1" s="34" t="s">
        <v>294</v>
      </c>
      <c r="N1" s="35" t="s">
        <v>295</v>
      </c>
      <c r="O1" s="34" t="s">
        <v>296</v>
      </c>
      <c r="P1" s="34" t="s">
        <v>410</v>
      </c>
      <c r="Q1" s="34" t="s">
        <v>411</v>
      </c>
      <c r="R1" s="34" t="s">
        <v>412</v>
      </c>
      <c r="S1" s="34" t="s">
        <v>413</v>
      </c>
      <c r="T1" s="34" t="s">
        <v>414</v>
      </c>
      <c r="U1" s="34" t="s">
        <v>415</v>
      </c>
      <c r="V1" s="34" t="s">
        <v>416</v>
      </c>
      <c r="W1" s="34" t="s">
        <v>417</v>
      </c>
      <c r="X1" s="34" t="s">
        <v>418</v>
      </c>
      <c r="Y1" s="34" t="s">
        <v>419</v>
      </c>
    </row>
    <row r="2" spans="1:25" x14ac:dyDescent="0.25">
      <c r="A2" s="34" t="s">
        <v>297</v>
      </c>
      <c r="B2" s="34" t="s">
        <v>298</v>
      </c>
      <c r="C2" s="34" t="s">
        <v>162</v>
      </c>
      <c r="D2" s="34">
        <v>1</v>
      </c>
      <c r="E2" s="34">
        <v>1</v>
      </c>
      <c r="F2" s="34"/>
      <c r="G2" s="34"/>
      <c r="H2" s="34"/>
      <c r="I2" s="34"/>
      <c r="J2" s="34"/>
      <c r="K2" s="34">
        <v>241</v>
      </c>
      <c r="L2" s="34">
        <v>58</v>
      </c>
      <c r="M2" s="34">
        <v>300</v>
      </c>
      <c r="N2" s="35">
        <v>62.306666666666665</v>
      </c>
      <c r="O2" s="34" t="s">
        <v>299</v>
      </c>
      <c r="P2" s="34">
        <f t="shared" ref="P2" si="0">K2</f>
        <v>241</v>
      </c>
      <c r="Q2" s="34">
        <f t="shared" ref="Q2:R2" si="1">H2</f>
        <v>0</v>
      </c>
      <c r="R2" s="34">
        <f t="shared" si="1"/>
        <v>0</v>
      </c>
      <c r="S2" s="34">
        <f t="shared" ref="S2" si="2">M2-SUM(P2:R2)</f>
        <v>59</v>
      </c>
      <c r="T2" s="34">
        <f t="shared" ref="T2" si="3">SUM(P2:S2)</f>
        <v>300</v>
      </c>
      <c r="U2" s="37">
        <f t="shared" ref="U2" si="4">P2/M2</f>
        <v>0.80333333333333334</v>
      </c>
      <c r="V2" s="37">
        <f t="shared" ref="V2" si="5">Q2/M2</f>
        <v>0</v>
      </c>
      <c r="W2" s="37">
        <f t="shared" ref="W2" si="6">R2/M2</f>
        <v>0</v>
      </c>
      <c r="X2" s="37">
        <f t="shared" ref="X2" si="7">S2/M2</f>
        <v>0.19666666666666666</v>
      </c>
      <c r="Y2" s="35">
        <f t="shared" ref="Y2" si="8">N2</f>
        <v>62.306666666666665</v>
      </c>
    </row>
    <row r="3" spans="1:25" x14ac:dyDescent="0.25">
      <c r="A3" s="34" t="s">
        <v>297</v>
      </c>
      <c r="B3" s="34" t="s">
        <v>298</v>
      </c>
      <c r="C3" s="34" t="s">
        <v>162</v>
      </c>
      <c r="D3" s="34">
        <v>2</v>
      </c>
      <c r="E3" s="34">
        <v>28</v>
      </c>
      <c r="F3" s="34"/>
      <c r="G3" s="34">
        <v>1</v>
      </c>
      <c r="H3" s="34">
        <v>1</v>
      </c>
      <c r="I3" s="34">
        <v>6</v>
      </c>
      <c r="J3" s="34">
        <v>1</v>
      </c>
      <c r="K3" s="34">
        <v>310</v>
      </c>
      <c r="L3" s="34">
        <v>97</v>
      </c>
      <c r="M3" s="34">
        <v>444</v>
      </c>
      <c r="N3" s="35">
        <v>33.081081081081081</v>
      </c>
      <c r="O3" s="34" t="s">
        <v>299</v>
      </c>
      <c r="P3" s="34">
        <f t="shared" ref="P3:P61" si="9">K3</f>
        <v>310</v>
      </c>
      <c r="Q3" s="34">
        <f t="shared" ref="Q3:Q61" si="10">H3</f>
        <v>1</v>
      </c>
      <c r="R3" s="34">
        <f t="shared" ref="R3:R61" si="11">I3</f>
        <v>6</v>
      </c>
      <c r="S3" s="34">
        <f t="shared" ref="S3:S61" si="12">M3-SUM(P3:R3)</f>
        <v>127</v>
      </c>
      <c r="T3" s="34">
        <f t="shared" ref="T3:T61" si="13">SUM(P3:S3)</f>
        <v>444</v>
      </c>
      <c r="U3" s="37">
        <f t="shared" ref="U3:U61" si="14">P3/M3</f>
        <v>0.69819819819819817</v>
      </c>
      <c r="V3" s="37">
        <f t="shared" ref="V3:V61" si="15">Q3/M3</f>
        <v>2.2522522522522522E-3</v>
      </c>
      <c r="W3" s="37">
        <f t="shared" ref="W3:W61" si="16">R3/M3</f>
        <v>1.3513513513513514E-2</v>
      </c>
      <c r="X3" s="37">
        <f t="shared" ref="X3:X61" si="17">S3/M3</f>
        <v>0.28603603603603606</v>
      </c>
      <c r="Y3" s="35">
        <f t="shared" ref="Y3:Y61" si="18">N3</f>
        <v>33.081081081081081</v>
      </c>
    </row>
    <row r="4" spans="1:25" x14ac:dyDescent="0.25">
      <c r="A4" s="34" t="s">
        <v>300</v>
      </c>
      <c r="B4" s="34" t="s">
        <v>301</v>
      </c>
      <c r="C4" s="34" t="s">
        <v>164</v>
      </c>
      <c r="D4" s="34">
        <v>1</v>
      </c>
      <c r="E4" s="34"/>
      <c r="F4" s="34"/>
      <c r="G4" s="34"/>
      <c r="H4" s="34"/>
      <c r="I4" s="34"/>
      <c r="J4" s="34">
        <v>1</v>
      </c>
      <c r="K4" s="34">
        <v>199</v>
      </c>
      <c r="L4" s="34"/>
      <c r="M4" s="34">
        <v>200</v>
      </c>
      <c r="N4" s="35">
        <v>66.91</v>
      </c>
      <c r="O4" s="34" t="s">
        <v>299</v>
      </c>
      <c r="P4" s="34">
        <f t="shared" si="9"/>
        <v>199</v>
      </c>
      <c r="Q4" s="34">
        <f t="shared" si="10"/>
        <v>0</v>
      </c>
      <c r="R4" s="34">
        <f t="shared" si="11"/>
        <v>0</v>
      </c>
      <c r="S4" s="34">
        <f t="shared" si="12"/>
        <v>1</v>
      </c>
      <c r="T4" s="34">
        <f t="shared" si="13"/>
        <v>200</v>
      </c>
      <c r="U4" s="37">
        <f t="shared" si="14"/>
        <v>0.995</v>
      </c>
      <c r="V4" s="37">
        <f t="shared" si="15"/>
        <v>0</v>
      </c>
      <c r="W4" s="37">
        <f t="shared" si="16"/>
        <v>0</v>
      </c>
      <c r="X4" s="37">
        <f t="shared" si="17"/>
        <v>5.0000000000000001E-3</v>
      </c>
      <c r="Y4" s="35">
        <f t="shared" si="18"/>
        <v>66.91</v>
      </c>
    </row>
    <row r="5" spans="1:25" x14ac:dyDescent="0.25">
      <c r="A5" s="34" t="s">
        <v>300</v>
      </c>
      <c r="B5" s="34" t="s">
        <v>301</v>
      </c>
      <c r="C5" s="34" t="s">
        <v>164</v>
      </c>
      <c r="D5" s="34">
        <v>2</v>
      </c>
      <c r="E5" s="34"/>
      <c r="F5" s="34"/>
      <c r="G5" s="34"/>
      <c r="H5" s="34"/>
      <c r="I5" s="34"/>
      <c r="J5" s="34"/>
      <c r="K5" s="34">
        <v>274</v>
      </c>
      <c r="L5" s="34"/>
      <c r="M5" s="34">
        <v>274</v>
      </c>
      <c r="N5" s="35">
        <v>36.164233576642339</v>
      </c>
      <c r="O5" s="34" t="s">
        <v>299</v>
      </c>
      <c r="P5" s="34">
        <f t="shared" si="9"/>
        <v>274</v>
      </c>
      <c r="Q5" s="34">
        <f t="shared" si="10"/>
        <v>0</v>
      </c>
      <c r="R5" s="34">
        <f t="shared" si="11"/>
        <v>0</v>
      </c>
      <c r="S5" s="34">
        <f t="shared" si="12"/>
        <v>0</v>
      </c>
      <c r="T5" s="34">
        <f t="shared" si="13"/>
        <v>274</v>
      </c>
      <c r="U5" s="37">
        <f t="shared" si="14"/>
        <v>1</v>
      </c>
      <c r="V5" s="37">
        <f t="shared" si="15"/>
        <v>0</v>
      </c>
      <c r="W5" s="37">
        <f t="shared" si="16"/>
        <v>0</v>
      </c>
      <c r="X5" s="37">
        <f t="shared" si="17"/>
        <v>0</v>
      </c>
      <c r="Y5" s="35">
        <f t="shared" si="18"/>
        <v>36.164233576642339</v>
      </c>
    </row>
    <row r="6" spans="1:25" x14ac:dyDescent="0.25">
      <c r="A6" s="34" t="s">
        <v>302</v>
      </c>
      <c r="B6" s="34" t="s">
        <v>303</v>
      </c>
      <c r="C6" s="34" t="s">
        <v>166</v>
      </c>
      <c r="D6" s="34">
        <v>1</v>
      </c>
      <c r="E6" s="34"/>
      <c r="F6" s="34"/>
      <c r="G6" s="34"/>
      <c r="H6" s="34"/>
      <c r="I6" s="34"/>
      <c r="J6" s="34"/>
      <c r="K6" s="34">
        <v>259</v>
      </c>
      <c r="L6" s="34"/>
      <c r="M6" s="34">
        <v>259</v>
      </c>
      <c r="N6" s="35">
        <v>49.389961389961393</v>
      </c>
      <c r="O6" s="34" t="s">
        <v>299</v>
      </c>
      <c r="P6" s="34">
        <f t="shared" si="9"/>
        <v>259</v>
      </c>
      <c r="Q6" s="34">
        <f t="shared" si="10"/>
        <v>0</v>
      </c>
      <c r="R6" s="34">
        <f t="shared" si="11"/>
        <v>0</v>
      </c>
      <c r="S6" s="34">
        <f t="shared" si="12"/>
        <v>0</v>
      </c>
      <c r="T6" s="34">
        <f t="shared" si="13"/>
        <v>259</v>
      </c>
      <c r="U6" s="37">
        <f t="shared" si="14"/>
        <v>1</v>
      </c>
      <c r="V6" s="37">
        <f t="shared" si="15"/>
        <v>0</v>
      </c>
      <c r="W6" s="37">
        <f t="shared" si="16"/>
        <v>0</v>
      </c>
      <c r="X6" s="37">
        <f t="shared" si="17"/>
        <v>0</v>
      </c>
      <c r="Y6" s="35">
        <f t="shared" si="18"/>
        <v>49.389961389961393</v>
      </c>
    </row>
    <row r="7" spans="1:25" x14ac:dyDescent="0.25">
      <c r="A7" s="34" t="s">
        <v>304</v>
      </c>
      <c r="B7" s="34" t="s">
        <v>305</v>
      </c>
      <c r="C7" s="34" t="s">
        <v>168</v>
      </c>
      <c r="D7" s="34">
        <v>1</v>
      </c>
      <c r="E7" s="34"/>
      <c r="F7" s="34"/>
      <c r="G7" s="34">
        <v>1</v>
      </c>
      <c r="H7" s="34">
        <v>4</v>
      </c>
      <c r="I7" s="34">
        <v>2</v>
      </c>
      <c r="J7" s="34"/>
      <c r="K7" s="34">
        <v>243</v>
      </c>
      <c r="L7" s="34"/>
      <c r="M7" s="34">
        <v>250</v>
      </c>
      <c r="N7" s="35">
        <v>68.956000000000003</v>
      </c>
      <c r="O7" s="34" t="s">
        <v>299</v>
      </c>
      <c r="P7" s="34">
        <f t="shared" si="9"/>
        <v>243</v>
      </c>
      <c r="Q7" s="34">
        <f t="shared" si="10"/>
        <v>4</v>
      </c>
      <c r="R7" s="34">
        <f t="shared" si="11"/>
        <v>2</v>
      </c>
      <c r="S7" s="34">
        <f t="shared" si="12"/>
        <v>1</v>
      </c>
      <c r="T7" s="34">
        <f t="shared" si="13"/>
        <v>250</v>
      </c>
      <c r="U7" s="37">
        <f t="shared" si="14"/>
        <v>0.97199999999999998</v>
      </c>
      <c r="V7" s="37">
        <f t="shared" si="15"/>
        <v>1.6E-2</v>
      </c>
      <c r="W7" s="37">
        <f t="shared" si="16"/>
        <v>8.0000000000000002E-3</v>
      </c>
      <c r="X7" s="37">
        <f t="shared" si="17"/>
        <v>4.0000000000000001E-3</v>
      </c>
      <c r="Y7" s="35">
        <f t="shared" si="18"/>
        <v>68.956000000000003</v>
      </c>
    </row>
    <row r="8" spans="1:25" x14ac:dyDescent="0.25">
      <c r="A8" s="34" t="s">
        <v>304</v>
      </c>
      <c r="B8" s="34" t="s">
        <v>305</v>
      </c>
      <c r="C8" s="34" t="s">
        <v>168</v>
      </c>
      <c r="D8" s="34">
        <v>2</v>
      </c>
      <c r="E8" s="34"/>
      <c r="F8" s="34"/>
      <c r="G8" s="34"/>
      <c r="H8" s="34"/>
      <c r="I8" s="34">
        <v>1</v>
      </c>
      <c r="J8" s="34"/>
      <c r="K8" s="34">
        <v>339</v>
      </c>
      <c r="L8" s="34">
        <v>1</v>
      </c>
      <c r="M8" s="34">
        <v>341</v>
      </c>
      <c r="N8" s="35">
        <v>48.02639296187683</v>
      </c>
      <c r="O8" s="34" t="s">
        <v>299</v>
      </c>
      <c r="P8" s="34">
        <f t="shared" si="9"/>
        <v>339</v>
      </c>
      <c r="Q8" s="34">
        <f t="shared" si="10"/>
        <v>0</v>
      </c>
      <c r="R8" s="34">
        <f t="shared" si="11"/>
        <v>1</v>
      </c>
      <c r="S8" s="34">
        <f t="shared" si="12"/>
        <v>1</v>
      </c>
      <c r="T8" s="34">
        <f t="shared" si="13"/>
        <v>341</v>
      </c>
      <c r="U8" s="37">
        <f t="shared" si="14"/>
        <v>0.99413489736070382</v>
      </c>
      <c r="V8" s="37">
        <f t="shared" si="15"/>
        <v>0</v>
      </c>
      <c r="W8" s="37">
        <f t="shared" si="16"/>
        <v>2.9325513196480938E-3</v>
      </c>
      <c r="X8" s="37">
        <f t="shared" si="17"/>
        <v>2.9325513196480938E-3</v>
      </c>
      <c r="Y8" s="35">
        <f t="shared" si="18"/>
        <v>48.02639296187683</v>
      </c>
    </row>
    <row r="9" spans="1:25" x14ac:dyDescent="0.25">
      <c r="A9" s="34" t="s">
        <v>304</v>
      </c>
      <c r="B9" s="34" t="s">
        <v>305</v>
      </c>
      <c r="C9" s="34" t="s">
        <v>168</v>
      </c>
      <c r="D9" s="34">
        <v>3</v>
      </c>
      <c r="E9" s="34">
        <v>1</v>
      </c>
      <c r="F9" s="34"/>
      <c r="G9" s="34"/>
      <c r="H9" s="34"/>
      <c r="I9" s="34"/>
      <c r="J9" s="34"/>
      <c r="K9" s="34">
        <v>341</v>
      </c>
      <c r="L9" s="34"/>
      <c r="M9" s="34">
        <v>342</v>
      </c>
      <c r="N9" s="35">
        <v>27.997076023391813</v>
      </c>
      <c r="O9" s="34" t="s">
        <v>299</v>
      </c>
      <c r="P9" s="34">
        <f t="shared" si="9"/>
        <v>341</v>
      </c>
      <c r="Q9" s="34">
        <f t="shared" si="10"/>
        <v>0</v>
      </c>
      <c r="R9" s="34">
        <f t="shared" si="11"/>
        <v>0</v>
      </c>
      <c r="S9" s="34">
        <f t="shared" si="12"/>
        <v>1</v>
      </c>
      <c r="T9" s="34">
        <f t="shared" si="13"/>
        <v>342</v>
      </c>
      <c r="U9" s="37">
        <f t="shared" si="14"/>
        <v>0.99707602339181289</v>
      </c>
      <c r="V9" s="37">
        <f t="shared" si="15"/>
        <v>0</v>
      </c>
      <c r="W9" s="37">
        <f t="shared" si="16"/>
        <v>0</v>
      </c>
      <c r="X9" s="37">
        <f t="shared" si="17"/>
        <v>2.9239766081871343E-3</v>
      </c>
      <c r="Y9" s="35">
        <f t="shared" si="18"/>
        <v>27.997076023391813</v>
      </c>
    </row>
    <row r="10" spans="1:25" x14ac:dyDescent="0.25">
      <c r="A10" s="34" t="s">
        <v>306</v>
      </c>
      <c r="B10" s="34" t="s">
        <v>307</v>
      </c>
      <c r="C10" s="34" t="s">
        <v>174</v>
      </c>
      <c r="D10" s="34">
        <v>1</v>
      </c>
      <c r="E10" s="34"/>
      <c r="F10" s="34"/>
      <c r="G10" s="34"/>
      <c r="H10" s="34"/>
      <c r="I10" s="34"/>
      <c r="J10" s="34"/>
      <c r="K10" s="34">
        <v>250</v>
      </c>
      <c r="L10" s="34"/>
      <c r="M10" s="34">
        <v>250</v>
      </c>
      <c r="N10" s="35">
        <v>66.608000000000004</v>
      </c>
      <c r="O10" s="34" t="s">
        <v>299</v>
      </c>
      <c r="P10" s="34">
        <f t="shared" si="9"/>
        <v>250</v>
      </c>
      <c r="Q10" s="34">
        <f t="shared" si="10"/>
        <v>0</v>
      </c>
      <c r="R10" s="34">
        <f t="shared" si="11"/>
        <v>0</v>
      </c>
      <c r="S10" s="34">
        <f t="shared" si="12"/>
        <v>0</v>
      </c>
      <c r="T10" s="34">
        <f t="shared" si="13"/>
        <v>250</v>
      </c>
      <c r="U10" s="37">
        <f t="shared" si="14"/>
        <v>1</v>
      </c>
      <c r="V10" s="37">
        <f t="shared" si="15"/>
        <v>0</v>
      </c>
      <c r="W10" s="37">
        <f t="shared" si="16"/>
        <v>0</v>
      </c>
      <c r="X10" s="37">
        <f t="shared" si="17"/>
        <v>0</v>
      </c>
      <c r="Y10" s="35">
        <f t="shared" si="18"/>
        <v>66.608000000000004</v>
      </c>
    </row>
    <row r="11" spans="1:25" x14ac:dyDescent="0.25">
      <c r="A11" s="34" t="s">
        <v>306</v>
      </c>
      <c r="B11" s="34" t="s">
        <v>307</v>
      </c>
      <c r="C11" s="34" t="s">
        <v>174</v>
      </c>
      <c r="D11" s="34">
        <v>2</v>
      </c>
      <c r="E11" s="34"/>
      <c r="F11" s="34">
        <v>1</v>
      </c>
      <c r="G11" s="34"/>
      <c r="H11" s="34"/>
      <c r="I11" s="34"/>
      <c r="J11" s="34"/>
      <c r="K11" s="34">
        <v>351</v>
      </c>
      <c r="L11" s="34"/>
      <c r="M11" s="34">
        <v>352</v>
      </c>
      <c r="N11" s="35">
        <v>36.323863636363633</v>
      </c>
      <c r="O11" s="34" t="s">
        <v>299</v>
      </c>
      <c r="P11" s="34">
        <f t="shared" si="9"/>
        <v>351</v>
      </c>
      <c r="Q11" s="34">
        <f t="shared" si="10"/>
        <v>0</v>
      </c>
      <c r="R11" s="34">
        <f t="shared" si="11"/>
        <v>0</v>
      </c>
      <c r="S11" s="34">
        <f t="shared" si="12"/>
        <v>1</v>
      </c>
      <c r="T11" s="34">
        <f t="shared" si="13"/>
        <v>352</v>
      </c>
      <c r="U11" s="37">
        <f t="shared" si="14"/>
        <v>0.99715909090909094</v>
      </c>
      <c r="V11" s="37">
        <f t="shared" si="15"/>
        <v>0</v>
      </c>
      <c r="W11" s="37">
        <f t="shared" si="16"/>
        <v>0</v>
      </c>
      <c r="X11" s="37">
        <f t="shared" si="17"/>
        <v>2.840909090909091E-3</v>
      </c>
      <c r="Y11" s="35">
        <f t="shared" si="18"/>
        <v>36.323863636363633</v>
      </c>
    </row>
    <row r="12" spans="1:25" x14ac:dyDescent="0.25">
      <c r="A12" s="34" t="s">
        <v>308</v>
      </c>
      <c r="B12" s="34" t="s">
        <v>309</v>
      </c>
      <c r="C12" s="34" t="s">
        <v>176</v>
      </c>
      <c r="D12" s="34">
        <v>1</v>
      </c>
      <c r="E12" s="34"/>
      <c r="F12" s="34"/>
      <c r="G12" s="34"/>
      <c r="H12" s="34">
        <v>21</v>
      </c>
      <c r="I12" s="34">
        <v>6</v>
      </c>
      <c r="J12" s="34"/>
      <c r="K12" s="34">
        <v>423</v>
      </c>
      <c r="L12" s="34"/>
      <c r="M12" s="34">
        <v>450</v>
      </c>
      <c r="N12" s="35">
        <v>65.975555555555559</v>
      </c>
      <c r="O12" s="34" t="s">
        <v>299</v>
      </c>
      <c r="P12" s="34">
        <f t="shared" si="9"/>
        <v>423</v>
      </c>
      <c r="Q12" s="34">
        <f t="shared" si="10"/>
        <v>21</v>
      </c>
      <c r="R12" s="34">
        <f t="shared" si="11"/>
        <v>6</v>
      </c>
      <c r="S12" s="34">
        <f t="shared" si="12"/>
        <v>0</v>
      </c>
      <c r="T12" s="34">
        <f t="shared" si="13"/>
        <v>450</v>
      </c>
      <c r="U12" s="37">
        <f t="shared" si="14"/>
        <v>0.94</v>
      </c>
      <c r="V12" s="37">
        <f t="shared" si="15"/>
        <v>4.6666666666666669E-2</v>
      </c>
      <c r="W12" s="37">
        <f t="shared" si="16"/>
        <v>1.3333333333333334E-2</v>
      </c>
      <c r="X12" s="37">
        <f t="shared" si="17"/>
        <v>0</v>
      </c>
      <c r="Y12" s="35">
        <f t="shared" si="18"/>
        <v>65.975555555555559</v>
      </c>
    </row>
    <row r="13" spans="1:25" x14ac:dyDescent="0.25">
      <c r="A13" s="34" t="s">
        <v>308</v>
      </c>
      <c r="B13" s="34" t="s">
        <v>309</v>
      </c>
      <c r="C13" s="34" t="s">
        <v>176</v>
      </c>
      <c r="D13" s="34">
        <v>2</v>
      </c>
      <c r="E13" s="34">
        <v>1</v>
      </c>
      <c r="F13" s="34"/>
      <c r="G13" s="34">
        <v>1</v>
      </c>
      <c r="H13" s="34">
        <v>4</v>
      </c>
      <c r="I13" s="34">
        <v>9</v>
      </c>
      <c r="J13" s="34"/>
      <c r="K13" s="34">
        <v>637</v>
      </c>
      <c r="L13" s="34"/>
      <c r="M13" s="34">
        <v>652</v>
      </c>
      <c r="N13" s="35">
        <v>34.866564417177912</v>
      </c>
      <c r="O13" s="34" t="s">
        <v>299</v>
      </c>
      <c r="P13" s="34">
        <f t="shared" si="9"/>
        <v>637</v>
      </c>
      <c r="Q13" s="34">
        <f t="shared" si="10"/>
        <v>4</v>
      </c>
      <c r="R13" s="34">
        <f t="shared" si="11"/>
        <v>9</v>
      </c>
      <c r="S13" s="34">
        <f t="shared" si="12"/>
        <v>2</v>
      </c>
      <c r="T13" s="34">
        <f t="shared" si="13"/>
        <v>652</v>
      </c>
      <c r="U13" s="37">
        <f t="shared" si="14"/>
        <v>0.97699386503067487</v>
      </c>
      <c r="V13" s="37">
        <f t="shared" si="15"/>
        <v>6.1349693251533744E-3</v>
      </c>
      <c r="W13" s="37">
        <f t="shared" si="16"/>
        <v>1.3803680981595092E-2</v>
      </c>
      <c r="X13" s="37">
        <f t="shared" si="17"/>
        <v>3.0674846625766872E-3</v>
      </c>
      <c r="Y13" s="35">
        <f t="shared" si="18"/>
        <v>34.866564417177912</v>
      </c>
    </row>
    <row r="14" spans="1:25" x14ac:dyDescent="0.25">
      <c r="A14" s="34" t="s">
        <v>310</v>
      </c>
      <c r="B14" s="34" t="s">
        <v>311</v>
      </c>
      <c r="C14" s="34" t="s">
        <v>313</v>
      </c>
      <c r="D14" s="34">
        <v>1</v>
      </c>
      <c r="E14" s="34"/>
      <c r="F14" s="34"/>
      <c r="G14" s="34">
        <v>1</v>
      </c>
      <c r="H14" s="34">
        <v>181</v>
      </c>
      <c r="I14" s="34">
        <v>91</v>
      </c>
      <c r="J14" s="34"/>
      <c r="K14" s="34">
        <v>107</v>
      </c>
      <c r="L14" s="34"/>
      <c r="M14" s="34">
        <v>380</v>
      </c>
      <c r="N14" s="35">
        <v>68.897368421052633</v>
      </c>
      <c r="O14" s="34" t="s">
        <v>299</v>
      </c>
      <c r="P14" s="34">
        <f t="shared" si="9"/>
        <v>107</v>
      </c>
      <c r="Q14" s="34">
        <f t="shared" si="10"/>
        <v>181</v>
      </c>
      <c r="R14" s="34">
        <f t="shared" si="11"/>
        <v>91</v>
      </c>
      <c r="S14" s="34">
        <f t="shared" si="12"/>
        <v>1</v>
      </c>
      <c r="T14" s="34">
        <f t="shared" si="13"/>
        <v>380</v>
      </c>
      <c r="U14" s="37">
        <f t="shared" si="14"/>
        <v>0.28157894736842104</v>
      </c>
      <c r="V14" s="37">
        <f t="shared" si="15"/>
        <v>0.47631578947368419</v>
      </c>
      <c r="W14" s="37">
        <f t="shared" si="16"/>
        <v>0.23947368421052631</v>
      </c>
      <c r="X14" s="37">
        <f t="shared" si="17"/>
        <v>2.631578947368421E-3</v>
      </c>
      <c r="Y14" s="35">
        <f t="shared" si="18"/>
        <v>68.897368421052633</v>
      </c>
    </row>
    <row r="15" spans="1:25" x14ac:dyDescent="0.25">
      <c r="A15" s="34" t="s">
        <v>310</v>
      </c>
      <c r="B15" s="34" t="s">
        <v>311</v>
      </c>
      <c r="C15" s="34" t="s">
        <v>313</v>
      </c>
      <c r="D15" s="34">
        <v>2</v>
      </c>
      <c r="E15" s="34"/>
      <c r="F15" s="34"/>
      <c r="G15" s="34"/>
      <c r="H15" s="34">
        <v>159</v>
      </c>
      <c r="I15" s="34">
        <v>90</v>
      </c>
      <c r="J15" s="34"/>
      <c r="K15" s="34">
        <v>131</v>
      </c>
      <c r="L15" s="34"/>
      <c r="M15" s="34">
        <v>380</v>
      </c>
      <c r="N15" s="35">
        <v>55.839473684210525</v>
      </c>
      <c r="O15" s="34" t="s">
        <v>299</v>
      </c>
      <c r="P15" s="34">
        <f t="shared" si="9"/>
        <v>131</v>
      </c>
      <c r="Q15" s="34">
        <f t="shared" si="10"/>
        <v>159</v>
      </c>
      <c r="R15" s="34">
        <f t="shared" si="11"/>
        <v>90</v>
      </c>
      <c r="S15" s="34">
        <f t="shared" si="12"/>
        <v>0</v>
      </c>
      <c r="T15" s="34">
        <f t="shared" si="13"/>
        <v>380</v>
      </c>
      <c r="U15" s="37">
        <f t="shared" si="14"/>
        <v>0.34473684210526317</v>
      </c>
      <c r="V15" s="37">
        <f t="shared" si="15"/>
        <v>0.41842105263157897</v>
      </c>
      <c r="W15" s="37">
        <f t="shared" si="16"/>
        <v>0.23684210526315788</v>
      </c>
      <c r="X15" s="37">
        <f t="shared" si="17"/>
        <v>0</v>
      </c>
      <c r="Y15" s="35">
        <f t="shared" si="18"/>
        <v>55.839473684210525</v>
      </c>
    </row>
    <row r="16" spans="1:25" x14ac:dyDescent="0.25">
      <c r="A16" s="34" t="s">
        <v>310</v>
      </c>
      <c r="B16" s="34" t="s">
        <v>311</v>
      </c>
      <c r="C16" s="34" t="s">
        <v>313</v>
      </c>
      <c r="D16" s="34">
        <v>3</v>
      </c>
      <c r="E16" s="34"/>
      <c r="F16" s="34">
        <v>2</v>
      </c>
      <c r="G16" s="34"/>
      <c r="H16" s="34">
        <v>260</v>
      </c>
      <c r="I16" s="34">
        <v>99</v>
      </c>
      <c r="J16" s="34"/>
      <c r="K16" s="34">
        <v>181</v>
      </c>
      <c r="L16" s="34">
        <v>1</v>
      </c>
      <c r="M16" s="34">
        <v>543</v>
      </c>
      <c r="N16" s="35">
        <v>42.8232044198895</v>
      </c>
      <c r="O16" s="34" t="s">
        <v>299</v>
      </c>
      <c r="P16" s="34">
        <f t="shared" si="9"/>
        <v>181</v>
      </c>
      <c r="Q16" s="34">
        <f t="shared" si="10"/>
        <v>260</v>
      </c>
      <c r="R16" s="34">
        <f t="shared" si="11"/>
        <v>99</v>
      </c>
      <c r="S16" s="34">
        <f t="shared" si="12"/>
        <v>3</v>
      </c>
      <c r="T16" s="34">
        <f t="shared" si="13"/>
        <v>543</v>
      </c>
      <c r="U16" s="37">
        <f t="shared" si="14"/>
        <v>0.33333333333333331</v>
      </c>
      <c r="V16" s="37">
        <f t="shared" si="15"/>
        <v>0.47882136279926335</v>
      </c>
      <c r="W16" s="37">
        <f t="shared" si="16"/>
        <v>0.18232044198895028</v>
      </c>
      <c r="X16" s="37">
        <f t="shared" si="17"/>
        <v>5.5248618784530384E-3</v>
      </c>
      <c r="Y16" s="35">
        <f t="shared" si="18"/>
        <v>42.8232044198895</v>
      </c>
    </row>
    <row r="17" spans="1:25" x14ac:dyDescent="0.25">
      <c r="A17" s="34" t="s">
        <v>310</v>
      </c>
      <c r="B17" s="34" t="s">
        <v>311</v>
      </c>
      <c r="C17" s="34" t="s">
        <v>313</v>
      </c>
      <c r="D17" s="34">
        <v>4</v>
      </c>
      <c r="E17" s="34"/>
      <c r="F17" s="34"/>
      <c r="G17" s="34"/>
      <c r="H17" s="34">
        <v>193</v>
      </c>
      <c r="I17" s="34">
        <v>106</v>
      </c>
      <c r="J17" s="34"/>
      <c r="K17" s="34">
        <v>245</v>
      </c>
      <c r="L17" s="34"/>
      <c r="M17" s="34">
        <v>544</v>
      </c>
      <c r="N17" s="35">
        <v>31.400735294117649</v>
      </c>
      <c r="O17" s="34" t="s">
        <v>299</v>
      </c>
      <c r="P17" s="34">
        <f t="shared" si="9"/>
        <v>245</v>
      </c>
      <c r="Q17" s="34">
        <f t="shared" si="10"/>
        <v>193</v>
      </c>
      <c r="R17" s="34">
        <f t="shared" si="11"/>
        <v>106</v>
      </c>
      <c r="S17" s="34">
        <f t="shared" si="12"/>
        <v>0</v>
      </c>
      <c r="T17" s="34">
        <f t="shared" si="13"/>
        <v>544</v>
      </c>
      <c r="U17" s="37">
        <f t="shared" si="14"/>
        <v>0.45036764705882354</v>
      </c>
      <c r="V17" s="37">
        <f t="shared" si="15"/>
        <v>0.3547794117647059</v>
      </c>
      <c r="W17" s="37">
        <f t="shared" si="16"/>
        <v>0.19485294117647059</v>
      </c>
      <c r="X17" s="37">
        <f t="shared" si="17"/>
        <v>0</v>
      </c>
      <c r="Y17" s="35">
        <f t="shared" si="18"/>
        <v>31.400735294117649</v>
      </c>
    </row>
    <row r="18" spans="1:25" x14ac:dyDescent="0.25">
      <c r="A18" s="34" t="s">
        <v>310</v>
      </c>
      <c r="B18" s="34" t="s">
        <v>311</v>
      </c>
      <c r="C18" s="34" t="s">
        <v>313</v>
      </c>
      <c r="D18" s="34">
        <v>5</v>
      </c>
      <c r="E18" s="34"/>
      <c r="F18" s="34"/>
      <c r="G18" s="34"/>
      <c r="H18" s="34">
        <v>131</v>
      </c>
      <c r="I18" s="34">
        <v>88</v>
      </c>
      <c r="J18" s="34"/>
      <c r="K18" s="34">
        <v>325</v>
      </c>
      <c r="L18" s="34"/>
      <c r="M18" s="34">
        <v>544</v>
      </c>
      <c r="N18" s="35">
        <v>22.670955882352942</v>
      </c>
      <c r="O18" s="34" t="s">
        <v>299</v>
      </c>
      <c r="P18" s="34">
        <f t="shared" si="9"/>
        <v>325</v>
      </c>
      <c r="Q18" s="34">
        <f t="shared" si="10"/>
        <v>131</v>
      </c>
      <c r="R18" s="34">
        <f t="shared" si="11"/>
        <v>88</v>
      </c>
      <c r="S18" s="34">
        <f t="shared" si="12"/>
        <v>0</v>
      </c>
      <c r="T18" s="34">
        <f t="shared" si="13"/>
        <v>544</v>
      </c>
      <c r="U18" s="37">
        <f t="shared" si="14"/>
        <v>0.59742647058823528</v>
      </c>
      <c r="V18" s="37">
        <f t="shared" si="15"/>
        <v>0.24080882352941177</v>
      </c>
      <c r="W18" s="37">
        <f t="shared" si="16"/>
        <v>0.16176470588235295</v>
      </c>
      <c r="X18" s="37">
        <f t="shared" si="17"/>
        <v>0</v>
      </c>
      <c r="Y18" s="35">
        <f t="shared" si="18"/>
        <v>22.670955882352942</v>
      </c>
    </row>
    <row r="19" spans="1:25" x14ac:dyDescent="0.25">
      <c r="A19" s="34" t="s">
        <v>314</v>
      </c>
      <c r="B19" s="34" t="s">
        <v>315</v>
      </c>
      <c r="C19" s="34" t="s">
        <v>180</v>
      </c>
      <c r="D19" s="34">
        <v>1</v>
      </c>
      <c r="E19" s="34"/>
      <c r="F19" s="34"/>
      <c r="G19" s="34"/>
      <c r="H19" s="34">
        <v>1</v>
      </c>
      <c r="I19" s="34"/>
      <c r="J19" s="34"/>
      <c r="K19" s="34">
        <v>199</v>
      </c>
      <c r="L19" s="34"/>
      <c r="M19" s="34">
        <v>200</v>
      </c>
      <c r="N19" s="35">
        <v>67.704999999999998</v>
      </c>
      <c r="O19" s="34" t="s">
        <v>299</v>
      </c>
      <c r="P19" s="34">
        <f t="shared" si="9"/>
        <v>199</v>
      </c>
      <c r="Q19" s="34">
        <f t="shared" si="10"/>
        <v>1</v>
      </c>
      <c r="R19" s="34">
        <f t="shared" si="11"/>
        <v>0</v>
      </c>
      <c r="S19" s="34">
        <f t="shared" si="12"/>
        <v>0</v>
      </c>
      <c r="T19" s="34">
        <f t="shared" si="13"/>
        <v>200</v>
      </c>
      <c r="U19" s="37">
        <f t="shared" si="14"/>
        <v>0.995</v>
      </c>
      <c r="V19" s="37">
        <f t="shared" si="15"/>
        <v>5.0000000000000001E-3</v>
      </c>
      <c r="W19" s="37">
        <f t="shared" si="16"/>
        <v>0</v>
      </c>
      <c r="X19" s="37">
        <f t="shared" si="17"/>
        <v>0</v>
      </c>
      <c r="Y19" s="35">
        <f t="shared" si="18"/>
        <v>67.704999999999998</v>
      </c>
    </row>
    <row r="20" spans="1:25" x14ac:dyDescent="0.25">
      <c r="A20" s="34" t="s">
        <v>314</v>
      </c>
      <c r="B20" s="34" t="s">
        <v>315</v>
      </c>
      <c r="C20" s="34" t="s">
        <v>180</v>
      </c>
      <c r="D20" s="34">
        <v>2</v>
      </c>
      <c r="E20" s="34"/>
      <c r="F20" s="34"/>
      <c r="G20" s="34"/>
      <c r="H20" s="34">
        <v>1</v>
      </c>
      <c r="I20" s="34"/>
      <c r="J20" s="34"/>
      <c r="K20" s="34">
        <v>383</v>
      </c>
      <c r="L20" s="34"/>
      <c r="M20" s="34">
        <v>384</v>
      </c>
      <c r="N20" s="35">
        <v>37.0390625</v>
      </c>
      <c r="O20" s="34" t="s">
        <v>299</v>
      </c>
      <c r="P20" s="34">
        <f t="shared" si="9"/>
        <v>383</v>
      </c>
      <c r="Q20" s="34">
        <f t="shared" si="10"/>
        <v>1</v>
      </c>
      <c r="R20" s="34">
        <f t="shared" si="11"/>
        <v>0</v>
      </c>
      <c r="S20" s="34">
        <f t="shared" si="12"/>
        <v>0</v>
      </c>
      <c r="T20" s="34">
        <f t="shared" si="13"/>
        <v>384</v>
      </c>
      <c r="U20" s="37">
        <f t="shared" si="14"/>
        <v>0.99739583333333337</v>
      </c>
      <c r="V20" s="37">
        <f t="shared" si="15"/>
        <v>2.6041666666666665E-3</v>
      </c>
      <c r="W20" s="37">
        <f t="shared" si="16"/>
        <v>0</v>
      </c>
      <c r="X20" s="37">
        <f t="shared" si="17"/>
        <v>0</v>
      </c>
      <c r="Y20" s="35">
        <f t="shared" si="18"/>
        <v>37.0390625</v>
      </c>
    </row>
    <row r="21" spans="1:25" x14ac:dyDescent="0.25">
      <c r="A21" s="34" t="s">
        <v>316</v>
      </c>
      <c r="B21" s="34" t="s">
        <v>317</v>
      </c>
      <c r="C21" s="34" t="s">
        <v>182</v>
      </c>
      <c r="D21" s="34">
        <v>1</v>
      </c>
      <c r="E21" s="34"/>
      <c r="F21" s="34"/>
      <c r="G21" s="34"/>
      <c r="H21" s="34">
        <v>76</v>
      </c>
      <c r="I21" s="34">
        <v>13</v>
      </c>
      <c r="J21" s="34">
        <v>1</v>
      </c>
      <c r="K21" s="34">
        <v>260</v>
      </c>
      <c r="L21" s="34"/>
      <c r="M21" s="34">
        <v>350</v>
      </c>
      <c r="N21" s="35">
        <v>68.088571428571427</v>
      </c>
      <c r="O21" s="34" t="s">
        <v>299</v>
      </c>
      <c r="P21" s="34">
        <f t="shared" si="9"/>
        <v>260</v>
      </c>
      <c r="Q21" s="34">
        <f t="shared" si="10"/>
        <v>76</v>
      </c>
      <c r="R21" s="34">
        <f t="shared" si="11"/>
        <v>13</v>
      </c>
      <c r="S21" s="34">
        <f t="shared" si="12"/>
        <v>1</v>
      </c>
      <c r="T21" s="34">
        <f t="shared" si="13"/>
        <v>350</v>
      </c>
      <c r="U21" s="37">
        <f t="shared" si="14"/>
        <v>0.74285714285714288</v>
      </c>
      <c r="V21" s="37">
        <f t="shared" si="15"/>
        <v>0.21714285714285714</v>
      </c>
      <c r="W21" s="37">
        <f t="shared" si="16"/>
        <v>3.7142857142857144E-2</v>
      </c>
      <c r="X21" s="37">
        <f t="shared" si="17"/>
        <v>2.8571428571428571E-3</v>
      </c>
      <c r="Y21" s="35">
        <f t="shared" si="18"/>
        <v>68.088571428571427</v>
      </c>
    </row>
    <row r="22" spans="1:25" x14ac:dyDescent="0.25">
      <c r="A22" s="34" t="s">
        <v>316</v>
      </c>
      <c r="B22" s="34" t="s">
        <v>317</v>
      </c>
      <c r="C22" s="34" t="s">
        <v>182</v>
      </c>
      <c r="D22" s="34">
        <v>2</v>
      </c>
      <c r="E22" s="34"/>
      <c r="F22" s="34">
        <v>2</v>
      </c>
      <c r="G22" s="34">
        <v>1</v>
      </c>
      <c r="H22" s="34">
        <v>85</v>
      </c>
      <c r="I22" s="34">
        <v>26</v>
      </c>
      <c r="J22" s="34"/>
      <c r="K22" s="34">
        <v>236</v>
      </c>
      <c r="L22" s="34"/>
      <c r="M22" s="34">
        <v>350</v>
      </c>
      <c r="N22" s="35">
        <v>54.7</v>
      </c>
      <c r="O22" s="34" t="s">
        <v>299</v>
      </c>
      <c r="P22" s="34">
        <f t="shared" si="9"/>
        <v>236</v>
      </c>
      <c r="Q22" s="34">
        <f t="shared" si="10"/>
        <v>85</v>
      </c>
      <c r="R22" s="34">
        <f t="shared" si="11"/>
        <v>26</v>
      </c>
      <c r="S22" s="34">
        <f t="shared" si="12"/>
        <v>3</v>
      </c>
      <c r="T22" s="34">
        <f t="shared" si="13"/>
        <v>350</v>
      </c>
      <c r="U22" s="37">
        <f t="shared" si="14"/>
        <v>0.67428571428571427</v>
      </c>
      <c r="V22" s="37">
        <f t="shared" si="15"/>
        <v>0.24285714285714285</v>
      </c>
      <c r="W22" s="37">
        <f t="shared" si="16"/>
        <v>7.4285714285714288E-2</v>
      </c>
      <c r="X22" s="37">
        <f t="shared" si="17"/>
        <v>8.5714285714285719E-3</v>
      </c>
      <c r="Y22" s="35">
        <f t="shared" si="18"/>
        <v>54.7</v>
      </c>
    </row>
    <row r="23" spans="1:25" x14ac:dyDescent="0.25">
      <c r="A23" s="34" t="s">
        <v>316</v>
      </c>
      <c r="B23" s="34" t="s">
        <v>317</v>
      </c>
      <c r="C23" s="34" t="s">
        <v>182</v>
      </c>
      <c r="D23" s="34">
        <v>3</v>
      </c>
      <c r="E23" s="34"/>
      <c r="F23" s="34"/>
      <c r="G23" s="34">
        <v>2</v>
      </c>
      <c r="H23" s="34">
        <v>89</v>
      </c>
      <c r="I23" s="34">
        <v>28</v>
      </c>
      <c r="J23" s="34"/>
      <c r="K23" s="34">
        <v>315</v>
      </c>
      <c r="L23" s="34"/>
      <c r="M23" s="34">
        <v>434</v>
      </c>
      <c r="N23" s="35">
        <v>40.820276497695851</v>
      </c>
      <c r="O23" s="34" t="s">
        <v>299</v>
      </c>
      <c r="P23" s="34">
        <f t="shared" si="9"/>
        <v>315</v>
      </c>
      <c r="Q23" s="34">
        <f t="shared" si="10"/>
        <v>89</v>
      </c>
      <c r="R23" s="34">
        <f t="shared" si="11"/>
        <v>28</v>
      </c>
      <c r="S23" s="34">
        <f t="shared" si="12"/>
        <v>2</v>
      </c>
      <c r="T23" s="34">
        <f t="shared" si="13"/>
        <v>434</v>
      </c>
      <c r="U23" s="37">
        <f t="shared" si="14"/>
        <v>0.72580645161290325</v>
      </c>
      <c r="V23" s="37">
        <f t="shared" si="15"/>
        <v>0.20506912442396313</v>
      </c>
      <c r="W23" s="37">
        <f t="shared" si="16"/>
        <v>6.4516129032258063E-2</v>
      </c>
      <c r="X23" s="37">
        <f t="shared" si="17"/>
        <v>4.608294930875576E-3</v>
      </c>
      <c r="Y23" s="35">
        <f t="shared" si="18"/>
        <v>40.820276497695851</v>
      </c>
    </row>
    <row r="24" spans="1:25" x14ac:dyDescent="0.25">
      <c r="A24" s="34" t="s">
        <v>316</v>
      </c>
      <c r="B24" s="34" t="s">
        <v>317</v>
      </c>
      <c r="C24" s="34" t="s">
        <v>182</v>
      </c>
      <c r="D24" s="34">
        <v>4</v>
      </c>
      <c r="E24" s="34"/>
      <c r="F24" s="34"/>
      <c r="G24" s="34"/>
      <c r="H24" s="34">
        <v>70</v>
      </c>
      <c r="I24" s="34">
        <v>23</v>
      </c>
      <c r="J24" s="34"/>
      <c r="K24" s="34">
        <v>341</v>
      </c>
      <c r="L24" s="34"/>
      <c r="M24" s="34">
        <v>434</v>
      </c>
      <c r="N24" s="35">
        <v>31.375576036866359</v>
      </c>
      <c r="O24" s="34" t="s">
        <v>299</v>
      </c>
      <c r="P24" s="34">
        <f t="shared" si="9"/>
        <v>341</v>
      </c>
      <c r="Q24" s="34">
        <f t="shared" si="10"/>
        <v>70</v>
      </c>
      <c r="R24" s="34">
        <f t="shared" si="11"/>
        <v>23</v>
      </c>
      <c r="S24" s="34">
        <f t="shared" si="12"/>
        <v>0</v>
      </c>
      <c r="T24" s="34">
        <f t="shared" si="13"/>
        <v>434</v>
      </c>
      <c r="U24" s="37">
        <f t="shared" si="14"/>
        <v>0.7857142857142857</v>
      </c>
      <c r="V24" s="37">
        <f t="shared" si="15"/>
        <v>0.16129032258064516</v>
      </c>
      <c r="W24" s="37">
        <f t="shared" si="16"/>
        <v>5.2995391705069124E-2</v>
      </c>
      <c r="X24" s="37">
        <f t="shared" si="17"/>
        <v>0</v>
      </c>
      <c r="Y24" s="35">
        <f t="shared" si="18"/>
        <v>31.375576036866359</v>
      </c>
    </row>
    <row r="25" spans="1:25" x14ac:dyDescent="0.25">
      <c r="A25" s="34" t="s">
        <v>316</v>
      </c>
      <c r="B25" s="34" t="s">
        <v>317</v>
      </c>
      <c r="C25" s="34" t="s">
        <v>182</v>
      </c>
      <c r="D25" s="34">
        <v>5</v>
      </c>
      <c r="E25" s="34"/>
      <c r="F25" s="34"/>
      <c r="G25" s="34"/>
      <c r="H25" s="34">
        <v>59</v>
      </c>
      <c r="I25" s="34">
        <v>25</v>
      </c>
      <c r="J25" s="34"/>
      <c r="K25" s="34">
        <v>351</v>
      </c>
      <c r="L25" s="34"/>
      <c r="M25" s="34">
        <v>435</v>
      </c>
      <c r="N25" s="35">
        <v>22.754022988505746</v>
      </c>
      <c r="O25" s="34" t="s">
        <v>299</v>
      </c>
      <c r="P25" s="34">
        <f t="shared" si="9"/>
        <v>351</v>
      </c>
      <c r="Q25" s="34">
        <f t="shared" si="10"/>
        <v>59</v>
      </c>
      <c r="R25" s="34">
        <f t="shared" si="11"/>
        <v>25</v>
      </c>
      <c r="S25" s="34">
        <f t="shared" si="12"/>
        <v>0</v>
      </c>
      <c r="T25" s="34">
        <f t="shared" si="13"/>
        <v>435</v>
      </c>
      <c r="U25" s="37">
        <f t="shared" si="14"/>
        <v>0.80689655172413788</v>
      </c>
      <c r="V25" s="37">
        <f t="shared" si="15"/>
        <v>0.13563218390804599</v>
      </c>
      <c r="W25" s="37">
        <f t="shared" si="16"/>
        <v>5.7471264367816091E-2</v>
      </c>
      <c r="X25" s="37">
        <f t="shared" si="17"/>
        <v>0</v>
      </c>
      <c r="Y25" s="35">
        <f t="shared" si="18"/>
        <v>22.754022988505746</v>
      </c>
    </row>
    <row r="26" spans="1:25" x14ac:dyDescent="0.25">
      <c r="A26" s="34" t="s">
        <v>318</v>
      </c>
      <c r="B26" s="34" t="s">
        <v>319</v>
      </c>
      <c r="C26" s="34" t="s">
        <v>184</v>
      </c>
      <c r="D26" s="34">
        <v>1</v>
      </c>
      <c r="E26" s="34"/>
      <c r="F26" s="34"/>
      <c r="G26" s="34"/>
      <c r="H26" s="34">
        <v>2</v>
      </c>
      <c r="I26" s="34">
        <v>6</v>
      </c>
      <c r="J26" s="34">
        <v>1</v>
      </c>
      <c r="K26" s="34">
        <v>291</v>
      </c>
      <c r="L26" s="34"/>
      <c r="M26" s="34">
        <v>300</v>
      </c>
      <c r="N26" s="35">
        <v>68.38333333333334</v>
      </c>
      <c r="O26" s="34" t="s">
        <v>299</v>
      </c>
      <c r="P26" s="34">
        <f t="shared" si="9"/>
        <v>291</v>
      </c>
      <c r="Q26" s="34">
        <f t="shared" si="10"/>
        <v>2</v>
      </c>
      <c r="R26" s="34">
        <f t="shared" si="11"/>
        <v>6</v>
      </c>
      <c r="S26" s="34">
        <f t="shared" si="12"/>
        <v>1</v>
      </c>
      <c r="T26" s="34">
        <f t="shared" si="13"/>
        <v>300</v>
      </c>
      <c r="U26" s="37">
        <f t="shared" si="14"/>
        <v>0.97</v>
      </c>
      <c r="V26" s="37">
        <f t="shared" si="15"/>
        <v>6.6666666666666671E-3</v>
      </c>
      <c r="W26" s="37">
        <f t="shared" si="16"/>
        <v>0.02</v>
      </c>
      <c r="X26" s="37">
        <f t="shared" si="17"/>
        <v>3.3333333333333335E-3</v>
      </c>
      <c r="Y26" s="35">
        <f t="shared" si="18"/>
        <v>68.38333333333334</v>
      </c>
    </row>
    <row r="27" spans="1:25" x14ac:dyDescent="0.25">
      <c r="A27" s="34" t="s">
        <v>318</v>
      </c>
      <c r="B27" s="34" t="s">
        <v>319</v>
      </c>
      <c r="C27" s="34" t="s">
        <v>184</v>
      </c>
      <c r="D27" s="34">
        <v>2</v>
      </c>
      <c r="E27" s="34"/>
      <c r="F27" s="34"/>
      <c r="G27" s="34"/>
      <c r="H27" s="34"/>
      <c r="I27" s="34">
        <v>2</v>
      </c>
      <c r="J27" s="34">
        <v>2</v>
      </c>
      <c r="K27" s="34">
        <v>296</v>
      </c>
      <c r="L27" s="34"/>
      <c r="M27" s="34">
        <v>300</v>
      </c>
      <c r="N27" s="35">
        <v>63.89</v>
      </c>
      <c r="O27" s="34" t="s">
        <v>299</v>
      </c>
      <c r="P27" s="34">
        <f t="shared" si="9"/>
        <v>296</v>
      </c>
      <c r="Q27" s="34">
        <f t="shared" si="10"/>
        <v>0</v>
      </c>
      <c r="R27" s="34">
        <f t="shared" si="11"/>
        <v>2</v>
      </c>
      <c r="S27" s="34">
        <f t="shared" si="12"/>
        <v>2</v>
      </c>
      <c r="T27" s="34">
        <f t="shared" si="13"/>
        <v>300</v>
      </c>
      <c r="U27" s="37">
        <f t="shared" si="14"/>
        <v>0.98666666666666669</v>
      </c>
      <c r="V27" s="37">
        <f t="shared" si="15"/>
        <v>0</v>
      </c>
      <c r="W27" s="37">
        <f t="shared" si="16"/>
        <v>6.6666666666666671E-3</v>
      </c>
      <c r="X27" s="37">
        <f t="shared" si="17"/>
        <v>6.6666666666666671E-3</v>
      </c>
      <c r="Y27" s="35">
        <f t="shared" si="18"/>
        <v>63.89</v>
      </c>
    </row>
    <row r="28" spans="1:25" x14ac:dyDescent="0.25">
      <c r="A28" s="34" t="s">
        <v>318</v>
      </c>
      <c r="B28" s="34" t="s">
        <v>319</v>
      </c>
      <c r="C28" s="34" t="s">
        <v>184</v>
      </c>
      <c r="D28" s="34">
        <v>3</v>
      </c>
      <c r="E28" s="34">
        <v>1</v>
      </c>
      <c r="F28" s="34"/>
      <c r="G28" s="34"/>
      <c r="H28" s="34">
        <v>3</v>
      </c>
      <c r="I28" s="34">
        <v>4</v>
      </c>
      <c r="J28" s="34">
        <v>2</v>
      </c>
      <c r="K28" s="34">
        <v>480</v>
      </c>
      <c r="L28" s="34"/>
      <c r="M28" s="34">
        <v>490</v>
      </c>
      <c r="N28" s="35">
        <v>52.512244897959185</v>
      </c>
      <c r="O28" s="34" t="s">
        <v>299</v>
      </c>
      <c r="P28" s="34">
        <f t="shared" si="9"/>
        <v>480</v>
      </c>
      <c r="Q28" s="34">
        <f t="shared" si="10"/>
        <v>3</v>
      </c>
      <c r="R28" s="34">
        <f t="shared" si="11"/>
        <v>4</v>
      </c>
      <c r="S28" s="34">
        <f t="shared" si="12"/>
        <v>3</v>
      </c>
      <c r="T28" s="34">
        <f t="shared" si="13"/>
        <v>490</v>
      </c>
      <c r="U28" s="37">
        <f t="shared" si="14"/>
        <v>0.97959183673469385</v>
      </c>
      <c r="V28" s="37">
        <f t="shared" si="15"/>
        <v>6.1224489795918364E-3</v>
      </c>
      <c r="W28" s="37">
        <f t="shared" si="16"/>
        <v>8.1632653061224497E-3</v>
      </c>
      <c r="X28" s="37">
        <f t="shared" si="17"/>
        <v>6.1224489795918364E-3</v>
      </c>
      <c r="Y28" s="35">
        <f t="shared" si="18"/>
        <v>52.512244897959185</v>
      </c>
    </row>
    <row r="29" spans="1:25" x14ac:dyDescent="0.25">
      <c r="A29" s="34" t="s">
        <v>318</v>
      </c>
      <c r="B29" s="34" t="s">
        <v>319</v>
      </c>
      <c r="C29" s="34" t="s">
        <v>184</v>
      </c>
      <c r="D29" s="34">
        <v>4</v>
      </c>
      <c r="E29" s="34">
        <v>1</v>
      </c>
      <c r="F29" s="34"/>
      <c r="G29" s="34">
        <v>1</v>
      </c>
      <c r="H29" s="34">
        <v>2</v>
      </c>
      <c r="I29" s="34">
        <v>2</v>
      </c>
      <c r="J29" s="34">
        <v>1</v>
      </c>
      <c r="K29" s="34">
        <v>483</v>
      </c>
      <c r="L29" s="34"/>
      <c r="M29" s="34">
        <v>490</v>
      </c>
      <c r="N29" s="35">
        <v>40.185714285714283</v>
      </c>
      <c r="O29" s="34" t="s">
        <v>299</v>
      </c>
      <c r="P29" s="34">
        <f t="shared" si="9"/>
        <v>483</v>
      </c>
      <c r="Q29" s="34">
        <f t="shared" si="10"/>
        <v>2</v>
      </c>
      <c r="R29" s="34">
        <f t="shared" si="11"/>
        <v>2</v>
      </c>
      <c r="S29" s="34">
        <f t="shared" si="12"/>
        <v>3</v>
      </c>
      <c r="T29" s="34">
        <f t="shared" si="13"/>
        <v>490</v>
      </c>
      <c r="U29" s="37">
        <f t="shared" si="14"/>
        <v>0.98571428571428577</v>
      </c>
      <c r="V29" s="37">
        <f t="shared" si="15"/>
        <v>4.0816326530612249E-3</v>
      </c>
      <c r="W29" s="37">
        <f t="shared" si="16"/>
        <v>4.0816326530612249E-3</v>
      </c>
      <c r="X29" s="37">
        <f t="shared" si="17"/>
        <v>6.1224489795918364E-3</v>
      </c>
      <c r="Y29" s="35">
        <f t="shared" si="18"/>
        <v>40.185714285714283</v>
      </c>
    </row>
    <row r="30" spans="1:25" x14ac:dyDescent="0.25">
      <c r="A30" s="34" t="s">
        <v>318</v>
      </c>
      <c r="B30" s="34" t="s">
        <v>319</v>
      </c>
      <c r="C30" s="34" t="s">
        <v>184</v>
      </c>
      <c r="D30" s="34">
        <v>5</v>
      </c>
      <c r="E30" s="34"/>
      <c r="F30" s="34"/>
      <c r="G30" s="34">
        <v>1</v>
      </c>
      <c r="H30" s="34"/>
      <c r="I30" s="34">
        <v>6</v>
      </c>
      <c r="J30" s="34"/>
      <c r="K30" s="34">
        <v>483</v>
      </c>
      <c r="L30" s="34"/>
      <c r="M30" s="34">
        <v>490</v>
      </c>
      <c r="N30" s="35">
        <v>30.93469387755102</v>
      </c>
      <c r="O30" s="34" t="s">
        <v>299</v>
      </c>
      <c r="P30" s="34">
        <f t="shared" si="9"/>
        <v>483</v>
      </c>
      <c r="Q30" s="34">
        <f t="shared" si="10"/>
        <v>0</v>
      </c>
      <c r="R30" s="34">
        <f t="shared" si="11"/>
        <v>6</v>
      </c>
      <c r="S30" s="34">
        <f t="shared" si="12"/>
        <v>1</v>
      </c>
      <c r="T30" s="34">
        <f t="shared" si="13"/>
        <v>490</v>
      </c>
      <c r="U30" s="37">
        <f t="shared" si="14"/>
        <v>0.98571428571428577</v>
      </c>
      <c r="V30" s="37">
        <f t="shared" si="15"/>
        <v>0</v>
      </c>
      <c r="W30" s="37">
        <f t="shared" si="16"/>
        <v>1.2244897959183673E-2</v>
      </c>
      <c r="X30" s="37">
        <f t="shared" si="17"/>
        <v>2.0408163265306124E-3</v>
      </c>
      <c r="Y30" s="35">
        <f t="shared" si="18"/>
        <v>30.93469387755102</v>
      </c>
    </row>
    <row r="31" spans="1:25" x14ac:dyDescent="0.25">
      <c r="A31" s="34" t="s">
        <v>318</v>
      </c>
      <c r="B31" s="34" t="s">
        <v>319</v>
      </c>
      <c r="C31" s="34" t="s">
        <v>184</v>
      </c>
      <c r="D31" s="34">
        <v>6</v>
      </c>
      <c r="E31" s="34">
        <v>1</v>
      </c>
      <c r="F31" s="34"/>
      <c r="G31" s="34"/>
      <c r="H31" s="34"/>
      <c r="I31" s="34">
        <v>6</v>
      </c>
      <c r="J31" s="34"/>
      <c r="K31" s="34">
        <v>483</v>
      </c>
      <c r="L31" s="34"/>
      <c r="M31" s="34">
        <v>490</v>
      </c>
      <c r="N31" s="35">
        <v>22.397959183673468</v>
      </c>
      <c r="O31" s="34" t="s">
        <v>299</v>
      </c>
      <c r="P31" s="34">
        <f t="shared" si="9"/>
        <v>483</v>
      </c>
      <c r="Q31" s="34">
        <f t="shared" si="10"/>
        <v>0</v>
      </c>
      <c r="R31" s="34">
        <f t="shared" si="11"/>
        <v>6</v>
      </c>
      <c r="S31" s="34">
        <f t="shared" si="12"/>
        <v>1</v>
      </c>
      <c r="T31" s="34">
        <f t="shared" si="13"/>
        <v>490</v>
      </c>
      <c r="U31" s="37">
        <f t="shared" si="14"/>
        <v>0.98571428571428577</v>
      </c>
      <c r="V31" s="37">
        <f t="shared" si="15"/>
        <v>0</v>
      </c>
      <c r="W31" s="37">
        <f t="shared" si="16"/>
        <v>1.2244897959183673E-2</v>
      </c>
      <c r="X31" s="37">
        <f t="shared" si="17"/>
        <v>2.0408163265306124E-3</v>
      </c>
      <c r="Y31" s="35">
        <f t="shared" si="18"/>
        <v>22.397959183673468</v>
      </c>
    </row>
    <row r="32" spans="1:25" x14ac:dyDescent="0.25">
      <c r="A32" s="34" t="s">
        <v>320</v>
      </c>
      <c r="B32" s="34" t="s">
        <v>321</v>
      </c>
      <c r="C32" s="34" t="s">
        <v>186</v>
      </c>
      <c r="D32" s="34">
        <v>1</v>
      </c>
      <c r="E32" s="34"/>
      <c r="F32" s="34"/>
      <c r="G32" s="34"/>
      <c r="H32" s="34">
        <v>83</v>
      </c>
      <c r="I32" s="34">
        <v>17</v>
      </c>
      <c r="J32" s="34"/>
      <c r="K32" s="34">
        <v>250</v>
      </c>
      <c r="L32" s="34"/>
      <c r="M32" s="34">
        <v>350</v>
      </c>
      <c r="N32" s="35">
        <v>70.71142857142857</v>
      </c>
      <c r="O32" s="34" t="s">
        <v>299</v>
      </c>
      <c r="P32" s="34">
        <f t="shared" si="9"/>
        <v>250</v>
      </c>
      <c r="Q32" s="34">
        <f t="shared" si="10"/>
        <v>83</v>
      </c>
      <c r="R32" s="34">
        <f t="shared" si="11"/>
        <v>17</v>
      </c>
      <c r="S32" s="34">
        <f t="shared" si="12"/>
        <v>0</v>
      </c>
      <c r="T32" s="34">
        <f t="shared" si="13"/>
        <v>350</v>
      </c>
      <c r="U32" s="37">
        <f t="shared" si="14"/>
        <v>0.7142857142857143</v>
      </c>
      <c r="V32" s="37">
        <f t="shared" si="15"/>
        <v>0.23714285714285716</v>
      </c>
      <c r="W32" s="37">
        <f t="shared" si="16"/>
        <v>4.8571428571428571E-2</v>
      </c>
      <c r="X32" s="37">
        <f t="shared" si="17"/>
        <v>0</v>
      </c>
      <c r="Y32" s="35">
        <f t="shared" si="18"/>
        <v>70.71142857142857</v>
      </c>
    </row>
    <row r="33" spans="1:25" x14ac:dyDescent="0.25">
      <c r="A33" s="34" t="s">
        <v>320</v>
      </c>
      <c r="B33" s="34" t="s">
        <v>321</v>
      </c>
      <c r="C33" s="34" t="s">
        <v>186</v>
      </c>
      <c r="D33" s="34">
        <v>2</v>
      </c>
      <c r="E33" s="34"/>
      <c r="F33" s="34"/>
      <c r="G33" s="34">
        <v>1</v>
      </c>
      <c r="H33" s="34">
        <v>63</v>
      </c>
      <c r="I33" s="34">
        <v>11</v>
      </c>
      <c r="J33" s="34"/>
      <c r="K33" s="34">
        <v>275</v>
      </c>
      <c r="L33" s="34"/>
      <c r="M33" s="34">
        <v>350</v>
      </c>
      <c r="N33" s="35">
        <v>56.982857142857142</v>
      </c>
      <c r="O33" s="34" t="s">
        <v>299</v>
      </c>
      <c r="P33" s="34">
        <f t="shared" si="9"/>
        <v>275</v>
      </c>
      <c r="Q33" s="34">
        <f t="shared" si="10"/>
        <v>63</v>
      </c>
      <c r="R33" s="34">
        <f t="shared" si="11"/>
        <v>11</v>
      </c>
      <c r="S33" s="34">
        <f t="shared" si="12"/>
        <v>1</v>
      </c>
      <c r="T33" s="34">
        <f t="shared" si="13"/>
        <v>350</v>
      </c>
      <c r="U33" s="37">
        <f t="shared" si="14"/>
        <v>0.7857142857142857</v>
      </c>
      <c r="V33" s="37">
        <f t="shared" si="15"/>
        <v>0.18</v>
      </c>
      <c r="W33" s="37">
        <f t="shared" si="16"/>
        <v>3.1428571428571431E-2</v>
      </c>
      <c r="X33" s="37">
        <f t="shared" si="17"/>
        <v>2.8571428571428571E-3</v>
      </c>
      <c r="Y33" s="35">
        <f t="shared" si="18"/>
        <v>56.982857142857142</v>
      </c>
    </row>
    <row r="34" spans="1:25" x14ac:dyDescent="0.25">
      <c r="A34" s="34" t="s">
        <v>320</v>
      </c>
      <c r="B34" s="34" t="s">
        <v>321</v>
      </c>
      <c r="C34" s="34" t="s">
        <v>186</v>
      </c>
      <c r="D34" s="34">
        <v>3</v>
      </c>
      <c r="E34" s="34"/>
      <c r="F34" s="34"/>
      <c r="G34" s="34"/>
      <c r="H34" s="34">
        <v>68</v>
      </c>
      <c r="I34" s="34">
        <v>31</v>
      </c>
      <c r="J34" s="34">
        <v>1</v>
      </c>
      <c r="K34" s="34">
        <v>372</v>
      </c>
      <c r="L34" s="34"/>
      <c r="M34" s="34">
        <v>472</v>
      </c>
      <c r="N34" s="35">
        <v>40.646186440677965</v>
      </c>
      <c r="O34" s="34" t="s">
        <v>299</v>
      </c>
      <c r="P34" s="34">
        <f t="shared" si="9"/>
        <v>372</v>
      </c>
      <c r="Q34" s="34">
        <f t="shared" si="10"/>
        <v>68</v>
      </c>
      <c r="R34" s="34">
        <f t="shared" si="11"/>
        <v>31</v>
      </c>
      <c r="S34" s="34">
        <f t="shared" si="12"/>
        <v>1</v>
      </c>
      <c r="T34" s="34">
        <f t="shared" si="13"/>
        <v>472</v>
      </c>
      <c r="U34" s="37">
        <f t="shared" si="14"/>
        <v>0.78813559322033899</v>
      </c>
      <c r="V34" s="37">
        <f t="shared" si="15"/>
        <v>0.1440677966101695</v>
      </c>
      <c r="W34" s="37">
        <f t="shared" si="16"/>
        <v>6.5677966101694921E-2</v>
      </c>
      <c r="X34" s="37">
        <f t="shared" si="17"/>
        <v>2.1186440677966102E-3</v>
      </c>
      <c r="Y34" s="35">
        <f t="shared" si="18"/>
        <v>40.646186440677965</v>
      </c>
    </row>
    <row r="35" spans="1:25" x14ac:dyDescent="0.25">
      <c r="A35" s="34" t="s">
        <v>320</v>
      </c>
      <c r="B35" s="34" t="s">
        <v>321</v>
      </c>
      <c r="C35" s="34" t="s">
        <v>186</v>
      </c>
      <c r="D35" s="34">
        <v>4</v>
      </c>
      <c r="E35" s="34"/>
      <c r="F35" s="34"/>
      <c r="G35" s="34">
        <v>1</v>
      </c>
      <c r="H35" s="34">
        <v>38</v>
      </c>
      <c r="I35" s="34">
        <v>19</v>
      </c>
      <c r="J35" s="34"/>
      <c r="K35" s="34">
        <v>414</v>
      </c>
      <c r="L35" s="34"/>
      <c r="M35" s="34">
        <v>472</v>
      </c>
      <c r="N35" s="35">
        <v>25.35593220338983</v>
      </c>
      <c r="O35" s="34" t="s">
        <v>299</v>
      </c>
      <c r="P35" s="34">
        <f t="shared" si="9"/>
        <v>414</v>
      </c>
      <c r="Q35" s="34">
        <f t="shared" si="10"/>
        <v>38</v>
      </c>
      <c r="R35" s="34">
        <f t="shared" si="11"/>
        <v>19</v>
      </c>
      <c r="S35" s="34">
        <f t="shared" si="12"/>
        <v>1</v>
      </c>
      <c r="T35" s="34">
        <f t="shared" si="13"/>
        <v>472</v>
      </c>
      <c r="U35" s="37">
        <f t="shared" si="14"/>
        <v>0.8771186440677966</v>
      </c>
      <c r="V35" s="37">
        <f t="shared" si="15"/>
        <v>8.050847457627118E-2</v>
      </c>
      <c r="W35" s="37">
        <f t="shared" si="16"/>
        <v>4.025423728813559E-2</v>
      </c>
      <c r="X35" s="37">
        <f t="shared" si="17"/>
        <v>2.1186440677966102E-3</v>
      </c>
      <c r="Y35" s="35">
        <f t="shared" si="18"/>
        <v>25.35593220338983</v>
      </c>
    </row>
    <row r="36" spans="1:25" x14ac:dyDescent="0.25">
      <c r="A36" s="34" t="s">
        <v>322</v>
      </c>
      <c r="B36" s="34" t="s">
        <v>323</v>
      </c>
      <c r="C36" s="34" t="s">
        <v>188</v>
      </c>
      <c r="D36" s="34">
        <v>1</v>
      </c>
      <c r="E36" s="34">
        <v>43</v>
      </c>
      <c r="F36" s="34"/>
      <c r="G36" s="34">
        <v>1</v>
      </c>
      <c r="H36" s="34">
        <v>6</v>
      </c>
      <c r="I36" s="34">
        <v>19</v>
      </c>
      <c r="J36" s="34"/>
      <c r="K36" s="34">
        <v>111</v>
      </c>
      <c r="L36" s="34">
        <v>236</v>
      </c>
      <c r="M36" s="34">
        <v>416</v>
      </c>
      <c r="N36" s="35">
        <v>38.057692307692307</v>
      </c>
      <c r="O36" s="34" t="s">
        <v>299</v>
      </c>
      <c r="P36" s="34">
        <f t="shared" si="9"/>
        <v>111</v>
      </c>
      <c r="Q36" s="34">
        <f t="shared" si="10"/>
        <v>6</v>
      </c>
      <c r="R36" s="34">
        <f t="shared" si="11"/>
        <v>19</v>
      </c>
      <c r="S36" s="34">
        <f t="shared" si="12"/>
        <v>280</v>
      </c>
      <c r="T36" s="34">
        <f t="shared" si="13"/>
        <v>416</v>
      </c>
      <c r="U36" s="37">
        <f t="shared" si="14"/>
        <v>0.26682692307692307</v>
      </c>
      <c r="V36" s="37">
        <f t="shared" si="15"/>
        <v>1.4423076923076924E-2</v>
      </c>
      <c r="W36" s="37">
        <f t="shared" si="16"/>
        <v>4.567307692307692E-2</v>
      </c>
      <c r="X36" s="37">
        <f t="shared" si="17"/>
        <v>0.67307692307692313</v>
      </c>
      <c r="Y36" s="35">
        <f t="shared" si="18"/>
        <v>38.057692307692307</v>
      </c>
    </row>
    <row r="37" spans="1:25" x14ac:dyDescent="0.25">
      <c r="A37" s="34" t="s">
        <v>324</v>
      </c>
      <c r="B37" s="34" t="s">
        <v>325</v>
      </c>
      <c r="C37" s="34" t="s">
        <v>190</v>
      </c>
      <c r="D37" s="34">
        <v>1</v>
      </c>
      <c r="E37" s="34"/>
      <c r="F37" s="34"/>
      <c r="G37" s="34"/>
      <c r="H37" s="34">
        <v>5</v>
      </c>
      <c r="I37" s="34">
        <v>1</v>
      </c>
      <c r="J37" s="34"/>
      <c r="K37" s="34">
        <v>344</v>
      </c>
      <c r="L37" s="34"/>
      <c r="M37" s="34">
        <v>350</v>
      </c>
      <c r="N37" s="35">
        <v>60.451428571428572</v>
      </c>
      <c r="O37" s="34" t="s">
        <v>299</v>
      </c>
      <c r="P37" s="34">
        <f t="shared" si="9"/>
        <v>344</v>
      </c>
      <c r="Q37" s="34">
        <f t="shared" si="10"/>
        <v>5</v>
      </c>
      <c r="R37" s="34">
        <f t="shared" si="11"/>
        <v>1</v>
      </c>
      <c r="S37" s="34">
        <f t="shared" si="12"/>
        <v>0</v>
      </c>
      <c r="T37" s="34">
        <f t="shared" si="13"/>
        <v>350</v>
      </c>
      <c r="U37" s="37">
        <f t="shared" si="14"/>
        <v>0.98285714285714287</v>
      </c>
      <c r="V37" s="37">
        <f t="shared" si="15"/>
        <v>1.4285714285714285E-2</v>
      </c>
      <c r="W37" s="37">
        <f t="shared" si="16"/>
        <v>2.8571428571428571E-3</v>
      </c>
      <c r="X37" s="37">
        <f t="shared" si="17"/>
        <v>0</v>
      </c>
      <c r="Y37" s="35">
        <f t="shared" si="18"/>
        <v>60.451428571428572</v>
      </c>
    </row>
    <row r="38" spans="1:25" x14ac:dyDescent="0.25">
      <c r="A38" s="34" t="s">
        <v>324</v>
      </c>
      <c r="B38" s="34" t="s">
        <v>325</v>
      </c>
      <c r="C38" s="34" t="s">
        <v>190</v>
      </c>
      <c r="D38" s="34">
        <v>2</v>
      </c>
      <c r="E38" s="34">
        <v>1</v>
      </c>
      <c r="F38" s="34"/>
      <c r="G38" s="34"/>
      <c r="H38" s="34">
        <v>1</v>
      </c>
      <c r="I38" s="34"/>
      <c r="J38" s="34"/>
      <c r="K38" s="34">
        <v>468</v>
      </c>
      <c r="L38" s="34"/>
      <c r="M38" s="34">
        <v>470</v>
      </c>
      <c r="N38" s="35">
        <v>31.561702127659576</v>
      </c>
      <c r="O38" s="34" t="s">
        <v>299</v>
      </c>
      <c r="P38" s="34">
        <f t="shared" si="9"/>
        <v>468</v>
      </c>
      <c r="Q38" s="34">
        <f t="shared" si="10"/>
        <v>1</v>
      </c>
      <c r="R38" s="34">
        <f t="shared" si="11"/>
        <v>0</v>
      </c>
      <c r="S38" s="34">
        <f t="shared" si="12"/>
        <v>1</v>
      </c>
      <c r="T38" s="34">
        <f t="shared" si="13"/>
        <v>470</v>
      </c>
      <c r="U38" s="37">
        <f t="shared" si="14"/>
        <v>0.99574468085106382</v>
      </c>
      <c r="V38" s="37">
        <f t="shared" si="15"/>
        <v>2.1276595744680851E-3</v>
      </c>
      <c r="W38" s="37">
        <f t="shared" si="16"/>
        <v>0</v>
      </c>
      <c r="X38" s="37">
        <f t="shared" si="17"/>
        <v>2.1276595744680851E-3</v>
      </c>
      <c r="Y38" s="35">
        <f t="shared" si="18"/>
        <v>31.561702127659576</v>
      </c>
    </row>
    <row r="39" spans="1:25" x14ac:dyDescent="0.25">
      <c r="A39" s="34" t="s">
        <v>326</v>
      </c>
      <c r="B39" s="34" t="s">
        <v>327</v>
      </c>
      <c r="C39" s="34" t="s">
        <v>192</v>
      </c>
      <c r="D39" s="34">
        <v>1</v>
      </c>
      <c r="E39" s="34"/>
      <c r="F39" s="34"/>
      <c r="G39" s="34"/>
      <c r="H39" s="34">
        <v>2</v>
      </c>
      <c r="I39" s="34"/>
      <c r="J39" s="34">
        <v>1</v>
      </c>
      <c r="K39" s="34">
        <v>340</v>
      </c>
      <c r="L39" s="34">
        <v>7</v>
      </c>
      <c r="M39" s="34">
        <v>350</v>
      </c>
      <c r="N39" s="35">
        <v>69.254285714285714</v>
      </c>
      <c r="O39" s="34" t="s">
        <v>299</v>
      </c>
      <c r="P39" s="34">
        <f t="shared" si="9"/>
        <v>340</v>
      </c>
      <c r="Q39" s="34">
        <f t="shared" si="10"/>
        <v>2</v>
      </c>
      <c r="R39" s="34">
        <f t="shared" si="11"/>
        <v>0</v>
      </c>
      <c r="S39" s="34">
        <f t="shared" si="12"/>
        <v>8</v>
      </c>
      <c r="T39" s="34">
        <f t="shared" si="13"/>
        <v>350</v>
      </c>
      <c r="U39" s="37">
        <f t="shared" si="14"/>
        <v>0.97142857142857142</v>
      </c>
      <c r="V39" s="37">
        <f t="shared" si="15"/>
        <v>5.7142857142857143E-3</v>
      </c>
      <c r="W39" s="37">
        <f t="shared" si="16"/>
        <v>0</v>
      </c>
      <c r="X39" s="37">
        <f t="shared" si="17"/>
        <v>2.2857142857142857E-2</v>
      </c>
      <c r="Y39" s="35">
        <f t="shared" si="18"/>
        <v>69.254285714285714</v>
      </c>
    </row>
    <row r="40" spans="1:25" x14ac:dyDescent="0.25">
      <c r="A40" s="34" t="s">
        <v>326</v>
      </c>
      <c r="B40" s="34" t="s">
        <v>327</v>
      </c>
      <c r="C40" s="34" t="s">
        <v>192</v>
      </c>
      <c r="D40" s="34">
        <v>2</v>
      </c>
      <c r="E40" s="34"/>
      <c r="F40" s="34"/>
      <c r="G40" s="34"/>
      <c r="H40" s="34">
        <v>2</v>
      </c>
      <c r="I40" s="34"/>
      <c r="J40" s="34"/>
      <c r="K40" s="34">
        <v>336</v>
      </c>
      <c r="L40" s="34">
        <v>12</v>
      </c>
      <c r="M40" s="34">
        <v>350</v>
      </c>
      <c r="N40" s="35">
        <v>54.92</v>
      </c>
      <c r="O40" s="34" t="s">
        <v>299</v>
      </c>
      <c r="P40" s="34">
        <f t="shared" si="9"/>
        <v>336</v>
      </c>
      <c r="Q40" s="34">
        <f t="shared" si="10"/>
        <v>2</v>
      </c>
      <c r="R40" s="34">
        <f t="shared" si="11"/>
        <v>0</v>
      </c>
      <c r="S40" s="34">
        <f t="shared" si="12"/>
        <v>12</v>
      </c>
      <c r="T40" s="34">
        <f t="shared" si="13"/>
        <v>350</v>
      </c>
      <c r="U40" s="37">
        <f t="shared" si="14"/>
        <v>0.96</v>
      </c>
      <c r="V40" s="37">
        <f t="shared" si="15"/>
        <v>5.7142857142857143E-3</v>
      </c>
      <c r="W40" s="37">
        <f t="shared" si="16"/>
        <v>0</v>
      </c>
      <c r="X40" s="37">
        <f t="shared" si="17"/>
        <v>3.4285714285714287E-2</v>
      </c>
      <c r="Y40" s="35">
        <f t="shared" si="18"/>
        <v>54.92</v>
      </c>
    </row>
    <row r="41" spans="1:25" x14ac:dyDescent="0.25">
      <c r="A41" s="34" t="s">
        <v>326</v>
      </c>
      <c r="B41" s="34" t="s">
        <v>327</v>
      </c>
      <c r="C41" s="34" t="s">
        <v>192</v>
      </c>
      <c r="D41" s="34">
        <v>3</v>
      </c>
      <c r="E41" s="34">
        <v>1</v>
      </c>
      <c r="F41" s="34"/>
      <c r="G41" s="34">
        <v>1</v>
      </c>
      <c r="H41" s="34"/>
      <c r="I41" s="34"/>
      <c r="J41" s="34"/>
      <c r="K41" s="34">
        <v>465</v>
      </c>
      <c r="L41" s="34">
        <v>18</v>
      </c>
      <c r="M41" s="34">
        <v>485</v>
      </c>
      <c r="N41" s="35">
        <v>40.575257731958764</v>
      </c>
      <c r="O41" s="34" t="s">
        <v>299</v>
      </c>
      <c r="P41" s="34">
        <f t="shared" si="9"/>
        <v>465</v>
      </c>
      <c r="Q41" s="34">
        <f t="shared" si="10"/>
        <v>0</v>
      </c>
      <c r="R41" s="34">
        <f t="shared" si="11"/>
        <v>0</v>
      </c>
      <c r="S41" s="34">
        <f t="shared" si="12"/>
        <v>20</v>
      </c>
      <c r="T41" s="34">
        <f t="shared" si="13"/>
        <v>485</v>
      </c>
      <c r="U41" s="37">
        <f t="shared" si="14"/>
        <v>0.95876288659793818</v>
      </c>
      <c r="V41" s="37">
        <f t="shared" si="15"/>
        <v>0</v>
      </c>
      <c r="W41" s="37">
        <f t="shared" si="16"/>
        <v>0</v>
      </c>
      <c r="X41" s="37">
        <f t="shared" si="17"/>
        <v>4.1237113402061855E-2</v>
      </c>
      <c r="Y41" s="35">
        <f t="shared" si="18"/>
        <v>40.575257731958764</v>
      </c>
    </row>
    <row r="42" spans="1:25" x14ac:dyDescent="0.25">
      <c r="A42" s="34" t="s">
        <v>326</v>
      </c>
      <c r="B42" s="34" t="s">
        <v>327</v>
      </c>
      <c r="C42" s="34" t="s">
        <v>192</v>
      </c>
      <c r="D42" s="34">
        <v>4</v>
      </c>
      <c r="E42" s="34">
        <v>5</v>
      </c>
      <c r="F42" s="34"/>
      <c r="G42" s="34"/>
      <c r="H42" s="34">
        <v>1</v>
      </c>
      <c r="I42" s="34">
        <v>3</v>
      </c>
      <c r="J42" s="34"/>
      <c r="K42" s="34">
        <v>472</v>
      </c>
      <c r="L42" s="34">
        <v>4</v>
      </c>
      <c r="M42" s="34">
        <v>485</v>
      </c>
      <c r="N42" s="35">
        <v>25.696907216494846</v>
      </c>
      <c r="O42" s="34" t="s">
        <v>299</v>
      </c>
      <c r="P42" s="34">
        <f t="shared" si="9"/>
        <v>472</v>
      </c>
      <c r="Q42" s="34">
        <f t="shared" si="10"/>
        <v>1</v>
      </c>
      <c r="R42" s="34">
        <f t="shared" si="11"/>
        <v>3</v>
      </c>
      <c r="S42" s="34">
        <f t="shared" si="12"/>
        <v>9</v>
      </c>
      <c r="T42" s="34">
        <f t="shared" si="13"/>
        <v>485</v>
      </c>
      <c r="U42" s="37">
        <f t="shared" si="14"/>
        <v>0.97319587628865978</v>
      </c>
      <c r="V42" s="37">
        <f t="shared" si="15"/>
        <v>2.0618556701030928E-3</v>
      </c>
      <c r="W42" s="37">
        <f t="shared" si="16"/>
        <v>6.1855670103092781E-3</v>
      </c>
      <c r="X42" s="37">
        <f t="shared" si="17"/>
        <v>1.8556701030927835E-2</v>
      </c>
      <c r="Y42" s="35">
        <f t="shared" si="18"/>
        <v>25.696907216494846</v>
      </c>
    </row>
    <row r="43" spans="1:25" x14ac:dyDescent="0.25">
      <c r="A43" s="34" t="s">
        <v>328</v>
      </c>
      <c r="B43" s="34" t="s">
        <v>329</v>
      </c>
      <c r="C43" s="34" t="s">
        <v>194</v>
      </c>
      <c r="D43" s="34">
        <v>1</v>
      </c>
      <c r="E43" s="34"/>
      <c r="F43" s="34"/>
      <c r="G43" s="34"/>
      <c r="H43" s="34"/>
      <c r="I43" s="34"/>
      <c r="J43" s="34"/>
      <c r="K43" s="34">
        <v>230</v>
      </c>
      <c r="L43" s="34"/>
      <c r="M43" s="34">
        <v>230</v>
      </c>
      <c r="N43" s="35">
        <v>68.426086956521743</v>
      </c>
      <c r="O43" s="34" t="s">
        <v>299</v>
      </c>
      <c r="P43" s="34">
        <f t="shared" si="9"/>
        <v>230</v>
      </c>
      <c r="Q43" s="34">
        <f t="shared" si="10"/>
        <v>0</v>
      </c>
      <c r="R43" s="34">
        <f t="shared" si="11"/>
        <v>0</v>
      </c>
      <c r="S43" s="34">
        <f t="shared" si="12"/>
        <v>0</v>
      </c>
      <c r="T43" s="34">
        <f t="shared" si="13"/>
        <v>230</v>
      </c>
      <c r="U43" s="37">
        <f t="shared" si="14"/>
        <v>1</v>
      </c>
      <c r="V43" s="37">
        <f t="shared" si="15"/>
        <v>0</v>
      </c>
      <c r="W43" s="37">
        <f t="shared" si="16"/>
        <v>0</v>
      </c>
      <c r="X43" s="37">
        <f t="shared" si="17"/>
        <v>0</v>
      </c>
      <c r="Y43" s="35">
        <f t="shared" si="18"/>
        <v>68.426086956521743</v>
      </c>
    </row>
    <row r="44" spans="1:25" x14ac:dyDescent="0.25">
      <c r="A44" s="34" t="s">
        <v>328</v>
      </c>
      <c r="B44" s="34" t="s">
        <v>329</v>
      </c>
      <c r="C44" s="34" t="s">
        <v>194</v>
      </c>
      <c r="D44" s="34">
        <v>2</v>
      </c>
      <c r="E44" s="34"/>
      <c r="F44" s="34"/>
      <c r="G44" s="34"/>
      <c r="H44" s="34"/>
      <c r="I44" s="34"/>
      <c r="J44" s="34"/>
      <c r="K44" s="34">
        <v>343</v>
      </c>
      <c r="L44" s="34"/>
      <c r="M44" s="34">
        <v>343</v>
      </c>
      <c r="N44" s="35">
        <v>49.10787172011662</v>
      </c>
      <c r="O44" s="34" t="s">
        <v>299</v>
      </c>
      <c r="P44" s="34">
        <f t="shared" si="9"/>
        <v>343</v>
      </c>
      <c r="Q44" s="34">
        <f t="shared" si="10"/>
        <v>0</v>
      </c>
      <c r="R44" s="34">
        <f t="shared" si="11"/>
        <v>0</v>
      </c>
      <c r="S44" s="34">
        <f t="shared" si="12"/>
        <v>0</v>
      </c>
      <c r="T44" s="34">
        <f t="shared" si="13"/>
        <v>343</v>
      </c>
      <c r="U44" s="37">
        <f t="shared" si="14"/>
        <v>1</v>
      </c>
      <c r="V44" s="37">
        <f t="shared" si="15"/>
        <v>0</v>
      </c>
      <c r="W44" s="37">
        <f t="shared" si="16"/>
        <v>0</v>
      </c>
      <c r="X44" s="37">
        <f t="shared" si="17"/>
        <v>0</v>
      </c>
      <c r="Y44" s="35">
        <f t="shared" si="18"/>
        <v>49.10787172011662</v>
      </c>
    </row>
    <row r="45" spans="1:25" x14ac:dyDescent="0.25">
      <c r="A45" s="34" t="s">
        <v>328</v>
      </c>
      <c r="B45" s="34" t="s">
        <v>329</v>
      </c>
      <c r="C45" s="34" t="s">
        <v>194</v>
      </c>
      <c r="D45" s="34">
        <v>3</v>
      </c>
      <c r="E45" s="34"/>
      <c r="F45" s="34"/>
      <c r="G45" s="34"/>
      <c r="H45" s="34">
        <v>1</v>
      </c>
      <c r="I45" s="34">
        <v>1</v>
      </c>
      <c r="J45" s="34"/>
      <c r="K45" s="34">
        <v>342</v>
      </c>
      <c r="L45" s="34"/>
      <c r="M45" s="34">
        <v>344</v>
      </c>
      <c r="N45" s="35">
        <v>29.095930232558139</v>
      </c>
      <c r="O45" s="34" t="s">
        <v>299</v>
      </c>
      <c r="P45" s="34">
        <f t="shared" si="9"/>
        <v>342</v>
      </c>
      <c r="Q45" s="34">
        <f t="shared" si="10"/>
        <v>1</v>
      </c>
      <c r="R45" s="34">
        <f t="shared" si="11"/>
        <v>1</v>
      </c>
      <c r="S45" s="34">
        <f t="shared" si="12"/>
        <v>0</v>
      </c>
      <c r="T45" s="34">
        <f t="shared" si="13"/>
        <v>344</v>
      </c>
      <c r="U45" s="37">
        <f t="shared" si="14"/>
        <v>0.9941860465116279</v>
      </c>
      <c r="V45" s="37">
        <f t="shared" si="15"/>
        <v>2.9069767441860465E-3</v>
      </c>
      <c r="W45" s="37">
        <f t="shared" si="16"/>
        <v>2.9069767441860465E-3</v>
      </c>
      <c r="X45" s="37">
        <f t="shared" si="17"/>
        <v>0</v>
      </c>
      <c r="Y45" s="35">
        <f t="shared" si="18"/>
        <v>29.095930232558139</v>
      </c>
    </row>
    <row r="46" spans="1:25" x14ac:dyDescent="0.25">
      <c r="A46" s="34" t="s">
        <v>330</v>
      </c>
      <c r="B46" s="34" t="s">
        <v>331</v>
      </c>
      <c r="C46" s="34" t="s">
        <v>196</v>
      </c>
      <c r="D46" s="34">
        <v>1</v>
      </c>
      <c r="E46" s="34"/>
      <c r="F46" s="34"/>
      <c r="G46" s="34"/>
      <c r="H46" s="34">
        <v>4</v>
      </c>
      <c r="I46" s="34"/>
      <c r="J46" s="34"/>
      <c r="K46" s="34">
        <v>226</v>
      </c>
      <c r="L46" s="34"/>
      <c r="M46" s="34">
        <v>230</v>
      </c>
      <c r="N46" s="35">
        <v>68.839130434782604</v>
      </c>
      <c r="O46" s="34" t="s">
        <v>299</v>
      </c>
      <c r="P46" s="34">
        <f t="shared" si="9"/>
        <v>226</v>
      </c>
      <c r="Q46" s="34">
        <f t="shared" si="10"/>
        <v>4</v>
      </c>
      <c r="R46" s="34">
        <f t="shared" si="11"/>
        <v>0</v>
      </c>
      <c r="S46" s="34">
        <f t="shared" si="12"/>
        <v>0</v>
      </c>
      <c r="T46" s="34">
        <f t="shared" si="13"/>
        <v>230</v>
      </c>
      <c r="U46" s="37">
        <f t="shared" si="14"/>
        <v>0.9826086956521739</v>
      </c>
      <c r="V46" s="37">
        <f t="shared" si="15"/>
        <v>1.7391304347826087E-2</v>
      </c>
      <c r="W46" s="37">
        <f t="shared" si="16"/>
        <v>0</v>
      </c>
      <c r="X46" s="37">
        <f t="shared" si="17"/>
        <v>0</v>
      </c>
      <c r="Y46" s="35">
        <f t="shared" si="18"/>
        <v>68.839130434782604</v>
      </c>
    </row>
    <row r="47" spans="1:25" x14ac:dyDescent="0.25">
      <c r="A47" s="34" t="s">
        <v>330</v>
      </c>
      <c r="B47" s="34" t="s">
        <v>331</v>
      </c>
      <c r="C47" s="34" t="s">
        <v>196</v>
      </c>
      <c r="D47" s="34">
        <v>2</v>
      </c>
      <c r="E47" s="34"/>
      <c r="F47" s="34">
        <v>1</v>
      </c>
      <c r="G47" s="34"/>
      <c r="H47" s="34"/>
      <c r="I47" s="34"/>
      <c r="J47" s="34"/>
      <c r="K47" s="34">
        <v>347</v>
      </c>
      <c r="L47" s="34"/>
      <c r="M47" s="34">
        <v>348</v>
      </c>
      <c r="N47" s="35">
        <v>47.770114942528735</v>
      </c>
      <c r="O47" s="34" t="s">
        <v>299</v>
      </c>
      <c r="P47" s="34">
        <f t="shared" si="9"/>
        <v>347</v>
      </c>
      <c r="Q47" s="34">
        <f t="shared" si="10"/>
        <v>0</v>
      </c>
      <c r="R47" s="34">
        <f t="shared" si="11"/>
        <v>0</v>
      </c>
      <c r="S47" s="34">
        <f t="shared" si="12"/>
        <v>1</v>
      </c>
      <c r="T47" s="34">
        <f t="shared" si="13"/>
        <v>348</v>
      </c>
      <c r="U47" s="37">
        <f t="shared" si="14"/>
        <v>0.99712643678160917</v>
      </c>
      <c r="V47" s="37">
        <f t="shared" si="15"/>
        <v>0</v>
      </c>
      <c r="W47" s="37">
        <f t="shared" si="16"/>
        <v>0</v>
      </c>
      <c r="X47" s="37">
        <f t="shared" si="17"/>
        <v>2.8735632183908046E-3</v>
      </c>
      <c r="Y47" s="35">
        <f t="shared" si="18"/>
        <v>47.770114942528735</v>
      </c>
    </row>
    <row r="48" spans="1:25" x14ac:dyDescent="0.25">
      <c r="A48" s="34" t="s">
        <v>330</v>
      </c>
      <c r="B48" s="34" t="s">
        <v>331</v>
      </c>
      <c r="C48" s="34" t="s">
        <v>196</v>
      </c>
      <c r="D48" s="34">
        <v>3</v>
      </c>
      <c r="E48" s="34"/>
      <c r="F48" s="34"/>
      <c r="G48" s="34"/>
      <c r="H48" s="34"/>
      <c r="I48" s="34">
        <v>2</v>
      </c>
      <c r="J48" s="34"/>
      <c r="K48" s="34">
        <v>346</v>
      </c>
      <c r="L48" s="34"/>
      <c r="M48" s="34">
        <v>348</v>
      </c>
      <c r="N48" s="35">
        <v>26.801724137931036</v>
      </c>
      <c r="O48" s="34" t="s">
        <v>299</v>
      </c>
      <c r="P48" s="34">
        <f t="shared" si="9"/>
        <v>346</v>
      </c>
      <c r="Q48" s="34">
        <f t="shared" si="10"/>
        <v>0</v>
      </c>
      <c r="R48" s="34">
        <f t="shared" si="11"/>
        <v>2</v>
      </c>
      <c r="S48" s="34">
        <f t="shared" si="12"/>
        <v>0</v>
      </c>
      <c r="T48" s="34">
        <f t="shared" si="13"/>
        <v>348</v>
      </c>
      <c r="U48" s="37">
        <f t="shared" si="14"/>
        <v>0.99425287356321834</v>
      </c>
      <c r="V48" s="37">
        <f t="shared" si="15"/>
        <v>0</v>
      </c>
      <c r="W48" s="37">
        <f t="shared" si="16"/>
        <v>5.7471264367816091E-3</v>
      </c>
      <c r="X48" s="37">
        <f t="shared" si="17"/>
        <v>0</v>
      </c>
      <c r="Y48" s="35">
        <f t="shared" si="18"/>
        <v>26.801724137931036</v>
      </c>
    </row>
    <row r="49" spans="1:25" x14ac:dyDescent="0.25">
      <c r="A49" s="34" t="s">
        <v>332</v>
      </c>
      <c r="B49" s="34" t="s">
        <v>333</v>
      </c>
      <c r="C49" s="34" t="s">
        <v>198</v>
      </c>
      <c r="D49" s="34">
        <v>1</v>
      </c>
      <c r="E49" s="34"/>
      <c r="F49" s="34"/>
      <c r="G49" s="34"/>
      <c r="H49" s="34">
        <v>25</v>
      </c>
      <c r="I49" s="34">
        <v>1</v>
      </c>
      <c r="J49" s="34"/>
      <c r="K49" s="34">
        <v>324</v>
      </c>
      <c r="L49" s="34"/>
      <c r="M49" s="34">
        <v>350</v>
      </c>
      <c r="N49" s="35">
        <v>62.585714285714289</v>
      </c>
      <c r="O49" s="34" t="s">
        <v>299</v>
      </c>
      <c r="P49" s="34">
        <f t="shared" si="9"/>
        <v>324</v>
      </c>
      <c r="Q49" s="34">
        <f t="shared" si="10"/>
        <v>25</v>
      </c>
      <c r="R49" s="34">
        <f t="shared" si="11"/>
        <v>1</v>
      </c>
      <c r="S49" s="34">
        <f t="shared" si="12"/>
        <v>0</v>
      </c>
      <c r="T49" s="34">
        <f t="shared" si="13"/>
        <v>350</v>
      </c>
      <c r="U49" s="37">
        <f t="shared" si="14"/>
        <v>0.92571428571428571</v>
      </c>
      <c r="V49" s="37">
        <f t="shared" si="15"/>
        <v>7.1428571428571425E-2</v>
      </c>
      <c r="W49" s="37">
        <f t="shared" si="16"/>
        <v>2.8571428571428571E-3</v>
      </c>
      <c r="X49" s="37">
        <f t="shared" si="17"/>
        <v>0</v>
      </c>
      <c r="Y49" s="35">
        <f t="shared" si="18"/>
        <v>62.585714285714289</v>
      </c>
    </row>
    <row r="50" spans="1:25" x14ac:dyDescent="0.25">
      <c r="A50" s="34" t="s">
        <v>332</v>
      </c>
      <c r="B50" s="34" t="s">
        <v>333</v>
      </c>
      <c r="C50" s="34" t="s">
        <v>198</v>
      </c>
      <c r="D50" s="34">
        <v>2</v>
      </c>
      <c r="E50" s="34"/>
      <c r="F50" s="34"/>
      <c r="G50" s="34"/>
      <c r="H50" s="34">
        <v>8</v>
      </c>
      <c r="I50" s="34"/>
      <c r="J50" s="34"/>
      <c r="K50" s="34">
        <v>505</v>
      </c>
      <c r="L50" s="34"/>
      <c r="M50" s="34">
        <v>513</v>
      </c>
      <c r="N50" s="35">
        <v>32.270955165692008</v>
      </c>
      <c r="O50" s="34" t="s">
        <v>299</v>
      </c>
      <c r="P50" s="34">
        <f t="shared" si="9"/>
        <v>505</v>
      </c>
      <c r="Q50" s="34">
        <f t="shared" si="10"/>
        <v>8</v>
      </c>
      <c r="R50" s="34">
        <f t="shared" si="11"/>
        <v>0</v>
      </c>
      <c r="S50" s="34">
        <f t="shared" si="12"/>
        <v>0</v>
      </c>
      <c r="T50" s="34">
        <f t="shared" si="13"/>
        <v>513</v>
      </c>
      <c r="U50" s="37">
        <f t="shared" si="14"/>
        <v>0.98440545808966862</v>
      </c>
      <c r="V50" s="37">
        <f t="shared" si="15"/>
        <v>1.5594541910331383E-2</v>
      </c>
      <c r="W50" s="37">
        <f t="shared" si="16"/>
        <v>0</v>
      </c>
      <c r="X50" s="37">
        <f t="shared" si="17"/>
        <v>0</v>
      </c>
      <c r="Y50" s="35">
        <f t="shared" si="18"/>
        <v>32.270955165692008</v>
      </c>
    </row>
    <row r="51" spans="1:25" x14ac:dyDescent="0.25">
      <c r="A51" s="34" t="s">
        <v>334</v>
      </c>
      <c r="B51" s="34" t="s">
        <v>335</v>
      </c>
      <c r="C51" s="34" t="s">
        <v>200</v>
      </c>
      <c r="D51" s="34">
        <v>1</v>
      </c>
      <c r="E51" s="34"/>
      <c r="F51" s="34"/>
      <c r="G51" s="34"/>
      <c r="H51" s="34">
        <v>2</v>
      </c>
      <c r="I51" s="34"/>
      <c r="J51" s="34"/>
      <c r="K51" s="34">
        <v>248</v>
      </c>
      <c r="L51" s="34"/>
      <c r="M51" s="34">
        <v>250</v>
      </c>
      <c r="N51" s="35">
        <v>67.116</v>
      </c>
      <c r="O51" s="34" t="s">
        <v>299</v>
      </c>
      <c r="P51" s="34">
        <f t="shared" si="9"/>
        <v>248</v>
      </c>
      <c r="Q51" s="34">
        <f t="shared" si="10"/>
        <v>2</v>
      </c>
      <c r="R51" s="34">
        <f t="shared" si="11"/>
        <v>0</v>
      </c>
      <c r="S51" s="34">
        <f t="shared" si="12"/>
        <v>0</v>
      </c>
      <c r="T51" s="34">
        <f t="shared" si="13"/>
        <v>250</v>
      </c>
      <c r="U51" s="37">
        <f t="shared" si="14"/>
        <v>0.99199999999999999</v>
      </c>
      <c r="V51" s="37">
        <f t="shared" si="15"/>
        <v>8.0000000000000002E-3</v>
      </c>
      <c r="W51" s="37">
        <f t="shared" si="16"/>
        <v>0</v>
      </c>
      <c r="X51" s="37">
        <f t="shared" si="17"/>
        <v>0</v>
      </c>
      <c r="Y51" s="35">
        <f t="shared" si="18"/>
        <v>67.116</v>
      </c>
    </row>
    <row r="52" spans="1:25" x14ac:dyDescent="0.25">
      <c r="A52" s="34" t="s">
        <v>334</v>
      </c>
      <c r="B52" s="34" t="s">
        <v>335</v>
      </c>
      <c r="C52" s="34" t="s">
        <v>200</v>
      </c>
      <c r="D52" s="34">
        <v>2</v>
      </c>
      <c r="E52" s="34"/>
      <c r="F52" s="34"/>
      <c r="G52" s="34"/>
      <c r="H52" s="34">
        <v>1</v>
      </c>
      <c r="I52" s="34"/>
      <c r="J52" s="34"/>
      <c r="K52" s="34">
        <v>356</v>
      </c>
      <c r="L52" s="34"/>
      <c r="M52" s="34">
        <v>357</v>
      </c>
      <c r="N52" s="35">
        <v>37.280112044817926</v>
      </c>
      <c r="O52" s="34" t="s">
        <v>299</v>
      </c>
      <c r="P52" s="34">
        <f t="shared" si="9"/>
        <v>356</v>
      </c>
      <c r="Q52" s="34">
        <f t="shared" si="10"/>
        <v>1</v>
      </c>
      <c r="R52" s="34">
        <f t="shared" si="11"/>
        <v>0</v>
      </c>
      <c r="S52" s="34">
        <f t="shared" si="12"/>
        <v>0</v>
      </c>
      <c r="T52" s="34">
        <f t="shared" si="13"/>
        <v>357</v>
      </c>
      <c r="U52" s="37">
        <f t="shared" si="14"/>
        <v>0.99719887955182074</v>
      </c>
      <c r="V52" s="37">
        <f t="shared" si="15"/>
        <v>2.8011204481792717E-3</v>
      </c>
      <c r="W52" s="37">
        <f t="shared" si="16"/>
        <v>0</v>
      </c>
      <c r="X52" s="37">
        <f t="shared" si="17"/>
        <v>0</v>
      </c>
      <c r="Y52" s="35">
        <f t="shared" si="18"/>
        <v>37.280112044817926</v>
      </c>
    </row>
    <row r="53" spans="1:25" x14ac:dyDescent="0.25">
      <c r="A53" s="34" t="s">
        <v>336</v>
      </c>
      <c r="B53" s="34" t="s">
        <v>337</v>
      </c>
      <c r="C53" s="34" t="s">
        <v>202</v>
      </c>
      <c r="D53" s="34">
        <v>1</v>
      </c>
      <c r="E53" s="34"/>
      <c r="F53" s="34"/>
      <c r="G53" s="34">
        <v>1</v>
      </c>
      <c r="H53" s="34">
        <v>81</v>
      </c>
      <c r="I53" s="34">
        <v>5</v>
      </c>
      <c r="J53" s="34">
        <v>1</v>
      </c>
      <c r="K53" s="34">
        <v>279</v>
      </c>
      <c r="L53" s="34"/>
      <c r="M53" s="34">
        <v>367</v>
      </c>
      <c r="N53" s="35">
        <v>68.073569482288832</v>
      </c>
      <c r="O53" s="34" t="s">
        <v>299</v>
      </c>
      <c r="P53" s="34">
        <f t="shared" si="9"/>
        <v>279</v>
      </c>
      <c r="Q53" s="34">
        <f t="shared" si="10"/>
        <v>81</v>
      </c>
      <c r="R53" s="34">
        <f t="shared" si="11"/>
        <v>5</v>
      </c>
      <c r="S53" s="34">
        <f t="shared" si="12"/>
        <v>2</v>
      </c>
      <c r="T53" s="34">
        <f t="shared" si="13"/>
        <v>367</v>
      </c>
      <c r="U53" s="37">
        <f t="shared" si="14"/>
        <v>0.76021798365122617</v>
      </c>
      <c r="V53" s="37">
        <f t="shared" si="15"/>
        <v>0.22070844686648503</v>
      </c>
      <c r="W53" s="37">
        <f t="shared" si="16"/>
        <v>1.3623978201634877E-2</v>
      </c>
      <c r="X53" s="37">
        <f t="shared" si="17"/>
        <v>5.4495912806539508E-3</v>
      </c>
      <c r="Y53" s="35">
        <f t="shared" si="18"/>
        <v>68.073569482288832</v>
      </c>
    </row>
    <row r="54" spans="1:25" x14ac:dyDescent="0.25">
      <c r="A54" s="34" t="s">
        <v>336</v>
      </c>
      <c r="B54" s="34" t="s">
        <v>337</v>
      </c>
      <c r="C54" s="34" t="s">
        <v>202</v>
      </c>
      <c r="D54" s="34">
        <v>2</v>
      </c>
      <c r="E54" s="34"/>
      <c r="F54" s="34">
        <v>1</v>
      </c>
      <c r="G54" s="34"/>
      <c r="H54" s="34">
        <v>36</v>
      </c>
      <c r="I54" s="34">
        <v>6</v>
      </c>
      <c r="J54" s="34"/>
      <c r="K54" s="34">
        <v>381</v>
      </c>
      <c r="L54" s="34"/>
      <c r="M54" s="34">
        <v>424</v>
      </c>
      <c r="N54" s="35">
        <v>49.783018867924525</v>
      </c>
      <c r="O54" s="34" t="s">
        <v>299</v>
      </c>
      <c r="P54" s="34">
        <f t="shared" si="9"/>
        <v>381</v>
      </c>
      <c r="Q54" s="34">
        <f t="shared" si="10"/>
        <v>36</v>
      </c>
      <c r="R54" s="34">
        <f t="shared" si="11"/>
        <v>6</v>
      </c>
      <c r="S54" s="34">
        <f t="shared" si="12"/>
        <v>1</v>
      </c>
      <c r="T54" s="34">
        <f t="shared" si="13"/>
        <v>424</v>
      </c>
      <c r="U54" s="37">
        <f t="shared" si="14"/>
        <v>0.89858490566037741</v>
      </c>
      <c r="V54" s="37">
        <f t="shared" si="15"/>
        <v>8.4905660377358486E-2</v>
      </c>
      <c r="W54" s="37">
        <f t="shared" si="16"/>
        <v>1.4150943396226415E-2</v>
      </c>
      <c r="X54" s="37">
        <f t="shared" si="17"/>
        <v>2.3584905660377358E-3</v>
      </c>
      <c r="Y54" s="35">
        <f t="shared" si="18"/>
        <v>49.783018867924525</v>
      </c>
    </row>
    <row r="55" spans="1:25" x14ac:dyDescent="0.25">
      <c r="A55" s="34" t="s">
        <v>336</v>
      </c>
      <c r="B55" s="34" t="s">
        <v>337</v>
      </c>
      <c r="C55" s="34" t="s">
        <v>202</v>
      </c>
      <c r="D55" s="34">
        <v>3</v>
      </c>
      <c r="E55" s="34"/>
      <c r="F55" s="34"/>
      <c r="G55" s="34"/>
      <c r="H55" s="34">
        <v>32</v>
      </c>
      <c r="I55" s="34">
        <v>2</v>
      </c>
      <c r="J55" s="34">
        <v>1</v>
      </c>
      <c r="K55" s="34">
        <v>389</v>
      </c>
      <c r="L55" s="34"/>
      <c r="M55" s="34">
        <v>424</v>
      </c>
      <c r="N55" s="35">
        <v>29.360849056603772</v>
      </c>
      <c r="O55" s="34" t="s">
        <v>299</v>
      </c>
      <c r="P55" s="34">
        <f t="shared" si="9"/>
        <v>389</v>
      </c>
      <c r="Q55" s="34">
        <f t="shared" si="10"/>
        <v>32</v>
      </c>
      <c r="R55" s="34">
        <f t="shared" si="11"/>
        <v>2</v>
      </c>
      <c r="S55" s="34">
        <f t="shared" si="12"/>
        <v>1</v>
      </c>
      <c r="T55" s="34">
        <f t="shared" si="13"/>
        <v>424</v>
      </c>
      <c r="U55" s="37">
        <f t="shared" si="14"/>
        <v>0.91745283018867929</v>
      </c>
      <c r="V55" s="37">
        <f t="shared" si="15"/>
        <v>7.5471698113207544E-2</v>
      </c>
      <c r="W55" s="37">
        <f t="shared" si="16"/>
        <v>4.7169811320754715E-3</v>
      </c>
      <c r="X55" s="37">
        <f t="shared" si="17"/>
        <v>2.3584905660377358E-3</v>
      </c>
      <c r="Y55" s="35">
        <f t="shared" si="18"/>
        <v>29.360849056603772</v>
      </c>
    </row>
    <row r="56" spans="1:25" x14ac:dyDescent="0.25">
      <c r="A56" s="34" t="s">
        <v>338</v>
      </c>
      <c r="B56" s="34" t="s">
        <v>339</v>
      </c>
      <c r="C56" s="34" t="s">
        <v>204</v>
      </c>
      <c r="D56" s="34">
        <v>1</v>
      </c>
      <c r="E56" s="34"/>
      <c r="F56" s="34"/>
      <c r="G56" s="34"/>
      <c r="H56" s="34"/>
      <c r="I56" s="34"/>
      <c r="J56" s="34"/>
      <c r="K56" s="34">
        <v>406</v>
      </c>
      <c r="L56" s="34"/>
      <c r="M56" s="34">
        <v>406</v>
      </c>
      <c r="N56" s="35">
        <v>50.652709359605915</v>
      </c>
      <c r="O56" s="34" t="s">
        <v>299</v>
      </c>
      <c r="P56" s="34">
        <f t="shared" si="9"/>
        <v>406</v>
      </c>
      <c r="Q56" s="34">
        <f t="shared" si="10"/>
        <v>0</v>
      </c>
      <c r="R56" s="34">
        <f t="shared" si="11"/>
        <v>0</v>
      </c>
      <c r="S56" s="34">
        <f t="shared" si="12"/>
        <v>0</v>
      </c>
      <c r="T56" s="34">
        <f t="shared" si="13"/>
        <v>406</v>
      </c>
      <c r="U56" s="37">
        <f t="shared" si="14"/>
        <v>1</v>
      </c>
      <c r="V56" s="37">
        <f t="shared" si="15"/>
        <v>0</v>
      </c>
      <c r="W56" s="37">
        <f t="shared" si="16"/>
        <v>0</v>
      </c>
      <c r="X56" s="37">
        <f t="shared" si="17"/>
        <v>0</v>
      </c>
      <c r="Y56" s="35">
        <f t="shared" si="18"/>
        <v>50.652709359605915</v>
      </c>
    </row>
    <row r="57" spans="1:25" x14ac:dyDescent="0.25">
      <c r="A57" s="34" t="s">
        <v>340</v>
      </c>
      <c r="B57" s="34" t="s">
        <v>341</v>
      </c>
      <c r="C57" s="34" t="s">
        <v>206</v>
      </c>
      <c r="D57" s="34">
        <v>1</v>
      </c>
      <c r="E57" s="34"/>
      <c r="F57" s="34"/>
      <c r="G57" s="34"/>
      <c r="H57" s="34"/>
      <c r="I57" s="34"/>
      <c r="J57" s="34"/>
      <c r="K57" s="34">
        <v>170</v>
      </c>
      <c r="L57" s="34"/>
      <c r="M57" s="34">
        <v>170</v>
      </c>
      <c r="N57" s="35">
        <v>68.141176470588235</v>
      </c>
      <c r="O57" s="34" t="s">
        <v>299</v>
      </c>
      <c r="P57" s="34">
        <f t="shared" si="9"/>
        <v>170</v>
      </c>
      <c r="Q57" s="34">
        <f t="shared" si="10"/>
        <v>0</v>
      </c>
      <c r="R57" s="34">
        <f t="shared" si="11"/>
        <v>0</v>
      </c>
      <c r="S57" s="34">
        <f t="shared" si="12"/>
        <v>0</v>
      </c>
      <c r="T57" s="34">
        <f t="shared" si="13"/>
        <v>170</v>
      </c>
      <c r="U57" s="37">
        <f t="shared" si="14"/>
        <v>1</v>
      </c>
      <c r="V57" s="37">
        <f t="shared" si="15"/>
        <v>0</v>
      </c>
      <c r="W57" s="37">
        <f t="shared" si="16"/>
        <v>0</v>
      </c>
      <c r="X57" s="37">
        <f t="shared" si="17"/>
        <v>0</v>
      </c>
      <c r="Y57" s="35">
        <f t="shared" si="18"/>
        <v>68.141176470588235</v>
      </c>
    </row>
    <row r="58" spans="1:25" x14ac:dyDescent="0.25">
      <c r="A58" s="34" t="s">
        <v>340</v>
      </c>
      <c r="B58" s="34" t="s">
        <v>341</v>
      </c>
      <c r="C58" s="34" t="s">
        <v>206</v>
      </c>
      <c r="D58" s="34">
        <v>2</v>
      </c>
      <c r="E58" s="34"/>
      <c r="F58" s="34"/>
      <c r="G58" s="34"/>
      <c r="H58" s="34"/>
      <c r="I58" s="34">
        <v>1</v>
      </c>
      <c r="J58" s="34"/>
      <c r="K58" s="34">
        <v>278</v>
      </c>
      <c r="L58" s="34"/>
      <c r="M58" s="34">
        <v>279</v>
      </c>
      <c r="N58" s="35">
        <v>38.659498207885306</v>
      </c>
      <c r="O58" s="34" t="s">
        <v>299</v>
      </c>
      <c r="P58" s="34">
        <f t="shared" si="9"/>
        <v>278</v>
      </c>
      <c r="Q58" s="34">
        <f t="shared" si="10"/>
        <v>0</v>
      </c>
      <c r="R58" s="34">
        <f t="shared" si="11"/>
        <v>1</v>
      </c>
      <c r="S58" s="34">
        <f t="shared" si="12"/>
        <v>0</v>
      </c>
      <c r="T58" s="34">
        <f t="shared" si="13"/>
        <v>279</v>
      </c>
      <c r="U58" s="37">
        <f t="shared" si="14"/>
        <v>0.99641577060931896</v>
      </c>
      <c r="V58" s="37">
        <f t="shared" si="15"/>
        <v>0</v>
      </c>
      <c r="W58" s="37">
        <f t="shared" si="16"/>
        <v>3.5842293906810036E-3</v>
      </c>
      <c r="X58" s="37">
        <f t="shared" si="17"/>
        <v>0</v>
      </c>
      <c r="Y58" s="35">
        <f t="shared" si="18"/>
        <v>38.659498207885306</v>
      </c>
    </row>
    <row r="59" spans="1:25" x14ac:dyDescent="0.25">
      <c r="A59" s="34" t="s">
        <v>342</v>
      </c>
      <c r="B59" s="34" t="s">
        <v>343</v>
      </c>
      <c r="C59" s="34" t="s">
        <v>208</v>
      </c>
      <c r="D59" s="34">
        <v>1</v>
      </c>
      <c r="E59" s="34"/>
      <c r="F59" s="34"/>
      <c r="G59" s="34">
        <v>1</v>
      </c>
      <c r="H59" s="34">
        <v>27</v>
      </c>
      <c r="I59" s="34">
        <v>1</v>
      </c>
      <c r="J59" s="34"/>
      <c r="K59" s="34">
        <v>271</v>
      </c>
      <c r="L59" s="34"/>
      <c r="M59" s="34">
        <v>300</v>
      </c>
      <c r="N59" s="35">
        <v>67.95</v>
      </c>
      <c r="O59" s="34" t="s">
        <v>299</v>
      </c>
      <c r="P59" s="34">
        <f t="shared" si="9"/>
        <v>271</v>
      </c>
      <c r="Q59" s="34">
        <f t="shared" si="10"/>
        <v>27</v>
      </c>
      <c r="R59" s="34">
        <f t="shared" si="11"/>
        <v>1</v>
      </c>
      <c r="S59" s="34">
        <f t="shared" si="12"/>
        <v>1</v>
      </c>
      <c r="T59" s="34">
        <f t="shared" si="13"/>
        <v>300</v>
      </c>
      <c r="U59" s="37">
        <f t="shared" si="14"/>
        <v>0.90333333333333332</v>
      </c>
      <c r="V59" s="37">
        <f t="shared" si="15"/>
        <v>0.09</v>
      </c>
      <c r="W59" s="37">
        <f t="shared" si="16"/>
        <v>3.3333333333333335E-3</v>
      </c>
      <c r="X59" s="37">
        <f t="shared" si="17"/>
        <v>3.3333333333333335E-3</v>
      </c>
      <c r="Y59" s="35">
        <f t="shared" si="18"/>
        <v>67.95</v>
      </c>
    </row>
    <row r="60" spans="1:25" x14ac:dyDescent="0.25">
      <c r="A60" s="34" t="s">
        <v>342</v>
      </c>
      <c r="B60" s="34" t="s">
        <v>343</v>
      </c>
      <c r="C60" s="34" t="s">
        <v>208</v>
      </c>
      <c r="D60" s="34">
        <v>2</v>
      </c>
      <c r="E60" s="34"/>
      <c r="F60" s="34">
        <v>1</v>
      </c>
      <c r="G60" s="34"/>
      <c r="H60" s="34">
        <v>16</v>
      </c>
      <c r="I60" s="34"/>
      <c r="J60" s="34"/>
      <c r="K60" s="34">
        <v>469</v>
      </c>
      <c r="L60" s="34"/>
      <c r="M60" s="34">
        <v>486</v>
      </c>
      <c r="N60" s="35">
        <v>36.627572016460903</v>
      </c>
      <c r="O60" s="34" t="s">
        <v>299</v>
      </c>
      <c r="P60" s="34">
        <f t="shared" si="9"/>
        <v>469</v>
      </c>
      <c r="Q60" s="34">
        <f t="shared" si="10"/>
        <v>16</v>
      </c>
      <c r="R60" s="34">
        <f t="shared" si="11"/>
        <v>0</v>
      </c>
      <c r="S60" s="34">
        <f t="shared" si="12"/>
        <v>1</v>
      </c>
      <c r="T60" s="34">
        <f t="shared" si="13"/>
        <v>486</v>
      </c>
      <c r="U60" s="37">
        <f t="shared" si="14"/>
        <v>0.96502057613168724</v>
      </c>
      <c r="V60" s="37">
        <f t="shared" si="15"/>
        <v>3.292181069958848E-2</v>
      </c>
      <c r="W60" s="37">
        <f t="shared" si="16"/>
        <v>0</v>
      </c>
      <c r="X60" s="37">
        <f t="shared" si="17"/>
        <v>2.05761316872428E-3</v>
      </c>
      <c r="Y60" s="35">
        <f t="shared" si="18"/>
        <v>36.627572016460903</v>
      </c>
    </row>
    <row r="61" spans="1:25" x14ac:dyDescent="0.25">
      <c r="A61" s="34" t="s">
        <v>344</v>
      </c>
      <c r="B61" s="34" t="s">
        <v>345</v>
      </c>
      <c r="C61" s="34" t="s">
        <v>210</v>
      </c>
      <c r="D61" s="34">
        <v>1</v>
      </c>
      <c r="E61" s="34"/>
      <c r="F61" s="34"/>
      <c r="G61" s="34"/>
      <c r="H61" s="34"/>
      <c r="I61" s="34"/>
      <c r="J61" s="34">
        <v>1</v>
      </c>
      <c r="K61" s="34">
        <v>397</v>
      </c>
      <c r="L61" s="34"/>
      <c r="M61" s="34">
        <v>398</v>
      </c>
      <c r="N61" s="35">
        <v>51.962311557788944</v>
      </c>
      <c r="O61" s="34" t="s">
        <v>299</v>
      </c>
      <c r="P61" s="34">
        <f t="shared" si="9"/>
        <v>397</v>
      </c>
      <c r="Q61" s="34">
        <f t="shared" si="10"/>
        <v>0</v>
      </c>
      <c r="R61" s="34">
        <f t="shared" si="11"/>
        <v>0</v>
      </c>
      <c r="S61" s="34">
        <f t="shared" si="12"/>
        <v>1</v>
      </c>
      <c r="T61" s="34">
        <f t="shared" si="13"/>
        <v>398</v>
      </c>
      <c r="U61" s="37">
        <f t="shared" si="14"/>
        <v>0.99748743718592969</v>
      </c>
      <c r="V61" s="37">
        <f t="shared" si="15"/>
        <v>0</v>
      </c>
      <c r="W61" s="37">
        <f t="shared" si="16"/>
        <v>0</v>
      </c>
      <c r="X61" s="37">
        <f t="shared" si="17"/>
        <v>2.5125628140703518E-3</v>
      </c>
      <c r="Y61" s="35">
        <f t="shared" si="18"/>
        <v>51.962311557788944</v>
      </c>
    </row>
    <row r="62" spans="1:25" x14ac:dyDescent="0.25">
      <c r="A62" s="34" t="s">
        <v>346</v>
      </c>
      <c r="B62" s="34" t="s">
        <v>347</v>
      </c>
      <c r="C62" s="34" t="s">
        <v>212</v>
      </c>
      <c r="D62" s="34">
        <v>1</v>
      </c>
      <c r="E62" s="34"/>
      <c r="F62" s="34"/>
      <c r="G62" s="34"/>
      <c r="H62" s="34"/>
      <c r="I62" s="34">
        <v>1</v>
      </c>
      <c r="J62" s="34"/>
      <c r="K62" s="34">
        <v>199</v>
      </c>
      <c r="L62" s="34"/>
      <c r="M62" s="34">
        <v>200</v>
      </c>
      <c r="N62" s="35">
        <v>66.875</v>
      </c>
      <c r="O62" s="34" t="s">
        <v>299</v>
      </c>
      <c r="P62" s="34">
        <f t="shared" ref="P62:P121" si="19">K62</f>
        <v>199</v>
      </c>
      <c r="Q62" s="34">
        <f t="shared" ref="Q62:Q121" si="20">H62</f>
        <v>0</v>
      </c>
      <c r="R62" s="34">
        <f t="shared" ref="R62:R121" si="21">I62</f>
        <v>1</v>
      </c>
      <c r="S62" s="34">
        <f t="shared" ref="S62:S121" si="22">M62-SUM(P62:R62)</f>
        <v>0</v>
      </c>
      <c r="T62" s="34">
        <f t="shared" ref="T62:T121" si="23">SUM(P62:S62)</f>
        <v>200</v>
      </c>
      <c r="U62" s="37">
        <f t="shared" ref="U62:U121" si="24">P62/M62</f>
        <v>0.995</v>
      </c>
      <c r="V62" s="37">
        <f t="shared" ref="V62:V121" si="25">Q62/M62</f>
        <v>0</v>
      </c>
      <c r="W62" s="37">
        <f t="shared" ref="W62:W121" si="26">R62/M62</f>
        <v>5.0000000000000001E-3</v>
      </c>
      <c r="X62" s="37">
        <f t="shared" ref="X62:X121" si="27">S62/M62</f>
        <v>0</v>
      </c>
      <c r="Y62" s="35">
        <f t="shared" ref="Y62:Y121" si="28">N62</f>
        <v>66.875</v>
      </c>
    </row>
    <row r="63" spans="1:25" x14ac:dyDescent="0.25">
      <c r="A63" s="34" t="s">
        <v>346</v>
      </c>
      <c r="B63" s="34" t="s">
        <v>347</v>
      </c>
      <c r="C63" s="34" t="s">
        <v>212</v>
      </c>
      <c r="D63" s="34">
        <v>2</v>
      </c>
      <c r="E63" s="34"/>
      <c r="F63" s="34"/>
      <c r="G63" s="34"/>
      <c r="H63" s="34"/>
      <c r="I63" s="34"/>
      <c r="J63" s="34"/>
      <c r="K63" s="34">
        <v>353</v>
      </c>
      <c r="L63" s="34"/>
      <c r="M63" s="34">
        <v>353</v>
      </c>
      <c r="N63" s="35">
        <v>37.167138810198303</v>
      </c>
      <c r="O63" s="34" t="s">
        <v>299</v>
      </c>
      <c r="P63" s="34">
        <f t="shared" si="19"/>
        <v>353</v>
      </c>
      <c r="Q63" s="34">
        <f t="shared" si="20"/>
        <v>0</v>
      </c>
      <c r="R63" s="34">
        <f t="shared" si="21"/>
        <v>0</v>
      </c>
      <c r="S63" s="34">
        <f t="shared" si="22"/>
        <v>0</v>
      </c>
      <c r="T63" s="34">
        <f t="shared" si="23"/>
        <v>353</v>
      </c>
      <c r="U63" s="37">
        <f t="shared" si="24"/>
        <v>1</v>
      </c>
      <c r="V63" s="37">
        <f t="shared" si="25"/>
        <v>0</v>
      </c>
      <c r="W63" s="37">
        <f t="shared" si="26"/>
        <v>0</v>
      </c>
      <c r="X63" s="37">
        <f t="shared" si="27"/>
        <v>0</v>
      </c>
      <c r="Y63" s="35">
        <f t="shared" si="28"/>
        <v>37.167138810198303</v>
      </c>
    </row>
    <row r="64" spans="1:25" x14ac:dyDescent="0.25">
      <c r="A64" s="34" t="s">
        <v>348</v>
      </c>
      <c r="B64" s="34" t="s">
        <v>349</v>
      </c>
      <c r="C64" s="34" t="s">
        <v>214</v>
      </c>
      <c r="D64" s="34">
        <v>1</v>
      </c>
      <c r="E64" s="34"/>
      <c r="F64" s="34"/>
      <c r="G64" s="34">
        <v>1</v>
      </c>
      <c r="H64" s="34">
        <v>21</v>
      </c>
      <c r="I64" s="34">
        <v>47</v>
      </c>
      <c r="J64" s="34">
        <v>1</v>
      </c>
      <c r="K64" s="34">
        <v>337</v>
      </c>
      <c r="L64" s="34"/>
      <c r="M64" s="34">
        <v>407</v>
      </c>
      <c r="N64" s="35">
        <v>46.658476658476658</v>
      </c>
      <c r="O64" s="34" t="s">
        <v>299</v>
      </c>
      <c r="P64" s="34">
        <f t="shared" si="19"/>
        <v>337</v>
      </c>
      <c r="Q64" s="34">
        <f t="shared" si="20"/>
        <v>21</v>
      </c>
      <c r="R64" s="34">
        <f t="shared" si="21"/>
        <v>47</v>
      </c>
      <c r="S64" s="34">
        <f t="shared" si="22"/>
        <v>2</v>
      </c>
      <c r="T64" s="34">
        <f t="shared" si="23"/>
        <v>407</v>
      </c>
      <c r="U64" s="37">
        <f t="shared" si="24"/>
        <v>0.82800982800982803</v>
      </c>
      <c r="V64" s="37">
        <f t="shared" si="25"/>
        <v>5.1597051597051594E-2</v>
      </c>
      <c r="W64" s="37">
        <f t="shared" si="26"/>
        <v>0.11547911547911548</v>
      </c>
      <c r="X64" s="37">
        <f t="shared" si="27"/>
        <v>4.9140049140049139E-3</v>
      </c>
      <c r="Y64" s="35">
        <f t="shared" si="28"/>
        <v>46.658476658476658</v>
      </c>
    </row>
    <row r="65" spans="1:25" x14ac:dyDescent="0.25">
      <c r="A65" s="34" t="s">
        <v>350</v>
      </c>
      <c r="B65" s="34" t="s">
        <v>351</v>
      </c>
      <c r="C65" s="34" t="s">
        <v>216</v>
      </c>
      <c r="D65" s="34">
        <v>1</v>
      </c>
      <c r="E65" s="34"/>
      <c r="F65" s="34"/>
      <c r="G65" s="34"/>
      <c r="H65" s="34"/>
      <c r="I65" s="34">
        <v>3</v>
      </c>
      <c r="J65" s="34"/>
      <c r="K65" s="34">
        <v>297</v>
      </c>
      <c r="L65" s="34"/>
      <c r="M65" s="34">
        <v>300</v>
      </c>
      <c r="N65" s="35">
        <v>66.34</v>
      </c>
      <c r="O65" s="34" t="s">
        <v>299</v>
      </c>
      <c r="P65" s="34">
        <f t="shared" si="19"/>
        <v>297</v>
      </c>
      <c r="Q65" s="34">
        <f t="shared" si="20"/>
        <v>0</v>
      </c>
      <c r="R65" s="34">
        <f t="shared" si="21"/>
        <v>3</v>
      </c>
      <c r="S65" s="34">
        <f t="shared" si="22"/>
        <v>0</v>
      </c>
      <c r="T65" s="34">
        <f t="shared" si="23"/>
        <v>300</v>
      </c>
      <c r="U65" s="37">
        <f t="shared" si="24"/>
        <v>0.99</v>
      </c>
      <c r="V65" s="37">
        <f t="shared" si="25"/>
        <v>0</v>
      </c>
      <c r="W65" s="37">
        <f t="shared" si="26"/>
        <v>0.01</v>
      </c>
      <c r="X65" s="37">
        <f t="shared" si="27"/>
        <v>0</v>
      </c>
      <c r="Y65" s="35">
        <f t="shared" si="28"/>
        <v>66.34</v>
      </c>
    </row>
    <row r="66" spans="1:25" x14ac:dyDescent="0.25">
      <c r="A66" s="34" t="s">
        <v>350</v>
      </c>
      <c r="B66" s="34" t="s">
        <v>351</v>
      </c>
      <c r="C66" s="34" t="s">
        <v>216</v>
      </c>
      <c r="D66" s="34">
        <v>2</v>
      </c>
      <c r="E66" s="34"/>
      <c r="F66" s="34"/>
      <c r="G66" s="34"/>
      <c r="H66" s="34"/>
      <c r="I66" s="34"/>
      <c r="J66" s="34"/>
      <c r="K66" s="34">
        <v>300</v>
      </c>
      <c r="L66" s="34"/>
      <c r="M66" s="34">
        <v>300</v>
      </c>
      <c r="N66" s="35">
        <v>59.656666666666666</v>
      </c>
      <c r="O66" s="34" t="s">
        <v>299</v>
      </c>
      <c r="P66" s="34">
        <f t="shared" si="19"/>
        <v>300</v>
      </c>
      <c r="Q66" s="34">
        <f t="shared" si="20"/>
        <v>0</v>
      </c>
      <c r="R66" s="34">
        <f t="shared" si="21"/>
        <v>0</v>
      </c>
      <c r="S66" s="34">
        <f t="shared" si="22"/>
        <v>0</v>
      </c>
      <c r="T66" s="34">
        <f t="shared" si="23"/>
        <v>300</v>
      </c>
      <c r="U66" s="37">
        <f t="shared" si="24"/>
        <v>1</v>
      </c>
      <c r="V66" s="37">
        <f t="shared" si="25"/>
        <v>0</v>
      </c>
      <c r="W66" s="37">
        <f t="shared" si="26"/>
        <v>0</v>
      </c>
      <c r="X66" s="37">
        <f t="shared" si="27"/>
        <v>0</v>
      </c>
      <c r="Y66" s="35">
        <f t="shared" si="28"/>
        <v>59.656666666666666</v>
      </c>
    </row>
    <row r="67" spans="1:25" x14ac:dyDescent="0.25">
      <c r="A67" s="34" t="s">
        <v>350</v>
      </c>
      <c r="B67" s="34" t="s">
        <v>351</v>
      </c>
      <c r="C67" s="34" t="s">
        <v>216</v>
      </c>
      <c r="D67" s="34">
        <v>3</v>
      </c>
      <c r="E67" s="34"/>
      <c r="F67" s="34"/>
      <c r="G67" s="34"/>
      <c r="H67" s="34"/>
      <c r="I67" s="34">
        <v>1</v>
      </c>
      <c r="J67" s="34"/>
      <c r="K67" s="34">
        <v>471</v>
      </c>
      <c r="L67" s="34"/>
      <c r="M67" s="34">
        <v>472</v>
      </c>
      <c r="N67" s="35">
        <v>42.472457627118644</v>
      </c>
      <c r="O67" s="34" t="s">
        <v>299</v>
      </c>
      <c r="P67" s="34">
        <f t="shared" si="19"/>
        <v>471</v>
      </c>
      <c r="Q67" s="34">
        <f t="shared" si="20"/>
        <v>0</v>
      </c>
      <c r="R67" s="34">
        <f t="shared" si="21"/>
        <v>1</v>
      </c>
      <c r="S67" s="34">
        <f t="shared" si="22"/>
        <v>0</v>
      </c>
      <c r="T67" s="34">
        <f t="shared" si="23"/>
        <v>472</v>
      </c>
      <c r="U67" s="37">
        <f t="shared" si="24"/>
        <v>0.9978813559322034</v>
      </c>
      <c r="V67" s="37">
        <f t="shared" si="25"/>
        <v>0</v>
      </c>
      <c r="W67" s="37">
        <f t="shared" si="26"/>
        <v>2.1186440677966102E-3</v>
      </c>
      <c r="X67" s="37">
        <f t="shared" si="27"/>
        <v>0</v>
      </c>
      <c r="Y67" s="35">
        <f t="shared" si="28"/>
        <v>42.472457627118644</v>
      </c>
    </row>
    <row r="68" spans="1:25" x14ac:dyDescent="0.25">
      <c r="A68" s="34" t="s">
        <v>350</v>
      </c>
      <c r="B68" s="34" t="s">
        <v>351</v>
      </c>
      <c r="C68" s="34" t="s">
        <v>216</v>
      </c>
      <c r="D68" s="34">
        <v>4</v>
      </c>
      <c r="E68" s="34"/>
      <c r="F68" s="34"/>
      <c r="G68" s="34"/>
      <c r="H68" s="34">
        <v>1</v>
      </c>
      <c r="I68" s="34">
        <v>2</v>
      </c>
      <c r="J68" s="34"/>
      <c r="K68" s="34">
        <v>469</v>
      </c>
      <c r="L68" s="34"/>
      <c r="M68" s="34">
        <v>472</v>
      </c>
      <c r="N68" s="35">
        <v>35.940677966101696</v>
      </c>
      <c r="O68" s="34" t="s">
        <v>299</v>
      </c>
      <c r="P68" s="34">
        <f t="shared" si="19"/>
        <v>469</v>
      </c>
      <c r="Q68" s="34">
        <f t="shared" si="20"/>
        <v>1</v>
      </c>
      <c r="R68" s="34">
        <f t="shared" si="21"/>
        <v>2</v>
      </c>
      <c r="S68" s="34">
        <f t="shared" si="22"/>
        <v>0</v>
      </c>
      <c r="T68" s="34">
        <f t="shared" si="23"/>
        <v>472</v>
      </c>
      <c r="U68" s="37">
        <f t="shared" si="24"/>
        <v>0.99364406779661019</v>
      </c>
      <c r="V68" s="37">
        <f t="shared" si="25"/>
        <v>2.1186440677966102E-3</v>
      </c>
      <c r="W68" s="37">
        <f t="shared" si="26"/>
        <v>4.2372881355932203E-3</v>
      </c>
      <c r="X68" s="37">
        <f t="shared" si="27"/>
        <v>0</v>
      </c>
      <c r="Y68" s="35">
        <f t="shared" si="28"/>
        <v>35.940677966101696</v>
      </c>
    </row>
    <row r="69" spans="1:25" x14ac:dyDescent="0.25">
      <c r="A69" s="34" t="s">
        <v>350</v>
      </c>
      <c r="B69" s="34" t="s">
        <v>351</v>
      </c>
      <c r="C69" s="34" t="s">
        <v>216</v>
      </c>
      <c r="D69" s="34">
        <v>5</v>
      </c>
      <c r="E69" s="34"/>
      <c r="F69" s="34"/>
      <c r="G69" s="34"/>
      <c r="H69" s="34"/>
      <c r="I69" s="34">
        <v>2</v>
      </c>
      <c r="J69" s="34"/>
      <c r="K69" s="34">
        <v>470</v>
      </c>
      <c r="L69" s="34"/>
      <c r="M69" s="34">
        <v>472</v>
      </c>
      <c r="N69" s="35">
        <v>25.883474576271187</v>
      </c>
      <c r="O69" s="34" t="s">
        <v>299</v>
      </c>
      <c r="P69" s="34">
        <f t="shared" si="19"/>
        <v>470</v>
      </c>
      <c r="Q69" s="34">
        <f t="shared" si="20"/>
        <v>0</v>
      </c>
      <c r="R69" s="34">
        <f t="shared" si="21"/>
        <v>2</v>
      </c>
      <c r="S69" s="34">
        <f t="shared" si="22"/>
        <v>0</v>
      </c>
      <c r="T69" s="34">
        <f t="shared" si="23"/>
        <v>472</v>
      </c>
      <c r="U69" s="37">
        <f t="shared" si="24"/>
        <v>0.99576271186440679</v>
      </c>
      <c r="V69" s="37">
        <f t="shared" si="25"/>
        <v>0</v>
      </c>
      <c r="W69" s="37">
        <f t="shared" si="26"/>
        <v>4.2372881355932203E-3</v>
      </c>
      <c r="X69" s="37">
        <f t="shared" si="27"/>
        <v>0</v>
      </c>
      <c r="Y69" s="35">
        <f t="shared" si="28"/>
        <v>25.883474576271187</v>
      </c>
    </row>
    <row r="70" spans="1:25" x14ac:dyDescent="0.25">
      <c r="A70" s="34" t="s">
        <v>352</v>
      </c>
      <c r="B70" s="34" t="s">
        <v>353</v>
      </c>
      <c r="C70" s="34" t="s">
        <v>218</v>
      </c>
      <c r="D70" s="34">
        <v>1</v>
      </c>
      <c r="E70" s="34"/>
      <c r="F70" s="34"/>
      <c r="G70" s="34">
        <v>1</v>
      </c>
      <c r="H70" s="34">
        <v>1</v>
      </c>
      <c r="I70" s="34">
        <v>1</v>
      </c>
      <c r="J70" s="34"/>
      <c r="K70" s="34">
        <v>311</v>
      </c>
      <c r="L70" s="34"/>
      <c r="M70" s="34">
        <v>314</v>
      </c>
      <c r="N70" s="35">
        <v>69.015923566878982</v>
      </c>
      <c r="O70" s="34" t="s">
        <v>299</v>
      </c>
      <c r="P70" s="34">
        <f t="shared" si="19"/>
        <v>311</v>
      </c>
      <c r="Q70" s="34">
        <f t="shared" si="20"/>
        <v>1</v>
      </c>
      <c r="R70" s="34">
        <f t="shared" si="21"/>
        <v>1</v>
      </c>
      <c r="S70" s="34">
        <f t="shared" si="22"/>
        <v>1</v>
      </c>
      <c r="T70" s="34">
        <f t="shared" si="23"/>
        <v>314</v>
      </c>
      <c r="U70" s="37">
        <f t="shared" si="24"/>
        <v>0.99044585987261147</v>
      </c>
      <c r="V70" s="37">
        <f t="shared" si="25"/>
        <v>3.1847133757961785E-3</v>
      </c>
      <c r="W70" s="37">
        <f t="shared" si="26"/>
        <v>3.1847133757961785E-3</v>
      </c>
      <c r="X70" s="37">
        <f t="shared" si="27"/>
        <v>3.1847133757961785E-3</v>
      </c>
      <c r="Y70" s="35">
        <f t="shared" si="28"/>
        <v>69.015923566878982</v>
      </c>
    </row>
    <row r="71" spans="1:25" x14ac:dyDescent="0.25">
      <c r="A71" s="34" t="s">
        <v>352</v>
      </c>
      <c r="B71" s="34" t="s">
        <v>353</v>
      </c>
      <c r="C71" s="34" t="s">
        <v>218</v>
      </c>
      <c r="D71" s="34">
        <v>2</v>
      </c>
      <c r="E71" s="34"/>
      <c r="F71" s="34"/>
      <c r="G71" s="34"/>
      <c r="H71" s="34"/>
      <c r="I71" s="34">
        <v>2</v>
      </c>
      <c r="J71" s="34"/>
      <c r="K71" s="34">
        <v>379</v>
      </c>
      <c r="L71" s="34"/>
      <c r="M71" s="34">
        <v>381</v>
      </c>
      <c r="N71" s="35">
        <v>48.333333333333336</v>
      </c>
      <c r="O71" s="34" t="s">
        <v>299</v>
      </c>
      <c r="P71" s="34">
        <f t="shared" si="19"/>
        <v>379</v>
      </c>
      <c r="Q71" s="34">
        <f t="shared" si="20"/>
        <v>0</v>
      </c>
      <c r="R71" s="34">
        <f t="shared" si="21"/>
        <v>2</v>
      </c>
      <c r="S71" s="34">
        <f t="shared" si="22"/>
        <v>0</v>
      </c>
      <c r="T71" s="34">
        <f t="shared" si="23"/>
        <v>381</v>
      </c>
      <c r="U71" s="37">
        <f t="shared" si="24"/>
        <v>0.99475065616797897</v>
      </c>
      <c r="V71" s="37">
        <f t="shared" si="25"/>
        <v>0</v>
      </c>
      <c r="W71" s="37">
        <f t="shared" si="26"/>
        <v>5.2493438320209973E-3</v>
      </c>
      <c r="X71" s="37">
        <f t="shared" si="27"/>
        <v>0</v>
      </c>
      <c r="Y71" s="35">
        <f t="shared" si="28"/>
        <v>48.333333333333336</v>
      </c>
    </row>
    <row r="72" spans="1:25" x14ac:dyDescent="0.25">
      <c r="A72" s="34" t="s">
        <v>352</v>
      </c>
      <c r="B72" s="34" t="s">
        <v>353</v>
      </c>
      <c r="C72" s="34" t="s">
        <v>218</v>
      </c>
      <c r="D72" s="34">
        <v>3</v>
      </c>
      <c r="E72" s="34"/>
      <c r="F72" s="34"/>
      <c r="G72" s="34"/>
      <c r="H72" s="34"/>
      <c r="I72" s="34">
        <v>1</v>
      </c>
      <c r="J72" s="34"/>
      <c r="K72" s="34">
        <v>380</v>
      </c>
      <c r="L72" s="34"/>
      <c r="M72" s="34">
        <v>381</v>
      </c>
      <c r="N72" s="35">
        <v>29.209973753280838</v>
      </c>
      <c r="O72" s="34" t="s">
        <v>299</v>
      </c>
      <c r="P72" s="34">
        <f t="shared" si="19"/>
        <v>380</v>
      </c>
      <c r="Q72" s="34">
        <f t="shared" si="20"/>
        <v>0</v>
      </c>
      <c r="R72" s="34">
        <f t="shared" si="21"/>
        <v>1</v>
      </c>
      <c r="S72" s="34">
        <f t="shared" si="22"/>
        <v>0</v>
      </c>
      <c r="T72" s="34">
        <f t="shared" si="23"/>
        <v>381</v>
      </c>
      <c r="U72" s="37">
        <f t="shared" si="24"/>
        <v>0.99737532808398954</v>
      </c>
      <c r="V72" s="37">
        <f t="shared" si="25"/>
        <v>0</v>
      </c>
      <c r="W72" s="37">
        <f t="shared" si="26"/>
        <v>2.6246719160104987E-3</v>
      </c>
      <c r="X72" s="37">
        <f t="shared" si="27"/>
        <v>0</v>
      </c>
      <c r="Y72" s="35">
        <f t="shared" si="28"/>
        <v>29.209973753280838</v>
      </c>
    </row>
    <row r="73" spans="1:25" x14ac:dyDescent="0.25">
      <c r="A73" s="34" t="s">
        <v>354</v>
      </c>
      <c r="B73" s="34" t="s">
        <v>355</v>
      </c>
      <c r="C73" s="34" t="s">
        <v>220</v>
      </c>
      <c r="D73" s="34">
        <v>1</v>
      </c>
      <c r="E73" s="34"/>
      <c r="F73" s="34"/>
      <c r="G73" s="34">
        <v>1</v>
      </c>
      <c r="H73" s="34">
        <v>2</v>
      </c>
      <c r="I73" s="34"/>
      <c r="J73" s="34"/>
      <c r="K73" s="34">
        <v>347</v>
      </c>
      <c r="L73" s="34"/>
      <c r="M73" s="34">
        <v>350</v>
      </c>
      <c r="N73" s="35">
        <v>67.305714285714288</v>
      </c>
      <c r="O73" s="34" t="s">
        <v>299</v>
      </c>
      <c r="P73" s="34">
        <f t="shared" si="19"/>
        <v>347</v>
      </c>
      <c r="Q73" s="34">
        <f t="shared" si="20"/>
        <v>2</v>
      </c>
      <c r="R73" s="34">
        <f t="shared" si="21"/>
        <v>0</v>
      </c>
      <c r="S73" s="34">
        <f t="shared" si="22"/>
        <v>1</v>
      </c>
      <c r="T73" s="34">
        <f t="shared" si="23"/>
        <v>350</v>
      </c>
      <c r="U73" s="37">
        <f t="shared" si="24"/>
        <v>0.99142857142857144</v>
      </c>
      <c r="V73" s="37">
        <f t="shared" si="25"/>
        <v>5.7142857142857143E-3</v>
      </c>
      <c r="W73" s="37">
        <f t="shared" si="26"/>
        <v>0</v>
      </c>
      <c r="X73" s="37">
        <f t="shared" si="27"/>
        <v>2.8571428571428571E-3</v>
      </c>
      <c r="Y73" s="35">
        <f t="shared" si="28"/>
        <v>67.305714285714288</v>
      </c>
    </row>
    <row r="74" spans="1:25" x14ac:dyDescent="0.25">
      <c r="A74" s="34" t="s">
        <v>354</v>
      </c>
      <c r="B74" s="34" t="s">
        <v>355</v>
      </c>
      <c r="C74" s="34" t="s">
        <v>220</v>
      </c>
      <c r="D74" s="34">
        <v>2</v>
      </c>
      <c r="E74" s="34"/>
      <c r="F74" s="34"/>
      <c r="G74" s="34">
        <v>1</v>
      </c>
      <c r="H74" s="34">
        <v>1</v>
      </c>
      <c r="I74" s="34">
        <v>2</v>
      </c>
      <c r="J74" s="34"/>
      <c r="K74" s="34">
        <v>485</v>
      </c>
      <c r="L74" s="34"/>
      <c r="M74" s="34">
        <v>489</v>
      </c>
      <c r="N74" s="35">
        <v>46.3640081799591</v>
      </c>
      <c r="O74" s="34" t="s">
        <v>299</v>
      </c>
      <c r="P74" s="34">
        <f t="shared" si="19"/>
        <v>485</v>
      </c>
      <c r="Q74" s="34">
        <f t="shared" si="20"/>
        <v>1</v>
      </c>
      <c r="R74" s="34">
        <f t="shared" si="21"/>
        <v>2</v>
      </c>
      <c r="S74" s="34">
        <f t="shared" si="22"/>
        <v>1</v>
      </c>
      <c r="T74" s="34">
        <f t="shared" si="23"/>
        <v>489</v>
      </c>
      <c r="U74" s="37">
        <f t="shared" si="24"/>
        <v>0.99182004089979547</v>
      </c>
      <c r="V74" s="37">
        <f t="shared" si="25"/>
        <v>2.0449897750511249E-3</v>
      </c>
      <c r="W74" s="37">
        <f t="shared" si="26"/>
        <v>4.0899795501022499E-3</v>
      </c>
      <c r="X74" s="37">
        <f t="shared" si="27"/>
        <v>2.0449897750511249E-3</v>
      </c>
      <c r="Y74" s="35">
        <f t="shared" si="28"/>
        <v>46.3640081799591</v>
      </c>
    </row>
    <row r="75" spans="1:25" x14ac:dyDescent="0.25">
      <c r="A75" s="34" t="s">
        <v>354</v>
      </c>
      <c r="B75" s="34" t="s">
        <v>355</v>
      </c>
      <c r="C75" s="34" t="s">
        <v>220</v>
      </c>
      <c r="D75" s="34">
        <v>3</v>
      </c>
      <c r="E75" s="34"/>
      <c r="F75" s="34"/>
      <c r="G75" s="34">
        <v>1</v>
      </c>
      <c r="H75" s="34">
        <v>1</v>
      </c>
      <c r="I75" s="34">
        <v>1</v>
      </c>
      <c r="J75" s="34"/>
      <c r="K75" s="34">
        <v>486</v>
      </c>
      <c r="L75" s="34"/>
      <c r="M75" s="34">
        <v>489</v>
      </c>
      <c r="N75" s="35">
        <v>27.400817995910021</v>
      </c>
      <c r="O75" s="34" t="s">
        <v>299</v>
      </c>
      <c r="P75" s="34">
        <f t="shared" si="19"/>
        <v>486</v>
      </c>
      <c r="Q75" s="34">
        <f t="shared" si="20"/>
        <v>1</v>
      </c>
      <c r="R75" s="34">
        <f t="shared" si="21"/>
        <v>1</v>
      </c>
      <c r="S75" s="34">
        <f t="shared" si="22"/>
        <v>1</v>
      </c>
      <c r="T75" s="34">
        <f t="shared" si="23"/>
        <v>489</v>
      </c>
      <c r="U75" s="37">
        <f t="shared" si="24"/>
        <v>0.99386503067484666</v>
      </c>
      <c r="V75" s="37">
        <f t="shared" si="25"/>
        <v>2.0449897750511249E-3</v>
      </c>
      <c r="W75" s="37">
        <f t="shared" si="26"/>
        <v>2.0449897750511249E-3</v>
      </c>
      <c r="X75" s="37">
        <f t="shared" si="27"/>
        <v>2.0449897750511249E-3</v>
      </c>
      <c r="Y75" s="35">
        <f t="shared" si="28"/>
        <v>27.400817995910021</v>
      </c>
    </row>
    <row r="76" spans="1:25" x14ac:dyDescent="0.25">
      <c r="A76" s="34" t="s">
        <v>356</v>
      </c>
      <c r="B76" s="34" t="s">
        <v>357</v>
      </c>
      <c r="C76" s="34" t="s">
        <v>222</v>
      </c>
      <c r="D76" s="34">
        <v>1</v>
      </c>
      <c r="E76" s="34"/>
      <c r="F76" s="34"/>
      <c r="G76" s="34"/>
      <c r="H76" s="34">
        <v>120</v>
      </c>
      <c r="I76" s="34">
        <v>1</v>
      </c>
      <c r="J76" s="34"/>
      <c r="K76" s="34">
        <v>129</v>
      </c>
      <c r="L76" s="34"/>
      <c r="M76" s="34">
        <v>250</v>
      </c>
      <c r="N76" s="35">
        <v>73.98</v>
      </c>
      <c r="O76" s="34" t="s">
        <v>299</v>
      </c>
      <c r="P76" s="34">
        <f t="shared" si="19"/>
        <v>129</v>
      </c>
      <c r="Q76" s="34">
        <f t="shared" si="20"/>
        <v>120</v>
      </c>
      <c r="R76" s="34">
        <f t="shared" si="21"/>
        <v>1</v>
      </c>
      <c r="S76" s="34">
        <f t="shared" si="22"/>
        <v>0</v>
      </c>
      <c r="T76" s="34">
        <f t="shared" si="23"/>
        <v>250</v>
      </c>
      <c r="U76" s="37">
        <f t="shared" si="24"/>
        <v>0.51600000000000001</v>
      </c>
      <c r="V76" s="37">
        <f t="shared" si="25"/>
        <v>0.48</v>
      </c>
      <c r="W76" s="37">
        <f t="shared" si="26"/>
        <v>4.0000000000000001E-3</v>
      </c>
      <c r="X76" s="37">
        <f t="shared" si="27"/>
        <v>0</v>
      </c>
      <c r="Y76" s="35">
        <f t="shared" si="28"/>
        <v>73.98</v>
      </c>
    </row>
    <row r="77" spans="1:25" x14ac:dyDescent="0.25">
      <c r="A77" s="34" t="s">
        <v>356</v>
      </c>
      <c r="B77" s="34" t="s">
        <v>357</v>
      </c>
      <c r="C77" s="34" t="s">
        <v>222</v>
      </c>
      <c r="D77" s="34">
        <v>2</v>
      </c>
      <c r="E77" s="34"/>
      <c r="F77" s="34"/>
      <c r="G77" s="34"/>
      <c r="H77" s="34">
        <v>124</v>
      </c>
      <c r="I77" s="34">
        <v>2</v>
      </c>
      <c r="J77" s="34"/>
      <c r="K77" s="34">
        <v>124</v>
      </c>
      <c r="L77" s="34"/>
      <c r="M77" s="34">
        <v>250</v>
      </c>
      <c r="N77" s="35">
        <v>64.055999999999997</v>
      </c>
      <c r="O77" s="34" t="s">
        <v>299</v>
      </c>
      <c r="P77" s="34">
        <f t="shared" si="19"/>
        <v>124</v>
      </c>
      <c r="Q77" s="34">
        <f t="shared" si="20"/>
        <v>124</v>
      </c>
      <c r="R77" s="34">
        <f t="shared" si="21"/>
        <v>2</v>
      </c>
      <c r="S77" s="34">
        <f t="shared" si="22"/>
        <v>0</v>
      </c>
      <c r="T77" s="34">
        <f t="shared" si="23"/>
        <v>250</v>
      </c>
      <c r="U77" s="37">
        <f t="shared" si="24"/>
        <v>0.496</v>
      </c>
      <c r="V77" s="37">
        <f t="shared" si="25"/>
        <v>0.496</v>
      </c>
      <c r="W77" s="37">
        <f t="shared" si="26"/>
        <v>8.0000000000000002E-3</v>
      </c>
      <c r="X77" s="37">
        <f t="shared" si="27"/>
        <v>0</v>
      </c>
      <c r="Y77" s="35">
        <f t="shared" si="28"/>
        <v>64.055999999999997</v>
      </c>
    </row>
    <row r="78" spans="1:25" x14ac:dyDescent="0.25">
      <c r="A78" s="34" t="s">
        <v>356</v>
      </c>
      <c r="B78" s="34" t="s">
        <v>357</v>
      </c>
      <c r="C78" s="34" t="s">
        <v>222</v>
      </c>
      <c r="D78" s="34">
        <v>3</v>
      </c>
      <c r="E78" s="34"/>
      <c r="F78" s="34"/>
      <c r="G78" s="34"/>
      <c r="H78" s="34">
        <v>86</v>
      </c>
      <c r="I78" s="34">
        <v>8</v>
      </c>
      <c r="J78" s="34">
        <v>2</v>
      </c>
      <c r="K78" s="34">
        <v>260</v>
      </c>
      <c r="L78" s="34"/>
      <c r="M78" s="34">
        <v>356</v>
      </c>
      <c r="N78" s="35">
        <v>51.303370786516851</v>
      </c>
      <c r="O78" s="34" t="s">
        <v>299</v>
      </c>
      <c r="P78" s="34">
        <f t="shared" si="19"/>
        <v>260</v>
      </c>
      <c r="Q78" s="34">
        <f t="shared" si="20"/>
        <v>86</v>
      </c>
      <c r="R78" s="34">
        <f t="shared" si="21"/>
        <v>8</v>
      </c>
      <c r="S78" s="34">
        <f t="shared" si="22"/>
        <v>2</v>
      </c>
      <c r="T78" s="34">
        <f t="shared" si="23"/>
        <v>356</v>
      </c>
      <c r="U78" s="37">
        <f t="shared" si="24"/>
        <v>0.7303370786516854</v>
      </c>
      <c r="V78" s="37">
        <f t="shared" si="25"/>
        <v>0.24157303370786518</v>
      </c>
      <c r="W78" s="37">
        <f t="shared" si="26"/>
        <v>2.247191011235955E-2</v>
      </c>
      <c r="X78" s="37">
        <f t="shared" si="27"/>
        <v>5.6179775280898875E-3</v>
      </c>
      <c r="Y78" s="35">
        <f t="shared" si="28"/>
        <v>51.303370786516851</v>
      </c>
    </row>
    <row r="79" spans="1:25" x14ac:dyDescent="0.25">
      <c r="A79" s="34" t="s">
        <v>356</v>
      </c>
      <c r="B79" s="34" t="s">
        <v>357</v>
      </c>
      <c r="C79" s="34" t="s">
        <v>222</v>
      </c>
      <c r="D79" s="34">
        <v>4</v>
      </c>
      <c r="E79" s="34"/>
      <c r="F79" s="34"/>
      <c r="G79" s="34"/>
      <c r="H79" s="34">
        <v>56</v>
      </c>
      <c r="I79" s="34">
        <v>10</v>
      </c>
      <c r="J79" s="34">
        <v>1</v>
      </c>
      <c r="K79" s="34">
        <v>289</v>
      </c>
      <c r="L79" s="34"/>
      <c r="M79" s="34">
        <v>356</v>
      </c>
      <c r="N79" s="35">
        <v>35.719101123595507</v>
      </c>
      <c r="O79" s="34" t="s">
        <v>299</v>
      </c>
      <c r="P79" s="34">
        <f t="shared" si="19"/>
        <v>289</v>
      </c>
      <c r="Q79" s="34">
        <f t="shared" si="20"/>
        <v>56</v>
      </c>
      <c r="R79" s="34">
        <f t="shared" si="21"/>
        <v>10</v>
      </c>
      <c r="S79" s="34">
        <f t="shared" si="22"/>
        <v>1</v>
      </c>
      <c r="T79" s="34">
        <f t="shared" si="23"/>
        <v>356</v>
      </c>
      <c r="U79" s="37">
        <f t="shared" si="24"/>
        <v>0.8117977528089888</v>
      </c>
      <c r="V79" s="37">
        <f t="shared" si="25"/>
        <v>0.15730337078651685</v>
      </c>
      <c r="W79" s="37">
        <f t="shared" si="26"/>
        <v>2.8089887640449437E-2</v>
      </c>
      <c r="X79" s="37">
        <f t="shared" si="27"/>
        <v>2.8089887640449437E-3</v>
      </c>
      <c r="Y79" s="35">
        <f t="shared" si="28"/>
        <v>35.719101123595507</v>
      </c>
    </row>
    <row r="80" spans="1:25" x14ac:dyDescent="0.25">
      <c r="A80" s="34" t="s">
        <v>356</v>
      </c>
      <c r="B80" s="34" t="s">
        <v>357</v>
      </c>
      <c r="C80" s="34" t="s">
        <v>222</v>
      </c>
      <c r="D80" s="34">
        <v>5</v>
      </c>
      <c r="E80" s="34"/>
      <c r="F80" s="34"/>
      <c r="G80" s="34"/>
      <c r="H80" s="34">
        <v>33</v>
      </c>
      <c r="I80" s="34">
        <v>7</v>
      </c>
      <c r="J80" s="34">
        <v>1</v>
      </c>
      <c r="K80" s="34">
        <v>316</v>
      </c>
      <c r="L80" s="34"/>
      <c r="M80" s="34">
        <v>357</v>
      </c>
      <c r="N80" s="35">
        <v>24.49299719887955</v>
      </c>
      <c r="O80" s="34" t="s">
        <v>299</v>
      </c>
      <c r="P80" s="34">
        <f t="shared" si="19"/>
        <v>316</v>
      </c>
      <c r="Q80" s="34">
        <f t="shared" si="20"/>
        <v>33</v>
      </c>
      <c r="R80" s="34">
        <f t="shared" si="21"/>
        <v>7</v>
      </c>
      <c r="S80" s="34">
        <f t="shared" si="22"/>
        <v>1</v>
      </c>
      <c r="T80" s="34">
        <f t="shared" si="23"/>
        <v>357</v>
      </c>
      <c r="U80" s="37">
        <f t="shared" si="24"/>
        <v>0.88515406162464982</v>
      </c>
      <c r="V80" s="37">
        <f t="shared" si="25"/>
        <v>9.2436974789915971E-2</v>
      </c>
      <c r="W80" s="37">
        <f t="shared" si="26"/>
        <v>1.9607843137254902E-2</v>
      </c>
      <c r="X80" s="37">
        <f t="shared" si="27"/>
        <v>2.8011204481792717E-3</v>
      </c>
      <c r="Y80" s="35">
        <f t="shared" si="28"/>
        <v>24.49299719887955</v>
      </c>
    </row>
    <row r="81" spans="1:25" x14ac:dyDescent="0.25">
      <c r="A81" s="34" t="s">
        <v>358</v>
      </c>
      <c r="B81" s="34" t="s">
        <v>359</v>
      </c>
      <c r="C81" s="34" t="s">
        <v>224</v>
      </c>
      <c r="D81" s="34">
        <v>1</v>
      </c>
      <c r="E81" s="34"/>
      <c r="F81" s="34"/>
      <c r="G81" s="34"/>
      <c r="H81" s="34">
        <v>65</v>
      </c>
      <c r="I81" s="34">
        <v>17</v>
      </c>
      <c r="J81" s="34">
        <v>4</v>
      </c>
      <c r="K81" s="34">
        <v>308</v>
      </c>
      <c r="L81" s="34"/>
      <c r="M81" s="34">
        <v>394</v>
      </c>
      <c r="N81" s="35">
        <v>50.281725888324871</v>
      </c>
      <c r="O81" s="34" t="s">
        <v>299</v>
      </c>
      <c r="P81" s="34">
        <f t="shared" si="19"/>
        <v>308</v>
      </c>
      <c r="Q81" s="34">
        <f t="shared" si="20"/>
        <v>65</v>
      </c>
      <c r="R81" s="34">
        <f t="shared" si="21"/>
        <v>17</v>
      </c>
      <c r="S81" s="34">
        <f t="shared" si="22"/>
        <v>4</v>
      </c>
      <c r="T81" s="34">
        <f t="shared" si="23"/>
        <v>394</v>
      </c>
      <c r="U81" s="37">
        <f t="shared" si="24"/>
        <v>0.78172588832487311</v>
      </c>
      <c r="V81" s="37">
        <f t="shared" si="25"/>
        <v>0.1649746192893401</v>
      </c>
      <c r="W81" s="37">
        <f t="shared" si="26"/>
        <v>4.3147208121827409E-2</v>
      </c>
      <c r="X81" s="37">
        <f t="shared" si="27"/>
        <v>1.015228426395939E-2</v>
      </c>
      <c r="Y81" s="35">
        <f t="shared" si="28"/>
        <v>50.281725888324871</v>
      </c>
    </row>
    <row r="82" spans="1:25" x14ac:dyDescent="0.25">
      <c r="A82" s="34" t="s">
        <v>360</v>
      </c>
      <c r="B82" s="34" t="s">
        <v>361</v>
      </c>
      <c r="C82" s="34" t="s">
        <v>226</v>
      </c>
      <c r="D82" s="34">
        <v>1</v>
      </c>
      <c r="E82" s="34"/>
      <c r="F82" s="34"/>
      <c r="G82" s="34"/>
      <c r="H82" s="34">
        <v>131</v>
      </c>
      <c r="I82" s="34">
        <v>12</v>
      </c>
      <c r="J82" s="34"/>
      <c r="K82" s="34">
        <v>57</v>
      </c>
      <c r="L82" s="34"/>
      <c r="M82" s="34">
        <v>200</v>
      </c>
      <c r="N82" s="35">
        <v>74.95</v>
      </c>
      <c r="O82" s="34" t="s">
        <v>299</v>
      </c>
      <c r="P82" s="34">
        <f t="shared" si="19"/>
        <v>57</v>
      </c>
      <c r="Q82" s="34">
        <f t="shared" si="20"/>
        <v>131</v>
      </c>
      <c r="R82" s="34">
        <f t="shared" si="21"/>
        <v>12</v>
      </c>
      <c r="S82" s="34">
        <f t="shared" si="22"/>
        <v>0</v>
      </c>
      <c r="T82" s="34">
        <f t="shared" si="23"/>
        <v>200</v>
      </c>
      <c r="U82" s="37">
        <f t="shared" si="24"/>
        <v>0.28499999999999998</v>
      </c>
      <c r="V82" s="37">
        <f t="shared" si="25"/>
        <v>0.65500000000000003</v>
      </c>
      <c r="W82" s="37">
        <f t="shared" si="26"/>
        <v>0.06</v>
      </c>
      <c r="X82" s="37">
        <f t="shared" si="27"/>
        <v>0</v>
      </c>
      <c r="Y82" s="35">
        <f t="shared" si="28"/>
        <v>74.95</v>
      </c>
    </row>
    <row r="83" spans="1:25" x14ac:dyDescent="0.25">
      <c r="A83" s="34" t="s">
        <v>360</v>
      </c>
      <c r="B83" s="34" t="s">
        <v>361</v>
      </c>
      <c r="C83" s="34" t="s">
        <v>226</v>
      </c>
      <c r="D83" s="34">
        <v>2</v>
      </c>
      <c r="E83" s="34"/>
      <c r="F83" s="34"/>
      <c r="G83" s="34"/>
      <c r="H83" s="34">
        <v>113</v>
      </c>
      <c r="I83" s="34">
        <v>11</v>
      </c>
      <c r="J83" s="34"/>
      <c r="K83" s="34">
        <v>76</v>
      </c>
      <c r="L83" s="34"/>
      <c r="M83" s="34">
        <v>200</v>
      </c>
      <c r="N83" s="35">
        <v>64.905000000000001</v>
      </c>
      <c r="O83" s="34" t="s">
        <v>299</v>
      </c>
      <c r="P83" s="34">
        <f t="shared" si="19"/>
        <v>76</v>
      </c>
      <c r="Q83" s="34">
        <f t="shared" si="20"/>
        <v>113</v>
      </c>
      <c r="R83" s="34">
        <f t="shared" si="21"/>
        <v>11</v>
      </c>
      <c r="S83" s="34">
        <f t="shared" si="22"/>
        <v>0</v>
      </c>
      <c r="T83" s="34">
        <f t="shared" si="23"/>
        <v>200</v>
      </c>
      <c r="U83" s="37">
        <f t="shared" si="24"/>
        <v>0.38</v>
      </c>
      <c r="V83" s="37">
        <f t="shared" si="25"/>
        <v>0.56499999999999995</v>
      </c>
      <c r="W83" s="37">
        <f t="shared" si="26"/>
        <v>5.5E-2</v>
      </c>
      <c r="X83" s="37">
        <f t="shared" si="27"/>
        <v>0</v>
      </c>
      <c r="Y83" s="35">
        <f t="shared" si="28"/>
        <v>64.905000000000001</v>
      </c>
    </row>
    <row r="84" spans="1:25" x14ac:dyDescent="0.25">
      <c r="A84" s="34" t="s">
        <v>360</v>
      </c>
      <c r="B84" s="34" t="s">
        <v>361</v>
      </c>
      <c r="C84" s="34" t="s">
        <v>226</v>
      </c>
      <c r="D84" s="34">
        <v>3</v>
      </c>
      <c r="E84" s="34"/>
      <c r="F84" s="34"/>
      <c r="G84" s="34">
        <v>1</v>
      </c>
      <c r="H84" s="34">
        <v>130</v>
      </c>
      <c r="I84" s="34">
        <v>23</v>
      </c>
      <c r="J84" s="34"/>
      <c r="K84" s="34">
        <v>122</v>
      </c>
      <c r="L84" s="34"/>
      <c r="M84" s="34">
        <v>276</v>
      </c>
      <c r="N84" s="35">
        <v>51.14855072463768</v>
      </c>
      <c r="O84" s="34" t="s">
        <v>299</v>
      </c>
      <c r="P84" s="34">
        <f t="shared" si="19"/>
        <v>122</v>
      </c>
      <c r="Q84" s="34">
        <f t="shared" si="20"/>
        <v>130</v>
      </c>
      <c r="R84" s="34">
        <f t="shared" si="21"/>
        <v>23</v>
      </c>
      <c r="S84" s="34">
        <f t="shared" si="22"/>
        <v>1</v>
      </c>
      <c r="T84" s="34">
        <f t="shared" si="23"/>
        <v>276</v>
      </c>
      <c r="U84" s="37">
        <f t="shared" si="24"/>
        <v>0.4420289855072464</v>
      </c>
      <c r="V84" s="37">
        <f t="shared" si="25"/>
        <v>0.47101449275362317</v>
      </c>
      <c r="W84" s="37">
        <f t="shared" si="26"/>
        <v>8.3333333333333329E-2</v>
      </c>
      <c r="X84" s="37">
        <f t="shared" si="27"/>
        <v>3.6231884057971015E-3</v>
      </c>
      <c r="Y84" s="35">
        <f t="shared" si="28"/>
        <v>51.14855072463768</v>
      </c>
    </row>
    <row r="85" spans="1:25" x14ac:dyDescent="0.25">
      <c r="A85" s="34" t="s">
        <v>360</v>
      </c>
      <c r="B85" s="34" t="s">
        <v>361</v>
      </c>
      <c r="C85" s="34" t="s">
        <v>226</v>
      </c>
      <c r="D85" s="34">
        <v>4</v>
      </c>
      <c r="E85" s="34"/>
      <c r="F85" s="34"/>
      <c r="G85" s="34">
        <v>1</v>
      </c>
      <c r="H85" s="34">
        <v>99</v>
      </c>
      <c r="I85" s="34">
        <v>16</v>
      </c>
      <c r="J85" s="34"/>
      <c r="K85" s="34">
        <v>161</v>
      </c>
      <c r="L85" s="34"/>
      <c r="M85" s="34">
        <v>277</v>
      </c>
      <c r="N85" s="35">
        <v>37.902527075812273</v>
      </c>
      <c r="O85" s="34" t="s">
        <v>299</v>
      </c>
      <c r="P85" s="34">
        <f t="shared" si="19"/>
        <v>161</v>
      </c>
      <c r="Q85" s="34">
        <f t="shared" si="20"/>
        <v>99</v>
      </c>
      <c r="R85" s="34">
        <f t="shared" si="21"/>
        <v>16</v>
      </c>
      <c r="S85" s="34">
        <f t="shared" si="22"/>
        <v>1</v>
      </c>
      <c r="T85" s="34">
        <f t="shared" si="23"/>
        <v>277</v>
      </c>
      <c r="U85" s="37">
        <f t="shared" si="24"/>
        <v>0.58122743682310474</v>
      </c>
      <c r="V85" s="37">
        <f t="shared" si="25"/>
        <v>0.35740072202166068</v>
      </c>
      <c r="W85" s="37">
        <f t="shared" si="26"/>
        <v>5.7761732851985562E-2</v>
      </c>
      <c r="X85" s="37">
        <f t="shared" si="27"/>
        <v>3.6101083032490976E-3</v>
      </c>
      <c r="Y85" s="35">
        <f t="shared" si="28"/>
        <v>37.902527075812273</v>
      </c>
    </row>
    <row r="86" spans="1:25" x14ac:dyDescent="0.25">
      <c r="A86" s="34" t="s">
        <v>360</v>
      </c>
      <c r="B86" s="34" t="s">
        <v>361</v>
      </c>
      <c r="C86" s="34" t="s">
        <v>226</v>
      </c>
      <c r="D86" s="34">
        <v>5</v>
      </c>
      <c r="E86" s="34"/>
      <c r="F86" s="34"/>
      <c r="G86" s="34"/>
      <c r="H86" s="34">
        <v>81</v>
      </c>
      <c r="I86" s="34">
        <v>56</v>
      </c>
      <c r="J86" s="34"/>
      <c r="K86" s="34">
        <v>140</v>
      </c>
      <c r="L86" s="34"/>
      <c r="M86" s="34">
        <v>277</v>
      </c>
      <c r="N86" s="35">
        <v>26.386281588447652</v>
      </c>
      <c r="O86" s="34" t="s">
        <v>299</v>
      </c>
      <c r="P86" s="34">
        <f t="shared" si="19"/>
        <v>140</v>
      </c>
      <c r="Q86" s="34">
        <f t="shared" si="20"/>
        <v>81</v>
      </c>
      <c r="R86" s="34">
        <f t="shared" si="21"/>
        <v>56</v>
      </c>
      <c r="S86" s="34">
        <f t="shared" si="22"/>
        <v>0</v>
      </c>
      <c r="T86" s="34">
        <f t="shared" si="23"/>
        <v>277</v>
      </c>
      <c r="U86" s="37">
        <f t="shared" si="24"/>
        <v>0.50541516245487361</v>
      </c>
      <c r="V86" s="37">
        <f t="shared" si="25"/>
        <v>0.29241877256317689</v>
      </c>
      <c r="W86" s="37">
        <f t="shared" si="26"/>
        <v>0.20216606498194944</v>
      </c>
      <c r="X86" s="37">
        <f t="shared" si="27"/>
        <v>0</v>
      </c>
      <c r="Y86" s="35">
        <f t="shared" si="28"/>
        <v>26.386281588447652</v>
      </c>
    </row>
    <row r="87" spans="1:25" x14ac:dyDescent="0.25">
      <c r="A87" s="34" t="s">
        <v>362</v>
      </c>
      <c r="B87" s="34" t="s">
        <v>363</v>
      </c>
      <c r="C87" s="34" t="s">
        <v>228</v>
      </c>
      <c r="D87" s="34">
        <v>1</v>
      </c>
      <c r="E87" s="34"/>
      <c r="F87" s="34"/>
      <c r="G87" s="34"/>
      <c r="H87" s="34">
        <v>102</v>
      </c>
      <c r="I87" s="34">
        <v>33</v>
      </c>
      <c r="J87" s="34"/>
      <c r="K87" s="34">
        <v>45</v>
      </c>
      <c r="L87" s="34"/>
      <c r="M87" s="34">
        <v>180</v>
      </c>
      <c r="N87" s="35">
        <v>69.072222222222223</v>
      </c>
      <c r="O87" s="34" t="s">
        <v>299</v>
      </c>
      <c r="P87" s="34">
        <f t="shared" si="19"/>
        <v>45</v>
      </c>
      <c r="Q87" s="34">
        <f t="shared" si="20"/>
        <v>102</v>
      </c>
      <c r="R87" s="34">
        <f t="shared" si="21"/>
        <v>33</v>
      </c>
      <c r="S87" s="34">
        <f t="shared" si="22"/>
        <v>0</v>
      </c>
      <c r="T87" s="34">
        <f t="shared" si="23"/>
        <v>180</v>
      </c>
      <c r="U87" s="37">
        <f t="shared" si="24"/>
        <v>0.25</v>
      </c>
      <c r="V87" s="37">
        <f t="shared" si="25"/>
        <v>0.56666666666666665</v>
      </c>
      <c r="W87" s="37">
        <f t="shared" si="26"/>
        <v>0.18333333333333332</v>
      </c>
      <c r="X87" s="37">
        <f t="shared" si="27"/>
        <v>0</v>
      </c>
      <c r="Y87" s="35">
        <f t="shared" si="28"/>
        <v>69.072222222222223</v>
      </c>
    </row>
    <row r="88" spans="1:25" x14ac:dyDescent="0.25">
      <c r="A88" s="34" t="s">
        <v>362</v>
      </c>
      <c r="B88" s="34" t="s">
        <v>363</v>
      </c>
      <c r="C88" s="34" t="s">
        <v>228</v>
      </c>
      <c r="D88" s="34">
        <v>2</v>
      </c>
      <c r="E88" s="34"/>
      <c r="F88" s="34"/>
      <c r="G88" s="34"/>
      <c r="H88" s="34">
        <v>102</v>
      </c>
      <c r="I88" s="34">
        <v>45</v>
      </c>
      <c r="J88" s="34"/>
      <c r="K88" s="34">
        <v>152</v>
      </c>
      <c r="L88" s="34"/>
      <c r="M88" s="34">
        <v>299</v>
      </c>
      <c r="N88" s="35">
        <v>38.732441471571903</v>
      </c>
      <c r="O88" s="34" t="s">
        <v>299</v>
      </c>
      <c r="P88" s="34">
        <f t="shared" si="19"/>
        <v>152</v>
      </c>
      <c r="Q88" s="34">
        <f t="shared" si="20"/>
        <v>102</v>
      </c>
      <c r="R88" s="34">
        <f t="shared" si="21"/>
        <v>45</v>
      </c>
      <c r="S88" s="34">
        <f t="shared" si="22"/>
        <v>0</v>
      </c>
      <c r="T88" s="34">
        <f t="shared" si="23"/>
        <v>299</v>
      </c>
      <c r="U88" s="37">
        <f t="shared" si="24"/>
        <v>0.50836120401337792</v>
      </c>
      <c r="V88" s="37">
        <f t="shared" si="25"/>
        <v>0.34113712374581939</v>
      </c>
      <c r="W88" s="37">
        <f t="shared" si="26"/>
        <v>0.15050167224080269</v>
      </c>
      <c r="X88" s="37">
        <f t="shared" si="27"/>
        <v>0</v>
      </c>
      <c r="Y88" s="35">
        <f t="shared" si="28"/>
        <v>38.732441471571903</v>
      </c>
    </row>
    <row r="89" spans="1:25" x14ac:dyDescent="0.25">
      <c r="A89" s="34" t="s">
        <v>364</v>
      </c>
      <c r="B89" s="34" t="s">
        <v>365</v>
      </c>
      <c r="C89" s="34" t="s">
        <v>230</v>
      </c>
      <c r="D89" s="34">
        <v>1</v>
      </c>
      <c r="E89" s="34">
        <v>1</v>
      </c>
      <c r="F89" s="34"/>
      <c r="G89" s="34"/>
      <c r="H89" s="34">
        <v>62</v>
      </c>
      <c r="I89" s="34">
        <v>4</v>
      </c>
      <c r="J89" s="34"/>
      <c r="K89" s="34">
        <v>138</v>
      </c>
      <c r="L89" s="34"/>
      <c r="M89" s="34">
        <v>205</v>
      </c>
      <c r="N89" s="35">
        <v>73.31219512195122</v>
      </c>
      <c r="O89" s="34" t="s">
        <v>299</v>
      </c>
      <c r="P89" s="34">
        <f t="shared" si="19"/>
        <v>138</v>
      </c>
      <c r="Q89" s="34">
        <f t="shared" si="20"/>
        <v>62</v>
      </c>
      <c r="R89" s="34">
        <f t="shared" si="21"/>
        <v>4</v>
      </c>
      <c r="S89" s="34">
        <f t="shared" si="22"/>
        <v>1</v>
      </c>
      <c r="T89" s="34">
        <f t="shared" si="23"/>
        <v>205</v>
      </c>
      <c r="U89" s="37">
        <f t="shared" si="24"/>
        <v>0.67317073170731712</v>
      </c>
      <c r="V89" s="37">
        <f t="shared" si="25"/>
        <v>0.30243902439024389</v>
      </c>
      <c r="W89" s="37">
        <f t="shared" si="26"/>
        <v>1.9512195121951219E-2</v>
      </c>
      <c r="X89" s="37">
        <f t="shared" si="27"/>
        <v>4.8780487804878049E-3</v>
      </c>
      <c r="Y89" s="35">
        <f t="shared" si="28"/>
        <v>73.31219512195122</v>
      </c>
    </row>
    <row r="90" spans="1:25" x14ac:dyDescent="0.25">
      <c r="A90" s="34" t="s">
        <v>364</v>
      </c>
      <c r="B90" s="34" t="s">
        <v>365</v>
      </c>
      <c r="C90" s="34" t="s">
        <v>230</v>
      </c>
      <c r="D90" s="34">
        <v>2</v>
      </c>
      <c r="E90" s="34"/>
      <c r="F90" s="34"/>
      <c r="G90" s="34"/>
      <c r="H90" s="34">
        <v>72</v>
      </c>
      <c r="I90" s="34">
        <v>2</v>
      </c>
      <c r="J90" s="34"/>
      <c r="K90" s="34">
        <v>131</v>
      </c>
      <c r="L90" s="34"/>
      <c r="M90" s="34">
        <v>205</v>
      </c>
      <c r="N90" s="35">
        <v>64.073170731707322</v>
      </c>
      <c r="O90" s="34" t="s">
        <v>299</v>
      </c>
      <c r="P90" s="34">
        <f t="shared" si="19"/>
        <v>131</v>
      </c>
      <c r="Q90" s="34">
        <f t="shared" si="20"/>
        <v>72</v>
      </c>
      <c r="R90" s="34">
        <f t="shared" si="21"/>
        <v>2</v>
      </c>
      <c r="S90" s="34">
        <f t="shared" si="22"/>
        <v>0</v>
      </c>
      <c r="T90" s="34">
        <f t="shared" si="23"/>
        <v>205</v>
      </c>
      <c r="U90" s="37">
        <f t="shared" si="24"/>
        <v>0.63902439024390245</v>
      </c>
      <c r="V90" s="37">
        <f t="shared" si="25"/>
        <v>0.35121951219512193</v>
      </c>
      <c r="W90" s="37">
        <f t="shared" si="26"/>
        <v>9.7560975609756097E-3</v>
      </c>
      <c r="X90" s="37">
        <f t="shared" si="27"/>
        <v>0</v>
      </c>
      <c r="Y90" s="35">
        <f t="shared" si="28"/>
        <v>64.073170731707322</v>
      </c>
    </row>
    <row r="91" spans="1:25" x14ac:dyDescent="0.25">
      <c r="A91" s="34" t="s">
        <v>364</v>
      </c>
      <c r="B91" s="34" t="s">
        <v>365</v>
      </c>
      <c r="C91" s="34" t="s">
        <v>230</v>
      </c>
      <c r="D91" s="34">
        <v>3</v>
      </c>
      <c r="E91" s="34"/>
      <c r="F91" s="34"/>
      <c r="G91" s="34"/>
      <c r="H91" s="34">
        <v>67</v>
      </c>
      <c r="I91" s="34">
        <v>7</v>
      </c>
      <c r="J91" s="34"/>
      <c r="K91" s="34">
        <v>253</v>
      </c>
      <c r="L91" s="34"/>
      <c r="M91" s="34">
        <v>327</v>
      </c>
      <c r="N91" s="35">
        <v>51.85626911314985</v>
      </c>
      <c r="O91" s="34" t="s">
        <v>299</v>
      </c>
      <c r="P91" s="34">
        <f t="shared" si="19"/>
        <v>253</v>
      </c>
      <c r="Q91" s="34">
        <f t="shared" si="20"/>
        <v>67</v>
      </c>
      <c r="R91" s="34">
        <f t="shared" si="21"/>
        <v>7</v>
      </c>
      <c r="S91" s="34">
        <f t="shared" si="22"/>
        <v>0</v>
      </c>
      <c r="T91" s="34">
        <f t="shared" si="23"/>
        <v>327</v>
      </c>
      <c r="U91" s="37">
        <f t="shared" si="24"/>
        <v>0.7737003058103975</v>
      </c>
      <c r="V91" s="37">
        <f t="shared" si="25"/>
        <v>0.20489296636085627</v>
      </c>
      <c r="W91" s="37">
        <f t="shared" si="26"/>
        <v>2.1406727828746176E-2</v>
      </c>
      <c r="X91" s="37">
        <f t="shared" si="27"/>
        <v>0</v>
      </c>
      <c r="Y91" s="35">
        <f t="shared" si="28"/>
        <v>51.85626911314985</v>
      </c>
    </row>
    <row r="92" spans="1:25" x14ac:dyDescent="0.25">
      <c r="A92" s="34" t="s">
        <v>364</v>
      </c>
      <c r="B92" s="34" t="s">
        <v>365</v>
      </c>
      <c r="C92" s="34" t="s">
        <v>230</v>
      </c>
      <c r="D92" s="34">
        <v>4</v>
      </c>
      <c r="E92" s="34"/>
      <c r="F92" s="34"/>
      <c r="G92" s="34"/>
      <c r="H92" s="34">
        <v>58</v>
      </c>
      <c r="I92" s="34">
        <v>4</v>
      </c>
      <c r="J92" s="34"/>
      <c r="K92" s="34">
        <v>266</v>
      </c>
      <c r="L92" s="34"/>
      <c r="M92" s="34">
        <v>328</v>
      </c>
      <c r="N92" s="35">
        <v>37.634146341463413</v>
      </c>
      <c r="O92" s="34" t="s">
        <v>299</v>
      </c>
      <c r="P92" s="34">
        <f t="shared" si="19"/>
        <v>266</v>
      </c>
      <c r="Q92" s="34">
        <f t="shared" si="20"/>
        <v>58</v>
      </c>
      <c r="R92" s="34">
        <f t="shared" si="21"/>
        <v>4</v>
      </c>
      <c r="S92" s="34">
        <f t="shared" si="22"/>
        <v>0</v>
      </c>
      <c r="T92" s="34">
        <f t="shared" si="23"/>
        <v>328</v>
      </c>
      <c r="U92" s="37">
        <f t="shared" si="24"/>
        <v>0.81097560975609762</v>
      </c>
      <c r="V92" s="37">
        <f t="shared" si="25"/>
        <v>0.17682926829268292</v>
      </c>
      <c r="W92" s="37">
        <f t="shared" si="26"/>
        <v>1.2195121951219513E-2</v>
      </c>
      <c r="X92" s="37">
        <f t="shared" si="27"/>
        <v>0</v>
      </c>
      <c r="Y92" s="35">
        <f t="shared" si="28"/>
        <v>37.634146341463413</v>
      </c>
    </row>
    <row r="93" spans="1:25" x14ac:dyDescent="0.25">
      <c r="A93" s="34" t="s">
        <v>364</v>
      </c>
      <c r="B93" s="34" t="s">
        <v>365</v>
      </c>
      <c r="C93" s="34" t="s">
        <v>230</v>
      </c>
      <c r="D93" s="34">
        <v>5</v>
      </c>
      <c r="E93" s="34"/>
      <c r="F93" s="34"/>
      <c r="G93" s="34"/>
      <c r="H93" s="34">
        <v>27</v>
      </c>
      <c r="I93" s="34">
        <v>6</v>
      </c>
      <c r="J93" s="34"/>
      <c r="K93" s="34">
        <v>295</v>
      </c>
      <c r="L93" s="34"/>
      <c r="M93" s="34">
        <v>328</v>
      </c>
      <c r="N93" s="35">
        <v>24.542682926829269</v>
      </c>
      <c r="O93" s="34" t="s">
        <v>299</v>
      </c>
      <c r="P93" s="34">
        <f t="shared" si="19"/>
        <v>295</v>
      </c>
      <c r="Q93" s="34">
        <f t="shared" si="20"/>
        <v>27</v>
      </c>
      <c r="R93" s="34">
        <f t="shared" si="21"/>
        <v>6</v>
      </c>
      <c r="S93" s="34">
        <f t="shared" si="22"/>
        <v>0</v>
      </c>
      <c r="T93" s="34">
        <f t="shared" si="23"/>
        <v>328</v>
      </c>
      <c r="U93" s="37">
        <f t="shared" si="24"/>
        <v>0.89939024390243905</v>
      </c>
      <c r="V93" s="37">
        <f t="shared" si="25"/>
        <v>8.2317073170731711E-2</v>
      </c>
      <c r="W93" s="37">
        <f t="shared" si="26"/>
        <v>1.8292682926829267E-2</v>
      </c>
      <c r="X93" s="37">
        <f t="shared" si="27"/>
        <v>0</v>
      </c>
      <c r="Y93" s="35">
        <f t="shared" si="28"/>
        <v>24.542682926829269</v>
      </c>
    </row>
    <row r="94" spans="1:25" x14ac:dyDescent="0.25">
      <c r="A94" s="34" t="s">
        <v>366</v>
      </c>
      <c r="B94" s="34" t="s">
        <v>367</v>
      </c>
      <c r="C94" s="34" t="s">
        <v>232</v>
      </c>
      <c r="D94" s="34">
        <v>1</v>
      </c>
      <c r="E94" s="34"/>
      <c r="F94" s="34"/>
      <c r="G94" s="34"/>
      <c r="H94" s="34">
        <v>11</v>
      </c>
      <c r="I94" s="34">
        <v>5</v>
      </c>
      <c r="J94" s="34"/>
      <c r="K94" s="34">
        <v>214</v>
      </c>
      <c r="L94" s="34"/>
      <c r="M94" s="34">
        <v>230</v>
      </c>
      <c r="N94" s="35">
        <v>74.521739130434781</v>
      </c>
      <c r="O94" s="34" t="s">
        <v>299</v>
      </c>
      <c r="P94" s="34">
        <f t="shared" si="19"/>
        <v>214</v>
      </c>
      <c r="Q94" s="34">
        <f t="shared" si="20"/>
        <v>11</v>
      </c>
      <c r="R94" s="34">
        <f t="shared" si="21"/>
        <v>5</v>
      </c>
      <c r="S94" s="34">
        <f t="shared" si="22"/>
        <v>0</v>
      </c>
      <c r="T94" s="34">
        <f t="shared" si="23"/>
        <v>230</v>
      </c>
      <c r="U94" s="37">
        <f t="shared" si="24"/>
        <v>0.93043478260869561</v>
      </c>
      <c r="V94" s="37">
        <f t="shared" si="25"/>
        <v>4.7826086956521741E-2</v>
      </c>
      <c r="W94" s="37">
        <f t="shared" si="26"/>
        <v>2.1739130434782608E-2</v>
      </c>
      <c r="X94" s="37">
        <f t="shared" si="27"/>
        <v>0</v>
      </c>
      <c r="Y94" s="35">
        <f t="shared" si="28"/>
        <v>74.521739130434781</v>
      </c>
    </row>
    <row r="95" spans="1:25" x14ac:dyDescent="0.25">
      <c r="A95" s="34" t="s">
        <v>366</v>
      </c>
      <c r="B95" s="34" t="s">
        <v>367</v>
      </c>
      <c r="C95" s="34" t="s">
        <v>232</v>
      </c>
      <c r="D95" s="34">
        <v>2</v>
      </c>
      <c r="E95" s="34"/>
      <c r="F95" s="34"/>
      <c r="G95" s="34"/>
      <c r="H95" s="34">
        <v>14</v>
      </c>
      <c r="I95" s="34">
        <v>7</v>
      </c>
      <c r="J95" s="34"/>
      <c r="K95" s="34">
        <v>210</v>
      </c>
      <c r="L95" s="34"/>
      <c r="M95" s="34">
        <v>231</v>
      </c>
      <c r="N95" s="35">
        <v>64.705627705627705</v>
      </c>
      <c r="O95" s="34" t="s">
        <v>299</v>
      </c>
      <c r="P95" s="34">
        <f t="shared" si="19"/>
        <v>210</v>
      </c>
      <c r="Q95" s="34">
        <f t="shared" si="20"/>
        <v>14</v>
      </c>
      <c r="R95" s="34">
        <f t="shared" si="21"/>
        <v>7</v>
      </c>
      <c r="S95" s="34">
        <f t="shared" si="22"/>
        <v>0</v>
      </c>
      <c r="T95" s="34">
        <f t="shared" si="23"/>
        <v>231</v>
      </c>
      <c r="U95" s="37">
        <f t="shared" si="24"/>
        <v>0.90909090909090906</v>
      </c>
      <c r="V95" s="37">
        <f t="shared" si="25"/>
        <v>6.0606060606060608E-2</v>
      </c>
      <c r="W95" s="37">
        <f t="shared" si="26"/>
        <v>3.0303030303030304E-2</v>
      </c>
      <c r="X95" s="37">
        <f t="shared" si="27"/>
        <v>0</v>
      </c>
      <c r="Y95" s="35">
        <f t="shared" si="28"/>
        <v>64.705627705627705</v>
      </c>
    </row>
    <row r="96" spans="1:25" x14ac:dyDescent="0.25">
      <c r="A96" s="34" t="s">
        <v>366</v>
      </c>
      <c r="B96" s="34" t="s">
        <v>367</v>
      </c>
      <c r="C96" s="34" t="s">
        <v>232</v>
      </c>
      <c r="D96" s="34">
        <v>3</v>
      </c>
      <c r="E96" s="34"/>
      <c r="F96" s="34">
        <v>1</v>
      </c>
      <c r="G96" s="34"/>
      <c r="H96" s="34">
        <v>8</v>
      </c>
      <c r="I96" s="34">
        <v>2</v>
      </c>
      <c r="J96" s="34"/>
      <c r="K96" s="34">
        <v>341</v>
      </c>
      <c r="L96" s="34"/>
      <c r="M96" s="34">
        <v>352</v>
      </c>
      <c r="N96" s="35">
        <v>52.852272727272727</v>
      </c>
      <c r="O96" s="34" t="s">
        <v>299</v>
      </c>
      <c r="P96" s="34">
        <f t="shared" si="19"/>
        <v>341</v>
      </c>
      <c r="Q96" s="34">
        <f t="shared" si="20"/>
        <v>8</v>
      </c>
      <c r="R96" s="34">
        <f t="shared" si="21"/>
        <v>2</v>
      </c>
      <c r="S96" s="34">
        <f t="shared" si="22"/>
        <v>1</v>
      </c>
      <c r="T96" s="34">
        <f t="shared" si="23"/>
        <v>352</v>
      </c>
      <c r="U96" s="37">
        <f t="shared" si="24"/>
        <v>0.96875</v>
      </c>
      <c r="V96" s="37">
        <f t="shared" si="25"/>
        <v>2.2727272727272728E-2</v>
      </c>
      <c r="W96" s="37">
        <f t="shared" si="26"/>
        <v>5.681818181818182E-3</v>
      </c>
      <c r="X96" s="37">
        <f t="shared" si="27"/>
        <v>2.840909090909091E-3</v>
      </c>
      <c r="Y96" s="35">
        <f t="shared" si="28"/>
        <v>52.852272727272727</v>
      </c>
    </row>
    <row r="97" spans="1:25" x14ac:dyDescent="0.25">
      <c r="A97" s="34" t="s">
        <v>366</v>
      </c>
      <c r="B97" s="34" t="s">
        <v>367</v>
      </c>
      <c r="C97" s="34" t="s">
        <v>232</v>
      </c>
      <c r="D97" s="34">
        <v>4</v>
      </c>
      <c r="E97" s="34"/>
      <c r="F97" s="34"/>
      <c r="G97" s="34"/>
      <c r="H97" s="34">
        <v>14</v>
      </c>
      <c r="I97" s="34">
        <v>2</v>
      </c>
      <c r="J97" s="34"/>
      <c r="K97" s="34">
        <v>336</v>
      </c>
      <c r="L97" s="34"/>
      <c r="M97" s="34">
        <v>352</v>
      </c>
      <c r="N97" s="35">
        <v>39.355113636363633</v>
      </c>
      <c r="O97" s="34" t="s">
        <v>299</v>
      </c>
      <c r="P97" s="34">
        <f t="shared" si="19"/>
        <v>336</v>
      </c>
      <c r="Q97" s="34">
        <f t="shared" si="20"/>
        <v>14</v>
      </c>
      <c r="R97" s="34">
        <f t="shared" si="21"/>
        <v>2</v>
      </c>
      <c r="S97" s="34">
        <f t="shared" si="22"/>
        <v>0</v>
      </c>
      <c r="T97" s="34">
        <f t="shared" si="23"/>
        <v>352</v>
      </c>
      <c r="U97" s="37">
        <f t="shared" si="24"/>
        <v>0.95454545454545459</v>
      </c>
      <c r="V97" s="37">
        <f t="shared" si="25"/>
        <v>3.9772727272727272E-2</v>
      </c>
      <c r="W97" s="37">
        <f t="shared" si="26"/>
        <v>5.681818181818182E-3</v>
      </c>
      <c r="X97" s="37">
        <f t="shared" si="27"/>
        <v>0</v>
      </c>
      <c r="Y97" s="35">
        <f t="shared" si="28"/>
        <v>39.355113636363633</v>
      </c>
    </row>
    <row r="98" spans="1:25" x14ac:dyDescent="0.25">
      <c r="A98" s="34" t="s">
        <v>366</v>
      </c>
      <c r="B98" s="34" t="s">
        <v>367</v>
      </c>
      <c r="C98" s="34" t="s">
        <v>232</v>
      </c>
      <c r="D98" s="34">
        <v>5</v>
      </c>
      <c r="E98" s="34">
        <v>1</v>
      </c>
      <c r="F98" s="34"/>
      <c r="G98" s="34"/>
      <c r="H98" s="34">
        <v>27</v>
      </c>
      <c r="I98" s="34">
        <v>4</v>
      </c>
      <c r="J98" s="34"/>
      <c r="K98" s="34">
        <v>320</v>
      </c>
      <c r="L98" s="34"/>
      <c r="M98" s="34">
        <v>352</v>
      </c>
      <c r="N98" s="35">
        <v>26.164772727272727</v>
      </c>
      <c r="O98" s="34" t="s">
        <v>299</v>
      </c>
      <c r="P98" s="34">
        <f t="shared" si="19"/>
        <v>320</v>
      </c>
      <c r="Q98" s="34">
        <f t="shared" si="20"/>
        <v>27</v>
      </c>
      <c r="R98" s="34">
        <f t="shared" si="21"/>
        <v>4</v>
      </c>
      <c r="S98" s="34">
        <f t="shared" si="22"/>
        <v>1</v>
      </c>
      <c r="T98" s="34">
        <f t="shared" si="23"/>
        <v>352</v>
      </c>
      <c r="U98" s="37">
        <f t="shared" si="24"/>
        <v>0.90909090909090906</v>
      </c>
      <c r="V98" s="37">
        <f t="shared" si="25"/>
        <v>7.6704545454545456E-2</v>
      </c>
      <c r="W98" s="37">
        <f t="shared" si="26"/>
        <v>1.1363636363636364E-2</v>
      </c>
      <c r="X98" s="37">
        <f t="shared" si="27"/>
        <v>2.840909090909091E-3</v>
      </c>
      <c r="Y98" s="35">
        <f t="shared" si="28"/>
        <v>26.164772727272727</v>
      </c>
    </row>
    <row r="99" spans="1:25" x14ac:dyDescent="0.25">
      <c r="A99" s="34" t="s">
        <v>368</v>
      </c>
      <c r="B99" s="34" t="s">
        <v>369</v>
      </c>
      <c r="C99" s="34" t="s">
        <v>234</v>
      </c>
      <c r="D99" s="34">
        <v>1</v>
      </c>
      <c r="E99" s="34"/>
      <c r="F99" s="34"/>
      <c r="G99" s="34"/>
      <c r="H99" s="34">
        <v>3</v>
      </c>
      <c r="I99" s="34">
        <v>2</v>
      </c>
      <c r="J99" s="34"/>
      <c r="K99" s="34">
        <v>195</v>
      </c>
      <c r="L99" s="34"/>
      <c r="M99" s="34">
        <v>200</v>
      </c>
      <c r="N99" s="35">
        <v>74.13</v>
      </c>
      <c r="O99" s="34" t="s">
        <v>299</v>
      </c>
      <c r="P99" s="34">
        <f t="shared" si="19"/>
        <v>195</v>
      </c>
      <c r="Q99" s="34">
        <f t="shared" si="20"/>
        <v>3</v>
      </c>
      <c r="R99" s="34">
        <f t="shared" si="21"/>
        <v>2</v>
      </c>
      <c r="S99" s="34">
        <f t="shared" si="22"/>
        <v>0</v>
      </c>
      <c r="T99" s="34">
        <f t="shared" si="23"/>
        <v>200</v>
      </c>
      <c r="U99" s="37">
        <f t="shared" si="24"/>
        <v>0.97499999999999998</v>
      </c>
      <c r="V99" s="37">
        <f t="shared" si="25"/>
        <v>1.4999999999999999E-2</v>
      </c>
      <c r="W99" s="37">
        <f t="shared" si="26"/>
        <v>0.01</v>
      </c>
      <c r="X99" s="37">
        <f t="shared" si="27"/>
        <v>0</v>
      </c>
      <c r="Y99" s="35">
        <f t="shared" si="28"/>
        <v>74.13</v>
      </c>
    </row>
    <row r="100" spans="1:25" x14ac:dyDescent="0.25">
      <c r="A100" s="34" t="s">
        <v>368</v>
      </c>
      <c r="B100" s="34" t="s">
        <v>369</v>
      </c>
      <c r="C100" s="34" t="s">
        <v>234</v>
      </c>
      <c r="D100" s="34">
        <v>2</v>
      </c>
      <c r="E100" s="34"/>
      <c r="F100" s="34"/>
      <c r="G100" s="34"/>
      <c r="H100" s="34">
        <v>3</v>
      </c>
      <c r="I100" s="34">
        <v>2</v>
      </c>
      <c r="J100" s="34"/>
      <c r="K100" s="34">
        <v>195</v>
      </c>
      <c r="L100" s="34"/>
      <c r="M100" s="34">
        <v>200</v>
      </c>
      <c r="N100" s="35">
        <v>62.215000000000003</v>
      </c>
      <c r="O100" s="34" t="s">
        <v>299</v>
      </c>
      <c r="P100" s="34">
        <f t="shared" si="19"/>
        <v>195</v>
      </c>
      <c r="Q100" s="34">
        <f t="shared" si="20"/>
        <v>3</v>
      </c>
      <c r="R100" s="34">
        <f t="shared" si="21"/>
        <v>2</v>
      </c>
      <c r="S100" s="34">
        <f t="shared" si="22"/>
        <v>0</v>
      </c>
      <c r="T100" s="34">
        <f t="shared" si="23"/>
        <v>200</v>
      </c>
      <c r="U100" s="37">
        <f t="shared" si="24"/>
        <v>0.97499999999999998</v>
      </c>
      <c r="V100" s="37">
        <f t="shared" si="25"/>
        <v>1.4999999999999999E-2</v>
      </c>
      <c r="W100" s="37">
        <f t="shared" si="26"/>
        <v>0.01</v>
      </c>
      <c r="X100" s="37">
        <f t="shared" si="27"/>
        <v>0</v>
      </c>
      <c r="Y100" s="35">
        <f t="shared" si="28"/>
        <v>62.215000000000003</v>
      </c>
    </row>
    <row r="101" spans="1:25" x14ac:dyDescent="0.25">
      <c r="A101" s="34" t="s">
        <v>368</v>
      </c>
      <c r="B101" s="34" t="s">
        <v>369</v>
      </c>
      <c r="C101" s="34" t="s">
        <v>234</v>
      </c>
      <c r="D101" s="34">
        <v>3</v>
      </c>
      <c r="E101" s="34"/>
      <c r="F101" s="34"/>
      <c r="G101" s="34"/>
      <c r="H101" s="34">
        <v>9</v>
      </c>
      <c r="I101" s="34">
        <v>5</v>
      </c>
      <c r="J101" s="34"/>
      <c r="K101" s="34">
        <v>364</v>
      </c>
      <c r="L101" s="34"/>
      <c r="M101" s="34">
        <v>378</v>
      </c>
      <c r="N101" s="35">
        <v>46.806878306878303</v>
      </c>
      <c r="O101" s="34" t="s">
        <v>299</v>
      </c>
      <c r="P101" s="34">
        <f t="shared" si="19"/>
        <v>364</v>
      </c>
      <c r="Q101" s="34">
        <f t="shared" si="20"/>
        <v>9</v>
      </c>
      <c r="R101" s="34">
        <f t="shared" si="21"/>
        <v>5</v>
      </c>
      <c r="S101" s="34">
        <f t="shared" si="22"/>
        <v>0</v>
      </c>
      <c r="T101" s="34">
        <f t="shared" si="23"/>
        <v>378</v>
      </c>
      <c r="U101" s="37">
        <f t="shared" si="24"/>
        <v>0.96296296296296291</v>
      </c>
      <c r="V101" s="37">
        <f t="shared" si="25"/>
        <v>2.3809523809523808E-2</v>
      </c>
      <c r="W101" s="37">
        <f t="shared" si="26"/>
        <v>1.3227513227513227E-2</v>
      </c>
      <c r="X101" s="37">
        <f t="shared" si="27"/>
        <v>0</v>
      </c>
      <c r="Y101" s="35">
        <f t="shared" si="28"/>
        <v>46.806878306878303</v>
      </c>
    </row>
    <row r="102" spans="1:25" x14ac:dyDescent="0.25">
      <c r="A102" s="34" t="s">
        <v>368</v>
      </c>
      <c r="B102" s="34" t="s">
        <v>369</v>
      </c>
      <c r="C102" s="34" t="s">
        <v>234</v>
      </c>
      <c r="D102" s="34">
        <v>4</v>
      </c>
      <c r="E102" s="34"/>
      <c r="F102" s="34"/>
      <c r="G102" s="34"/>
      <c r="H102" s="34">
        <v>4</v>
      </c>
      <c r="I102" s="34">
        <v>7</v>
      </c>
      <c r="J102" s="34"/>
      <c r="K102" s="34">
        <v>367</v>
      </c>
      <c r="L102" s="34"/>
      <c r="M102" s="34">
        <v>378</v>
      </c>
      <c r="N102" s="35">
        <v>28.134920634920636</v>
      </c>
      <c r="O102" s="34" t="s">
        <v>299</v>
      </c>
      <c r="P102" s="34">
        <f t="shared" si="19"/>
        <v>367</v>
      </c>
      <c r="Q102" s="34">
        <f t="shared" si="20"/>
        <v>4</v>
      </c>
      <c r="R102" s="34">
        <f t="shared" si="21"/>
        <v>7</v>
      </c>
      <c r="S102" s="34">
        <f t="shared" si="22"/>
        <v>0</v>
      </c>
      <c r="T102" s="34">
        <f t="shared" si="23"/>
        <v>378</v>
      </c>
      <c r="U102" s="37">
        <f t="shared" si="24"/>
        <v>0.97089947089947093</v>
      </c>
      <c r="V102" s="37">
        <f t="shared" si="25"/>
        <v>1.0582010582010581E-2</v>
      </c>
      <c r="W102" s="37">
        <f t="shared" si="26"/>
        <v>1.8518518518518517E-2</v>
      </c>
      <c r="X102" s="37">
        <f t="shared" si="27"/>
        <v>0</v>
      </c>
      <c r="Y102" s="35">
        <f t="shared" si="28"/>
        <v>28.134920634920636</v>
      </c>
    </row>
    <row r="103" spans="1:25" x14ac:dyDescent="0.25">
      <c r="A103" s="34" t="s">
        <v>370</v>
      </c>
      <c r="B103" s="34" t="s">
        <v>371</v>
      </c>
      <c r="C103" s="34" t="s">
        <v>236</v>
      </c>
      <c r="D103" s="34">
        <v>1</v>
      </c>
      <c r="E103" s="34"/>
      <c r="F103" s="34"/>
      <c r="G103" s="34"/>
      <c r="H103" s="34">
        <v>117</v>
      </c>
      <c r="I103" s="34">
        <v>10</v>
      </c>
      <c r="J103" s="34">
        <v>2</v>
      </c>
      <c r="K103" s="34">
        <v>121</v>
      </c>
      <c r="L103" s="34"/>
      <c r="M103" s="34">
        <v>250</v>
      </c>
      <c r="N103" s="35">
        <v>71.116</v>
      </c>
      <c r="O103" s="34" t="s">
        <v>299</v>
      </c>
      <c r="P103" s="34">
        <f t="shared" si="19"/>
        <v>121</v>
      </c>
      <c r="Q103" s="34">
        <f t="shared" si="20"/>
        <v>117</v>
      </c>
      <c r="R103" s="34">
        <f t="shared" si="21"/>
        <v>10</v>
      </c>
      <c r="S103" s="34">
        <f t="shared" si="22"/>
        <v>2</v>
      </c>
      <c r="T103" s="34">
        <f t="shared" si="23"/>
        <v>250</v>
      </c>
      <c r="U103" s="37">
        <f t="shared" si="24"/>
        <v>0.48399999999999999</v>
      </c>
      <c r="V103" s="37">
        <f t="shared" si="25"/>
        <v>0.46800000000000003</v>
      </c>
      <c r="W103" s="37">
        <f t="shared" si="26"/>
        <v>0.04</v>
      </c>
      <c r="X103" s="37">
        <f t="shared" si="27"/>
        <v>8.0000000000000002E-3</v>
      </c>
      <c r="Y103" s="35">
        <f t="shared" si="28"/>
        <v>71.116</v>
      </c>
    </row>
    <row r="104" spans="1:25" x14ac:dyDescent="0.25">
      <c r="A104" s="34" t="s">
        <v>370</v>
      </c>
      <c r="B104" s="34" t="s">
        <v>371</v>
      </c>
      <c r="C104" s="34" t="s">
        <v>236</v>
      </c>
      <c r="D104" s="34">
        <v>2</v>
      </c>
      <c r="E104" s="34"/>
      <c r="F104" s="34"/>
      <c r="G104" s="34">
        <v>1</v>
      </c>
      <c r="H104" s="34">
        <v>120</v>
      </c>
      <c r="I104" s="34">
        <v>8</v>
      </c>
      <c r="J104" s="34">
        <v>1</v>
      </c>
      <c r="K104" s="34">
        <v>120</v>
      </c>
      <c r="L104" s="34"/>
      <c r="M104" s="34">
        <v>250</v>
      </c>
      <c r="N104" s="35">
        <v>61.164000000000001</v>
      </c>
      <c r="O104" s="34" t="s">
        <v>299</v>
      </c>
      <c r="P104" s="34">
        <f t="shared" si="19"/>
        <v>120</v>
      </c>
      <c r="Q104" s="34">
        <f t="shared" si="20"/>
        <v>120</v>
      </c>
      <c r="R104" s="34">
        <f t="shared" si="21"/>
        <v>8</v>
      </c>
      <c r="S104" s="34">
        <f t="shared" si="22"/>
        <v>2</v>
      </c>
      <c r="T104" s="34">
        <f t="shared" si="23"/>
        <v>250</v>
      </c>
      <c r="U104" s="37">
        <f t="shared" si="24"/>
        <v>0.48</v>
      </c>
      <c r="V104" s="37">
        <f t="shared" si="25"/>
        <v>0.48</v>
      </c>
      <c r="W104" s="37">
        <f t="shared" si="26"/>
        <v>3.2000000000000001E-2</v>
      </c>
      <c r="X104" s="37">
        <f t="shared" si="27"/>
        <v>8.0000000000000002E-3</v>
      </c>
      <c r="Y104" s="35">
        <f t="shared" si="28"/>
        <v>61.164000000000001</v>
      </c>
    </row>
    <row r="105" spans="1:25" x14ac:dyDescent="0.25">
      <c r="A105" s="34" t="s">
        <v>370</v>
      </c>
      <c r="B105" s="34" t="s">
        <v>371</v>
      </c>
      <c r="C105" s="34" t="s">
        <v>236</v>
      </c>
      <c r="D105" s="34">
        <v>3</v>
      </c>
      <c r="E105" s="34"/>
      <c r="F105" s="34"/>
      <c r="G105" s="34"/>
      <c r="H105" s="34">
        <v>221</v>
      </c>
      <c r="I105" s="34">
        <v>21</v>
      </c>
      <c r="J105" s="34"/>
      <c r="K105" s="34">
        <v>182</v>
      </c>
      <c r="L105" s="34"/>
      <c r="M105" s="34">
        <v>424</v>
      </c>
      <c r="N105" s="35">
        <v>49.132075471698116</v>
      </c>
      <c r="O105" s="34" t="s">
        <v>299</v>
      </c>
      <c r="P105" s="34">
        <f t="shared" si="19"/>
        <v>182</v>
      </c>
      <c r="Q105" s="34">
        <f t="shared" si="20"/>
        <v>221</v>
      </c>
      <c r="R105" s="34">
        <f t="shared" si="21"/>
        <v>21</v>
      </c>
      <c r="S105" s="34">
        <f t="shared" si="22"/>
        <v>0</v>
      </c>
      <c r="T105" s="34">
        <f t="shared" si="23"/>
        <v>424</v>
      </c>
      <c r="U105" s="37">
        <f t="shared" si="24"/>
        <v>0.42924528301886794</v>
      </c>
      <c r="V105" s="37">
        <f t="shared" si="25"/>
        <v>0.52122641509433965</v>
      </c>
      <c r="W105" s="37">
        <f t="shared" si="26"/>
        <v>4.9528301886792456E-2</v>
      </c>
      <c r="X105" s="37">
        <f t="shared" si="27"/>
        <v>0</v>
      </c>
      <c r="Y105" s="35">
        <f t="shared" si="28"/>
        <v>49.132075471698116</v>
      </c>
    </row>
    <row r="106" spans="1:25" x14ac:dyDescent="0.25">
      <c r="A106" s="34" t="s">
        <v>370</v>
      </c>
      <c r="B106" s="34" t="s">
        <v>371</v>
      </c>
      <c r="C106" s="34" t="s">
        <v>236</v>
      </c>
      <c r="D106" s="34">
        <v>4</v>
      </c>
      <c r="E106" s="34"/>
      <c r="F106" s="34"/>
      <c r="G106" s="34"/>
      <c r="H106" s="34">
        <v>224</v>
      </c>
      <c r="I106" s="34">
        <v>22</v>
      </c>
      <c r="J106" s="34">
        <v>2</v>
      </c>
      <c r="K106" s="34">
        <v>177</v>
      </c>
      <c r="L106" s="34"/>
      <c r="M106" s="34">
        <v>425</v>
      </c>
      <c r="N106" s="35">
        <v>36.682352941176468</v>
      </c>
      <c r="O106" s="34" t="s">
        <v>299</v>
      </c>
      <c r="P106" s="34">
        <f t="shared" si="19"/>
        <v>177</v>
      </c>
      <c r="Q106" s="34">
        <f t="shared" si="20"/>
        <v>224</v>
      </c>
      <c r="R106" s="34">
        <f t="shared" si="21"/>
        <v>22</v>
      </c>
      <c r="S106" s="34">
        <f t="shared" si="22"/>
        <v>2</v>
      </c>
      <c r="T106" s="34">
        <f t="shared" si="23"/>
        <v>425</v>
      </c>
      <c r="U106" s="37">
        <f t="shared" si="24"/>
        <v>0.41647058823529409</v>
      </c>
      <c r="V106" s="37">
        <f t="shared" si="25"/>
        <v>0.5270588235294118</v>
      </c>
      <c r="W106" s="37">
        <f t="shared" si="26"/>
        <v>5.1764705882352942E-2</v>
      </c>
      <c r="X106" s="37">
        <f t="shared" si="27"/>
        <v>4.7058823529411761E-3</v>
      </c>
      <c r="Y106" s="35">
        <f t="shared" si="28"/>
        <v>36.682352941176468</v>
      </c>
    </row>
    <row r="107" spans="1:25" x14ac:dyDescent="0.25">
      <c r="A107" s="34" t="s">
        <v>370</v>
      </c>
      <c r="B107" s="34" t="s">
        <v>371</v>
      </c>
      <c r="C107" s="34" t="s">
        <v>236</v>
      </c>
      <c r="D107" s="34">
        <v>5</v>
      </c>
      <c r="E107" s="34"/>
      <c r="F107" s="34"/>
      <c r="G107" s="34"/>
      <c r="H107" s="34">
        <v>191</v>
      </c>
      <c r="I107" s="34">
        <v>20</v>
      </c>
      <c r="J107" s="34">
        <v>2</v>
      </c>
      <c r="K107" s="34">
        <v>212</v>
      </c>
      <c r="L107" s="34"/>
      <c r="M107" s="34">
        <v>425</v>
      </c>
      <c r="N107" s="35">
        <v>25.131764705882354</v>
      </c>
      <c r="O107" s="34" t="s">
        <v>299</v>
      </c>
      <c r="P107" s="34">
        <f t="shared" si="19"/>
        <v>212</v>
      </c>
      <c r="Q107" s="34">
        <f t="shared" si="20"/>
        <v>191</v>
      </c>
      <c r="R107" s="34">
        <f t="shared" si="21"/>
        <v>20</v>
      </c>
      <c r="S107" s="34">
        <f t="shared" si="22"/>
        <v>2</v>
      </c>
      <c r="T107" s="34">
        <f t="shared" si="23"/>
        <v>425</v>
      </c>
      <c r="U107" s="37">
        <f t="shared" si="24"/>
        <v>0.49882352941176472</v>
      </c>
      <c r="V107" s="37">
        <f t="shared" si="25"/>
        <v>0.44941176470588234</v>
      </c>
      <c r="W107" s="37">
        <f t="shared" si="26"/>
        <v>4.7058823529411764E-2</v>
      </c>
      <c r="X107" s="37">
        <f t="shared" si="27"/>
        <v>4.7058823529411761E-3</v>
      </c>
      <c r="Y107" s="35">
        <f t="shared" si="28"/>
        <v>25.131764705882354</v>
      </c>
    </row>
    <row r="108" spans="1:25" x14ac:dyDescent="0.25">
      <c r="A108" s="34" t="s">
        <v>372</v>
      </c>
      <c r="B108" s="34" t="s">
        <v>373</v>
      </c>
      <c r="C108" s="34" t="s">
        <v>238</v>
      </c>
      <c r="D108" s="34">
        <v>1</v>
      </c>
      <c r="E108" s="34"/>
      <c r="F108" s="34"/>
      <c r="G108" s="34"/>
      <c r="H108" s="34">
        <v>195</v>
      </c>
      <c r="I108" s="34">
        <v>19</v>
      </c>
      <c r="J108" s="34"/>
      <c r="K108" s="34">
        <v>36</v>
      </c>
      <c r="L108" s="34"/>
      <c r="M108" s="34">
        <v>250</v>
      </c>
      <c r="N108" s="35">
        <v>73.563999999999993</v>
      </c>
      <c r="O108" s="34" t="s">
        <v>299</v>
      </c>
      <c r="P108" s="34">
        <f t="shared" si="19"/>
        <v>36</v>
      </c>
      <c r="Q108" s="34">
        <f t="shared" si="20"/>
        <v>195</v>
      </c>
      <c r="R108" s="34">
        <f t="shared" si="21"/>
        <v>19</v>
      </c>
      <c r="S108" s="34">
        <f t="shared" si="22"/>
        <v>0</v>
      </c>
      <c r="T108" s="34">
        <f t="shared" si="23"/>
        <v>250</v>
      </c>
      <c r="U108" s="37">
        <f t="shared" si="24"/>
        <v>0.14399999999999999</v>
      </c>
      <c r="V108" s="37">
        <f t="shared" si="25"/>
        <v>0.78</v>
      </c>
      <c r="W108" s="37">
        <f t="shared" si="26"/>
        <v>7.5999999999999998E-2</v>
      </c>
      <c r="X108" s="37">
        <f t="shared" si="27"/>
        <v>0</v>
      </c>
      <c r="Y108" s="35">
        <f t="shared" si="28"/>
        <v>73.563999999999993</v>
      </c>
    </row>
    <row r="109" spans="1:25" x14ac:dyDescent="0.25">
      <c r="A109" s="34" t="s">
        <v>372</v>
      </c>
      <c r="B109" s="34" t="s">
        <v>373</v>
      </c>
      <c r="C109" s="34" t="s">
        <v>238</v>
      </c>
      <c r="D109" s="34">
        <v>2</v>
      </c>
      <c r="E109" s="34"/>
      <c r="F109" s="34">
        <v>1</v>
      </c>
      <c r="G109" s="34"/>
      <c r="H109" s="34">
        <v>159</v>
      </c>
      <c r="I109" s="34">
        <v>4</v>
      </c>
      <c r="J109" s="34"/>
      <c r="K109" s="34">
        <v>86</v>
      </c>
      <c r="L109" s="34"/>
      <c r="M109" s="34">
        <v>250</v>
      </c>
      <c r="N109" s="35">
        <v>51.844000000000001</v>
      </c>
      <c r="O109" s="34" t="s">
        <v>299</v>
      </c>
      <c r="P109" s="34">
        <f t="shared" si="19"/>
        <v>86</v>
      </c>
      <c r="Q109" s="34">
        <f t="shared" si="20"/>
        <v>159</v>
      </c>
      <c r="R109" s="34">
        <f t="shared" si="21"/>
        <v>4</v>
      </c>
      <c r="S109" s="34">
        <f t="shared" si="22"/>
        <v>1</v>
      </c>
      <c r="T109" s="34">
        <f t="shared" si="23"/>
        <v>250</v>
      </c>
      <c r="U109" s="37">
        <f t="shared" si="24"/>
        <v>0.34399999999999997</v>
      </c>
      <c r="V109" s="37">
        <f t="shared" si="25"/>
        <v>0.63600000000000001</v>
      </c>
      <c r="W109" s="37">
        <f t="shared" si="26"/>
        <v>1.6E-2</v>
      </c>
      <c r="X109" s="37">
        <f t="shared" si="27"/>
        <v>4.0000000000000001E-3</v>
      </c>
      <c r="Y109" s="35">
        <f t="shared" si="28"/>
        <v>51.844000000000001</v>
      </c>
    </row>
    <row r="110" spans="1:25" x14ac:dyDescent="0.25">
      <c r="A110" s="34" t="s">
        <v>372</v>
      </c>
      <c r="B110" s="34" t="s">
        <v>373</v>
      </c>
      <c r="C110" s="34" t="s">
        <v>238</v>
      </c>
      <c r="D110" s="34">
        <v>3</v>
      </c>
      <c r="E110" s="34"/>
      <c r="F110" s="34"/>
      <c r="G110" s="34"/>
      <c r="H110" s="34">
        <v>196</v>
      </c>
      <c r="I110" s="34">
        <v>7</v>
      </c>
      <c r="J110" s="34"/>
      <c r="K110" s="34">
        <v>141</v>
      </c>
      <c r="L110" s="34"/>
      <c r="M110" s="34">
        <v>344</v>
      </c>
      <c r="N110" s="35">
        <v>30.593023255813954</v>
      </c>
      <c r="O110" s="34" t="s">
        <v>299</v>
      </c>
      <c r="P110" s="34">
        <f t="shared" si="19"/>
        <v>141</v>
      </c>
      <c r="Q110" s="34">
        <f t="shared" si="20"/>
        <v>196</v>
      </c>
      <c r="R110" s="34">
        <f t="shared" si="21"/>
        <v>7</v>
      </c>
      <c r="S110" s="34">
        <f t="shared" si="22"/>
        <v>0</v>
      </c>
      <c r="T110" s="34">
        <f t="shared" si="23"/>
        <v>344</v>
      </c>
      <c r="U110" s="37">
        <f t="shared" si="24"/>
        <v>0.40988372093023256</v>
      </c>
      <c r="V110" s="37">
        <f t="shared" si="25"/>
        <v>0.56976744186046513</v>
      </c>
      <c r="W110" s="37">
        <f t="shared" si="26"/>
        <v>2.0348837209302327E-2</v>
      </c>
      <c r="X110" s="37">
        <f t="shared" si="27"/>
        <v>0</v>
      </c>
      <c r="Y110" s="35">
        <f t="shared" si="28"/>
        <v>30.593023255813954</v>
      </c>
    </row>
    <row r="111" spans="1:25" x14ac:dyDescent="0.25">
      <c r="A111" s="34" t="s">
        <v>374</v>
      </c>
      <c r="B111" s="34" t="s">
        <v>375</v>
      </c>
      <c r="C111" s="34" t="s">
        <v>240</v>
      </c>
      <c r="D111" s="34">
        <v>1</v>
      </c>
      <c r="E111" s="34"/>
      <c r="F111" s="34"/>
      <c r="G111" s="34"/>
      <c r="H111" s="34">
        <v>26</v>
      </c>
      <c r="I111" s="34">
        <v>3</v>
      </c>
      <c r="J111" s="34"/>
      <c r="K111" s="34">
        <v>160</v>
      </c>
      <c r="L111" s="34"/>
      <c r="M111" s="34">
        <v>189</v>
      </c>
      <c r="N111" s="35">
        <v>49.111111111111114</v>
      </c>
      <c r="O111" s="34" t="s">
        <v>299</v>
      </c>
      <c r="P111" s="34">
        <f t="shared" si="19"/>
        <v>160</v>
      </c>
      <c r="Q111" s="34">
        <f t="shared" si="20"/>
        <v>26</v>
      </c>
      <c r="R111" s="34">
        <f t="shared" si="21"/>
        <v>3</v>
      </c>
      <c r="S111" s="34">
        <f t="shared" si="22"/>
        <v>0</v>
      </c>
      <c r="T111" s="34">
        <f t="shared" si="23"/>
        <v>189</v>
      </c>
      <c r="U111" s="37">
        <f t="shared" si="24"/>
        <v>0.84656084656084651</v>
      </c>
      <c r="V111" s="37">
        <f t="shared" si="25"/>
        <v>0.13756613756613756</v>
      </c>
      <c r="W111" s="37">
        <f t="shared" si="26"/>
        <v>1.5873015873015872E-2</v>
      </c>
      <c r="X111" s="37">
        <f t="shared" si="27"/>
        <v>0</v>
      </c>
      <c r="Y111" s="35">
        <f t="shared" si="28"/>
        <v>49.111111111111114</v>
      </c>
    </row>
    <row r="112" spans="1:25" x14ac:dyDescent="0.25">
      <c r="A112" s="34" t="s">
        <v>376</v>
      </c>
      <c r="B112" s="34" t="s">
        <v>377</v>
      </c>
      <c r="C112" s="34" t="s">
        <v>242</v>
      </c>
      <c r="D112" s="34">
        <v>1</v>
      </c>
      <c r="E112" s="34"/>
      <c r="F112" s="34"/>
      <c r="G112" s="34"/>
      <c r="H112" s="34">
        <v>161</v>
      </c>
      <c r="I112" s="34">
        <v>108</v>
      </c>
      <c r="J112" s="34"/>
      <c r="K112" s="34">
        <v>181</v>
      </c>
      <c r="L112" s="34"/>
      <c r="M112" s="34">
        <v>450</v>
      </c>
      <c r="N112" s="35">
        <v>67.942222222222227</v>
      </c>
      <c r="O112" s="34" t="s">
        <v>299</v>
      </c>
      <c r="P112" s="34">
        <f t="shared" si="19"/>
        <v>181</v>
      </c>
      <c r="Q112" s="34">
        <f t="shared" si="20"/>
        <v>161</v>
      </c>
      <c r="R112" s="34">
        <f t="shared" si="21"/>
        <v>108</v>
      </c>
      <c r="S112" s="34">
        <f t="shared" si="22"/>
        <v>0</v>
      </c>
      <c r="T112" s="34">
        <f t="shared" si="23"/>
        <v>450</v>
      </c>
      <c r="U112" s="37">
        <f t="shared" si="24"/>
        <v>0.4022222222222222</v>
      </c>
      <c r="V112" s="37">
        <f t="shared" si="25"/>
        <v>0.35777777777777775</v>
      </c>
      <c r="W112" s="37">
        <f t="shared" si="26"/>
        <v>0.24</v>
      </c>
      <c r="X112" s="37">
        <f t="shared" si="27"/>
        <v>0</v>
      </c>
      <c r="Y112" s="35">
        <f t="shared" si="28"/>
        <v>67.942222222222227</v>
      </c>
    </row>
    <row r="113" spans="1:25" x14ac:dyDescent="0.25">
      <c r="A113" s="34" t="s">
        <v>376</v>
      </c>
      <c r="B113" s="34" t="s">
        <v>377</v>
      </c>
      <c r="C113" s="34" t="s">
        <v>242</v>
      </c>
      <c r="D113" s="34">
        <v>2</v>
      </c>
      <c r="E113" s="34"/>
      <c r="F113" s="34"/>
      <c r="G113" s="34"/>
      <c r="H113" s="34">
        <v>139</v>
      </c>
      <c r="I113" s="34">
        <v>102</v>
      </c>
      <c r="J113" s="34"/>
      <c r="K113" s="34">
        <v>209</v>
      </c>
      <c r="L113" s="34"/>
      <c r="M113" s="34">
        <v>450</v>
      </c>
      <c r="N113" s="35">
        <v>64.873333333333335</v>
      </c>
      <c r="O113" s="34" t="s">
        <v>299</v>
      </c>
      <c r="P113" s="34">
        <f t="shared" si="19"/>
        <v>209</v>
      </c>
      <c r="Q113" s="34">
        <f t="shared" si="20"/>
        <v>139</v>
      </c>
      <c r="R113" s="34">
        <f t="shared" si="21"/>
        <v>102</v>
      </c>
      <c r="S113" s="34">
        <f t="shared" si="22"/>
        <v>0</v>
      </c>
      <c r="T113" s="34">
        <f t="shared" si="23"/>
        <v>450</v>
      </c>
      <c r="U113" s="37">
        <f t="shared" si="24"/>
        <v>0.46444444444444444</v>
      </c>
      <c r="V113" s="37">
        <f t="shared" si="25"/>
        <v>0.30888888888888888</v>
      </c>
      <c r="W113" s="37">
        <f t="shared" si="26"/>
        <v>0.22666666666666666</v>
      </c>
      <c r="X113" s="37">
        <f t="shared" si="27"/>
        <v>0</v>
      </c>
      <c r="Y113" s="35">
        <f t="shared" si="28"/>
        <v>64.873333333333335</v>
      </c>
    </row>
    <row r="114" spans="1:25" x14ac:dyDescent="0.25">
      <c r="A114" s="34" t="s">
        <v>376</v>
      </c>
      <c r="B114" s="34" t="s">
        <v>377</v>
      </c>
      <c r="C114" s="34" t="s">
        <v>242</v>
      </c>
      <c r="D114" s="34">
        <v>3</v>
      </c>
      <c r="E114" s="34"/>
      <c r="F114" s="34"/>
      <c r="G114" s="34">
        <v>2</v>
      </c>
      <c r="H114" s="34">
        <v>135</v>
      </c>
      <c r="I114" s="34">
        <v>100</v>
      </c>
      <c r="J114" s="34">
        <v>1</v>
      </c>
      <c r="K114" s="34">
        <v>212</v>
      </c>
      <c r="L114" s="34"/>
      <c r="M114" s="34">
        <v>450</v>
      </c>
      <c r="N114" s="35">
        <v>58.306666666666665</v>
      </c>
      <c r="O114" s="34" t="s">
        <v>299</v>
      </c>
      <c r="P114" s="34">
        <f t="shared" si="19"/>
        <v>212</v>
      </c>
      <c r="Q114" s="34">
        <f t="shared" si="20"/>
        <v>135</v>
      </c>
      <c r="R114" s="34">
        <f t="shared" si="21"/>
        <v>100</v>
      </c>
      <c r="S114" s="34">
        <f t="shared" si="22"/>
        <v>3</v>
      </c>
      <c r="T114" s="34">
        <f t="shared" si="23"/>
        <v>450</v>
      </c>
      <c r="U114" s="37">
        <f t="shared" si="24"/>
        <v>0.47111111111111109</v>
      </c>
      <c r="V114" s="37">
        <f t="shared" si="25"/>
        <v>0.3</v>
      </c>
      <c r="W114" s="37">
        <f t="shared" si="26"/>
        <v>0.22222222222222221</v>
      </c>
      <c r="X114" s="37">
        <f t="shared" si="27"/>
        <v>6.6666666666666671E-3</v>
      </c>
      <c r="Y114" s="35">
        <f t="shared" si="28"/>
        <v>58.306666666666665</v>
      </c>
    </row>
    <row r="115" spans="1:25" x14ac:dyDescent="0.25">
      <c r="A115" s="34" t="s">
        <v>376</v>
      </c>
      <c r="B115" s="34" t="s">
        <v>377</v>
      </c>
      <c r="C115" s="34" t="s">
        <v>242</v>
      </c>
      <c r="D115" s="34">
        <v>4</v>
      </c>
      <c r="E115" s="34"/>
      <c r="F115" s="34">
        <v>1</v>
      </c>
      <c r="G115" s="34">
        <v>1</v>
      </c>
      <c r="H115" s="34">
        <v>231</v>
      </c>
      <c r="I115" s="34">
        <v>117</v>
      </c>
      <c r="J115" s="34">
        <v>1</v>
      </c>
      <c r="K115" s="34">
        <v>345</v>
      </c>
      <c r="L115" s="34"/>
      <c r="M115" s="34">
        <v>696</v>
      </c>
      <c r="N115" s="35">
        <v>50.418103448275865</v>
      </c>
      <c r="O115" s="34" t="s">
        <v>299</v>
      </c>
      <c r="P115" s="34">
        <f t="shared" si="19"/>
        <v>345</v>
      </c>
      <c r="Q115" s="34">
        <f t="shared" si="20"/>
        <v>231</v>
      </c>
      <c r="R115" s="34">
        <f t="shared" si="21"/>
        <v>117</v>
      </c>
      <c r="S115" s="34">
        <f t="shared" si="22"/>
        <v>3</v>
      </c>
      <c r="T115" s="34">
        <f t="shared" si="23"/>
        <v>696</v>
      </c>
      <c r="U115" s="37">
        <f t="shared" si="24"/>
        <v>0.49568965517241381</v>
      </c>
      <c r="V115" s="37">
        <f t="shared" si="25"/>
        <v>0.33189655172413796</v>
      </c>
      <c r="W115" s="37">
        <f t="shared" si="26"/>
        <v>0.16810344827586207</v>
      </c>
      <c r="X115" s="37">
        <f t="shared" si="27"/>
        <v>4.3103448275862068E-3</v>
      </c>
      <c r="Y115" s="35">
        <f t="shared" si="28"/>
        <v>50.418103448275865</v>
      </c>
    </row>
    <row r="116" spans="1:25" x14ac:dyDescent="0.25">
      <c r="A116" s="34" t="s">
        <v>376</v>
      </c>
      <c r="B116" s="34" t="s">
        <v>377</v>
      </c>
      <c r="C116" s="34" t="s">
        <v>242</v>
      </c>
      <c r="D116" s="34">
        <v>5</v>
      </c>
      <c r="E116" s="34"/>
      <c r="F116" s="34"/>
      <c r="G116" s="34"/>
      <c r="H116" s="34">
        <v>273</v>
      </c>
      <c r="I116" s="34">
        <v>104</v>
      </c>
      <c r="J116" s="34">
        <v>1</v>
      </c>
      <c r="K116" s="34">
        <v>319</v>
      </c>
      <c r="L116" s="34"/>
      <c r="M116" s="34">
        <v>697</v>
      </c>
      <c r="N116" s="35">
        <v>41.278335724533719</v>
      </c>
      <c r="O116" s="34" t="s">
        <v>299</v>
      </c>
      <c r="P116" s="34">
        <f t="shared" si="19"/>
        <v>319</v>
      </c>
      <c r="Q116" s="34">
        <f t="shared" si="20"/>
        <v>273</v>
      </c>
      <c r="R116" s="34">
        <f t="shared" si="21"/>
        <v>104</v>
      </c>
      <c r="S116" s="34">
        <f t="shared" si="22"/>
        <v>1</v>
      </c>
      <c r="T116" s="34">
        <f t="shared" si="23"/>
        <v>697</v>
      </c>
      <c r="U116" s="37">
        <f t="shared" si="24"/>
        <v>0.45767575322812054</v>
      </c>
      <c r="V116" s="37">
        <f t="shared" si="25"/>
        <v>0.39167862266857961</v>
      </c>
      <c r="W116" s="37">
        <f t="shared" si="26"/>
        <v>0.14921090387374461</v>
      </c>
      <c r="X116" s="37">
        <f t="shared" si="27"/>
        <v>1.4347202295552368E-3</v>
      </c>
      <c r="Y116" s="35">
        <f t="shared" si="28"/>
        <v>41.278335724533719</v>
      </c>
    </row>
    <row r="117" spans="1:25" x14ac:dyDescent="0.25">
      <c r="A117" s="34" t="s">
        <v>376</v>
      </c>
      <c r="B117" s="34" t="s">
        <v>377</v>
      </c>
      <c r="C117" s="34" t="s">
        <v>242</v>
      </c>
      <c r="D117" s="34">
        <v>6</v>
      </c>
      <c r="E117" s="34"/>
      <c r="F117" s="34"/>
      <c r="G117" s="34"/>
      <c r="H117" s="34">
        <v>218</v>
      </c>
      <c r="I117" s="34">
        <v>94</v>
      </c>
      <c r="J117" s="34">
        <v>2</v>
      </c>
      <c r="K117" s="34">
        <v>383</v>
      </c>
      <c r="L117" s="34"/>
      <c r="M117" s="34">
        <v>697</v>
      </c>
      <c r="N117" s="35">
        <v>34.836441893830703</v>
      </c>
      <c r="O117" s="34" t="s">
        <v>299</v>
      </c>
      <c r="P117" s="34">
        <f t="shared" si="19"/>
        <v>383</v>
      </c>
      <c r="Q117" s="34">
        <f t="shared" si="20"/>
        <v>218</v>
      </c>
      <c r="R117" s="34">
        <f t="shared" si="21"/>
        <v>94</v>
      </c>
      <c r="S117" s="34">
        <f t="shared" si="22"/>
        <v>2</v>
      </c>
      <c r="T117" s="34">
        <f t="shared" si="23"/>
        <v>697</v>
      </c>
      <c r="U117" s="37">
        <f t="shared" si="24"/>
        <v>0.54949784791965561</v>
      </c>
      <c r="V117" s="37">
        <f t="shared" si="25"/>
        <v>0.31276901004304158</v>
      </c>
      <c r="W117" s="37">
        <f t="shared" si="26"/>
        <v>0.13486370157819225</v>
      </c>
      <c r="X117" s="37">
        <f t="shared" si="27"/>
        <v>2.8694404591104736E-3</v>
      </c>
      <c r="Y117" s="35">
        <f t="shared" si="28"/>
        <v>34.836441893830703</v>
      </c>
    </row>
    <row r="118" spans="1:25" x14ac:dyDescent="0.25">
      <c r="A118" s="34" t="s">
        <v>376</v>
      </c>
      <c r="B118" s="34" t="s">
        <v>377</v>
      </c>
      <c r="C118" s="34" t="s">
        <v>242</v>
      </c>
      <c r="D118" s="34">
        <v>7</v>
      </c>
      <c r="E118" s="34"/>
      <c r="F118" s="34">
        <v>1</v>
      </c>
      <c r="G118" s="34"/>
      <c r="H118" s="34">
        <v>194</v>
      </c>
      <c r="I118" s="34">
        <v>106</v>
      </c>
      <c r="J118" s="34">
        <v>1</v>
      </c>
      <c r="K118" s="34">
        <v>395</v>
      </c>
      <c r="L118" s="34"/>
      <c r="M118" s="34">
        <v>697</v>
      </c>
      <c r="N118" s="35">
        <v>29.91535150645624</v>
      </c>
      <c r="O118" s="34" t="s">
        <v>299</v>
      </c>
      <c r="P118" s="34">
        <f t="shared" si="19"/>
        <v>395</v>
      </c>
      <c r="Q118" s="34">
        <f t="shared" si="20"/>
        <v>194</v>
      </c>
      <c r="R118" s="34">
        <f t="shared" si="21"/>
        <v>106</v>
      </c>
      <c r="S118" s="34">
        <f t="shared" si="22"/>
        <v>2</v>
      </c>
      <c r="T118" s="34">
        <f t="shared" si="23"/>
        <v>697</v>
      </c>
      <c r="U118" s="37">
        <f t="shared" si="24"/>
        <v>0.56671449067431856</v>
      </c>
      <c r="V118" s="37">
        <f t="shared" si="25"/>
        <v>0.27833572453371591</v>
      </c>
      <c r="W118" s="37">
        <f t="shared" si="26"/>
        <v>0.15208034433285508</v>
      </c>
      <c r="X118" s="37">
        <f t="shared" si="27"/>
        <v>2.8694404591104736E-3</v>
      </c>
      <c r="Y118" s="35">
        <f t="shared" si="28"/>
        <v>29.91535150645624</v>
      </c>
    </row>
    <row r="119" spans="1:25" x14ac:dyDescent="0.25">
      <c r="A119" s="34" t="s">
        <v>376</v>
      </c>
      <c r="B119" s="34" t="s">
        <v>377</v>
      </c>
      <c r="C119" s="34" t="s">
        <v>242</v>
      </c>
      <c r="D119" s="34">
        <v>8</v>
      </c>
      <c r="E119" s="34"/>
      <c r="F119" s="34"/>
      <c r="G119" s="34"/>
      <c r="H119" s="34">
        <v>157</v>
      </c>
      <c r="I119" s="34">
        <v>86</v>
      </c>
      <c r="J119" s="34">
        <v>1</v>
      </c>
      <c r="K119" s="34">
        <v>453</v>
      </c>
      <c r="L119" s="34"/>
      <c r="M119" s="34">
        <v>697</v>
      </c>
      <c r="N119" s="35">
        <v>25.493543758967</v>
      </c>
      <c r="O119" s="34" t="s">
        <v>299</v>
      </c>
      <c r="P119" s="34">
        <f t="shared" si="19"/>
        <v>453</v>
      </c>
      <c r="Q119" s="34">
        <f t="shared" si="20"/>
        <v>157</v>
      </c>
      <c r="R119" s="34">
        <f t="shared" si="21"/>
        <v>86</v>
      </c>
      <c r="S119" s="34">
        <f t="shared" si="22"/>
        <v>1</v>
      </c>
      <c r="T119" s="34">
        <f t="shared" si="23"/>
        <v>697</v>
      </c>
      <c r="U119" s="37">
        <f t="shared" si="24"/>
        <v>0.64992826398852221</v>
      </c>
      <c r="V119" s="37">
        <f t="shared" si="25"/>
        <v>0.22525107604017217</v>
      </c>
      <c r="W119" s="37">
        <f t="shared" si="26"/>
        <v>0.12338593974175036</v>
      </c>
      <c r="X119" s="37">
        <f t="shared" si="27"/>
        <v>1.4347202295552368E-3</v>
      </c>
      <c r="Y119" s="35">
        <f t="shared" si="28"/>
        <v>25.493543758967</v>
      </c>
    </row>
    <row r="120" spans="1:25" x14ac:dyDescent="0.25">
      <c r="A120" s="34" t="s">
        <v>376</v>
      </c>
      <c r="B120" s="34" t="s">
        <v>377</v>
      </c>
      <c r="C120" s="34" t="s">
        <v>242</v>
      </c>
      <c r="D120" s="34">
        <v>9</v>
      </c>
      <c r="E120" s="34"/>
      <c r="F120" s="34"/>
      <c r="G120" s="34"/>
      <c r="H120" s="34">
        <v>137</v>
      </c>
      <c r="I120" s="34">
        <v>66</v>
      </c>
      <c r="J120" s="34"/>
      <c r="K120" s="34">
        <v>494</v>
      </c>
      <c r="L120" s="34"/>
      <c r="M120" s="34">
        <v>697</v>
      </c>
      <c r="N120" s="35">
        <v>20.638450502152079</v>
      </c>
      <c r="O120" s="34" t="s">
        <v>299</v>
      </c>
      <c r="P120" s="34">
        <f t="shared" si="19"/>
        <v>494</v>
      </c>
      <c r="Q120" s="34">
        <f t="shared" si="20"/>
        <v>137</v>
      </c>
      <c r="R120" s="34">
        <f t="shared" si="21"/>
        <v>66</v>
      </c>
      <c r="S120" s="34">
        <f t="shared" si="22"/>
        <v>0</v>
      </c>
      <c r="T120" s="34">
        <f t="shared" si="23"/>
        <v>697</v>
      </c>
      <c r="U120" s="37">
        <f t="shared" si="24"/>
        <v>0.70875179340028693</v>
      </c>
      <c r="V120" s="37">
        <f t="shared" si="25"/>
        <v>0.19655667144906744</v>
      </c>
      <c r="W120" s="37">
        <f t="shared" si="26"/>
        <v>9.4691535150645628E-2</v>
      </c>
      <c r="X120" s="37">
        <f t="shared" si="27"/>
        <v>0</v>
      </c>
      <c r="Y120" s="35">
        <f t="shared" si="28"/>
        <v>20.638450502152079</v>
      </c>
    </row>
    <row r="121" spans="1:25" x14ac:dyDescent="0.25">
      <c r="A121" s="34" t="s">
        <v>378</v>
      </c>
      <c r="B121" s="34" t="s">
        <v>379</v>
      </c>
      <c r="C121" s="34" t="s">
        <v>244</v>
      </c>
      <c r="D121" s="34">
        <v>1</v>
      </c>
      <c r="E121" s="34"/>
      <c r="F121" s="34"/>
      <c r="G121" s="34"/>
      <c r="H121" s="34">
        <v>187</v>
      </c>
      <c r="I121" s="34">
        <v>10</v>
      </c>
      <c r="J121" s="34">
        <v>2</v>
      </c>
      <c r="K121" s="34">
        <v>1</v>
      </c>
      <c r="L121" s="34"/>
      <c r="M121" s="34">
        <v>200</v>
      </c>
      <c r="N121" s="35">
        <v>74.534999999999997</v>
      </c>
      <c r="O121" s="34" t="s">
        <v>299</v>
      </c>
      <c r="P121" s="34">
        <f t="shared" si="19"/>
        <v>1</v>
      </c>
      <c r="Q121" s="34">
        <f t="shared" si="20"/>
        <v>187</v>
      </c>
      <c r="R121" s="34">
        <f t="shared" si="21"/>
        <v>10</v>
      </c>
      <c r="S121" s="34">
        <f t="shared" si="22"/>
        <v>2</v>
      </c>
      <c r="T121" s="34">
        <f t="shared" si="23"/>
        <v>200</v>
      </c>
      <c r="U121" s="37">
        <f t="shared" si="24"/>
        <v>5.0000000000000001E-3</v>
      </c>
      <c r="V121" s="37">
        <f t="shared" si="25"/>
        <v>0.93500000000000005</v>
      </c>
      <c r="W121" s="37">
        <f t="shared" si="26"/>
        <v>0.05</v>
      </c>
      <c r="X121" s="37">
        <f t="shared" si="27"/>
        <v>0.01</v>
      </c>
      <c r="Y121" s="35">
        <f t="shared" si="28"/>
        <v>74.534999999999997</v>
      </c>
    </row>
    <row r="122" spans="1:25" x14ac:dyDescent="0.25">
      <c r="A122" s="34" t="s">
        <v>378</v>
      </c>
      <c r="B122" s="34" t="s">
        <v>379</v>
      </c>
      <c r="C122" s="34" t="s">
        <v>244</v>
      </c>
      <c r="D122" s="34">
        <v>2</v>
      </c>
      <c r="E122" s="34"/>
      <c r="F122" s="34"/>
      <c r="G122" s="34">
        <v>1</v>
      </c>
      <c r="H122" s="34">
        <v>217</v>
      </c>
      <c r="I122" s="34">
        <v>6</v>
      </c>
      <c r="J122" s="34"/>
      <c r="K122" s="34">
        <v>2</v>
      </c>
      <c r="L122" s="34"/>
      <c r="M122" s="34">
        <v>226</v>
      </c>
      <c r="N122" s="35">
        <v>48.084070796460175</v>
      </c>
      <c r="O122" s="34" t="s">
        <v>299</v>
      </c>
      <c r="P122" s="34">
        <f t="shared" ref="P122:P169" si="29">K122</f>
        <v>2</v>
      </c>
      <c r="Q122" s="34">
        <f t="shared" ref="Q122:Q169" si="30">H122</f>
        <v>217</v>
      </c>
      <c r="R122" s="34">
        <f t="shared" ref="R122:R169" si="31">I122</f>
        <v>6</v>
      </c>
      <c r="S122" s="34">
        <f t="shared" ref="S122:S169" si="32">M122-SUM(P122:R122)</f>
        <v>1</v>
      </c>
      <c r="T122" s="34">
        <f t="shared" ref="T122:T169" si="33">SUM(P122:S122)</f>
        <v>226</v>
      </c>
      <c r="U122" s="37">
        <f t="shared" ref="U122:U169" si="34">P122/M122</f>
        <v>8.8495575221238937E-3</v>
      </c>
      <c r="V122" s="37">
        <f t="shared" ref="V122:V169" si="35">Q122/M122</f>
        <v>0.96017699115044253</v>
      </c>
      <c r="W122" s="37">
        <f t="shared" ref="W122:W169" si="36">R122/M122</f>
        <v>2.6548672566371681E-2</v>
      </c>
      <c r="X122" s="37">
        <f t="shared" ref="X122:X169" si="37">S122/M122</f>
        <v>4.4247787610619468E-3</v>
      </c>
      <c r="Y122" s="35">
        <f t="shared" ref="Y122:Y169" si="38">N122</f>
        <v>48.084070796460175</v>
      </c>
    </row>
    <row r="123" spans="1:25" x14ac:dyDescent="0.25">
      <c r="A123" s="34" t="s">
        <v>380</v>
      </c>
      <c r="B123" s="34" t="s">
        <v>381</v>
      </c>
      <c r="C123" s="34" t="s">
        <v>246</v>
      </c>
      <c r="D123" s="34">
        <v>1</v>
      </c>
      <c r="E123" s="34"/>
      <c r="F123" s="34"/>
      <c r="G123" s="34"/>
      <c r="H123" s="34">
        <v>13</v>
      </c>
      <c r="I123" s="34">
        <v>22</v>
      </c>
      <c r="J123" s="34"/>
      <c r="K123" s="34">
        <v>74</v>
      </c>
      <c r="L123" s="34"/>
      <c r="M123" s="34">
        <v>109</v>
      </c>
      <c r="N123" s="35">
        <v>62</v>
      </c>
      <c r="O123" s="34" t="s">
        <v>299</v>
      </c>
      <c r="P123" s="34">
        <f t="shared" si="29"/>
        <v>74</v>
      </c>
      <c r="Q123" s="34">
        <f t="shared" si="30"/>
        <v>13</v>
      </c>
      <c r="R123" s="34">
        <f t="shared" si="31"/>
        <v>22</v>
      </c>
      <c r="S123" s="34">
        <f t="shared" si="32"/>
        <v>0</v>
      </c>
      <c r="T123" s="34">
        <f t="shared" si="33"/>
        <v>109</v>
      </c>
      <c r="U123" s="37">
        <f t="shared" si="34"/>
        <v>0.67889908256880738</v>
      </c>
      <c r="V123" s="37">
        <f t="shared" si="35"/>
        <v>0.11926605504587157</v>
      </c>
      <c r="W123" s="37">
        <f t="shared" si="36"/>
        <v>0.20183486238532111</v>
      </c>
      <c r="X123" s="37">
        <f t="shared" si="37"/>
        <v>0</v>
      </c>
      <c r="Y123" s="35">
        <f t="shared" si="38"/>
        <v>62</v>
      </c>
    </row>
    <row r="124" spans="1:25" x14ac:dyDescent="0.25">
      <c r="A124" s="34" t="s">
        <v>382</v>
      </c>
      <c r="B124" s="34" t="s">
        <v>383</v>
      </c>
      <c r="C124" s="34" t="s">
        <v>248</v>
      </c>
      <c r="D124" s="34">
        <v>1</v>
      </c>
      <c r="E124" s="34"/>
      <c r="F124" s="34"/>
      <c r="G124" s="34"/>
      <c r="H124" s="34">
        <v>92</v>
      </c>
      <c r="I124" s="34">
        <v>16</v>
      </c>
      <c r="J124" s="34">
        <v>1</v>
      </c>
      <c r="K124" s="34">
        <v>91</v>
      </c>
      <c r="L124" s="34"/>
      <c r="M124" s="34">
        <v>200</v>
      </c>
      <c r="N124" s="35">
        <v>69.454999999999998</v>
      </c>
      <c r="O124" s="34" t="s">
        <v>299</v>
      </c>
      <c r="P124" s="34">
        <f t="shared" si="29"/>
        <v>91</v>
      </c>
      <c r="Q124" s="34">
        <f t="shared" si="30"/>
        <v>92</v>
      </c>
      <c r="R124" s="34">
        <f t="shared" si="31"/>
        <v>16</v>
      </c>
      <c r="S124" s="34">
        <f t="shared" si="32"/>
        <v>1</v>
      </c>
      <c r="T124" s="34">
        <f t="shared" si="33"/>
        <v>200</v>
      </c>
      <c r="U124" s="37">
        <f t="shared" si="34"/>
        <v>0.45500000000000002</v>
      </c>
      <c r="V124" s="37">
        <f t="shared" si="35"/>
        <v>0.46</v>
      </c>
      <c r="W124" s="37">
        <f t="shared" si="36"/>
        <v>0.08</v>
      </c>
      <c r="X124" s="37">
        <f t="shared" si="37"/>
        <v>5.0000000000000001E-3</v>
      </c>
      <c r="Y124" s="35">
        <f t="shared" si="38"/>
        <v>69.454999999999998</v>
      </c>
    </row>
    <row r="125" spans="1:25" x14ac:dyDescent="0.25">
      <c r="A125" s="34" t="s">
        <v>382</v>
      </c>
      <c r="B125" s="34" t="s">
        <v>383</v>
      </c>
      <c r="C125" s="34" t="s">
        <v>248</v>
      </c>
      <c r="D125" s="34">
        <v>2</v>
      </c>
      <c r="E125" s="34"/>
      <c r="F125" s="34"/>
      <c r="G125" s="34"/>
      <c r="H125" s="34">
        <v>67</v>
      </c>
      <c r="I125" s="34">
        <v>26</v>
      </c>
      <c r="J125" s="34">
        <v>1</v>
      </c>
      <c r="K125" s="34">
        <v>106</v>
      </c>
      <c r="L125" s="34"/>
      <c r="M125" s="34">
        <v>200</v>
      </c>
      <c r="N125" s="35">
        <v>59.75</v>
      </c>
      <c r="O125" s="34" t="s">
        <v>299</v>
      </c>
      <c r="P125" s="34">
        <f t="shared" si="29"/>
        <v>106</v>
      </c>
      <c r="Q125" s="34">
        <f t="shared" si="30"/>
        <v>67</v>
      </c>
      <c r="R125" s="34">
        <f t="shared" si="31"/>
        <v>26</v>
      </c>
      <c r="S125" s="34">
        <f t="shared" si="32"/>
        <v>1</v>
      </c>
      <c r="T125" s="34">
        <f t="shared" si="33"/>
        <v>200</v>
      </c>
      <c r="U125" s="37">
        <f t="shared" si="34"/>
        <v>0.53</v>
      </c>
      <c r="V125" s="37">
        <f t="shared" si="35"/>
        <v>0.33500000000000002</v>
      </c>
      <c r="W125" s="37">
        <f t="shared" si="36"/>
        <v>0.13</v>
      </c>
      <c r="X125" s="37">
        <f t="shared" si="37"/>
        <v>5.0000000000000001E-3</v>
      </c>
      <c r="Y125" s="35">
        <f t="shared" si="38"/>
        <v>59.75</v>
      </c>
    </row>
    <row r="126" spans="1:25" x14ac:dyDescent="0.25">
      <c r="A126" s="34" t="s">
        <v>382</v>
      </c>
      <c r="B126" s="34" t="s">
        <v>383</v>
      </c>
      <c r="C126" s="34" t="s">
        <v>248</v>
      </c>
      <c r="D126" s="34">
        <v>3</v>
      </c>
      <c r="E126" s="34"/>
      <c r="F126" s="34"/>
      <c r="G126" s="34"/>
      <c r="H126" s="34">
        <v>84</v>
      </c>
      <c r="I126" s="34">
        <v>47</v>
      </c>
      <c r="J126" s="34">
        <v>3</v>
      </c>
      <c r="K126" s="34">
        <v>257</v>
      </c>
      <c r="L126" s="34"/>
      <c r="M126" s="34">
        <v>391</v>
      </c>
      <c r="N126" s="35">
        <v>40.736572890025577</v>
      </c>
      <c r="O126" s="34" t="s">
        <v>299</v>
      </c>
      <c r="P126" s="34">
        <f t="shared" si="29"/>
        <v>257</v>
      </c>
      <c r="Q126" s="34">
        <f t="shared" si="30"/>
        <v>84</v>
      </c>
      <c r="R126" s="34">
        <f t="shared" si="31"/>
        <v>47</v>
      </c>
      <c r="S126" s="34">
        <f t="shared" si="32"/>
        <v>3</v>
      </c>
      <c r="T126" s="34">
        <f t="shared" si="33"/>
        <v>391</v>
      </c>
      <c r="U126" s="37">
        <f t="shared" si="34"/>
        <v>0.65728900255754474</v>
      </c>
      <c r="V126" s="37">
        <f t="shared" si="35"/>
        <v>0.21483375959079284</v>
      </c>
      <c r="W126" s="37">
        <f t="shared" si="36"/>
        <v>0.12020460358056266</v>
      </c>
      <c r="X126" s="37">
        <f t="shared" si="37"/>
        <v>7.6726342710997444E-3</v>
      </c>
      <c r="Y126" s="35">
        <f t="shared" si="38"/>
        <v>40.736572890025577</v>
      </c>
    </row>
    <row r="127" spans="1:25" x14ac:dyDescent="0.25">
      <c r="A127" s="34" t="s">
        <v>382</v>
      </c>
      <c r="B127" s="34" t="s">
        <v>383</v>
      </c>
      <c r="C127" s="34" t="s">
        <v>248</v>
      </c>
      <c r="D127" s="34">
        <v>4</v>
      </c>
      <c r="E127" s="34"/>
      <c r="F127" s="34"/>
      <c r="G127" s="34"/>
      <c r="H127" s="34">
        <v>23</v>
      </c>
      <c r="I127" s="34">
        <v>24</v>
      </c>
      <c r="J127" s="34"/>
      <c r="K127" s="34">
        <v>345</v>
      </c>
      <c r="L127" s="34"/>
      <c r="M127" s="34">
        <v>392</v>
      </c>
      <c r="N127" s="35">
        <v>23.841836734693878</v>
      </c>
      <c r="O127" s="34" t="s">
        <v>299</v>
      </c>
      <c r="P127" s="34">
        <f t="shared" si="29"/>
        <v>345</v>
      </c>
      <c r="Q127" s="34">
        <f t="shared" si="30"/>
        <v>23</v>
      </c>
      <c r="R127" s="34">
        <f t="shared" si="31"/>
        <v>24</v>
      </c>
      <c r="S127" s="34">
        <f t="shared" si="32"/>
        <v>0</v>
      </c>
      <c r="T127" s="34">
        <f t="shared" si="33"/>
        <v>392</v>
      </c>
      <c r="U127" s="37">
        <f t="shared" si="34"/>
        <v>0.88010204081632648</v>
      </c>
      <c r="V127" s="37">
        <f t="shared" si="35"/>
        <v>5.8673469387755105E-2</v>
      </c>
      <c r="W127" s="37">
        <f t="shared" si="36"/>
        <v>6.1224489795918366E-2</v>
      </c>
      <c r="X127" s="37">
        <f t="shared" si="37"/>
        <v>0</v>
      </c>
      <c r="Y127" s="35">
        <f t="shared" si="38"/>
        <v>23.841836734693878</v>
      </c>
    </row>
    <row r="128" spans="1:25" x14ac:dyDescent="0.25">
      <c r="A128" s="34" t="s">
        <v>384</v>
      </c>
      <c r="B128" s="34" t="s">
        <v>385</v>
      </c>
      <c r="C128" s="34" t="s">
        <v>250</v>
      </c>
      <c r="D128" s="34">
        <v>1</v>
      </c>
      <c r="E128" s="34"/>
      <c r="F128" s="34">
        <v>1</v>
      </c>
      <c r="G128" s="34"/>
      <c r="H128" s="34">
        <v>32</v>
      </c>
      <c r="I128" s="34">
        <v>25</v>
      </c>
      <c r="J128" s="34"/>
      <c r="K128" s="34">
        <v>292</v>
      </c>
      <c r="L128" s="34"/>
      <c r="M128" s="34">
        <v>350</v>
      </c>
      <c r="N128" s="35">
        <v>68.15428571428572</v>
      </c>
      <c r="O128" s="34" t="s">
        <v>299</v>
      </c>
      <c r="P128" s="34">
        <f t="shared" si="29"/>
        <v>292</v>
      </c>
      <c r="Q128" s="34">
        <f t="shared" si="30"/>
        <v>32</v>
      </c>
      <c r="R128" s="34">
        <f t="shared" si="31"/>
        <v>25</v>
      </c>
      <c r="S128" s="34">
        <f t="shared" si="32"/>
        <v>1</v>
      </c>
      <c r="T128" s="34">
        <f t="shared" si="33"/>
        <v>350</v>
      </c>
      <c r="U128" s="37">
        <f t="shared" si="34"/>
        <v>0.8342857142857143</v>
      </c>
      <c r="V128" s="37">
        <f t="shared" si="35"/>
        <v>9.1428571428571428E-2</v>
      </c>
      <c r="W128" s="37">
        <f t="shared" si="36"/>
        <v>7.1428571428571425E-2</v>
      </c>
      <c r="X128" s="37">
        <f t="shared" si="37"/>
        <v>2.8571428571428571E-3</v>
      </c>
      <c r="Y128" s="35">
        <f t="shared" si="38"/>
        <v>68.15428571428572</v>
      </c>
    </row>
    <row r="129" spans="1:25" x14ac:dyDescent="0.25">
      <c r="A129" s="34" t="s">
        <v>384</v>
      </c>
      <c r="B129" s="34" t="s">
        <v>385</v>
      </c>
      <c r="C129" s="34" t="s">
        <v>250</v>
      </c>
      <c r="D129" s="34">
        <v>2</v>
      </c>
      <c r="E129" s="34"/>
      <c r="F129" s="34"/>
      <c r="G129" s="34"/>
      <c r="H129" s="34">
        <v>45</v>
      </c>
      <c r="I129" s="34">
        <v>36</v>
      </c>
      <c r="J129" s="34">
        <v>1</v>
      </c>
      <c r="K129" s="34">
        <v>268</v>
      </c>
      <c r="L129" s="34"/>
      <c r="M129" s="34">
        <v>350</v>
      </c>
      <c r="N129" s="35">
        <v>62.702857142857141</v>
      </c>
      <c r="O129" s="34" t="s">
        <v>299</v>
      </c>
      <c r="P129" s="34">
        <f t="shared" si="29"/>
        <v>268</v>
      </c>
      <c r="Q129" s="34">
        <f t="shared" si="30"/>
        <v>45</v>
      </c>
      <c r="R129" s="34">
        <f t="shared" si="31"/>
        <v>36</v>
      </c>
      <c r="S129" s="34">
        <f t="shared" si="32"/>
        <v>1</v>
      </c>
      <c r="T129" s="34">
        <f t="shared" si="33"/>
        <v>350</v>
      </c>
      <c r="U129" s="37">
        <f t="shared" si="34"/>
        <v>0.76571428571428568</v>
      </c>
      <c r="V129" s="37">
        <f t="shared" si="35"/>
        <v>0.12857142857142856</v>
      </c>
      <c r="W129" s="37">
        <f t="shared" si="36"/>
        <v>0.10285714285714286</v>
      </c>
      <c r="X129" s="37">
        <f t="shared" si="37"/>
        <v>2.8571428571428571E-3</v>
      </c>
      <c r="Y129" s="35">
        <f t="shared" si="38"/>
        <v>62.702857142857141</v>
      </c>
    </row>
    <row r="130" spans="1:25" x14ac:dyDescent="0.25">
      <c r="A130" s="34" t="s">
        <v>384</v>
      </c>
      <c r="B130" s="34" t="s">
        <v>385</v>
      </c>
      <c r="C130" s="34" t="s">
        <v>250</v>
      </c>
      <c r="D130" s="34">
        <v>3</v>
      </c>
      <c r="E130" s="34"/>
      <c r="F130" s="34">
        <v>1</v>
      </c>
      <c r="G130" s="34"/>
      <c r="H130" s="34">
        <v>123</v>
      </c>
      <c r="I130" s="34">
        <v>59</v>
      </c>
      <c r="J130" s="34">
        <v>2</v>
      </c>
      <c r="K130" s="34">
        <v>394</v>
      </c>
      <c r="L130" s="34"/>
      <c r="M130" s="34">
        <v>579</v>
      </c>
      <c r="N130" s="35">
        <v>50.984455958549226</v>
      </c>
      <c r="O130" s="34" t="s">
        <v>299</v>
      </c>
      <c r="P130" s="34">
        <f t="shared" si="29"/>
        <v>394</v>
      </c>
      <c r="Q130" s="34">
        <f t="shared" si="30"/>
        <v>123</v>
      </c>
      <c r="R130" s="34">
        <f t="shared" si="31"/>
        <v>59</v>
      </c>
      <c r="S130" s="34">
        <f t="shared" si="32"/>
        <v>3</v>
      </c>
      <c r="T130" s="34">
        <f t="shared" si="33"/>
        <v>579</v>
      </c>
      <c r="U130" s="37">
        <f t="shared" si="34"/>
        <v>0.6804835924006909</v>
      </c>
      <c r="V130" s="37">
        <f t="shared" si="35"/>
        <v>0.21243523316062177</v>
      </c>
      <c r="W130" s="37">
        <f t="shared" si="36"/>
        <v>0.10189982728842832</v>
      </c>
      <c r="X130" s="37">
        <f t="shared" si="37"/>
        <v>5.1813471502590676E-3</v>
      </c>
      <c r="Y130" s="35">
        <f t="shared" si="38"/>
        <v>50.984455958549226</v>
      </c>
    </row>
    <row r="131" spans="1:25" x14ac:dyDescent="0.25">
      <c r="A131" s="34" t="s">
        <v>384</v>
      </c>
      <c r="B131" s="34" t="s">
        <v>385</v>
      </c>
      <c r="C131" s="34" t="s">
        <v>250</v>
      </c>
      <c r="D131" s="34">
        <v>4</v>
      </c>
      <c r="E131" s="34"/>
      <c r="F131" s="34"/>
      <c r="G131" s="34"/>
      <c r="H131" s="34">
        <v>119</v>
      </c>
      <c r="I131" s="34">
        <v>43</v>
      </c>
      <c r="J131" s="34">
        <v>1</v>
      </c>
      <c r="K131" s="34">
        <v>415</v>
      </c>
      <c r="L131" s="34">
        <v>1</v>
      </c>
      <c r="M131" s="34">
        <v>579</v>
      </c>
      <c r="N131" s="35">
        <v>39.737478411053537</v>
      </c>
      <c r="O131" s="34" t="s">
        <v>299</v>
      </c>
      <c r="P131" s="34">
        <f t="shared" si="29"/>
        <v>415</v>
      </c>
      <c r="Q131" s="34">
        <f t="shared" si="30"/>
        <v>119</v>
      </c>
      <c r="R131" s="34">
        <f t="shared" si="31"/>
        <v>43</v>
      </c>
      <c r="S131" s="34">
        <f t="shared" si="32"/>
        <v>2</v>
      </c>
      <c r="T131" s="34">
        <f t="shared" si="33"/>
        <v>579</v>
      </c>
      <c r="U131" s="37">
        <f t="shared" si="34"/>
        <v>0.71675302245250427</v>
      </c>
      <c r="V131" s="37">
        <f t="shared" si="35"/>
        <v>0.20552677029360966</v>
      </c>
      <c r="W131" s="37">
        <f t="shared" si="36"/>
        <v>7.426597582037997E-2</v>
      </c>
      <c r="X131" s="37">
        <f t="shared" si="37"/>
        <v>3.4542314335060447E-3</v>
      </c>
      <c r="Y131" s="35">
        <f t="shared" si="38"/>
        <v>39.737478411053537</v>
      </c>
    </row>
    <row r="132" spans="1:25" x14ac:dyDescent="0.25">
      <c r="A132" s="34" t="s">
        <v>384</v>
      </c>
      <c r="B132" s="34" t="s">
        <v>385</v>
      </c>
      <c r="C132" s="34" t="s">
        <v>250</v>
      </c>
      <c r="D132" s="34">
        <v>5</v>
      </c>
      <c r="E132" s="34">
        <v>1</v>
      </c>
      <c r="F132" s="34"/>
      <c r="G132" s="34"/>
      <c r="H132" s="34">
        <v>109</v>
      </c>
      <c r="I132" s="34">
        <v>61</v>
      </c>
      <c r="J132" s="34">
        <v>1</v>
      </c>
      <c r="K132" s="34">
        <v>408</v>
      </c>
      <c r="L132" s="34"/>
      <c r="M132" s="34">
        <v>580</v>
      </c>
      <c r="N132" s="35">
        <v>32.622413793103448</v>
      </c>
      <c r="O132" s="34" t="s">
        <v>299</v>
      </c>
      <c r="P132" s="34">
        <f t="shared" si="29"/>
        <v>408</v>
      </c>
      <c r="Q132" s="34">
        <f t="shared" si="30"/>
        <v>109</v>
      </c>
      <c r="R132" s="34">
        <f t="shared" si="31"/>
        <v>61</v>
      </c>
      <c r="S132" s="34">
        <f t="shared" si="32"/>
        <v>2</v>
      </c>
      <c r="T132" s="34">
        <f t="shared" si="33"/>
        <v>580</v>
      </c>
      <c r="U132" s="37">
        <f t="shared" si="34"/>
        <v>0.70344827586206893</v>
      </c>
      <c r="V132" s="37">
        <f t="shared" si="35"/>
        <v>0.18793103448275861</v>
      </c>
      <c r="W132" s="37">
        <f t="shared" si="36"/>
        <v>0.10517241379310345</v>
      </c>
      <c r="X132" s="37">
        <f t="shared" si="37"/>
        <v>3.4482758620689655E-3</v>
      </c>
      <c r="Y132" s="35">
        <f t="shared" si="38"/>
        <v>32.622413793103448</v>
      </c>
    </row>
    <row r="133" spans="1:25" x14ac:dyDescent="0.25">
      <c r="A133" s="34" t="s">
        <v>384</v>
      </c>
      <c r="B133" s="34" t="s">
        <v>385</v>
      </c>
      <c r="C133" s="34" t="s">
        <v>250</v>
      </c>
      <c r="D133" s="34">
        <v>6</v>
      </c>
      <c r="E133" s="34"/>
      <c r="F133" s="34"/>
      <c r="G133" s="34"/>
      <c r="H133" s="34">
        <v>119</v>
      </c>
      <c r="I133" s="34">
        <v>70</v>
      </c>
      <c r="J133" s="34"/>
      <c r="K133" s="34">
        <v>391</v>
      </c>
      <c r="L133" s="34"/>
      <c r="M133" s="34">
        <v>580</v>
      </c>
      <c r="N133" s="35">
        <v>23.810344827586206</v>
      </c>
      <c r="O133" s="34" t="s">
        <v>299</v>
      </c>
      <c r="P133" s="34">
        <f t="shared" si="29"/>
        <v>391</v>
      </c>
      <c r="Q133" s="34">
        <f t="shared" si="30"/>
        <v>119</v>
      </c>
      <c r="R133" s="34">
        <f t="shared" si="31"/>
        <v>70</v>
      </c>
      <c r="S133" s="34">
        <f t="shared" si="32"/>
        <v>0</v>
      </c>
      <c r="T133" s="34">
        <f t="shared" si="33"/>
        <v>580</v>
      </c>
      <c r="U133" s="37">
        <f t="shared" si="34"/>
        <v>0.67413793103448272</v>
      </c>
      <c r="V133" s="37">
        <f t="shared" si="35"/>
        <v>0.20517241379310344</v>
      </c>
      <c r="W133" s="37">
        <f t="shared" si="36"/>
        <v>0.1206896551724138</v>
      </c>
      <c r="X133" s="37">
        <f t="shared" si="37"/>
        <v>0</v>
      </c>
      <c r="Y133" s="35">
        <f t="shared" si="38"/>
        <v>23.810344827586206</v>
      </c>
    </row>
    <row r="134" spans="1:25" x14ac:dyDescent="0.25">
      <c r="A134" s="34" t="s">
        <v>386</v>
      </c>
      <c r="B134" s="34" t="s">
        <v>387</v>
      </c>
      <c r="C134" s="34" t="s">
        <v>252</v>
      </c>
      <c r="D134" s="34">
        <v>1</v>
      </c>
      <c r="E134" s="34"/>
      <c r="F134" s="34"/>
      <c r="G134" s="34"/>
      <c r="H134" s="34"/>
      <c r="I134" s="34"/>
      <c r="J134" s="34"/>
      <c r="K134" s="34">
        <v>250</v>
      </c>
      <c r="L134" s="34"/>
      <c r="M134" s="34">
        <v>250</v>
      </c>
      <c r="N134" s="35">
        <v>63.856000000000002</v>
      </c>
      <c r="O134" s="34" t="s">
        <v>299</v>
      </c>
      <c r="P134" s="34">
        <f t="shared" si="29"/>
        <v>250</v>
      </c>
      <c r="Q134" s="34">
        <f t="shared" si="30"/>
        <v>0</v>
      </c>
      <c r="R134" s="34">
        <f t="shared" si="31"/>
        <v>0</v>
      </c>
      <c r="S134" s="34">
        <f t="shared" si="32"/>
        <v>0</v>
      </c>
      <c r="T134" s="34">
        <f t="shared" si="33"/>
        <v>250</v>
      </c>
      <c r="U134" s="37">
        <f t="shared" si="34"/>
        <v>1</v>
      </c>
      <c r="V134" s="37">
        <f t="shared" si="35"/>
        <v>0</v>
      </c>
      <c r="W134" s="37">
        <f t="shared" si="36"/>
        <v>0</v>
      </c>
      <c r="X134" s="37">
        <f t="shared" si="37"/>
        <v>0</v>
      </c>
      <c r="Y134" s="35">
        <f t="shared" si="38"/>
        <v>63.856000000000002</v>
      </c>
    </row>
    <row r="135" spans="1:25" x14ac:dyDescent="0.25">
      <c r="A135" s="34" t="s">
        <v>386</v>
      </c>
      <c r="B135" s="34" t="s">
        <v>387</v>
      </c>
      <c r="C135" s="34" t="s">
        <v>252</v>
      </c>
      <c r="D135" s="34">
        <v>2</v>
      </c>
      <c r="E135" s="34"/>
      <c r="F135" s="34"/>
      <c r="G135" s="34"/>
      <c r="H135" s="34">
        <v>1</v>
      </c>
      <c r="I135" s="34"/>
      <c r="J135" s="34"/>
      <c r="K135" s="34">
        <v>376</v>
      </c>
      <c r="L135" s="34"/>
      <c r="M135" s="34">
        <v>377</v>
      </c>
      <c r="N135" s="35">
        <v>35.334217506631298</v>
      </c>
      <c r="O135" s="34" t="s">
        <v>299</v>
      </c>
      <c r="P135" s="34">
        <f t="shared" si="29"/>
        <v>376</v>
      </c>
      <c r="Q135" s="34">
        <f t="shared" si="30"/>
        <v>1</v>
      </c>
      <c r="R135" s="34">
        <f t="shared" si="31"/>
        <v>0</v>
      </c>
      <c r="S135" s="34">
        <f t="shared" si="32"/>
        <v>0</v>
      </c>
      <c r="T135" s="34">
        <f t="shared" si="33"/>
        <v>377</v>
      </c>
      <c r="U135" s="37">
        <f t="shared" si="34"/>
        <v>0.99734748010610075</v>
      </c>
      <c r="V135" s="37">
        <f t="shared" si="35"/>
        <v>2.6525198938992041E-3</v>
      </c>
      <c r="W135" s="37">
        <f t="shared" si="36"/>
        <v>0</v>
      </c>
      <c r="X135" s="37">
        <f t="shared" si="37"/>
        <v>0</v>
      </c>
      <c r="Y135" s="35">
        <f t="shared" si="38"/>
        <v>35.334217506631298</v>
      </c>
    </row>
    <row r="136" spans="1:25" x14ac:dyDescent="0.25">
      <c r="A136" s="34" t="s">
        <v>388</v>
      </c>
      <c r="B136" s="34" t="s">
        <v>389</v>
      </c>
      <c r="C136" s="34" t="s">
        <v>254</v>
      </c>
      <c r="D136" s="34">
        <v>1</v>
      </c>
      <c r="E136" s="34"/>
      <c r="F136" s="34"/>
      <c r="G136" s="34">
        <v>1</v>
      </c>
      <c r="H136" s="34">
        <v>1</v>
      </c>
      <c r="I136" s="34"/>
      <c r="J136" s="34"/>
      <c r="K136" s="34">
        <v>315</v>
      </c>
      <c r="L136" s="34"/>
      <c r="M136" s="34">
        <v>317</v>
      </c>
      <c r="N136" s="35">
        <v>70.32492113564669</v>
      </c>
      <c r="O136" s="34" t="s">
        <v>299</v>
      </c>
      <c r="P136" s="34">
        <f t="shared" si="29"/>
        <v>315</v>
      </c>
      <c r="Q136" s="34">
        <f t="shared" si="30"/>
        <v>1</v>
      </c>
      <c r="R136" s="34">
        <f t="shared" si="31"/>
        <v>0</v>
      </c>
      <c r="S136" s="34">
        <f t="shared" si="32"/>
        <v>1</v>
      </c>
      <c r="T136" s="34">
        <f t="shared" si="33"/>
        <v>317</v>
      </c>
      <c r="U136" s="37">
        <f t="shared" si="34"/>
        <v>0.99369085173501581</v>
      </c>
      <c r="V136" s="37">
        <f t="shared" si="35"/>
        <v>3.1545741324921135E-3</v>
      </c>
      <c r="W136" s="37">
        <f t="shared" si="36"/>
        <v>0</v>
      </c>
      <c r="X136" s="37">
        <f t="shared" si="37"/>
        <v>3.1545741324921135E-3</v>
      </c>
      <c r="Y136" s="35">
        <f t="shared" si="38"/>
        <v>70.32492113564669</v>
      </c>
    </row>
    <row r="137" spans="1:25" x14ac:dyDescent="0.25">
      <c r="A137" s="34" t="s">
        <v>388</v>
      </c>
      <c r="B137" s="34" t="s">
        <v>389</v>
      </c>
      <c r="C137" s="34" t="s">
        <v>254</v>
      </c>
      <c r="D137" s="34">
        <v>2</v>
      </c>
      <c r="E137" s="34"/>
      <c r="F137" s="34">
        <v>2</v>
      </c>
      <c r="G137" s="34"/>
      <c r="H137" s="34">
        <v>1</v>
      </c>
      <c r="I137" s="34"/>
      <c r="J137" s="34"/>
      <c r="K137" s="34">
        <v>331</v>
      </c>
      <c r="L137" s="34"/>
      <c r="M137" s="34">
        <v>334</v>
      </c>
      <c r="N137" s="35">
        <v>49.976047904191617</v>
      </c>
      <c r="O137" s="34" t="s">
        <v>299</v>
      </c>
      <c r="P137" s="34">
        <f t="shared" si="29"/>
        <v>331</v>
      </c>
      <c r="Q137" s="34">
        <f t="shared" si="30"/>
        <v>1</v>
      </c>
      <c r="R137" s="34">
        <f t="shared" si="31"/>
        <v>0</v>
      </c>
      <c r="S137" s="34">
        <f t="shared" si="32"/>
        <v>2</v>
      </c>
      <c r="T137" s="34">
        <f t="shared" si="33"/>
        <v>334</v>
      </c>
      <c r="U137" s="37">
        <f t="shared" si="34"/>
        <v>0.99101796407185627</v>
      </c>
      <c r="V137" s="37">
        <f t="shared" si="35"/>
        <v>2.9940119760479044E-3</v>
      </c>
      <c r="W137" s="37">
        <f t="shared" si="36"/>
        <v>0</v>
      </c>
      <c r="X137" s="37">
        <f t="shared" si="37"/>
        <v>5.9880239520958087E-3</v>
      </c>
      <c r="Y137" s="35">
        <f t="shared" si="38"/>
        <v>49.976047904191617</v>
      </c>
    </row>
    <row r="138" spans="1:25" x14ac:dyDescent="0.25">
      <c r="A138" s="34" t="s">
        <v>388</v>
      </c>
      <c r="B138" s="34" t="s">
        <v>389</v>
      </c>
      <c r="C138" s="34" t="s">
        <v>254</v>
      </c>
      <c r="D138" s="34">
        <v>3</v>
      </c>
      <c r="E138" s="34"/>
      <c r="F138" s="34"/>
      <c r="G138" s="34"/>
      <c r="H138" s="34"/>
      <c r="I138" s="34">
        <v>1</v>
      </c>
      <c r="J138" s="34"/>
      <c r="K138" s="34">
        <v>334</v>
      </c>
      <c r="L138" s="34"/>
      <c r="M138" s="34">
        <v>335</v>
      </c>
      <c r="N138" s="35">
        <v>29.579104477611942</v>
      </c>
      <c r="O138" s="34" t="s">
        <v>299</v>
      </c>
      <c r="P138" s="34">
        <f t="shared" si="29"/>
        <v>334</v>
      </c>
      <c r="Q138" s="34">
        <f t="shared" si="30"/>
        <v>0</v>
      </c>
      <c r="R138" s="34">
        <f t="shared" si="31"/>
        <v>1</v>
      </c>
      <c r="S138" s="34">
        <f t="shared" si="32"/>
        <v>0</v>
      </c>
      <c r="T138" s="34">
        <f t="shared" si="33"/>
        <v>335</v>
      </c>
      <c r="U138" s="37">
        <f t="shared" si="34"/>
        <v>0.9970149253731343</v>
      </c>
      <c r="V138" s="37">
        <f t="shared" si="35"/>
        <v>0</v>
      </c>
      <c r="W138" s="37">
        <f t="shared" si="36"/>
        <v>2.9850746268656717E-3</v>
      </c>
      <c r="X138" s="37">
        <f t="shared" si="37"/>
        <v>0</v>
      </c>
      <c r="Y138" s="35">
        <f t="shared" si="38"/>
        <v>29.579104477611942</v>
      </c>
    </row>
    <row r="139" spans="1:25" x14ac:dyDescent="0.25">
      <c r="A139" s="34" t="s">
        <v>390</v>
      </c>
      <c r="B139" s="34" t="s">
        <v>391</v>
      </c>
      <c r="C139" s="34" t="s">
        <v>256</v>
      </c>
      <c r="D139" s="34">
        <v>1</v>
      </c>
      <c r="E139" s="34"/>
      <c r="F139" s="34"/>
      <c r="G139" s="34"/>
      <c r="H139" s="34">
        <v>3</v>
      </c>
      <c r="I139" s="34">
        <v>1</v>
      </c>
      <c r="J139" s="34"/>
      <c r="K139" s="34">
        <v>295</v>
      </c>
      <c r="L139" s="34">
        <v>1</v>
      </c>
      <c r="M139" s="34">
        <v>300</v>
      </c>
      <c r="N139" s="35">
        <v>66.326666666666668</v>
      </c>
      <c r="O139" s="34" t="s">
        <v>299</v>
      </c>
      <c r="P139" s="34">
        <f t="shared" si="29"/>
        <v>295</v>
      </c>
      <c r="Q139" s="34">
        <f t="shared" si="30"/>
        <v>3</v>
      </c>
      <c r="R139" s="34">
        <f t="shared" si="31"/>
        <v>1</v>
      </c>
      <c r="S139" s="34">
        <f t="shared" si="32"/>
        <v>1</v>
      </c>
      <c r="T139" s="34">
        <f t="shared" si="33"/>
        <v>300</v>
      </c>
      <c r="U139" s="37">
        <f t="shared" si="34"/>
        <v>0.98333333333333328</v>
      </c>
      <c r="V139" s="37">
        <f t="shared" si="35"/>
        <v>0.01</v>
      </c>
      <c r="W139" s="37">
        <f t="shared" si="36"/>
        <v>3.3333333333333335E-3</v>
      </c>
      <c r="X139" s="37">
        <f t="shared" si="37"/>
        <v>3.3333333333333335E-3</v>
      </c>
      <c r="Y139" s="35">
        <f t="shared" si="38"/>
        <v>66.326666666666668</v>
      </c>
    </row>
    <row r="140" spans="1:25" x14ac:dyDescent="0.25">
      <c r="A140" s="34" t="s">
        <v>390</v>
      </c>
      <c r="B140" s="34" t="s">
        <v>391</v>
      </c>
      <c r="C140" s="34" t="s">
        <v>256</v>
      </c>
      <c r="D140" s="34">
        <v>2</v>
      </c>
      <c r="E140" s="34"/>
      <c r="F140" s="34">
        <v>1</v>
      </c>
      <c r="G140" s="34"/>
      <c r="H140" s="34">
        <v>18</v>
      </c>
      <c r="I140" s="34">
        <v>1</v>
      </c>
      <c r="J140" s="34">
        <v>1</v>
      </c>
      <c r="K140" s="34">
        <v>381</v>
      </c>
      <c r="L140" s="34">
        <v>3</v>
      </c>
      <c r="M140" s="34">
        <v>405</v>
      </c>
      <c r="N140" s="35">
        <v>47.409876543209876</v>
      </c>
      <c r="O140" s="34" t="s">
        <v>299</v>
      </c>
      <c r="P140" s="34">
        <f t="shared" si="29"/>
        <v>381</v>
      </c>
      <c r="Q140" s="34">
        <f t="shared" si="30"/>
        <v>18</v>
      </c>
      <c r="R140" s="34">
        <f t="shared" si="31"/>
        <v>1</v>
      </c>
      <c r="S140" s="34">
        <f t="shared" si="32"/>
        <v>5</v>
      </c>
      <c r="T140" s="34">
        <f t="shared" si="33"/>
        <v>405</v>
      </c>
      <c r="U140" s="37">
        <f t="shared" si="34"/>
        <v>0.94074074074074077</v>
      </c>
      <c r="V140" s="37">
        <f t="shared" si="35"/>
        <v>4.4444444444444446E-2</v>
      </c>
      <c r="W140" s="37">
        <f t="shared" si="36"/>
        <v>2.4691358024691358E-3</v>
      </c>
      <c r="X140" s="37">
        <f t="shared" si="37"/>
        <v>1.2345679012345678E-2</v>
      </c>
      <c r="Y140" s="35">
        <f t="shared" si="38"/>
        <v>47.409876543209876</v>
      </c>
    </row>
    <row r="141" spans="1:25" x14ac:dyDescent="0.25">
      <c r="A141" s="34" t="s">
        <v>390</v>
      </c>
      <c r="B141" s="34" t="s">
        <v>391</v>
      </c>
      <c r="C141" s="34" t="s">
        <v>256</v>
      </c>
      <c r="D141" s="34">
        <v>3</v>
      </c>
      <c r="E141" s="34">
        <v>1</v>
      </c>
      <c r="F141" s="34"/>
      <c r="G141" s="34">
        <v>1</v>
      </c>
      <c r="H141" s="34">
        <v>13</v>
      </c>
      <c r="I141" s="34">
        <v>6</v>
      </c>
      <c r="J141" s="34"/>
      <c r="K141" s="34">
        <v>384</v>
      </c>
      <c r="L141" s="34"/>
      <c r="M141" s="34">
        <v>405</v>
      </c>
      <c r="N141" s="35">
        <v>26.817283950617284</v>
      </c>
      <c r="O141" s="34" t="s">
        <v>299</v>
      </c>
      <c r="P141" s="34">
        <f t="shared" si="29"/>
        <v>384</v>
      </c>
      <c r="Q141" s="34">
        <f t="shared" si="30"/>
        <v>13</v>
      </c>
      <c r="R141" s="34">
        <f t="shared" si="31"/>
        <v>6</v>
      </c>
      <c r="S141" s="34">
        <f t="shared" si="32"/>
        <v>2</v>
      </c>
      <c r="T141" s="34">
        <f t="shared" si="33"/>
        <v>405</v>
      </c>
      <c r="U141" s="37">
        <f t="shared" si="34"/>
        <v>0.94814814814814818</v>
      </c>
      <c r="V141" s="37">
        <f t="shared" si="35"/>
        <v>3.2098765432098768E-2</v>
      </c>
      <c r="W141" s="37">
        <f t="shared" si="36"/>
        <v>1.4814814814814815E-2</v>
      </c>
      <c r="X141" s="37">
        <f t="shared" si="37"/>
        <v>4.9382716049382715E-3</v>
      </c>
      <c r="Y141" s="35">
        <f t="shared" si="38"/>
        <v>26.817283950617284</v>
      </c>
    </row>
    <row r="142" spans="1:25" x14ac:dyDescent="0.25">
      <c r="A142" s="34" t="s">
        <v>392</v>
      </c>
      <c r="B142" s="34" t="s">
        <v>393</v>
      </c>
      <c r="C142" s="34" t="s">
        <v>258</v>
      </c>
      <c r="D142" s="34">
        <v>1</v>
      </c>
      <c r="E142" s="34"/>
      <c r="F142" s="34"/>
      <c r="G142" s="34"/>
      <c r="H142" s="34">
        <v>116</v>
      </c>
      <c r="I142" s="34">
        <v>20</v>
      </c>
      <c r="J142" s="34"/>
      <c r="K142" s="34">
        <v>112</v>
      </c>
      <c r="L142" s="34">
        <v>2</v>
      </c>
      <c r="M142" s="34">
        <v>250</v>
      </c>
      <c r="N142" s="35">
        <v>64.88</v>
      </c>
      <c r="O142" s="34" t="s">
        <v>299</v>
      </c>
      <c r="P142" s="34">
        <f t="shared" si="29"/>
        <v>112</v>
      </c>
      <c r="Q142" s="34">
        <f t="shared" si="30"/>
        <v>116</v>
      </c>
      <c r="R142" s="34">
        <f t="shared" si="31"/>
        <v>20</v>
      </c>
      <c r="S142" s="34">
        <f t="shared" si="32"/>
        <v>2</v>
      </c>
      <c r="T142" s="34">
        <f t="shared" si="33"/>
        <v>250</v>
      </c>
      <c r="U142" s="37">
        <f t="shared" si="34"/>
        <v>0.44800000000000001</v>
      </c>
      <c r="V142" s="37">
        <f t="shared" si="35"/>
        <v>0.46400000000000002</v>
      </c>
      <c r="W142" s="37">
        <f t="shared" si="36"/>
        <v>0.08</v>
      </c>
      <c r="X142" s="37">
        <f t="shared" si="37"/>
        <v>8.0000000000000002E-3</v>
      </c>
      <c r="Y142" s="35">
        <f t="shared" si="38"/>
        <v>64.88</v>
      </c>
    </row>
    <row r="143" spans="1:25" x14ac:dyDescent="0.25">
      <c r="A143" s="34" t="s">
        <v>392</v>
      </c>
      <c r="B143" s="34" t="s">
        <v>393</v>
      </c>
      <c r="C143" s="34" t="s">
        <v>258</v>
      </c>
      <c r="D143" s="34">
        <v>2</v>
      </c>
      <c r="E143" s="34">
        <v>1</v>
      </c>
      <c r="F143" s="34">
        <v>1</v>
      </c>
      <c r="G143" s="34"/>
      <c r="H143" s="34">
        <v>95</v>
      </c>
      <c r="I143" s="34">
        <v>24</v>
      </c>
      <c r="J143" s="34">
        <v>1</v>
      </c>
      <c r="K143" s="34">
        <v>263</v>
      </c>
      <c r="L143" s="34">
        <v>6</v>
      </c>
      <c r="M143" s="34">
        <v>391</v>
      </c>
      <c r="N143" s="35">
        <v>33.491048593350385</v>
      </c>
      <c r="O143" s="34" t="s">
        <v>299</v>
      </c>
      <c r="P143" s="34">
        <f t="shared" si="29"/>
        <v>263</v>
      </c>
      <c r="Q143" s="34">
        <f t="shared" si="30"/>
        <v>95</v>
      </c>
      <c r="R143" s="34">
        <f t="shared" si="31"/>
        <v>24</v>
      </c>
      <c r="S143" s="34">
        <f t="shared" si="32"/>
        <v>9</v>
      </c>
      <c r="T143" s="34">
        <f t="shared" si="33"/>
        <v>391</v>
      </c>
      <c r="U143" s="37">
        <f t="shared" si="34"/>
        <v>0.67263427109974427</v>
      </c>
      <c r="V143" s="37">
        <f t="shared" si="35"/>
        <v>0.24296675191815856</v>
      </c>
      <c r="W143" s="37">
        <f t="shared" si="36"/>
        <v>6.1381074168797956E-2</v>
      </c>
      <c r="X143" s="37">
        <f t="shared" si="37"/>
        <v>2.3017902813299233E-2</v>
      </c>
      <c r="Y143" s="35">
        <f t="shared" si="38"/>
        <v>33.491048593350385</v>
      </c>
    </row>
    <row r="144" spans="1:25" x14ac:dyDescent="0.25">
      <c r="A144" s="34" t="s">
        <v>394</v>
      </c>
      <c r="B144" s="34" t="s">
        <v>395</v>
      </c>
      <c r="C144" s="34" t="s">
        <v>260</v>
      </c>
      <c r="D144" s="34">
        <v>1</v>
      </c>
      <c r="E144" s="34"/>
      <c r="F144" s="34"/>
      <c r="G144" s="34"/>
      <c r="H144" s="34">
        <v>255</v>
      </c>
      <c r="I144" s="34">
        <v>21</v>
      </c>
      <c r="J144" s="34"/>
      <c r="K144" s="34">
        <v>74</v>
      </c>
      <c r="L144" s="34"/>
      <c r="M144" s="34">
        <v>350</v>
      </c>
      <c r="N144" s="35">
        <v>69.48571428571428</v>
      </c>
      <c r="O144" s="34" t="s">
        <v>299</v>
      </c>
      <c r="P144" s="34">
        <f t="shared" si="29"/>
        <v>74</v>
      </c>
      <c r="Q144" s="34">
        <f t="shared" si="30"/>
        <v>255</v>
      </c>
      <c r="R144" s="34">
        <f t="shared" si="31"/>
        <v>21</v>
      </c>
      <c r="S144" s="34">
        <f t="shared" si="32"/>
        <v>0</v>
      </c>
      <c r="T144" s="34">
        <f t="shared" si="33"/>
        <v>350</v>
      </c>
      <c r="U144" s="37">
        <f t="shared" si="34"/>
        <v>0.21142857142857144</v>
      </c>
      <c r="V144" s="37">
        <f t="shared" si="35"/>
        <v>0.72857142857142854</v>
      </c>
      <c r="W144" s="37">
        <f t="shared" si="36"/>
        <v>0.06</v>
      </c>
      <c r="X144" s="37">
        <f t="shared" si="37"/>
        <v>0</v>
      </c>
      <c r="Y144" s="35">
        <f t="shared" si="38"/>
        <v>69.48571428571428</v>
      </c>
    </row>
    <row r="145" spans="1:25" x14ac:dyDescent="0.25">
      <c r="A145" s="34" t="s">
        <v>394</v>
      </c>
      <c r="B145" s="34" t="s">
        <v>395</v>
      </c>
      <c r="C145" s="34" t="s">
        <v>260</v>
      </c>
      <c r="D145" s="34">
        <v>2</v>
      </c>
      <c r="E145" s="34"/>
      <c r="F145" s="34"/>
      <c r="G145" s="34"/>
      <c r="H145" s="34">
        <v>205</v>
      </c>
      <c r="I145" s="34">
        <v>38</v>
      </c>
      <c r="J145" s="34"/>
      <c r="K145" s="34">
        <v>107</v>
      </c>
      <c r="L145" s="34"/>
      <c r="M145" s="34">
        <v>350</v>
      </c>
      <c r="N145" s="35">
        <v>55.662857142857142</v>
      </c>
      <c r="O145" s="34" t="s">
        <v>299</v>
      </c>
      <c r="P145" s="34">
        <f t="shared" si="29"/>
        <v>107</v>
      </c>
      <c r="Q145" s="34">
        <f t="shared" si="30"/>
        <v>205</v>
      </c>
      <c r="R145" s="34">
        <f t="shared" si="31"/>
        <v>38</v>
      </c>
      <c r="S145" s="34">
        <f t="shared" si="32"/>
        <v>0</v>
      </c>
      <c r="T145" s="34">
        <f t="shared" si="33"/>
        <v>350</v>
      </c>
      <c r="U145" s="37">
        <f t="shared" si="34"/>
        <v>0.30571428571428572</v>
      </c>
      <c r="V145" s="37">
        <f t="shared" si="35"/>
        <v>0.58571428571428574</v>
      </c>
      <c r="W145" s="37">
        <f t="shared" si="36"/>
        <v>0.10857142857142857</v>
      </c>
      <c r="X145" s="37">
        <f t="shared" si="37"/>
        <v>0</v>
      </c>
      <c r="Y145" s="35">
        <f t="shared" si="38"/>
        <v>55.662857142857142</v>
      </c>
    </row>
    <row r="146" spans="1:25" x14ac:dyDescent="0.25">
      <c r="A146" s="34" t="s">
        <v>394</v>
      </c>
      <c r="B146" s="34" t="s">
        <v>395</v>
      </c>
      <c r="C146" s="34" t="s">
        <v>260</v>
      </c>
      <c r="D146" s="34">
        <v>3</v>
      </c>
      <c r="E146" s="34"/>
      <c r="F146" s="34">
        <v>1</v>
      </c>
      <c r="G146" s="34"/>
      <c r="H146" s="34">
        <v>264</v>
      </c>
      <c r="I146" s="34">
        <v>60</v>
      </c>
      <c r="J146" s="34"/>
      <c r="K146" s="34">
        <v>138</v>
      </c>
      <c r="L146" s="34">
        <v>2</v>
      </c>
      <c r="M146" s="34">
        <v>465</v>
      </c>
      <c r="N146" s="35">
        <v>41.169892473118281</v>
      </c>
      <c r="O146" s="34" t="s">
        <v>299</v>
      </c>
      <c r="P146" s="34">
        <f t="shared" si="29"/>
        <v>138</v>
      </c>
      <c r="Q146" s="34">
        <f t="shared" si="30"/>
        <v>264</v>
      </c>
      <c r="R146" s="34">
        <f t="shared" si="31"/>
        <v>60</v>
      </c>
      <c r="S146" s="34">
        <f t="shared" si="32"/>
        <v>3</v>
      </c>
      <c r="T146" s="34">
        <f t="shared" si="33"/>
        <v>465</v>
      </c>
      <c r="U146" s="37">
        <f t="shared" si="34"/>
        <v>0.29677419354838708</v>
      </c>
      <c r="V146" s="37">
        <f t="shared" si="35"/>
        <v>0.56774193548387097</v>
      </c>
      <c r="W146" s="37">
        <f t="shared" si="36"/>
        <v>0.12903225806451613</v>
      </c>
      <c r="X146" s="37">
        <f t="shared" si="37"/>
        <v>6.4516129032258064E-3</v>
      </c>
      <c r="Y146" s="35">
        <f t="shared" si="38"/>
        <v>41.169892473118281</v>
      </c>
    </row>
    <row r="147" spans="1:25" x14ac:dyDescent="0.25">
      <c r="A147" s="34" t="s">
        <v>394</v>
      </c>
      <c r="B147" s="34" t="s">
        <v>395</v>
      </c>
      <c r="C147" s="34" t="s">
        <v>260</v>
      </c>
      <c r="D147" s="34">
        <v>4</v>
      </c>
      <c r="E147" s="34"/>
      <c r="F147" s="34"/>
      <c r="G147" s="34"/>
      <c r="H147" s="34">
        <v>207</v>
      </c>
      <c r="I147" s="34">
        <v>78</v>
      </c>
      <c r="J147" s="34"/>
      <c r="K147" s="34">
        <v>180</v>
      </c>
      <c r="L147" s="34"/>
      <c r="M147" s="34">
        <v>465</v>
      </c>
      <c r="N147" s="35">
        <v>25.395698924731182</v>
      </c>
      <c r="O147" s="34" t="s">
        <v>299</v>
      </c>
      <c r="P147" s="34">
        <f t="shared" si="29"/>
        <v>180</v>
      </c>
      <c r="Q147" s="34">
        <f t="shared" si="30"/>
        <v>207</v>
      </c>
      <c r="R147" s="34">
        <f t="shared" si="31"/>
        <v>78</v>
      </c>
      <c r="S147" s="34">
        <f t="shared" si="32"/>
        <v>0</v>
      </c>
      <c r="T147" s="34">
        <f t="shared" si="33"/>
        <v>465</v>
      </c>
      <c r="U147" s="37">
        <f t="shared" si="34"/>
        <v>0.38709677419354838</v>
      </c>
      <c r="V147" s="37">
        <f t="shared" si="35"/>
        <v>0.44516129032258067</v>
      </c>
      <c r="W147" s="37">
        <f t="shared" si="36"/>
        <v>0.16774193548387098</v>
      </c>
      <c r="X147" s="37">
        <f t="shared" si="37"/>
        <v>0</v>
      </c>
      <c r="Y147" s="35">
        <f t="shared" si="38"/>
        <v>25.395698924731182</v>
      </c>
    </row>
    <row r="148" spans="1:25" x14ac:dyDescent="0.25">
      <c r="A148" s="34" t="s">
        <v>396</v>
      </c>
      <c r="B148" s="34" t="s">
        <v>397</v>
      </c>
      <c r="C148" s="34" t="s">
        <v>262</v>
      </c>
      <c r="D148" s="34">
        <v>1</v>
      </c>
      <c r="E148" s="34"/>
      <c r="F148" s="34"/>
      <c r="G148" s="34"/>
      <c r="H148" s="34">
        <v>58</v>
      </c>
      <c r="I148" s="34">
        <v>59</v>
      </c>
      <c r="J148" s="34"/>
      <c r="K148" s="34">
        <v>209</v>
      </c>
      <c r="L148" s="34">
        <v>24</v>
      </c>
      <c r="M148" s="34">
        <v>350</v>
      </c>
      <c r="N148" s="35">
        <v>67.108571428571423</v>
      </c>
      <c r="O148" s="34" t="s">
        <v>299</v>
      </c>
      <c r="P148" s="34">
        <f t="shared" si="29"/>
        <v>209</v>
      </c>
      <c r="Q148" s="34">
        <f t="shared" si="30"/>
        <v>58</v>
      </c>
      <c r="R148" s="34">
        <f t="shared" si="31"/>
        <v>59</v>
      </c>
      <c r="S148" s="34">
        <f t="shared" si="32"/>
        <v>24</v>
      </c>
      <c r="T148" s="34">
        <f t="shared" si="33"/>
        <v>350</v>
      </c>
      <c r="U148" s="37">
        <f t="shared" si="34"/>
        <v>0.5971428571428572</v>
      </c>
      <c r="V148" s="37">
        <f t="shared" si="35"/>
        <v>0.1657142857142857</v>
      </c>
      <c r="W148" s="37">
        <f t="shared" si="36"/>
        <v>0.16857142857142857</v>
      </c>
      <c r="X148" s="37">
        <f t="shared" si="37"/>
        <v>6.8571428571428575E-2</v>
      </c>
      <c r="Y148" s="35">
        <f t="shared" si="38"/>
        <v>67.108571428571423</v>
      </c>
    </row>
    <row r="149" spans="1:25" x14ac:dyDescent="0.25">
      <c r="A149" s="34" t="s">
        <v>396</v>
      </c>
      <c r="B149" s="34" t="s">
        <v>397</v>
      </c>
      <c r="C149" s="34" t="s">
        <v>262</v>
      </c>
      <c r="D149" s="34">
        <v>2</v>
      </c>
      <c r="E149" s="34"/>
      <c r="F149" s="34">
        <v>1</v>
      </c>
      <c r="G149" s="34"/>
      <c r="H149" s="34">
        <v>32</v>
      </c>
      <c r="I149" s="34">
        <v>58</v>
      </c>
      <c r="J149" s="34"/>
      <c r="K149" s="34">
        <v>237</v>
      </c>
      <c r="L149" s="34">
        <v>116</v>
      </c>
      <c r="M149" s="34">
        <v>444</v>
      </c>
      <c r="N149" s="35">
        <v>49.436936936936938</v>
      </c>
      <c r="O149" s="34" t="s">
        <v>299</v>
      </c>
      <c r="P149" s="34">
        <f t="shared" si="29"/>
        <v>237</v>
      </c>
      <c r="Q149" s="34">
        <f t="shared" si="30"/>
        <v>32</v>
      </c>
      <c r="R149" s="34">
        <f t="shared" si="31"/>
        <v>58</v>
      </c>
      <c r="S149" s="34">
        <f t="shared" si="32"/>
        <v>117</v>
      </c>
      <c r="T149" s="34">
        <f t="shared" si="33"/>
        <v>444</v>
      </c>
      <c r="U149" s="37">
        <f t="shared" si="34"/>
        <v>0.53378378378378377</v>
      </c>
      <c r="V149" s="37">
        <f t="shared" si="35"/>
        <v>7.2072072072072071E-2</v>
      </c>
      <c r="W149" s="37">
        <f t="shared" si="36"/>
        <v>0.13063063063063063</v>
      </c>
      <c r="X149" s="37">
        <f t="shared" si="37"/>
        <v>0.26351351351351349</v>
      </c>
      <c r="Y149" s="35">
        <f t="shared" si="38"/>
        <v>49.436936936936938</v>
      </c>
    </row>
    <row r="150" spans="1:25" x14ac:dyDescent="0.25">
      <c r="A150" s="34" t="s">
        <v>396</v>
      </c>
      <c r="B150" s="34" t="s">
        <v>397</v>
      </c>
      <c r="C150" s="34" t="s">
        <v>262</v>
      </c>
      <c r="D150" s="34">
        <v>3</v>
      </c>
      <c r="E150" s="34">
        <v>12</v>
      </c>
      <c r="F150" s="34"/>
      <c r="G150" s="34"/>
      <c r="H150" s="34">
        <v>10</v>
      </c>
      <c r="I150" s="34">
        <v>55</v>
      </c>
      <c r="J150" s="34">
        <v>2</v>
      </c>
      <c r="K150" s="34">
        <v>313</v>
      </c>
      <c r="L150" s="34">
        <v>53</v>
      </c>
      <c r="M150" s="34">
        <v>445</v>
      </c>
      <c r="N150" s="35">
        <v>35.851685393258428</v>
      </c>
      <c r="O150" s="34" t="s">
        <v>299</v>
      </c>
      <c r="P150" s="34">
        <f t="shared" si="29"/>
        <v>313</v>
      </c>
      <c r="Q150" s="34">
        <f t="shared" si="30"/>
        <v>10</v>
      </c>
      <c r="R150" s="34">
        <f t="shared" si="31"/>
        <v>55</v>
      </c>
      <c r="S150" s="34">
        <f t="shared" si="32"/>
        <v>67</v>
      </c>
      <c r="T150" s="34">
        <f t="shared" si="33"/>
        <v>445</v>
      </c>
      <c r="U150" s="37">
        <f t="shared" si="34"/>
        <v>0.70337078651685392</v>
      </c>
      <c r="V150" s="37">
        <f t="shared" si="35"/>
        <v>2.247191011235955E-2</v>
      </c>
      <c r="W150" s="37">
        <f t="shared" si="36"/>
        <v>0.12359550561797752</v>
      </c>
      <c r="X150" s="37">
        <f t="shared" si="37"/>
        <v>0.15056179775280898</v>
      </c>
      <c r="Y150" s="35">
        <f t="shared" si="38"/>
        <v>35.851685393258428</v>
      </c>
    </row>
    <row r="151" spans="1:25" x14ac:dyDescent="0.25">
      <c r="A151" s="34" t="s">
        <v>396</v>
      </c>
      <c r="B151" s="34" t="s">
        <v>397</v>
      </c>
      <c r="C151" s="34" t="s">
        <v>262</v>
      </c>
      <c r="D151" s="34">
        <v>4</v>
      </c>
      <c r="E151" s="34">
        <v>10</v>
      </c>
      <c r="F151" s="34"/>
      <c r="G151" s="34"/>
      <c r="H151" s="34">
        <v>15</v>
      </c>
      <c r="I151" s="34">
        <v>58</v>
      </c>
      <c r="J151" s="34"/>
      <c r="K151" s="34">
        <v>355</v>
      </c>
      <c r="L151" s="34">
        <v>7</v>
      </c>
      <c r="M151" s="34">
        <v>445</v>
      </c>
      <c r="N151" s="35">
        <v>24.429213483146068</v>
      </c>
      <c r="O151" s="34" t="s">
        <v>299</v>
      </c>
      <c r="P151" s="34">
        <f t="shared" si="29"/>
        <v>355</v>
      </c>
      <c r="Q151" s="34">
        <f t="shared" si="30"/>
        <v>15</v>
      </c>
      <c r="R151" s="34">
        <f t="shared" si="31"/>
        <v>58</v>
      </c>
      <c r="S151" s="34">
        <f t="shared" si="32"/>
        <v>17</v>
      </c>
      <c r="T151" s="34">
        <f t="shared" si="33"/>
        <v>445</v>
      </c>
      <c r="U151" s="37">
        <f t="shared" si="34"/>
        <v>0.797752808988764</v>
      </c>
      <c r="V151" s="37">
        <f t="shared" si="35"/>
        <v>3.3707865168539325E-2</v>
      </c>
      <c r="W151" s="37">
        <f t="shared" si="36"/>
        <v>0.1303370786516854</v>
      </c>
      <c r="X151" s="37">
        <f t="shared" si="37"/>
        <v>3.8202247191011236E-2</v>
      </c>
      <c r="Y151" s="35">
        <f t="shared" si="38"/>
        <v>24.429213483146068</v>
      </c>
    </row>
    <row r="152" spans="1:25" x14ac:dyDescent="0.25">
      <c r="A152" s="34" t="s">
        <v>398</v>
      </c>
      <c r="B152" s="34" t="s">
        <v>399</v>
      </c>
      <c r="C152" s="34" t="s">
        <v>264</v>
      </c>
      <c r="D152" s="34">
        <v>1</v>
      </c>
      <c r="E152" s="34"/>
      <c r="F152" s="34"/>
      <c r="G152" s="34"/>
      <c r="H152" s="34">
        <v>1</v>
      </c>
      <c r="I152" s="34">
        <v>13</v>
      </c>
      <c r="J152" s="34"/>
      <c r="K152" s="34">
        <v>316</v>
      </c>
      <c r="L152" s="34">
        <v>20</v>
      </c>
      <c r="M152" s="34">
        <v>350</v>
      </c>
      <c r="N152" s="35">
        <v>69.805714285714288</v>
      </c>
      <c r="O152" s="34" t="s">
        <v>299</v>
      </c>
      <c r="P152" s="34">
        <f t="shared" si="29"/>
        <v>316</v>
      </c>
      <c r="Q152" s="34">
        <f t="shared" si="30"/>
        <v>1</v>
      </c>
      <c r="R152" s="34">
        <f t="shared" si="31"/>
        <v>13</v>
      </c>
      <c r="S152" s="34">
        <f t="shared" si="32"/>
        <v>20</v>
      </c>
      <c r="T152" s="34">
        <f t="shared" si="33"/>
        <v>350</v>
      </c>
      <c r="U152" s="37">
        <f t="shared" si="34"/>
        <v>0.9028571428571428</v>
      </c>
      <c r="V152" s="37">
        <f t="shared" si="35"/>
        <v>2.8571428571428571E-3</v>
      </c>
      <c r="W152" s="37">
        <f t="shared" si="36"/>
        <v>3.7142857142857144E-2</v>
      </c>
      <c r="X152" s="37">
        <f t="shared" si="37"/>
        <v>5.7142857142857141E-2</v>
      </c>
      <c r="Y152" s="35">
        <f t="shared" si="38"/>
        <v>69.805714285714288</v>
      </c>
    </row>
    <row r="153" spans="1:25" x14ac:dyDescent="0.25">
      <c r="A153" s="34" t="s">
        <v>398</v>
      </c>
      <c r="B153" s="34" t="s">
        <v>399</v>
      </c>
      <c r="C153" s="34" t="s">
        <v>264</v>
      </c>
      <c r="D153" s="34">
        <v>2</v>
      </c>
      <c r="E153" s="34"/>
      <c r="F153" s="34"/>
      <c r="G153" s="34"/>
      <c r="H153" s="34"/>
      <c r="I153" s="34">
        <v>17</v>
      </c>
      <c r="J153" s="34"/>
      <c r="K153" s="34">
        <v>314</v>
      </c>
      <c r="L153" s="34">
        <v>19</v>
      </c>
      <c r="M153" s="34">
        <v>350</v>
      </c>
      <c r="N153" s="35">
        <v>56.845714285714287</v>
      </c>
      <c r="O153" s="34" t="s">
        <v>299</v>
      </c>
      <c r="P153" s="34">
        <f t="shared" si="29"/>
        <v>314</v>
      </c>
      <c r="Q153" s="34">
        <f t="shared" si="30"/>
        <v>0</v>
      </c>
      <c r="R153" s="34">
        <f t="shared" si="31"/>
        <v>17</v>
      </c>
      <c r="S153" s="34">
        <f t="shared" si="32"/>
        <v>19</v>
      </c>
      <c r="T153" s="34">
        <f t="shared" si="33"/>
        <v>350</v>
      </c>
      <c r="U153" s="37">
        <f t="shared" si="34"/>
        <v>0.89714285714285713</v>
      </c>
      <c r="V153" s="37">
        <f t="shared" si="35"/>
        <v>0</v>
      </c>
      <c r="W153" s="37">
        <f t="shared" si="36"/>
        <v>4.8571428571428571E-2</v>
      </c>
      <c r="X153" s="37">
        <f t="shared" si="37"/>
        <v>5.4285714285714284E-2</v>
      </c>
      <c r="Y153" s="35">
        <f t="shared" si="38"/>
        <v>56.845714285714287</v>
      </c>
    </row>
    <row r="154" spans="1:25" x14ac:dyDescent="0.25">
      <c r="A154" s="34" t="s">
        <v>398</v>
      </c>
      <c r="B154" s="34" t="s">
        <v>399</v>
      </c>
      <c r="C154" s="34" t="s">
        <v>264</v>
      </c>
      <c r="D154" s="34">
        <v>3</v>
      </c>
      <c r="E154" s="34"/>
      <c r="F154" s="34"/>
      <c r="G154" s="34"/>
      <c r="H154" s="34">
        <v>2</v>
      </c>
      <c r="I154" s="34">
        <v>2</v>
      </c>
      <c r="J154" s="34">
        <v>3</v>
      </c>
      <c r="K154" s="34">
        <v>455</v>
      </c>
      <c r="L154" s="34">
        <v>60</v>
      </c>
      <c r="M154" s="34">
        <v>522</v>
      </c>
      <c r="N154" s="35">
        <v>42.597701149425291</v>
      </c>
      <c r="O154" s="34" t="s">
        <v>299</v>
      </c>
      <c r="P154" s="34">
        <f t="shared" si="29"/>
        <v>455</v>
      </c>
      <c r="Q154" s="34">
        <f t="shared" si="30"/>
        <v>2</v>
      </c>
      <c r="R154" s="34">
        <f t="shared" si="31"/>
        <v>2</v>
      </c>
      <c r="S154" s="34">
        <f t="shared" si="32"/>
        <v>63</v>
      </c>
      <c r="T154" s="34">
        <f t="shared" si="33"/>
        <v>522</v>
      </c>
      <c r="U154" s="37">
        <f t="shared" si="34"/>
        <v>0.87164750957854409</v>
      </c>
      <c r="V154" s="37">
        <f t="shared" si="35"/>
        <v>3.8314176245210726E-3</v>
      </c>
      <c r="W154" s="37">
        <f t="shared" si="36"/>
        <v>3.8314176245210726E-3</v>
      </c>
      <c r="X154" s="37">
        <f t="shared" si="37"/>
        <v>0.1206896551724138</v>
      </c>
      <c r="Y154" s="35">
        <f t="shared" si="38"/>
        <v>42.597701149425291</v>
      </c>
    </row>
    <row r="155" spans="1:25" x14ac:dyDescent="0.25">
      <c r="A155" s="34" t="s">
        <v>398</v>
      </c>
      <c r="B155" s="34" t="s">
        <v>399</v>
      </c>
      <c r="C155" s="34" t="s">
        <v>264</v>
      </c>
      <c r="D155" s="34">
        <v>4</v>
      </c>
      <c r="E155" s="34">
        <v>5</v>
      </c>
      <c r="F155" s="34"/>
      <c r="G155" s="34"/>
      <c r="H155" s="34">
        <v>7</v>
      </c>
      <c r="I155" s="34">
        <v>5</v>
      </c>
      <c r="J155" s="34">
        <v>1</v>
      </c>
      <c r="K155" s="34">
        <v>489</v>
      </c>
      <c r="L155" s="34">
        <v>16</v>
      </c>
      <c r="M155" s="34">
        <v>523</v>
      </c>
      <c r="N155" s="35">
        <v>26.030592734225621</v>
      </c>
      <c r="O155" s="34" t="s">
        <v>299</v>
      </c>
      <c r="P155" s="34">
        <f t="shared" si="29"/>
        <v>489</v>
      </c>
      <c r="Q155" s="34">
        <f t="shared" si="30"/>
        <v>7</v>
      </c>
      <c r="R155" s="34">
        <f t="shared" si="31"/>
        <v>5</v>
      </c>
      <c r="S155" s="34">
        <f t="shared" si="32"/>
        <v>22</v>
      </c>
      <c r="T155" s="34">
        <f t="shared" si="33"/>
        <v>523</v>
      </c>
      <c r="U155" s="37">
        <f t="shared" si="34"/>
        <v>0.93499043977055452</v>
      </c>
      <c r="V155" s="37">
        <f t="shared" si="35"/>
        <v>1.338432122370937E-2</v>
      </c>
      <c r="W155" s="37">
        <f t="shared" si="36"/>
        <v>9.5602294455066923E-3</v>
      </c>
      <c r="X155" s="37">
        <f t="shared" si="37"/>
        <v>4.2065009560229447E-2</v>
      </c>
      <c r="Y155" s="35">
        <f t="shared" si="38"/>
        <v>26.030592734225621</v>
      </c>
    </row>
    <row r="156" spans="1:25" x14ac:dyDescent="0.25">
      <c r="A156" s="34" t="s">
        <v>400</v>
      </c>
      <c r="B156" s="34" t="s">
        <v>401</v>
      </c>
      <c r="C156" s="34" t="s">
        <v>266</v>
      </c>
      <c r="D156" s="34">
        <v>1</v>
      </c>
      <c r="E156" s="34"/>
      <c r="F156" s="34"/>
      <c r="G156" s="34"/>
      <c r="H156" s="34">
        <v>5</v>
      </c>
      <c r="I156" s="34">
        <v>20</v>
      </c>
      <c r="J156" s="34"/>
      <c r="K156" s="34">
        <v>266</v>
      </c>
      <c r="L156" s="34"/>
      <c r="M156" s="34">
        <v>291</v>
      </c>
      <c r="N156" s="35">
        <v>49.996563573883158</v>
      </c>
      <c r="O156" s="34" t="s">
        <v>299</v>
      </c>
      <c r="P156" s="34">
        <f t="shared" si="29"/>
        <v>266</v>
      </c>
      <c r="Q156" s="34">
        <f t="shared" si="30"/>
        <v>5</v>
      </c>
      <c r="R156" s="34">
        <f t="shared" si="31"/>
        <v>20</v>
      </c>
      <c r="S156" s="34">
        <f t="shared" si="32"/>
        <v>0</v>
      </c>
      <c r="T156" s="34">
        <f t="shared" si="33"/>
        <v>291</v>
      </c>
      <c r="U156" s="37">
        <f t="shared" si="34"/>
        <v>0.91408934707903777</v>
      </c>
      <c r="V156" s="37">
        <f t="shared" si="35"/>
        <v>1.7182130584192441E-2</v>
      </c>
      <c r="W156" s="37">
        <f t="shared" si="36"/>
        <v>6.8728522336769765E-2</v>
      </c>
      <c r="X156" s="37">
        <f t="shared" si="37"/>
        <v>0</v>
      </c>
      <c r="Y156" s="35">
        <f t="shared" si="38"/>
        <v>49.996563573883158</v>
      </c>
    </row>
    <row r="157" spans="1:25" x14ac:dyDescent="0.25">
      <c r="A157" s="34" t="s">
        <v>402</v>
      </c>
      <c r="B157" s="34" t="s">
        <v>403</v>
      </c>
      <c r="C157" s="34" t="s">
        <v>268</v>
      </c>
      <c r="D157" s="34">
        <v>1</v>
      </c>
      <c r="E157" s="34"/>
      <c r="F157" s="34"/>
      <c r="G157" s="34"/>
      <c r="H157" s="34">
        <v>130</v>
      </c>
      <c r="I157" s="34">
        <v>11</v>
      </c>
      <c r="J157" s="34"/>
      <c r="K157" s="34">
        <v>59</v>
      </c>
      <c r="L157" s="34"/>
      <c r="M157" s="34">
        <v>200</v>
      </c>
      <c r="N157" s="35">
        <v>67.81</v>
      </c>
      <c r="O157" s="34" t="s">
        <v>299</v>
      </c>
      <c r="P157" s="34">
        <f t="shared" si="29"/>
        <v>59</v>
      </c>
      <c r="Q157" s="34">
        <f t="shared" si="30"/>
        <v>130</v>
      </c>
      <c r="R157" s="34">
        <f t="shared" si="31"/>
        <v>11</v>
      </c>
      <c r="S157" s="34">
        <f t="shared" si="32"/>
        <v>0</v>
      </c>
      <c r="T157" s="34">
        <f t="shared" si="33"/>
        <v>200</v>
      </c>
      <c r="U157" s="37">
        <f t="shared" si="34"/>
        <v>0.29499999999999998</v>
      </c>
      <c r="V157" s="37">
        <f t="shared" si="35"/>
        <v>0.65</v>
      </c>
      <c r="W157" s="37">
        <f t="shared" si="36"/>
        <v>5.5E-2</v>
      </c>
      <c r="X157" s="37">
        <f t="shared" si="37"/>
        <v>0</v>
      </c>
      <c r="Y157" s="35">
        <f t="shared" si="38"/>
        <v>67.81</v>
      </c>
    </row>
    <row r="158" spans="1:25" x14ac:dyDescent="0.25">
      <c r="A158" s="34" t="s">
        <v>402</v>
      </c>
      <c r="B158" s="34" t="s">
        <v>403</v>
      </c>
      <c r="C158" s="34" t="s">
        <v>268</v>
      </c>
      <c r="D158" s="34">
        <v>2</v>
      </c>
      <c r="E158" s="34"/>
      <c r="F158" s="34"/>
      <c r="G158" s="34"/>
      <c r="H158" s="34">
        <v>126</v>
      </c>
      <c r="I158" s="34">
        <v>31</v>
      </c>
      <c r="J158" s="34"/>
      <c r="K158" s="34">
        <v>214</v>
      </c>
      <c r="L158" s="34"/>
      <c r="M158" s="34">
        <v>371</v>
      </c>
      <c r="N158" s="35">
        <v>36.493261455525605</v>
      </c>
      <c r="O158" s="34" t="s">
        <v>299</v>
      </c>
      <c r="P158" s="34">
        <f t="shared" si="29"/>
        <v>214</v>
      </c>
      <c r="Q158" s="34">
        <f t="shared" si="30"/>
        <v>126</v>
      </c>
      <c r="R158" s="34">
        <f t="shared" si="31"/>
        <v>31</v>
      </c>
      <c r="S158" s="34">
        <f t="shared" si="32"/>
        <v>0</v>
      </c>
      <c r="T158" s="34">
        <f t="shared" si="33"/>
        <v>371</v>
      </c>
      <c r="U158" s="37">
        <f t="shared" si="34"/>
        <v>0.5768194070080862</v>
      </c>
      <c r="V158" s="37">
        <f t="shared" si="35"/>
        <v>0.33962264150943394</v>
      </c>
      <c r="W158" s="37">
        <f t="shared" si="36"/>
        <v>8.3557951482479784E-2</v>
      </c>
      <c r="X158" s="37">
        <f t="shared" si="37"/>
        <v>0</v>
      </c>
      <c r="Y158" s="35">
        <f t="shared" si="38"/>
        <v>36.493261455525605</v>
      </c>
    </row>
    <row r="159" spans="1:25" x14ac:dyDescent="0.25">
      <c r="A159" s="34" t="s">
        <v>404</v>
      </c>
      <c r="B159" s="34" t="s">
        <v>405</v>
      </c>
      <c r="C159" s="34" t="s">
        <v>270</v>
      </c>
      <c r="D159" s="34">
        <v>1</v>
      </c>
      <c r="E159" s="34"/>
      <c r="F159" s="34"/>
      <c r="G159" s="34"/>
      <c r="H159" s="34">
        <v>3</v>
      </c>
      <c r="I159" s="34">
        <v>1</v>
      </c>
      <c r="J159" s="34"/>
      <c r="K159" s="34">
        <v>297</v>
      </c>
      <c r="L159" s="34">
        <v>10</v>
      </c>
      <c r="M159" s="34">
        <v>311</v>
      </c>
      <c r="N159" s="35">
        <v>67.495176848874593</v>
      </c>
      <c r="O159" s="34" t="s">
        <v>299</v>
      </c>
      <c r="P159" s="34">
        <f t="shared" si="29"/>
        <v>297</v>
      </c>
      <c r="Q159" s="34">
        <f t="shared" si="30"/>
        <v>3</v>
      </c>
      <c r="R159" s="34">
        <f t="shared" si="31"/>
        <v>1</v>
      </c>
      <c r="S159" s="34">
        <f t="shared" si="32"/>
        <v>10</v>
      </c>
      <c r="T159" s="34">
        <f t="shared" si="33"/>
        <v>311</v>
      </c>
      <c r="U159" s="37">
        <f t="shared" si="34"/>
        <v>0.954983922829582</v>
      </c>
      <c r="V159" s="37">
        <f t="shared" si="35"/>
        <v>9.6463022508038593E-3</v>
      </c>
      <c r="W159" s="37">
        <f t="shared" si="36"/>
        <v>3.2154340836012861E-3</v>
      </c>
      <c r="X159" s="37">
        <f t="shared" si="37"/>
        <v>3.215434083601286E-2</v>
      </c>
      <c r="Y159" s="35">
        <f t="shared" si="38"/>
        <v>67.495176848874593</v>
      </c>
    </row>
    <row r="160" spans="1:25" x14ac:dyDescent="0.25">
      <c r="A160" s="34" t="s">
        <v>404</v>
      </c>
      <c r="B160" s="34" t="s">
        <v>405</v>
      </c>
      <c r="C160" s="34" t="s">
        <v>270</v>
      </c>
      <c r="D160" s="34">
        <v>2</v>
      </c>
      <c r="E160" s="34"/>
      <c r="F160" s="34"/>
      <c r="G160" s="34">
        <v>2</v>
      </c>
      <c r="H160" s="34">
        <v>4</v>
      </c>
      <c r="I160" s="34"/>
      <c r="J160" s="34">
        <v>1</v>
      </c>
      <c r="K160" s="34">
        <v>386</v>
      </c>
      <c r="L160" s="34">
        <v>19</v>
      </c>
      <c r="M160" s="34">
        <v>412</v>
      </c>
      <c r="N160" s="35">
        <v>49.543689320388353</v>
      </c>
      <c r="O160" s="34" t="s">
        <v>299</v>
      </c>
      <c r="P160" s="34">
        <f t="shared" si="29"/>
        <v>386</v>
      </c>
      <c r="Q160" s="34">
        <f t="shared" si="30"/>
        <v>4</v>
      </c>
      <c r="R160" s="34">
        <f t="shared" si="31"/>
        <v>0</v>
      </c>
      <c r="S160" s="34">
        <f t="shared" si="32"/>
        <v>22</v>
      </c>
      <c r="T160" s="34">
        <f t="shared" si="33"/>
        <v>412</v>
      </c>
      <c r="U160" s="37">
        <f t="shared" si="34"/>
        <v>0.93689320388349517</v>
      </c>
      <c r="V160" s="37">
        <f t="shared" si="35"/>
        <v>9.7087378640776691E-3</v>
      </c>
      <c r="W160" s="37">
        <f t="shared" si="36"/>
        <v>0</v>
      </c>
      <c r="X160" s="37">
        <f t="shared" si="37"/>
        <v>5.3398058252427182E-2</v>
      </c>
      <c r="Y160" s="35">
        <f t="shared" si="38"/>
        <v>49.543689320388353</v>
      </c>
    </row>
    <row r="161" spans="1:25" x14ac:dyDescent="0.25">
      <c r="A161" s="34" t="s">
        <v>404</v>
      </c>
      <c r="B161" s="34" t="s">
        <v>405</v>
      </c>
      <c r="C161" s="34" t="s">
        <v>270</v>
      </c>
      <c r="D161" s="34">
        <v>3</v>
      </c>
      <c r="E161" s="34">
        <v>3</v>
      </c>
      <c r="F161" s="34"/>
      <c r="G161" s="34"/>
      <c r="H161" s="34">
        <v>1</v>
      </c>
      <c r="I161" s="34">
        <v>3</v>
      </c>
      <c r="J161" s="34">
        <v>1</v>
      </c>
      <c r="K161" s="34">
        <v>395</v>
      </c>
      <c r="L161" s="34">
        <v>10</v>
      </c>
      <c r="M161" s="34">
        <v>413</v>
      </c>
      <c r="N161" s="35">
        <v>29.297820823244553</v>
      </c>
      <c r="O161" s="34" t="s">
        <v>299</v>
      </c>
      <c r="P161" s="34">
        <f t="shared" si="29"/>
        <v>395</v>
      </c>
      <c r="Q161" s="34">
        <f t="shared" si="30"/>
        <v>1</v>
      </c>
      <c r="R161" s="34">
        <f t="shared" si="31"/>
        <v>3</v>
      </c>
      <c r="S161" s="34">
        <f t="shared" si="32"/>
        <v>14</v>
      </c>
      <c r="T161" s="34">
        <f t="shared" si="33"/>
        <v>413</v>
      </c>
      <c r="U161" s="37">
        <f t="shared" si="34"/>
        <v>0.95641646489104115</v>
      </c>
      <c r="V161" s="37">
        <f t="shared" si="35"/>
        <v>2.4213075060532689E-3</v>
      </c>
      <c r="W161" s="37">
        <f t="shared" si="36"/>
        <v>7.2639225181598066E-3</v>
      </c>
      <c r="X161" s="37">
        <f t="shared" si="37"/>
        <v>3.3898305084745763E-2</v>
      </c>
      <c r="Y161" s="35">
        <f t="shared" si="38"/>
        <v>29.297820823244553</v>
      </c>
    </row>
    <row r="162" spans="1:25" x14ac:dyDescent="0.25">
      <c r="A162" s="34" t="s">
        <v>406</v>
      </c>
      <c r="B162" s="34" t="s">
        <v>407</v>
      </c>
      <c r="C162" s="34" t="s">
        <v>272</v>
      </c>
      <c r="D162" s="34">
        <v>1</v>
      </c>
      <c r="E162" s="34"/>
      <c r="F162" s="34"/>
      <c r="G162" s="34">
        <v>1</v>
      </c>
      <c r="H162" s="34">
        <v>10</v>
      </c>
      <c r="I162" s="34"/>
      <c r="J162" s="34"/>
      <c r="K162" s="34">
        <v>278</v>
      </c>
      <c r="L162" s="34"/>
      <c r="M162" s="34">
        <v>289</v>
      </c>
      <c r="N162" s="35">
        <v>68.674740484429066</v>
      </c>
      <c r="O162" s="34" t="s">
        <v>299</v>
      </c>
      <c r="P162" s="34">
        <f t="shared" si="29"/>
        <v>278</v>
      </c>
      <c r="Q162" s="34">
        <f t="shared" si="30"/>
        <v>10</v>
      </c>
      <c r="R162" s="34">
        <f t="shared" si="31"/>
        <v>0</v>
      </c>
      <c r="S162" s="34">
        <f t="shared" si="32"/>
        <v>1</v>
      </c>
      <c r="T162" s="34">
        <f t="shared" si="33"/>
        <v>289</v>
      </c>
      <c r="U162" s="37">
        <f t="shared" si="34"/>
        <v>0.96193771626297575</v>
      </c>
      <c r="V162" s="37">
        <f t="shared" si="35"/>
        <v>3.4602076124567477E-2</v>
      </c>
      <c r="W162" s="37">
        <f t="shared" si="36"/>
        <v>0</v>
      </c>
      <c r="X162" s="37">
        <f t="shared" si="37"/>
        <v>3.4602076124567475E-3</v>
      </c>
      <c r="Y162" s="35">
        <f t="shared" si="38"/>
        <v>68.674740484429066</v>
      </c>
    </row>
    <row r="163" spans="1:25" x14ac:dyDescent="0.25">
      <c r="A163" s="34" t="s">
        <v>406</v>
      </c>
      <c r="B163" s="34" t="s">
        <v>407</v>
      </c>
      <c r="C163" s="34" t="s">
        <v>272</v>
      </c>
      <c r="D163" s="34">
        <v>2</v>
      </c>
      <c r="E163" s="34"/>
      <c r="F163" s="34"/>
      <c r="G163" s="34"/>
      <c r="H163" s="34">
        <v>17</v>
      </c>
      <c r="I163" s="34">
        <v>4</v>
      </c>
      <c r="J163" s="34">
        <v>1</v>
      </c>
      <c r="K163" s="34">
        <v>369</v>
      </c>
      <c r="L163" s="34"/>
      <c r="M163" s="34">
        <v>391</v>
      </c>
      <c r="N163" s="35">
        <v>48.664961636828643</v>
      </c>
      <c r="O163" s="34" t="s">
        <v>299</v>
      </c>
      <c r="P163" s="34">
        <f t="shared" si="29"/>
        <v>369</v>
      </c>
      <c r="Q163" s="34">
        <f t="shared" si="30"/>
        <v>17</v>
      </c>
      <c r="R163" s="34">
        <f t="shared" si="31"/>
        <v>4</v>
      </c>
      <c r="S163" s="34">
        <f t="shared" si="32"/>
        <v>1</v>
      </c>
      <c r="T163" s="34">
        <f t="shared" si="33"/>
        <v>391</v>
      </c>
      <c r="U163" s="37">
        <f t="shared" si="34"/>
        <v>0.94373401534526857</v>
      </c>
      <c r="V163" s="37">
        <f t="shared" si="35"/>
        <v>4.3478260869565216E-2</v>
      </c>
      <c r="W163" s="37">
        <f t="shared" si="36"/>
        <v>1.0230179028132993E-2</v>
      </c>
      <c r="X163" s="37">
        <f t="shared" si="37"/>
        <v>2.5575447570332483E-3</v>
      </c>
      <c r="Y163" s="35">
        <f t="shared" si="38"/>
        <v>48.664961636828643</v>
      </c>
    </row>
    <row r="164" spans="1:25" x14ac:dyDescent="0.25">
      <c r="A164" s="34" t="s">
        <v>406</v>
      </c>
      <c r="B164" s="34" t="s">
        <v>407</v>
      </c>
      <c r="C164" s="34" t="s">
        <v>272</v>
      </c>
      <c r="D164" s="34">
        <v>3</v>
      </c>
      <c r="E164" s="34"/>
      <c r="F164" s="34"/>
      <c r="G164" s="34"/>
      <c r="H164" s="34">
        <v>11</v>
      </c>
      <c r="I164" s="34">
        <v>2</v>
      </c>
      <c r="J164" s="34">
        <v>1</v>
      </c>
      <c r="K164" s="34">
        <v>377</v>
      </c>
      <c r="L164" s="34"/>
      <c r="M164" s="34">
        <v>391</v>
      </c>
      <c r="N164" s="35">
        <v>29.112531969309462</v>
      </c>
      <c r="O164" s="34" t="s">
        <v>299</v>
      </c>
      <c r="P164" s="34">
        <f t="shared" si="29"/>
        <v>377</v>
      </c>
      <c r="Q164" s="34">
        <f t="shared" si="30"/>
        <v>11</v>
      </c>
      <c r="R164" s="34">
        <f t="shared" si="31"/>
        <v>2</v>
      </c>
      <c r="S164" s="34">
        <f t="shared" si="32"/>
        <v>1</v>
      </c>
      <c r="T164" s="34">
        <f t="shared" si="33"/>
        <v>391</v>
      </c>
      <c r="U164" s="37">
        <f t="shared" si="34"/>
        <v>0.96419437340153458</v>
      </c>
      <c r="V164" s="37">
        <f t="shared" si="35"/>
        <v>2.8132992327365727E-2</v>
      </c>
      <c r="W164" s="37">
        <f t="shared" si="36"/>
        <v>5.1150895140664966E-3</v>
      </c>
      <c r="X164" s="37">
        <f t="shared" si="37"/>
        <v>2.5575447570332483E-3</v>
      </c>
      <c r="Y164" s="35">
        <f t="shared" si="38"/>
        <v>29.112531969309462</v>
      </c>
    </row>
    <row r="165" spans="1:25" x14ac:dyDescent="0.25">
      <c r="A165" s="34" t="s">
        <v>408</v>
      </c>
      <c r="B165" s="34" t="s">
        <v>409</v>
      </c>
      <c r="C165" s="34" t="s">
        <v>274</v>
      </c>
      <c r="D165" s="34">
        <v>1</v>
      </c>
      <c r="E165" s="34"/>
      <c r="F165" s="34"/>
      <c r="G165" s="34"/>
      <c r="H165" s="34">
        <v>87</v>
      </c>
      <c r="I165" s="34">
        <v>9</v>
      </c>
      <c r="J165" s="34"/>
      <c r="K165" s="34">
        <v>254</v>
      </c>
      <c r="L165" s="34"/>
      <c r="M165" s="34">
        <v>350</v>
      </c>
      <c r="N165" s="35">
        <v>72.068571428571431</v>
      </c>
      <c r="O165" s="34" t="s">
        <v>299</v>
      </c>
      <c r="P165" s="34">
        <f t="shared" si="29"/>
        <v>254</v>
      </c>
      <c r="Q165" s="34">
        <f t="shared" si="30"/>
        <v>87</v>
      </c>
      <c r="R165" s="34">
        <f t="shared" si="31"/>
        <v>9</v>
      </c>
      <c r="S165" s="34">
        <f t="shared" si="32"/>
        <v>0</v>
      </c>
      <c r="T165" s="34">
        <f t="shared" si="33"/>
        <v>350</v>
      </c>
      <c r="U165" s="37">
        <f t="shared" si="34"/>
        <v>0.72571428571428576</v>
      </c>
      <c r="V165" s="37">
        <f t="shared" si="35"/>
        <v>0.24857142857142858</v>
      </c>
      <c r="W165" s="37">
        <f t="shared" si="36"/>
        <v>2.5714285714285714E-2</v>
      </c>
      <c r="X165" s="37">
        <f t="shared" si="37"/>
        <v>0</v>
      </c>
      <c r="Y165" s="35">
        <f t="shared" si="38"/>
        <v>72.068571428571431</v>
      </c>
    </row>
    <row r="166" spans="1:25" x14ac:dyDescent="0.25">
      <c r="A166" s="34" t="s">
        <v>408</v>
      </c>
      <c r="B166" s="34" t="s">
        <v>409</v>
      </c>
      <c r="C166" s="34" t="s">
        <v>274</v>
      </c>
      <c r="D166" s="34">
        <v>2</v>
      </c>
      <c r="E166" s="34"/>
      <c r="F166" s="34"/>
      <c r="G166" s="34"/>
      <c r="H166" s="34">
        <v>86</v>
      </c>
      <c r="I166" s="34">
        <v>8</v>
      </c>
      <c r="J166" s="34"/>
      <c r="K166" s="34">
        <v>256</v>
      </c>
      <c r="L166" s="34"/>
      <c r="M166" s="34">
        <v>350</v>
      </c>
      <c r="N166" s="35">
        <v>62.134285714285717</v>
      </c>
      <c r="O166" s="34" t="s">
        <v>299</v>
      </c>
      <c r="P166" s="34">
        <f t="shared" si="29"/>
        <v>256</v>
      </c>
      <c r="Q166" s="34">
        <f t="shared" si="30"/>
        <v>86</v>
      </c>
      <c r="R166" s="34">
        <f t="shared" si="31"/>
        <v>8</v>
      </c>
      <c r="S166" s="34">
        <f t="shared" si="32"/>
        <v>0</v>
      </c>
      <c r="T166" s="34">
        <f t="shared" si="33"/>
        <v>350</v>
      </c>
      <c r="U166" s="37">
        <f t="shared" si="34"/>
        <v>0.73142857142857143</v>
      </c>
      <c r="V166" s="37">
        <f t="shared" si="35"/>
        <v>0.24571428571428572</v>
      </c>
      <c r="W166" s="37">
        <f t="shared" si="36"/>
        <v>2.2857142857142857E-2</v>
      </c>
      <c r="X166" s="37">
        <f t="shared" si="37"/>
        <v>0</v>
      </c>
      <c r="Y166" s="35">
        <f t="shared" si="38"/>
        <v>62.134285714285717</v>
      </c>
    </row>
    <row r="167" spans="1:25" x14ac:dyDescent="0.25">
      <c r="A167" s="34" t="s">
        <v>408</v>
      </c>
      <c r="B167" s="34" t="s">
        <v>409</v>
      </c>
      <c r="C167" s="34" t="s">
        <v>274</v>
      </c>
      <c r="D167" s="34">
        <v>3</v>
      </c>
      <c r="E167" s="34"/>
      <c r="F167" s="34"/>
      <c r="G167" s="34">
        <v>2</v>
      </c>
      <c r="H167" s="34">
        <v>114</v>
      </c>
      <c r="I167" s="34">
        <v>14</v>
      </c>
      <c r="J167" s="34"/>
      <c r="K167" s="34">
        <v>444</v>
      </c>
      <c r="L167" s="34"/>
      <c r="M167" s="34">
        <v>574</v>
      </c>
      <c r="N167" s="35">
        <v>49.442508710801391</v>
      </c>
      <c r="O167" s="34" t="s">
        <v>299</v>
      </c>
      <c r="P167" s="34">
        <f t="shared" si="29"/>
        <v>444</v>
      </c>
      <c r="Q167" s="34">
        <f t="shared" si="30"/>
        <v>114</v>
      </c>
      <c r="R167" s="34">
        <f t="shared" si="31"/>
        <v>14</v>
      </c>
      <c r="S167" s="34">
        <f t="shared" si="32"/>
        <v>2</v>
      </c>
      <c r="T167" s="34">
        <f t="shared" si="33"/>
        <v>574</v>
      </c>
      <c r="U167" s="37">
        <f t="shared" si="34"/>
        <v>0.77351916376306618</v>
      </c>
      <c r="V167" s="37">
        <f t="shared" si="35"/>
        <v>0.19860627177700349</v>
      </c>
      <c r="W167" s="37">
        <f t="shared" si="36"/>
        <v>2.4390243902439025E-2</v>
      </c>
      <c r="X167" s="37">
        <f t="shared" si="37"/>
        <v>3.4843205574912892E-3</v>
      </c>
      <c r="Y167" s="35">
        <f t="shared" si="38"/>
        <v>49.442508710801391</v>
      </c>
    </row>
    <row r="168" spans="1:25" x14ac:dyDescent="0.25">
      <c r="A168" s="34" t="s">
        <v>408</v>
      </c>
      <c r="B168" s="34" t="s">
        <v>409</v>
      </c>
      <c r="C168" s="34" t="s">
        <v>274</v>
      </c>
      <c r="D168" s="34">
        <v>4</v>
      </c>
      <c r="E168" s="34"/>
      <c r="F168" s="34"/>
      <c r="G168" s="34"/>
      <c r="H168" s="34">
        <v>75</v>
      </c>
      <c r="I168" s="34">
        <v>20</v>
      </c>
      <c r="J168" s="34"/>
      <c r="K168" s="34">
        <v>479</v>
      </c>
      <c r="L168" s="34"/>
      <c r="M168" s="34">
        <v>574</v>
      </c>
      <c r="N168" s="35">
        <v>35.463414634146339</v>
      </c>
      <c r="O168" s="34" t="s">
        <v>299</v>
      </c>
      <c r="P168" s="34">
        <f t="shared" si="29"/>
        <v>479</v>
      </c>
      <c r="Q168" s="34">
        <f t="shared" si="30"/>
        <v>75</v>
      </c>
      <c r="R168" s="34">
        <f t="shared" si="31"/>
        <v>20</v>
      </c>
      <c r="S168" s="34">
        <f t="shared" si="32"/>
        <v>0</v>
      </c>
      <c r="T168" s="34">
        <f t="shared" si="33"/>
        <v>574</v>
      </c>
      <c r="U168" s="37">
        <f t="shared" si="34"/>
        <v>0.83449477351916379</v>
      </c>
      <c r="V168" s="37">
        <f t="shared" si="35"/>
        <v>0.13066202090592335</v>
      </c>
      <c r="W168" s="37">
        <f t="shared" si="36"/>
        <v>3.484320557491289E-2</v>
      </c>
      <c r="X168" s="37">
        <f t="shared" si="37"/>
        <v>0</v>
      </c>
      <c r="Y168" s="35">
        <f t="shared" si="38"/>
        <v>35.463414634146339</v>
      </c>
    </row>
    <row r="169" spans="1:25" x14ac:dyDescent="0.25">
      <c r="A169" s="34" t="s">
        <v>408</v>
      </c>
      <c r="B169" s="34" t="s">
        <v>409</v>
      </c>
      <c r="C169" s="34" t="s">
        <v>274</v>
      </c>
      <c r="D169" s="34">
        <v>5</v>
      </c>
      <c r="E169" s="34"/>
      <c r="F169" s="34"/>
      <c r="G169" s="34"/>
      <c r="H169" s="34">
        <v>68</v>
      </c>
      <c r="I169" s="34">
        <v>14</v>
      </c>
      <c r="J169" s="34"/>
      <c r="K169" s="34">
        <v>492</v>
      </c>
      <c r="L169" s="34"/>
      <c r="M169" s="34">
        <v>574</v>
      </c>
      <c r="N169" s="35">
        <v>24.019163763066203</v>
      </c>
      <c r="O169" s="34" t="s">
        <v>299</v>
      </c>
      <c r="P169" s="34">
        <f t="shared" si="29"/>
        <v>492</v>
      </c>
      <c r="Q169" s="34">
        <f t="shared" si="30"/>
        <v>68</v>
      </c>
      <c r="R169" s="34">
        <f t="shared" si="31"/>
        <v>14</v>
      </c>
      <c r="S169" s="34">
        <f t="shared" si="32"/>
        <v>0</v>
      </c>
      <c r="T169" s="34">
        <f t="shared" si="33"/>
        <v>574</v>
      </c>
      <c r="U169" s="37">
        <f t="shared" si="34"/>
        <v>0.8571428571428571</v>
      </c>
      <c r="V169" s="37">
        <f t="shared" si="35"/>
        <v>0.11846689895470383</v>
      </c>
      <c r="W169" s="37">
        <f t="shared" si="36"/>
        <v>2.4390243902439025E-2</v>
      </c>
      <c r="X169" s="37">
        <f t="shared" si="37"/>
        <v>0</v>
      </c>
      <c r="Y169" s="35">
        <f t="shared" si="38"/>
        <v>24.019163763066203</v>
      </c>
    </row>
    <row r="170" spans="1:25" x14ac:dyDescent="0.25">
      <c r="A170" s="32"/>
      <c r="B170" s="32"/>
      <c r="C170" s="32"/>
      <c r="D170" s="32"/>
      <c r="E170" s="32">
        <v>120</v>
      </c>
      <c r="F170" s="32">
        <v>23</v>
      </c>
      <c r="G170" s="32">
        <v>41</v>
      </c>
      <c r="H170" s="32">
        <v>9861</v>
      </c>
      <c r="I170" s="32">
        <v>3227</v>
      </c>
      <c r="J170" s="32">
        <v>62</v>
      </c>
      <c r="K170" s="32">
        <v>49110</v>
      </c>
      <c r="L170" s="32">
        <v>803</v>
      </c>
      <c r="M170" s="32">
        <v>63247</v>
      </c>
      <c r="N170" s="38">
        <v>47.951168487998252</v>
      </c>
      <c r="O170" s="32"/>
      <c r="P170" s="34">
        <v>49110</v>
      </c>
      <c r="Q170" s="34">
        <v>9861</v>
      </c>
      <c r="R170" s="34">
        <v>3227</v>
      </c>
      <c r="S170" s="34">
        <v>1049</v>
      </c>
      <c r="T170" s="34">
        <v>63247</v>
      </c>
      <c r="U170" s="37">
        <v>0.7764795168150268</v>
      </c>
      <c r="V170" s="37">
        <v>0.15591253340079372</v>
      </c>
      <c r="W170" s="37">
        <v>5.102218287033377E-2</v>
      </c>
      <c r="X170" s="37">
        <v>1.6585766913845716E-2</v>
      </c>
      <c r="Y170" s="35">
        <v>47.951168487998252</v>
      </c>
    </row>
    <row r="172" spans="1:25" x14ac:dyDescent="0.25">
      <c r="A172" s="34" t="s">
        <v>310</v>
      </c>
      <c r="B172" s="34" t="s">
        <v>311</v>
      </c>
      <c r="C172" s="34" t="s">
        <v>312</v>
      </c>
      <c r="D172" s="34"/>
      <c r="E172" s="34"/>
      <c r="F172" s="34"/>
      <c r="G172" s="34"/>
      <c r="H172" s="34"/>
      <c r="I172" s="34"/>
      <c r="J172" s="34"/>
      <c r="K172" s="34">
        <v>1</v>
      </c>
      <c r="L172" s="34"/>
      <c r="M172" s="34">
        <v>1</v>
      </c>
      <c r="N172" s="35">
        <v>43</v>
      </c>
      <c r="O172" s="34" t="s">
        <v>299</v>
      </c>
      <c r="P172" s="34">
        <f t="shared" ref="P172:P178" si="39">K172</f>
        <v>1</v>
      </c>
      <c r="Q172" s="34">
        <f t="shared" ref="Q172:R178" si="40">H172</f>
        <v>0</v>
      </c>
      <c r="R172" s="34">
        <f t="shared" si="40"/>
        <v>0</v>
      </c>
      <c r="S172" s="34">
        <f t="shared" ref="S172:S178" si="41">M172-SUM(P172:R172)</f>
        <v>0</v>
      </c>
      <c r="T172" s="34">
        <f t="shared" ref="T172:T178" si="42">SUM(P172:S172)</f>
        <v>1</v>
      </c>
      <c r="U172" s="37">
        <f t="shared" ref="U172:U178" si="43">P172/M172</f>
        <v>1</v>
      </c>
      <c r="V172" s="37">
        <f t="shared" ref="V172:V178" si="44">Q172/M172</f>
        <v>0</v>
      </c>
      <c r="W172" s="37">
        <f t="shared" ref="W172:W178" si="45">R172/M172</f>
        <v>0</v>
      </c>
      <c r="X172" s="37">
        <f t="shared" ref="X172:X178" si="46">S172/M172</f>
        <v>0</v>
      </c>
      <c r="Y172" s="35">
        <f t="shared" ref="Y172:Y178" si="47">N172</f>
        <v>43</v>
      </c>
    </row>
    <row r="173" spans="1:25" x14ac:dyDescent="0.25">
      <c r="A173" s="34" t="s">
        <v>316</v>
      </c>
      <c r="B173" s="34" t="s">
        <v>317</v>
      </c>
      <c r="C173" s="34" t="s">
        <v>312</v>
      </c>
      <c r="D173" s="34"/>
      <c r="E173" s="34"/>
      <c r="F173" s="34"/>
      <c r="G173" s="34"/>
      <c r="H173" s="34">
        <v>1</v>
      </c>
      <c r="I173" s="34"/>
      <c r="J173" s="34"/>
      <c r="K173" s="34">
        <v>1</v>
      </c>
      <c r="L173" s="34"/>
      <c r="M173" s="34">
        <v>2</v>
      </c>
      <c r="N173" s="35">
        <v>38</v>
      </c>
      <c r="O173" s="34" t="s">
        <v>299</v>
      </c>
      <c r="P173" s="34">
        <f t="shared" si="39"/>
        <v>1</v>
      </c>
      <c r="Q173" s="34">
        <f t="shared" si="40"/>
        <v>1</v>
      </c>
      <c r="R173" s="34">
        <f t="shared" si="40"/>
        <v>0</v>
      </c>
      <c r="S173" s="34">
        <f t="shared" si="41"/>
        <v>0</v>
      </c>
      <c r="T173" s="34">
        <f t="shared" si="42"/>
        <v>2</v>
      </c>
      <c r="U173" s="37">
        <f t="shared" si="43"/>
        <v>0.5</v>
      </c>
      <c r="V173" s="37">
        <f t="shared" si="44"/>
        <v>0.5</v>
      </c>
      <c r="W173" s="37">
        <f t="shared" si="45"/>
        <v>0</v>
      </c>
      <c r="X173" s="37">
        <f t="shared" si="46"/>
        <v>0</v>
      </c>
      <c r="Y173" s="35">
        <f t="shared" si="47"/>
        <v>38</v>
      </c>
    </row>
    <row r="174" spans="1:25" x14ac:dyDescent="0.25">
      <c r="A174" s="34" t="s">
        <v>364</v>
      </c>
      <c r="B174" s="34" t="s">
        <v>365</v>
      </c>
      <c r="C174" s="34" t="s">
        <v>312</v>
      </c>
      <c r="D174" s="34"/>
      <c r="E174" s="34"/>
      <c r="F174" s="34"/>
      <c r="G174" s="34"/>
      <c r="H174" s="34"/>
      <c r="I174" s="34"/>
      <c r="J174" s="34"/>
      <c r="K174" s="34">
        <v>4</v>
      </c>
      <c r="L174" s="34"/>
      <c r="M174" s="34">
        <v>4</v>
      </c>
      <c r="N174" s="35">
        <v>42</v>
      </c>
      <c r="O174" s="34" t="s">
        <v>299</v>
      </c>
      <c r="P174" s="34">
        <f t="shared" si="39"/>
        <v>4</v>
      </c>
      <c r="Q174" s="34">
        <f t="shared" si="40"/>
        <v>0</v>
      </c>
      <c r="R174" s="34">
        <f t="shared" si="40"/>
        <v>0</v>
      </c>
      <c r="S174" s="34">
        <f t="shared" si="41"/>
        <v>0</v>
      </c>
      <c r="T174" s="34">
        <f t="shared" si="42"/>
        <v>4</v>
      </c>
      <c r="U174" s="37">
        <f t="shared" si="43"/>
        <v>1</v>
      </c>
      <c r="V174" s="37">
        <f t="shared" si="44"/>
        <v>0</v>
      </c>
      <c r="W174" s="37">
        <f t="shared" si="45"/>
        <v>0</v>
      </c>
      <c r="X174" s="37">
        <f t="shared" si="46"/>
        <v>0</v>
      </c>
      <c r="Y174" s="35">
        <f t="shared" si="47"/>
        <v>42</v>
      </c>
    </row>
    <row r="175" spans="1:25" x14ac:dyDescent="0.25">
      <c r="A175" s="34" t="s">
        <v>376</v>
      </c>
      <c r="B175" s="34" t="s">
        <v>377</v>
      </c>
      <c r="C175" s="34" t="s">
        <v>312</v>
      </c>
      <c r="D175" s="34"/>
      <c r="E175" s="34"/>
      <c r="F175" s="34"/>
      <c r="G175" s="34"/>
      <c r="H175" s="34">
        <v>1</v>
      </c>
      <c r="I175" s="34"/>
      <c r="J175" s="34"/>
      <c r="K175" s="34"/>
      <c r="L175" s="34"/>
      <c r="M175" s="34">
        <v>1</v>
      </c>
      <c r="N175" s="35">
        <v>61</v>
      </c>
      <c r="O175" s="34" t="s">
        <v>299</v>
      </c>
      <c r="P175" s="34">
        <f t="shared" si="39"/>
        <v>0</v>
      </c>
      <c r="Q175" s="34">
        <f t="shared" si="40"/>
        <v>1</v>
      </c>
      <c r="R175" s="34">
        <f t="shared" si="40"/>
        <v>0</v>
      </c>
      <c r="S175" s="34">
        <f t="shared" si="41"/>
        <v>0</v>
      </c>
      <c r="T175" s="34">
        <f t="shared" si="42"/>
        <v>1</v>
      </c>
      <c r="U175" s="37">
        <f t="shared" si="43"/>
        <v>0</v>
      </c>
      <c r="V175" s="37">
        <f t="shared" si="44"/>
        <v>1</v>
      </c>
      <c r="W175" s="37">
        <f t="shared" si="45"/>
        <v>0</v>
      </c>
      <c r="X175" s="37">
        <f t="shared" si="46"/>
        <v>0</v>
      </c>
      <c r="Y175" s="35">
        <f t="shared" si="47"/>
        <v>61</v>
      </c>
    </row>
    <row r="176" spans="1:25" x14ac:dyDescent="0.25">
      <c r="A176" s="34" t="s">
        <v>384</v>
      </c>
      <c r="B176" s="34" t="s">
        <v>385</v>
      </c>
      <c r="C176" s="34" t="s">
        <v>312</v>
      </c>
      <c r="D176" s="34"/>
      <c r="E176" s="34"/>
      <c r="F176" s="34"/>
      <c r="G176" s="34"/>
      <c r="H176" s="34"/>
      <c r="I176" s="34"/>
      <c r="J176" s="34"/>
      <c r="K176" s="34">
        <v>1</v>
      </c>
      <c r="L176" s="34"/>
      <c r="M176" s="34">
        <v>1</v>
      </c>
      <c r="N176" s="35">
        <v>31</v>
      </c>
      <c r="O176" s="34" t="s">
        <v>299</v>
      </c>
      <c r="P176" s="34">
        <f t="shared" si="39"/>
        <v>1</v>
      </c>
      <c r="Q176" s="34">
        <f t="shared" si="40"/>
        <v>0</v>
      </c>
      <c r="R176" s="34">
        <f t="shared" si="40"/>
        <v>0</v>
      </c>
      <c r="S176" s="34">
        <f t="shared" si="41"/>
        <v>0</v>
      </c>
      <c r="T176" s="34">
        <f t="shared" si="42"/>
        <v>1</v>
      </c>
      <c r="U176" s="37">
        <f t="shared" si="43"/>
        <v>1</v>
      </c>
      <c r="V176" s="37">
        <f t="shared" si="44"/>
        <v>0</v>
      </c>
      <c r="W176" s="37">
        <f t="shared" si="45"/>
        <v>0</v>
      </c>
      <c r="X176" s="37">
        <f t="shared" si="46"/>
        <v>0</v>
      </c>
      <c r="Y176" s="35">
        <f t="shared" si="47"/>
        <v>31</v>
      </c>
    </row>
    <row r="177" spans="1:25" x14ac:dyDescent="0.25">
      <c r="A177" s="34" t="s">
        <v>398</v>
      </c>
      <c r="B177" s="34" t="s">
        <v>399</v>
      </c>
      <c r="C177" s="34" t="s">
        <v>312</v>
      </c>
      <c r="D177" s="34"/>
      <c r="E177" s="34"/>
      <c r="F177" s="34"/>
      <c r="G177" s="34"/>
      <c r="H177" s="34"/>
      <c r="I177" s="34"/>
      <c r="J177" s="34"/>
      <c r="K177" s="34">
        <v>1</v>
      </c>
      <c r="L177" s="34"/>
      <c r="M177" s="34">
        <v>1</v>
      </c>
      <c r="N177" s="35">
        <v>34</v>
      </c>
      <c r="O177" s="34" t="s">
        <v>299</v>
      </c>
      <c r="P177" s="34">
        <f t="shared" si="39"/>
        <v>1</v>
      </c>
      <c r="Q177" s="34">
        <f t="shared" si="40"/>
        <v>0</v>
      </c>
      <c r="R177" s="34">
        <f t="shared" si="40"/>
        <v>0</v>
      </c>
      <c r="S177" s="34">
        <f t="shared" si="41"/>
        <v>0</v>
      </c>
      <c r="T177" s="34">
        <f t="shared" si="42"/>
        <v>1</v>
      </c>
      <c r="U177" s="37">
        <f t="shared" si="43"/>
        <v>1</v>
      </c>
      <c r="V177" s="37">
        <f t="shared" si="44"/>
        <v>0</v>
      </c>
      <c r="W177" s="37">
        <f t="shared" si="45"/>
        <v>0</v>
      </c>
      <c r="X177" s="37">
        <f t="shared" si="46"/>
        <v>0</v>
      </c>
      <c r="Y177" s="35">
        <f t="shared" si="47"/>
        <v>34</v>
      </c>
    </row>
    <row r="178" spans="1:25" x14ac:dyDescent="0.25">
      <c r="A178" s="32"/>
      <c r="B178" s="32"/>
      <c r="C178" s="40" t="s">
        <v>420</v>
      </c>
      <c r="D178" s="32"/>
      <c r="E178" s="32">
        <f>SUM(E172:E177)</f>
        <v>0</v>
      </c>
      <c r="F178" s="32">
        <f t="shared" ref="F178:M178" si="48">SUM(F172:F177)</f>
        <v>0</v>
      </c>
      <c r="G178" s="32">
        <f t="shared" si="48"/>
        <v>0</v>
      </c>
      <c r="H178" s="32">
        <f t="shared" si="48"/>
        <v>2</v>
      </c>
      <c r="I178" s="32">
        <f t="shared" si="48"/>
        <v>0</v>
      </c>
      <c r="J178" s="32">
        <f t="shared" si="48"/>
        <v>0</v>
      </c>
      <c r="K178" s="32">
        <f t="shared" si="48"/>
        <v>8</v>
      </c>
      <c r="L178" s="32">
        <f t="shared" si="48"/>
        <v>0</v>
      </c>
      <c r="M178" s="32">
        <f t="shared" si="48"/>
        <v>10</v>
      </c>
      <c r="N178" s="38">
        <f>AVERAGE(N172:N177)</f>
        <v>41.5</v>
      </c>
      <c r="O178" s="32"/>
      <c r="P178" s="34">
        <f t="shared" si="39"/>
        <v>8</v>
      </c>
      <c r="Q178" s="34">
        <f t="shared" si="40"/>
        <v>2</v>
      </c>
      <c r="R178" s="34">
        <f t="shared" si="40"/>
        <v>0</v>
      </c>
      <c r="S178" s="34">
        <f t="shared" si="41"/>
        <v>0</v>
      </c>
      <c r="T178" s="34">
        <f t="shared" si="42"/>
        <v>10</v>
      </c>
      <c r="U178" s="37">
        <f t="shared" si="43"/>
        <v>0.8</v>
      </c>
      <c r="V178" s="37">
        <f t="shared" si="44"/>
        <v>0.2</v>
      </c>
      <c r="W178" s="37">
        <f t="shared" si="45"/>
        <v>0</v>
      </c>
      <c r="X178" s="37">
        <f t="shared" si="46"/>
        <v>0</v>
      </c>
      <c r="Y178" s="35">
        <f t="shared" si="47"/>
        <v>41.5</v>
      </c>
    </row>
    <row r="180" spans="1:25" x14ac:dyDescent="0.25">
      <c r="A180" s="34" t="s">
        <v>332</v>
      </c>
      <c r="B180" s="34" t="s">
        <v>333</v>
      </c>
      <c r="C180" s="34" t="s">
        <v>156</v>
      </c>
      <c r="D180" s="34">
        <v>1</v>
      </c>
      <c r="E180" s="34"/>
      <c r="F180" s="34">
        <v>1</v>
      </c>
      <c r="G180" s="34"/>
      <c r="H180" s="34"/>
      <c r="I180" s="34"/>
      <c r="J180" s="34"/>
      <c r="K180" s="34">
        <v>10</v>
      </c>
      <c r="L180" s="34"/>
      <c r="M180" s="34">
        <v>11</v>
      </c>
      <c r="N180" s="35">
        <v>37.545454545454547</v>
      </c>
      <c r="O180" s="34" t="s">
        <v>299</v>
      </c>
      <c r="P180" s="34">
        <f t="shared" ref="P180:P189" si="49">K180</f>
        <v>10</v>
      </c>
      <c r="Q180" s="34">
        <f t="shared" ref="Q180:Q189" si="50">H180</f>
        <v>0</v>
      </c>
      <c r="R180" s="34">
        <f t="shared" ref="R180:R189" si="51">I180</f>
        <v>0</v>
      </c>
      <c r="S180" s="34">
        <f t="shared" ref="S180:S189" si="52">M180-SUM(P180:R180)</f>
        <v>1</v>
      </c>
      <c r="T180" s="34">
        <f t="shared" ref="T180:T189" si="53">SUM(P180:S180)</f>
        <v>11</v>
      </c>
      <c r="U180" s="37">
        <f t="shared" ref="U180:U189" si="54">P180/M180</f>
        <v>0.90909090909090906</v>
      </c>
      <c r="V180" s="37">
        <f t="shared" ref="V180:V189" si="55">Q180/M180</f>
        <v>0</v>
      </c>
      <c r="W180" s="37">
        <f t="shared" ref="W180:W189" si="56">R180/M180</f>
        <v>0</v>
      </c>
      <c r="X180" s="37">
        <f t="shared" ref="X180:X189" si="57">S180/M180</f>
        <v>9.0909090909090912E-2</v>
      </c>
      <c r="Y180" s="35">
        <f t="shared" ref="Y180:Y189" si="58">N180</f>
        <v>37.545454545454547</v>
      </c>
    </row>
    <row r="181" spans="1:25" x14ac:dyDescent="0.25">
      <c r="A181" s="34" t="s">
        <v>336</v>
      </c>
      <c r="B181" s="34" t="s">
        <v>337</v>
      </c>
      <c r="C181" s="34" t="s">
        <v>156</v>
      </c>
      <c r="D181" s="34">
        <v>1</v>
      </c>
      <c r="E181" s="34"/>
      <c r="F181" s="34"/>
      <c r="G181" s="34"/>
      <c r="H181" s="34"/>
      <c r="I181" s="34"/>
      <c r="J181" s="34"/>
      <c r="K181" s="34">
        <v>7</v>
      </c>
      <c r="L181" s="34"/>
      <c r="M181" s="34">
        <v>7</v>
      </c>
      <c r="N181" s="35">
        <v>30.142857142857142</v>
      </c>
      <c r="O181" s="34" t="s">
        <v>299</v>
      </c>
      <c r="P181" s="34">
        <f t="shared" si="49"/>
        <v>7</v>
      </c>
      <c r="Q181" s="34">
        <f t="shared" si="50"/>
        <v>0</v>
      </c>
      <c r="R181" s="34">
        <f t="shared" si="51"/>
        <v>0</v>
      </c>
      <c r="S181" s="34">
        <f t="shared" si="52"/>
        <v>0</v>
      </c>
      <c r="T181" s="34">
        <f t="shared" si="53"/>
        <v>7</v>
      </c>
      <c r="U181" s="37">
        <f t="shared" si="54"/>
        <v>1</v>
      </c>
      <c r="V181" s="37">
        <f t="shared" si="55"/>
        <v>0</v>
      </c>
      <c r="W181" s="37">
        <f t="shared" si="56"/>
        <v>0</v>
      </c>
      <c r="X181" s="37">
        <f t="shared" si="57"/>
        <v>0</v>
      </c>
      <c r="Y181" s="35">
        <f t="shared" si="58"/>
        <v>30.142857142857142</v>
      </c>
    </row>
    <row r="182" spans="1:25" x14ac:dyDescent="0.25">
      <c r="A182" s="34" t="s">
        <v>342</v>
      </c>
      <c r="B182" s="34" t="s">
        <v>343</v>
      </c>
      <c r="C182" s="34" t="s">
        <v>156</v>
      </c>
      <c r="D182" s="34">
        <v>1</v>
      </c>
      <c r="E182" s="34"/>
      <c r="F182" s="34"/>
      <c r="G182" s="34"/>
      <c r="H182" s="34"/>
      <c r="I182" s="34"/>
      <c r="J182" s="34"/>
      <c r="K182" s="34">
        <v>8</v>
      </c>
      <c r="L182" s="34"/>
      <c r="M182" s="34">
        <v>8</v>
      </c>
      <c r="N182" s="35">
        <v>39</v>
      </c>
      <c r="O182" s="34" t="s">
        <v>299</v>
      </c>
      <c r="P182" s="34">
        <f t="shared" si="49"/>
        <v>8</v>
      </c>
      <c r="Q182" s="34">
        <f t="shared" si="50"/>
        <v>0</v>
      </c>
      <c r="R182" s="34">
        <f t="shared" si="51"/>
        <v>0</v>
      </c>
      <c r="S182" s="34">
        <f t="shared" si="52"/>
        <v>0</v>
      </c>
      <c r="T182" s="34">
        <f t="shared" si="53"/>
        <v>8</v>
      </c>
      <c r="U182" s="37">
        <f t="shared" si="54"/>
        <v>1</v>
      </c>
      <c r="V182" s="37">
        <f t="shared" si="55"/>
        <v>0</v>
      </c>
      <c r="W182" s="37">
        <f t="shared" si="56"/>
        <v>0</v>
      </c>
      <c r="X182" s="37">
        <f t="shared" si="57"/>
        <v>0</v>
      </c>
      <c r="Y182" s="35">
        <f t="shared" si="58"/>
        <v>39</v>
      </c>
    </row>
    <row r="183" spans="1:25" x14ac:dyDescent="0.25">
      <c r="A183" s="32"/>
      <c r="B183" s="32"/>
      <c r="C183" s="32" t="str">
        <f>C182</f>
        <v>RUANG A, DEWAN SERBAGUNA IPD KUALA PILAH (DUN SERI MENANTI)</v>
      </c>
      <c r="D183" s="32">
        <f>D182</f>
        <v>1</v>
      </c>
      <c r="E183" s="32">
        <f>SUM(E180:E182)</f>
        <v>0</v>
      </c>
      <c r="F183" s="32">
        <f t="shared" ref="F183:M183" si="59">SUM(F180:F182)</f>
        <v>1</v>
      </c>
      <c r="G183" s="32">
        <f t="shared" si="59"/>
        <v>0</v>
      </c>
      <c r="H183" s="32">
        <f t="shared" si="59"/>
        <v>0</v>
      </c>
      <c r="I183" s="32">
        <f t="shared" si="59"/>
        <v>0</v>
      </c>
      <c r="J183" s="32">
        <f t="shared" si="59"/>
        <v>0</v>
      </c>
      <c r="K183" s="32">
        <f t="shared" si="59"/>
        <v>25</v>
      </c>
      <c r="L183" s="32">
        <f t="shared" si="59"/>
        <v>0</v>
      </c>
      <c r="M183" s="32">
        <f t="shared" si="59"/>
        <v>26</v>
      </c>
      <c r="N183" s="38">
        <f>AVERAGE(N180:N182)</f>
        <v>35.562770562770559</v>
      </c>
      <c r="O183" s="32"/>
      <c r="P183" s="34">
        <f t="shared" si="49"/>
        <v>25</v>
      </c>
      <c r="Q183" s="34">
        <f t="shared" si="50"/>
        <v>0</v>
      </c>
      <c r="R183" s="34">
        <f t="shared" si="51"/>
        <v>0</v>
      </c>
      <c r="S183" s="34">
        <f t="shared" si="52"/>
        <v>1</v>
      </c>
      <c r="T183" s="34">
        <f t="shared" si="53"/>
        <v>26</v>
      </c>
      <c r="U183" s="37">
        <f t="shared" si="54"/>
        <v>0.96153846153846156</v>
      </c>
      <c r="V183" s="37">
        <f t="shared" si="55"/>
        <v>0</v>
      </c>
      <c r="W183" s="37">
        <f t="shared" si="56"/>
        <v>0</v>
      </c>
      <c r="X183" s="37">
        <f t="shared" si="57"/>
        <v>3.8461538461538464E-2</v>
      </c>
      <c r="Y183" s="35">
        <f t="shared" si="58"/>
        <v>35.562770562770559</v>
      </c>
    </row>
    <row r="184" spans="1:25" x14ac:dyDescent="0.25">
      <c r="A184" s="34" t="s">
        <v>370</v>
      </c>
      <c r="B184" s="34" t="s">
        <v>371</v>
      </c>
      <c r="C184" s="34" t="s">
        <v>158</v>
      </c>
      <c r="D184" s="34">
        <v>1</v>
      </c>
      <c r="E184" s="34"/>
      <c r="F184" s="34">
        <v>1</v>
      </c>
      <c r="G184" s="34">
        <v>2</v>
      </c>
      <c r="H184" s="34"/>
      <c r="I184" s="34">
        <v>1</v>
      </c>
      <c r="J184" s="34"/>
      <c r="K184" s="34">
        <v>42</v>
      </c>
      <c r="L184" s="34"/>
      <c r="M184" s="34">
        <v>46</v>
      </c>
      <c r="N184" s="35">
        <v>36.826086956521742</v>
      </c>
      <c r="O184" s="34" t="s">
        <v>299</v>
      </c>
      <c r="P184" s="34">
        <f t="shared" si="49"/>
        <v>42</v>
      </c>
      <c r="Q184" s="34">
        <f t="shared" si="50"/>
        <v>0</v>
      </c>
      <c r="R184" s="34">
        <f t="shared" si="51"/>
        <v>1</v>
      </c>
      <c r="S184" s="34">
        <f t="shared" si="52"/>
        <v>3</v>
      </c>
      <c r="T184" s="34">
        <f t="shared" si="53"/>
        <v>46</v>
      </c>
      <c r="U184" s="37">
        <f t="shared" si="54"/>
        <v>0.91304347826086951</v>
      </c>
      <c r="V184" s="37">
        <f t="shared" si="55"/>
        <v>0</v>
      </c>
      <c r="W184" s="37">
        <f t="shared" si="56"/>
        <v>2.1739130434782608E-2</v>
      </c>
      <c r="X184" s="37">
        <f t="shared" si="57"/>
        <v>6.5217391304347824E-2</v>
      </c>
      <c r="Y184" s="35">
        <f t="shared" si="58"/>
        <v>36.826086956521742</v>
      </c>
    </row>
    <row r="185" spans="1:25" x14ac:dyDescent="0.25">
      <c r="A185" s="34" t="s">
        <v>376</v>
      </c>
      <c r="B185" s="34" t="s">
        <v>377</v>
      </c>
      <c r="C185" s="34" t="s">
        <v>158</v>
      </c>
      <c r="D185" s="34">
        <v>1</v>
      </c>
      <c r="E185" s="34">
        <v>1</v>
      </c>
      <c r="F185" s="34">
        <v>1</v>
      </c>
      <c r="G185" s="34">
        <v>5</v>
      </c>
      <c r="H185" s="34">
        <v>2</v>
      </c>
      <c r="I185" s="34">
        <v>8</v>
      </c>
      <c r="J185" s="34">
        <v>1</v>
      </c>
      <c r="K185" s="34">
        <v>253</v>
      </c>
      <c r="L185" s="34"/>
      <c r="M185" s="34">
        <v>271</v>
      </c>
      <c r="N185" s="35">
        <v>35.915129151291509</v>
      </c>
      <c r="O185" s="34" t="s">
        <v>299</v>
      </c>
      <c r="P185" s="34">
        <f t="shared" si="49"/>
        <v>253</v>
      </c>
      <c r="Q185" s="34">
        <f t="shared" si="50"/>
        <v>2</v>
      </c>
      <c r="R185" s="34">
        <f t="shared" si="51"/>
        <v>8</v>
      </c>
      <c r="S185" s="34">
        <f t="shared" si="52"/>
        <v>8</v>
      </c>
      <c r="T185" s="34">
        <f t="shared" si="53"/>
        <v>271</v>
      </c>
      <c r="U185" s="37">
        <f t="shared" si="54"/>
        <v>0.93357933579335795</v>
      </c>
      <c r="V185" s="37">
        <f t="shared" si="55"/>
        <v>7.3800738007380072E-3</v>
      </c>
      <c r="W185" s="37">
        <f t="shared" si="56"/>
        <v>2.9520295202952029E-2</v>
      </c>
      <c r="X185" s="37">
        <f t="shared" si="57"/>
        <v>2.9520295202952029E-2</v>
      </c>
      <c r="Y185" s="35">
        <f t="shared" si="58"/>
        <v>35.915129151291509</v>
      </c>
    </row>
    <row r="186" spans="1:25" x14ac:dyDescent="0.25">
      <c r="A186" s="32"/>
      <c r="B186" s="32"/>
      <c r="C186" s="32" t="str">
        <f>C185</f>
        <v>RUANG B, DEWAN SERBAGUNA IPD KUALA PILAH (DUN PILAH)</v>
      </c>
      <c r="D186" s="32">
        <f>D185</f>
        <v>1</v>
      </c>
      <c r="E186" s="32">
        <f t="shared" ref="E186:M186" si="60">SUM(E184:E185)</f>
        <v>1</v>
      </c>
      <c r="F186" s="32">
        <f t="shared" si="60"/>
        <v>2</v>
      </c>
      <c r="G186" s="32">
        <f t="shared" si="60"/>
        <v>7</v>
      </c>
      <c r="H186" s="32">
        <f t="shared" si="60"/>
        <v>2</v>
      </c>
      <c r="I186" s="32">
        <f t="shared" si="60"/>
        <v>9</v>
      </c>
      <c r="J186" s="32">
        <f t="shared" si="60"/>
        <v>1</v>
      </c>
      <c r="K186" s="32">
        <f t="shared" si="60"/>
        <v>295</v>
      </c>
      <c r="L186" s="32">
        <f t="shared" si="60"/>
        <v>0</v>
      </c>
      <c r="M186" s="32">
        <f t="shared" si="60"/>
        <v>317</v>
      </c>
      <c r="N186" s="38">
        <f>AVERAGE(N184:N185)</f>
        <v>36.370608053906622</v>
      </c>
      <c r="O186" s="32"/>
      <c r="P186" s="34">
        <f t="shared" si="49"/>
        <v>295</v>
      </c>
      <c r="Q186" s="34">
        <f t="shared" si="50"/>
        <v>2</v>
      </c>
      <c r="R186" s="34">
        <f t="shared" si="51"/>
        <v>9</v>
      </c>
      <c r="S186" s="34">
        <f t="shared" si="52"/>
        <v>11</v>
      </c>
      <c r="T186" s="34">
        <f t="shared" si="53"/>
        <v>317</v>
      </c>
      <c r="U186" s="37">
        <f t="shared" si="54"/>
        <v>0.93059936908517349</v>
      </c>
      <c r="V186" s="37">
        <f t="shared" si="55"/>
        <v>6.3091482649842269E-3</v>
      </c>
      <c r="W186" s="37">
        <f t="shared" si="56"/>
        <v>2.8391167192429023E-2</v>
      </c>
      <c r="X186" s="37">
        <f t="shared" si="57"/>
        <v>3.4700315457413249E-2</v>
      </c>
      <c r="Y186" s="35">
        <f t="shared" si="58"/>
        <v>36.370608053906622</v>
      </c>
    </row>
    <row r="187" spans="1:25" x14ac:dyDescent="0.25">
      <c r="A187" s="34" t="s">
        <v>394</v>
      </c>
      <c r="B187" s="34" t="s">
        <v>395</v>
      </c>
      <c r="C187" s="34" t="s">
        <v>160</v>
      </c>
      <c r="D187" s="34">
        <v>1</v>
      </c>
      <c r="E187" s="34"/>
      <c r="F187" s="34"/>
      <c r="G187" s="34"/>
      <c r="H187" s="34"/>
      <c r="I187" s="34"/>
      <c r="J187" s="34"/>
      <c r="K187" s="34">
        <v>10</v>
      </c>
      <c r="L187" s="34"/>
      <c r="M187" s="34">
        <v>10</v>
      </c>
      <c r="N187" s="35">
        <v>39.200000000000003</v>
      </c>
      <c r="O187" s="34" t="s">
        <v>299</v>
      </c>
      <c r="P187" s="34">
        <f t="shared" si="49"/>
        <v>10</v>
      </c>
      <c r="Q187" s="34">
        <f t="shared" si="50"/>
        <v>0</v>
      </c>
      <c r="R187" s="34">
        <f t="shared" si="51"/>
        <v>0</v>
      </c>
      <c r="S187" s="34">
        <f t="shared" si="52"/>
        <v>0</v>
      </c>
      <c r="T187" s="34">
        <f t="shared" si="53"/>
        <v>10</v>
      </c>
      <c r="U187" s="37">
        <f t="shared" si="54"/>
        <v>1</v>
      </c>
      <c r="V187" s="37">
        <f t="shared" si="55"/>
        <v>0</v>
      </c>
      <c r="W187" s="37">
        <f t="shared" si="56"/>
        <v>0</v>
      </c>
      <c r="X187" s="37">
        <f t="shared" si="57"/>
        <v>0</v>
      </c>
      <c r="Y187" s="35">
        <f t="shared" si="58"/>
        <v>39.200000000000003</v>
      </c>
    </row>
    <row r="188" spans="1:25" x14ac:dyDescent="0.25">
      <c r="A188" s="34" t="s">
        <v>402</v>
      </c>
      <c r="B188" s="34" t="s">
        <v>403</v>
      </c>
      <c r="C188" s="34" t="s">
        <v>160</v>
      </c>
      <c r="D188" s="34">
        <v>1</v>
      </c>
      <c r="E188" s="34"/>
      <c r="F188" s="34"/>
      <c r="G188" s="34"/>
      <c r="H188" s="34"/>
      <c r="I188" s="34"/>
      <c r="J188" s="34"/>
      <c r="K188" s="34">
        <v>9</v>
      </c>
      <c r="L188" s="34"/>
      <c r="M188" s="34">
        <v>9</v>
      </c>
      <c r="N188" s="35">
        <v>35.444444444444443</v>
      </c>
      <c r="O188" s="34" t="s">
        <v>299</v>
      </c>
      <c r="P188" s="34">
        <f t="shared" si="49"/>
        <v>9</v>
      </c>
      <c r="Q188" s="34">
        <f t="shared" si="50"/>
        <v>0</v>
      </c>
      <c r="R188" s="34">
        <f t="shared" si="51"/>
        <v>0</v>
      </c>
      <c r="S188" s="34">
        <f t="shared" si="52"/>
        <v>0</v>
      </c>
      <c r="T188" s="34">
        <f t="shared" si="53"/>
        <v>9</v>
      </c>
      <c r="U188" s="37">
        <f t="shared" si="54"/>
        <v>1</v>
      </c>
      <c r="V188" s="37">
        <f t="shared" si="55"/>
        <v>0</v>
      </c>
      <c r="W188" s="37">
        <f t="shared" si="56"/>
        <v>0</v>
      </c>
      <c r="X188" s="37">
        <f t="shared" si="57"/>
        <v>0</v>
      </c>
      <c r="Y188" s="35">
        <f t="shared" si="58"/>
        <v>35.444444444444443</v>
      </c>
    </row>
    <row r="189" spans="1:25" x14ac:dyDescent="0.25">
      <c r="A189" s="32"/>
      <c r="B189" s="32"/>
      <c r="C189" s="32" t="str">
        <f>C188</f>
        <v>RUANG C, DEWAN SERBAGUNA IPD KUALA PILAH (DUN JOHOL)</v>
      </c>
      <c r="D189" s="32">
        <f>D188</f>
        <v>1</v>
      </c>
      <c r="E189" s="32">
        <f t="shared" ref="E189:M189" si="61">SUM(E187:E188)</f>
        <v>0</v>
      </c>
      <c r="F189" s="32">
        <f t="shared" si="61"/>
        <v>0</v>
      </c>
      <c r="G189" s="32">
        <f t="shared" si="61"/>
        <v>0</v>
      </c>
      <c r="H189" s="32">
        <f t="shared" si="61"/>
        <v>0</v>
      </c>
      <c r="I189" s="32">
        <f t="shared" si="61"/>
        <v>0</v>
      </c>
      <c r="J189" s="32">
        <f t="shared" si="61"/>
        <v>0</v>
      </c>
      <c r="K189" s="32">
        <f t="shared" si="61"/>
        <v>19</v>
      </c>
      <c r="L189" s="32">
        <f t="shared" si="61"/>
        <v>0</v>
      </c>
      <c r="M189" s="32">
        <f t="shared" si="61"/>
        <v>19</v>
      </c>
      <c r="N189" s="38">
        <f>AVERAGE(N187:N188)</f>
        <v>37.322222222222223</v>
      </c>
      <c r="O189" s="32"/>
      <c r="P189" s="34">
        <f t="shared" si="49"/>
        <v>19</v>
      </c>
      <c r="Q189" s="34">
        <f t="shared" si="50"/>
        <v>0</v>
      </c>
      <c r="R189" s="34">
        <f t="shared" si="51"/>
        <v>0</v>
      </c>
      <c r="S189" s="34">
        <f t="shared" si="52"/>
        <v>0</v>
      </c>
      <c r="T189" s="34">
        <f t="shared" si="53"/>
        <v>19</v>
      </c>
      <c r="U189" s="37">
        <f t="shared" si="54"/>
        <v>1</v>
      </c>
      <c r="V189" s="37">
        <f t="shared" si="55"/>
        <v>0</v>
      </c>
      <c r="W189" s="37">
        <f t="shared" si="56"/>
        <v>0</v>
      </c>
      <c r="X189" s="37">
        <f t="shared" si="57"/>
        <v>0</v>
      </c>
      <c r="Y189" s="35">
        <f t="shared" si="58"/>
        <v>37.322222222222223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4"/>
  <sheetViews>
    <sheetView workbookViewId="0">
      <selection activeCell="A2" sqref="A2:M18"/>
    </sheetView>
  </sheetViews>
  <sheetFormatPr defaultRowHeight="13.2" x14ac:dyDescent="0.25"/>
  <cols>
    <col min="1" max="1" width="5.5546875" customWidth="1"/>
    <col min="2" max="2" width="17.33203125" customWidth="1"/>
    <col min="3" max="3" width="23.33203125" customWidth="1"/>
    <col min="4" max="4" width="9.33203125" customWidth="1"/>
    <col min="5" max="5" width="11.5546875" customWidth="1"/>
    <col min="6" max="10" width="14" customWidth="1"/>
    <col min="11" max="13" width="11.77734375" customWidth="1"/>
  </cols>
  <sheetData>
    <row r="1" spans="1:13" ht="34.799999999999997" customHeight="1" x14ac:dyDescent="0.25">
      <c r="A1" s="48" t="s">
        <v>0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50"/>
    </row>
    <row r="2" spans="1:13" ht="18" customHeight="1" x14ac:dyDescent="0.25">
      <c r="A2" s="51" t="s">
        <v>1</v>
      </c>
      <c r="B2" s="51" t="s">
        <v>2</v>
      </c>
      <c r="C2" s="51" t="s">
        <v>3</v>
      </c>
      <c r="D2" s="54" t="s">
        <v>4</v>
      </c>
      <c r="E2" s="57" t="s">
        <v>5</v>
      </c>
      <c r="F2" s="60" t="s">
        <v>6</v>
      </c>
      <c r="G2" s="61"/>
      <c r="H2" s="61"/>
      <c r="I2" s="61"/>
      <c r="J2" s="61"/>
      <c r="K2" s="62"/>
      <c r="L2" s="54" t="s">
        <v>7</v>
      </c>
      <c r="M2" s="57" t="s">
        <v>8</v>
      </c>
    </row>
    <row r="3" spans="1:13" ht="37.950000000000003" customHeight="1" x14ac:dyDescent="0.25">
      <c r="A3" s="52"/>
      <c r="B3" s="52"/>
      <c r="C3" s="52"/>
      <c r="D3" s="55"/>
      <c r="E3" s="58"/>
      <c r="F3" s="1" t="s">
        <v>9</v>
      </c>
      <c r="G3" s="2" t="s">
        <v>10</v>
      </c>
      <c r="H3" s="2" t="s">
        <v>11</v>
      </c>
      <c r="I3" s="3" t="s">
        <v>12</v>
      </c>
      <c r="J3" s="1" t="s">
        <v>13</v>
      </c>
      <c r="K3" s="63" t="s">
        <v>14</v>
      </c>
      <c r="L3" s="55"/>
      <c r="M3" s="58"/>
    </row>
    <row r="4" spans="1:13" ht="28.5" customHeight="1" x14ac:dyDescent="0.25">
      <c r="A4" s="53"/>
      <c r="B4" s="53"/>
      <c r="C4" s="53"/>
      <c r="D4" s="56"/>
      <c r="E4" s="59"/>
      <c r="F4" s="4" t="s">
        <v>145</v>
      </c>
      <c r="G4" s="4" t="s">
        <v>146</v>
      </c>
      <c r="H4" s="4" t="s">
        <v>147</v>
      </c>
      <c r="I4" s="4" t="s">
        <v>148</v>
      </c>
      <c r="J4" s="4" t="s">
        <v>149</v>
      </c>
      <c r="K4" s="64"/>
      <c r="L4" s="56"/>
      <c r="M4" s="59"/>
    </row>
    <row r="5" spans="1:13" ht="19.05" customHeight="1" x14ac:dyDescent="0.25">
      <c r="A5" s="5">
        <v>1</v>
      </c>
      <c r="B5" s="65" t="s">
        <v>15</v>
      </c>
      <c r="C5" s="66"/>
      <c r="D5" s="4"/>
      <c r="E5" s="7">
        <v>1526</v>
      </c>
      <c r="F5" s="8">
        <v>12</v>
      </c>
      <c r="G5" s="8">
        <v>307</v>
      </c>
      <c r="H5" s="8">
        <v>6</v>
      </c>
      <c r="I5" s="8">
        <v>279</v>
      </c>
      <c r="J5" s="8">
        <v>701</v>
      </c>
      <c r="K5" s="9">
        <v>1305</v>
      </c>
      <c r="L5" s="10">
        <v>96</v>
      </c>
      <c r="M5" s="11">
        <v>125</v>
      </c>
    </row>
    <row r="6" spans="1:13" ht="19.05" customHeight="1" x14ac:dyDescent="0.25">
      <c r="A6" s="67" t="s">
        <v>16</v>
      </c>
      <c r="B6" s="68"/>
      <c r="C6" s="68"/>
      <c r="D6" s="68"/>
      <c r="E6" s="68"/>
      <c r="F6" s="68"/>
      <c r="G6" s="68"/>
      <c r="H6" s="68"/>
      <c r="I6" s="68"/>
      <c r="J6" s="68"/>
      <c r="K6" s="68"/>
      <c r="L6" s="68"/>
      <c r="M6" s="69"/>
    </row>
    <row r="7" spans="1:13" ht="41.7" customHeight="1" x14ac:dyDescent="0.25">
      <c r="A7" s="5">
        <v>2</v>
      </c>
      <c r="B7" s="12" t="s">
        <v>17</v>
      </c>
      <c r="C7" s="6" t="s">
        <v>18</v>
      </c>
      <c r="D7" s="13">
        <v>1</v>
      </c>
      <c r="E7" s="14">
        <v>24</v>
      </c>
      <c r="F7" s="14">
        <v>0</v>
      </c>
      <c r="G7" s="14">
        <v>13</v>
      </c>
      <c r="H7" s="14">
        <v>0</v>
      </c>
      <c r="I7" s="14">
        <v>2</v>
      </c>
      <c r="J7" s="14">
        <v>9</v>
      </c>
      <c r="K7" s="15">
        <v>24</v>
      </c>
      <c r="L7" s="16">
        <v>0</v>
      </c>
      <c r="M7" s="15">
        <v>0</v>
      </c>
    </row>
    <row r="8" spans="1:13" ht="32.700000000000003" customHeight="1" x14ac:dyDescent="0.25">
      <c r="A8" s="17">
        <v>3</v>
      </c>
      <c r="B8" s="18" t="s">
        <v>19</v>
      </c>
      <c r="C8" s="6" t="s">
        <v>20</v>
      </c>
      <c r="D8" s="10">
        <v>1</v>
      </c>
      <c r="E8" s="8">
        <v>292</v>
      </c>
      <c r="F8" s="8">
        <v>6</v>
      </c>
      <c r="G8" s="8">
        <v>87</v>
      </c>
      <c r="H8" s="8">
        <v>5</v>
      </c>
      <c r="I8" s="8">
        <v>14</v>
      </c>
      <c r="J8" s="8">
        <v>178</v>
      </c>
      <c r="K8" s="11">
        <v>290</v>
      </c>
      <c r="L8" s="19">
        <v>2</v>
      </c>
      <c r="M8" s="11">
        <v>0</v>
      </c>
    </row>
    <row r="9" spans="1:13" ht="32.700000000000003" customHeight="1" x14ac:dyDescent="0.25">
      <c r="A9" s="17">
        <v>4</v>
      </c>
      <c r="B9" s="18" t="s">
        <v>21</v>
      </c>
      <c r="C9" s="6" t="s">
        <v>22</v>
      </c>
      <c r="D9" s="10">
        <v>1</v>
      </c>
      <c r="E9" s="8">
        <v>18</v>
      </c>
      <c r="F9" s="8">
        <v>1</v>
      </c>
      <c r="G9" s="8">
        <v>6</v>
      </c>
      <c r="H9" s="8">
        <v>0</v>
      </c>
      <c r="I9" s="8">
        <v>0</v>
      </c>
      <c r="J9" s="8">
        <v>11</v>
      </c>
      <c r="K9" s="11">
        <v>18</v>
      </c>
      <c r="L9" s="19">
        <v>0</v>
      </c>
      <c r="M9" s="11">
        <v>0</v>
      </c>
    </row>
    <row r="10" spans="1:13" ht="19.05" customHeight="1" x14ac:dyDescent="0.25">
      <c r="A10" s="67" t="s">
        <v>23</v>
      </c>
      <c r="B10" s="68"/>
      <c r="C10" s="68"/>
      <c r="D10" s="68"/>
      <c r="E10" s="68"/>
      <c r="F10" s="68"/>
      <c r="G10" s="68"/>
      <c r="H10" s="68"/>
      <c r="I10" s="68"/>
      <c r="J10" s="68"/>
      <c r="K10" s="68"/>
      <c r="L10" s="68"/>
      <c r="M10" s="69"/>
    </row>
    <row r="11" spans="1:13" ht="17.25" customHeight="1" x14ac:dyDescent="0.25">
      <c r="A11" s="70">
        <v>5</v>
      </c>
      <c r="B11" s="72" t="s">
        <v>24</v>
      </c>
      <c r="C11" s="74" t="s">
        <v>25</v>
      </c>
      <c r="D11" s="10">
        <v>1</v>
      </c>
      <c r="E11" s="8">
        <v>245</v>
      </c>
      <c r="F11" s="8">
        <v>1</v>
      </c>
      <c r="G11" s="8">
        <v>51</v>
      </c>
      <c r="H11" s="8">
        <v>1</v>
      </c>
      <c r="I11" s="8">
        <v>36</v>
      </c>
      <c r="J11" s="8">
        <v>153</v>
      </c>
      <c r="K11" s="11">
        <v>242</v>
      </c>
      <c r="L11" s="19">
        <v>3</v>
      </c>
      <c r="M11" s="11">
        <v>0</v>
      </c>
    </row>
    <row r="12" spans="1:13" ht="17.25" customHeight="1" x14ac:dyDescent="0.25">
      <c r="A12" s="71"/>
      <c r="B12" s="73"/>
      <c r="C12" s="75"/>
      <c r="D12" s="10">
        <v>2</v>
      </c>
      <c r="E12" s="8">
        <v>341</v>
      </c>
      <c r="F12" s="8">
        <v>1</v>
      </c>
      <c r="G12" s="8">
        <v>63</v>
      </c>
      <c r="H12" s="8">
        <v>2</v>
      </c>
      <c r="I12" s="8">
        <v>44</v>
      </c>
      <c r="J12" s="8">
        <v>226</v>
      </c>
      <c r="K12" s="11">
        <v>336</v>
      </c>
      <c r="L12" s="19">
        <v>5</v>
      </c>
      <c r="M12" s="11">
        <v>0</v>
      </c>
    </row>
    <row r="13" spans="1:13" ht="17.25" customHeight="1" x14ac:dyDescent="0.25">
      <c r="A13" s="70">
        <v>6</v>
      </c>
      <c r="B13" s="74" t="s">
        <v>26</v>
      </c>
      <c r="C13" s="74" t="s">
        <v>27</v>
      </c>
      <c r="D13" s="10">
        <v>1</v>
      </c>
      <c r="E13" s="8">
        <v>153</v>
      </c>
      <c r="F13" s="8">
        <v>4</v>
      </c>
      <c r="G13" s="8">
        <v>17</v>
      </c>
      <c r="H13" s="8">
        <v>0</v>
      </c>
      <c r="I13" s="8">
        <v>27</v>
      </c>
      <c r="J13" s="8">
        <v>104</v>
      </c>
      <c r="K13" s="11">
        <v>152</v>
      </c>
      <c r="L13" s="19">
        <v>1</v>
      </c>
      <c r="M13" s="11">
        <v>0</v>
      </c>
    </row>
    <row r="14" spans="1:13" ht="17.25" customHeight="1" x14ac:dyDescent="0.25">
      <c r="A14" s="71"/>
      <c r="B14" s="75"/>
      <c r="C14" s="75"/>
      <c r="D14" s="10">
        <v>2</v>
      </c>
      <c r="E14" s="8">
        <v>215</v>
      </c>
      <c r="F14" s="8">
        <v>5</v>
      </c>
      <c r="G14" s="8">
        <v>91</v>
      </c>
      <c r="H14" s="8">
        <v>2</v>
      </c>
      <c r="I14" s="8">
        <v>33</v>
      </c>
      <c r="J14" s="8">
        <v>83</v>
      </c>
      <c r="K14" s="11">
        <v>214</v>
      </c>
      <c r="L14" s="19">
        <v>1</v>
      </c>
      <c r="M14" s="11">
        <v>0</v>
      </c>
    </row>
    <row r="15" spans="1:13" ht="41.7" customHeight="1" x14ac:dyDescent="0.25">
      <c r="A15" s="5">
        <v>7</v>
      </c>
      <c r="B15" s="6" t="s">
        <v>28</v>
      </c>
      <c r="C15" s="21" t="s">
        <v>29</v>
      </c>
      <c r="D15" s="13">
        <v>1</v>
      </c>
      <c r="E15" s="14">
        <v>208</v>
      </c>
      <c r="F15" s="14">
        <v>7</v>
      </c>
      <c r="G15" s="14">
        <v>68</v>
      </c>
      <c r="H15" s="14">
        <v>0</v>
      </c>
      <c r="I15" s="14">
        <v>28</v>
      </c>
      <c r="J15" s="14">
        <v>103</v>
      </c>
      <c r="K15" s="15">
        <v>206</v>
      </c>
      <c r="L15" s="16">
        <v>2</v>
      </c>
      <c r="M15" s="15">
        <v>0</v>
      </c>
    </row>
    <row r="16" spans="1:13" ht="17.25" customHeight="1" x14ac:dyDescent="0.25">
      <c r="A16" s="70">
        <v>8</v>
      </c>
      <c r="B16" s="77" t="s">
        <v>30</v>
      </c>
      <c r="C16" s="80" t="s">
        <v>31</v>
      </c>
      <c r="D16" s="10">
        <v>1</v>
      </c>
      <c r="E16" s="8">
        <v>186</v>
      </c>
      <c r="F16" s="8">
        <v>2</v>
      </c>
      <c r="G16" s="8">
        <v>24</v>
      </c>
      <c r="H16" s="8">
        <v>1</v>
      </c>
      <c r="I16" s="8">
        <v>32</v>
      </c>
      <c r="J16" s="8">
        <v>127</v>
      </c>
      <c r="K16" s="11">
        <v>186</v>
      </c>
      <c r="L16" s="19">
        <v>0</v>
      </c>
      <c r="M16" s="11">
        <v>0</v>
      </c>
    </row>
    <row r="17" spans="1:13" ht="17.25" customHeight="1" x14ac:dyDescent="0.25">
      <c r="A17" s="76"/>
      <c r="B17" s="78"/>
      <c r="C17" s="81"/>
      <c r="D17" s="10">
        <v>2</v>
      </c>
      <c r="E17" s="8">
        <v>269</v>
      </c>
      <c r="F17" s="8">
        <v>3</v>
      </c>
      <c r="G17" s="8">
        <v>86</v>
      </c>
      <c r="H17" s="8">
        <v>3</v>
      </c>
      <c r="I17" s="8">
        <v>45</v>
      </c>
      <c r="J17" s="8">
        <v>127</v>
      </c>
      <c r="K17" s="11">
        <v>264</v>
      </c>
      <c r="L17" s="19">
        <v>5</v>
      </c>
      <c r="M17" s="11">
        <v>0</v>
      </c>
    </row>
    <row r="18" spans="1:13" ht="17.25" customHeight="1" x14ac:dyDescent="0.25">
      <c r="A18" s="71"/>
      <c r="B18" s="79"/>
      <c r="C18" s="82"/>
      <c r="D18" s="10">
        <v>3</v>
      </c>
      <c r="E18" s="8">
        <v>278</v>
      </c>
      <c r="F18" s="8">
        <v>1</v>
      </c>
      <c r="G18" s="8">
        <v>122</v>
      </c>
      <c r="H18" s="8">
        <v>0</v>
      </c>
      <c r="I18" s="8">
        <v>41</v>
      </c>
      <c r="J18" s="8">
        <v>112</v>
      </c>
      <c r="K18" s="11">
        <v>276</v>
      </c>
      <c r="L18" s="19">
        <v>2</v>
      </c>
      <c r="M18" s="11">
        <v>0</v>
      </c>
    </row>
    <row r="19" spans="1:13" ht="37.950000000000003" customHeight="1" x14ac:dyDescent="0.25"/>
    <row r="20" spans="1:13" ht="19.05" customHeight="1" x14ac:dyDescent="0.25"/>
    <row r="21" spans="1:13" ht="106.95" customHeight="1" x14ac:dyDescent="0.25"/>
    <row r="22" spans="1:13" ht="106.95" customHeight="1" x14ac:dyDescent="0.25"/>
    <row r="23" spans="1:13" ht="156" customHeight="1" x14ac:dyDescent="0.25"/>
    <row r="24" spans="1:13" ht="156" customHeight="1" x14ac:dyDescent="0.25"/>
  </sheetData>
  <mergeCells count="22">
    <mergeCell ref="A13:A14"/>
    <mergeCell ref="B13:B14"/>
    <mergeCell ref="C13:C14"/>
    <mergeCell ref="A16:A18"/>
    <mergeCell ref="B16:B18"/>
    <mergeCell ref="C16:C18"/>
    <mergeCell ref="B5:C5"/>
    <mergeCell ref="A6:M6"/>
    <mergeCell ref="A10:M10"/>
    <mergeCell ref="A11:A12"/>
    <mergeCell ref="B11:B12"/>
    <mergeCell ref="C11:C12"/>
    <mergeCell ref="A1:M1"/>
    <mergeCell ref="A2:A4"/>
    <mergeCell ref="B2:B4"/>
    <mergeCell ref="C2:C4"/>
    <mergeCell ref="D2:D4"/>
    <mergeCell ref="E2:E4"/>
    <mergeCell ref="F2:K2"/>
    <mergeCell ref="L2:L4"/>
    <mergeCell ref="M2:M4"/>
    <mergeCell ref="K3:K4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3"/>
  <sheetViews>
    <sheetView topLeftCell="A5" workbookViewId="0">
      <selection activeCell="A5" sqref="A5:M20"/>
    </sheetView>
  </sheetViews>
  <sheetFormatPr defaultRowHeight="13.2" x14ac:dyDescent="0.25"/>
  <cols>
    <col min="1" max="1" width="5.5546875" customWidth="1"/>
    <col min="2" max="2" width="17.33203125" customWidth="1"/>
    <col min="3" max="3" width="23.33203125" customWidth="1"/>
    <col min="4" max="4" width="9.33203125" customWidth="1"/>
    <col min="5" max="5" width="11.5546875" customWidth="1"/>
    <col min="6" max="10" width="14" customWidth="1"/>
    <col min="11" max="13" width="11.77734375" customWidth="1"/>
  </cols>
  <sheetData>
    <row r="1" spans="1:13" ht="34.799999999999997" customHeight="1" x14ac:dyDescent="0.25">
      <c r="A1" s="48" t="s">
        <v>32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50"/>
    </row>
    <row r="2" spans="1:13" ht="18" customHeight="1" x14ac:dyDescent="0.25">
      <c r="A2" s="51" t="s">
        <v>1</v>
      </c>
      <c r="B2" s="51" t="s">
        <v>2</v>
      </c>
      <c r="C2" s="51" t="s">
        <v>3</v>
      </c>
      <c r="D2" s="54" t="s">
        <v>4</v>
      </c>
      <c r="E2" s="57" t="s">
        <v>5</v>
      </c>
      <c r="F2" s="60" t="s">
        <v>6</v>
      </c>
      <c r="G2" s="61"/>
      <c r="H2" s="61"/>
      <c r="I2" s="61"/>
      <c r="J2" s="61"/>
      <c r="K2" s="62"/>
      <c r="L2" s="54" t="s">
        <v>7</v>
      </c>
      <c r="M2" s="57" t="s">
        <v>8</v>
      </c>
    </row>
    <row r="3" spans="1:13" ht="37.950000000000003" customHeight="1" x14ac:dyDescent="0.25">
      <c r="A3" s="52"/>
      <c r="B3" s="52"/>
      <c r="C3" s="52"/>
      <c r="D3" s="55"/>
      <c r="E3" s="58"/>
      <c r="F3" s="1" t="s">
        <v>9</v>
      </c>
      <c r="G3" s="2" t="s">
        <v>10</v>
      </c>
      <c r="H3" s="2" t="s">
        <v>11</v>
      </c>
      <c r="I3" s="3" t="s">
        <v>12</v>
      </c>
      <c r="J3" s="1" t="s">
        <v>13</v>
      </c>
      <c r="K3" s="63" t="s">
        <v>14</v>
      </c>
      <c r="L3" s="55"/>
      <c r="M3" s="58"/>
    </row>
    <row r="4" spans="1:13" ht="28.2" customHeight="1" x14ac:dyDescent="0.25">
      <c r="A4" s="53"/>
      <c r="B4" s="53"/>
      <c r="C4" s="53"/>
      <c r="D4" s="56"/>
      <c r="E4" s="59"/>
      <c r="F4" s="4"/>
      <c r="G4" s="4"/>
      <c r="H4" s="4"/>
      <c r="I4" s="4"/>
      <c r="J4" s="4"/>
      <c r="K4" s="64"/>
      <c r="L4" s="56"/>
      <c r="M4" s="59"/>
    </row>
    <row r="5" spans="1:13" ht="17.25" customHeight="1" x14ac:dyDescent="0.25">
      <c r="A5" s="70">
        <v>9</v>
      </c>
      <c r="B5" s="77" t="s">
        <v>33</v>
      </c>
      <c r="C5" s="83" t="s">
        <v>34</v>
      </c>
      <c r="D5" s="10">
        <v>1</v>
      </c>
      <c r="E5" s="8">
        <v>183</v>
      </c>
      <c r="F5" s="8">
        <v>0</v>
      </c>
      <c r="G5" s="8">
        <v>36</v>
      </c>
      <c r="H5" s="8">
        <v>1</v>
      </c>
      <c r="I5" s="8">
        <v>27</v>
      </c>
      <c r="J5" s="8">
        <v>114</v>
      </c>
      <c r="K5" s="11">
        <v>178</v>
      </c>
      <c r="L5" s="23">
        <v>5</v>
      </c>
      <c r="M5" s="11">
        <v>0</v>
      </c>
    </row>
    <row r="6" spans="1:13" ht="17.25" customHeight="1" x14ac:dyDescent="0.25">
      <c r="A6" s="71"/>
      <c r="B6" s="79"/>
      <c r="C6" s="84"/>
      <c r="D6" s="10">
        <v>2</v>
      </c>
      <c r="E6" s="8">
        <v>278</v>
      </c>
      <c r="F6" s="8">
        <v>2</v>
      </c>
      <c r="G6" s="8">
        <v>101</v>
      </c>
      <c r="H6" s="8">
        <v>1</v>
      </c>
      <c r="I6" s="8">
        <v>43</v>
      </c>
      <c r="J6" s="8">
        <v>129</v>
      </c>
      <c r="K6" s="11">
        <v>276</v>
      </c>
      <c r="L6" s="23">
        <v>2</v>
      </c>
      <c r="M6" s="11">
        <v>0</v>
      </c>
    </row>
    <row r="7" spans="1:13" ht="17.25" customHeight="1" x14ac:dyDescent="0.25">
      <c r="A7" s="85">
        <v>10</v>
      </c>
      <c r="B7" s="74" t="s">
        <v>35</v>
      </c>
      <c r="C7" s="74" t="s">
        <v>36</v>
      </c>
      <c r="D7" s="10">
        <v>1</v>
      </c>
      <c r="E7" s="8">
        <v>365</v>
      </c>
      <c r="F7" s="8">
        <v>3</v>
      </c>
      <c r="G7" s="8">
        <v>41</v>
      </c>
      <c r="H7" s="8">
        <v>3</v>
      </c>
      <c r="I7" s="8">
        <v>81</v>
      </c>
      <c r="J7" s="8">
        <v>233</v>
      </c>
      <c r="K7" s="11">
        <v>361</v>
      </c>
      <c r="L7" s="23">
        <v>4</v>
      </c>
      <c r="M7" s="11">
        <v>0</v>
      </c>
    </row>
    <row r="8" spans="1:13" ht="17.25" customHeight="1" x14ac:dyDescent="0.25">
      <c r="A8" s="86"/>
      <c r="B8" s="75"/>
      <c r="C8" s="75"/>
      <c r="D8" s="10">
        <v>2</v>
      </c>
      <c r="E8" s="8">
        <v>514</v>
      </c>
      <c r="F8" s="8">
        <v>1</v>
      </c>
      <c r="G8" s="8">
        <v>170</v>
      </c>
      <c r="H8" s="8">
        <v>0</v>
      </c>
      <c r="I8" s="8">
        <v>98</v>
      </c>
      <c r="J8" s="8">
        <v>240</v>
      </c>
      <c r="K8" s="11">
        <v>509</v>
      </c>
      <c r="L8" s="23">
        <v>5</v>
      </c>
      <c r="M8" s="11">
        <v>0</v>
      </c>
    </row>
    <row r="9" spans="1:13" ht="17.25" customHeight="1" x14ac:dyDescent="0.25">
      <c r="A9" s="85">
        <v>11</v>
      </c>
      <c r="B9" s="80" t="s">
        <v>37</v>
      </c>
      <c r="C9" s="88" t="s">
        <v>38</v>
      </c>
      <c r="D9" s="10">
        <v>1</v>
      </c>
      <c r="E9" s="8">
        <v>284</v>
      </c>
      <c r="F9" s="8">
        <v>2</v>
      </c>
      <c r="G9" s="8">
        <v>16</v>
      </c>
      <c r="H9" s="8">
        <v>4</v>
      </c>
      <c r="I9" s="8">
        <v>169</v>
      </c>
      <c r="J9" s="8">
        <v>87</v>
      </c>
      <c r="K9" s="11">
        <v>278</v>
      </c>
      <c r="L9" s="23">
        <v>6</v>
      </c>
      <c r="M9" s="11">
        <v>0</v>
      </c>
    </row>
    <row r="10" spans="1:13" ht="17.25" customHeight="1" x14ac:dyDescent="0.25">
      <c r="A10" s="87"/>
      <c r="B10" s="81"/>
      <c r="C10" s="89"/>
      <c r="D10" s="10">
        <v>2</v>
      </c>
      <c r="E10" s="8">
        <v>309</v>
      </c>
      <c r="F10" s="8">
        <v>1</v>
      </c>
      <c r="G10" s="8">
        <v>35</v>
      </c>
      <c r="H10" s="8">
        <v>2</v>
      </c>
      <c r="I10" s="8">
        <v>165</v>
      </c>
      <c r="J10" s="8">
        <v>98</v>
      </c>
      <c r="K10" s="11">
        <v>301</v>
      </c>
      <c r="L10" s="23">
        <v>8</v>
      </c>
      <c r="M10" s="11">
        <v>0</v>
      </c>
    </row>
    <row r="11" spans="1:13" ht="17.25" customHeight="1" x14ac:dyDescent="0.25">
      <c r="A11" s="87"/>
      <c r="B11" s="81"/>
      <c r="C11" s="89"/>
      <c r="D11" s="10">
        <v>3</v>
      </c>
      <c r="E11" s="8">
        <v>381</v>
      </c>
      <c r="F11" s="8">
        <v>3</v>
      </c>
      <c r="G11" s="8">
        <v>53</v>
      </c>
      <c r="H11" s="8">
        <v>0</v>
      </c>
      <c r="I11" s="8">
        <v>228</v>
      </c>
      <c r="J11" s="8">
        <v>94</v>
      </c>
      <c r="K11" s="11">
        <v>378</v>
      </c>
      <c r="L11" s="23">
        <v>3</v>
      </c>
      <c r="M11" s="11">
        <v>0</v>
      </c>
    </row>
    <row r="12" spans="1:13" ht="17.25" customHeight="1" x14ac:dyDescent="0.25">
      <c r="A12" s="87"/>
      <c r="B12" s="81"/>
      <c r="C12" s="89"/>
      <c r="D12" s="10">
        <v>4</v>
      </c>
      <c r="E12" s="8">
        <v>365</v>
      </c>
      <c r="F12" s="8">
        <v>1</v>
      </c>
      <c r="G12" s="8">
        <v>75</v>
      </c>
      <c r="H12" s="8">
        <v>0</v>
      </c>
      <c r="I12" s="8">
        <v>194</v>
      </c>
      <c r="J12" s="8">
        <v>94</v>
      </c>
      <c r="K12" s="11">
        <v>364</v>
      </c>
      <c r="L12" s="23">
        <v>1</v>
      </c>
      <c r="M12" s="11">
        <v>0</v>
      </c>
    </row>
    <row r="13" spans="1:13" ht="17.25" customHeight="1" x14ac:dyDescent="0.25">
      <c r="A13" s="86"/>
      <c r="B13" s="82"/>
      <c r="C13" s="90"/>
      <c r="D13" s="10">
        <v>5</v>
      </c>
      <c r="E13" s="8">
        <v>392</v>
      </c>
      <c r="F13" s="8">
        <v>0</v>
      </c>
      <c r="G13" s="8">
        <v>106</v>
      </c>
      <c r="H13" s="8">
        <v>1</v>
      </c>
      <c r="I13" s="8">
        <v>182</v>
      </c>
      <c r="J13" s="8">
        <v>102</v>
      </c>
      <c r="K13" s="11">
        <v>391</v>
      </c>
      <c r="L13" s="23">
        <v>1</v>
      </c>
      <c r="M13" s="11">
        <v>0</v>
      </c>
    </row>
    <row r="14" spans="1:13" ht="17.25" customHeight="1" x14ac:dyDescent="0.25">
      <c r="A14" s="85">
        <v>12</v>
      </c>
      <c r="B14" s="72" t="s">
        <v>39</v>
      </c>
      <c r="C14" s="74" t="s">
        <v>40</v>
      </c>
      <c r="D14" s="10">
        <v>1</v>
      </c>
      <c r="E14" s="8">
        <v>157</v>
      </c>
      <c r="F14" s="8">
        <v>2</v>
      </c>
      <c r="G14" s="8">
        <v>18</v>
      </c>
      <c r="H14" s="8">
        <v>1</v>
      </c>
      <c r="I14" s="8">
        <v>39</v>
      </c>
      <c r="J14" s="8">
        <v>92</v>
      </c>
      <c r="K14" s="11">
        <v>152</v>
      </c>
      <c r="L14" s="23">
        <v>5</v>
      </c>
      <c r="M14" s="11">
        <v>0</v>
      </c>
    </row>
    <row r="15" spans="1:13" ht="17.25" customHeight="1" x14ac:dyDescent="0.25">
      <c r="A15" s="86"/>
      <c r="B15" s="73"/>
      <c r="C15" s="75"/>
      <c r="D15" s="10">
        <v>2</v>
      </c>
      <c r="E15" s="8">
        <v>323</v>
      </c>
      <c r="F15" s="8">
        <v>1</v>
      </c>
      <c r="G15" s="8">
        <v>106</v>
      </c>
      <c r="H15" s="8">
        <v>1</v>
      </c>
      <c r="I15" s="8">
        <v>92</v>
      </c>
      <c r="J15" s="8">
        <v>123</v>
      </c>
      <c r="K15" s="11">
        <v>323</v>
      </c>
      <c r="L15" s="23">
        <v>0</v>
      </c>
      <c r="M15" s="11">
        <v>0</v>
      </c>
    </row>
    <row r="16" spans="1:13" ht="17.25" customHeight="1" x14ac:dyDescent="0.25">
      <c r="A16" s="85">
        <v>13</v>
      </c>
      <c r="B16" s="80" t="s">
        <v>41</v>
      </c>
      <c r="C16" s="80" t="s">
        <v>42</v>
      </c>
      <c r="D16" s="10">
        <v>1</v>
      </c>
      <c r="E16" s="8">
        <v>258</v>
      </c>
      <c r="F16" s="8">
        <v>4</v>
      </c>
      <c r="G16" s="8">
        <v>34</v>
      </c>
      <c r="H16" s="8">
        <v>4</v>
      </c>
      <c r="I16" s="8">
        <v>99</v>
      </c>
      <c r="J16" s="8">
        <v>114</v>
      </c>
      <c r="K16" s="11">
        <v>255</v>
      </c>
      <c r="L16" s="23">
        <v>3</v>
      </c>
      <c r="M16" s="11">
        <v>0</v>
      </c>
    </row>
    <row r="17" spans="1:13" ht="17.25" customHeight="1" x14ac:dyDescent="0.25">
      <c r="A17" s="87"/>
      <c r="B17" s="81"/>
      <c r="C17" s="81"/>
      <c r="D17" s="10">
        <v>2</v>
      </c>
      <c r="E17" s="8">
        <v>284</v>
      </c>
      <c r="F17" s="8">
        <v>2</v>
      </c>
      <c r="G17" s="8">
        <v>53</v>
      </c>
      <c r="H17" s="8">
        <v>5</v>
      </c>
      <c r="I17" s="8">
        <v>135</v>
      </c>
      <c r="J17" s="8">
        <v>87</v>
      </c>
      <c r="K17" s="11">
        <v>282</v>
      </c>
      <c r="L17" s="23">
        <v>2</v>
      </c>
      <c r="M17" s="11">
        <v>0</v>
      </c>
    </row>
    <row r="18" spans="1:13" ht="17.25" customHeight="1" x14ac:dyDescent="0.25">
      <c r="A18" s="87"/>
      <c r="B18" s="81"/>
      <c r="C18" s="81"/>
      <c r="D18" s="10">
        <v>3</v>
      </c>
      <c r="E18" s="8">
        <v>315</v>
      </c>
      <c r="F18" s="8">
        <v>1</v>
      </c>
      <c r="G18" s="8">
        <v>89</v>
      </c>
      <c r="H18" s="8">
        <v>2</v>
      </c>
      <c r="I18" s="8">
        <v>130</v>
      </c>
      <c r="J18" s="8">
        <v>92</v>
      </c>
      <c r="K18" s="11">
        <v>314</v>
      </c>
      <c r="L18" s="23">
        <v>1</v>
      </c>
      <c r="M18" s="11">
        <v>0</v>
      </c>
    </row>
    <row r="19" spans="1:13" ht="17.25" customHeight="1" x14ac:dyDescent="0.25">
      <c r="A19" s="87"/>
      <c r="B19" s="81"/>
      <c r="C19" s="81"/>
      <c r="D19" s="10">
        <v>4</v>
      </c>
      <c r="E19" s="8">
        <v>331</v>
      </c>
      <c r="F19" s="8">
        <v>3</v>
      </c>
      <c r="G19" s="8">
        <v>104</v>
      </c>
      <c r="H19" s="8">
        <v>2</v>
      </c>
      <c r="I19" s="8">
        <v>139</v>
      </c>
      <c r="J19" s="8">
        <v>82</v>
      </c>
      <c r="K19" s="11">
        <v>330</v>
      </c>
      <c r="L19" s="23">
        <v>1</v>
      </c>
      <c r="M19" s="11">
        <v>0</v>
      </c>
    </row>
    <row r="20" spans="1:13" ht="17.25" customHeight="1" x14ac:dyDescent="0.25">
      <c r="A20" s="86"/>
      <c r="B20" s="82"/>
      <c r="C20" s="82"/>
      <c r="D20" s="10">
        <v>5</v>
      </c>
      <c r="E20" s="8">
        <v>341</v>
      </c>
      <c r="F20" s="8">
        <v>3</v>
      </c>
      <c r="G20" s="8">
        <v>103</v>
      </c>
      <c r="H20" s="8">
        <v>2</v>
      </c>
      <c r="I20" s="8">
        <v>149</v>
      </c>
      <c r="J20" s="8">
        <v>83</v>
      </c>
      <c r="K20" s="11">
        <v>340</v>
      </c>
      <c r="L20" s="23">
        <v>1</v>
      </c>
      <c r="M20" s="11">
        <v>0</v>
      </c>
    </row>
    <row r="21" spans="1:13" ht="37.950000000000003" customHeight="1" x14ac:dyDescent="0.25"/>
    <row r="22" spans="1:13" ht="261" customHeight="1" x14ac:dyDescent="0.25"/>
    <row r="23" spans="1:13" ht="261" customHeight="1" x14ac:dyDescent="0.25"/>
  </sheetData>
  <mergeCells count="25">
    <mergeCell ref="A16:A20"/>
    <mergeCell ref="B16:B20"/>
    <mergeCell ref="C16:C20"/>
    <mergeCell ref="A9:A13"/>
    <mergeCell ref="B9:B13"/>
    <mergeCell ref="C9:C13"/>
    <mergeCell ref="A14:A15"/>
    <mergeCell ref="B14:B15"/>
    <mergeCell ref="C14:C15"/>
    <mergeCell ref="A5:A6"/>
    <mergeCell ref="B5:B6"/>
    <mergeCell ref="C5:C6"/>
    <mergeCell ref="A7:A8"/>
    <mergeCell ref="B7:B8"/>
    <mergeCell ref="C7:C8"/>
    <mergeCell ref="A1:M1"/>
    <mergeCell ref="A2:A4"/>
    <mergeCell ref="B2:B4"/>
    <mergeCell ref="C2:C4"/>
    <mergeCell ref="D2:D4"/>
    <mergeCell ref="E2:E4"/>
    <mergeCell ref="F2:K2"/>
    <mergeCell ref="L2:L4"/>
    <mergeCell ref="M2:M4"/>
    <mergeCell ref="K3:K4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4"/>
  <sheetViews>
    <sheetView topLeftCell="A3" workbookViewId="0">
      <selection activeCell="A5" sqref="A5:M21"/>
    </sheetView>
  </sheetViews>
  <sheetFormatPr defaultRowHeight="13.2" x14ac:dyDescent="0.25"/>
  <cols>
    <col min="1" max="1" width="5.5546875" customWidth="1"/>
    <col min="2" max="2" width="17.33203125" customWidth="1"/>
    <col min="3" max="3" width="23.33203125" customWidth="1"/>
    <col min="4" max="4" width="9.33203125" customWidth="1"/>
    <col min="5" max="5" width="11.5546875" customWidth="1"/>
    <col min="6" max="10" width="14" customWidth="1"/>
    <col min="11" max="13" width="11.77734375" customWidth="1"/>
  </cols>
  <sheetData>
    <row r="1" spans="1:13" ht="34.799999999999997" customHeight="1" x14ac:dyDescent="0.25">
      <c r="A1" s="48" t="s">
        <v>43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50"/>
    </row>
    <row r="2" spans="1:13" ht="18" customHeight="1" x14ac:dyDescent="0.25">
      <c r="A2" s="51" t="s">
        <v>1</v>
      </c>
      <c r="B2" s="51" t="s">
        <v>2</v>
      </c>
      <c r="C2" s="51" t="s">
        <v>3</v>
      </c>
      <c r="D2" s="54" t="s">
        <v>4</v>
      </c>
      <c r="E2" s="57" t="s">
        <v>5</v>
      </c>
      <c r="F2" s="60" t="s">
        <v>6</v>
      </c>
      <c r="G2" s="61"/>
      <c r="H2" s="61"/>
      <c r="I2" s="61"/>
      <c r="J2" s="61"/>
      <c r="K2" s="62"/>
      <c r="L2" s="54" t="s">
        <v>7</v>
      </c>
      <c r="M2" s="57" t="s">
        <v>8</v>
      </c>
    </row>
    <row r="3" spans="1:13" ht="37.950000000000003" customHeight="1" x14ac:dyDescent="0.25">
      <c r="A3" s="52"/>
      <c r="B3" s="52"/>
      <c r="C3" s="52"/>
      <c r="D3" s="55"/>
      <c r="E3" s="58"/>
      <c r="F3" s="1" t="s">
        <v>9</v>
      </c>
      <c r="G3" s="2" t="s">
        <v>10</v>
      </c>
      <c r="H3" s="2" t="s">
        <v>11</v>
      </c>
      <c r="I3" s="3" t="s">
        <v>12</v>
      </c>
      <c r="J3" s="1" t="s">
        <v>13</v>
      </c>
      <c r="K3" s="63" t="s">
        <v>14</v>
      </c>
      <c r="L3" s="55"/>
      <c r="M3" s="58"/>
    </row>
    <row r="4" spans="1:13" ht="28.2" customHeight="1" x14ac:dyDescent="0.25">
      <c r="A4" s="53"/>
      <c r="B4" s="53"/>
      <c r="C4" s="53"/>
      <c r="D4" s="56"/>
      <c r="E4" s="59"/>
      <c r="F4" s="4"/>
      <c r="G4" s="4"/>
      <c r="H4" s="4"/>
      <c r="I4" s="4"/>
      <c r="J4" s="4"/>
      <c r="K4" s="64"/>
      <c r="L4" s="56"/>
      <c r="M4" s="59"/>
    </row>
    <row r="5" spans="1:13" ht="17.25" customHeight="1" x14ac:dyDescent="0.25">
      <c r="A5" s="85">
        <v>14</v>
      </c>
      <c r="B5" s="91" t="s">
        <v>44</v>
      </c>
      <c r="C5" s="80" t="s">
        <v>45</v>
      </c>
      <c r="D5" s="10">
        <v>1</v>
      </c>
      <c r="E5" s="8">
        <v>201</v>
      </c>
      <c r="F5" s="8">
        <v>0</v>
      </c>
      <c r="G5" s="8">
        <v>18</v>
      </c>
      <c r="H5" s="8">
        <v>2</v>
      </c>
      <c r="I5" s="23">
        <v>41</v>
      </c>
      <c r="J5" s="8">
        <v>137</v>
      </c>
      <c r="K5" s="11">
        <v>198</v>
      </c>
      <c r="L5" s="19">
        <v>3</v>
      </c>
      <c r="M5" s="11">
        <v>0</v>
      </c>
    </row>
    <row r="6" spans="1:13" ht="17.25" customHeight="1" x14ac:dyDescent="0.25">
      <c r="A6" s="87"/>
      <c r="B6" s="92"/>
      <c r="C6" s="81"/>
      <c r="D6" s="10">
        <v>2</v>
      </c>
      <c r="E6" s="8">
        <v>249</v>
      </c>
      <c r="F6" s="8">
        <v>3</v>
      </c>
      <c r="G6" s="8">
        <v>30</v>
      </c>
      <c r="H6" s="8">
        <v>1</v>
      </c>
      <c r="I6" s="23">
        <v>51</v>
      </c>
      <c r="J6" s="8">
        <v>164</v>
      </c>
      <c r="K6" s="11">
        <v>249</v>
      </c>
      <c r="L6" s="19">
        <v>0</v>
      </c>
      <c r="M6" s="11">
        <v>0</v>
      </c>
    </row>
    <row r="7" spans="1:13" ht="17.25" customHeight="1" x14ac:dyDescent="0.25">
      <c r="A7" s="87"/>
      <c r="B7" s="92"/>
      <c r="C7" s="81"/>
      <c r="D7" s="10">
        <v>3</v>
      </c>
      <c r="E7" s="8">
        <v>382</v>
      </c>
      <c r="F7" s="8">
        <v>2</v>
      </c>
      <c r="G7" s="8">
        <v>103</v>
      </c>
      <c r="H7" s="8">
        <v>0</v>
      </c>
      <c r="I7" s="23">
        <v>77</v>
      </c>
      <c r="J7" s="8">
        <v>196</v>
      </c>
      <c r="K7" s="11">
        <v>378</v>
      </c>
      <c r="L7" s="19">
        <v>3</v>
      </c>
      <c r="M7" s="11">
        <v>1</v>
      </c>
    </row>
    <row r="8" spans="1:13" ht="17.25" customHeight="1" x14ac:dyDescent="0.25">
      <c r="A8" s="87"/>
      <c r="B8" s="92"/>
      <c r="C8" s="81"/>
      <c r="D8" s="10">
        <v>4</v>
      </c>
      <c r="E8" s="8">
        <v>355</v>
      </c>
      <c r="F8" s="8">
        <v>5</v>
      </c>
      <c r="G8" s="8">
        <v>138</v>
      </c>
      <c r="H8" s="8">
        <v>1</v>
      </c>
      <c r="I8" s="23">
        <v>52</v>
      </c>
      <c r="J8" s="8">
        <v>159</v>
      </c>
      <c r="K8" s="11">
        <v>355</v>
      </c>
      <c r="L8" s="19">
        <v>0</v>
      </c>
      <c r="M8" s="11">
        <v>0</v>
      </c>
    </row>
    <row r="9" spans="1:13" ht="17.25" customHeight="1" x14ac:dyDescent="0.25">
      <c r="A9" s="87"/>
      <c r="B9" s="92"/>
      <c r="C9" s="81"/>
      <c r="D9" s="10">
        <v>5</v>
      </c>
      <c r="E9" s="8">
        <v>365</v>
      </c>
      <c r="F9" s="8">
        <v>5</v>
      </c>
      <c r="G9" s="8">
        <v>165</v>
      </c>
      <c r="H9" s="8">
        <v>3</v>
      </c>
      <c r="I9" s="23">
        <v>56</v>
      </c>
      <c r="J9" s="8">
        <v>135</v>
      </c>
      <c r="K9" s="11">
        <v>364</v>
      </c>
      <c r="L9" s="19">
        <v>1</v>
      </c>
      <c r="M9" s="11">
        <v>0</v>
      </c>
    </row>
    <row r="10" spans="1:13" ht="17.25" customHeight="1" x14ac:dyDescent="0.25">
      <c r="A10" s="86"/>
      <c r="B10" s="93"/>
      <c r="C10" s="82"/>
      <c r="D10" s="10">
        <v>6</v>
      </c>
      <c r="E10" s="8">
        <v>413</v>
      </c>
      <c r="F10" s="8">
        <v>4</v>
      </c>
      <c r="G10" s="8">
        <v>189</v>
      </c>
      <c r="H10" s="8">
        <v>0</v>
      </c>
      <c r="I10" s="23">
        <v>97</v>
      </c>
      <c r="J10" s="8">
        <v>123</v>
      </c>
      <c r="K10" s="11">
        <v>413</v>
      </c>
      <c r="L10" s="19">
        <v>0</v>
      </c>
      <c r="M10" s="11">
        <v>0</v>
      </c>
    </row>
    <row r="11" spans="1:13" ht="17.25" customHeight="1" x14ac:dyDescent="0.25">
      <c r="A11" s="85">
        <v>15</v>
      </c>
      <c r="B11" s="72" t="s">
        <v>46</v>
      </c>
      <c r="C11" s="80" t="s">
        <v>47</v>
      </c>
      <c r="D11" s="10">
        <v>1</v>
      </c>
      <c r="E11" s="8">
        <v>251</v>
      </c>
      <c r="F11" s="8">
        <v>2</v>
      </c>
      <c r="G11" s="8">
        <v>30</v>
      </c>
      <c r="H11" s="8">
        <v>2</v>
      </c>
      <c r="I11" s="23">
        <v>82</v>
      </c>
      <c r="J11" s="8">
        <v>132</v>
      </c>
      <c r="K11" s="11">
        <v>248</v>
      </c>
      <c r="L11" s="19">
        <v>3</v>
      </c>
      <c r="M11" s="11">
        <v>0</v>
      </c>
    </row>
    <row r="12" spans="1:13" ht="17.25" customHeight="1" x14ac:dyDescent="0.25">
      <c r="A12" s="87"/>
      <c r="B12" s="94"/>
      <c r="C12" s="81"/>
      <c r="D12" s="10">
        <v>2</v>
      </c>
      <c r="E12" s="8">
        <v>294</v>
      </c>
      <c r="F12" s="8">
        <v>3</v>
      </c>
      <c r="G12" s="8">
        <v>40</v>
      </c>
      <c r="H12" s="8">
        <v>1</v>
      </c>
      <c r="I12" s="23">
        <v>90</v>
      </c>
      <c r="J12" s="8">
        <v>154</v>
      </c>
      <c r="K12" s="11">
        <v>288</v>
      </c>
      <c r="L12" s="19">
        <v>6</v>
      </c>
      <c r="M12" s="11">
        <v>0</v>
      </c>
    </row>
    <row r="13" spans="1:13" ht="17.25" customHeight="1" x14ac:dyDescent="0.25">
      <c r="A13" s="87"/>
      <c r="B13" s="94"/>
      <c r="C13" s="81"/>
      <c r="D13" s="10">
        <v>3</v>
      </c>
      <c r="E13" s="8">
        <v>358</v>
      </c>
      <c r="F13" s="8">
        <v>2</v>
      </c>
      <c r="G13" s="8">
        <v>78</v>
      </c>
      <c r="H13" s="8">
        <v>7</v>
      </c>
      <c r="I13" s="24">
        <v>114</v>
      </c>
      <c r="J13" s="8">
        <v>155</v>
      </c>
      <c r="K13" s="11">
        <v>356</v>
      </c>
      <c r="L13" s="19">
        <v>2</v>
      </c>
      <c r="M13" s="11">
        <v>0</v>
      </c>
    </row>
    <row r="14" spans="1:13" ht="17.25" customHeight="1" x14ac:dyDescent="0.25">
      <c r="A14" s="86"/>
      <c r="B14" s="73"/>
      <c r="C14" s="82"/>
      <c r="D14" s="10">
        <v>4</v>
      </c>
      <c r="E14" s="8">
        <v>357</v>
      </c>
      <c r="F14" s="8">
        <v>4</v>
      </c>
      <c r="G14" s="8">
        <v>121</v>
      </c>
      <c r="H14" s="8">
        <v>1</v>
      </c>
      <c r="I14" s="23">
        <v>99</v>
      </c>
      <c r="J14" s="8">
        <v>131</v>
      </c>
      <c r="K14" s="11">
        <v>356</v>
      </c>
      <c r="L14" s="19">
        <v>1</v>
      </c>
      <c r="M14" s="11">
        <v>0</v>
      </c>
    </row>
    <row r="15" spans="1:13" ht="32.700000000000003" customHeight="1" x14ac:dyDescent="0.25">
      <c r="A15" s="17">
        <v>16</v>
      </c>
      <c r="B15" s="18" t="s">
        <v>48</v>
      </c>
      <c r="C15" s="20" t="s">
        <v>49</v>
      </c>
      <c r="D15" s="10">
        <v>1</v>
      </c>
      <c r="E15" s="8">
        <v>341</v>
      </c>
      <c r="F15" s="8">
        <v>2</v>
      </c>
      <c r="G15" s="8">
        <v>9</v>
      </c>
      <c r="H15" s="8">
        <v>23</v>
      </c>
      <c r="I15" s="23">
        <v>54</v>
      </c>
      <c r="J15" s="8">
        <v>250</v>
      </c>
      <c r="K15" s="11">
        <v>338</v>
      </c>
      <c r="L15" s="19">
        <v>3</v>
      </c>
      <c r="M15" s="11">
        <v>0</v>
      </c>
    </row>
    <row r="16" spans="1:13" ht="17.25" customHeight="1" x14ac:dyDescent="0.25">
      <c r="A16" s="85">
        <v>17</v>
      </c>
      <c r="B16" s="77" t="s">
        <v>50</v>
      </c>
      <c r="C16" s="74" t="s">
        <v>51</v>
      </c>
      <c r="D16" s="10">
        <v>1</v>
      </c>
      <c r="E16" s="8">
        <v>279</v>
      </c>
      <c r="F16" s="8">
        <v>8</v>
      </c>
      <c r="G16" s="8">
        <v>57</v>
      </c>
      <c r="H16" s="8">
        <v>0</v>
      </c>
      <c r="I16" s="23">
        <v>48</v>
      </c>
      <c r="J16" s="8">
        <v>162</v>
      </c>
      <c r="K16" s="11">
        <v>275</v>
      </c>
      <c r="L16" s="19">
        <v>4</v>
      </c>
      <c r="M16" s="11">
        <v>0</v>
      </c>
    </row>
    <row r="17" spans="1:13" ht="17.25" customHeight="1" x14ac:dyDescent="0.25">
      <c r="A17" s="86"/>
      <c r="B17" s="79"/>
      <c r="C17" s="75"/>
      <c r="D17" s="10">
        <v>2</v>
      </c>
      <c r="E17" s="8">
        <v>381</v>
      </c>
      <c r="F17" s="8">
        <v>3</v>
      </c>
      <c r="G17" s="8">
        <v>136</v>
      </c>
      <c r="H17" s="8">
        <v>0</v>
      </c>
      <c r="I17" s="23">
        <v>61</v>
      </c>
      <c r="J17" s="8">
        <v>177</v>
      </c>
      <c r="K17" s="11">
        <v>377</v>
      </c>
      <c r="L17" s="19">
        <v>4</v>
      </c>
      <c r="M17" s="11">
        <v>0</v>
      </c>
    </row>
    <row r="18" spans="1:13" ht="17.25" customHeight="1" x14ac:dyDescent="0.25">
      <c r="A18" s="85">
        <v>18</v>
      </c>
      <c r="B18" s="91" t="s">
        <v>52</v>
      </c>
      <c r="C18" s="80" t="s">
        <v>53</v>
      </c>
      <c r="D18" s="10">
        <v>1</v>
      </c>
      <c r="E18" s="8">
        <v>259</v>
      </c>
      <c r="F18" s="8">
        <v>2</v>
      </c>
      <c r="G18" s="8">
        <v>31</v>
      </c>
      <c r="H18" s="8">
        <v>10</v>
      </c>
      <c r="I18" s="23">
        <v>53</v>
      </c>
      <c r="J18" s="8">
        <v>151</v>
      </c>
      <c r="K18" s="11">
        <v>247</v>
      </c>
      <c r="L18" s="10">
        <v>12</v>
      </c>
      <c r="M18" s="11">
        <v>0</v>
      </c>
    </row>
    <row r="19" spans="1:13" ht="17.25" customHeight="1" x14ac:dyDescent="0.25">
      <c r="A19" s="87"/>
      <c r="B19" s="92"/>
      <c r="C19" s="81"/>
      <c r="D19" s="10">
        <v>2</v>
      </c>
      <c r="E19" s="8">
        <v>295</v>
      </c>
      <c r="F19" s="8">
        <v>4</v>
      </c>
      <c r="G19" s="8">
        <v>71</v>
      </c>
      <c r="H19" s="8">
        <v>1</v>
      </c>
      <c r="I19" s="23">
        <v>55</v>
      </c>
      <c r="J19" s="8">
        <v>162</v>
      </c>
      <c r="K19" s="11">
        <v>293</v>
      </c>
      <c r="L19" s="19">
        <v>2</v>
      </c>
      <c r="M19" s="11">
        <v>0</v>
      </c>
    </row>
    <row r="20" spans="1:13" ht="17.25" customHeight="1" x14ac:dyDescent="0.25">
      <c r="A20" s="87"/>
      <c r="B20" s="92"/>
      <c r="C20" s="81"/>
      <c r="D20" s="10">
        <v>3</v>
      </c>
      <c r="E20" s="8">
        <v>387</v>
      </c>
      <c r="F20" s="8">
        <v>2</v>
      </c>
      <c r="G20" s="8">
        <v>138</v>
      </c>
      <c r="H20" s="8">
        <v>0</v>
      </c>
      <c r="I20" s="23">
        <v>61</v>
      </c>
      <c r="J20" s="8">
        <v>184</v>
      </c>
      <c r="K20" s="11">
        <v>385</v>
      </c>
      <c r="L20" s="19">
        <v>2</v>
      </c>
      <c r="M20" s="11">
        <v>0</v>
      </c>
    </row>
    <row r="21" spans="1:13" ht="17.25" customHeight="1" x14ac:dyDescent="0.25">
      <c r="A21" s="86"/>
      <c r="B21" s="93"/>
      <c r="C21" s="82"/>
      <c r="D21" s="10">
        <v>4</v>
      </c>
      <c r="E21" s="8">
        <v>379</v>
      </c>
      <c r="F21" s="8">
        <v>1</v>
      </c>
      <c r="G21" s="8">
        <v>149</v>
      </c>
      <c r="H21" s="8">
        <v>0</v>
      </c>
      <c r="I21" s="23">
        <v>73</v>
      </c>
      <c r="J21" s="8">
        <v>155</v>
      </c>
      <c r="K21" s="11">
        <v>378</v>
      </c>
      <c r="L21" s="19">
        <v>1</v>
      </c>
      <c r="M21" s="11">
        <v>0</v>
      </c>
    </row>
    <row r="22" spans="1:13" ht="37.950000000000003" customHeight="1" x14ac:dyDescent="0.25"/>
    <row r="23" spans="1:13" ht="294" customHeight="1" x14ac:dyDescent="0.25"/>
    <row r="24" spans="1:13" ht="294" customHeight="1" x14ac:dyDescent="0.25"/>
  </sheetData>
  <mergeCells count="22">
    <mergeCell ref="A16:A17"/>
    <mergeCell ref="B16:B17"/>
    <mergeCell ref="C16:C17"/>
    <mergeCell ref="A18:A21"/>
    <mergeCell ref="B18:B21"/>
    <mergeCell ref="C18:C21"/>
    <mergeCell ref="A5:A10"/>
    <mergeCell ref="B5:B10"/>
    <mergeCell ref="C5:C10"/>
    <mergeCell ref="A11:A14"/>
    <mergeCell ref="B11:B14"/>
    <mergeCell ref="C11:C14"/>
    <mergeCell ref="A1:M1"/>
    <mergeCell ref="A2:A4"/>
    <mergeCell ref="B2:B4"/>
    <mergeCell ref="C2:C4"/>
    <mergeCell ref="D2:D4"/>
    <mergeCell ref="E2:E4"/>
    <mergeCell ref="F2:K2"/>
    <mergeCell ref="L2:L4"/>
    <mergeCell ref="M2:M4"/>
    <mergeCell ref="K3:K4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26"/>
  <sheetViews>
    <sheetView topLeftCell="A5" workbookViewId="0">
      <selection activeCell="A5" sqref="A5:M23"/>
    </sheetView>
  </sheetViews>
  <sheetFormatPr defaultRowHeight="13.2" x14ac:dyDescent="0.25"/>
  <cols>
    <col min="1" max="1" width="5.5546875" customWidth="1"/>
    <col min="2" max="2" width="17.33203125" customWidth="1"/>
    <col min="3" max="3" width="23.33203125" customWidth="1"/>
    <col min="4" max="4" width="9.33203125" customWidth="1"/>
    <col min="5" max="5" width="11.5546875" customWidth="1"/>
    <col min="6" max="10" width="14" customWidth="1"/>
    <col min="11" max="13" width="11.77734375" customWidth="1"/>
  </cols>
  <sheetData>
    <row r="1" spans="1:13" ht="34.799999999999997" customHeight="1" x14ac:dyDescent="0.25">
      <c r="A1" s="48" t="s">
        <v>54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50"/>
    </row>
    <row r="2" spans="1:13" ht="18" customHeight="1" x14ac:dyDescent="0.25">
      <c r="A2" s="51" t="s">
        <v>1</v>
      </c>
      <c r="B2" s="51" t="s">
        <v>2</v>
      </c>
      <c r="C2" s="51" t="s">
        <v>3</v>
      </c>
      <c r="D2" s="54" t="s">
        <v>4</v>
      </c>
      <c r="E2" s="57" t="s">
        <v>5</v>
      </c>
      <c r="F2" s="60" t="s">
        <v>6</v>
      </c>
      <c r="G2" s="61"/>
      <c r="H2" s="61"/>
      <c r="I2" s="61"/>
      <c r="J2" s="61"/>
      <c r="K2" s="62"/>
      <c r="L2" s="54" t="s">
        <v>7</v>
      </c>
      <c r="M2" s="57" t="s">
        <v>8</v>
      </c>
    </row>
    <row r="3" spans="1:13" ht="37.950000000000003" customHeight="1" x14ac:dyDescent="0.25">
      <c r="A3" s="52"/>
      <c r="B3" s="52"/>
      <c r="C3" s="52"/>
      <c r="D3" s="55"/>
      <c r="E3" s="58"/>
      <c r="F3" s="1" t="s">
        <v>9</v>
      </c>
      <c r="G3" s="2" t="s">
        <v>10</v>
      </c>
      <c r="H3" s="2" t="s">
        <v>11</v>
      </c>
      <c r="I3" s="3" t="s">
        <v>12</v>
      </c>
      <c r="J3" s="1" t="s">
        <v>13</v>
      </c>
      <c r="K3" s="63" t="s">
        <v>14</v>
      </c>
      <c r="L3" s="55"/>
      <c r="M3" s="58"/>
    </row>
    <row r="4" spans="1:13" ht="28.2" customHeight="1" x14ac:dyDescent="0.25">
      <c r="A4" s="53"/>
      <c r="B4" s="53"/>
      <c r="C4" s="53"/>
      <c r="D4" s="56"/>
      <c r="E4" s="59"/>
      <c r="F4" s="4"/>
      <c r="G4" s="4"/>
      <c r="H4" s="4"/>
      <c r="I4" s="4"/>
      <c r="J4" s="4"/>
      <c r="K4" s="64"/>
      <c r="L4" s="56"/>
      <c r="M4" s="59"/>
    </row>
    <row r="5" spans="1:13" ht="17.25" customHeight="1" x14ac:dyDescent="0.25">
      <c r="A5" s="85">
        <v>19</v>
      </c>
      <c r="B5" s="80" t="s">
        <v>55</v>
      </c>
      <c r="C5" s="80" t="s">
        <v>56</v>
      </c>
      <c r="D5" s="10">
        <v>1</v>
      </c>
      <c r="E5" s="8">
        <v>172</v>
      </c>
      <c r="F5" s="8">
        <v>1</v>
      </c>
      <c r="G5" s="8">
        <v>28</v>
      </c>
      <c r="H5" s="8">
        <v>1</v>
      </c>
      <c r="I5" s="8">
        <v>38</v>
      </c>
      <c r="J5" s="8">
        <v>101</v>
      </c>
      <c r="K5" s="11">
        <v>169</v>
      </c>
      <c r="L5" s="23">
        <v>3</v>
      </c>
      <c r="M5" s="11">
        <v>0</v>
      </c>
    </row>
    <row r="6" spans="1:13" ht="17.25" customHeight="1" x14ac:dyDescent="0.25">
      <c r="A6" s="87"/>
      <c r="B6" s="81"/>
      <c r="C6" s="81"/>
      <c r="D6" s="10">
        <v>2</v>
      </c>
      <c r="E6" s="8">
        <v>275</v>
      </c>
      <c r="F6" s="8">
        <v>1</v>
      </c>
      <c r="G6" s="8">
        <v>105</v>
      </c>
      <c r="H6" s="8">
        <v>1</v>
      </c>
      <c r="I6" s="8">
        <v>66</v>
      </c>
      <c r="J6" s="8">
        <v>102</v>
      </c>
      <c r="K6" s="11">
        <v>275</v>
      </c>
      <c r="L6" s="23">
        <v>0</v>
      </c>
      <c r="M6" s="11">
        <v>0</v>
      </c>
    </row>
    <row r="7" spans="1:13" ht="17.25" customHeight="1" x14ac:dyDescent="0.25">
      <c r="A7" s="86"/>
      <c r="B7" s="82"/>
      <c r="C7" s="82"/>
      <c r="D7" s="10">
        <v>3</v>
      </c>
      <c r="E7" s="8">
        <v>291</v>
      </c>
      <c r="F7" s="8">
        <v>1</v>
      </c>
      <c r="G7" s="8">
        <v>120</v>
      </c>
      <c r="H7" s="8">
        <v>2</v>
      </c>
      <c r="I7" s="8">
        <v>57</v>
      </c>
      <c r="J7" s="8">
        <v>110</v>
      </c>
      <c r="K7" s="11">
        <v>290</v>
      </c>
      <c r="L7" s="23">
        <v>1</v>
      </c>
      <c r="M7" s="11">
        <v>0</v>
      </c>
    </row>
    <row r="8" spans="1:13" ht="17.25" customHeight="1" x14ac:dyDescent="0.25">
      <c r="A8" s="85">
        <v>20</v>
      </c>
      <c r="B8" s="72" t="s">
        <v>57</v>
      </c>
      <c r="C8" s="77" t="s">
        <v>58</v>
      </c>
      <c r="D8" s="10">
        <v>1</v>
      </c>
      <c r="E8" s="8">
        <v>167</v>
      </c>
      <c r="F8" s="8">
        <v>6</v>
      </c>
      <c r="G8" s="8">
        <v>24</v>
      </c>
      <c r="H8" s="8">
        <v>1</v>
      </c>
      <c r="I8" s="8">
        <v>25</v>
      </c>
      <c r="J8" s="8">
        <v>108</v>
      </c>
      <c r="K8" s="11">
        <v>164</v>
      </c>
      <c r="L8" s="23">
        <v>3</v>
      </c>
      <c r="M8" s="11">
        <v>0</v>
      </c>
    </row>
    <row r="9" spans="1:13" ht="17.25" customHeight="1" x14ac:dyDescent="0.25">
      <c r="A9" s="87"/>
      <c r="B9" s="94"/>
      <c r="C9" s="78"/>
      <c r="D9" s="10">
        <v>2</v>
      </c>
      <c r="E9" s="8">
        <v>279</v>
      </c>
      <c r="F9" s="8">
        <v>0</v>
      </c>
      <c r="G9" s="8">
        <v>88</v>
      </c>
      <c r="H9" s="8">
        <v>0</v>
      </c>
      <c r="I9" s="8">
        <v>68</v>
      </c>
      <c r="J9" s="8">
        <v>122</v>
      </c>
      <c r="K9" s="11">
        <v>278</v>
      </c>
      <c r="L9" s="23">
        <v>1</v>
      </c>
      <c r="M9" s="11">
        <v>0</v>
      </c>
    </row>
    <row r="10" spans="1:13" ht="17.25" customHeight="1" x14ac:dyDescent="0.25">
      <c r="A10" s="86"/>
      <c r="B10" s="73"/>
      <c r="C10" s="79"/>
      <c r="D10" s="10">
        <v>3</v>
      </c>
      <c r="E10" s="8">
        <v>275</v>
      </c>
      <c r="F10" s="8">
        <v>1</v>
      </c>
      <c r="G10" s="8">
        <v>96</v>
      </c>
      <c r="H10" s="8">
        <v>0</v>
      </c>
      <c r="I10" s="8">
        <v>60</v>
      </c>
      <c r="J10" s="8">
        <v>117</v>
      </c>
      <c r="K10" s="11">
        <v>274</v>
      </c>
      <c r="L10" s="23">
        <v>1</v>
      </c>
      <c r="M10" s="11">
        <v>0</v>
      </c>
    </row>
    <row r="11" spans="1:13" ht="17.25" customHeight="1" x14ac:dyDescent="0.25">
      <c r="A11" s="85">
        <v>21</v>
      </c>
      <c r="B11" s="83" t="s">
        <v>59</v>
      </c>
      <c r="C11" s="74" t="s">
        <v>60</v>
      </c>
      <c r="D11" s="10">
        <v>1</v>
      </c>
      <c r="E11" s="8">
        <v>276</v>
      </c>
      <c r="F11" s="8">
        <v>1</v>
      </c>
      <c r="G11" s="8">
        <v>47</v>
      </c>
      <c r="H11" s="8">
        <v>4</v>
      </c>
      <c r="I11" s="8">
        <v>72</v>
      </c>
      <c r="J11" s="8">
        <v>149</v>
      </c>
      <c r="K11" s="11">
        <v>273</v>
      </c>
      <c r="L11" s="23">
        <v>3</v>
      </c>
      <c r="M11" s="11">
        <v>0</v>
      </c>
    </row>
    <row r="12" spans="1:13" ht="17.25" customHeight="1" x14ac:dyDescent="0.25">
      <c r="A12" s="86"/>
      <c r="B12" s="84"/>
      <c r="C12" s="75"/>
      <c r="D12" s="10">
        <v>2</v>
      </c>
      <c r="E12" s="8">
        <v>393</v>
      </c>
      <c r="F12" s="8">
        <v>2</v>
      </c>
      <c r="G12" s="8">
        <v>139</v>
      </c>
      <c r="H12" s="8">
        <v>3</v>
      </c>
      <c r="I12" s="8">
        <v>72</v>
      </c>
      <c r="J12" s="8">
        <v>176</v>
      </c>
      <c r="K12" s="11">
        <v>392</v>
      </c>
      <c r="L12" s="23">
        <v>1</v>
      </c>
      <c r="M12" s="11">
        <v>0</v>
      </c>
    </row>
    <row r="13" spans="1:13" ht="17.25" customHeight="1" x14ac:dyDescent="0.25">
      <c r="A13" s="85">
        <v>22</v>
      </c>
      <c r="B13" s="72" t="s">
        <v>61</v>
      </c>
      <c r="C13" s="74" t="s">
        <v>62</v>
      </c>
      <c r="D13" s="10">
        <v>1</v>
      </c>
      <c r="E13" s="8">
        <v>179</v>
      </c>
      <c r="F13" s="8">
        <v>4</v>
      </c>
      <c r="G13" s="8">
        <v>39</v>
      </c>
      <c r="H13" s="8">
        <v>2</v>
      </c>
      <c r="I13" s="8">
        <v>30</v>
      </c>
      <c r="J13" s="8">
        <v>102</v>
      </c>
      <c r="K13" s="11">
        <v>177</v>
      </c>
      <c r="L13" s="23">
        <v>2</v>
      </c>
      <c r="M13" s="11">
        <v>0</v>
      </c>
    </row>
    <row r="14" spans="1:13" ht="17.25" customHeight="1" x14ac:dyDescent="0.25">
      <c r="A14" s="86"/>
      <c r="B14" s="73"/>
      <c r="C14" s="75"/>
      <c r="D14" s="10">
        <v>2</v>
      </c>
      <c r="E14" s="8">
        <v>287</v>
      </c>
      <c r="F14" s="8">
        <v>2</v>
      </c>
      <c r="G14" s="8">
        <v>102</v>
      </c>
      <c r="H14" s="8">
        <v>0</v>
      </c>
      <c r="I14" s="8">
        <v>67</v>
      </c>
      <c r="J14" s="8">
        <v>114</v>
      </c>
      <c r="K14" s="11">
        <v>285</v>
      </c>
      <c r="L14" s="23">
        <v>2</v>
      </c>
      <c r="M14" s="11">
        <v>0</v>
      </c>
    </row>
    <row r="15" spans="1:13" ht="17.25" customHeight="1" x14ac:dyDescent="0.25">
      <c r="A15" s="85">
        <v>23</v>
      </c>
      <c r="B15" s="95" t="s">
        <v>63</v>
      </c>
      <c r="C15" s="80" t="s">
        <v>64</v>
      </c>
      <c r="D15" s="10">
        <v>1</v>
      </c>
      <c r="E15" s="8">
        <v>239</v>
      </c>
      <c r="F15" s="8">
        <v>3</v>
      </c>
      <c r="G15" s="8">
        <v>29</v>
      </c>
      <c r="H15" s="8">
        <v>2</v>
      </c>
      <c r="I15" s="8">
        <v>71</v>
      </c>
      <c r="J15" s="8">
        <v>131</v>
      </c>
      <c r="K15" s="11">
        <v>236</v>
      </c>
      <c r="L15" s="23">
        <v>3</v>
      </c>
      <c r="M15" s="11">
        <v>0</v>
      </c>
    </row>
    <row r="16" spans="1:13" ht="17.25" customHeight="1" x14ac:dyDescent="0.25">
      <c r="A16" s="87"/>
      <c r="B16" s="96"/>
      <c r="C16" s="81"/>
      <c r="D16" s="10">
        <v>2</v>
      </c>
      <c r="E16" s="8">
        <v>315</v>
      </c>
      <c r="F16" s="8">
        <v>4</v>
      </c>
      <c r="G16" s="8">
        <v>69</v>
      </c>
      <c r="H16" s="8">
        <v>0</v>
      </c>
      <c r="I16" s="8">
        <v>85</v>
      </c>
      <c r="J16" s="8">
        <v>155</v>
      </c>
      <c r="K16" s="11">
        <v>313</v>
      </c>
      <c r="L16" s="23">
        <v>0</v>
      </c>
      <c r="M16" s="11">
        <v>2</v>
      </c>
    </row>
    <row r="17" spans="1:13" ht="17.25" customHeight="1" x14ac:dyDescent="0.25">
      <c r="A17" s="86"/>
      <c r="B17" s="97"/>
      <c r="C17" s="82"/>
      <c r="D17" s="10">
        <v>3</v>
      </c>
      <c r="E17" s="8">
        <v>316</v>
      </c>
      <c r="F17" s="8">
        <v>3</v>
      </c>
      <c r="G17" s="8">
        <v>119</v>
      </c>
      <c r="H17" s="8">
        <v>1</v>
      </c>
      <c r="I17" s="8">
        <v>65</v>
      </c>
      <c r="J17" s="8">
        <v>128</v>
      </c>
      <c r="K17" s="11">
        <v>316</v>
      </c>
      <c r="L17" s="23">
        <v>0</v>
      </c>
      <c r="M17" s="11">
        <v>0</v>
      </c>
    </row>
    <row r="18" spans="1:13" ht="23.7" customHeight="1" x14ac:dyDescent="0.25">
      <c r="A18" s="26">
        <v>24</v>
      </c>
      <c r="B18" s="20" t="s">
        <v>65</v>
      </c>
      <c r="C18" s="20" t="s">
        <v>66</v>
      </c>
      <c r="D18" s="10">
        <v>1</v>
      </c>
      <c r="E18" s="8">
        <v>290</v>
      </c>
      <c r="F18" s="8">
        <v>3</v>
      </c>
      <c r="G18" s="8">
        <v>84</v>
      </c>
      <c r="H18" s="8">
        <v>1</v>
      </c>
      <c r="I18" s="8">
        <v>51</v>
      </c>
      <c r="J18" s="8">
        <v>149</v>
      </c>
      <c r="K18" s="11">
        <v>288</v>
      </c>
      <c r="L18" s="23">
        <v>2</v>
      </c>
      <c r="M18" s="11">
        <v>0</v>
      </c>
    </row>
    <row r="19" spans="1:13" ht="17.25" customHeight="1" x14ac:dyDescent="0.25">
      <c r="A19" s="85">
        <v>25</v>
      </c>
      <c r="B19" s="74" t="s">
        <v>67</v>
      </c>
      <c r="C19" s="74" t="s">
        <v>68</v>
      </c>
      <c r="D19" s="10">
        <v>1</v>
      </c>
      <c r="E19" s="8">
        <v>110</v>
      </c>
      <c r="F19" s="8">
        <v>0</v>
      </c>
      <c r="G19" s="8">
        <v>21</v>
      </c>
      <c r="H19" s="8">
        <v>0</v>
      </c>
      <c r="I19" s="8">
        <v>31</v>
      </c>
      <c r="J19" s="8">
        <v>58</v>
      </c>
      <c r="K19" s="11">
        <v>110</v>
      </c>
      <c r="L19" s="23">
        <v>0</v>
      </c>
      <c r="M19" s="11">
        <v>0</v>
      </c>
    </row>
    <row r="20" spans="1:13" ht="17.25" customHeight="1" x14ac:dyDescent="0.25">
      <c r="A20" s="86"/>
      <c r="B20" s="75"/>
      <c r="C20" s="75"/>
      <c r="D20" s="10">
        <v>2</v>
      </c>
      <c r="E20" s="8">
        <v>209</v>
      </c>
      <c r="F20" s="8">
        <v>3</v>
      </c>
      <c r="G20" s="8">
        <v>81</v>
      </c>
      <c r="H20" s="8">
        <v>0</v>
      </c>
      <c r="I20" s="8">
        <v>33</v>
      </c>
      <c r="J20" s="8">
        <v>90</v>
      </c>
      <c r="K20" s="11">
        <v>207</v>
      </c>
      <c r="L20" s="23">
        <v>2</v>
      </c>
      <c r="M20" s="11">
        <v>0</v>
      </c>
    </row>
    <row r="21" spans="1:13" ht="17.25" customHeight="1" x14ac:dyDescent="0.25">
      <c r="A21" s="85">
        <v>26</v>
      </c>
      <c r="B21" s="83" t="s">
        <v>69</v>
      </c>
      <c r="C21" s="77" t="s">
        <v>70</v>
      </c>
      <c r="D21" s="10">
        <v>1</v>
      </c>
      <c r="E21" s="8">
        <v>206</v>
      </c>
      <c r="F21" s="8">
        <v>0</v>
      </c>
      <c r="G21" s="8">
        <v>32</v>
      </c>
      <c r="H21" s="8">
        <v>0</v>
      </c>
      <c r="I21" s="8">
        <v>53</v>
      </c>
      <c r="J21" s="8">
        <v>120</v>
      </c>
      <c r="K21" s="11">
        <v>205</v>
      </c>
      <c r="L21" s="23">
        <v>1</v>
      </c>
      <c r="M21" s="11">
        <v>0</v>
      </c>
    </row>
    <row r="22" spans="1:13" ht="17.25" customHeight="1" x14ac:dyDescent="0.25">
      <c r="A22" s="86"/>
      <c r="B22" s="84"/>
      <c r="C22" s="79"/>
      <c r="D22" s="10">
        <v>2</v>
      </c>
      <c r="E22" s="8">
        <v>369</v>
      </c>
      <c r="F22" s="8">
        <v>2</v>
      </c>
      <c r="G22" s="8">
        <v>140</v>
      </c>
      <c r="H22" s="8">
        <v>0</v>
      </c>
      <c r="I22" s="8">
        <v>84</v>
      </c>
      <c r="J22" s="8">
        <v>143</v>
      </c>
      <c r="K22" s="11">
        <v>369</v>
      </c>
      <c r="L22" s="23">
        <v>0</v>
      </c>
      <c r="M22" s="11">
        <v>0</v>
      </c>
    </row>
    <row r="23" spans="1:13" ht="23.55" customHeight="1" x14ac:dyDescent="0.25">
      <c r="A23" s="26">
        <v>27</v>
      </c>
      <c r="B23" s="20" t="s">
        <v>71</v>
      </c>
      <c r="C23" s="22" t="s">
        <v>72</v>
      </c>
      <c r="D23" s="10">
        <v>1</v>
      </c>
      <c r="E23" s="8">
        <v>281</v>
      </c>
      <c r="F23" s="8">
        <v>1</v>
      </c>
      <c r="G23" s="8">
        <v>76</v>
      </c>
      <c r="H23" s="8">
        <v>3</v>
      </c>
      <c r="I23" s="8">
        <v>66</v>
      </c>
      <c r="J23" s="8">
        <v>131</v>
      </c>
      <c r="K23" s="11">
        <v>277</v>
      </c>
      <c r="L23" s="23">
        <v>4</v>
      </c>
      <c r="M23" s="11">
        <v>0</v>
      </c>
    </row>
    <row r="24" spans="1:13" ht="37.950000000000003" customHeight="1" x14ac:dyDescent="0.25"/>
    <row r="25" spans="1:13" ht="325.05" customHeight="1" x14ac:dyDescent="0.25"/>
    <row r="26" spans="1:13" ht="325.05" customHeight="1" x14ac:dyDescent="0.25"/>
  </sheetData>
  <mergeCells count="31">
    <mergeCell ref="A21:A22"/>
    <mergeCell ref="B21:B22"/>
    <mergeCell ref="C21:C22"/>
    <mergeCell ref="A15:A17"/>
    <mergeCell ref="B15:B17"/>
    <mergeCell ref="C15:C17"/>
    <mergeCell ref="A19:A20"/>
    <mergeCell ref="B19:B20"/>
    <mergeCell ref="C19:C20"/>
    <mergeCell ref="A11:A12"/>
    <mergeCell ref="B11:B12"/>
    <mergeCell ref="C11:C12"/>
    <mergeCell ref="A13:A14"/>
    <mergeCell ref="B13:B14"/>
    <mergeCell ref="C13:C14"/>
    <mergeCell ref="A5:A7"/>
    <mergeCell ref="B5:B7"/>
    <mergeCell ref="C5:C7"/>
    <mergeCell ref="A8:A10"/>
    <mergeCell ref="B8:B10"/>
    <mergeCell ref="C8:C10"/>
    <mergeCell ref="A1:M1"/>
    <mergeCell ref="A2:A4"/>
    <mergeCell ref="B2:B4"/>
    <mergeCell ref="C2:C4"/>
    <mergeCell ref="D2:D4"/>
    <mergeCell ref="E2:E4"/>
    <mergeCell ref="F2:K2"/>
    <mergeCell ref="L2:L4"/>
    <mergeCell ref="M2:M4"/>
    <mergeCell ref="K3:K4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26"/>
  <sheetViews>
    <sheetView topLeftCell="A5" workbookViewId="0">
      <selection activeCell="A5" sqref="A5:M23"/>
    </sheetView>
  </sheetViews>
  <sheetFormatPr defaultRowHeight="13.2" x14ac:dyDescent="0.25"/>
  <cols>
    <col min="1" max="1" width="5.5546875" customWidth="1"/>
    <col min="2" max="2" width="17.33203125" customWidth="1"/>
    <col min="3" max="3" width="23.33203125" customWidth="1"/>
    <col min="4" max="4" width="9.33203125" customWidth="1"/>
    <col min="5" max="5" width="11.5546875" customWidth="1"/>
    <col min="6" max="10" width="14" customWidth="1"/>
    <col min="11" max="13" width="11.77734375" customWidth="1"/>
  </cols>
  <sheetData>
    <row r="1" spans="1:13" ht="34.799999999999997" customHeight="1" x14ac:dyDescent="0.25">
      <c r="A1" s="48" t="s">
        <v>73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50"/>
    </row>
    <row r="2" spans="1:13" ht="18" customHeight="1" x14ac:dyDescent="0.25">
      <c r="A2" s="51" t="s">
        <v>1</v>
      </c>
      <c r="B2" s="51" t="s">
        <v>2</v>
      </c>
      <c r="C2" s="51" t="s">
        <v>3</v>
      </c>
      <c r="D2" s="54" t="s">
        <v>4</v>
      </c>
      <c r="E2" s="57" t="s">
        <v>5</v>
      </c>
      <c r="F2" s="60" t="s">
        <v>6</v>
      </c>
      <c r="G2" s="61"/>
      <c r="H2" s="61"/>
      <c r="I2" s="61"/>
      <c r="J2" s="61"/>
      <c r="K2" s="62"/>
      <c r="L2" s="54" t="s">
        <v>7</v>
      </c>
      <c r="M2" s="57" t="s">
        <v>8</v>
      </c>
    </row>
    <row r="3" spans="1:13" ht="37.950000000000003" customHeight="1" x14ac:dyDescent="0.25">
      <c r="A3" s="52"/>
      <c r="B3" s="52"/>
      <c r="C3" s="52"/>
      <c r="D3" s="55"/>
      <c r="E3" s="58"/>
      <c r="F3" s="1" t="s">
        <v>9</v>
      </c>
      <c r="G3" s="2" t="s">
        <v>10</v>
      </c>
      <c r="H3" s="2" t="s">
        <v>11</v>
      </c>
      <c r="I3" s="3" t="s">
        <v>12</v>
      </c>
      <c r="J3" s="1" t="s">
        <v>13</v>
      </c>
      <c r="K3" s="63" t="s">
        <v>14</v>
      </c>
      <c r="L3" s="55"/>
      <c r="M3" s="58"/>
    </row>
    <row r="4" spans="1:13" ht="28.2" customHeight="1" x14ac:dyDescent="0.25">
      <c r="A4" s="53"/>
      <c r="B4" s="53"/>
      <c r="C4" s="53"/>
      <c r="D4" s="56"/>
      <c r="E4" s="59"/>
      <c r="F4" s="4"/>
      <c r="G4" s="4"/>
      <c r="H4" s="4"/>
      <c r="I4" s="4"/>
      <c r="J4" s="4"/>
      <c r="K4" s="64"/>
      <c r="L4" s="56"/>
      <c r="M4" s="59"/>
    </row>
    <row r="5" spans="1:13" ht="17.25" customHeight="1" x14ac:dyDescent="0.25">
      <c r="A5" s="85">
        <v>28</v>
      </c>
      <c r="B5" s="83" t="s">
        <v>74</v>
      </c>
      <c r="C5" s="77" t="s">
        <v>75</v>
      </c>
      <c r="D5" s="10">
        <v>1</v>
      </c>
      <c r="E5" s="8">
        <v>154</v>
      </c>
      <c r="F5" s="8">
        <v>2</v>
      </c>
      <c r="G5" s="8">
        <v>21</v>
      </c>
      <c r="H5" s="8">
        <v>0</v>
      </c>
      <c r="I5" s="8">
        <v>29</v>
      </c>
      <c r="J5" s="8">
        <v>100</v>
      </c>
      <c r="K5" s="11">
        <v>152</v>
      </c>
      <c r="L5" s="23">
        <v>2</v>
      </c>
      <c r="M5" s="11">
        <v>0</v>
      </c>
    </row>
    <row r="6" spans="1:13" ht="17.25" customHeight="1" x14ac:dyDescent="0.25">
      <c r="A6" s="86"/>
      <c r="B6" s="84"/>
      <c r="C6" s="79"/>
      <c r="D6" s="10">
        <v>2</v>
      </c>
      <c r="E6" s="8">
        <v>285</v>
      </c>
      <c r="F6" s="8">
        <v>3</v>
      </c>
      <c r="G6" s="8">
        <v>87</v>
      </c>
      <c r="H6" s="8">
        <v>0</v>
      </c>
      <c r="I6" s="8">
        <v>55</v>
      </c>
      <c r="J6" s="8">
        <v>140</v>
      </c>
      <c r="K6" s="11">
        <v>285</v>
      </c>
      <c r="L6" s="23">
        <v>0</v>
      </c>
      <c r="M6" s="11">
        <v>0</v>
      </c>
    </row>
    <row r="7" spans="1:13" ht="23.7" customHeight="1" x14ac:dyDescent="0.25">
      <c r="A7" s="5">
        <v>29</v>
      </c>
      <c r="B7" s="18" t="s">
        <v>76</v>
      </c>
      <c r="C7" s="20" t="s">
        <v>77</v>
      </c>
      <c r="D7" s="10">
        <v>1</v>
      </c>
      <c r="E7" s="8">
        <v>316</v>
      </c>
      <c r="F7" s="8">
        <v>1</v>
      </c>
      <c r="G7" s="8">
        <v>37</v>
      </c>
      <c r="H7" s="8">
        <v>3</v>
      </c>
      <c r="I7" s="8">
        <v>106</v>
      </c>
      <c r="J7" s="8">
        <v>163</v>
      </c>
      <c r="K7" s="11">
        <v>310</v>
      </c>
      <c r="L7" s="23">
        <v>6</v>
      </c>
      <c r="M7" s="11">
        <v>0</v>
      </c>
    </row>
    <row r="8" spans="1:13" ht="17.25" customHeight="1" x14ac:dyDescent="0.25">
      <c r="A8" s="85">
        <v>30</v>
      </c>
      <c r="B8" s="95" t="s">
        <v>78</v>
      </c>
      <c r="C8" s="80" t="s">
        <v>79</v>
      </c>
      <c r="D8" s="10">
        <v>1</v>
      </c>
      <c r="E8" s="8">
        <v>263</v>
      </c>
      <c r="F8" s="8">
        <v>2</v>
      </c>
      <c r="G8" s="8">
        <v>31</v>
      </c>
      <c r="H8" s="8">
        <v>2</v>
      </c>
      <c r="I8" s="8">
        <v>19</v>
      </c>
      <c r="J8" s="8">
        <v>207</v>
      </c>
      <c r="K8" s="11">
        <v>261</v>
      </c>
      <c r="L8" s="23">
        <v>2</v>
      </c>
      <c r="M8" s="11">
        <v>0</v>
      </c>
    </row>
    <row r="9" spans="1:13" ht="17.25" customHeight="1" x14ac:dyDescent="0.25">
      <c r="A9" s="87"/>
      <c r="B9" s="96"/>
      <c r="C9" s="81"/>
      <c r="D9" s="10">
        <v>2</v>
      </c>
      <c r="E9" s="8">
        <v>263</v>
      </c>
      <c r="F9" s="8">
        <v>2</v>
      </c>
      <c r="G9" s="8">
        <v>40</v>
      </c>
      <c r="H9" s="8">
        <v>1</v>
      </c>
      <c r="I9" s="8">
        <v>20</v>
      </c>
      <c r="J9" s="8">
        <v>198</v>
      </c>
      <c r="K9" s="11">
        <v>261</v>
      </c>
      <c r="L9" s="23">
        <v>2</v>
      </c>
      <c r="M9" s="11">
        <v>0</v>
      </c>
    </row>
    <row r="10" spans="1:13" ht="17.25" customHeight="1" x14ac:dyDescent="0.25">
      <c r="A10" s="87"/>
      <c r="B10" s="96"/>
      <c r="C10" s="81"/>
      <c r="D10" s="10">
        <v>3</v>
      </c>
      <c r="E10" s="8">
        <v>367</v>
      </c>
      <c r="F10" s="8">
        <v>1</v>
      </c>
      <c r="G10" s="8">
        <v>137</v>
      </c>
      <c r="H10" s="8">
        <v>0</v>
      </c>
      <c r="I10" s="8">
        <v>13</v>
      </c>
      <c r="J10" s="8">
        <v>215</v>
      </c>
      <c r="K10" s="11">
        <v>366</v>
      </c>
      <c r="L10" s="23">
        <v>1</v>
      </c>
      <c r="M10" s="11">
        <v>0</v>
      </c>
    </row>
    <row r="11" spans="1:13" ht="17.25" customHeight="1" x14ac:dyDescent="0.25">
      <c r="A11" s="87"/>
      <c r="B11" s="96"/>
      <c r="C11" s="81"/>
      <c r="D11" s="10">
        <v>4</v>
      </c>
      <c r="E11" s="8">
        <v>351</v>
      </c>
      <c r="F11" s="8">
        <v>5</v>
      </c>
      <c r="G11" s="8">
        <v>150</v>
      </c>
      <c r="H11" s="8">
        <v>2</v>
      </c>
      <c r="I11" s="8">
        <v>26</v>
      </c>
      <c r="J11" s="8">
        <v>168</v>
      </c>
      <c r="K11" s="11">
        <v>351</v>
      </c>
      <c r="L11" s="23">
        <v>0</v>
      </c>
      <c r="M11" s="11">
        <v>0</v>
      </c>
    </row>
    <row r="12" spans="1:13" ht="17.25" customHeight="1" x14ac:dyDescent="0.25">
      <c r="A12" s="86"/>
      <c r="B12" s="97"/>
      <c r="C12" s="82"/>
      <c r="D12" s="10">
        <v>5</v>
      </c>
      <c r="E12" s="8">
        <v>382</v>
      </c>
      <c r="F12" s="8">
        <v>3</v>
      </c>
      <c r="G12" s="8">
        <v>146</v>
      </c>
      <c r="H12" s="8">
        <v>1</v>
      </c>
      <c r="I12" s="8">
        <v>32</v>
      </c>
      <c r="J12" s="8">
        <v>200</v>
      </c>
      <c r="K12" s="11">
        <v>382</v>
      </c>
      <c r="L12" s="23">
        <v>0</v>
      </c>
      <c r="M12" s="11">
        <v>0</v>
      </c>
    </row>
    <row r="13" spans="1:13" ht="17.25" customHeight="1" x14ac:dyDescent="0.25">
      <c r="A13" s="85">
        <v>31</v>
      </c>
      <c r="B13" s="80" t="s">
        <v>80</v>
      </c>
      <c r="C13" s="80" t="s">
        <v>81</v>
      </c>
      <c r="D13" s="10">
        <v>1</v>
      </c>
      <c r="E13" s="8">
        <v>238</v>
      </c>
      <c r="F13" s="8">
        <v>2</v>
      </c>
      <c r="G13" s="8">
        <v>37</v>
      </c>
      <c r="H13" s="8">
        <v>2</v>
      </c>
      <c r="I13" s="8">
        <v>32</v>
      </c>
      <c r="J13" s="8">
        <v>163</v>
      </c>
      <c r="K13" s="11">
        <v>236</v>
      </c>
      <c r="L13" s="23">
        <v>2</v>
      </c>
      <c r="M13" s="11">
        <v>0</v>
      </c>
    </row>
    <row r="14" spans="1:13" ht="17.25" customHeight="1" x14ac:dyDescent="0.25">
      <c r="A14" s="87"/>
      <c r="B14" s="81"/>
      <c r="C14" s="81"/>
      <c r="D14" s="10">
        <v>2</v>
      </c>
      <c r="E14" s="8">
        <v>286</v>
      </c>
      <c r="F14" s="8">
        <v>4</v>
      </c>
      <c r="G14" s="8">
        <v>90</v>
      </c>
      <c r="H14" s="8">
        <v>3</v>
      </c>
      <c r="I14" s="8">
        <v>44</v>
      </c>
      <c r="J14" s="8">
        <v>142</v>
      </c>
      <c r="K14" s="11">
        <v>283</v>
      </c>
      <c r="L14" s="23">
        <v>3</v>
      </c>
      <c r="M14" s="11">
        <v>0</v>
      </c>
    </row>
    <row r="15" spans="1:13" ht="17.25" customHeight="1" x14ac:dyDescent="0.25">
      <c r="A15" s="86"/>
      <c r="B15" s="82"/>
      <c r="C15" s="82"/>
      <c r="D15" s="10">
        <v>3</v>
      </c>
      <c r="E15" s="8">
        <v>301</v>
      </c>
      <c r="F15" s="8">
        <v>1</v>
      </c>
      <c r="G15" s="8">
        <v>131</v>
      </c>
      <c r="H15" s="8">
        <v>0</v>
      </c>
      <c r="I15" s="8">
        <v>43</v>
      </c>
      <c r="J15" s="8">
        <v>125</v>
      </c>
      <c r="K15" s="11">
        <v>300</v>
      </c>
      <c r="L15" s="23">
        <v>1</v>
      </c>
      <c r="M15" s="11">
        <v>0</v>
      </c>
    </row>
    <row r="16" spans="1:13" ht="17.25" customHeight="1" x14ac:dyDescent="0.25">
      <c r="A16" s="85">
        <v>32</v>
      </c>
      <c r="B16" s="77" t="s">
        <v>82</v>
      </c>
      <c r="C16" s="80" t="s">
        <v>83</v>
      </c>
      <c r="D16" s="10">
        <v>1</v>
      </c>
      <c r="E16" s="8">
        <v>270</v>
      </c>
      <c r="F16" s="8">
        <v>2</v>
      </c>
      <c r="G16" s="8">
        <v>48</v>
      </c>
      <c r="H16" s="8">
        <v>4</v>
      </c>
      <c r="I16" s="8">
        <v>44</v>
      </c>
      <c r="J16" s="8">
        <v>165</v>
      </c>
      <c r="K16" s="11">
        <v>263</v>
      </c>
      <c r="L16" s="23">
        <v>7</v>
      </c>
      <c r="M16" s="11">
        <v>0</v>
      </c>
    </row>
    <row r="17" spans="1:13" ht="17.25" customHeight="1" x14ac:dyDescent="0.25">
      <c r="A17" s="87"/>
      <c r="B17" s="78"/>
      <c r="C17" s="81"/>
      <c r="D17" s="10">
        <v>2</v>
      </c>
      <c r="E17" s="8">
        <v>395</v>
      </c>
      <c r="F17" s="8">
        <v>6</v>
      </c>
      <c r="G17" s="8">
        <v>104</v>
      </c>
      <c r="H17" s="8">
        <v>4</v>
      </c>
      <c r="I17" s="8">
        <v>59</v>
      </c>
      <c r="J17" s="8">
        <v>217</v>
      </c>
      <c r="K17" s="11">
        <v>390</v>
      </c>
      <c r="L17" s="23">
        <v>5</v>
      </c>
      <c r="M17" s="11">
        <v>0</v>
      </c>
    </row>
    <row r="18" spans="1:13" ht="17.25" customHeight="1" x14ac:dyDescent="0.25">
      <c r="A18" s="86"/>
      <c r="B18" s="79"/>
      <c r="C18" s="82"/>
      <c r="D18" s="10">
        <v>3</v>
      </c>
      <c r="E18" s="8">
        <v>384</v>
      </c>
      <c r="F18" s="8">
        <v>5</v>
      </c>
      <c r="G18" s="8">
        <v>157</v>
      </c>
      <c r="H18" s="8">
        <v>0</v>
      </c>
      <c r="I18" s="8">
        <v>53</v>
      </c>
      <c r="J18" s="8">
        <v>167</v>
      </c>
      <c r="K18" s="11">
        <v>382</v>
      </c>
      <c r="L18" s="23">
        <v>2</v>
      </c>
      <c r="M18" s="11">
        <v>0</v>
      </c>
    </row>
    <row r="19" spans="1:13" ht="17.25" customHeight="1" x14ac:dyDescent="0.25">
      <c r="A19" s="85">
        <v>33</v>
      </c>
      <c r="B19" s="88" t="s">
        <v>84</v>
      </c>
      <c r="C19" s="95" t="s">
        <v>85</v>
      </c>
      <c r="D19" s="10">
        <v>1</v>
      </c>
      <c r="E19" s="8">
        <v>160</v>
      </c>
      <c r="F19" s="8">
        <v>4</v>
      </c>
      <c r="G19" s="8">
        <v>8</v>
      </c>
      <c r="H19" s="8">
        <v>5</v>
      </c>
      <c r="I19" s="8">
        <v>75</v>
      </c>
      <c r="J19" s="8">
        <v>65</v>
      </c>
      <c r="K19" s="11">
        <v>157</v>
      </c>
      <c r="L19" s="23">
        <v>3</v>
      </c>
      <c r="M19" s="11">
        <v>0</v>
      </c>
    </row>
    <row r="20" spans="1:13" ht="17.25" customHeight="1" x14ac:dyDescent="0.25">
      <c r="A20" s="87"/>
      <c r="B20" s="89"/>
      <c r="C20" s="96"/>
      <c r="D20" s="10">
        <v>2</v>
      </c>
      <c r="E20" s="8">
        <v>203</v>
      </c>
      <c r="F20" s="8">
        <v>1</v>
      </c>
      <c r="G20" s="8">
        <v>13</v>
      </c>
      <c r="H20" s="8">
        <v>1</v>
      </c>
      <c r="I20" s="8">
        <v>108</v>
      </c>
      <c r="J20" s="8">
        <v>79</v>
      </c>
      <c r="K20" s="11">
        <v>202</v>
      </c>
      <c r="L20" s="23">
        <v>1</v>
      </c>
      <c r="M20" s="11">
        <v>0</v>
      </c>
    </row>
    <row r="21" spans="1:13" ht="17.25" customHeight="1" x14ac:dyDescent="0.25">
      <c r="A21" s="87"/>
      <c r="B21" s="89"/>
      <c r="C21" s="96"/>
      <c r="D21" s="10">
        <v>3</v>
      </c>
      <c r="E21" s="8">
        <v>279</v>
      </c>
      <c r="F21" s="8">
        <v>4</v>
      </c>
      <c r="G21" s="8">
        <v>56</v>
      </c>
      <c r="H21" s="8">
        <v>6</v>
      </c>
      <c r="I21" s="8">
        <v>104</v>
      </c>
      <c r="J21" s="8">
        <v>108</v>
      </c>
      <c r="K21" s="11">
        <v>278</v>
      </c>
      <c r="L21" s="23">
        <v>1</v>
      </c>
      <c r="M21" s="11">
        <v>0</v>
      </c>
    </row>
    <row r="22" spans="1:13" ht="17.25" customHeight="1" x14ac:dyDescent="0.25">
      <c r="A22" s="87"/>
      <c r="B22" s="89"/>
      <c r="C22" s="96"/>
      <c r="D22" s="10">
        <v>4</v>
      </c>
      <c r="E22" s="8">
        <v>263</v>
      </c>
      <c r="F22" s="8">
        <v>9</v>
      </c>
      <c r="G22" s="8">
        <v>73</v>
      </c>
      <c r="H22" s="8">
        <v>0</v>
      </c>
      <c r="I22" s="8">
        <v>87</v>
      </c>
      <c r="J22" s="8">
        <v>92</v>
      </c>
      <c r="K22" s="11">
        <v>261</v>
      </c>
      <c r="L22" s="23">
        <v>2</v>
      </c>
      <c r="M22" s="11">
        <v>0</v>
      </c>
    </row>
    <row r="23" spans="1:13" ht="17.25" customHeight="1" x14ac:dyDescent="0.25">
      <c r="A23" s="86"/>
      <c r="B23" s="90"/>
      <c r="C23" s="97"/>
      <c r="D23" s="10">
        <v>5</v>
      </c>
      <c r="E23" s="8">
        <v>265</v>
      </c>
      <c r="F23" s="8">
        <v>6</v>
      </c>
      <c r="G23" s="8">
        <v>78</v>
      </c>
      <c r="H23" s="8">
        <v>1</v>
      </c>
      <c r="I23" s="8">
        <v>63</v>
      </c>
      <c r="J23" s="8">
        <v>115</v>
      </c>
      <c r="K23" s="11">
        <v>263</v>
      </c>
      <c r="L23" s="23">
        <v>2</v>
      </c>
      <c r="M23" s="11">
        <v>0</v>
      </c>
    </row>
    <row r="24" spans="1:13" ht="37.950000000000003" customHeight="1" x14ac:dyDescent="0.25"/>
    <row r="25" spans="1:13" ht="316.95" customHeight="1" x14ac:dyDescent="0.25"/>
    <row r="26" spans="1:13" ht="316.95" customHeight="1" x14ac:dyDescent="0.25"/>
  </sheetData>
  <mergeCells count="25">
    <mergeCell ref="A19:A23"/>
    <mergeCell ref="B19:B23"/>
    <mergeCell ref="C19:C23"/>
    <mergeCell ref="A13:A15"/>
    <mergeCell ref="B13:B15"/>
    <mergeCell ref="C13:C15"/>
    <mergeCell ref="A16:A18"/>
    <mergeCell ref="B16:B18"/>
    <mergeCell ref="C16:C18"/>
    <mergeCell ref="A5:A6"/>
    <mergeCell ref="B5:B6"/>
    <mergeCell ref="C5:C6"/>
    <mergeCell ref="A8:A12"/>
    <mergeCell ref="B8:B12"/>
    <mergeCell ref="C8:C12"/>
    <mergeCell ref="A1:M1"/>
    <mergeCell ref="A2:A4"/>
    <mergeCell ref="B2:B4"/>
    <mergeCell ref="C2:C4"/>
    <mergeCell ref="D2:D4"/>
    <mergeCell ref="E2:E4"/>
    <mergeCell ref="F2:K2"/>
    <mergeCell ref="L2:L4"/>
    <mergeCell ref="M2:M4"/>
    <mergeCell ref="K3:K4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25"/>
  <sheetViews>
    <sheetView topLeftCell="A5" workbookViewId="0">
      <selection activeCell="A5" sqref="A5:M22"/>
    </sheetView>
  </sheetViews>
  <sheetFormatPr defaultRowHeight="13.2" x14ac:dyDescent="0.25"/>
  <cols>
    <col min="1" max="1" width="5.5546875" customWidth="1"/>
    <col min="2" max="2" width="17.33203125" customWidth="1"/>
    <col min="3" max="3" width="23.33203125" customWidth="1"/>
    <col min="4" max="4" width="9.33203125" customWidth="1"/>
    <col min="5" max="5" width="11.5546875" customWidth="1"/>
    <col min="6" max="10" width="14" customWidth="1"/>
    <col min="11" max="13" width="11.77734375" customWidth="1"/>
  </cols>
  <sheetData>
    <row r="1" spans="1:13" ht="34.799999999999997" customHeight="1" x14ac:dyDescent="0.25">
      <c r="A1" s="48" t="s">
        <v>86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50"/>
    </row>
    <row r="2" spans="1:13" ht="18" customHeight="1" x14ac:dyDescent="0.25">
      <c r="A2" s="51" t="s">
        <v>1</v>
      </c>
      <c r="B2" s="51" t="s">
        <v>2</v>
      </c>
      <c r="C2" s="51" t="s">
        <v>3</v>
      </c>
      <c r="D2" s="54" t="s">
        <v>4</v>
      </c>
      <c r="E2" s="57" t="s">
        <v>5</v>
      </c>
      <c r="F2" s="60" t="s">
        <v>6</v>
      </c>
      <c r="G2" s="61"/>
      <c r="H2" s="61"/>
      <c r="I2" s="61"/>
      <c r="J2" s="61"/>
      <c r="K2" s="62"/>
      <c r="L2" s="54" t="s">
        <v>7</v>
      </c>
      <c r="M2" s="57" t="s">
        <v>8</v>
      </c>
    </row>
    <row r="3" spans="1:13" ht="37.950000000000003" customHeight="1" x14ac:dyDescent="0.25">
      <c r="A3" s="52"/>
      <c r="B3" s="52"/>
      <c r="C3" s="52"/>
      <c r="D3" s="55"/>
      <c r="E3" s="58"/>
      <c r="F3" s="1" t="s">
        <v>9</v>
      </c>
      <c r="G3" s="2" t="s">
        <v>10</v>
      </c>
      <c r="H3" s="2" t="s">
        <v>11</v>
      </c>
      <c r="I3" s="3" t="s">
        <v>12</v>
      </c>
      <c r="J3" s="1" t="s">
        <v>13</v>
      </c>
      <c r="K3" s="63" t="s">
        <v>14</v>
      </c>
      <c r="L3" s="55"/>
      <c r="M3" s="58"/>
    </row>
    <row r="4" spans="1:13" ht="28.2" customHeight="1" x14ac:dyDescent="0.25">
      <c r="A4" s="53"/>
      <c r="B4" s="53"/>
      <c r="C4" s="53"/>
      <c r="D4" s="56"/>
      <c r="E4" s="59"/>
      <c r="F4" s="4"/>
      <c r="G4" s="4"/>
      <c r="H4" s="4"/>
      <c r="I4" s="4"/>
      <c r="J4" s="4"/>
      <c r="K4" s="64"/>
      <c r="L4" s="56"/>
      <c r="M4" s="59"/>
    </row>
    <row r="5" spans="1:13" ht="32.700000000000003" customHeight="1" x14ac:dyDescent="0.25">
      <c r="A5" s="17">
        <v>34</v>
      </c>
      <c r="B5" s="22" t="s">
        <v>87</v>
      </c>
      <c r="C5" s="6" t="s">
        <v>88</v>
      </c>
      <c r="D5" s="10">
        <v>1</v>
      </c>
      <c r="E5" s="8">
        <v>282</v>
      </c>
      <c r="F5" s="8">
        <v>4</v>
      </c>
      <c r="G5" s="8">
        <v>68</v>
      </c>
      <c r="H5" s="8">
        <v>4</v>
      </c>
      <c r="I5" s="8">
        <v>88</v>
      </c>
      <c r="J5" s="8">
        <v>114</v>
      </c>
      <c r="K5" s="11">
        <v>278</v>
      </c>
      <c r="L5" s="23">
        <v>4</v>
      </c>
      <c r="M5" s="11">
        <v>0</v>
      </c>
    </row>
    <row r="6" spans="1:13" ht="17.25" customHeight="1" x14ac:dyDescent="0.25">
      <c r="A6" s="85">
        <v>35</v>
      </c>
      <c r="B6" s="95" t="s">
        <v>89</v>
      </c>
      <c r="C6" s="80" t="s">
        <v>90</v>
      </c>
      <c r="D6" s="10">
        <v>1</v>
      </c>
      <c r="E6" s="8">
        <v>114</v>
      </c>
      <c r="F6" s="8">
        <v>0</v>
      </c>
      <c r="G6" s="8">
        <v>5</v>
      </c>
      <c r="H6" s="8">
        <v>0</v>
      </c>
      <c r="I6" s="8">
        <v>68</v>
      </c>
      <c r="J6" s="8">
        <v>38</v>
      </c>
      <c r="K6" s="11">
        <v>111</v>
      </c>
      <c r="L6" s="23">
        <v>3</v>
      </c>
      <c r="M6" s="11">
        <v>0</v>
      </c>
    </row>
    <row r="7" spans="1:13" ht="17.25" customHeight="1" x14ac:dyDescent="0.25">
      <c r="A7" s="87"/>
      <c r="B7" s="96"/>
      <c r="C7" s="81"/>
      <c r="D7" s="10">
        <v>2</v>
      </c>
      <c r="E7" s="8">
        <v>151</v>
      </c>
      <c r="F7" s="8">
        <v>3</v>
      </c>
      <c r="G7" s="8">
        <v>9</v>
      </c>
      <c r="H7" s="8">
        <v>1</v>
      </c>
      <c r="I7" s="8">
        <v>77</v>
      </c>
      <c r="J7" s="8">
        <v>59</v>
      </c>
      <c r="K7" s="11">
        <v>149</v>
      </c>
      <c r="L7" s="23">
        <v>2</v>
      </c>
      <c r="M7" s="11">
        <v>0</v>
      </c>
    </row>
    <row r="8" spans="1:13" ht="17.25" customHeight="1" x14ac:dyDescent="0.25">
      <c r="A8" s="87"/>
      <c r="B8" s="96"/>
      <c r="C8" s="81"/>
      <c r="D8" s="10">
        <v>3</v>
      </c>
      <c r="E8" s="8">
        <v>210</v>
      </c>
      <c r="F8" s="8">
        <v>0</v>
      </c>
      <c r="G8" s="8">
        <v>31</v>
      </c>
      <c r="H8" s="8">
        <v>1</v>
      </c>
      <c r="I8" s="8">
        <v>106</v>
      </c>
      <c r="J8" s="8">
        <v>69</v>
      </c>
      <c r="K8" s="11">
        <v>207</v>
      </c>
      <c r="L8" s="23">
        <v>3</v>
      </c>
      <c r="M8" s="11">
        <v>0</v>
      </c>
    </row>
    <row r="9" spans="1:13" ht="17.25" customHeight="1" x14ac:dyDescent="0.25">
      <c r="A9" s="87"/>
      <c r="B9" s="96"/>
      <c r="C9" s="81"/>
      <c r="D9" s="10">
        <v>4</v>
      </c>
      <c r="E9" s="8">
        <v>203</v>
      </c>
      <c r="F9" s="8">
        <v>2</v>
      </c>
      <c r="G9" s="8">
        <v>36</v>
      </c>
      <c r="H9" s="8">
        <v>0</v>
      </c>
      <c r="I9" s="8">
        <v>97</v>
      </c>
      <c r="J9" s="8">
        <v>62</v>
      </c>
      <c r="K9" s="11">
        <v>197</v>
      </c>
      <c r="L9" s="23">
        <v>6</v>
      </c>
      <c r="M9" s="11">
        <v>0</v>
      </c>
    </row>
    <row r="10" spans="1:13" ht="17.25" customHeight="1" x14ac:dyDescent="0.25">
      <c r="A10" s="86"/>
      <c r="B10" s="97"/>
      <c r="C10" s="82"/>
      <c r="D10" s="10">
        <v>5</v>
      </c>
      <c r="E10" s="8">
        <v>196</v>
      </c>
      <c r="F10" s="8">
        <v>3</v>
      </c>
      <c r="G10" s="8">
        <v>42</v>
      </c>
      <c r="H10" s="8">
        <v>1</v>
      </c>
      <c r="I10" s="8">
        <v>107</v>
      </c>
      <c r="J10" s="8">
        <v>43</v>
      </c>
      <c r="K10" s="11">
        <v>196</v>
      </c>
      <c r="L10" s="23">
        <v>0</v>
      </c>
      <c r="M10" s="11">
        <v>0</v>
      </c>
    </row>
    <row r="11" spans="1:13" ht="17.25" customHeight="1" x14ac:dyDescent="0.25">
      <c r="A11" s="85">
        <v>36</v>
      </c>
      <c r="B11" s="83" t="s">
        <v>91</v>
      </c>
      <c r="C11" s="77" t="s">
        <v>92</v>
      </c>
      <c r="D11" s="10">
        <v>1</v>
      </c>
      <c r="E11" s="8">
        <v>124</v>
      </c>
      <c r="F11" s="8">
        <v>1</v>
      </c>
      <c r="G11" s="8">
        <v>4</v>
      </c>
      <c r="H11" s="8">
        <v>2</v>
      </c>
      <c r="I11" s="8">
        <v>87</v>
      </c>
      <c r="J11" s="8">
        <v>28</v>
      </c>
      <c r="K11" s="11">
        <v>122</v>
      </c>
      <c r="L11" s="23">
        <v>2</v>
      </c>
      <c r="M11" s="11">
        <v>0</v>
      </c>
    </row>
    <row r="12" spans="1:13" ht="17.25" customHeight="1" x14ac:dyDescent="0.25">
      <c r="A12" s="86"/>
      <c r="B12" s="84"/>
      <c r="C12" s="79"/>
      <c r="D12" s="10">
        <v>2</v>
      </c>
      <c r="E12" s="8">
        <v>230</v>
      </c>
      <c r="F12" s="8">
        <v>2</v>
      </c>
      <c r="G12" s="8">
        <v>34</v>
      </c>
      <c r="H12" s="8">
        <v>2</v>
      </c>
      <c r="I12" s="8">
        <v>133</v>
      </c>
      <c r="J12" s="8">
        <v>58</v>
      </c>
      <c r="K12" s="11">
        <v>229</v>
      </c>
      <c r="L12" s="23">
        <v>1</v>
      </c>
      <c r="M12" s="11">
        <v>0</v>
      </c>
    </row>
    <row r="13" spans="1:13" ht="17.25" customHeight="1" x14ac:dyDescent="0.25">
      <c r="A13" s="85">
        <v>37</v>
      </c>
      <c r="B13" s="91" t="s">
        <v>93</v>
      </c>
      <c r="C13" s="80" t="s">
        <v>94</v>
      </c>
      <c r="D13" s="10">
        <v>1</v>
      </c>
      <c r="E13" s="8">
        <v>129</v>
      </c>
      <c r="F13" s="8">
        <v>1</v>
      </c>
      <c r="G13" s="8">
        <v>11</v>
      </c>
      <c r="H13" s="8">
        <v>3</v>
      </c>
      <c r="I13" s="8">
        <v>41</v>
      </c>
      <c r="J13" s="8">
        <v>73</v>
      </c>
      <c r="K13" s="11">
        <v>129</v>
      </c>
      <c r="L13" s="23">
        <v>0</v>
      </c>
      <c r="M13" s="11">
        <v>0</v>
      </c>
    </row>
    <row r="14" spans="1:13" ht="17.25" customHeight="1" x14ac:dyDescent="0.25">
      <c r="A14" s="87"/>
      <c r="B14" s="92"/>
      <c r="C14" s="81"/>
      <c r="D14" s="10">
        <v>2</v>
      </c>
      <c r="E14" s="8">
        <v>172</v>
      </c>
      <c r="F14" s="8">
        <v>1</v>
      </c>
      <c r="G14" s="8">
        <v>12</v>
      </c>
      <c r="H14" s="8">
        <v>2</v>
      </c>
      <c r="I14" s="8">
        <v>70</v>
      </c>
      <c r="J14" s="8">
        <v>84</v>
      </c>
      <c r="K14" s="11">
        <v>169</v>
      </c>
      <c r="L14" s="23">
        <v>3</v>
      </c>
      <c r="M14" s="11">
        <v>0</v>
      </c>
    </row>
    <row r="15" spans="1:13" ht="17.25" customHeight="1" x14ac:dyDescent="0.25">
      <c r="A15" s="87"/>
      <c r="B15" s="92"/>
      <c r="C15" s="81"/>
      <c r="D15" s="10">
        <v>3</v>
      </c>
      <c r="E15" s="8">
        <v>250</v>
      </c>
      <c r="F15" s="8">
        <v>2</v>
      </c>
      <c r="G15" s="8">
        <v>45</v>
      </c>
      <c r="H15" s="8">
        <v>0</v>
      </c>
      <c r="I15" s="8">
        <v>74</v>
      </c>
      <c r="J15" s="8">
        <v>128</v>
      </c>
      <c r="K15" s="11">
        <v>249</v>
      </c>
      <c r="L15" s="23">
        <v>1</v>
      </c>
      <c r="M15" s="11">
        <v>0</v>
      </c>
    </row>
    <row r="16" spans="1:13" ht="17.25" customHeight="1" x14ac:dyDescent="0.25">
      <c r="A16" s="87"/>
      <c r="B16" s="92"/>
      <c r="C16" s="81"/>
      <c r="D16" s="10">
        <v>4</v>
      </c>
      <c r="E16" s="8">
        <v>232</v>
      </c>
      <c r="F16" s="8">
        <v>2</v>
      </c>
      <c r="G16" s="8">
        <v>48</v>
      </c>
      <c r="H16" s="8">
        <v>0</v>
      </c>
      <c r="I16" s="8">
        <v>77</v>
      </c>
      <c r="J16" s="8">
        <v>104</v>
      </c>
      <c r="K16" s="11">
        <v>231</v>
      </c>
      <c r="L16" s="23">
        <v>1</v>
      </c>
      <c r="M16" s="11">
        <v>0</v>
      </c>
    </row>
    <row r="17" spans="1:13" ht="17.25" customHeight="1" x14ac:dyDescent="0.25">
      <c r="A17" s="86"/>
      <c r="B17" s="93"/>
      <c r="C17" s="82"/>
      <c r="D17" s="10">
        <v>5</v>
      </c>
      <c r="E17" s="8">
        <v>253</v>
      </c>
      <c r="F17" s="8">
        <v>2</v>
      </c>
      <c r="G17" s="8">
        <v>79</v>
      </c>
      <c r="H17" s="8">
        <v>2</v>
      </c>
      <c r="I17" s="8">
        <v>67</v>
      </c>
      <c r="J17" s="8">
        <v>102</v>
      </c>
      <c r="K17" s="11">
        <v>252</v>
      </c>
      <c r="L17" s="23">
        <v>1</v>
      </c>
      <c r="M17" s="11">
        <v>0</v>
      </c>
    </row>
    <row r="18" spans="1:13" ht="17.25" customHeight="1" x14ac:dyDescent="0.25">
      <c r="A18" s="85">
        <v>38</v>
      </c>
      <c r="B18" s="80" t="s">
        <v>95</v>
      </c>
      <c r="C18" s="80" t="s">
        <v>96</v>
      </c>
      <c r="D18" s="10">
        <v>1</v>
      </c>
      <c r="E18" s="8">
        <v>148</v>
      </c>
      <c r="F18" s="8">
        <v>4</v>
      </c>
      <c r="G18" s="8">
        <v>12</v>
      </c>
      <c r="H18" s="8">
        <v>0</v>
      </c>
      <c r="I18" s="8">
        <v>31</v>
      </c>
      <c r="J18" s="8">
        <v>100</v>
      </c>
      <c r="K18" s="11">
        <v>147</v>
      </c>
      <c r="L18" s="23">
        <v>1</v>
      </c>
      <c r="M18" s="11">
        <v>0</v>
      </c>
    </row>
    <row r="19" spans="1:13" ht="17.25" customHeight="1" x14ac:dyDescent="0.25">
      <c r="A19" s="87"/>
      <c r="B19" s="81"/>
      <c r="C19" s="81"/>
      <c r="D19" s="10">
        <v>2</v>
      </c>
      <c r="E19" s="8">
        <v>186</v>
      </c>
      <c r="F19" s="8">
        <v>2</v>
      </c>
      <c r="G19" s="8">
        <v>27</v>
      </c>
      <c r="H19" s="8">
        <v>1</v>
      </c>
      <c r="I19" s="8">
        <v>43</v>
      </c>
      <c r="J19" s="8">
        <v>109</v>
      </c>
      <c r="K19" s="11">
        <v>182</v>
      </c>
      <c r="L19" s="23">
        <v>4</v>
      </c>
      <c r="M19" s="11">
        <v>0</v>
      </c>
    </row>
    <row r="20" spans="1:13" ht="17.25" customHeight="1" x14ac:dyDescent="0.25">
      <c r="A20" s="87"/>
      <c r="B20" s="81"/>
      <c r="C20" s="81"/>
      <c r="D20" s="10">
        <v>3</v>
      </c>
      <c r="E20" s="8">
        <v>283</v>
      </c>
      <c r="F20" s="8">
        <v>3</v>
      </c>
      <c r="G20" s="8">
        <v>65</v>
      </c>
      <c r="H20" s="8">
        <v>3</v>
      </c>
      <c r="I20" s="8">
        <v>59</v>
      </c>
      <c r="J20" s="8">
        <v>151</v>
      </c>
      <c r="K20" s="11">
        <v>281</v>
      </c>
      <c r="L20" s="23">
        <v>2</v>
      </c>
      <c r="M20" s="11">
        <v>0</v>
      </c>
    </row>
    <row r="21" spans="1:13" ht="17.25" customHeight="1" x14ac:dyDescent="0.25">
      <c r="A21" s="87"/>
      <c r="B21" s="81"/>
      <c r="C21" s="81"/>
      <c r="D21" s="10">
        <v>4</v>
      </c>
      <c r="E21" s="8">
        <v>255</v>
      </c>
      <c r="F21" s="8">
        <v>2</v>
      </c>
      <c r="G21" s="8">
        <v>73</v>
      </c>
      <c r="H21" s="8">
        <v>0</v>
      </c>
      <c r="I21" s="8">
        <v>68</v>
      </c>
      <c r="J21" s="8">
        <v>112</v>
      </c>
      <c r="K21" s="11">
        <v>255</v>
      </c>
      <c r="L21" s="23">
        <v>0</v>
      </c>
      <c r="M21" s="11">
        <v>0</v>
      </c>
    </row>
    <row r="22" spans="1:13" ht="17.25" customHeight="1" x14ac:dyDescent="0.25">
      <c r="A22" s="86"/>
      <c r="B22" s="82"/>
      <c r="C22" s="82"/>
      <c r="D22" s="10">
        <v>5</v>
      </c>
      <c r="E22" s="8">
        <v>273</v>
      </c>
      <c r="F22" s="8">
        <v>5</v>
      </c>
      <c r="G22" s="8">
        <v>103</v>
      </c>
      <c r="H22" s="8">
        <v>3</v>
      </c>
      <c r="I22" s="8">
        <v>53</v>
      </c>
      <c r="J22" s="8">
        <v>108</v>
      </c>
      <c r="K22" s="11">
        <v>272</v>
      </c>
      <c r="L22" s="23">
        <v>1</v>
      </c>
      <c r="M22" s="11">
        <v>0</v>
      </c>
    </row>
    <row r="23" spans="1:13" ht="37.950000000000003" customHeight="1" x14ac:dyDescent="0.25"/>
    <row r="24" spans="1:13" ht="310.05" customHeight="1" x14ac:dyDescent="0.25"/>
    <row r="25" spans="1:13" ht="310.05" customHeight="1" x14ac:dyDescent="0.25"/>
  </sheetData>
  <mergeCells count="22">
    <mergeCell ref="A13:A17"/>
    <mergeCell ref="B13:B17"/>
    <mergeCell ref="C13:C17"/>
    <mergeCell ref="A18:A22"/>
    <mergeCell ref="B18:B22"/>
    <mergeCell ref="C18:C22"/>
    <mergeCell ref="A6:A10"/>
    <mergeCell ref="B6:B10"/>
    <mergeCell ref="C6:C10"/>
    <mergeCell ref="A11:A12"/>
    <mergeCell ref="B11:B12"/>
    <mergeCell ref="C11:C12"/>
    <mergeCell ref="A1:M1"/>
    <mergeCell ref="A2:A4"/>
    <mergeCell ref="B2:B4"/>
    <mergeCell ref="C2:C4"/>
    <mergeCell ref="D2:D4"/>
    <mergeCell ref="E2:E4"/>
    <mergeCell ref="F2:K2"/>
    <mergeCell ref="L2:L4"/>
    <mergeCell ref="M2:M4"/>
    <mergeCell ref="K3:K4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20"/>
  <sheetViews>
    <sheetView workbookViewId="0">
      <selection activeCell="A5" sqref="A5:M17"/>
    </sheetView>
  </sheetViews>
  <sheetFormatPr defaultRowHeight="13.2" x14ac:dyDescent="0.25"/>
  <cols>
    <col min="1" max="1" width="5.5546875" customWidth="1"/>
    <col min="2" max="2" width="17.33203125" customWidth="1"/>
    <col min="3" max="3" width="23.33203125" customWidth="1"/>
    <col min="4" max="4" width="9.33203125" customWidth="1"/>
    <col min="5" max="5" width="11.5546875" customWidth="1"/>
    <col min="6" max="10" width="14" customWidth="1"/>
    <col min="11" max="13" width="11.77734375" customWidth="1"/>
  </cols>
  <sheetData>
    <row r="1" spans="1:13" ht="34.799999999999997" customHeight="1" x14ac:dyDescent="0.25">
      <c r="A1" s="48" t="s">
        <v>97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50"/>
    </row>
    <row r="2" spans="1:13" ht="18" customHeight="1" x14ac:dyDescent="0.25">
      <c r="A2" s="51" t="s">
        <v>1</v>
      </c>
      <c r="B2" s="51" t="s">
        <v>2</v>
      </c>
      <c r="C2" s="51" t="s">
        <v>3</v>
      </c>
      <c r="D2" s="54" t="s">
        <v>4</v>
      </c>
      <c r="E2" s="57" t="s">
        <v>5</v>
      </c>
      <c r="F2" s="60" t="s">
        <v>6</v>
      </c>
      <c r="G2" s="61"/>
      <c r="H2" s="61"/>
      <c r="I2" s="61"/>
      <c r="J2" s="61"/>
      <c r="K2" s="62"/>
      <c r="L2" s="54" t="s">
        <v>7</v>
      </c>
      <c r="M2" s="57" t="s">
        <v>8</v>
      </c>
    </row>
    <row r="3" spans="1:13" ht="37.950000000000003" customHeight="1" x14ac:dyDescent="0.25">
      <c r="A3" s="52"/>
      <c r="B3" s="52"/>
      <c r="C3" s="52"/>
      <c r="D3" s="55"/>
      <c r="E3" s="58"/>
      <c r="F3" s="1" t="s">
        <v>9</v>
      </c>
      <c r="G3" s="2" t="s">
        <v>10</v>
      </c>
      <c r="H3" s="2" t="s">
        <v>11</v>
      </c>
      <c r="I3" s="3" t="s">
        <v>12</v>
      </c>
      <c r="J3" s="1" t="s">
        <v>13</v>
      </c>
      <c r="K3" s="63" t="s">
        <v>14</v>
      </c>
      <c r="L3" s="55"/>
      <c r="M3" s="58"/>
    </row>
    <row r="4" spans="1:13" ht="28.2" customHeight="1" x14ac:dyDescent="0.25">
      <c r="A4" s="53"/>
      <c r="B4" s="53"/>
      <c r="C4" s="53"/>
      <c r="D4" s="56"/>
      <c r="E4" s="59"/>
      <c r="F4" s="4"/>
      <c r="G4" s="4"/>
      <c r="H4" s="4"/>
      <c r="I4" s="4"/>
      <c r="J4" s="4"/>
      <c r="K4" s="64"/>
      <c r="L4" s="56"/>
      <c r="M4" s="59"/>
    </row>
    <row r="5" spans="1:13" ht="17.25" customHeight="1" x14ac:dyDescent="0.25">
      <c r="A5" s="85">
        <v>39</v>
      </c>
      <c r="B5" s="80" t="s">
        <v>98</v>
      </c>
      <c r="C5" s="80" t="s">
        <v>99</v>
      </c>
      <c r="D5" s="10">
        <v>1</v>
      </c>
      <c r="E5" s="8">
        <v>131</v>
      </c>
      <c r="F5" s="8">
        <v>1</v>
      </c>
      <c r="G5" s="8">
        <v>11</v>
      </c>
      <c r="H5" s="8">
        <v>1</v>
      </c>
      <c r="I5" s="8">
        <v>29</v>
      </c>
      <c r="J5" s="8">
        <v>84</v>
      </c>
      <c r="K5" s="11">
        <v>126</v>
      </c>
      <c r="L5" s="23">
        <v>5</v>
      </c>
      <c r="M5" s="11">
        <v>0</v>
      </c>
    </row>
    <row r="6" spans="1:13" ht="17.25" customHeight="1" x14ac:dyDescent="0.25">
      <c r="A6" s="87"/>
      <c r="B6" s="81"/>
      <c r="C6" s="81"/>
      <c r="D6" s="10">
        <v>2</v>
      </c>
      <c r="E6" s="8">
        <v>164</v>
      </c>
      <c r="F6" s="8">
        <v>1</v>
      </c>
      <c r="G6" s="8">
        <v>15</v>
      </c>
      <c r="H6" s="8">
        <v>2</v>
      </c>
      <c r="I6" s="8">
        <v>34</v>
      </c>
      <c r="J6" s="8">
        <v>112</v>
      </c>
      <c r="K6" s="11">
        <v>164</v>
      </c>
      <c r="L6" s="23">
        <v>0</v>
      </c>
      <c r="M6" s="11">
        <v>0</v>
      </c>
    </row>
    <row r="7" spans="1:13" ht="17.25" customHeight="1" x14ac:dyDescent="0.25">
      <c r="A7" s="87"/>
      <c r="B7" s="81"/>
      <c r="C7" s="81"/>
      <c r="D7" s="10">
        <v>3</v>
      </c>
      <c r="E7" s="8">
        <v>288</v>
      </c>
      <c r="F7" s="8">
        <v>1</v>
      </c>
      <c r="G7" s="8">
        <v>83</v>
      </c>
      <c r="H7" s="8">
        <v>2</v>
      </c>
      <c r="I7" s="8">
        <v>75</v>
      </c>
      <c r="J7" s="8">
        <v>125</v>
      </c>
      <c r="K7" s="11">
        <v>286</v>
      </c>
      <c r="L7" s="23">
        <v>2</v>
      </c>
      <c r="M7" s="11">
        <v>0</v>
      </c>
    </row>
    <row r="8" spans="1:13" ht="17.25" customHeight="1" x14ac:dyDescent="0.25">
      <c r="A8" s="86"/>
      <c r="B8" s="82"/>
      <c r="C8" s="82"/>
      <c r="D8" s="10">
        <v>4</v>
      </c>
      <c r="E8" s="8">
        <v>296</v>
      </c>
      <c r="F8" s="8">
        <v>2</v>
      </c>
      <c r="G8" s="8">
        <v>97</v>
      </c>
      <c r="H8" s="8">
        <v>3</v>
      </c>
      <c r="I8" s="8">
        <v>75</v>
      </c>
      <c r="J8" s="8">
        <v>117</v>
      </c>
      <c r="K8" s="11">
        <v>294</v>
      </c>
      <c r="L8" s="23">
        <v>2</v>
      </c>
      <c r="M8" s="11">
        <v>0</v>
      </c>
    </row>
    <row r="9" spans="1:13" ht="17.25" customHeight="1" x14ac:dyDescent="0.25">
      <c r="A9" s="85">
        <v>40</v>
      </c>
      <c r="B9" s="95" t="s">
        <v>100</v>
      </c>
      <c r="C9" s="80" t="s">
        <v>101</v>
      </c>
      <c r="D9" s="10">
        <v>1</v>
      </c>
      <c r="E9" s="8">
        <v>170</v>
      </c>
      <c r="F9" s="8">
        <v>1</v>
      </c>
      <c r="G9" s="8">
        <v>13</v>
      </c>
      <c r="H9" s="8">
        <v>2</v>
      </c>
      <c r="I9" s="8">
        <v>82</v>
      </c>
      <c r="J9" s="8">
        <v>68</v>
      </c>
      <c r="K9" s="11">
        <v>166</v>
      </c>
      <c r="L9" s="23">
        <v>4</v>
      </c>
      <c r="M9" s="11">
        <v>0</v>
      </c>
    </row>
    <row r="10" spans="1:13" ht="17.25" customHeight="1" x14ac:dyDescent="0.25">
      <c r="A10" s="87"/>
      <c r="B10" s="96"/>
      <c r="C10" s="81"/>
      <c r="D10" s="10">
        <v>2</v>
      </c>
      <c r="E10" s="8">
        <v>200</v>
      </c>
      <c r="F10" s="8">
        <v>4</v>
      </c>
      <c r="G10" s="8">
        <v>13</v>
      </c>
      <c r="H10" s="8">
        <v>4</v>
      </c>
      <c r="I10" s="8">
        <v>103</v>
      </c>
      <c r="J10" s="8">
        <v>73</v>
      </c>
      <c r="K10" s="11">
        <v>197</v>
      </c>
      <c r="L10" s="23">
        <v>3</v>
      </c>
      <c r="M10" s="11">
        <v>0</v>
      </c>
    </row>
    <row r="11" spans="1:13" ht="17.25" customHeight="1" x14ac:dyDescent="0.25">
      <c r="A11" s="87"/>
      <c r="B11" s="96"/>
      <c r="C11" s="81"/>
      <c r="D11" s="10">
        <v>3</v>
      </c>
      <c r="E11" s="8">
        <v>300</v>
      </c>
      <c r="F11" s="8">
        <v>2</v>
      </c>
      <c r="G11" s="8">
        <v>39</v>
      </c>
      <c r="H11" s="8">
        <v>1</v>
      </c>
      <c r="I11" s="8">
        <v>172</v>
      </c>
      <c r="J11" s="8">
        <v>79</v>
      </c>
      <c r="K11" s="11">
        <v>293</v>
      </c>
      <c r="L11" s="23">
        <v>7</v>
      </c>
      <c r="M11" s="11">
        <v>0</v>
      </c>
    </row>
    <row r="12" spans="1:13" ht="17.25" customHeight="1" x14ac:dyDescent="0.25">
      <c r="A12" s="87"/>
      <c r="B12" s="96"/>
      <c r="C12" s="81"/>
      <c r="D12" s="10">
        <v>4</v>
      </c>
      <c r="E12" s="8">
        <v>288</v>
      </c>
      <c r="F12" s="8">
        <v>1</v>
      </c>
      <c r="G12" s="8">
        <v>41</v>
      </c>
      <c r="H12" s="8">
        <v>2</v>
      </c>
      <c r="I12" s="8">
        <v>183</v>
      </c>
      <c r="J12" s="8">
        <v>61</v>
      </c>
      <c r="K12" s="11">
        <v>288</v>
      </c>
      <c r="L12" s="23">
        <v>0</v>
      </c>
      <c r="M12" s="11">
        <v>0</v>
      </c>
    </row>
    <row r="13" spans="1:13" ht="17.25" customHeight="1" x14ac:dyDescent="0.25">
      <c r="A13" s="86"/>
      <c r="B13" s="97"/>
      <c r="C13" s="82"/>
      <c r="D13" s="10">
        <v>5</v>
      </c>
      <c r="E13" s="8">
        <v>294</v>
      </c>
      <c r="F13" s="8">
        <v>1</v>
      </c>
      <c r="G13" s="8">
        <v>51</v>
      </c>
      <c r="H13" s="8">
        <v>1</v>
      </c>
      <c r="I13" s="8">
        <v>152</v>
      </c>
      <c r="J13" s="8">
        <v>88</v>
      </c>
      <c r="K13" s="11">
        <v>293</v>
      </c>
      <c r="L13" s="23">
        <v>1</v>
      </c>
      <c r="M13" s="11">
        <v>0</v>
      </c>
    </row>
    <row r="14" spans="1:13" ht="17.25" customHeight="1" x14ac:dyDescent="0.25">
      <c r="A14" s="85">
        <v>41</v>
      </c>
      <c r="B14" s="95" t="s">
        <v>102</v>
      </c>
      <c r="C14" s="80" t="s">
        <v>103</v>
      </c>
      <c r="D14" s="10">
        <v>1</v>
      </c>
      <c r="E14" s="8">
        <v>125</v>
      </c>
      <c r="F14" s="8">
        <v>1</v>
      </c>
      <c r="G14" s="8">
        <v>1</v>
      </c>
      <c r="H14" s="8">
        <v>0</v>
      </c>
      <c r="I14" s="8">
        <v>98</v>
      </c>
      <c r="J14" s="8">
        <v>24</v>
      </c>
      <c r="K14" s="11">
        <v>124</v>
      </c>
      <c r="L14" s="23">
        <v>1</v>
      </c>
      <c r="M14" s="11">
        <v>0</v>
      </c>
    </row>
    <row r="15" spans="1:13" ht="17.25" customHeight="1" x14ac:dyDescent="0.25">
      <c r="A15" s="87"/>
      <c r="B15" s="96"/>
      <c r="C15" s="81"/>
      <c r="D15" s="10">
        <v>2</v>
      </c>
      <c r="E15" s="8">
        <v>186</v>
      </c>
      <c r="F15" s="8">
        <v>2</v>
      </c>
      <c r="G15" s="8">
        <v>15</v>
      </c>
      <c r="H15" s="8">
        <v>1</v>
      </c>
      <c r="I15" s="8">
        <v>116</v>
      </c>
      <c r="J15" s="8">
        <v>49</v>
      </c>
      <c r="K15" s="11">
        <v>183</v>
      </c>
      <c r="L15" s="23">
        <v>3</v>
      </c>
      <c r="M15" s="11">
        <v>0</v>
      </c>
    </row>
    <row r="16" spans="1:13" ht="17.25" customHeight="1" x14ac:dyDescent="0.25">
      <c r="A16" s="86"/>
      <c r="B16" s="97"/>
      <c r="C16" s="82"/>
      <c r="D16" s="10">
        <v>3</v>
      </c>
      <c r="E16" s="8">
        <v>248</v>
      </c>
      <c r="F16" s="8">
        <v>1</v>
      </c>
      <c r="G16" s="8">
        <v>27</v>
      </c>
      <c r="H16" s="8">
        <v>1</v>
      </c>
      <c r="I16" s="8">
        <v>177</v>
      </c>
      <c r="J16" s="8">
        <v>42</v>
      </c>
      <c r="K16" s="11">
        <v>248</v>
      </c>
      <c r="L16" s="23">
        <v>0</v>
      </c>
      <c r="M16" s="11">
        <v>0</v>
      </c>
    </row>
    <row r="17" spans="1:13" ht="32.700000000000003" customHeight="1" x14ac:dyDescent="0.25">
      <c r="A17" s="17">
        <v>42</v>
      </c>
      <c r="B17" s="18" t="s">
        <v>104</v>
      </c>
      <c r="C17" s="20" t="s">
        <v>105</v>
      </c>
      <c r="D17" s="10">
        <v>1</v>
      </c>
      <c r="E17" s="8">
        <v>125</v>
      </c>
      <c r="F17" s="8">
        <v>1</v>
      </c>
      <c r="G17" s="8">
        <v>29</v>
      </c>
      <c r="H17" s="8">
        <v>2</v>
      </c>
      <c r="I17" s="8">
        <v>36</v>
      </c>
      <c r="J17" s="8">
        <v>56</v>
      </c>
      <c r="K17" s="11">
        <v>124</v>
      </c>
      <c r="L17" s="23">
        <v>1</v>
      </c>
      <c r="M17" s="11">
        <v>0</v>
      </c>
    </row>
    <row r="18" spans="1:13" ht="37.950000000000003" customHeight="1" x14ac:dyDescent="0.25"/>
    <row r="19" spans="1:13" ht="228" customHeight="1" x14ac:dyDescent="0.25"/>
    <row r="20" spans="1:13" ht="228" customHeight="1" x14ac:dyDescent="0.25"/>
  </sheetData>
  <mergeCells count="19">
    <mergeCell ref="A14:A16"/>
    <mergeCell ref="B14:B16"/>
    <mergeCell ref="C14:C16"/>
    <mergeCell ref="A5:A8"/>
    <mergeCell ref="B5:B8"/>
    <mergeCell ref="C5:C8"/>
    <mergeCell ref="A9:A13"/>
    <mergeCell ref="B9:B13"/>
    <mergeCell ref="C9:C13"/>
    <mergeCell ref="A1:M1"/>
    <mergeCell ref="A2:A4"/>
    <mergeCell ref="B2:B4"/>
    <mergeCell ref="C2:C4"/>
    <mergeCell ref="D2:D4"/>
    <mergeCell ref="E2:E4"/>
    <mergeCell ref="F2:K2"/>
    <mergeCell ref="L2:L4"/>
    <mergeCell ref="M2:M4"/>
    <mergeCell ref="K3:K4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23"/>
  <sheetViews>
    <sheetView topLeftCell="A3" workbookViewId="0">
      <selection activeCell="A5" sqref="A5:M20"/>
    </sheetView>
  </sheetViews>
  <sheetFormatPr defaultRowHeight="13.2" x14ac:dyDescent="0.25"/>
  <cols>
    <col min="1" max="1" width="5.5546875" customWidth="1"/>
    <col min="2" max="2" width="17.33203125" customWidth="1"/>
    <col min="3" max="3" width="23.33203125" customWidth="1"/>
    <col min="4" max="4" width="9.33203125" customWidth="1"/>
    <col min="5" max="5" width="11.5546875" customWidth="1"/>
    <col min="6" max="10" width="14" customWidth="1"/>
    <col min="11" max="13" width="11.77734375" customWidth="1"/>
  </cols>
  <sheetData>
    <row r="1" spans="1:13" ht="34.799999999999997" customHeight="1" x14ac:dyDescent="0.25">
      <c r="A1" s="48" t="s">
        <v>106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50"/>
    </row>
    <row r="2" spans="1:13" ht="18" customHeight="1" x14ac:dyDescent="0.25">
      <c r="A2" s="51" t="s">
        <v>1</v>
      </c>
      <c r="B2" s="51" t="s">
        <v>2</v>
      </c>
      <c r="C2" s="51" t="s">
        <v>3</v>
      </c>
      <c r="D2" s="54" t="s">
        <v>4</v>
      </c>
      <c r="E2" s="57" t="s">
        <v>5</v>
      </c>
      <c r="F2" s="60" t="s">
        <v>6</v>
      </c>
      <c r="G2" s="61"/>
      <c r="H2" s="61"/>
      <c r="I2" s="61"/>
      <c r="J2" s="61"/>
      <c r="K2" s="62"/>
      <c r="L2" s="54" t="s">
        <v>7</v>
      </c>
      <c r="M2" s="57" t="s">
        <v>8</v>
      </c>
    </row>
    <row r="3" spans="1:13" ht="37.950000000000003" customHeight="1" x14ac:dyDescent="0.25">
      <c r="A3" s="52"/>
      <c r="B3" s="52"/>
      <c r="C3" s="52"/>
      <c r="D3" s="55"/>
      <c r="E3" s="58"/>
      <c r="F3" s="1" t="s">
        <v>9</v>
      </c>
      <c r="G3" s="2" t="s">
        <v>10</v>
      </c>
      <c r="H3" s="2" t="s">
        <v>11</v>
      </c>
      <c r="I3" s="3" t="s">
        <v>12</v>
      </c>
      <c r="J3" s="1" t="s">
        <v>13</v>
      </c>
      <c r="K3" s="63" t="s">
        <v>14</v>
      </c>
      <c r="L3" s="55"/>
      <c r="M3" s="58"/>
    </row>
    <row r="4" spans="1:13" ht="28.2" customHeight="1" x14ac:dyDescent="0.25">
      <c r="A4" s="53"/>
      <c r="B4" s="53"/>
      <c r="C4" s="53"/>
      <c r="D4" s="56"/>
      <c r="E4" s="59"/>
      <c r="F4" s="4"/>
      <c r="G4" s="4"/>
      <c r="H4" s="4"/>
      <c r="I4" s="4"/>
      <c r="J4" s="4"/>
      <c r="K4" s="64"/>
      <c r="L4" s="56"/>
      <c r="M4" s="59"/>
    </row>
    <row r="5" spans="1:13" ht="17.25" customHeight="1" x14ac:dyDescent="0.25">
      <c r="A5" s="85">
        <v>43</v>
      </c>
      <c r="B5" s="80" t="s">
        <v>107</v>
      </c>
      <c r="C5" s="98" t="s">
        <v>108</v>
      </c>
      <c r="D5" s="10">
        <v>1</v>
      </c>
      <c r="E5" s="8">
        <v>269</v>
      </c>
      <c r="F5" s="8">
        <v>2</v>
      </c>
      <c r="G5" s="8">
        <v>12</v>
      </c>
      <c r="H5" s="8">
        <v>6</v>
      </c>
      <c r="I5" s="8">
        <v>144</v>
      </c>
      <c r="J5" s="8">
        <v>101</v>
      </c>
      <c r="K5" s="27">
        <v>265</v>
      </c>
      <c r="L5" s="23">
        <v>4</v>
      </c>
      <c r="M5" s="11">
        <v>0</v>
      </c>
    </row>
    <row r="6" spans="1:13" ht="17.25" customHeight="1" x14ac:dyDescent="0.25">
      <c r="A6" s="87"/>
      <c r="B6" s="81"/>
      <c r="C6" s="99"/>
      <c r="D6" s="10">
        <v>2</v>
      </c>
      <c r="E6" s="8">
        <v>353</v>
      </c>
      <c r="F6" s="8">
        <v>6</v>
      </c>
      <c r="G6" s="8">
        <v>29</v>
      </c>
      <c r="H6" s="8">
        <v>7</v>
      </c>
      <c r="I6" s="8">
        <v>181</v>
      </c>
      <c r="J6" s="8">
        <v>127</v>
      </c>
      <c r="K6" s="27">
        <v>350</v>
      </c>
      <c r="L6" s="23">
        <v>3</v>
      </c>
      <c r="M6" s="11">
        <v>0</v>
      </c>
    </row>
    <row r="7" spans="1:13" ht="17.25" customHeight="1" x14ac:dyDescent="0.25">
      <c r="A7" s="87"/>
      <c r="B7" s="81"/>
      <c r="C7" s="99"/>
      <c r="D7" s="10">
        <v>3</v>
      </c>
      <c r="E7" s="8">
        <v>359</v>
      </c>
      <c r="F7" s="8">
        <v>7</v>
      </c>
      <c r="G7" s="8">
        <v>43</v>
      </c>
      <c r="H7" s="8">
        <v>2</v>
      </c>
      <c r="I7" s="8">
        <v>187</v>
      </c>
      <c r="J7" s="8">
        <v>119</v>
      </c>
      <c r="K7" s="27">
        <v>358</v>
      </c>
      <c r="L7" s="23">
        <v>1</v>
      </c>
      <c r="M7" s="11">
        <v>0</v>
      </c>
    </row>
    <row r="8" spans="1:13" ht="17.25" customHeight="1" x14ac:dyDescent="0.25">
      <c r="A8" s="87"/>
      <c r="B8" s="81"/>
      <c r="C8" s="99"/>
      <c r="D8" s="10">
        <v>4</v>
      </c>
      <c r="E8" s="8">
        <v>517</v>
      </c>
      <c r="F8" s="8">
        <v>9</v>
      </c>
      <c r="G8" s="8">
        <v>92</v>
      </c>
      <c r="H8" s="8">
        <v>3</v>
      </c>
      <c r="I8" s="8">
        <v>266</v>
      </c>
      <c r="J8" s="8">
        <v>144</v>
      </c>
      <c r="K8" s="27">
        <v>514</v>
      </c>
      <c r="L8" s="23">
        <v>3</v>
      </c>
      <c r="M8" s="11">
        <v>0</v>
      </c>
    </row>
    <row r="9" spans="1:13" ht="17.25" customHeight="1" x14ac:dyDescent="0.25">
      <c r="A9" s="87"/>
      <c r="B9" s="81"/>
      <c r="C9" s="99"/>
      <c r="D9" s="10">
        <v>5</v>
      </c>
      <c r="E9" s="8">
        <v>484</v>
      </c>
      <c r="F9" s="8">
        <v>7</v>
      </c>
      <c r="G9" s="8">
        <v>82</v>
      </c>
      <c r="H9" s="8">
        <v>4</v>
      </c>
      <c r="I9" s="8">
        <v>277</v>
      </c>
      <c r="J9" s="8">
        <v>114</v>
      </c>
      <c r="K9" s="27">
        <v>484</v>
      </c>
      <c r="L9" s="23">
        <v>0</v>
      </c>
      <c r="M9" s="11">
        <v>0</v>
      </c>
    </row>
    <row r="10" spans="1:13" ht="17.25" customHeight="1" x14ac:dyDescent="0.25">
      <c r="A10" s="87"/>
      <c r="B10" s="81"/>
      <c r="C10" s="99"/>
      <c r="D10" s="10">
        <v>6</v>
      </c>
      <c r="E10" s="8">
        <v>478</v>
      </c>
      <c r="F10" s="8">
        <v>4</v>
      </c>
      <c r="G10" s="8">
        <v>103</v>
      </c>
      <c r="H10" s="8">
        <v>2</v>
      </c>
      <c r="I10" s="8">
        <v>249</v>
      </c>
      <c r="J10" s="8">
        <v>120</v>
      </c>
      <c r="K10" s="27">
        <v>478</v>
      </c>
      <c r="L10" s="23">
        <v>0</v>
      </c>
      <c r="M10" s="11">
        <v>0</v>
      </c>
    </row>
    <row r="11" spans="1:13" ht="17.25" customHeight="1" x14ac:dyDescent="0.25">
      <c r="A11" s="87"/>
      <c r="B11" s="81"/>
      <c r="C11" s="99"/>
      <c r="D11" s="10">
        <v>7</v>
      </c>
      <c r="E11" s="8">
        <v>485</v>
      </c>
      <c r="F11" s="8">
        <v>5</v>
      </c>
      <c r="G11" s="8">
        <v>102</v>
      </c>
      <c r="H11" s="8">
        <v>1</v>
      </c>
      <c r="I11" s="8">
        <v>230</v>
      </c>
      <c r="J11" s="8">
        <v>147</v>
      </c>
      <c r="K11" s="27">
        <v>485</v>
      </c>
      <c r="L11" s="23">
        <v>0</v>
      </c>
      <c r="M11" s="11">
        <v>0</v>
      </c>
    </row>
    <row r="12" spans="1:13" ht="17.25" customHeight="1" x14ac:dyDescent="0.25">
      <c r="A12" s="87"/>
      <c r="B12" s="81"/>
      <c r="C12" s="99"/>
      <c r="D12" s="10">
        <v>8</v>
      </c>
      <c r="E12" s="8">
        <v>525</v>
      </c>
      <c r="F12" s="8">
        <v>5</v>
      </c>
      <c r="G12" s="8">
        <v>110</v>
      </c>
      <c r="H12" s="8">
        <v>1</v>
      </c>
      <c r="I12" s="8">
        <v>259</v>
      </c>
      <c r="J12" s="8">
        <v>147</v>
      </c>
      <c r="K12" s="27">
        <v>522</v>
      </c>
      <c r="L12" s="23">
        <v>3</v>
      </c>
      <c r="M12" s="11">
        <v>0</v>
      </c>
    </row>
    <row r="13" spans="1:13" ht="17.25" customHeight="1" x14ac:dyDescent="0.25">
      <c r="A13" s="86"/>
      <c r="B13" s="82"/>
      <c r="C13" s="100"/>
      <c r="D13" s="10">
        <v>9</v>
      </c>
      <c r="E13" s="8">
        <v>573</v>
      </c>
      <c r="F13" s="8">
        <v>3</v>
      </c>
      <c r="G13" s="8">
        <v>148</v>
      </c>
      <c r="H13" s="8">
        <v>2</v>
      </c>
      <c r="I13" s="8">
        <v>243</v>
      </c>
      <c r="J13" s="8">
        <v>175</v>
      </c>
      <c r="K13" s="27">
        <v>571</v>
      </c>
      <c r="L13" s="23">
        <v>2</v>
      </c>
      <c r="M13" s="11">
        <v>0</v>
      </c>
    </row>
    <row r="14" spans="1:13" ht="17.25" customHeight="1" x14ac:dyDescent="0.25">
      <c r="A14" s="85">
        <v>44</v>
      </c>
      <c r="B14" s="74" t="s">
        <v>109</v>
      </c>
      <c r="C14" s="77" t="s">
        <v>110</v>
      </c>
      <c r="D14" s="10">
        <v>1</v>
      </c>
      <c r="E14" s="8">
        <v>119</v>
      </c>
      <c r="F14" s="8">
        <v>0</v>
      </c>
      <c r="G14" s="8">
        <v>0</v>
      </c>
      <c r="H14" s="8">
        <v>4</v>
      </c>
      <c r="I14" s="8">
        <v>105</v>
      </c>
      <c r="J14" s="8">
        <v>10</v>
      </c>
      <c r="K14" s="27">
        <v>119</v>
      </c>
      <c r="L14" s="23">
        <v>0</v>
      </c>
      <c r="M14" s="11">
        <v>0</v>
      </c>
    </row>
    <row r="15" spans="1:13" ht="17.25" customHeight="1" x14ac:dyDescent="0.25">
      <c r="A15" s="86"/>
      <c r="B15" s="75"/>
      <c r="C15" s="79"/>
      <c r="D15" s="10">
        <v>2</v>
      </c>
      <c r="E15" s="8">
        <v>158</v>
      </c>
      <c r="F15" s="8">
        <v>0</v>
      </c>
      <c r="G15" s="8">
        <v>0</v>
      </c>
      <c r="H15" s="8">
        <v>0</v>
      </c>
      <c r="I15" s="8">
        <v>152</v>
      </c>
      <c r="J15" s="8">
        <v>6</v>
      </c>
      <c r="K15" s="27">
        <v>158</v>
      </c>
      <c r="L15" s="23">
        <v>0</v>
      </c>
      <c r="M15" s="11">
        <v>0</v>
      </c>
    </row>
    <row r="16" spans="1:13" ht="41.7" customHeight="1" x14ac:dyDescent="0.25">
      <c r="A16" s="5">
        <v>45</v>
      </c>
      <c r="B16" s="25" t="s">
        <v>111</v>
      </c>
      <c r="C16" s="6" t="s">
        <v>112</v>
      </c>
      <c r="D16" s="13">
        <v>1</v>
      </c>
      <c r="E16" s="14">
        <v>67</v>
      </c>
      <c r="F16" s="14">
        <v>3</v>
      </c>
      <c r="G16" s="14">
        <v>16</v>
      </c>
      <c r="H16" s="14">
        <v>1</v>
      </c>
      <c r="I16" s="14">
        <v>18</v>
      </c>
      <c r="J16" s="14">
        <v>28</v>
      </c>
      <c r="K16" s="28">
        <v>66</v>
      </c>
      <c r="L16" s="29">
        <v>1</v>
      </c>
      <c r="M16" s="15">
        <v>0</v>
      </c>
    </row>
    <row r="17" spans="1:13" ht="17.25" customHeight="1" x14ac:dyDescent="0.25">
      <c r="A17" s="85">
        <v>46</v>
      </c>
      <c r="B17" s="80" t="s">
        <v>113</v>
      </c>
      <c r="C17" s="77" t="s">
        <v>114</v>
      </c>
      <c r="D17" s="10">
        <v>1</v>
      </c>
      <c r="E17" s="8">
        <v>145</v>
      </c>
      <c r="F17" s="8">
        <v>0</v>
      </c>
      <c r="G17" s="8">
        <v>9</v>
      </c>
      <c r="H17" s="8">
        <v>2</v>
      </c>
      <c r="I17" s="8">
        <v>65</v>
      </c>
      <c r="J17" s="8">
        <v>65</v>
      </c>
      <c r="K17" s="27">
        <v>141</v>
      </c>
      <c r="L17" s="23">
        <v>4</v>
      </c>
      <c r="M17" s="11">
        <v>0</v>
      </c>
    </row>
    <row r="18" spans="1:13" ht="17.25" customHeight="1" x14ac:dyDescent="0.25">
      <c r="A18" s="87"/>
      <c r="B18" s="81"/>
      <c r="C18" s="78"/>
      <c r="D18" s="10">
        <v>2</v>
      </c>
      <c r="E18" s="8">
        <v>160</v>
      </c>
      <c r="F18" s="8">
        <v>1</v>
      </c>
      <c r="G18" s="8">
        <v>14</v>
      </c>
      <c r="H18" s="8">
        <v>2</v>
      </c>
      <c r="I18" s="8">
        <v>75</v>
      </c>
      <c r="J18" s="8">
        <v>67</v>
      </c>
      <c r="K18" s="27">
        <v>159</v>
      </c>
      <c r="L18" s="23">
        <v>1</v>
      </c>
      <c r="M18" s="11">
        <v>0</v>
      </c>
    </row>
    <row r="19" spans="1:13" ht="17.25" customHeight="1" x14ac:dyDescent="0.25">
      <c r="A19" s="87"/>
      <c r="B19" s="81"/>
      <c r="C19" s="78"/>
      <c r="D19" s="10">
        <v>3</v>
      </c>
      <c r="E19" s="8">
        <v>274</v>
      </c>
      <c r="F19" s="8">
        <v>1</v>
      </c>
      <c r="G19" s="8">
        <v>61</v>
      </c>
      <c r="H19" s="8">
        <v>1</v>
      </c>
      <c r="I19" s="8">
        <v>111</v>
      </c>
      <c r="J19" s="8">
        <v>99</v>
      </c>
      <c r="K19" s="27">
        <v>273</v>
      </c>
      <c r="L19" s="23">
        <v>1</v>
      </c>
      <c r="M19" s="11">
        <v>0</v>
      </c>
    </row>
    <row r="20" spans="1:13" ht="17.25" customHeight="1" x14ac:dyDescent="0.25">
      <c r="A20" s="86"/>
      <c r="B20" s="82"/>
      <c r="C20" s="79"/>
      <c r="D20" s="10">
        <v>4</v>
      </c>
      <c r="E20" s="8">
        <v>299</v>
      </c>
      <c r="F20" s="8">
        <v>1</v>
      </c>
      <c r="G20" s="8">
        <v>102</v>
      </c>
      <c r="H20" s="8">
        <v>2</v>
      </c>
      <c r="I20" s="8">
        <v>78</v>
      </c>
      <c r="J20" s="8">
        <v>116</v>
      </c>
      <c r="K20" s="27">
        <v>299</v>
      </c>
      <c r="L20" s="23">
        <v>0</v>
      </c>
      <c r="M20" s="11">
        <v>0</v>
      </c>
    </row>
    <row r="21" spans="1:13" ht="37.950000000000003" customHeight="1" x14ac:dyDescent="0.25"/>
    <row r="22" spans="1:13" ht="286.05" customHeight="1" x14ac:dyDescent="0.25"/>
    <row r="23" spans="1:13" ht="286.05" customHeight="1" x14ac:dyDescent="0.25"/>
  </sheetData>
  <mergeCells count="19">
    <mergeCell ref="A17:A20"/>
    <mergeCell ref="B17:B20"/>
    <mergeCell ref="C17:C20"/>
    <mergeCell ref="A5:A13"/>
    <mergeCell ref="B5:B13"/>
    <mergeCell ref="C5:C13"/>
    <mergeCell ref="A14:A15"/>
    <mergeCell ref="B14:B15"/>
    <mergeCell ref="C14:C15"/>
    <mergeCell ref="A1:M1"/>
    <mergeCell ref="A2:A4"/>
    <mergeCell ref="B2:B4"/>
    <mergeCell ref="C2:C4"/>
    <mergeCell ref="D2:D4"/>
    <mergeCell ref="E2:E4"/>
    <mergeCell ref="F2:K2"/>
    <mergeCell ref="L2:L4"/>
    <mergeCell ref="M2:M4"/>
    <mergeCell ref="K3:K4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27"/>
  <sheetViews>
    <sheetView workbookViewId="0">
      <selection activeCell="A5" sqref="A5:M24"/>
    </sheetView>
  </sheetViews>
  <sheetFormatPr defaultRowHeight="13.2" x14ac:dyDescent="0.25"/>
  <cols>
    <col min="1" max="1" width="5.5546875" customWidth="1"/>
    <col min="2" max="2" width="17.33203125" customWidth="1"/>
    <col min="3" max="3" width="23.33203125" customWidth="1"/>
    <col min="4" max="4" width="9.33203125" customWidth="1"/>
    <col min="5" max="5" width="11.5546875" customWidth="1"/>
    <col min="6" max="10" width="14" customWidth="1"/>
    <col min="11" max="13" width="11.77734375" customWidth="1"/>
  </cols>
  <sheetData>
    <row r="1" spans="1:13" ht="34.799999999999997" customHeight="1" x14ac:dyDescent="0.25">
      <c r="A1" s="48" t="s">
        <v>115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50"/>
    </row>
    <row r="2" spans="1:13" ht="18" customHeight="1" x14ac:dyDescent="0.25">
      <c r="A2" s="51" t="s">
        <v>1</v>
      </c>
      <c r="B2" s="51" t="s">
        <v>2</v>
      </c>
      <c r="C2" s="51" t="s">
        <v>3</v>
      </c>
      <c r="D2" s="54" t="s">
        <v>4</v>
      </c>
      <c r="E2" s="57" t="s">
        <v>5</v>
      </c>
      <c r="F2" s="60" t="s">
        <v>6</v>
      </c>
      <c r="G2" s="61"/>
      <c r="H2" s="61"/>
      <c r="I2" s="61"/>
      <c r="J2" s="61"/>
      <c r="K2" s="62"/>
      <c r="L2" s="54" t="s">
        <v>7</v>
      </c>
      <c r="M2" s="57" t="s">
        <v>8</v>
      </c>
    </row>
    <row r="3" spans="1:13" ht="37.950000000000003" customHeight="1" x14ac:dyDescent="0.25">
      <c r="A3" s="52"/>
      <c r="B3" s="52"/>
      <c r="C3" s="52"/>
      <c r="D3" s="55"/>
      <c r="E3" s="58"/>
      <c r="F3" s="1" t="s">
        <v>9</v>
      </c>
      <c r="G3" s="2" t="s">
        <v>10</v>
      </c>
      <c r="H3" s="2" t="s">
        <v>11</v>
      </c>
      <c r="I3" s="3" t="s">
        <v>12</v>
      </c>
      <c r="J3" s="1" t="s">
        <v>13</v>
      </c>
      <c r="K3" s="63" t="s">
        <v>14</v>
      </c>
      <c r="L3" s="55"/>
      <c r="M3" s="58"/>
    </row>
    <row r="4" spans="1:13" ht="28.2" customHeight="1" x14ac:dyDescent="0.25">
      <c r="A4" s="53"/>
      <c r="B4" s="53"/>
      <c r="C4" s="53"/>
      <c r="D4" s="56"/>
      <c r="E4" s="59"/>
      <c r="F4" s="4"/>
      <c r="G4" s="4"/>
      <c r="H4" s="4"/>
      <c r="I4" s="4"/>
      <c r="J4" s="4"/>
      <c r="K4" s="64"/>
      <c r="L4" s="56"/>
      <c r="M4" s="59"/>
    </row>
    <row r="5" spans="1:13" ht="17.25" customHeight="1" x14ac:dyDescent="0.25">
      <c r="A5" s="85">
        <v>47</v>
      </c>
      <c r="B5" s="95" t="s">
        <v>116</v>
      </c>
      <c r="C5" s="98" t="s">
        <v>117</v>
      </c>
      <c r="D5" s="10">
        <v>1</v>
      </c>
      <c r="E5" s="8">
        <v>254</v>
      </c>
      <c r="F5" s="8">
        <v>0</v>
      </c>
      <c r="G5" s="8">
        <v>24</v>
      </c>
      <c r="H5" s="8">
        <v>1</v>
      </c>
      <c r="I5" s="8">
        <v>62</v>
      </c>
      <c r="J5" s="8">
        <v>166</v>
      </c>
      <c r="K5" s="11">
        <v>253</v>
      </c>
      <c r="L5" s="23">
        <v>1</v>
      </c>
      <c r="M5" s="11">
        <v>0</v>
      </c>
    </row>
    <row r="6" spans="1:13" ht="17.25" customHeight="1" x14ac:dyDescent="0.25">
      <c r="A6" s="87"/>
      <c r="B6" s="96"/>
      <c r="C6" s="99"/>
      <c r="D6" s="10">
        <v>2</v>
      </c>
      <c r="E6" s="8">
        <v>302</v>
      </c>
      <c r="F6" s="8">
        <v>5</v>
      </c>
      <c r="G6" s="8">
        <v>21</v>
      </c>
      <c r="H6" s="8">
        <v>3</v>
      </c>
      <c r="I6" s="8">
        <v>101</v>
      </c>
      <c r="J6" s="8">
        <v>169</v>
      </c>
      <c r="K6" s="11">
        <v>299</v>
      </c>
      <c r="L6" s="23">
        <v>3</v>
      </c>
      <c r="M6" s="11">
        <v>0</v>
      </c>
    </row>
    <row r="7" spans="1:13" ht="17.25" customHeight="1" x14ac:dyDescent="0.25">
      <c r="A7" s="87"/>
      <c r="B7" s="96"/>
      <c r="C7" s="99"/>
      <c r="D7" s="10">
        <v>3</v>
      </c>
      <c r="E7" s="8">
        <v>461</v>
      </c>
      <c r="F7" s="8">
        <v>4</v>
      </c>
      <c r="G7" s="8">
        <v>64</v>
      </c>
      <c r="H7" s="8">
        <v>4</v>
      </c>
      <c r="I7" s="8">
        <v>192</v>
      </c>
      <c r="J7" s="8">
        <v>195</v>
      </c>
      <c r="K7" s="11">
        <v>459</v>
      </c>
      <c r="L7" s="23">
        <v>2</v>
      </c>
      <c r="M7" s="11">
        <v>0</v>
      </c>
    </row>
    <row r="8" spans="1:13" ht="17.25" customHeight="1" x14ac:dyDescent="0.25">
      <c r="A8" s="87"/>
      <c r="B8" s="96"/>
      <c r="C8" s="99"/>
      <c r="D8" s="10">
        <v>4</v>
      </c>
      <c r="E8" s="8">
        <v>420</v>
      </c>
      <c r="F8" s="8">
        <v>3</v>
      </c>
      <c r="G8" s="8">
        <v>90</v>
      </c>
      <c r="H8" s="8">
        <v>3</v>
      </c>
      <c r="I8" s="8">
        <v>157</v>
      </c>
      <c r="J8" s="8">
        <v>166</v>
      </c>
      <c r="K8" s="11">
        <v>419</v>
      </c>
      <c r="L8" s="23">
        <v>1</v>
      </c>
      <c r="M8" s="11">
        <v>0</v>
      </c>
    </row>
    <row r="9" spans="1:13" ht="17.25" customHeight="1" x14ac:dyDescent="0.25">
      <c r="A9" s="87"/>
      <c r="B9" s="96"/>
      <c r="C9" s="99"/>
      <c r="D9" s="10">
        <v>5</v>
      </c>
      <c r="E9" s="8">
        <v>425</v>
      </c>
      <c r="F9" s="8">
        <v>0</v>
      </c>
      <c r="G9" s="8">
        <v>98</v>
      </c>
      <c r="H9" s="8">
        <v>1</v>
      </c>
      <c r="I9" s="8">
        <v>172</v>
      </c>
      <c r="J9" s="8">
        <v>154</v>
      </c>
      <c r="K9" s="11">
        <v>425</v>
      </c>
      <c r="L9" s="23">
        <v>0</v>
      </c>
      <c r="M9" s="11">
        <v>0</v>
      </c>
    </row>
    <row r="10" spans="1:13" ht="17.25" customHeight="1" x14ac:dyDescent="0.25">
      <c r="A10" s="86"/>
      <c r="B10" s="97"/>
      <c r="C10" s="100"/>
      <c r="D10" s="10">
        <v>6</v>
      </c>
      <c r="E10" s="8">
        <v>410</v>
      </c>
      <c r="F10" s="8">
        <v>0</v>
      </c>
      <c r="G10" s="8">
        <v>118</v>
      </c>
      <c r="H10" s="8">
        <v>5</v>
      </c>
      <c r="I10" s="8">
        <v>158</v>
      </c>
      <c r="J10" s="8">
        <v>129</v>
      </c>
      <c r="K10" s="11">
        <v>410</v>
      </c>
      <c r="L10" s="23">
        <v>0</v>
      </c>
      <c r="M10" s="11">
        <v>0</v>
      </c>
    </row>
    <row r="11" spans="1:13" ht="17.25" customHeight="1" x14ac:dyDescent="0.25">
      <c r="A11" s="85">
        <v>48</v>
      </c>
      <c r="B11" s="72" t="s">
        <v>118</v>
      </c>
      <c r="C11" s="74" t="s">
        <v>119</v>
      </c>
      <c r="D11" s="10">
        <v>1</v>
      </c>
      <c r="E11" s="8">
        <v>200</v>
      </c>
      <c r="F11" s="8">
        <v>0</v>
      </c>
      <c r="G11" s="8">
        <v>18</v>
      </c>
      <c r="H11" s="8">
        <v>0</v>
      </c>
      <c r="I11" s="8">
        <v>33</v>
      </c>
      <c r="J11" s="8">
        <v>146</v>
      </c>
      <c r="K11" s="11">
        <v>197</v>
      </c>
      <c r="L11" s="23">
        <v>3</v>
      </c>
      <c r="M11" s="11">
        <v>0</v>
      </c>
    </row>
    <row r="12" spans="1:13" ht="17.25" customHeight="1" x14ac:dyDescent="0.25">
      <c r="A12" s="86"/>
      <c r="B12" s="73"/>
      <c r="C12" s="75"/>
      <c r="D12" s="10">
        <v>2</v>
      </c>
      <c r="E12" s="8">
        <v>288</v>
      </c>
      <c r="F12" s="8">
        <v>1</v>
      </c>
      <c r="G12" s="8">
        <v>82</v>
      </c>
      <c r="H12" s="8">
        <v>4</v>
      </c>
      <c r="I12" s="8">
        <v>54</v>
      </c>
      <c r="J12" s="8">
        <v>146</v>
      </c>
      <c r="K12" s="11">
        <v>287</v>
      </c>
      <c r="L12" s="23">
        <v>1</v>
      </c>
      <c r="M12" s="11">
        <v>0</v>
      </c>
    </row>
    <row r="13" spans="1:13" ht="17.25" customHeight="1" x14ac:dyDescent="0.25">
      <c r="A13" s="85">
        <v>49</v>
      </c>
      <c r="B13" s="91" t="s">
        <v>120</v>
      </c>
      <c r="C13" s="80" t="s">
        <v>121</v>
      </c>
      <c r="D13" s="10">
        <v>1</v>
      </c>
      <c r="E13" s="8">
        <v>247</v>
      </c>
      <c r="F13" s="8">
        <v>1</v>
      </c>
      <c r="G13" s="8">
        <v>35</v>
      </c>
      <c r="H13" s="8">
        <v>1</v>
      </c>
      <c r="I13" s="8">
        <v>57</v>
      </c>
      <c r="J13" s="8">
        <v>150</v>
      </c>
      <c r="K13" s="11">
        <v>244</v>
      </c>
      <c r="L13" s="23">
        <v>3</v>
      </c>
      <c r="M13" s="11">
        <v>0</v>
      </c>
    </row>
    <row r="14" spans="1:13" ht="17.25" customHeight="1" x14ac:dyDescent="0.25">
      <c r="A14" s="87"/>
      <c r="B14" s="92"/>
      <c r="C14" s="81"/>
      <c r="D14" s="10">
        <v>2</v>
      </c>
      <c r="E14" s="8">
        <v>269</v>
      </c>
      <c r="F14" s="8">
        <v>6</v>
      </c>
      <c r="G14" s="8">
        <v>72</v>
      </c>
      <c r="H14" s="8">
        <v>2</v>
      </c>
      <c r="I14" s="8">
        <v>44</v>
      </c>
      <c r="J14" s="8">
        <v>142</v>
      </c>
      <c r="K14" s="11">
        <v>266</v>
      </c>
      <c r="L14" s="23">
        <v>3</v>
      </c>
      <c r="M14" s="11">
        <v>0</v>
      </c>
    </row>
    <row r="15" spans="1:13" ht="17.25" customHeight="1" x14ac:dyDescent="0.25">
      <c r="A15" s="86"/>
      <c r="B15" s="93"/>
      <c r="C15" s="82"/>
      <c r="D15" s="10">
        <v>3</v>
      </c>
      <c r="E15" s="8">
        <v>269</v>
      </c>
      <c r="F15" s="8">
        <v>0</v>
      </c>
      <c r="G15" s="8">
        <v>97</v>
      </c>
      <c r="H15" s="8">
        <v>1</v>
      </c>
      <c r="I15" s="8">
        <v>66</v>
      </c>
      <c r="J15" s="8">
        <v>102</v>
      </c>
      <c r="K15" s="11">
        <v>266</v>
      </c>
      <c r="L15" s="23">
        <v>3</v>
      </c>
      <c r="M15" s="11">
        <v>0</v>
      </c>
    </row>
    <row r="16" spans="1:13" ht="17.25" customHeight="1" x14ac:dyDescent="0.25">
      <c r="A16" s="85">
        <v>50</v>
      </c>
      <c r="B16" s="80" t="s">
        <v>122</v>
      </c>
      <c r="C16" s="80" t="s">
        <v>123</v>
      </c>
      <c r="D16" s="10">
        <v>1</v>
      </c>
      <c r="E16" s="8">
        <v>221</v>
      </c>
      <c r="F16" s="8">
        <v>0</v>
      </c>
      <c r="G16" s="8">
        <v>25</v>
      </c>
      <c r="H16" s="8">
        <v>3</v>
      </c>
      <c r="I16" s="8">
        <v>43</v>
      </c>
      <c r="J16" s="8">
        <v>144</v>
      </c>
      <c r="K16" s="11">
        <v>215</v>
      </c>
      <c r="L16" s="23">
        <v>6</v>
      </c>
      <c r="M16" s="11">
        <v>0</v>
      </c>
    </row>
    <row r="17" spans="1:13" ht="17.25" customHeight="1" x14ac:dyDescent="0.25">
      <c r="A17" s="87"/>
      <c r="B17" s="81"/>
      <c r="C17" s="81"/>
      <c r="D17" s="10">
        <v>2</v>
      </c>
      <c r="E17" s="8">
        <v>314</v>
      </c>
      <c r="F17" s="8">
        <v>4</v>
      </c>
      <c r="G17" s="8">
        <v>70</v>
      </c>
      <c r="H17" s="8">
        <v>0</v>
      </c>
      <c r="I17" s="8">
        <v>71</v>
      </c>
      <c r="J17" s="8">
        <v>166</v>
      </c>
      <c r="K17" s="11">
        <v>311</v>
      </c>
      <c r="L17" s="23">
        <v>3</v>
      </c>
      <c r="M17" s="11">
        <v>0</v>
      </c>
    </row>
    <row r="18" spans="1:13" ht="17.25" customHeight="1" x14ac:dyDescent="0.25">
      <c r="A18" s="86"/>
      <c r="B18" s="82"/>
      <c r="C18" s="82"/>
      <c r="D18" s="10">
        <v>3</v>
      </c>
      <c r="E18" s="8">
        <v>322</v>
      </c>
      <c r="F18" s="8">
        <v>1</v>
      </c>
      <c r="G18" s="8">
        <v>113</v>
      </c>
      <c r="H18" s="8">
        <v>4</v>
      </c>
      <c r="I18" s="8">
        <v>70</v>
      </c>
      <c r="J18" s="8">
        <v>132</v>
      </c>
      <c r="K18" s="11">
        <v>320</v>
      </c>
      <c r="L18" s="23">
        <v>2</v>
      </c>
      <c r="M18" s="11">
        <v>0</v>
      </c>
    </row>
    <row r="19" spans="1:13" ht="17.25" customHeight="1" x14ac:dyDescent="0.25">
      <c r="A19" s="85">
        <v>51</v>
      </c>
      <c r="B19" s="83" t="s">
        <v>124</v>
      </c>
      <c r="C19" s="77" t="s">
        <v>125</v>
      </c>
      <c r="D19" s="10">
        <v>1</v>
      </c>
      <c r="E19" s="8">
        <v>179</v>
      </c>
      <c r="F19" s="8">
        <v>3</v>
      </c>
      <c r="G19" s="8">
        <v>15</v>
      </c>
      <c r="H19" s="8">
        <v>1</v>
      </c>
      <c r="I19" s="8">
        <v>81</v>
      </c>
      <c r="J19" s="8">
        <v>72</v>
      </c>
      <c r="K19" s="11">
        <v>172</v>
      </c>
      <c r="L19" s="23">
        <v>7</v>
      </c>
      <c r="M19" s="11">
        <v>0</v>
      </c>
    </row>
    <row r="20" spans="1:13" ht="17.25" customHeight="1" x14ac:dyDescent="0.25">
      <c r="A20" s="86"/>
      <c r="B20" s="84"/>
      <c r="C20" s="79"/>
      <c r="D20" s="10">
        <v>2</v>
      </c>
      <c r="E20" s="8">
        <v>289</v>
      </c>
      <c r="F20" s="8">
        <v>2</v>
      </c>
      <c r="G20" s="8">
        <v>73</v>
      </c>
      <c r="H20" s="8">
        <v>1</v>
      </c>
      <c r="I20" s="8">
        <v>105</v>
      </c>
      <c r="J20" s="8">
        <v>106</v>
      </c>
      <c r="K20" s="11">
        <v>287</v>
      </c>
      <c r="L20" s="23">
        <v>2</v>
      </c>
      <c r="M20" s="11">
        <v>0</v>
      </c>
    </row>
    <row r="21" spans="1:13" ht="17.25" customHeight="1" x14ac:dyDescent="0.25">
      <c r="A21" s="85">
        <v>52</v>
      </c>
      <c r="B21" s="91" t="s">
        <v>126</v>
      </c>
      <c r="C21" s="77" t="s">
        <v>127</v>
      </c>
      <c r="D21" s="10">
        <v>1</v>
      </c>
      <c r="E21" s="8">
        <v>272</v>
      </c>
      <c r="F21" s="8">
        <v>4</v>
      </c>
      <c r="G21" s="8">
        <v>19</v>
      </c>
      <c r="H21" s="8">
        <v>3</v>
      </c>
      <c r="I21" s="8">
        <v>160</v>
      </c>
      <c r="J21" s="8">
        <v>81</v>
      </c>
      <c r="K21" s="11">
        <v>267</v>
      </c>
      <c r="L21" s="23">
        <v>5</v>
      </c>
      <c r="M21" s="11">
        <v>0</v>
      </c>
    </row>
    <row r="22" spans="1:13" ht="17.25" customHeight="1" x14ac:dyDescent="0.25">
      <c r="A22" s="87"/>
      <c r="B22" s="92"/>
      <c r="C22" s="78"/>
      <c r="D22" s="10">
        <v>2</v>
      </c>
      <c r="E22" s="8">
        <v>247</v>
      </c>
      <c r="F22" s="8">
        <v>0</v>
      </c>
      <c r="G22" s="8">
        <v>23</v>
      </c>
      <c r="H22" s="8">
        <v>0</v>
      </c>
      <c r="I22" s="8">
        <v>160</v>
      </c>
      <c r="J22" s="8">
        <v>63</v>
      </c>
      <c r="K22" s="11">
        <v>246</v>
      </c>
      <c r="L22" s="23">
        <v>1</v>
      </c>
      <c r="M22" s="11">
        <v>0</v>
      </c>
    </row>
    <row r="23" spans="1:13" ht="17.25" customHeight="1" x14ac:dyDescent="0.25">
      <c r="A23" s="87"/>
      <c r="B23" s="92"/>
      <c r="C23" s="78"/>
      <c r="D23" s="10">
        <v>3</v>
      </c>
      <c r="E23" s="8">
        <v>313</v>
      </c>
      <c r="F23" s="8">
        <v>1</v>
      </c>
      <c r="G23" s="8">
        <v>44</v>
      </c>
      <c r="H23" s="8">
        <v>1</v>
      </c>
      <c r="I23" s="8">
        <v>206</v>
      </c>
      <c r="J23" s="8">
        <v>59</v>
      </c>
      <c r="K23" s="11">
        <v>311</v>
      </c>
      <c r="L23" s="23">
        <v>2</v>
      </c>
      <c r="M23" s="11">
        <v>0</v>
      </c>
    </row>
    <row r="24" spans="1:13" ht="17.25" customHeight="1" x14ac:dyDescent="0.25">
      <c r="A24" s="86"/>
      <c r="B24" s="93"/>
      <c r="C24" s="79"/>
      <c r="D24" s="10">
        <v>4</v>
      </c>
      <c r="E24" s="8">
        <v>320</v>
      </c>
      <c r="F24" s="8">
        <v>0</v>
      </c>
      <c r="G24" s="8">
        <v>52</v>
      </c>
      <c r="H24" s="8">
        <v>2</v>
      </c>
      <c r="I24" s="8">
        <v>192</v>
      </c>
      <c r="J24" s="8">
        <v>74</v>
      </c>
      <c r="K24" s="11">
        <v>320</v>
      </c>
      <c r="L24" s="23">
        <v>0</v>
      </c>
      <c r="M24" s="11">
        <v>0</v>
      </c>
    </row>
    <row r="25" spans="1:13" ht="37.950000000000003" customHeight="1" x14ac:dyDescent="0.25"/>
    <row r="26" spans="1:13" ht="325.95" customHeight="1" x14ac:dyDescent="0.25"/>
    <row r="27" spans="1:13" ht="325.95" customHeight="1" x14ac:dyDescent="0.25"/>
  </sheetData>
  <mergeCells count="28">
    <mergeCell ref="A19:A20"/>
    <mergeCell ref="B19:B20"/>
    <mergeCell ref="C19:C20"/>
    <mergeCell ref="A21:A24"/>
    <mergeCell ref="B21:B24"/>
    <mergeCell ref="C21:C24"/>
    <mergeCell ref="A13:A15"/>
    <mergeCell ref="B13:B15"/>
    <mergeCell ref="C13:C15"/>
    <mergeCell ref="A16:A18"/>
    <mergeCell ref="B16:B18"/>
    <mergeCell ref="C16:C18"/>
    <mergeCell ref="A5:A10"/>
    <mergeCell ref="B5:B10"/>
    <mergeCell ref="C5:C10"/>
    <mergeCell ref="A11:A12"/>
    <mergeCell ref="B11:B12"/>
    <mergeCell ref="C11:C12"/>
    <mergeCell ref="A1:M1"/>
    <mergeCell ref="A2:A4"/>
    <mergeCell ref="B2:B4"/>
    <mergeCell ref="C2:C4"/>
    <mergeCell ref="D2:D4"/>
    <mergeCell ref="E2:E4"/>
    <mergeCell ref="F2:K2"/>
    <mergeCell ref="L2:L4"/>
    <mergeCell ref="M2:M4"/>
    <mergeCell ref="K3:K4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M24"/>
  <sheetViews>
    <sheetView topLeftCell="A7" workbookViewId="0">
      <selection activeCell="A5" sqref="A5:M21"/>
    </sheetView>
  </sheetViews>
  <sheetFormatPr defaultRowHeight="13.2" x14ac:dyDescent="0.25"/>
  <cols>
    <col min="1" max="1" width="5.5546875" customWidth="1"/>
    <col min="2" max="2" width="17.33203125" customWidth="1"/>
    <col min="3" max="3" width="23.33203125" customWidth="1"/>
    <col min="4" max="4" width="9.33203125" customWidth="1"/>
    <col min="5" max="5" width="11.5546875" customWidth="1"/>
    <col min="6" max="10" width="14" customWidth="1"/>
    <col min="11" max="13" width="11.77734375" customWidth="1"/>
  </cols>
  <sheetData>
    <row r="1" spans="1:13" ht="34.799999999999997" customHeight="1" x14ac:dyDescent="0.25">
      <c r="A1" s="48" t="s">
        <v>128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50"/>
    </row>
    <row r="2" spans="1:13" ht="18" customHeight="1" x14ac:dyDescent="0.25">
      <c r="A2" s="51" t="s">
        <v>1</v>
      </c>
      <c r="B2" s="51" t="s">
        <v>2</v>
      </c>
      <c r="C2" s="51" t="s">
        <v>3</v>
      </c>
      <c r="D2" s="54" t="s">
        <v>4</v>
      </c>
      <c r="E2" s="57" t="s">
        <v>5</v>
      </c>
      <c r="F2" s="60" t="s">
        <v>6</v>
      </c>
      <c r="G2" s="61"/>
      <c r="H2" s="61"/>
      <c r="I2" s="61"/>
      <c r="J2" s="61"/>
      <c r="K2" s="62"/>
      <c r="L2" s="54" t="s">
        <v>7</v>
      </c>
      <c r="M2" s="57" t="s">
        <v>8</v>
      </c>
    </row>
    <row r="3" spans="1:13" ht="37.950000000000003" customHeight="1" x14ac:dyDescent="0.25">
      <c r="A3" s="52"/>
      <c r="B3" s="52"/>
      <c r="C3" s="52"/>
      <c r="D3" s="55"/>
      <c r="E3" s="58"/>
      <c r="F3" s="1" t="s">
        <v>9</v>
      </c>
      <c r="G3" s="2" t="s">
        <v>10</v>
      </c>
      <c r="H3" s="2" t="s">
        <v>11</v>
      </c>
      <c r="I3" s="3" t="s">
        <v>12</v>
      </c>
      <c r="J3" s="1" t="s">
        <v>13</v>
      </c>
      <c r="K3" s="63" t="s">
        <v>14</v>
      </c>
      <c r="L3" s="55"/>
      <c r="M3" s="58"/>
    </row>
    <row r="4" spans="1:13" ht="28.2" customHeight="1" x14ac:dyDescent="0.25">
      <c r="A4" s="53"/>
      <c r="B4" s="53"/>
      <c r="C4" s="53"/>
      <c r="D4" s="56"/>
      <c r="E4" s="59"/>
      <c r="F4" s="4"/>
      <c r="G4" s="4"/>
      <c r="H4" s="4"/>
      <c r="I4" s="4"/>
      <c r="J4" s="4"/>
      <c r="K4" s="64"/>
      <c r="L4" s="56"/>
      <c r="M4" s="59"/>
    </row>
    <row r="5" spans="1:13" ht="17.25" customHeight="1" x14ac:dyDescent="0.25">
      <c r="A5" s="85">
        <v>53</v>
      </c>
      <c r="B5" s="80" t="s">
        <v>129</v>
      </c>
      <c r="C5" s="80" t="s">
        <v>130</v>
      </c>
      <c r="D5" s="10">
        <v>1</v>
      </c>
      <c r="E5" s="8">
        <v>257</v>
      </c>
      <c r="F5" s="8">
        <v>2</v>
      </c>
      <c r="G5" s="8">
        <v>31</v>
      </c>
      <c r="H5" s="8">
        <v>1</v>
      </c>
      <c r="I5" s="8">
        <v>84</v>
      </c>
      <c r="J5" s="8">
        <v>130</v>
      </c>
      <c r="K5" s="11">
        <v>248</v>
      </c>
      <c r="L5" s="23">
        <v>9</v>
      </c>
      <c r="M5" s="11">
        <v>0</v>
      </c>
    </row>
    <row r="6" spans="1:13" ht="17.25" customHeight="1" x14ac:dyDescent="0.25">
      <c r="A6" s="87"/>
      <c r="B6" s="81"/>
      <c r="C6" s="81"/>
      <c r="D6" s="10">
        <v>2</v>
      </c>
      <c r="E6" s="8">
        <v>360</v>
      </c>
      <c r="F6" s="8">
        <v>2</v>
      </c>
      <c r="G6" s="8">
        <v>74</v>
      </c>
      <c r="H6" s="8">
        <v>3</v>
      </c>
      <c r="I6" s="8">
        <v>94</v>
      </c>
      <c r="J6" s="8">
        <v>182</v>
      </c>
      <c r="K6" s="11">
        <v>355</v>
      </c>
      <c r="L6" s="23">
        <v>5</v>
      </c>
      <c r="M6" s="11">
        <v>0</v>
      </c>
    </row>
    <row r="7" spans="1:13" ht="17.25" customHeight="1" x14ac:dyDescent="0.25">
      <c r="A7" s="87"/>
      <c r="B7" s="81"/>
      <c r="C7" s="81"/>
      <c r="D7" s="10">
        <v>3</v>
      </c>
      <c r="E7" s="8">
        <v>323</v>
      </c>
      <c r="F7" s="8">
        <v>1</v>
      </c>
      <c r="G7" s="8">
        <v>79</v>
      </c>
      <c r="H7" s="8">
        <v>2</v>
      </c>
      <c r="I7" s="8">
        <v>104</v>
      </c>
      <c r="J7" s="8">
        <v>135</v>
      </c>
      <c r="K7" s="11">
        <v>321</v>
      </c>
      <c r="L7" s="23">
        <v>2</v>
      </c>
      <c r="M7" s="11">
        <v>0</v>
      </c>
    </row>
    <row r="8" spans="1:13" ht="17.25" customHeight="1" x14ac:dyDescent="0.25">
      <c r="A8" s="86"/>
      <c r="B8" s="82"/>
      <c r="C8" s="82"/>
      <c r="D8" s="10">
        <v>4</v>
      </c>
      <c r="E8" s="8">
        <v>338</v>
      </c>
      <c r="F8" s="8">
        <v>0</v>
      </c>
      <c r="G8" s="8">
        <v>110</v>
      </c>
      <c r="H8" s="8">
        <v>0</v>
      </c>
      <c r="I8" s="8">
        <v>81</v>
      </c>
      <c r="J8" s="8">
        <v>147</v>
      </c>
      <c r="K8" s="11">
        <v>338</v>
      </c>
      <c r="L8" s="23">
        <v>0</v>
      </c>
      <c r="M8" s="11">
        <v>0</v>
      </c>
    </row>
    <row r="9" spans="1:13" ht="17.25" customHeight="1" x14ac:dyDescent="0.25">
      <c r="A9" s="85">
        <v>54</v>
      </c>
      <c r="B9" s="91" t="s">
        <v>131</v>
      </c>
      <c r="C9" s="80" t="s">
        <v>132</v>
      </c>
      <c r="D9" s="10">
        <v>1</v>
      </c>
      <c r="E9" s="8">
        <v>244</v>
      </c>
      <c r="F9" s="8">
        <v>3</v>
      </c>
      <c r="G9" s="8">
        <v>50</v>
      </c>
      <c r="H9" s="8">
        <v>6</v>
      </c>
      <c r="I9" s="8">
        <v>41</v>
      </c>
      <c r="J9" s="8">
        <v>138</v>
      </c>
      <c r="K9" s="11">
        <v>238</v>
      </c>
      <c r="L9" s="23">
        <v>6</v>
      </c>
      <c r="M9" s="11">
        <v>0</v>
      </c>
    </row>
    <row r="10" spans="1:13" ht="17.25" customHeight="1" x14ac:dyDescent="0.25">
      <c r="A10" s="87"/>
      <c r="B10" s="92"/>
      <c r="C10" s="81"/>
      <c r="D10" s="10">
        <v>2</v>
      </c>
      <c r="E10" s="8">
        <v>292</v>
      </c>
      <c r="F10" s="8">
        <v>2</v>
      </c>
      <c r="G10" s="8">
        <v>69</v>
      </c>
      <c r="H10" s="8">
        <v>6</v>
      </c>
      <c r="I10" s="8">
        <v>55</v>
      </c>
      <c r="J10" s="8">
        <v>159</v>
      </c>
      <c r="K10" s="11">
        <v>291</v>
      </c>
      <c r="L10" s="23">
        <v>1</v>
      </c>
      <c r="M10" s="11">
        <v>0</v>
      </c>
    </row>
    <row r="11" spans="1:13" ht="17.25" customHeight="1" x14ac:dyDescent="0.25">
      <c r="A11" s="87"/>
      <c r="B11" s="92"/>
      <c r="C11" s="81"/>
      <c r="D11" s="10">
        <v>3</v>
      </c>
      <c r="E11" s="8">
        <v>409</v>
      </c>
      <c r="F11" s="8">
        <v>1</v>
      </c>
      <c r="G11" s="8">
        <v>154</v>
      </c>
      <c r="H11" s="8">
        <v>2</v>
      </c>
      <c r="I11" s="8">
        <v>61</v>
      </c>
      <c r="J11" s="8">
        <v>187</v>
      </c>
      <c r="K11" s="11">
        <v>405</v>
      </c>
      <c r="L11" s="23">
        <v>4</v>
      </c>
      <c r="M11" s="11">
        <v>0</v>
      </c>
    </row>
    <row r="12" spans="1:13" ht="17.25" customHeight="1" x14ac:dyDescent="0.25">
      <c r="A12" s="86"/>
      <c r="B12" s="93"/>
      <c r="C12" s="82"/>
      <c r="D12" s="10">
        <v>4</v>
      </c>
      <c r="E12" s="8">
        <v>376</v>
      </c>
      <c r="F12" s="8">
        <v>1</v>
      </c>
      <c r="G12" s="8">
        <v>154</v>
      </c>
      <c r="H12" s="8">
        <v>3</v>
      </c>
      <c r="I12" s="8">
        <v>40</v>
      </c>
      <c r="J12" s="8">
        <v>174</v>
      </c>
      <c r="K12" s="11">
        <v>372</v>
      </c>
      <c r="L12" s="23">
        <v>4</v>
      </c>
      <c r="M12" s="11">
        <v>0</v>
      </c>
    </row>
    <row r="13" spans="1:13" ht="32.700000000000003" customHeight="1" x14ac:dyDescent="0.25">
      <c r="A13" s="17">
        <v>55</v>
      </c>
      <c r="B13" s="6" t="s">
        <v>133</v>
      </c>
      <c r="C13" s="20" t="s">
        <v>134</v>
      </c>
      <c r="D13" s="10">
        <v>1</v>
      </c>
      <c r="E13" s="8">
        <v>204</v>
      </c>
      <c r="F13" s="8">
        <v>1</v>
      </c>
      <c r="G13" s="8">
        <v>47</v>
      </c>
      <c r="H13" s="8">
        <v>2</v>
      </c>
      <c r="I13" s="8">
        <v>37</v>
      </c>
      <c r="J13" s="8">
        <v>113</v>
      </c>
      <c r="K13" s="11">
        <v>200</v>
      </c>
      <c r="L13" s="23">
        <v>4</v>
      </c>
      <c r="M13" s="11">
        <v>0</v>
      </c>
    </row>
    <row r="14" spans="1:13" ht="17.25" customHeight="1" x14ac:dyDescent="0.25">
      <c r="A14" s="85">
        <v>56</v>
      </c>
      <c r="B14" s="83" t="s">
        <v>135</v>
      </c>
      <c r="C14" s="77" t="s">
        <v>136</v>
      </c>
      <c r="D14" s="10">
        <v>1</v>
      </c>
      <c r="E14" s="8">
        <v>120</v>
      </c>
      <c r="F14" s="8">
        <v>1</v>
      </c>
      <c r="G14" s="8">
        <v>13</v>
      </c>
      <c r="H14" s="8">
        <v>1</v>
      </c>
      <c r="I14" s="8">
        <v>63</v>
      </c>
      <c r="J14" s="8">
        <v>40</v>
      </c>
      <c r="K14" s="11">
        <v>118</v>
      </c>
      <c r="L14" s="23">
        <v>2</v>
      </c>
      <c r="M14" s="11">
        <v>0</v>
      </c>
    </row>
    <row r="15" spans="1:13" ht="17.25" customHeight="1" x14ac:dyDescent="0.25">
      <c r="A15" s="86"/>
      <c r="B15" s="84"/>
      <c r="C15" s="79"/>
      <c r="D15" s="10">
        <v>2</v>
      </c>
      <c r="E15" s="8">
        <v>266</v>
      </c>
      <c r="F15" s="8">
        <v>0</v>
      </c>
      <c r="G15" s="8">
        <v>60</v>
      </c>
      <c r="H15" s="8">
        <v>1</v>
      </c>
      <c r="I15" s="8">
        <v>133</v>
      </c>
      <c r="J15" s="8">
        <v>70</v>
      </c>
      <c r="K15" s="11">
        <v>264</v>
      </c>
      <c r="L15" s="23">
        <v>2</v>
      </c>
      <c r="M15" s="11">
        <v>0</v>
      </c>
    </row>
    <row r="16" spans="1:13" ht="17.25" customHeight="1" x14ac:dyDescent="0.25">
      <c r="A16" s="85">
        <v>57</v>
      </c>
      <c r="B16" s="95" t="s">
        <v>137</v>
      </c>
      <c r="C16" s="80" t="s">
        <v>138</v>
      </c>
      <c r="D16" s="10">
        <v>1</v>
      </c>
      <c r="E16" s="8">
        <v>224</v>
      </c>
      <c r="F16" s="8">
        <v>1</v>
      </c>
      <c r="G16" s="8">
        <v>30</v>
      </c>
      <c r="H16" s="8">
        <v>2</v>
      </c>
      <c r="I16" s="8">
        <v>34</v>
      </c>
      <c r="J16" s="8">
        <v>155</v>
      </c>
      <c r="K16" s="11">
        <v>222</v>
      </c>
      <c r="L16" s="23">
        <v>2</v>
      </c>
      <c r="M16" s="11">
        <v>0</v>
      </c>
    </row>
    <row r="17" spans="1:13" ht="17.25" customHeight="1" x14ac:dyDescent="0.25">
      <c r="A17" s="87"/>
      <c r="B17" s="96"/>
      <c r="C17" s="81"/>
      <c r="D17" s="10">
        <v>2</v>
      </c>
      <c r="E17" s="8">
        <v>320</v>
      </c>
      <c r="F17" s="8">
        <v>5</v>
      </c>
      <c r="G17" s="8">
        <v>68</v>
      </c>
      <c r="H17" s="8">
        <v>0</v>
      </c>
      <c r="I17" s="8">
        <v>71</v>
      </c>
      <c r="J17" s="8">
        <v>174</v>
      </c>
      <c r="K17" s="11">
        <v>318</v>
      </c>
      <c r="L17" s="23">
        <v>2</v>
      </c>
      <c r="M17" s="11">
        <v>0</v>
      </c>
    </row>
    <row r="18" spans="1:13" ht="17.25" customHeight="1" x14ac:dyDescent="0.25">
      <c r="A18" s="86"/>
      <c r="B18" s="97"/>
      <c r="C18" s="82"/>
      <c r="D18" s="10">
        <v>3</v>
      </c>
      <c r="E18" s="8">
        <v>322</v>
      </c>
      <c r="F18" s="8">
        <v>1</v>
      </c>
      <c r="G18" s="8">
        <v>129</v>
      </c>
      <c r="H18" s="8">
        <v>1</v>
      </c>
      <c r="I18" s="8">
        <v>61</v>
      </c>
      <c r="J18" s="8">
        <v>128</v>
      </c>
      <c r="K18" s="11">
        <v>320</v>
      </c>
      <c r="L18" s="23">
        <v>2</v>
      </c>
      <c r="M18" s="11">
        <v>0</v>
      </c>
    </row>
    <row r="19" spans="1:13" ht="17.25" customHeight="1" x14ac:dyDescent="0.25">
      <c r="A19" s="85">
        <v>58</v>
      </c>
      <c r="B19" s="95" t="s">
        <v>139</v>
      </c>
      <c r="C19" s="77" t="s">
        <v>140</v>
      </c>
      <c r="D19" s="10">
        <v>1</v>
      </c>
      <c r="E19" s="8">
        <v>225</v>
      </c>
      <c r="F19" s="8">
        <v>3</v>
      </c>
      <c r="G19" s="8">
        <v>40</v>
      </c>
      <c r="H19" s="8">
        <v>1</v>
      </c>
      <c r="I19" s="8">
        <v>39</v>
      </c>
      <c r="J19" s="8">
        <v>138</v>
      </c>
      <c r="K19" s="11">
        <v>221</v>
      </c>
      <c r="L19" s="23">
        <v>4</v>
      </c>
      <c r="M19" s="11">
        <v>0</v>
      </c>
    </row>
    <row r="20" spans="1:13" ht="17.25" customHeight="1" x14ac:dyDescent="0.25">
      <c r="A20" s="87"/>
      <c r="B20" s="96"/>
      <c r="C20" s="78"/>
      <c r="D20" s="10">
        <v>2</v>
      </c>
      <c r="E20" s="8">
        <v>301</v>
      </c>
      <c r="F20" s="8">
        <v>0</v>
      </c>
      <c r="G20" s="8">
        <v>116</v>
      </c>
      <c r="H20" s="8">
        <v>4</v>
      </c>
      <c r="I20" s="8">
        <v>53</v>
      </c>
      <c r="J20" s="8">
        <v>127</v>
      </c>
      <c r="K20" s="11">
        <v>300</v>
      </c>
      <c r="L20" s="23">
        <v>1</v>
      </c>
      <c r="M20" s="11">
        <v>0</v>
      </c>
    </row>
    <row r="21" spans="1:13" ht="17.25" customHeight="1" x14ac:dyDescent="0.25">
      <c r="A21" s="86"/>
      <c r="B21" s="97"/>
      <c r="C21" s="79"/>
      <c r="D21" s="10">
        <v>3</v>
      </c>
      <c r="E21" s="8">
        <v>305</v>
      </c>
      <c r="F21" s="8">
        <v>0</v>
      </c>
      <c r="G21" s="8">
        <v>158</v>
      </c>
      <c r="H21" s="8">
        <v>1</v>
      </c>
      <c r="I21" s="8">
        <v>57</v>
      </c>
      <c r="J21" s="8">
        <v>88</v>
      </c>
      <c r="K21" s="11">
        <v>304</v>
      </c>
      <c r="L21" s="23">
        <v>1</v>
      </c>
      <c r="M21" s="11">
        <v>0</v>
      </c>
    </row>
    <row r="22" spans="1:13" ht="37.950000000000003" customHeight="1" x14ac:dyDescent="0.25"/>
    <row r="23" spans="1:13" ht="294" customHeight="1" x14ac:dyDescent="0.25"/>
    <row r="24" spans="1:13" ht="294" customHeight="1" x14ac:dyDescent="0.25"/>
  </sheetData>
  <mergeCells count="25">
    <mergeCell ref="A19:A21"/>
    <mergeCell ref="B19:B21"/>
    <mergeCell ref="C19:C21"/>
    <mergeCell ref="A14:A15"/>
    <mergeCell ref="B14:B15"/>
    <mergeCell ref="C14:C15"/>
    <mergeCell ref="A16:A18"/>
    <mergeCell ref="B16:B18"/>
    <mergeCell ref="C16:C18"/>
    <mergeCell ref="A5:A8"/>
    <mergeCell ref="B5:B8"/>
    <mergeCell ref="C5:C8"/>
    <mergeCell ref="A9:A12"/>
    <mergeCell ref="B9:B12"/>
    <mergeCell ref="C9:C12"/>
    <mergeCell ref="A1:M1"/>
    <mergeCell ref="A2:A4"/>
    <mergeCell ref="B2:B4"/>
    <mergeCell ref="C2:C4"/>
    <mergeCell ref="D2:D4"/>
    <mergeCell ref="E2:E4"/>
    <mergeCell ref="F2:K2"/>
    <mergeCell ref="L2:L4"/>
    <mergeCell ref="M2:M4"/>
    <mergeCell ref="K3:K4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M13"/>
  <sheetViews>
    <sheetView workbookViewId="0">
      <selection activeCell="A5" sqref="A5:M10"/>
    </sheetView>
  </sheetViews>
  <sheetFormatPr defaultRowHeight="13.2" x14ac:dyDescent="0.25"/>
  <cols>
    <col min="1" max="1" width="5.5546875" customWidth="1"/>
    <col min="2" max="2" width="17.33203125" customWidth="1"/>
    <col min="3" max="3" width="23.33203125" customWidth="1"/>
    <col min="4" max="4" width="9.33203125" customWidth="1"/>
    <col min="5" max="5" width="11.5546875" customWidth="1"/>
    <col min="6" max="10" width="14" customWidth="1"/>
    <col min="11" max="13" width="11.77734375" customWidth="1"/>
  </cols>
  <sheetData>
    <row r="1" spans="1:13" ht="34.799999999999997" customHeight="1" x14ac:dyDescent="0.25">
      <c r="A1" s="48" t="s">
        <v>141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50"/>
    </row>
    <row r="2" spans="1:13" ht="18" customHeight="1" x14ac:dyDescent="0.25">
      <c r="A2" s="51" t="s">
        <v>1</v>
      </c>
      <c r="B2" s="51" t="s">
        <v>2</v>
      </c>
      <c r="C2" s="51" t="s">
        <v>3</v>
      </c>
      <c r="D2" s="54" t="s">
        <v>4</v>
      </c>
      <c r="E2" s="57" t="s">
        <v>5</v>
      </c>
      <c r="F2" s="60" t="s">
        <v>6</v>
      </c>
      <c r="G2" s="61"/>
      <c r="H2" s="61"/>
      <c r="I2" s="61"/>
      <c r="J2" s="61"/>
      <c r="K2" s="62"/>
      <c r="L2" s="54" t="s">
        <v>7</v>
      </c>
      <c r="M2" s="57" t="s">
        <v>8</v>
      </c>
    </row>
    <row r="3" spans="1:13" ht="37.950000000000003" customHeight="1" x14ac:dyDescent="0.25">
      <c r="A3" s="52"/>
      <c r="B3" s="52"/>
      <c r="C3" s="52"/>
      <c r="D3" s="55"/>
      <c r="E3" s="58"/>
      <c r="F3" s="1" t="s">
        <v>9</v>
      </c>
      <c r="G3" s="2" t="s">
        <v>10</v>
      </c>
      <c r="H3" s="2" t="s">
        <v>11</v>
      </c>
      <c r="I3" s="3" t="s">
        <v>12</v>
      </c>
      <c r="J3" s="1" t="s">
        <v>13</v>
      </c>
      <c r="K3" s="63" t="s">
        <v>14</v>
      </c>
      <c r="L3" s="55"/>
      <c r="M3" s="58"/>
    </row>
    <row r="4" spans="1:13" ht="28.2" customHeight="1" x14ac:dyDescent="0.25">
      <c r="A4" s="53"/>
      <c r="B4" s="53"/>
      <c r="C4" s="53"/>
      <c r="D4" s="56"/>
      <c r="E4" s="59"/>
      <c r="F4" s="4"/>
      <c r="G4" s="4"/>
      <c r="H4" s="4"/>
      <c r="I4" s="4"/>
      <c r="J4" s="4"/>
      <c r="K4" s="64"/>
      <c r="L4" s="56"/>
      <c r="M4" s="59"/>
    </row>
    <row r="5" spans="1:13" ht="17.25" customHeight="1" x14ac:dyDescent="0.25">
      <c r="A5" s="85">
        <v>59</v>
      </c>
      <c r="B5" s="95" t="s">
        <v>142</v>
      </c>
      <c r="C5" s="80" t="s">
        <v>143</v>
      </c>
      <c r="D5" s="8">
        <v>1</v>
      </c>
      <c r="E5" s="8">
        <v>251</v>
      </c>
      <c r="F5" s="8">
        <v>2</v>
      </c>
      <c r="G5" s="8">
        <v>34</v>
      </c>
      <c r="H5" s="8">
        <v>5</v>
      </c>
      <c r="I5" s="8">
        <v>71</v>
      </c>
      <c r="J5" s="8">
        <v>131</v>
      </c>
      <c r="K5" s="11">
        <v>243</v>
      </c>
      <c r="L5" s="8">
        <v>8</v>
      </c>
      <c r="M5" s="11">
        <v>0</v>
      </c>
    </row>
    <row r="6" spans="1:13" ht="17.25" customHeight="1" x14ac:dyDescent="0.25">
      <c r="A6" s="87"/>
      <c r="B6" s="96"/>
      <c r="C6" s="81"/>
      <c r="D6" s="8">
        <v>2</v>
      </c>
      <c r="E6" s="8">
        <v>300</v>
      </c>
      <c r="F6" s="8">
        <v>2</v>
      </c>
      <c r="G6" s="8">
        <v>31</v>
      </c>
      <c r="H6" s="8">
        <v>1</v>
      </c>
      <c r="I6" s="8">
        <v>102</v>
      </c>
      <c r="J6" s="8">
        <v>162</v>
      </c>
      <c r="K6" s="11">
        <v>298</v>
      </c>
      <c r="L6" s="8">
        <v>2</v>
      </c>
      <c r="M6" s="11">
        <v>0</v>
      </c>
    </row>
    <row r="7" spans="1:13" ht="17.25" customHeight="1" x14ac:dyDescent="0.25">
      <c r="A7" s="87"/>
      <c r="B7" s="96"/>
      <c r="C7" s="81"/>
      <c r="D7" s="8">
        <v>3</v>
      </c>
      <c r="E7" s="8">
        <v>444</v>
      </c>
      <c r="F7" s="8">
        <v>3</v>
      </c>
      <c r="G7" s="8">
        <v>97</v>
      </c>
      <c r="H7" s="8">
        <v>3</v>
      </c>
      <c r="I7" s="8">
        <v>130</v>
      </c>
      <c r="J7" s="8">
        <v>204</v>
      </c>
      <c r="K7" s="11">
        <v>437</v>
      </c>
      <c r="L7" s="8">
        <v>7</v>
      </c>
      <c r="M7" s="11">
        <v>0</v>
      </c>
    </row>
    <row r="8" spans="1:13" ht="17.25" customHeight="1" x14ac:dyDescent="0.25">
      <c r="A8" s="87"/>
      <c r="B8" s="96"/>
      <c r="C8" s="81"/>
      <c r="D8" s="8">
        <v>4</v>
      </c>
      <c r="E8" s="8">
        <v>426</v>
      </c>
      <c r="F8" s="8">
        <v>2</v>
      </c>
      <c r="G8" s="8">
        <v>150</v>
      </c>
      <c r="H8" s="8">
        <v>0</v>
      </c>
      <c r="I8" s="8">
        <v>112</v>
      </c>
      <c r="J8" s="8">
        <v>161</v>
      </c>
      <c r="K8" s="11">
        <v>425</v>
      </c>
      <c r="L8" s="8">
        <v>1</v>
      </c>
      <c r="M8" s="11">
        <v>0</v>
      </c>
    </row>
    <row r="9" spans="1:13" ht="17.25" customHeight="1" x14ac:dyDescent="0.25">
      <c r="A9" s="86"/>
      <c r="B9" s="97"/>
      <c r="C9" s="82"/>
      <c r="D9" s="8">
        <v>5</v>
      </c>
      <c r="E9" s="8">
        <v>445</v>
      </c>
      <c r="F9" s="8">
        <v>1</v>
      </c>
      <c r="G9" s="8">
        <v>190</v>
      </c>
      <c r="H9" s="8">
        <v>4</v>
      </c>
      <c r="I9" s="8">
        <v>94</v>
      </c>
      <c r="J9" s="8">
        <v>153</v>
      </c>
      <c r="K9" s="11">
        <v>442</v>
      </c>
      <c r="L9" s="8">
        <v>2</v>
      </c>
      <c r="M9" s="11">
        <v>1</v>
      </c>
    </row>
    <row r="10" spans="1:13" ht="19.2" customHeight="1" x14ac:dyDescent="0.25">
      <c r="A10" s="101" t="s">
        <v>144</v>
      </c>
      <c r="B10" s="102"/>
      <c r="C10" s="103"/>
      <c r="D10" s="30">
        <v>172</v>
      </c>
      <c r="E10" s="31">
        <v>49280</v>
      </c>
      <c r="F10" s="30">
        <v>406</v>
      </c>
      <c r="G10" s="31">
        <v>11560</v>
      </c>
      <c r="H10" s="30">
        <v>333</v>
      </c>
      <c r="I10" s="31">
        <v>14940</v>
      </c>
      <c r="J10" s="31">
        <v>21423</v>
      </c>
      <c r="K10" s="31">
        <v>48662</v>
      </c>
      <c r="L10" s="30">
        <v>489</v>
      </c>
      <c r="M10" s="30">
        <v>129</v>
      </c>
    </row>
    <row r="11" spans="1:13" ht="37.950000000000003" customHeight="1" x14ac:dyDescent="0.25"/>
    <row r="12" spans="1:13" ht="82.05" customHeight="1" x14ac:dyDescent="0.25"/>
    <row r="13" spans="1:13" ht="82.05" customHeight="1" x14ac:dyDescent="0.25"/>
  </sheetData>
  <mergeCells count="14">
    <mergeCell ref="A5:A9"/>
    <mergeCell ref="B5:B9"/>
    <mergeCell ref="C5:C9"/>
    <mergeCell ref="A10:C10"/>
    <mergeCell ref="A1:M1"/>
    <mergeCell ref="A2:A4"/>
    <mergeCell ref="B2:B4"/>
    <mergeCell ref="C2:C4"/>
    <mergeCell ref="D2:D4"/>
    <mergeCell ref="E2:E4"/>
    <mergeCell ref="F2:K2"/>
    <mergeCell ref="L2:L4"/>
    <mergeCell ref="M2:M4"/>
    <mergeCell ref="K3:K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RaceWorksheet</vt:lpstr>
      <vt:lpstr>P129KualaPilah</vt:lpstr>
      <vt:lpstr>Race&amp;Age</vt:lpstr>
      <vt:lpstr>Table 1</vt:lpstr>
      <vt:lpstr>Table 2</vt:lpstr>
      <vt:lpstr>Table 3</vt:lpstr>
      <vt:lpstr>Table 4</vt:lpstr>
      <vt:lpstr>Table 5</vt:lpstr>
      <vt:lpstr>Table 6</vt:lpstr>
      <vt:lpstr>Table 7</vt:lpstr>
      <vt:lpstr>Table 8</vt:lpstr>
      <vt:lpstr>Table 9</vt:lpstr>
      <vt:lpstr>Table 10</vt:lpstr>
      <vt:lpstr>Table 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Ong Kian Ming</cp:lastModifiedBy>
  <dcterms:created xsi:type="dcterms:W3CDTF">2023-01-24T06:47:02Z</dcterms:created>
  <dcterms:modified xsi:type="dcterms:W3CDTF">2023-06-09T14:46:59Z</dcterms:modified>
</cp:coreProperties>
</file>